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ILs" sheetId="2" r:id="rId5"/>
    <sheet state="visible" name="RTA Strat ILs" sheetId="3" r:id="rId6"/>
    <sheet state="visible" name="120 ILs" sheetId="4" r:id="rId7"/>
    <sheet state="visible" name="Free ILs" sheetId="5" r:id="rId8"/>
    <sheet state="visible" name="Misc ILs" sheetId="6" r:id="rId9"/>
    <sheet state="visible" name="Any% Best Segments" sheetId="7" r:id="rId10"/>
    <sheet state="visible" name="Any% Best World Segments" sheetId="8" r:id="rId11"/>
    <sheet state="visible" name="Any% Best World Exits" sheetId="9" r:id="rId12"/>
    <sheet state="visible" name="CE Extensions"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To start adding times, type your name into an empty row! c:</t>
      </text>
    </comment>
    <comment authorId="0" ref="B2">
      <text>
        <t xml:space="preserve">1 point is awarded for last place in an IL, 2 points for second-to-last, and so on. The more people you beat in an IL, the more points you get.
Your cell is highlighted green if it needs to be moved up so a mod can spot it!</t>
      </text>
    </comment>
    <comment authorId="0" ref="C2">
      <text>
        <t xml:space="preserve">Counts the number of 1st/2nd/3rd place times you have. Unlike points, these are only highlighted+counted if the entry has a video.</t>
      </text>
    </comment>
    <comment authorId="0" ref="I134">
      <text>
        <t xml:space="preserve">those goobas lmfao</t>
      </text>
    </comment>
    <comment authorId="0" ref="F2">
      <text>
        <t xml:space="preserve">Total number of entries (submissions) out of the 118 levels. 
The left column is entries with linked video; this is highlighted orange if you're below the video quota, which means your future submissions must be with video (see rule 4b).</t>
      </text>
    </comment>
    <comment authorId="0" ref="R2">
      <text>
        <t xml:space="preserve">This IL uses the default in-game timer; no setup is allowed beyond loading position and waiting. Higher times are better.</t>
      </text>
    </comment>
    <comment authorId="0" ref="T2">
      <text>
        <t xml:space="preserve">This IL uses the default in-game timer; no setup is allowed beyond loading position and waiting. Higher times are better.</t>
      </text>
    </comment>
    <comment authorId="0" ref="V2">
      <text>
        <t xml:space="preserve">Removing blue coins prior to running this level is disallowed.</t>
      </text>
    </comment>
    <comment authorId="0" ref="AE2">
      <text>
        <t xml:space="preserve">This IL uses the default in-game timer. Higher times are better.
</t>
      </text>
    </comment>
    <comment authorId="0" ref="AI2">
      <text>
        <t xml:space="preserve">This IL uses the default in-game timer; no setup is allowed beyond loading position and waiting. Higher times are better.</t>
      </text>
    </comment>
    <comment authorId="0" ref="AK2">
      <text>
        <t xml:space="preserve">Removing blue coins prior to running this level is disallowed. </t>
      </text>
    </comment>
    <comment authorId="0" ref="AS2">
      <text>
        <t xml:space="preserve">This IL uses the default in-game timer; any setup is allowed.</t>
      </text>
    </comment>
    <comment authorId="0" ref="AW2">
      <text>
        <t xml:space="preserve">Hidden in the dune bud staircase</t>
      </text>
    </comment>
    <comment authorId="0" ref="AX2">
      <text>
        <t xml:space="preserve">This IL uses the default in-game timer; no setup is allowed beyond loading position and waiting. Higher times are better.</t>
      </text>
    </comment>
    <comment authorId="0" ref="AZ2">
      <text>
        <t xml:space="preserve">Removing blue coins prior to running this level is disallowed. </t>
      </text>
    </comment>
    <comment authorId="0" ref="BB2">
      <text>
        <t xml:space="preserve">"Exit Area" is required for both cutscene skips</t>
      </text>
    </comment>
    <comment authorId="0" ref="Y3">
      <text>
        <t xml:space="preserve">This IL uses the quarterframe timer (QFT); includes the entry. Round the 3rd decimal to 2 decimal points ( &gt;5 = down, 5=&lt; = up )</t>
      </text>
    </comment>
    <comment authorId="0" ref="Z3">
      <text>
        <t xml:space="preserve">This IL uses the default in-game timer; no setup is allowed beyond loading position and waiting. Surfing subarea only.</t>
      </text>
    </comment>
    <comment authorId="0" ref="AE3">
      <text>
        <t xml:space="preserve">Any setup is allowed, but the coin route must not be one of the two used in full-game runs.</t>
      </text>
    </comment>
    <comment authorId="0" ref="BJ2">
      <text>
        <t xml:space="preserve">Only the submission worth the most points out of US/PAL and JP is counted towards your total points.</t>
      </text>
    </comment>
    <comment authorId="0" ref="AF3">
      <text>
        <t xml:space="preserve">Use of routes that would be slower in a full speedrun is prohibited.
No setup is allowed beyond loading position and waiting.</t>
      </text>
    </comment>
    <comment authorId="0" ref="C4">
      <text>
        <t xml:space="preserve">Submissions that are better or equal to these times are in the top 3 or top 15% of their leaderboard and so require video.</t>
      </text>
    </comment>
    <comment authorId="0" ref="BN2">
      <text>
        <t xml:space="preserve">This IL uses the default in-game timer; no setup is allowed beyond loading position and waiting. Higher times are better.</t>
      </text>
    </comment>
    <comment authorId="0" ref="BO2">
      <text>
        <t xml:space="preserve">This IL uses the default in-game timer; no setup is allowed beyond loading position and waiting. Higher times are better.</t>
      </text>
    </comment>
    <comment authorId="0" ref="BP2">
      <text>
        <t xml:space="preserve">Removing blue coins prior to running this level is disallowed.</t>
      </text>
    </comment>
    <comment authorId="0" ref="BR2">
      <text>
        <t xml:space="preserve">The 'Fix Manta Splitting' code is *required* on both console and emulator, and the version must be 1.1 or later (released on 15 Feb 2021). Exempt from this rule: (1) ILs retimed from full-game runs, (2) ILs done before 17 Feb 2021.</t>
      </text>
    </comment>
    <comment authorId="0" ref="BY2">
      <text>
        <t xml:space="preserve">The default timer the game provides is used for this. Higher is better.
It is recommended to use console for these ILs specifically because emulator may be banned in future for being too glitchy.
Only the submission worth the most points out of US/PAL and JP is counted towards your total points.</t>
      </text>
    </comment>
    <comment authorId="0" ref="CB2">
      <text>
        <t xml:space="preserve">This IL uses the default in-game timer; no setup is allowed beyond loading position and waiting. Higher times are better.</t>
      </text>
    </comment>
    <comment authorId="0" ref="CD2">
      <text>
        <t xml:space="preserve">This IL uses the default in-game timer; no setup is allowed beyond loading position and waiting. Higher times are better.</t>
      </text>
    </comment>
    <comment authorId="0" ref="CE2">
      <text>
        <t xml:space="preserve">Removing blue coins prior to running this level is disallowed.</t>
      </text>
    </comment>
    <comment authorId="0" ref="CI2">
      <text>
        <t xml:space="preserve">Bottle/Inside Only</t>
      </text>
    </comment>
    <comment authorId="0" ref="CL2">
      <text>
        <t xml:space="preserve">This IL uses the default in-game timer; any setup is allowed.</t>
      </text>
    </comment>
    <comment authorId="0" ref="BJ3">
      <text>
        <t xml:space="preserve">ILs done on PAL/NTSC-U/JP 1.1 only, regardless of the strats used in them.</t>
      </text>
    </comment>
    <comment authorId="0" ref="BK3">
      <text>
        <t xml:space="preserve">ILs done on JP 1.0 only, regardless of the strats used in them.</t>
      </text>
    </comment>
    <comment authorId="0" ref="A5">
      <text>
        <t xml:space="preserve">I'm Fech :)</t>
      </text>
    </comment>
    <comment authorId="0" ref="CQ2">
      <text>
        <t xml:space="preserve">Gold Bird</t>
      </text>
    </comment>
    <comment authorId="0" ref="CR2">
      <text>
        <t xml:space="preserve">This IL uses the default in-game timer; no setup is allowed beyond loading position and waiting. Higher times are better.</t>
      </text>
    </comment>
    <comment authorId="0" ref="CT2">
      <text>
        <t xml:space="preserve">Removing blue coins prior to running this level is disallowed.</t>
      </text>
    </comment>
    <comment authorId="0" ref="CV2">
      <text>
        <t xml:space="preserve">Pausing while mid-air is not allowed here (or in any other level).</t>
      </text>
    </comment>
    <comment authorId="0" ref="CW2">
      <text>
        <t xml:space="preserve">This IL uses the default in-game timer; any setup is allowed.</t>
      </text>
    </comment>
    <comment authorId="0" ref="DB134">
      <text>
        <t xml:space="preserve">Lasciate ogne speranza, voi ch'intrate</t>
      </text>
    </comment>
    <comment authorId="0" ref="CZ2">
      <text>
        <t xml:space="preserve">'Fast Text' code is not allowed.</t>
      </text>
    </comment>
    <comment authorId="0" ref="DB2">
      <text>
        <t xml:space="preserve">The default timer the game provides is used for this.
Higher is better.</t>
      </text>
    </comment>
    <comment authorId="0" ref="BY3">
      <text>
        <t xml:space="preserve">Any version except JP 1.0</t>
      </text>
    </comment>
    <comment authorId="0" ref="DE2">
      <text>
        <t xml:space="preserve">'Fast Text' code is not allowed for submissions.
This IL uses the default in-game timer; no setup is allowed beyond loading position and waiting. Higher times are better.</t>
      </text>
    </comment>
    <comment authorId="0" ref="BZ3">
      <text>
        <t xml:space="preserve">JP 1.0 only, because of the stricter goop requirement</t>
      </text>
    </comment>
    <comment authorId="0" ref="DF2">
      <text>
        <t xml:space="preserve">Spray The Sun</t>
      </text>
    </comment>
    <comment authorId="0" ref="DG2">
      <text>
        <t xml:space="preserve">Removing blue coins prior to running this level is disallowed.</t>
      </text>
    </comment>
    <comment authorId="0" ref="CC3">
      <text>
        <t xml:space="preserve">This IL uses the default in-game timer; no setup* is allowed beyond loading position and waiting. Higher times are better.
* Specifically, you must not break any blocks after the red coin button, or move the cog, until after the timer has started.</t>
      </text>
    </comment>
    <comment authorId="0" ref="DM134">
      <text>
        <t xml:space="preserve">oops i had vgah podcast on the same audio track as sunshine, sorry xd</t>
      </text>
    </comment>
    <comment authorId="0" ref="DJ2">
      <text>
        <t xml:space="preserve">The default timer the game provides is used for this.
Higher is better.</t>
      </text>
    </comment>
    <comment authorId="0" ref="DO2">
      <text>
        <t xml:space="preserve">This IL uses the default in-game timer; any setup is allowed. Higher times are better.
</t>
      </text>
    </comment>
    <comment authorId="0" ref="DP2">
      <text>
        <t xml:space="preserve">This IL uses the default in-game timer; any setup is allowed. Higher times are better.</t>
      </text>
    </comment>
    <comment authorId="0" ref="DQ2">
      <text>
        <t xml:space="preserve">This IL uses the default in-game timer; any setup is allowed. Higher times are better.</t>
      </text>
    </comment>
    <comment authorId="0" ref="DV2">
      <text>
        <t xml:space="preserve">NTSC-U/PAL saves 13 frames or ~0.43/0.44 seconds on the shine spawn cutscene compared to NTSC-J 1.0</t>
      </text>
    </comment>
    <comment authorId="0" ref="I6">
      <text>
        <t xml:space="preserve">17
27.85 entry
2F lost to cs mash
49.70 inside (best is 49.43)</t>
      </text>
    </comment>
    <comment authorId="0" ref="J6">
      <text>
        <t xml:space="preserve">21.85 Entry (Best is 21.85)
13.80 Secret</t>
      </text>
    </comment>
    <comment authorId="0" ref="AQ5">
      <text>
        <t xml:space="preserve">18.24 best entry
</t>
      </text>
    </comment>
    <comment authorId="0" ref="L6">
      <text>
        <t xml:space="preserve">42.03 rta strats wr</t>
      </text>
    </comment>
    <comment authorId="0" ref="AV5">
      <text>
        <t xml:space="preserve">Craziest thing I'll ever get
</t>
      </text>
    </comment>
    <comment authorId="0" ref="Q6">
      <text>
        <t xml:space="preserve">57.67</t>
      </text>
    </comment>
    <comment authorId="0" ref="R6">
      <text>
        <t xml:space="preserve">hard as rock</t>
      </text>
    </comment>
    <comment authorId="0" ref="T6">
      <text>
        <t xml:space="preserve">1:00.94 RTA Strat PB</t>
      </text>
    </comment>
    <comment authorId="0" ref="DJ3">
      <text>
        <t xml:space="preserve">Any setup is allowed, but the coin/nozzle route must not be the one used in full-game runs.</t>
      </text>
    </comment>
    <comment authorId="0" ref="V6">
      <text>
        <t xml:space="preserve">choked 2:02 to bad ending
sub 2 possible</t>
      </text>
    </comment>
    <comment authorId="0" ref="DK3">
      <text>
        <t xml:space="preserve">Use of routes (coin + nozzle-box order) that would be slower in a full speedrun is prohibited.
This IL uses the default in-game timer; no setup is allowed beyond loading position and waiting. Higher times are better.</t>
      </text>
    </comment>
    <comment authorId="0" ref="BD5">
      <text>
        <t xml:space="preserve">[retimed]</t>
      </text>
    </comment>
    <comment authorId="0" ref="Z6">
      <text>
        <t xml:space="preserve">ez
terrible beginning</t>
      </text>
    </comment>
    <comment authorId="0" ref="AB6">
      <text>
        <t xml:space="preserve">12.70 Entry
29.96-29.99 Secret</t>
      </text>
    </comment>
    <comment authorId="0" ref="DR3">
      <text>
        <t xml:space="preserve">Removing blue coins prior to running this level is disallowed.</t>
      </text>
    </comment>
    <comment authorId="0" ref="AD6">
      <text>
        <t xml:space="preserve">54.0x goal 
14.31 best slide off
example of good blooper fight -
https://clips.twitch.tv/GoldenPiercingEggDeIlluminati</t>
      </text>
    </comment>
    <comment authorId="0" ref="AE6">
      <text>
        <t xml:space="preserve">don't do this ending line, it loses 1F</t>
      </text>
    </comment>
    <comment authorId="0" ref="BK5">
      <text>
        <t xml:space="preserve">bad entry
</t>
      </text>
    </comment>
    <comment authorId="0" ref="I139">
      <text>
        <t xml:space="preserve">[dead link] https://www.twitch.tv/videos/251873417</t>
      </text>
    </comment>
    <comment authorId="0" ref="AK6">
      <text>
        <t xml:space="preserve">1:52 should be possible</t>
      </text>
    </comment>
    <comment authorId="0" ref="BR5">
      <text>
        <t xml:space="preserve">[retimed]</t>
      </text>
    </comment>
    <comment authorId="0" ref="I7">
      <text>
        <t xml:space="preserve">bad gp end (need to practice it)</t>
      </text>
    </comment>
    <comment authorId="0" ref="ED3">
      <text>
        <t xml:space="preserve">Runs must not use the hyper-hover glitch (manipulating memory to get a speed-boost when collecting the hover nozzle).</t>
      </text>
    </comment>
    <comment authorId="0" ref="AO6">
      <text>
        <t xml:space="preserve">bad 1st, good 2nd and 3rd, shit ending</t>
      </text>
    </comment>
    <comment authorId="0" ref="AQ6">
      <text>
        <t xml:space="preserve">slow strats done slowly</t>
      </text>
    </comment>
    <comment authorId="0" ref="AR6">
      <text>
        <t xml:space="preserve">easier version of fast</t>
      </text>
    </comment>
    <comment authorId="0" ref="M7">
      <text>
        <t xml:space="preserve">rocket strats</t>
      </text>
    </comment>
    <comment authorId="0" ref="N7">
      <text>
        <t xml:space="preserve">no spinslide</t>
      </text>
    </comment>
    <comment authorId="0" ref="AV6">
      <text>
        <t xml:space="preserve">slow nut, kinda slow hover</t>
      </text>
    </comment>
    <comment authorId="0" ref="AW6">
      <text>
        <t xml:space="preserve">14.81 is my best shine spawn</t>
      </text>
    </comment>
    <comment authorId="0" ref="T7">
      <text>
        <t xml:space="preserve">rta strat
</t>
      </text>
    </comment>
    <comment authorId="0" ref="X139">
      <text>
        <t xml:space="preserve">[dead link] https://clips.twitch.tv/NimbleAltruisticDragonHeyGirl</t>
      </text>
    </comment>
    <comment authorId="0" ref="AG139">
      <text>
        <t xml:space="preserve">[dead link] https://clips.twitch.tv/BlushingYummyAlmondTooSpicy</t>
      </text>
    </comment>
    <comment authorId="0" ref="BI6">
      <text>
        <t xml:space="preserve">nice</t>
      </text>
    </comment>
    <comment authorId="0" ref="BK6">
      <text>
        <t xml:space="preserve">1:22.34 = 2:00.00 segment</t>
      </text>
    </comment>
    <comment authorId="0" ref="A8">
      <text>
        <t xml:space="preserve">Bronze medal champ Keepo</t>
      </text>
    </comment>
    <comment authorId="0" ref="BL6">
      <text>
        <t xml:space="preserve">cancer strat</t>
      </text>
    </comment>
    <comment authorId="0" ref="BO6">
      <text>
        <t xml:space="preserve">1:30</t>
      </text>
    </comment>
    <comment authorId="0" ref="BP6">
      <text>
        <t xml:space="preserve">all luck no skill</t>
      </text>
    </comment>
    <comment authorId="0" ref="BR6">
      <text>
        <t xml:space="preserve">[retimed]</t>
      </text>
    </comment>
    <comment authorId="0" ref="DA137">
      <text>
        <t xml:space="preserve">partial video: https://clips.twitch.tv/DignifiedVivaciousGorillaSmoocherZ-ohPvjC64azwQ2lQZ</t>
      </text>
    </comment>
    <comment authorId="0" ref="BS6">
      <text>
        <t xml:space="preserve">15.41 Entry
32.73 Secret</t>
      </text>
    </comment>
    <comment authorId="0" ref="BV6">
      <text>
        <t xml:space="preserve">RTA strats</t>
      </text>
    </comment>
    <comment authorId="0" ref="AU139">
      <text>
        <t xml:space="preserve">[dead link] https://youtu.be/jamgdSmRRVU</t>
      </text>
    </comment>
    <comment authorId="0" ref="DB5">
      <text>
        <t xml:space="preserve">RTA pb 2:18.11
</t>
      </text>
    </comment>
    <comment authorId="0" ref="M8">
      <text>
        <t xml:space="preserve">[retimed]</t>
      </text>
    </comment>
    <comment authorId="0" ref="BX6">
      <text>
        <t xml:space="preserve">1 cycle skip, bad fruit getting
actual good IL (no cycle skips) - https://youtu.be/L54ktCBVHuI
BESTS
Casino Entry - 15.99
Fight Entry - 21.05
1st hit - 46.76 (theoretical 46.16)
2nd fruit hit - 
3rd fruit hit - </t>
      </text>
    </comment>
    <comment authorId="0" ref="P8">
      <text>
        <t xml:space="preserve">got like 10 of these, no 16 flat in sight</t>
      </text>
    </comment>
    <comment authorId="0" ref="BC139">
      <text>
        <t xml:space="preserve">[dead link] https://youtu.be/irDAP9ZPilE</t>
      </text>
    </comment>
    <comment authorId="0" ref="CE6">
      <text>
        <t xml:space="preserve">bad</t>
      </text>
    </comment>
    <comment authorId="0" ref="AZ7">
      <text>
        <t xml:space="preserve">turbo route</t>
      </text>
    </comment>
    <comment authorId="0" ref="BF139">
      <text>
        <t xml:space="preserve">[dead link] https://www.twitch.tv/videos/212280031</t>
      </text>
    </comment>
    <comment authorId="0" ref="CH6">
      <text>
        <t xml:space="preserve">11.40 wk
19.41 spring grab
7.81 ending
0x grimd
</t>
      </text>
    </comment>
    <comment authorId="0" ref="X8">
      <text>
        <t xml:space="preserve">RTA strats ftw</t>
      </text>
    </comment>
    <comment authorId="0" ref="CJ6">
      <text>
        <t xml:space="preserve">.20 on entry, very bad first bait
CONVERSION FROM INSIDE ONLY
+13.37 for 12.47 entry or
entry + 0.9</t>
      </text>
    </comment>
    <comment authorId="0" ref="AB8">
      <text>
        <t xml:space="preserve">all around average</t>
      </text>
    </comment>
    <comment authorId="0" ref="CM6">
      <text>
        <t xml:space="preserve">Galapagos
20.75 Entry</t>
      </text>
    </comment>
    <comment authorId="0" ref="CN6">
      <text>
        <t xml:space="preserve">RTA Green Cycle PB = 30.67</t>
      </text>
    </comment>
    <comment authorId="0" ref="AE8">
      <text>
        <t xml:space="preserve">best time with jumping over the sub 1:38.05</t>
      </text>
    </comment>
    <comment authorId="0" ref="DV5">
      <text>
        <t xml:space="preserve">NTSC-J shine spawn cutscene was retimed to the length of an NTSC-U one
really good</t>
      </text>
    </comment>
    <comment authorId="0" ref="BM7">
      <text>
        <t xml:space="preserve">[retimed] (load sgt retimed to loadless sgt)
started from inside the park</t>
      </text>
    </comment>
    <comment authorId="0" ref="BP7">
      <text>
        <t xml:space="preserve">level sucks so no video for now</t>
      </text>
    </comment>
    <comment authorId="0" ref="AK8">
      <text>
        <t xml:space="preserve">1s pre crane
2-3s crane
crane-&gt;tower could be optimized
solid ending minus no jump dive shine grab</t>
      </text>
    </comment>
    <comment authorId="0" ref="BU139">
      <text>
        <t xml:space="preserve">[dead link] https://youtu.be/wZbYRzffCmk</t>
      </text>
    </comment>
    <comment authorId="0" ref="BR7">
      <text>
        <t xml:space="preserve">done on new codes</t>
      </text>
    </comment>
    <comment authorId="0" ref="AM8">
      <text>
        <t xml:space="preserve">pretty meh other than ending
best entry is 18.94</t>
      </text>
    </comment>
    <comment authorId="0" ref="I9">
      <text>
        <t xml:space="preserve">first 1:17, that's somethin</t>
      </text>
    </comment>
    <comment authorId="0" ref="J9">
      <text>
        <t xml:space="preserve">terrible entry</t>
      </text>
    </comment>
    <comment authorId="0" ref="CZ6">
      <text>
        <t xml:space="preserve">[retimed]
20.23 entry + 26.93 secret</t>
      </text>
    </comment>
    <comment authorId="0" ref="BU7">
      <text>
        <t xml:space="preserve">inside poggers
</t>
      </text>
    </comment>
    <comment authorId="0" ref="DA6">
      <text>
        <t xml:space="preserve">PB w/out early man =  51.45</t>
      </text>
    </comment>
    <comment authorId="0" ref="BV7">
      <text>
        <t xml:space="preserve">no butt</t>
      </text>
    </comment>
    <comment authorId="0" ref="DB6">
      <text>
        <t xml:space="preserve">worst 2:18 of all time
</t>
      </text>
    </comment>
    <comment authorId="0" ref="M9">
      <text>
        <t xml:space="preserve">best pattern 1 tornado</t>
      </text>
    </comment>
    <comment authorId="0" ref="N9">
      <text>
        <t xml:space="preserve">input display minimized again, i am a clown
b6e: [28.02](https://youtu.be/hz2unkDO8uk)</t>
      </text>
    </comment>
    <comment authorId="0" ref="O9">
      <text>
        <t xml:space="preserve">this is aight, think .8x or lower is possible</t>
      </text>
    </comment>
    <comment authorId="0" ref="AV8">
      <text>
        <t xml:space="preserve">yossy spot + roof throw</t>
      </text>
    </comment>
    <comment authorId="0" ref="AX8">
      <text>
        <t xml:space="preserve">lost 1 frame to FYG in straight forward section, saved 1 frame on the y-turn(saved a few more on other attempts here)</t>
      </text>
    </comment>
    <comment authorId="0" ref="S9">
      <text>
        <t xml:space="preserve">
</t>
      </text>
    </comment>
    <comment authorId="0" ref="DI6">
      <text>
        <t xml:space="preserve">42.54 SGT // 42.03 Mod retime
lost at least 2 frames to shine grab, despite only jumping 1 frame late. also lost a frame on movement to fludd</t>
      </text>
    </comment>
    <comment authorId="0" ref="CJ7">
      <text>
        <t xml:space="preserve">fast 6 toog</t>
      </text>
    </comment>
    <comment authorId="0" ref="BE8">
      <text>
        <t xml:space="preserve">meh</t>
      </text>
    </comment>
    <comment authorId="0" ref="AA9">
      <text>
        <t xml:space="preserve">deleted old tweet that had the IL in it by accident, found the IL in my old segmented run from 2020 so the link is timestamped</t>
      </text>
    </comment>
    <comment authorId="0" ref="BG8">
      <text>
        <t xml:space="preserve">best grate flip with these strats 13.10
shoutouts to FYG for saving me from the misery of wr strats :)</t>
      </text>
    </comment>
    <comment authorId="0" ref="DR6">
      <text>
        <t xml:space="preserve">1:14.61 PB with hoberslides</t>
      </text>
    </comment>
    <comment authorId="0" ref="AC9">
      <text>
        <t xml:space="preserve">dead strat :'(</t>
      </text>
    </comment>
    <comment authorId="0" ref="DT6">
      <text>
        <t xml:space="preserve">12.44 JP PB - https://clips.twitch.tv/ShyHomelyConsoleTBTacoLeft
</t>
      </text>
    </comment>
    <comment authorId="0" ref="A10">
      <text>
        <t xml:space="preserve">retired</t>
      </text>
    </comment>
    <comment authorId="0" ref="DV6">
      <text>
        <t xml:space="preserve">bird strat fast</t>
      </text>
    </comment>
    <comment authorId="0" ref="CY139">
      <text>
        <t xml:space="preserve">[dead link] https://clips.twitch.tv/WanderingTalentedArugulaBrainSlug</t>
      </text>
    </comment>
    <comment authorId="0" ref="EA6">
      <text>
        <t xml:space="preserve">not good watch diddeh's pb</t>
      </text>
    </comment>
    <comment authorId="0" ref="ED6">
      <text>
        <t xml:space="preserve">got 6.42 with dive gp under shine</t>
      </text>
    </comment>
    <comment authorId="0" ref="J10">
      <text>
        <t xml:space="preserve">22.58 entry (best 22.48)
13.88 secret (dece)
</t>
      </text>
    </comment>
    <comment authorId="0" ref="K10">
      <text>
        <t xml:space="preserve">Triple jump PB: 14.16 (matches TAS)
https://www.youtube.com/watch?v=h3GaauXfeR4
</t>
      </text>
    </comment>
    <comment authorId="0" ref="DA7">
      <text>
        <t xml:space="preserve">no pink man skip 26.27: https://youtu.be/wx9LEtrePnw</t>
      </text>
    </comment>
    <comment authorId="0" ref="BV8">
      <text>
        <t xml:space="preserve">carried by platform skip
best without 48.73</t>
      </text>
    </comment>
    <comment authorId="0" ref="AR9">
      <text>
        <t xml:space="preserve">[retimed from full level]</t>
      </text>
    </comment>
    <comment authorId="0" ref="N10">
      <text>
        <t xml:space="preserve">1 11 09 RTA with low 40 secret strats
</t>
      </text>
    </comment>
    <comment authorId="0" ref="DI7">
      <text>
        <t xml:space="preserve">42.66 SGT // 42.14 Mod retime</t>
      </text>
    </comment>
    <comment authorId="0" ref="V10">
      <text>
        <t xml:space="preserve">i peaked</t>
      </text>
    </comment>
    <comment authorId="0" ref="X10">
      <text>
        <t xml:space="preserve">RTA strats </t>
      </text>
    </comment>
    <comment authorId="0" ref="CJ8">
      <text>
        <t xml:space="preserve">I post this video as a thank you for the diligence and persistence of the IL mod team!</t>
      </text>
    </comment>
    <comment authorId="0" ref="AA10">
      <text>
        <t xml:space="preserve">https://www.twitch.tv/videos/840944056
14.80
</t>
      </text>
    </comment>
    <comment authorId="0" ref="BH9">
      <text>
        <t xml:space="preserve">p6e: [18.41](https://youtu.be/ojwaS8H99bo)</t>
      </text>
    </comment>
    <comment authorId="0" ref="AC10">
      <text>
        <t xml:space="preserve">finally dude
</t>
      </text>
    </comment>
    <comment authorId="0" ref="AE10">
      <text>
        <t xml:space="preserve">yeah uh a team of hitmen is coming after this record idk what to do</t>
      </text>
    </comment>
    <comment authorId="0" ref="A11">
      <text>
        <t xml:space="preserve">We need to race aepi mun DM me when you read this
- akane December 8 2024
DM sent - Bani on December 24 2024
Now we need to race Any%, this is the official ritual for races now DM me
- akane 30 September 2025
DM sent - Bani on October 27 2025 </t>
      </text>
    </comment>
    <comment authorId="0" ref="AG10">
      <text>
        <t xml:space="preserve">14 is possible
</t>
      </text>
    </comment>
    <comment authorId="0" ref="CZ8">
      <text>
        <t xml:space="preserve">best entry 19.64</t>
      </text>
    </comment>
    <comment authorId="0" ref="AP10">
      <text>
        <t xml:space="preserve">bad oat wig</t>
      </text>
    </comment>
    <comment authorId="0" ref="AR10">
      <text>
        <t xml:space="preserve">[retimed from full level]</t>
      </text>
    </comment>
    <comment authorId="0" ref="M11">
      <text>
        <t xml:space="preserve">[retimed]</t>
      </text>
    </comment>
    <comment authorId="0" ref="AS10">
      <text>
        <t xml:space="preserve">1 </t>
      </text>
    </comment>
    <comment authorId="0" ref="DC8">
      <text>
        <t xml:space="preserve">rollout spam-spray strat</t>
      </text>
    </comment>
    <comment authorId="0" ref="DF8">
      <text>
        <t xml:space="preserve">when u grind for fluff it ain't happening, when you learn the hover strat u get a fluff Keepo</t>
      </text>
    </comment>
    <comment authorId="0" ref="AV10">
      <text>
        <t xml:space="preserve">roof throw, tree hug, yossy spot</t>
      </text>
    </comment>
    <comment authorId="0" ref="DI8">
      <text>
        <t xml:space="preserve">masochist IL :)</t>
      </text>
    </comment>
    <comment authorId="0" ref="AY10">
      <text>
        <t xml:space="preserve">1 </t>
      </text>
    </comment>
    <comment authorId="0" ref="BD10">
      <text>
        <t xml:space="preserve">JP Speedruns is the ultimate ILer. I am actually invincble. Step up to him to get your butt kicked. I recorded this record within 1 minute. </t>
      </text>
    </comment>
    <comment authorId="0" ref="BE10">
      <text>
        <t xml:space="preserve">clip loses year</t>
      </text>
    </comment>
    <comment authorId="0" ref="BF10">
      <text>
        <t xml:space="preserve">53.01 – https://www.youtube.com/watch?v=oqAI1AnVGTw</t>
      </text>
    </comment>
    <comment authorId="0" ref="AA11">
      <text>
        <t xml:space="preserve">hampter</t>
      </text>
    </comment>
    <comment authorId="0" ref="DT8">
      <text>
        <t xml:space="preserve">bad spin-&gt;clip</t>
      </text>
    </comment>
    <comment authorId="0" ref="BJ10">
      <text>
        <t xml:space="preserve">48.54 entry
27.67 secret
</t>
      </text>
    </comment>
    <comment authorId="0" ref="DV8">
      <text>
        <t xml:space="preserve">NTSC-J shine spawn cutscene was retimed to the length of an NTSC-U one</t>
      </text>
    </comment>
    <comment authorId="0" ref="BM10">
      <text>
        <t xml:space="preserve">by far worst il </t>
      </text>
    </comment>
    <comment authorId="0" ref="BN10">
      <text>
        <t xml:space="preserve">pog</t>
      </text>
    </comment>
    <comment authorId="0" ref="BS10">
      <text>
        <t xml:space="preserve">2 try </t>
      </text>
    </comment>
    <comment authorId="0" ref="BU10">
      <text>
        <t xml:space="preserve">during prac</t>
      </text>
    </comment>
    <comment authorId="0" ref="BV10">
      <text>
        <t xml:space="preserve">i hn this IL</t>
      </text>
    </comment>
    <comment authorId="0" ref="BW10">
      <text>
        <t xml:space="preserve">23.08 first buttslide only
meme il  </t>
      </text>
    </comment>
    <comment authorId="0" ref="M12">
      <text>
        <t xml:space="preserve">best pattern 1 tornado
21.59 entry
missed shinegrab (lost .72)</t>
      </text>
    </comment>
    <comment authorId="0" ref="BX10">
      <text>
        <t xml:space="preserve">in fast any%</t>
      </text>
    </comment>
    <comment authorId="0" ref="BY10">
      <text>
        <t xml:space="preserve">fuck </t>
      </text>
    </comment>
    <comment authorId="0" ref="BZ10">
      <text>
        <t xml:space="preserve">just a worse IL than ntscu/pal</t>
      </text>
    </comment>
    <comment authorId="0" ref="CD10">
      <text>
        <t xml:space="preserve">terrrrrible</t>
      </text>
    </comment>
    <comment authorId="0" ref="CG10">
      <text>
        <t xml:space="preserve">kinda pogging ngl
update: no longer pogging</t>
      </text>
    </comment>
    <comment authorId="0" ref="CH10">
      <text>
        <t xml:space="preserve">bop'd fech
update: no longer bop'd fech 
best spring grab: 19.53</t>
      </text>
    </comment>
    <comment authorId="0" ref="X12">
      <text>
        <t xml:space="preserve">no box triple</t>
      </text>
    </comment>
    <comment authorId="0" ref="CI10">
      <text>
        <t xml:space="preserve">1st 41!</t>
      </text>
    </comment>
    <comment authorId="0" ref="CM10">
      <text>
        <t xml:space="preserve">21.43 entry (trash)
28.64 secret (dece)
</t>
      </text>
    </comment>
    <comment authorId="0" ref="DS9">
      <text>
        <t xml:space="preserve">most scuffed ending ever</t>
      </text>
    </comment>
    <comment authorId="0" ref="CN10">
      <text>
        <t xml:space="preserve">Galapagos PB : 29.65
Old nail : 28.98</t>
      </text>
    </comment>
    <comment authorId="0" ref="DT9">
      <text>
        <t xml:space="preserve">no sideflip</t>
      </text>
    </comment>
    <comment authorId="0" ref="CO10">
      <text>
        <t xml:space="preserve">video is 15.55 [retimed]</t>
      </text>
    </comment>
    <comment authorId="0" ref="BK11">
      <text>
        <t xml:space="preserve">1:16.15 1-stu, 1-pound (rta): https://youtu.be/Bv90oc-1vaw
1:19.91 2-stu: https://youtu.be/k-swtnuJ_2M</t>
      </text>
    </comment>
    <comment authorId="0" ref="DX9">
      <text>
        <t xml:space="preserve">Please read video description</t>
      </text>
    </comment>
    <comment authorId="0" ref="CV10">
      <text>
        <t xml:space="preserve">Good 2nd, bad 3rd: 45.76
https://www.youtube.com/watch?v=cnudVMx3oso
Bad 2nd, good 3rd: 45.49 https://www.youtube.com/watch?v=1tOXuyPxw_I
</t>
      </text>
    </comment>
    <comment authorId="0" ref="CZ142">
      <text>
        <t xml:space="preserve">fastest cycle but i choked ending really really bad 1:16 best without getting fastest cycle
</t>
      </text>
    </comment>
    <comment authorId="0" ref="CW10">
      <text>
        <t xml:space="preserve">i amdit it. the 12.54 was chaeted. i justc cnat fuckogn pb in this il</t>
      </text>
    </comment>
    <comment authorId="0" ref="CY10">
      <text>
        <t xml:space="preserve">chmpo student</t>
      </text>
    </comment>
    <comment authorId="0" ref="BT11">
      <text>
        <t xml:space="preserve">completely RTA</t>
      </text>
    </comment>
    <comment authorId="0" ref="CZ10">
      <text>
        <t xml:space="preserve">1 try</t>
      </text>
    </comment>
    <comment authorId="0" ref="DA10">
      <text>
        <t xml:space="preserve">49.94 no early</t>
      </text>
    </comment>
    <comment authorId="0" ref="L13">
      <text>
        <t xml:space="preserve">~20m grind</t>
      </text>
    </comment>
    <comment authorId="0" ref="DB10">
      <text>
        <t xml:space="preserve">
2:16.89 - https://www.youtube.com/watch?v=-6QiabyaGAo</t>
      </text>
    </comment>
    <comment authorId="0" ref="DC10">
      <text>
        <t xml:space="preserve">[retimed]</t>
      </text>
    </comment>
    <comment authorId="0" ref="O13">
      <text>
        <t xml:space="preserve">best cube land 11.90</t>
      </text>
    </comment>
    <comment authorId="0" ref="DE10">
      <text>
        <t xml:space="preserve">Retimed since SGT does not stop on textboxes</t>
      </text>
    </comment>
    <comment authorId="0" ref="P13">
      <text>
        <t xml:space="preserve">wii</t>
      </text>
    </comment>
    <comment authorId="0" ref="DI10">
      <text>
        <t xml:space="preserve">42.70 SGT // 42.24 Mod retime</t>
      </text>
    </comment>
    <comment authorId="0" ref="X13">
      <text>
        <t xml:space="preserve">47.61 no vid</t>
      </text>
    </comment>
    <comment authorId="0" ref="DR10">
      <text>
        <t xml:space="preserve">prev pb 1 16 97 
https://youtu.be/3bbDNNKJW20</t>
      </text>
    </comment>
    <comment authorId="0" ref="BK12">
      <text>
        <t xml:space="preserve">2 stu jp</t>
      </text>
    </comment>
    <comment authorId="0" ref="A14">
      <text>
        <t xml:space="preserve">top 10 oh yeah baby swag
7.5k!!!
peep my gbs
Whichever mod reads and responds to this first is peepoCute
yo
</t>
      </text>
    </comment>
    <comment authorId="0" ref="AG13">
      <text>
        <t xml:space="preserve">x40</t>
      </text>
    </comment>
    <comment authorId="0" ref="AH13">
      <text>
        <t xml:space="preserve">best 2nd nozzle 18.85</t>
      </text>
    </comment>
    <comment authorId="0" ref="EC10">
      <text>
        <t xml:space="preserve">1 attempt
</t>
      </text>
    </comment>
    <comment authorId="0" ref="BS12">
      <text>
        <t xml:space="preserve">no gwk/boo bounce</t>
      </text>
    </comment>
    <comment authorId="0" ref="I14">
      <text>
        <t xml:space="preserve">Kinda peepopogchampcute at right side wallkicks now, def harder than left side still
27.88 entry (best: 27.65)
49.86 fight? (best: 49.50)</t>
      </text>
    </comment>
    <comment authorId="0" ref="BT12">
      <text>
        <t xml:space="preserve">no gwk</t>
      </text>
    </comment>
    <comment authorId="0" ref="J14">
      <text>
        <t xml:space="preserve">21.84 entry 13.90 secret
best entry is 21.84</t>
      </text>
    </comment>
    <comment authorId="0" ref="BV12">
      <text>
        <t xml:space="preserve">15.92 casino entry
25.46 secret entry
double buttslide</t>
      </text>
    </comment>
    <comment authorId="0" ref="M14">
      <text>
        <t xml:space="preserve">2nd best no nado</t>
      </text>
    </comment>
    <comment authorId="0" ref="DC11">
      <text>
        <t xml:space="preserve">fake videoless 17.96's </t>
      </text>
    </comment>
    <comment authorId="0" ref="P14">
      <text>
        <t xml:space="preserve">finally man</t>
      </text>
    </comment>
    <comment authorId="0" ref="Q14">
      <text>
        <t xml:space="preserve">oh fuck ya buddy
</t>
      </text>
    </comment>
    <comment authorId="0" ref="S14">
      <text>
        <t xml:space="preserve">Cool IL :)</t>
      </text>
    </comment>
    <comment authorId="0" ref="DI11">
      <text>
        <t xml:space="preserve">42.68 SGT // 42.16 Mod retime</t>
      </text>
    </comment>
    <comment authorId="0" ref="BB13">
      <text>
        <t xml:space="preserve">i dont understand why this level never goes well in rta no matter what strat i do im suffering trying to get runs out of pinna because of this level god please save me</t>
      </text>
    </comment>
    <comment authorId="0" ref="CH12">
      <text>
        <t xml:space="preserve">no fast spring throw
11.61 wk
19.85 spring grab</t>
      </text>
    </comment>
    <comment authorId="0" ref="X14">
      <text>
        <t xml:space="preserve">17.97 entry (Best 17.91)
lost like .4 to my best fight
check fyg's note for elderly sage advice
holy shit i have a 49.66 i deleted why dont i fucking upload PBs if they dont get me points AHHHH
</t>
      </text>
    </comment>
    <comment authorId="0" ref="DR143">
      <text>
        <t xml:space="preserve">decent fast corona PB, maybe now this will put an end to our world tragety lo!</t>
      </text>
    </comment>
    <comment authorId="0" ref="AA14">
      <text>
        <t xml:space="preserve">Double Jump PB 14.31</t>
      </text>
    </comment>
    <comment authorId="0" ref="AC14">
      <text>
        <t xml:space="preserve">peepoGiggle @ jer</t>
      </text>
    </comment>
    <comment authorId="0" ref="DV11">
      <text>
        <t xml:space="preserve">NTSC-J shine spawn cutscene was retimed to the length of an NTSC-U one
</t>
      </text>
    </comment>
    <comment authorId="0" ref="BL13">
      <text>
        <t xml:space="preserve">cucking</t>
      </text>
    </comment>
    <comment authorId="0" ref="AG14">
      <text>
        <t xml:space="preserve">shoutouts to inkstar frfr
</t>
      </text>
    </comment>
    <comment authorId="0" ref="AH14">
      <text>
        <t xml:space="preserve">now with sound!</t>
      </text>
    </comment>
    <comment authorId="0" ref="DZ11">
      <text>
        <t xml:space="preserve">hover (rta) 31.48: https://youtu.be/VH_DzK6HB_M</t>
      </text>
    </comment>
    <comment authorId="0" ref="BR13">
      <text>
        <t xml:space="preserve">bitchass</t>
      </text>
    </comment>
    <comment authorId="0" ref="I15">
      <text>
        <t xml:space="preserve">best 1:18 of all time</t>
      </text>
    </comment>
    <comment authorId="0" ref="J15">
      <text>
        <t xml:space="preserve">30 dicks</t>
      </text>
    </comment>
    <comment authorId="0" ref="L15">
      <text>
        <t xml:space="preserve">missed up the RX hober</t>
      </text>
    </comment>
    <comment authorId="0" ref="BW13">
      <text>
        <t xml:space="preserve">~2m</t>
      </text>
    </comment>
    <comment authorId="0" ref="M15">
      <text>
        <t xml:space="preserve">[retimed] best pattern, 1 nado</t>
      </text>
    </comment>
    <comment authorId="0" ref="P15">
      <text>
        <t xml:space="preserve">15 is impossible</t>
      </text>
    </comment>
    <comment authorId="0" ref="AV14">
      <text>
        <t xml:space="preserve">Orange Strat POG
Limit is 24.8x imo
idk if insta backflip is faster than this clip</t>
      </text>
    </comment>
    <comment authorId="0" ref="AW14">
      <text>
        <t xml:space="preserve">frickin gelato 6</t>
      </text>
    </comment>
    <comment authorId="0" ref="DI12">
      <text>
        <t xml:space="preserve">42.69 // 42.19 Mod retime
6.52 fludd entry: https://youtu.be/HsE6IqQHe68 (pb gets 6.55)
bad unlock (loses 5f to wr)
plant fight saves 1f on wr
gp saves 1f on wr</t>
      </text>
    </comment>
    <comment authorId="0" ref="DM12">
      <text>
        <t xml:space="preserve">emu (sry for no audio)</t>
      </text>
    </comment>
    <comment authorId="0" ref="CH13">
      <text>
        <t xml:space="preserve">best wall kick 10.21
best spring grab 19.31</t>
      </text>
    </comment>
    <comment authorId="0" ref="BC14">
      <text>
        <t xml:space="preserve">me have unrecorded 41.70 cry</t>
      </text>
    </comment>
    <comment authorId="0" ref="X15">
      <text>
        <t xml:space="preserve">idk if I lost time with my weird tentacle pull</t>
      </text>
    </comment>
    <comment authorId="0" ref="BD14">
      <text>
        <t xml:space="preserve">[retimed]
Tied World Record in full level???
with hover meme run
https://www.youtube.com/watch?v=8nbhwQK0IUk&amp;ab_channel=frededish
</t>
      </text>
    </comment>
    <comment authorId="0" ref="CJ13">
      <text>
        <t xml:space="preserve">1:25:52</t>
      </text>
    </comment>
    <comment authorId="0" ref="BH14">
      <text>
        <t xml:space="preserve">unrecorded pb 45.14
</t>
      </text>
    </comment>
    <comment authorId="0" ref="BI14">
      <text>
        <t xml:space="preserve">Lets goooooooOooooO00o0o0oOO
</t>
      </text>
    </comment>
    <comment authorId="0" ref="CO13">
      <text>
        <t xml:space="preserve">im so quirky omg haha i love ke$ha</t>
      </text>
    </comment>
    <comment authorId="0" ref="BJ14">
      <text>
        <t xml:space="preserve">stupiddoodoobad secret</t>
      </text>
    </comment>
    <comment authorId="0" ref="AF15">
      <text>
        <t xml:space="preserve">I wanted points</t>
      </text>
    </comment>
    <comment authorId="0" ref="A16">
      <text>
        <t xml:space="preserve">retired</t>
      </text>
    </comment>
    <comment authorId="0" ref="BO14">
      <text>
        <t xml:space="preserve">nearly optimal amount of waiting
first 1:30 dont u ever fucking forget</t>
      </text>
    </comment>
    <comment authorId="0" ref="CV13">
      <text>
        <t xml:space="preserve">accidental wr gg</t>
      </text>
    </comment>
    <comment authorId="0" ref="I16">
      <text>
        <t xml:space="preserve">18</t>
      </text>
    </comment>
    <comment authorId="0" ref="BS14">
      <text>
        <t xml:space="preserve">Actually good!</t>
      </text>
    </comment>
    <comment authorId="0" ref="BT14">
      <text>
        <t xml:space="preserve">33 hard</t>
      </text>
    </comment>
    <comment authorId="0" ref="CY13">
      <text>
        <t xml:space="preserve">doggy style</t>
      </text>
    </comment>
    <comment authorId="0" ref="K16">
      <text>
        <t xml:space="preserve">pog</t>
      </text>
    </comment>
    <comment authorId="0" ref="BU14">
      <text>
        <t xml:space="preserve">hot dog</t>
      </text>
    </comment>
    <comment authorId="0" ref="AQ15">
      <text>
        <t xml:space="preserve">beat tha switchmaster limit :o</t>
      </text>
    </comment>
    <comment authorId="0" ref="AR15">
      <text>
        <t xml:space="preserve">[retimed from full level]</t>
      </text>
    </comment>
    <comment authorId="0" ref="BX14">
      <text>
        <t xml:space="preserve">fuck :middle_finger: you fyg
[retimed]</t>
      </text>
    </comment>
    <comment authorId="0" ref="AS15">
      <text>
        <t xml:space="preserve">former welly relly</t>
      </text>
    </comment>
    <comment authorId="0" ref="CA14">
      <text>
        <t xml:space="preserve">21 is free</t>
      </text>
    </comment>
    <comment authorId="0" ref="AV15">
      <text>
        <t xml:space="preserve">dutchj spray + yossy spot</t>
      </text>
    </comment>
    <comment authorId="0" ref="DI13">
      <text>
        <t xml:space="preserve">42.70 SGT // 42.13 Mod retime</t>
      </text>
    </comment>
    <comment authorId="0" ref="U16">
      <text>
        <t xml:space="preserve">want record but this shine kinda boring tbh tbh tbh</t>
      </text>
    </comment>
    <comment authorId="0" ref="CG14">
      <text>
        <t xml:space="preserve">lets fucking goooo</t>
      </text>
    </comment>
    <comment authorId="0" ref="CH14">
      <text>
        <t xml:space="preserve">best spring grab: 19:40
gotta learn the faster early spring throw
holy shit</t>
      </text>
    </comment>
    <comment authorId="0" ref="BC15">
      <text>
        <t xml:space="preserve">good entry, slow sec</t>
      </text>
    </comment>
    <comment authorId="0" ref="BE15">
      <text>
        <t xml:space="preserve">no mom spin</t>
      </text>
    </comment>
    <comment authorId="0" ref="BF15">
      <text>
        <t xml:space="preserve">I suk donkey dikk at these strats</t>
      </text>
    </comment>
    <comment authorId="0" ref="CL14">
      <text>
        <t xml:space="preserve">&lt;&lt;&lt;&lt; wow!</t>
      </text>
    </comment>
    <comment authorId="0" ref="A149">
      <text>
        <t xml:space="preserve">Trying to suck less at this game lol</t>
      </text>
    </comment>
    <comment authorId="0" ref="CM14">
      <text>
        <t xml:space="preserve">no ropes 55.74</t>
      </text>
    </comment>
    <comment authorId="0" ref="AC16">
      <text>
        <t xml:space="preserve">@ fred</t>
      </text>
    </comment>
    <comment authorId="0" ref="CN14">
      <text>
        <t xml:space="preserve">:)</t>
      </text>
    </comment>
    <comment authorId="0" ref="AD16">
      <text>
        <t xml:space="preserve">bad blooper and shine grab</t>
      </text>
    </comment>
    <comment authorId="0" ref="AE16">
      <text>
        <t xml:space="preserve">I'm terrible at this</t>
      </text>
    </comment>
    <comment authorId="0" ref="CO14">
      <text>
        <t xml:space="preserve">ayo?</t>
      </text>
    </comment>
    <comment authorId="0" ref="BK15">
      <text>
        <t xml:space="preserve">2-stu</t>
      </text>
    </comment>
    <comment authorId="0" ref="A17">
      <text>
        <t xml:space="preserve">some sunny day they're gonna come for you</t>
      </text>
    </comment>
    <comment authorId="0" ref="DV13">
      <text>
        <t xml:space="preserve">50.77 jp</t>
      </text>
    </comment>
    <comment authorId="0" ref="CQ14">
      <text>
        <t xml:space="preserve">i have 29.08 but i wouldnt get a point so ill leave this
note edit: I regret not uploading the 29.08, dont be like me</t>
      </text>
    </comment>
    <comment authorId="0" ref="AG16">
      <text>
        <t xml:space="preserve">actually, this is the worst SM shine</t>
      </text>
    </comment>
    <comment authorId="0" ref="CV14">
      <text>
        <t xml:space="preserve">41.20 Forgotten done on U/pal version https://www.youtube.com/watch?v=kvu97FX2j0I
</t>
      </text>
    </comment>
    <comment authorId="0" ref="BR15">
      <text>
        <t xml:space="preserve">retimed from urn</t>
      </text>
    </comment>
    <comment authorId="0" ref="H17">
      <text>
        <t xml:space="preserve">i'm garbo at this kinda thing so this got a big fist-pump from me :)</t>
      </text>
    </comment>
    <comment authorId="0" ref="EC13">
      <text>
        <t xml:space="preserve">literal 5m grind lol</t>
      </text>
    </comment>
    <comment authorId="0" ref="AN16">
      <text>
        <t xml:space="preserve">cool strat</t>
      </text>
    </comment>
    <comment authorId="0" ref="ED13">
      <text>
        <t xml:space="preserve">twr qft</t>
      </text>
    </comment>
    <comment authorId="0" ref="CY14">
      <text>
        <t xml:space="preserve">nice nice nice</t>
      </text>
    </comment>
    <comment authorId="0" ref="J17">
      <text>
        <t xml:space="preserve">standing on the shoulders of giants</t>
      </text>
    </comment>
    <comment authorId="0" ref="K17">
      <text>
        <t xml:space="preserve">wiggle strattin'
14.31 on normal strat video @ rta strat ils</t>
      </text>
    </comment>
    <comment authorId="0" ref="AP16">
      <text>
        <t xml:space="preserve">not a very interesting IL</t>
      </text>
    </comment>
    <comment authorId="0" ref="BU15">
      <text>
        <t xml:space="preserve">tied rimboto</t>
      </text>
    </comment>
    <comment authorId="0" ref="CZ14">
      <text>
        <t xml:space="preserve">20.15 entry, ~27.75 secret</t>
      </text>
    </comment>
    <comment authorId="0" ref="L17">
      <text>
        <t xml:space="preserve">still garbage inconsistent</t>
      </text>
    </comment>
    <comment authorId="0" ref="BV15">
      <text>
        <t xml:space="preserve">bad first butt so what</t>
      </text>
    </comment>
    <comment authorId="0" ref="DA14">
      <text>
        <t xml:space="preserve">PB on english text 27.08 (26.8x with jp textboxes)</t>
      </text>
    </comment>
    <comment authorId="0" ref="BW15">
      <text>
        <t xml:space="preserve">I still dont understand the last buttslide</t>
      </text>
    </comment>
    <comment authorId="0" ref="M17">
      <text>
        <t xml:space="preserve">video: https://d.tube/#!/v/shoutplenty00/AADb39pX3iNgb_HpE9Kp79DI_AsyLiHqL8kAAQvbFjXSZg
video missing 10s cos replay buffer was too small
._.</t>
      </text>
    </comment>
    <comment authorId="0" ref="BX15">
      <text>
        <t xml:space="preserve">took ages and never gave them back</t>
      </text>
    </comment>
    <comment authorId="0" ref="N17">
      <text>
        <t xml:space="preserve">mistakes were made</t>
      </text>
    </comment>
    <comment authorId="0" ref="DD14">
      <text>
        <t xml:space="preserve">peepocute peepoglad peepohappy peepoarrive peepodoggo peepopoggo peepologgo
peeposatisfied peeporelieved</t>
      </text>
    </comment>
    <comment authorId="0" ref="O17">
      <text>
        <t xml:space="preserve">this strat was a collab between lumardy, metacor and me. don't watch the ending</t>
      </text>
    </comment>
    <comment authorId="0" ref="AV16">
      <text>
        <t xml:space="preserve">bad
25 soon</t>
      </text>
    </comment>
    <comment authorId="0" ref="Q17">
      <text>
        <t xml:space="preserve">poorly aged ils</t>
      </text>
    </comment>
    <comment authorId="0" ref="CB15">
      <text>
        <t xml:space="preserve">any% practice!!</t>
      </text>
    </comment>
    <comment authorId="0" ref="S17">
      <text>
        <t xml:space="preserve">no sweaty cycle</t>
      </text>
    </comment>
    <comment authorId="0" ref="DI14">
      <text>
        <t xml:space="preserve">42.69 SGT // 42.20 QFT (Mod updated)</t>
      </text>
    </comment>
    <comment authorId="0" ref="U17">
      <text>
        <t xml:space="preserve">bit off more than i could chew here
blessed that this run innovated 2 strats used in the new wr (52.54) tho ^ - ^</t>
      </text>
    </comment>
    <comment authorId="0" ref="CG15">
      <text>
        <t xml:space="preserve">lost time on last bomb</t>
      </text>
    </comment>
    <comment authorId="0" ref="BC16">
      <text>
        <t xml:space="preserve">epic</t>
      </text>
    </comment>
    <comment authorId="0" ref="BD16">
      <text>
        <t xml:space="preserve">I love fech
first .4X omg</t>
      </text>
    </comment>
    <comment authorId="0" ref="CJ15">
      <text>
        <t xml:space="preserve">got this surprisingly fast :o</t>
      </text>
    </comment>
    <comment authorId="0" ref="AB17">
      <text>
        <t xml:space="preserve">blessed to get a solid run when the strats are this hard
(entry: 13.23, secret: 30.59)</t>
      </text>
    </comment>
    <comment authorId="0" ref="A150">
      <text>
        <t xml:space="preserve">Tu es un petit fromage
Je suis le grand fromage</t>
      </text>
    </comment>
    <comment authorId="0" ref="AC17">
      <text>
        <t xml:space="preserve">so... so you think you can tell</t>
      </text>
    </comment>
    <comment authorId="0" ref="DS14">
      <text>
        <t xml:space="preserve">cool IL minus goop</t>
      </text>
    </comment>
    <comment authorId="0" ref="AE17">
      <text>
        <t xml:space="preserve">minimum effort requirement ☑️</t>
      </text>
    </comment>
    <comment authorId="0" ref="BJ16">
      <text>
        <t xml:space="preserve">bad entry</t>
      </text>
    </comment>
    <comment authorId="0" ref="CO15">
      <text>
        <t xml:space="preserve">crongiest cring I ever crunged</t>
      </text>
    </comment>
    <comment authorId="0" ref="BK16">
      <text>
        <t xml:space="preserve">bruh, I wanna cry</t>
      </text>
    </comment>
    <comment authorId="0" ref="A18">
      <text>
        <t xml:space="preserve">⠀ ／l、
（ﾟ､ ｡７
⠀ l、ﾞ ~ヽ
⠀じしf_, )ノ
</t>
      </text>
    </comment>
    <comment authorId="0" ref="BL16">
      <text>
        <t xml:space="preserve">🙃</t>
      </text>
    </comment>
    <comment authorId="0" ref="BM16">
      <text>
        <t xml:space="preserve">I'll give you an advice... don't grind this level</t>
      </text>
    </comment>
    <comment authorId="0" ref="AH17">
      <text>
        <t xml:space="preserve">this il could do with a fumigation</t>
      </text>
    </comment>
    <comment authorId="0" ref="AI17">
      <text>
        <t xml:space="preserve">rta strat imo
patent pending.</t>
      </text>
    </comment>
    <comment authorId="0" ref="CT15">
      <text>
        <t xml:space="preserve">bonk-tastic ending</t>
      </text>
    </comment>
    <comment authorId="0" ref="BP16">
      <text>
        <t xml:space="preserve">all skill no luck</t>
      </text>
    </comment>
    <comment authorId="0" ref="AK17">
      <text>
        <t xml:space="preserve">on my day ones</t>
      </text>
    </comment>
    <comment authorId="0" ref="K150">
      <text>
        <t xml:space="preserve">Bianco 3 is the best level in the game, change my mind</t>
      </text>
    </comment>
    <comment authorId="0" ref="EB14">
      <text>
        <t xml:space="preserve">(moved from рachinko to right bell)
TY!</t>
      </text>
    </comment>
    <comment authorId="0" ref="BR16">
      <text>
        <t xml:space="preserve">Manta code v1.1
meh</t>
      </text>
    </comment>
    <comment authorId="0" ref="H18">
      <text>
        <t xml:space="preserve">crying</t>
      </text>
    </comment>
    <comment authorId="0" ref="L150">
      <text>
        <t xml:space="preserve">This is bad but number is hella clean so I like it :)
</t>
      </text>
    </comment>
    <comment authorId="0" ref="I18">
      <text>
        <t xml:space="preserve">worst IL</t>
      </text>
    </comment>
    <comment authorId="0" ref="EC14">
      <text>
        <t xml:space="preserve">had two runs that were 2nd place pace, one died to early gp, one died to bad rocket storage charge</t>
      </text>
    </comment>
    <comment authorId="0" ref="K18">
      <text>
        <t xml:space="preserve">[retimed]</t>
      </text>
    </comment>
    <comment authorId="0" ref="O150">
      <text>
        <t xml:space="preserve">how it feels to chew 5 gum </t>
      </text>
    </comment>
    <comment authorId="0" ref="DA15">
      <text>
        <t xml:space="preserve">bad last guy luck</t>
      </text>
    </comment>
    <comment authorId="0" ref="BV16">
      <text>
        <t xml:space="preserve">awful entry</t>
      </text>
    </comment>
    <comment authorId="0" ref="L18">
      <text>
        <t xml:space="preserve">i'm pogging</t>
      </text>
    </comment>
    <comment authorId="0" ref="M18">
      <text>
        <t xml:space="preserve">[retimed]</t>
      </text>
    </comment>
    <comment authorId="0" ref="AS17">
      <text>
        <t xml:space="preserve">obsoleted my oldest il peepoSad
i will miss my fren the 9.21 from april 2020 (https://youtu.be/ojsWGGzEugk)</t>
      </text>
    </comment>
    <comment authorId="0" ref="N18">
      <text>
        <t xml:space="preserve">good</t>
      </text>
    </comment>
    <comment authorId="0" ref="AT17">
      <text>
        <t xml:space="preserve">did the right number of swims * v *</t>
      </text>
    </comment>
    <comment authorId="0" ref="AU17">
      <text>
        <t xml:space="preserve">cojiro</t>
      </text>
    </comment>
    <comment authorId="0" ref="P18">
      <text>
        <t xml:space="preserve">yesss</t>
      </text>
    </comment>
    <comment authorId="0" ref="AV17">
      <text>
        <t xml:space="preserve">this hoverslide teleported in from my first month playing sms to cost me 0.7</t>
      </text>
    </comment>
    <comment authorId="0" ref="DG15">
      <text>
        <t xml:space="preserve">I SOOK part 2: The Sookening</t>
      </text>
    </comment>
    <comment authorId="0" ref="AW17">
      <text>
        <t xml:space="preserve">i weren't gonna vent
but what a turn of events</t>
      </text>
    </comment>
    <comment authorId="0" ref="V18">
      <text>
        <t xml:space="preserve">sloppy but this took forever to get </t>
      </text>
    </comment>
    <comment authorId="0" ref="CJ148">
      <text>
        <t xml:space="preserve">[retimed]</t>
      </text>
    </comment>
    <comment authorId="0" ref="BB17">
      <text>
        <t xml:space="preserve">ytal tech</t>
      </text>
    </comment>
    <comment authorId="0" ref="BC17">
      <text>
        <t xml:space="preserve">mole is swiss bank vault</t>
      </text>
    </comment>
    <comment authorId="0" ref="CH16">
      <text>
        <t xml:space="preserve">yes</t>
      </text>
    </comment>
    <comment authorId="0" ref="DM15">
      <text>
        <t xml:space="preserve">a hundred 15.60's later...</t>
      </text>
    </comment>
    <comment authorId="0" ref="BD17">
      <text>
        <t xml:space="preserve">fundies 🔥</t>
      </text>
    </comment>
    <comment authorId="0" ref="BE17">
      <text>
        <t xml:space="preserve">dpmo ahahaha</t>
      </text>
    </comment>
    <comment authorId="0" ref="Z18">
      <text>
        <t xml:space="preserve">finally</t>
      </text>
    </comment>
    <comment authorId="0" ref="BF17">
      <text>
        <t xml:space="preserve">chip shot thru the storm</t>
      </text>
    </comment>
    <comment authorId="0" ref="BG17">
      <text>
        <t xml:space="preserve">elegant strats, easy and fast. not sure if the beyblade is supposed to be by far the hardest part of the run however</t>
      </text>
    </comment>
    <comment authorId="0" ref="BI17">
      <text>
        <t xml:space="preserve">u wanna bounce in your whip with that real live shit, sound like it's straight from the motherfucking cassette</t>
      </text>
    </comment>
    <comment authorId="0" ref="AD18">
      <text>
        <t xml:space="preserve">#1 ricco hater blaze</t>
      </text>
    </comment>
    <comment authorId="0" ref="CO16">
      <text>
        <t xml:space="preserve">[retimed]</t>
      </text>
    </comment>
    <comment authorId="0" ref="AE18">
      <text>
        <t xml:space="preserve">very chill IL</t>
      </text>
    </comment>
    <comment authorId="0" ref="BO149">
      <text>
        <t xml:space="preserve">Mod deleted time: 1:05.35 with no video</t>
      </text>
    </comment>
    <comment authorId="0" ref="CQ16">
      <text>
        <t xml:space="preserve">killed birb .2 before record but wasn't under the shine :(</t>
      </text>
    </comment>
    <comment authorId="0" ref="BL17">
      <text>
        <t xml:space="preserve">11.03 is segmented pb</t>
      </text>
    </comment>
    <comment authorId="0" ref="BM17">
      <text>
        <t xml:space="preserve">two-and-done</t>
      </text>
    </comment>
    <comment authorId="0" ref="BO17">
      <text>
        <t xml:space="preserve">wholesome challenge run but shit speedrun. imagine bidding on your final time again and again for each attempt</t>
      </text>
    </comment>
    <comment authorId="0" ref="AJ18">
      <text>
        <t xml:space="preserve">90 minutes of playing
no audio again, i'm crying</t>
      </text>
    </comment>
    <comment authorId="0" ref="AN150">
      <text>
        <t xml:space="preserve">My 20.08 made plankton say I was better at him at this game
https://clips.twitch.tv/SassyRelatedPlumberKappaWealth-e-7gsC5bGWszVtkr</t>
      </text>
    </comment>
    <comment authorId="0" ref="AK18">
      <text>
        <t xml:space="preserve">will improve</t>
      </text>
    </comment>
    <comment authorId="0" ref="BR17">
      <text>
        <t xml:space="preserve">44 pink phase</t>
      </text>
    </comment>
    <comment authorId="0" ref="AM18">
      <text>
        <t xml:space="preserve">1st time hitting the fast strat full level</t>
      </text>
    </comment>
    <comment authorId="0" ref="BS17">
      <text>
        <t xml:space="preserve">allow it this hotel can go fucking enter itself</t>
      </text>
    </comment>
    <comment authorId="0" ref="J19">
      <text>
        <t xml:space="preserve">22.11 entry
dogshit ass secret</t>
      </text>
    </comment>
    <comment authorId="0" ref="AO18">
      <text>
        <t xml:space="preserve">I &lt;3 plungelos</t>
      </text>
    </comment>
    <comment authorId="0" ref="BT17">
      <text>
        <t xml:space="preserve">@everyone emulator when</t>
      </text>
    </comment>
    <comment authorId="0" ref="CY16">
      <text>
        <t xml:space="preserve">really good</t>
      </text>
    </comment>
    <comment authorId="0" ref="AP18">
      <text>
        <t xml:space="preserve">RTA pb is 1:11.56</t>
      </text>
    </comment>
    <comment authorId="0" ref="BV17">
      <text>
        <t xml:space="preserve">trial by ordeal</t>
      </text>
    </comment>
    <comment authorId="0" ref="M19">
      <text>
        <t xml:space="preserve">[retimed]
best pattern, no tornados
</t>
      </text>
    </comment>
    <comment authorId="0" ref="BX17">
      <text>
        <t xml:space="preserve">pineapple!?</t>
      </text>
    </comment>
    <comment authorId="0" ref="AT18">
      <text>
        <t xml:space="preserve">nice ending</t>
      </text>
    </comment>
    <comment authorId="0" ref="CA17">
      <text>
        <t xml:space="preserve">11.10 entry 🤷</t>
      </text>
    </comment>
    <comment authorId="0" ref="CB17">
      <text>
        <t xml:space="preserve">dolpic poster rollout blunder cost ~0.8</t>
      </text>
    </comment>
    <comment authorId="0" ref="AW18">
      <text>
        <t xml:space="preserve">get destroyed larvi</t>
      </text>
    </comment>
    <comment authorId="0" ref="R19">
      <text>
        <t xml:space="preserve">shitty turbo</t>
      </text>
    </comment>
    <comment authorId="0" ref="S19">
      <text>
        <t xml:space="preserve">cube clipping is not cool</t>
      </text>
    </comment>
    <comment authorId="0" ref="CC17">
      <text>
        <t xml:space="preserve">5th pianta skengman</t>
      </text>
    </comment>
    <comment authorId="0" ref="DI16">
      <text>
        <t xml:space="preserve">42.48 SGT // 42.03 Mod retime 
6.49 entry: https://youtu.be/DJ9Kjxaixc4</t>
      </text>
    </comment>
    <comment authorId="0" ref="CD17">
      <text>
        <t xml:space="preserve">pepped pep</t>
      </text>
    </comment>
    <comment authorId="0" ref="T19">
      <text>
        <t xml:space="preserve">51.77 turbo
https://clips.twitch.tv/AbstemiousCallousPieJKanStyle</t>
      </text>
    </comment>
    <comment authorId="0" ref="CG17">
      <text>
        <t xml:space="preserve">implemented by pep</t>
      </text>
    </comment>
    <comment authorId="0" ref="BD18">
      <text>
        <t xml:space="preserve">wow!!</t>
      </text>
    </comment>
    <comment authorId="0" ref="DO16">
      <text>
        <t xml:space="preserve">slow</t>
      </text>
    </comment>
    <comment authorId="0" ref="CJ17">
      <text>
        <t xml:space="preserve">slow and steady for now</t>
      </text>
    </comment>
    <comment authorId="0" ref="BE18">
      <text>
        <t xml:space="preserve">yay</t>
      </text>
    </comment>
    <comment authorId="0" ref="BI150">
      <text>
        <t xml:space="preserve">Did you know pinball machines cost like 6.5k+?
</t>
      </text>
    </comment>
    <comment authorId="0" ref="BF18">
      <text>
        <t xml:space="preserve">garbage trash shine</t>
      </text>
    </comment>
    <comment authorId="0" ref="CL17">
      <text>
        <t xml:space="preserve">alt 12.61 for poverty qfs – https://youtu.be/wFqZmBM0CfI</t>
      </text>
    </comment>
    <comment authorId="0" ref="A152">
      <text>
        <t xml:space="preserve">pianta 3 ILS suck!!! plan to get better at this game</t>
      </text>
    </comment>
    <comment authorId="0" ref="CM17">
      <text>
        <t xml:space="preserve">52 u dun kno!</t>
      </text>
    </comment>
    <comment authorId="0" ref="DS16">
      <text>
        <t xml:space="preserve">a</t>
      </text>
    </comment>
    <comment authorId="0" ref="CN17">
      <text>
        <t xml:space="preserve">flow</t>
      </text>
    </comment>
    <comment authorId="0" ref="CO17">
      <text>
        <t xml:space="preserve">instakill is suspiciously easy if you hit the opening... and that's not so hard either 🤔
metacorical movement: 15.57 (https://youtu.be/TOopvpfnb90)</t>
      </text>
    </comment>
    <comment authorId="0" ref="BJ18">
      <text>
        <t xml:space="preserve">great eyg slow secret</t>
      </text>
    </comment>
    <comment authorId="0" ref="CP17">
      <text>
        <t xml:space="preserve">always settle for less :)</t>
      </text>
    </comment>
    <comment authorId="0" ref="BL18">
      <text>
        <t xml:space="preserve">this strat isn't as bad as i thought</t>
      </text>
    </comment>
    <comment authorId="0" ref="CR17">
      <text>
        <t xml:space="preserve">i torboed</t>
      </text>
    </comment>
    <comment authorId="0" ref="BM18">
      <text>
        <t xml:space="preserve">bloons</t>
      </text>
    </comment>
    <comment authorId="0" ref="BN18">
      <text>
        <t xml:space="preserve">actually really fun</t>
      </text>
    </comment>
    <comment authorId="0" ref="CT17">
      <text>
        <t xml:space="preserve">invented a new shine grab 😌</t>
      </text>
    </comment>
    <comment authorId="0" ref="BP18">
      <text>
        <t xml:space="preserve">:O</t>
      </text>
    </comment>
    <comment authorId="0" ref="J152">
      <text>
        <t xml:space="preserve">one step closer to 38
</t>
      </text>
    </comment>
    <comment authorId="0" ref="CV17">
      <text>
        <t xml:space="preserve">шит</t>
      </text>
    </comment>
    <comment authorId="0" ref="K152">
      <text>
        <t xml:space="preserve">LETS GOOO I FINALLY GOT THE 2X !!!
(triple jump dive)</t>
      </text>
    </comment>
    <comment authorId="0" ref="CW17">
      <text>
        <t xml:space="preserve">simplified strats</t>
      </text>
    </comment>
    <comment authorId="0" ref="BR18">
      <text>
        <t xml:space="preserve">i'm bad at pink phase</t>
      </text>
    </comment>
    <comment authorId="0" ref="CX17">
      <text>
        <t xml:space="preserve">need to electroconvulse brain for another 4 hours to process the inputs after the gwkd
l+a, ↑, a (precise!), ↓, ↑, a&gt;x, r+c-tap, l+a&gt;x, a (short), r-digital, a, r-digital+a mash, stick-tilt, neutral, b</t>
      </text>
    </comment>
    <comment authorId="0" ref="CY17">
      <text>
        <t xml:space="preserve">touchy feely (i have no idea what is ticking)</t>
      </text>
    </comment>
    <comment authorId="0" ref="AO19">
      <text>
        <t xml:space="preserve">rocket</t>
      </text>
    </comment>
    <comment authorId="0" ref="J20">
      <text>
        <t xml:space="preserve">36.98 – https://www.youtube.com/watch?v=zyL_klqP_iY [partial video]</t>
      </text>
    </comment>
    <comment authorId="0" ref="CZ17">
      <text>
        <t xml:space="preserve">pretty fun at my level</t>
      </text>
    </comment>
    <comment authorId="0" ref="BU18">
      <text>
        <t xml:space="preserve">holy shmoly</t>
      </text>
    </comment>
    <comment authorId="0" ref="AP19">
      <text>
        <t xml:space="preserve">this strat sucks ass</t>
      </text>
    </comment>
    <comment authorId="0" ref="DA17">
      <text>
        <t xml:space="preserve">this run marks the day, 25/8/2022, that i reached 12th place</t>
      </text>
    </comment>
    <comment authorId="0" ref="BV18">
      <text>
        <t xml:space="preserve">best without platform skip is 47.98
best entries
hotel - 10.65 (TWR)
casino - 15.60 (WR)
secret - 24.71 (WR)
rta secret - 25.18 (WR)</t>
      </text>
    </comment>
    <comment authorId="0" ref="DB17">
      <text>
        <t xml:space="preserve">now bad rather than shit, still puttin in dat work</t>
      </text>
    </comment>
    <comment authorId="0" ref="BW18">
      <text>
        <t xml:space="preserve">best without platform skip is 21.47
best without super plat skip is 20.91</t>
      </text>
    </comment>
    <comment authorId="0" ref="M20">
      <text>
        <t xml:space="preserve">[retimed]</t>
      </text>
    </comment>
    <comment authorId="0" ref="DC17">
      <text>
        <t xml:space="preserve">i thought this was meant to be easy</t>
      </text>
    </comment>
    <comment authorId="0" ref="N20">
      <text>
        <t xml:space="preserve">1:07.79 – https://www.youtube.com/watch?v=cBQLwfFeehA</t>
      </text>
    </comment>
    <comment authorId="0" ref="BY18">
      <text>
        <t xml:space="preserve">credits to 1ups</t>
      </text>
    </comment>
    <comment authorId="0" ref="O20">
      <text>
        <t xml:space="preserve">privated link 
edit: (no longer private)
</t>
      </text>
    </comment>
    <comment authorId="0" ref="DF17">
      <text>
        <t xml:space="preserve">this ain't an rta strat, what u on about</t>
      </text>
    </comment>
    <comment authorId="0" ref="CA18">
      <text>
        <t xml:space="preserve">.01 behind best entry</t>
      </text>
    </comment>
    <comment authorId="0" ref="CC18">
      <text>
        <t xml:space="preserve">AUDIO RETURNS SOON</t>
      </text>
    </comment>
    <comment authorId="0" ref="DJ17">
      <text>
        <t xml:space="preserve">trick exhibition</t>
      </text>
    </comment>
    <comment authorId="0" ref="DK17">
      <text>
        <t xml:space="preserve">the coin 1 to 2 movement is artfully optimised in the wr</t>
      </text>
    </comment>
    <comment authorId="0" ref="Z152">
      <text>
        <t xml:space="preserve">2nd 18
</t>
      </text>
    </comment>
    <comment authorId="0" ref="DL17">
      <text>
        <t xml:space="preserve">reference run by despin (52.00): https://youtu.be/Z_LNmg9f-9U
</t>
      </text>
    </comment>
    <comment authorId="0" ref="DM17">
      <text>
        <t xml:space="preserve">pal disc, 9 mins of grinding (plus an hour or so learning the level last year)</t>
      </text>
    </comment>
    <comment authorId="0" ref="DN17">
      <text>
        <t xml:space="preserve">this il much easier 1 year later</t>
      </text>
    </comment>
    <comment authorId="0" ref="DO17">
      <text>
        <t xml:space="preserve">diy setup</t>
      </text>
    </comment>
    <comment authorId="0" ref="CJ18">
      <text>
        <t xml:space="preserve">favourite shine, eel needs more love
best entry - 12.39</t>
      </text>
    </comment>
    <comment authorId="0" ref="DP17">
      <text>
        <t xml:space="preserve">before today i had no idea u can pound stacks of boxes using only the L button</t>
      </text>
    </comment>
    <comment authorId="0" ref="BG19">
      <text>
        <t xml:space="preserve">trash</t>
      </text>
    </comment>
    <comment authorId="0" ref="DQ17">
      <text>
        <t xml:space="preserve">are you just a pounder of worthless boxes?</t>
      </text>
    </comment>
    <comment authorId="0" ref="DR17">
      <text>
        <t xml:space="preserve">mishun compree</t>
      </text>
    </comment>
    <comment authorId="0" ref="CM18">
      <text>
        <t xml:space="preserve">finally found the fun in this level :)</t>
      </text>
    </comment>
    <comment authorId="0" ref="DS17">
      <text>
        <t xml:space="preserve">shouts to the man like fred</t>
      </text>
    </comment>
    <comment authorId="0" ref="CN18">
      <text>
        <t xml:space="preserve">we're finally nail stratting</t>
      </text>
    </comment>
    <comment authorId="0" ref="DT17">
      <text>
        <t xml:space="preserve">disc drive noise for pause and mash for unpause loool</t>
      </text>
    </comment>
    <comment authorId="0" ref="CO18">
      <text>
        <t xml:space="preserve">it took like 20 15.53's to get this</t>
      </text>
    </comment>
    <comment authorId="0" ref="BJ19">
      <text>
        <t xml:space="preserve">45.29 entry
bad secret
</t>
      </text>
    </comment>
    <comment authorId="0" ref="CP18">
      <text>
        <t xml:space="preserve">the chillest of ILs
best entry - 12.39</t>
      </text>
    </comment>
    <comment authorId="0" ref="BK19">
      <text>
        <t xml:space="preserve">entry - 47.73
secret - 28.00</t>
      </text>
    </comment>
    <comment authorId="0" ref="DW17">
      <text>
        <t xml:space="preserve">engineered with shine displacement and despin's ideas</t>
      </text>
    </comment>
    <comment authorId="0" ref="DX17">
      <text>
        <t xml:space="preserve">first-ever wr 🥳</t>
      </text>
    </comment>
    <comment authorId="0" ref="DZ17">
      <text>
        <t xml:space="preserve">this strat is total trash (https://youtu.be/tDcNwiZdAd8)</t>
      </text>
    </comment>
    <comment authorId="0" ref="EA17">
      <text>
        <t xml:space="preserve">sms is literal casino genre</t>
      </text>
    </comment>
    <comment authorId="0" ref="CV18">
      <text>
        <t xml:space="preserve">misery
ntscu</t>
      </text>
    </comment>
    <comment authorId="0" ref="BT19">
      <text>
        <t xml:space="preserve">this shit is hard</t>
      </text>
    </comment>
    <comment authorId="0" ref="N153">
      <text>
        <t xml:space="preserve">okay entry, but im not doin GWKD secret and stuff</t>
      </text>
    </comment>
    <comment authorId="0" ref="CZ18">
      <text>
        <t xml:space="preserve">personal best entry</t>
      </text>
    </comment>
    <comment authorId="0" ref="M21">
      <text>
        <t xml:space="preserve">2nd best no tornado</t>
      </text>
    </comment>
    <comment authorId="0" ref="DC18">
      <text>
        <t xml:space="preserve">randomly decided to play this level and got this in under 2 minutes, insanity</t>
      </text>
    </comment>
    <comment authorId="0" ref="DE18">
      <text>
        <t xml:space="preserve">red coinage</t>
      </text>
    </comment>
    <comment authorId="0" ref="DF18">
      <text>
        <t xml:space="preserve">10/10 would fluffa grind again</t>
      </text>
    </comment>
    <comment authorId="0" ref="AV20">
      <text>
        <t xml:space="preserve">26.55 - https://clips.twitch.tv/ExuberantTenaciousDadNerfBlueBlaster</t>
      </text>
    </comment>
    <comment authorId="0" ref="CB19">
      <text>
        <t xml:space="preserve">rta strat wr</t>
      </text>
    </comment>
    <comment authorId="0" ref="DI18">
      <text>
        <t xml:space="preserve">don't play this IL, save yourself</t>
      </text>
    </comment>
    <comment authorId="0" ref="AY20">
      <text>
        <t xml:space="preserve">41.49 – https://clips.twitch.tv/SilkyVastEggMau5-LYhFe5HRY0ZpmuML</t>
      </text>
    </comment>
    <comment authorId="0" ref="DM150">
      <text>
        <t xml:space="preserve">JER IS A KING</t>
      </text>
    </comment>
    <comment authorId="0" ref="DM18">
      <text>
        <t xml:space="preserve">this took 30 minutes to get</t>
      </text>
    </comment>
    <comment authorId="0" ref="DN18">
      <text>
        <t xml:space="preserve">dumb stupid shine</t>
      </text>
    </comment>
    <comment authorId="0" ref="BE20">
      <text>
        <t xml:space="preserve">twitch clip w/ audio but frame drops: https://clips.twitch.tv/RudeEncouragingHawkDAESuppy</t>
      </text>
    </comment>
    <comment authorId="0" ref="DS18">
      <text>
        <t xml:space="preserve">my hands hurt from aggressively trying to rocket my way to victory</t>
      </text>
    </comment>
    <comment authorId="0" ref="DT18">
      <text>
        <t xml:space="preserve">dumb stupid shine 2</t>
      </text>
    </comment>
    <comment authorId="0" ref="CO19">
      <text>
        <t xml:space="preserve">144p gang</t>
      </text>
    </comment>
    <comment authorId="0" ref="A22">
      <text>
        <t xml:space="preserve">jcool you are going down 
</t>
      </text>
    </comment>
    <comment authorId="0" ref="DV18">
      <text>
        <t xml:space="preserve">this level is hard
ntsc-u</t>
      </text>
    </comment>
    <comment authorId="0" ref="CQ19">
      <text>
        <t xml:space="preserve">my best recorded time 30.69
https://clips.twitch.tv/AbstemiousAffluentLampRickroll</t>
      </text>
    </comment>
    <comment authorId="0" ref="AH21">
      <text>
        <t xml:space="preserve">Coconut clip
(55.55 RIP)</t>
      </text>
    </comment>
    <comment authorId="0" ref="DX18">
      <text>
        <t xml:space="preserve">better than right bell</t>
      </text>
    </comment>
    <comment authorId="0" ref="DY18">
      <text>
        <t xml:space="preserve">how do you do this faster</t>
      </text>
    </comment>
    <comment authorId="0" ref="DZ18">
      <text>
        <t xml:space="preserve">lilypad deluxe</t>
      </text>
    </comment>
    <comment authorId="0" ref="AK21">
      <text>
        <t xml:space="preserve">I need therapy after ILing this</t>
      </text>
    </comment>
    <comment authorId="0" ref="BU152">
      <text>
        <t xml:space="preserve">that feeling when I forget to add a audio source in obs
</t>
      </text>
    </comment>
    <comment authorId="0" ref="BS20">
      <text>
        <t xml:space="preserve">No brick skip</t>
      </text>
    </comment>
    <comment authorId="0" ref="BT20">
      <text>
        <t xml:space="preserve">No brick skip</t>
      </text>
    </comment>
    <comment authorId="0" ref="CZ19">
      <text>
        <t xml:space="preserve">27.83 secret</t>
      </text>
    </comment>
    <comment authorId="0" ref="DA19">
      <text>
        <t xml:space="preserve">fast text off</t>
      </text>
    </comment>
    <comment authorId="0" ref="BZ152">
      <text>
        <t xml:space="preserve">BLEH
</t>
      </text>
    </comment>
    <comment authorId="0" ref="BW20">
      <text>
        <t xml:space="preserve">21.47 - https://clips.twitch.tv/MistySuspiciousGarlicStoneLightning</t>
      </text>
    </comment>
    <comment authorId="0" ref="P22">
      <text>
        <t xml:space="preserve">mod note - unlinked 16.04 vid -https://clips.twitch.tv/TacitVainKangarooAsianGlow-7doodMdraZi0STF5</t>
      </text>
    </comment>
    <comment authorId="0" ref="DF19">
      <text>
        <t xml:space="preserve">credits to sid
</t>
      </text>
    </comment>
    <comment authorId="0" ref="CB20">
      <text>
        <t xml:space="preserve">With blue coin PB: 4:23.50</t>
      </text>
    </comment>
    <comment authorId="0" ref="CH152">
      <text>
        <t xml:space="preserve">coulda been 33 had I not gp early
</t>
      </text>
    </comment>
    <comment authorId="0" ref="AZ21">
      <text>
        <t xml:space="preserve">Retimed from RTA</t>
      </text>
    </comment>
    <comment authorId="0" ref="CJ20">
      <text>
        <t xml:space="preserve">1:29 possible</t>
      </text>
    </comment>
    <comment authorId="0" ref="AA22">
      <text>
        <t xml:space="preserve">https://clips.twitch.tv/CrazyCheerfulPanHotPokket-fjL47AQfJ9QffZvZ
14.81</t>
      </text>
    </comment>
    <comment authorId="0" ref="DR19">
      <text>
        <t xml:space="preserve">bad rocket ground pounds</t>
      </text>
    </comment>
    <comment authorId="0" ref="CN20">
      <text>
        <t xml:space="preserve">29.68 RTA strat</t>
      </text>
    </comment>
    <comment authorId="0" ref="BK21">
      <text>
        <t xml:space="preserve">3YG 1stu
1:48.82 with 5YG 2stu
1:28.92 with 3YG 2stu
</t>
      </text>
    </comment>
    <comment authorId="0" ref="DW19">
      <text>
        <t xml:space="preserve">normal beginning</t>
      </text>
    </comment>
    <comment authorId="0" ref="DX19">
      <text>
        <t xml:space="preserve">jp pb is 27.54
https://youtu.be/9IoI186O0t4</t>
      </text>
    </comment>
    <comment authorId="0" ref="CX152">
      <text>
        <t xml:space="preserve">bad level to do ILs for &gt;:(</t>
      </text>
    </comment>
    <comment authorId="0" ref="BP21">
      <text>
        <t xml:space="preserve">Not sure if this vido is valid, pls let me know</t>
      </text>
    </comment>
    <comment authorId="0" ref="DZ19">
      <text>
        <t xml:space="preserve">hover pb is 31.92</t>
      </text>
    </comment>
    <comment authorId="0" ref="CX20">
      <text>
        <t xml:space="preserve">[partial video] https://clips.twitch.tv/SaltyThoughtfulWeaselSSSsss</t>
      </text>
    </comment>
    <comment authorId="0" ref="CZ20">
      <text>
        <t xml:space="preserve">49.53 – https://clips.twitch.tv/AmusedPlausibleWaterDatBoi</t>
      </text>
    </comment>
    <comment authorId="0" ref="DA20">
      <text>
        <t xml:space="preserve">[mod note] fast text is not allowed on this level</t>
      </text>
    </comment>
    <comment authorId="0" ref="L23">
      <text>
        <t xml:space="preserve">comfy ending 42.80: https://youtu.be/LwdwEdZpxhs</t>
      </text>
    </comment>
    <comment authorId="0" ref="AU22">
      <text>
        <t xml:space="preserve">18.21 – https://clips.twitch.tv/CourageousSuperSeahorseDxCat-mLMscZXlbK5y_lvP</t>
      </text>
    </comment>
    <comment authorId="0" ref="P23">
      <text>
        <t xml:space="preserve">never again</t>
      </text>
    </comment>
    <comment authorId="0" ref="AV22">
      <text>
        <t xml:space="preserve">28.58 – https://www.twitch.tv/videos/1058017523</t>
      </text>
    </comment>
    <comment authorId="0" ref="AW22">
      <text>
        <t xml:space="preserve">this ones for urbani </t>
      </text>
    </comment>
    <comment authorId="0" ref="X23">
      <text>
        <t xml:space="preserve">47.58 normal sumi fight: https://youtu.be/LXClbNqqj2A</t>
      </text>
    </comment>
    <comment authorId="0" ref="CI21">
      <text>
        <t xml:space="preserve">Garbage IL</t>
      </text>
    </comment>
    <comment authorId="0" ref="Y23">
      <text>
        <t xml:space="preserve">30.16 inside only: https://youtu.be/shnKesqNhb4</t>
      </text>
    </comment>
    <comment authorId="0" ref="DQ20">
      <text>
        <t xml:space="preserve">I bonked</t>
      </text>
    </comment>
    <comment authorId="0" ref="CL21">
      <text>
        <t xml:space="preserve">Shoutout to the person from the early 2000s who did boat hop</t>
      </text>
    </comment>
    <comment authorId="0" ref="DR20">
      <text>
        <t xml:space="preserve">vid of 1:14.88:
https://youtu.be/HHacq_WBBy0</t>
      </text>
    </comment>
    <comment authorId="0" ref="AD23">
      <text>
        <t xml:space="preserve">52.30 non-early trigger https://youtu.be/8tBdz9jZ6Q8
53.05 no yolo slide https://youtu.be/UsuIF4nmvII</t>
      </text>
    </comment>
    <comment authorId="0" ref="BI22">
      <text>
        <t xml:space="preserve">27.85 – https://www.twitch.tv/videos/1051856678</t>
      </text>
    </comment>
    <comment authorId="0" ref="A24">
      <text>
        <t xml:space="preserve">Stop scrolling. Take this journey with me.</t>
      </text>
    </comment>
    <comment authorId="0" ref="DV20">
      <text>
        <t xml:space="preserve">NTSC-U saves .5 on shine spawn</t>
      </text>
    </comment>
    <comment authorId="0" ref="EA20">
      <text>
        <t xml:space="preserve">[dead link] https://clips.twitch.tv/LachrymoseInnocentDogeDerp</t>
      </text>
    </comment>
    <comment authorId="0" ref="DB153">
      <text>
        <t xml:space="preserve">with scrub strats
</t>
      </text>
    </comment>
    <comment authorId="0" ref="BV22">
      <text>
        <t xml:space="preserve">51.63 – https://www.twitch.tv/videos/1103238877</t>
      </text>
    </comment>
    <comment authorId="0" ref="M24">
      <text>
        <t xml:space="preserve">mod note: retimed by Zeldocto
"first medal lolol" - OrnateRope
</t>
      </text>
    </comment>
    <comment authorId="0" ref="DC21">
      <text>
        <t xml:space="preserve">Forgot to save the replay</t>
      </text>
    </comment>
    <comment authorId="0" ref="AV23">
      <text>
        <t xml:space="preserve">rawdog backflip</t>
      </text>
    </comment>
    <comment authorId="0" ref="X156">
      <text>
        <t xml:space="preserve">yay</t>
      </text>
    </comment>
    <comment authorId="0" ref="DK21">
      <text>
        <t xml:space="preserve">terrible</t>
      </text>
    </comment>
    <comment authorId="0" ref="DL21">
      <text>
        <t xml:space="preserve">terrible #2</t>
      </text>
    </comment>
    <comment authorId="0" ref="CI22">
      <text>
        <t xml:space="preserve">https://www.twitch.tv/videos/1133432782
clip does not include shine get</t>
      </text>
    </comment>
    <comment authorId="0" ref="BE23">
      <text>
        <t xml:space="preserve">32.88 no tip https://youtu.be/VM8_lqlADB0</t>
      </text>
    </comment>
    <comment authorId="0" ref="BF23">
      <text>
        <t xml:space="preserve">52.91 no early trigger https://youtu.be/BrYWarX8tuI</t>
      </text>
    </comment>
    <comment authorId="0" ref="BI23">
      <text>
        <t xml:space="preserve">17.35 ledgegrab, best ledgegrab 17.29: https://youtu.be/9-xCLZVHUbk</t>
      </text>
    </comment>
    <comment authorId="0" ref="DT21">
      <text>
        <t xml:space="preserve">NTSC-J</t>
      </text>
    </comment>
    <comment authorId="0" ref="BK23">
      <text>
        <t xml:space="preserve">1 pound 1 spin 1:18.32: https://youtu.be/CcVDWThATUM</t>
      </text>
    </comment>
    <comment authorId="0" ref="BL23">
      <text>
        <t xml:space="preserve">right side 12.28: https://youtu.be/groLCkV50c8</t>
      </text>
    </comment>
    <comment authorId="0" ref="CT22">
      <text>
        <t xml:space="preserve">hardest shine in the game bruh</t>
      </text>
    </comment>
    <comment authorId="0" ref="CW22">
      <text>
        <t xml:space="preserve">lets gooooooooooooooo</t>
      </text>
    </comment>
    <comment authorId="0" ref="BT23">
      <text>
        <t xml:space="preserve">no brick skip/buttslide 34.26: https://youtu.be/R5YCV-rEwyc</t>
      </text>
    </comment>
    <comment authorId="0" ref="L25">
      <text>
        <t xml:space="preserve">rta prac</t>
      </text>
    </comment>
    <comment authorId="0" ref="BW23">
      <text>
        <t xml:space="preserve">no platform skip 21.75 https://youtu.be/VEf959-p1qM</t>
      </text>
    </comment>
    <comment authorId="0" ref="M25">
      <text>
        <t xml:space="preserve">the most alpha IL</t>
      </text>
    </comment>
    <comment authorId="0" ref="BX23">
      <text>
        <t xml:space="preserve">[retimed] no cycle skips</t>
      </text>
    </comment>
    <comment authorId="0" ref="O25">
      <text>
        <t xml:space="preserve">rta strats</t>
      </text>
    </comment>
    <comment authorId="0" ref="Q25">
      <text>
        <t xml:space="preserve">FEW attempt</t>
      </text>
    </comment>
    <comment authorId="0" ref="CB23">
      <text>
        <t xml:space="preserve">50.48 qft</t>
      </text>
    </comment>
    <comment authorId="0" ref="R25">
      <text>
        <t xml:space="preserve">rocket</t>
      </text>
    </comment>
    <comment authorId="0" ref="T25">
      <text>
        <t xml:space="preserve">RTA</t>
      </text>
    </comment>
    <comment authorId="0" ref="CE23">
      <text>
        <t xml:space="preserve">retimed</t>
      </text>
    </comment>
    <comment authorId="0" ref="AA25">
      <text>
        <t xml:space="preserve">2nd ever beyblade</t>
      </text>
    </comment>
    <comment authorId="0" ref="CM23">
      <text>
        <t xml:space="preserve">galapagos,
rta green cycle 51.99: https://youtu.be/fKJtOX5VTVs</t>
      </text>
    </comment>
    <comment authorId="0" ref="AE25">
      <text>
        <t xml:space="preserve">1:38.82 blooper - https://www.youtube.com/watch?v=RmLa_aWoOdc
1:37.82 no z menu - https://www.youtube.com/watch?v=_BHTBFqqzd4</t>
      </text>
    </comment>
    <comment authorId="0" ref="BK24">
      <text>
        <t xml:space="preserve">1:19.82 pb without video 
https://discord.com/channels/83214196182880256/316530740063895554/1475767118330073189</t>
      </text>
    </comment>
    <comment authorId="0" ref="AF25">
      <text>
        <t xml:space="preserve">free af</t>
      </text>
    </comment>
    <comment authorId="0" ref="AG25">
      <text>
        <t xml:space="preserve">2 attempt (very degen IL)</t>
      </text>
    </comment>
    <comment authorId="0" ref="AJ25">
      <text>
        <t xml:space="preserve">1 attempt</t>
      </text>
    </comment>
    <comment authorId="0" ref="J158">
      <text>
        <t xml:space="preserve">pb from bianco 8 entry is 42.34</t>
      </text>
    </comment>
    <comment authorId="0" ref="K158">
      <text>
        <t xml:space="preserve">12.69 with fludd (hover)</t>
      </text>
    </comment>
    <comment authorId="0" ref="H26">
      <text>
        <t xml:space="preserve">remembered i had this clip from forever ago so left u a present :)</t>
      </text>
    </comment>
    <comment authorId="0" ref="CY23">
      <text>
        <t xml:space="preserve">rta ending 43.81 https://youtu.be/tO1cwoEMcz0</t>
      </text>
    </comment>
    <comment authorId="0" ref="AO25">
      <text>
        <t xml:space="preserve">this might come off as a surprise, but this was done in 1 attempt</t>
      </text>
    </comment>
    <comment authorId="0" ref="AP25">
      <text>
        <t xml:space="preserve">few attempt</t>
      </text>
    </comment>
    <comment authorId="0" ref="CZ23">
      <text>
        <t xml:space="preserve">20.49 entry</t>
      </text>
    </comment>
    <comment authorId="0" ref="AQ25">
      <text>
        <t xml:space="preserve">1 attempt</t>
      </text>
    </comment>
    <comment authorId="0" ref="P158">
      <text>
        <t xml:space="preserve">hijo de puta I got this kinda quickly</t>
      </text>
    </comment>
    <comment authorId="0" ref="DB23">
      <text>
        <t xml:space="preserve">rta pb 2:18.36 https://youtu.be/rnd5uC2ODd4</t>
      </text>
    </comment>
    <comment authorId="0" ref="M26">
      <text>
        <t xml:space="preserve">2:10.02 unrecorded :(</t>
      </text>
    </comment>
    <comment authorId="0" ref="AT25">
      <text>
        <t xml:space="preserve">1 attempt</t>
      </text>
    </comment>
    <comment authorId="0" ref="BZ24">
      <text>
        <t xml:space="preserve">2:26.64 
no video https://discord.com/channels/83214196182880256/316530740063895554/1254218565624533085</t>
      </text>
    </comment>
    <comment authorId="0" ref="AU25">
      <text>
        <t xml:space="preserve">2 attempt</t>
      </text>
    </comment>
    <comment authorId="0" ref="AV25">
      <text>
        <t xml:space="preserve">literally 1st try</t>
      </text>
    </comment>
    <comment authorId="0" ref="U158">
      <text>
        <t xml:space="preserve">rocketless</t>
      </text>
    </comment>
    <comment authorId="0" ref="AY25">
      <text>
        <t xml:space="preserve">no hoverslide</t>
      </text>
    </comment>
    <comment authorId="0" ref="V26">
      <text>
        <t xml:space="preserve">2:15.65</t>
      </text>
    </comment>
    <comment authorId="0" ref="BC25">
      <text>
        <t xml:space="preserve">1 attempt</t>
      </text>
    </comment>
    <comment authorId="0" ref="CH24">
      <text>
        <t xml:space="preserve">This one's for you Ric
</t>
      </text>
    </comment>
    <comment authorId="0" ref="BD25">
      <text>
        <t xml:space="preserve">1 attempt</t>
      </text>
    </comment>
    <comment authorId="0" ref="BE25">
      <text>
        <t xml:space="preserve">dope sauce</t>
      </text>
    </comment>
    <comment authorId="0" ref="BG25">
      <text>
        <t xml:space="preserve">few attempt</t>
      </text>
    </comment>
    <comment authorId="0" ref="BH25">
      <text>
        <t xml:space="preserve">this IL died the day EYG was found, RIP!</t>
      </text>
    </comment>
    <comment authorId="0" ref="AG158">
      <text>
        <t xml:space="preserve">damb i cant even get the standard method without a setup</t>
      </text>
    </comment>
    <comment authorId="0" ref="BI25">
      <text>
        <t xml:space="preserve">rta strats</t>
      </text>
    </comment>
    <comment authorId="0" ref="AH158">
      <text>
        <t xml:space="preserve">I need to git gud</t>
      </text>
    </comment>
    <comment authorId="0" ref="BJ25">
      <text>
        <t xml:space="preserve">didn't bonk on the nail this time</t>
      </text>
    </comment>
    <comment authorId="0" ref="BK25">
      <text>
        <t xml:space="preserve">in a fast any% run. also obv jp</t>
      </text>
    </comment>
    <comment authorId="0" ref="AJ158">
      <text>
        <t xml:space="preserve">samura1Fine</t>
      </text>
    </comment>
    <comment authorId="0" ref="BM25">
      <text>
        <t xml:space="preserve">1 attempt</t>
      </text>
    </comment>
    <comment authorId="0" ref="BN25">
      <text>
        <t xml:space="preserve">few attempt</t>
      </text>
    </comment>
    <comment authorId="0" ref="BO25">
      <text>
        <t xml:space="preserve">few attempt</t>
      </text>
    </comment>
    <comment authorId="0" ref="AN158">
      <text>
        <t xml:space="preserve">sloppy castleclimbing</t>
      </text>
    </comment>
    <comment authorId="0" ref="BP25">
      <text>
        <t xml:space="preserve">1 try</t>
      </text>
    </comment>
    <comment authorId="0" ref="AK26">
      <text>
        <t xml:space="preserve">1;59.81</t>
      </text>
    </comment>
    <comment authorId="0" ref="BR25">
      <text>
        <t xml:space="preserve">Retimed to 1:30.29 (FPS: 30, Raw Retime w/ no fast text: 1:42.93)</t>
      </text>
    </comment>
    <comment authorId="0" ref="BT25">
      <text>
        <t xml:space="preserve">1st try</t>
      </text>
    </comment>
    <comment authorId="0" ref="BU25">
      <text>
        <t xml:space="preserve">1 attempt, no gwk</t>
      </text>
    </comment>
    <comment authorId="0" ref="M27">
      <text>
        <t xml:space="preserve">best 1 nado</t>
      </text>
    </comment>
    <comment authorId="0" ref="AV158">
      <text>
        <t xml:space="preserve">backflip gbs</t>
      </text>
    </comment>
    <comment authorId="0" ref="N27">
      <text>
        <t xml:space="preserve">ehhh its ok
</t>
      </text>
    </comment>
    <comment authorId="0" ref="O27">
      <text>
        <t xml:space="preserve">thanks eg</t>
      </text>
    </comment>
    <comment authorId="0" ref="BY25">
      <text>
        <t xml:space="preserve">1 attempt</t>
      </text>
    </comment>
    <comment authorId="0" ref="BZ25">
      <text>
        <t xml:space="preserve">1 try 2 second pb hype</t>
      </text>
    </comment>
    <comment authorId="0" ref="CB25">
      <text>
        <t xml:space="preserve">rta route more better</t>
      </text>
    </comment>
    <comment authorId="0" ref="CC25">
      <text>
        <t xml:space="preserve">1 attempt</t>
      </text>
    </comment>
    <comment authorId="0" ref="S27">
      <text>
        <t xml:space="preserve">i want mid 41 so bad</t>
      </text>
    </comment>
    <comment authorId="0" ref="CE25">
      <text>
        <t xml:space="preserve">In a faster 96 shine run</t>
      </text>
    </comment>
    <comment authorId="0" ref="AZ26">
      <text>
        <t xml:space="preserve">2:23.16 no vod</t>
      </text>
    </comment>
    <comment authorId="0" ref="CG25">
      <text>
        <t xml:space="preserve">mid 54's are 2 ez</t>
      </text>
    </comment>
    <comment authorId="0" ref="CJ25">
      <text>
        <t xml:space="preserve">2 attempt (messed up very sad)</t>
      </text>
    </comment>
    <comment authorId="0" ref="BI158">
      <text>
        <t xml:space="preserve">over and to the right if that's what you call it</t>
      </text>
    </comment>
    <comment authorId="0" ref="CL25">
      <text>
        <t xml:space="preserve">1 attempt</t>
      </text>
    </comment>
    <comment authorId="0" ref="AD27">
      <text>
        <t xml:space="preserve">nice (improve for cbt)</t>
      </text>
    </comment>
    <comment authorId="0" ref="CN25">
      <text>
        <t xml:space="preserve">1st try!</t>
      </text>
    </comment>
    <comment authorId="0" ref="BJ26">
      <text>
        <t xml:space="preserve">NTSC-U, loadless timer</t>
      </text>
    </comment>
    <comment authorId="0" ref="CO25">
      <text>
        <t xml:space="preserve">2 attempt</t>
      </text>
    </comment>
    <comment authorId="0" ref="CP25">
      <text>
        <t xml:space="preserve">1 attempt</t>
      </text>
    </comment>
    <comment authorId="0" ref="BK26">
      <text>
        <t xml:space="preserve">1:19.05 pb without vid
</t>
      </text>
    </comment>
    <comment authorId="0" ref="A28">
      <text>
        <t xml:space="preserve">I pride myself as the best medalless player the game has ever seen
</t>
      </text>
    </comment>
    <comment authorId="0" ref="DV24">
      <text>
        <t xml:space="preserve">NTSC-J shine spawn cutscene was retimed to the length of an NTSC-U one</t>
      </text>
    </comment>
    <comment authorId="0" ref="CQ25">
      <text>
        <t xml:space="preserve">2 attempt</t>
      </text>
    </comment>
    <comment authorId="0" ref="CS25">
      <text>
        <t xml:space="preserve">RTA</t>
      </text>
    </comment>
    <comment authorId="0" ref="BP26">
      <text>
        <t xml:space="preserve">[retimed] [pinna 2]</t>
      </text>
    </comment>
    <comment authorId="0" ref="AK27">
      <text>
        <t xml:space="preserve">get sub 2:10 pls</t>
      </text>
    </comment>
    <comment authorId="0" ref="CV25">
      <text>
        <t xml:space="preserve">forgotten strat is fast</t>
      </text>
    </comment>
    <comment authorId="0" ref="CW25">
      <text>
        <t xml:space="preserve">3 attempt</t>
      </text>
    </comment>
    <comment authorId="0" ref="BR26">
      <text>
        <t xml:space="preserve">[retimed]</t>
      </text>
    </comment>
    <comment authorId="0" ref="CX25">
      <text>
        <t xml:space="preserve">box jump former wr 30.22 - https://www.youtube.com/watch?v=BQJxGC6nKKs</t>
      </text>
    </comment>
    <comment authorId="0" ref="BS26">
      <text>
        <t xml:space="preserve">Goal: 56.5x</t>
      </text>
    </comment>
    <comment authorId="0" ref="BW158">
      <text>
        <t xml:space="preserve">both buttslide strats</t>
      </text>
    </comment>
    <comment authorId="0" ref="CY25">
      <text>
        <t xml:space="preserve">1st completed run with modern strats</t>
      </text>
    </comment>
    <comment authorId="0" ref="AO27">
      <text>
        <t xml:space="preserve">really good</t>
      </text>
    </comment>
    <comment authorId="0" ref="CZ25">
      <text>
        <t xml:space="preserve">1 attempt</t>
      </text>
    </comment>
    <comment authorId="0" ref="DA25">
      <text>
        <t xml:space="preserve">USA</t>
      </text>
    </comment>
    <comment authorId="0" ref="AQ27">
      <text>
        <t xml:space="preserve">46.4 is limit</t>
      </text>
    </comment>
    <comment authorId="0" ref="L28">
      <text>
        <t xml:space="preserve">fucking got 42.60 unrecorded cryong
</t>
      </text>
    </comment>
    <comment authorId="0" ref="AR27">
      <text>
        <t xml:space="preserve">[retimed from full level]</t>
      </text>
    </comment>
    <comment authorId="0" ref="DC25">
      <text>
        <t xml:space="preserve">some attempt</t>
      </text>
    </comment>
    <comment authorId="0" ref="N28">
      <text>
        <t xml:space="preserve">bad ending</t>
      </text>
    </comment>
    <comment authorId="0" ref="DD25">
      <text>
        <t xml:space="preserve">ez</t>
      </text>
    </comment>
    <comment authorId="0" ref="AU27">
      <text>
        <t xml:space="preserve">get 17</t>
      </text>
    </comment>
    <comment authorId="0" ref="DF25">
      <text>
        <t xml:space="preserve">1 attempt</t>
      </text>
    </comment>
    <comment authorId="0" ref="AV27">
      <text>
        <t xml:space="preserve">not bad</t>
      </text>
    </comment>
    <comment authorId="0" ref="Q28">
      <text>
        <t xml:space="preserve">taken from 120 lol
</t>
      </text>
    </comment>
    <comment authorId="0" ref="R28">
      <text>
        <t xml:space="preserve">rocket, 39 literally impossible</t>
      </text>
    </comment>
    <comment authorId="0" ref="AZ27">
      <text>
        <t xml:space="preserve">good enough</t>
      </text>
    </comment>
    <comment authorId="0" ref="U28">
      <text>
        <t xml:space="preserve">I spent more time that I'd like to admit on this
</t>
      </text>
    </comment>
    <comment authorId="0" ref="X28">
      <text>
        <t xml:space="preserve">most embarrassing time update
</t>
      </text>
    </comment>
    <comment authorId="0" ref="DM25">
      <text>
        <t xml:space="preserve">took less than 5 minutes, got my first 15.60 right before this</t>
      </text>
    </comment>
    <comment authorId="0" ref="BD27">
      <text>
        <t xml:space="preserve">really good</t>
      </text>
    </comment>
    <comment authorId="0" ref="AA28">
      <text>
        <t xml:space="preserve">unfun shine
I also like that I constantly hover for a bit before grabbing the shine like a true moron</t>
      </text>
    </comment>
    <comment authorId="0" ref="DR25">
      <text>
        <t xml:space="preserve">a few attempt</t>
      </text>
    </comment>
    <comment authorId="0" ref="AD28">
      <text>
        <t xml:space="preserve">I love Jpep</t>
      </text>
    </comment>
    <comment authorId="0" ref="DT25">
      <text>
        <t xml:space="preserve">1 attempt</t>
      </text>
    </comment>
    <comment authorId="0" ref="DU25">
      <text>
        <t xml:space="preserve">no gwk</t>
      </text>
    </comment>
    <comment authorId="0" ref="DW25">
      <text>
        <t xml:space="preserve">1 attempt</t>
      </text>
    </comment>
    <comment authorId="0" ref="DY25">
      <text>
        <t xml:space="preserve">27.05 rta https://www.twitch.tv/videos/2141137215?t=03h12m07s</t>
      </text>
    </comment>
    <comment authorId="0" ref="DZ25">
      <text>
        <t xml:space="preserve">http://prntscr.com/nblmdq i got stuck here once it was epic, also hover</t>
      </text>
    </comment>
    <comment authorId="0" ref="EC25">
      <text>
        <t xml:space="preserve">1st try</t>
      </text>
    </comment>
    <comment authorId="0" ref="I29">
      <text>
        <t xml:space="preserve">1:17 prob possible tbh lol
</t>
      </text>
    </comment>
    <comment authorId="0" ref="J29">
      <text>
        <t xml:space="preserve">s l o w
</t>
      </text>
    </comment>
    <comment authorId="0" ref="AP28">
      <text>
        <t xml:space="preserve">no Wiggloat
RTA Wiggl 1:11.49 https://youtu.be/Z2k2feufdtk</t>
      </text>
    </comment>
    <comment authorId="0" ref="K29">
      <text>
        <t xml:space="preserve">one frame off perfect/rlly good
</t>
      </text>
    </comment>
    <comment authorId="0" ref="BV27">
      <text>
        <t xml:space="preserve">entry wasn't perfect, 1 slide</t>
      </text>
    </comment>
    <comment authorId="0" ref="L29">
      <text>
        <t xml:space="preserve">okey</t>
      </text>
    </comment>
    <comment authorId="0" ref="DB26">
      <text>
        <t xml:space="preserve">RTA PB: 2:18.30</t>
      </text>
    </comment>
    <comment authorId="0" ref="DD26">
      <text>
        <t xml:space="preserve">1:20.14</t>
      </text>
    </comment>
    <comment authorId="0" ref="AT28">
      <text>
        <t xml:space="preserve">120 Gelato 6</t>
      </text>
    </comment>
    <comment authorId="0" ref="BZ27">
      <text>
        <t xml:space="preserve">2:23 is goal</t>
      </text>
    </comment>
    <comment authorId="0" ref="AV28">
      <text>
        <t xml:space="preserve">&gt;:c
</t>
      </text>
    </comment>
    <comment authorId="0" ref="DG26">
      <text>
        <t xml:space="preserve">1:29.68</t>
      </text>
    </comment>
    <comment authorId="0" ref="AW28">
      <text>
        <t xml:space="preserve">get fucked Blaze
</t>
      </text>
    </comment>
    <comment authorId="0" ref="AX28">
      <text>
        <t xml:space="preserve">turbo</t>
      </text>
    </comment>
    <comment authorId="0" ref="S29">
      <text>
        <t xml:space="preserve">got 40.86 unrecorded</t>
      </text>
    </comment>
    <comment authorId="0" ref="AY28">
      <text>
        <t xml:space="preserve">my 5th to 6th climb strats are underrated imo
</t>
      </text>
    </comment>
    <comment authorId="0" ref="CE27">
      <text>
        <t xml:space="preserve">not awful</t>
      </text>
    </comment>
    <comment authorId="0" ref="CH27">
      <text>
        <t xml:space="preserve">insane ending, rest was bad</t>
      </text>
    </comment>
    <comment authorId="0" ref="CI27">
      <text>
        <t xml:space="preserve">decent</t>
      </text>
    </comment>
    <comment authorId="0" ref="CP27">
      <text>
        <t xml:space="preserve">[partial video] https://clips.twitch.tv/BlitheBloodySquirrelSSSsss</t>
      </text>
    </comment>
    <comment authorId="0" ref="BK28">
      <text>
        <t xml:space="preserve">literal abuse shine</t>
      </text>
    </comment>
    <comment authorId="0" ref="A30">
      <text>
        <t xml:space="preserve">FOR THE KINGDOM, POWER AND GLORY! NOW AND FOREVER! AMEN!</t>
      </text>
    </comment>
    <comment authorId="0" ref="AG29">
      <text>
        <t xml:space="preserve">cant get 14 :(</t>
      </text>
    </comment>
    <comment authorId="0" ref="CT27">
      <text>
        <t xml:space="preserve">improve</t>
      </text>
    </comment>
    <comment authorId="0" ref="CX27">
      <text>
        <t xml:space="preserve">bad rng strat</t>
      </text>
    </comment>
    <comment authorId="0" ref="CY27">
      <text>
        <t xml:space="preserve">can be better</t>
      </text>
    </comment>
    <comment authorId="0" ref="CZ27">
      <text>
        <t xml:space="preserve">improve</t>
      </text>
    </comment>
    <comment authorId="0" ref="BV28">
      <text>
        <t xml:space="preserve">loadless is still broken</t>
      </text>
    </comment>
    <comment authorId="0" ref="L30">
      <text>
        <t xml:space="preserve">terrible start</t>
      </text>
    </comment>
    <comment authorId="0" ref="BW28">
      <text>
        <t xml:space="preserve">both buttslides
first buttslide 23.58
entirely buttslideless 24.17</t>
      </text>
    </comment>
    <comment authorId="0" ref="DC27">
      <text>
        <t xml:space="preserve">lol i landed to the left of him</t>
      </text>
    </comment>
    <comment authorId="0" ref="AU29">
      <text>
        <t xml:space="preserve">sry fek</t>
      </text>
    </comment>
    <comment authorId="0" ref="DF27">
      <text>
        <t xml:space="preserve">rta (38 is free)</t>
      </text>
    </comment>
    <comment authorId="0" ref="AV29">
      <text>
        <t xml:space="preserve">[retimed]
instant backflip would've literally gotten me the record but i was in a run
</t>
      </text>
    </comment>
    <comment authorId="0" ref="DG27">
      <text>
        <t xml:space="preserve">pls improve</t>
      </text>
    </comment>
    <comment authorId="0" ref="CB28">
      <text>
        <t xml:space="preserve">rta route
</t>
      </text>
    </comment>
    <comment authorId="0" ref="CD28">
      <text>
        <t xml:space="preserve">sandbagging https://youtu.be/78Il57_4iC4
43.79</t>
      </text>
    </comment>
    <comment authorId="0" ref="DJ27">
      <text>
        <t xml:space="preserve">removed copied time</t>
      </text>
    </comment>
    <comment authorId="0" ref="CE28">
      <text>
        <t xml:space="preserve">Ep. 7, bad</t>
      </text>
    </comment>
    <comment authorId="0" ref="CH28">
      <text>
        <t xml:space="preserve">:pensive gameplay:
</t>
      </text>
    </comment>
    <comment authorId="0" ref="CI28">
      <text>
        <t xml:space="preserve">brain flopping like fish
</t>
      </text>
    </comment>
    <comment authorId="0" ref="AB30">
      <text>
        <t xml:space="preserve">Terrible entry</t>
      </text>
    </comment>
    <comment authorId="0" ref="DR27">
      <text>
        <t xml:space="preserve">45 entry, terrible bowser</t>
      </text>
    </comment>
    <comment authorId="0" ref="CM28">
      <text>
        <t xml:space="preserve">29.82 secret retime
:)
</t>
      </text>
    </comment>
    <comment authorId="0" ref="DS27">
      <text>
        <t xml:space="preserve">pb – 33.05</t>
      </text>
    </comment>
    <comment authorId="0" ref="BI29">
      <text>
        <t xml:space="preserve">26.91 dive grind strat</t>
      </text>
    </comment>
    <comment authorId="0" ref="DT27">
      <text>
        <t xml:space="preserve">delorean</t>
      </text>
    </comment>
    <comment authorId="0" ref="CO28">
      <text>
        <t xml:space="preserve">nobody noticed that prev vid was Sirena 4 lol
</t>
      </text>
    </comment>
    <comment authorId="0" ref="AF30">
      <text>
        <t xml:space="preserve">Capture card is behind because OBS is bad</t>
      </text>
    </comment>
    <comment authorId="0" ref="A31">
      <text>
        <t xml:space="preserve">i am losing it</t>
      </text>
    </comment>
    <comment authorId="0" ref="DV27">
      <text>
        <t xml:space="preserve">pb – 51.54</t>
      </text>
    </comment>
    <comment authorId="0" ref="BL29">
      <text>
        <t xml:space="preserve">12.37 with right movement
</t>
      </text>
    </comment>
    <comment authorId="0" ref="AH30">
      <text>
        <t xml:space="preserve">terrible ending</t>
      </text>
    </comment>
    <comment authorId="0" ref="I31">
      <text>
        <t xml:space="preserve">Shoutouts to Zeldocto</t>
      </text>
    </comment>
    <comment authorId="0" ref="AN30">
      <text>
        <t xml:space="preserve">grabbing my free 18</t>
      </text>
    </comment>
    <comment authorId="0" ref="J31">
      <text>
        <t xml:space="preserve">@nokidoki ur smelly
22.00 entry 13.83 secret </t>
      </text>
    </comment>
    <comment authorId="0" ref="K31">
      <text>
        <t xml:space="preserve">mod note: repaired from "44.44"
ty random mod
speed
RTA PB: 13.80</t>
      </text>
    </comment>
    <comment authorId="0" ref="CZ28">
      <text>
        <t xml:space="preserve">first try ! (after a successful entry)</t>
      </text>
    </comment>
    <comment authorId="0" ref="L31">
      <text>
        <t xml:space="preserve">Shoutouts to Koishi, FoundYourGun and spilledbeans</t>
      </text>
    </comment>
    <comment authorId="0" ref="M31">
      <text>
        <t xml:space="preserve">[Retimed]
i missed a poink :(</t>
      </text>
    </comment>
    <comment authorId="0" ref="DC28">
      <text>
        <t xml:space="preserve">accidentally went for the strat
</t>
      </text>
    </comment>
    <comment authorId="0" ref="O31">
      <text>
        <t xml:space="preserve">Shoutout big man shout
RTA strats pb 39.16</t>
      </text>
    </comment>
    <comment authorId="0" ref="DM28">
      <text>
        <t xml:space="preserve">15.60 really quickly, then spent multiple hours on trying to improve it and wasted my evening</t>
      </text>
    </comment>
    <comment authorId="0" ref="X31">
      <text>
        <t xml:space="preserve">Genuinely awful level
Shoutouts Lotfy</t>
      </text>
    </comment>
    <comment authorId="0" ref="BE30">
      <text>
        <t xml:space="preserve">your turn @plankton
</t>
      </text>
    </comment>
    <comment authorId="0" ref="AA31">
      <text>
        <t xml:space="preserve">i love RNG YIPPEE
</t>
      </text>
    </comment>
    <comment authorId="0" ref="DR28">
      <text>
        <t xml:space="preserve">first attempt that got to boat</t>
      </text>
    </comment>
    <comment authorId="0" ref="AD31">
      <text>
        <t xml:space="preserve">Hi rasmus o/</t>
      </text>
    </comment>
    <comment authorId="0" ref="CN29">
      <text>
        <t xml:space="preserve">Galapagos PB: 29.60
Old nail strat: 28.89
Blue cycle: 31.68
</t>
      </text>
    </comment>
    <comment authorId="0" ref="DS28">
      <text>
        <t xml:space="preserve">worst shine
</t>
      </text>
    </comment>
    <comment authorId="0" ref="A32">
      <text>
        <t xml:space="preserve">Have come to the conclusion that ILs are sick</t>
      </text>
    </comment>
    <comment authorId="0" ref="AF31">
      <text>
        <t xml:space="preserve">48.648 QFT</t>
      </text>
    </comment>
    <comment authorId="0" ref="BU30">
      <text>
        <t xml:space="preserve">one day i wont lose a frame to hotel talk and ill actually get a good inside time</t>
      </text>
    </comment>
    <comment authorId="0" ref="K32">
      <text>
        <t xml:space="preserve">Janawham Blamiston</t>
      </text>
    </comment>
    <comment authorId="0" ref="M32">
      <text>
        <t xml:space="preserve">[Retimed]</t>
      </text>
    </comment>
    <comment authorId="0" ref="AV31">
      <text>
        <t xml:space="preserve">AINTNOWAY
</t>
      </text>
    </comment>
    <comment authorId="0" ref="R32">
      <text>
        <t xml:space="preserve">/w Rocket</t>
      </text>
    </comment>
    <comment authorId="0" ref="BB31">
      <text>
        <t xml:space="preserve">I CAN AIM NOW :D</t>
      </text>
    </comment>
    <comment authorId="0" ref="BD31">
      <text>
        <t xml:space="preserve">no longer Retimed from full level</t>
      </text>
    </comment>
    <comment authorId="0" ref="BE31">
      <text>
        <t xml:space="preserve">Thank you despin </t>
      </text>
    </comment>
    <comment authorId="0" ref="AB32">
      <text>
        <t xml:space="preserve">12.9X entry</t>
      </text>
    </comment>
    <comment authorId="0" ref="BI31">
      <text>
        <t xml:space="preserve">RTA strats 27.45</t>
      </text>
    </comment>
    <comment authorId="0" ref="BJ31">
      <text>
        <t xml:space="preserve">Banana 1 stu
Speedspin
@nokidoki tytytytyty
RTA strats 1:17.82 (banana)</t>
      </text>
    </comment>
    <comment authorId="0" ref="AG32">
      <text>
        <t xml:space="preserve">I miss y-turn drive-by
</t>
      </text>
    </comment>
    <comment authorId="0" ref="AH32">
      <text>
        <t xml:space="preserve">Thank you Tomato</t>
      </text>
    </comment>
    <comment authorId="0" ref="BR31">
      <text>
        <t xml:space="preserve">Retimed</t>
      </text>
    </comment>
    <comment authorId="0" ref="BS31">
      <text>
        <t xml:space="preserve">Shoutouts to toobou
RTA PB 50.32 https://youtu.be/cFAGM_tkFfQ</t>
      </text>
    </comment>
    <comment authorId="0" ref="AO32">
      <text>
        <t xml:space="preserve">[partial video] https://youtu.be/awB04O7OnMA
Relay prep</t>
      </text>
    </comment>
    <comment authorId="0" ref="BT31">
      <text>
        <t xml:space="preserve">No buttslide 33.95
https://youtu.be/5wBJmpHtXNw</t>
      </text>
    </comment>
    <comment authorId="0" ref="CY30">
      <text>
        <t xml:space="preserve">43.87 no record</t>
      </text>
    </comment>
    <comment authorId="0" ref="CZ30">
      <text>
        <t xml:space="preserve">trash but not as trash</t>
      </text>
    </comment>
    <comment authorId="0" ref="AP32">
      <text>
        <t xml:space="preserve">RTA coin-flip
Toburr &lt;3
Badly recorded 1:07.33 with added Larvi strat: https://youtu.be/aQTo7HmzjoA</t>
      </text>
    </comment>
    <comment authorId="0" ref="DA30">
      <text>
        <t xml:space="preserve">still trash</t>
      </text>
    </comment>
    <comment authorId="0" ref="AR32">
      <text>
        <t xml:space="preserve">[retimed from full level]
</t>
      </text>
    </comment>
    <comment authorId="0" ref="BW31">
      <text>
        <t xml:space="preserve">Pogger
</t>
      </text>
    </comment>
    <comment authorId="0" ref="DB30">
      <text>
        <t xml:space="preserve">sucks</t>
      </text>
    </comment>
    <comment authorId="0" ref="DC30">
      <text>
        <t xml:space="preserve">Couldnt let the 1 frame textbox slide</t>
      </text>
    </comment>
    <comment authorId="0" ref="BX31">
      <text>
        <t xml:space="preserve">2:08.49 no cycle skippin</t>
      </text>
    </comment>
    <comment authorId="0" ref="BY31">
      <text>
        <t xml:space="preserve">Beach = Cleaned</t>
      </text>
    </comment>
    <comment authorId="0" ref="AY32">
      <text>
        <t xml:space="preserve">Imagine beating your hoverless PB</t>
      </text>
    </comment>
    <comment authorId="0" ref="AZ32">
      <text>
        <t xml:space="preserve">[partial video] https://youtu.be/AFKs-54CRVs</t>
      </text>
    </comment>
    <comment authorId="0" ref="DM30">
      <text>
        <t xml:space="preserve">updated with input displayed</t>
      </text>
    </comment>
    <comment authorId="0" ref="CI31">
      <text>
        <t xml:space="preserve">i love bottle timing</t>
      </text>
    </comment>
    <comment authorId="0" ref="BF32">
      <text>
        <t xml:space="preserve">Åhh Wasabi dip</t>
      </text>
    </comment>
    <comment authorId="0" ref="CM31">
      <text>
        <t xml:space="preserve">Holy</t>
      </text>
    </comment>
    <comment authorId="0" ref="CN31">
      <text>
        <t xml:space="preserve">Shoutouts to FoundYourGun
Green cycle PB : 30.48
Galapagos/RTA PB : 29.72</t>
      </text>
    </comment>
    <comment authorId="0" ref="BJ32">
      <text>
        <t xml:space="preserve">[Retimed]</t>
      </text>
    </comment>
    <comment authorId="0" ref="A34">
      <text>
        <t xml:space="preserve">Slowly on the come-up, y'all ain't ready</t>
      </text>
    </comment>
    <comment authorId="0" ref="CV31">
      <text>
        <t xml:space="preserve">PAL Forgotten 42.49 https://www.youtube.com/watch?v=rpplRDekZsI</t>
      </text>
    </comment>
    <comment authorId="0" ref="BR32">
      <text>
        <t xml:space="preserve">Ty Breadghost for picking my game audio lol [retimed]</t>
      </text>
    </comment>
    <comment authorId="0" ref="CZ31">
      <text>
        <t xml:space="preserve">JP</t>
      </text>
    </comment>
    <comment authorId="0" ref="DA31">
      <text>
        <t xml:space="preserve">JP
please end me</t>
      </text>
    </comment>
    <comment authorId="0" ref="CD32">
      <text>
        <t xml:space="preserve">Caoutchouc</t>
      </text>
    </comment>
    <comment authorId="0" ref="CE32">
      <text>
        <t xml:space="preserve">Experimental Larvi route</t>
      </text>
    </comment>
    <comment authorId="0" ref="AA34">
      <text>
        <t xml:space="preserve">mod note:
actual pb is 14.37</t>
      </text>
    </comment>
    <comment authorId="0" ref="A35">
      <text>
        <t xml:space="preserve">Everywhere</t>
      </text>
    </comment>
    <comment authorId="0" ref="CX32">
      <text>
        <t xml:space="preserve">29 soon</t>
      </text>
    </comment>
    <comment authorId="0" ref="CZ32">
      <text>
        <t xml:space="preserve">[partial video] https://youtu.be/fYEBXcMsJMQ</t>
      </text>
    </comment>
    <comment authorId="0" ref="BU33">
      <text>
        <t xml:space="preserve">I suck at inside lol</t>
      </text>
    </comment>
    <comment authorId="0" ref="BV33">
      <text>
        <t xml:space="preserve">no plat skip</t>
      </text>
    </comment>
    <comment authorId="0" ref="DD32">
      <text>
        <t xml:space="preserve">Shoutouts to the Pianta 8 squad</t>
      </text>
    </comment>
    <comment authorId="0" ref="P35">
      <text>
        <t xml:space="preserve">GRÄDDSÅS</t>
      </text>
    </comment>
    <comment authorId="0" ref="DF32">
      <text>
        <t xml:space="preserve">Fluffa grinding actually kinda chill and cool</t>
      </text>
    </comment>
    <comment authorId="0" ref="CI33">
      <text>
        <t xml:space="preserve">first il record!</t>
      </text>
    </comment>
    <comment authorId="0" ref="Z35">
      <text>
        <t xml:space="preserve">this il sucks</t>
      </text>
    </comment>
    <comment authorId="0" ref="CM33">
      <text>
        <t xml:space="preserve">normal green cycle</t>
      </text>
    </comment>
    <comment authorId="0" ref="BK34">
      <text>
        <t xml:space="preserve">i have an unrecorded 1:19.51</t>
      </text>
    </comment>
    <comment authorId="0" ref="AF35">
      <text>
        <t xml:space="preserve">sgt is wrong, im actually not losing time anywhere. not a frame.</t>
      </text>
    </comment>
    <comment authorId="0" ref="AG35">
      <text>
        <t xml:space="preserve">Reed strat pb: 15.40 (way cooler than this trash)</t>
      </text>
    </comment>
    <comment authorId="0" ref="BR34">
      <text>
        <t xml:space="preserve">Unrecorded PB of 1:26.43</t>
      </text>
    </comment>
    <comment authorId="0" ref="M36">
      <text>
        <t xml:space="preserve">[retimed]</t>
      </text>
    </comment>
    <comment authorId="0" ref="BZ34">
      <text>
        <t xml:space="preserve">obtained in RTA</t>
      </text>
    </comment>
    <comment authorId="0" ref="AV35">
      <text>
        <t xml:space="preserve">backfliirp</t>
      </text>
    </comment>
    <comment authorId="0" ref="BE35">
      <text>
        <t xml:space="preserve">32.55 no tippy tip:
 https://youtu.be/HKKxB632OTY</t>
      </text>
    </comment>
    <comment authorId="0" ref="AD168">
      <text>
        <t xml:space="preserve">sewer strat</t>
      </text>
    </comment>
    <comment authorId="0" ref="BN35">
      <text>
        <t xml:space="preserve">banger level</t>
      </text>
    </comment>
    <comment authorId="0" ref="H37">
      <text>
        <t xml:space="preserve">I have a better time with the blue
(not true anymore)</t>
      </text>
    </comment>
    <comment authorId="0" ref="I37">
      <text>
        <t xml:space="preserve">Bad 5th red coin</t>
      </text>
    </comment>
    <comment authorId="0" ref="J37">
      <text>
        <t xml:space="preserve">purple cycle
</t>
      </text>
    </comment>
    <comment authorId="0" ref="K37">
      <text>
        <t xml:space="preserve">I died once</t>
      </text>
    </comment>
    <comment authorId="0" ref="L37">
      <text>
        <t xml:space="preserve">Couldn't find a red coin</t>
      </text>
    </comment>
    <comment authorId="0" ref="M37">
      <text>
        <t xml:space="preserve">15 tornadoes</t>
      </text>
    </comment>
    <comment authorId="0" ref="N37">
      <text>
        <t xml:space="preserve">bad spider rng</t>
      </text>
    </comment>
    <comment authorId="0" ref="O37">
      <text>
        <t xml:space="preserve">scary</t>
      </text>
    </comment>
    <comment authorId="0" ref="P37">
      <text>
        <t xml:space="preserve">he ran away</t>
      </text>
    </comment>
    <comment authorId="0" ref="Q37">
      <text>
        <t xml:space="preserve">sun was too bright</t>
      </text>
    </comment>
    <comment authorId="0" ref="R37">
      <text>
        <t xml:space="preserve">Rocket</t>
      </text>
    </comment>
    <comment authorId="0" ref="S37">
      <text>
        <t xml:space="preserve">bad IL, missed chain skip
</t>
      </text>
    </comment>
    <comment authorId="0" ref="T37">
      <text>
        <t xml:space="preserve">3 purples bullet bills, good rng</t>
      </text>
    </comment>
    <comment authorId="0" ref="U37">
      <text>
        <t xml:space="preserve">green cycle</t>
      </text>
    </comment>
    <comment authorId="0" ref="V37">
      <text>
        <t xml:space="preserve">Bad crane rng</t>
      </text>
    </comment>
    <comment authorId="0" ref="CH35">
      <text>
        <t xml:space="preserve">level gave me carpal tunnel syndrome, but at least I got that 27 LMAO</t>
      </text>
    </comment>
    <comment authorId="0" ref="X37">
      <text>
        <t xml:space="preserve">bad mario rng</t>
      </text>
    </comment>
    <comment authorId="0" ref="BG168">
      <text>
        <t xml:space="preserve">couldn't finish a run where I got a triple jump off the tree in 45min LOL</t>
      </text>
    </comment>
    <comment authorId="0" ref="CI35">
      <text>
        <t xml:space="preserve">why is it fun</t>
      </text>
    </comment>
    <comment authorId="0" ref="Z37">
      <text>
        <t xml:space="preserve">Bongo</t>
      </text>
    </comment>
    <comment authorId="0" ref="AA37">
      <text>
        <t xml:space="preserve">got hit by the wind but whatever good enough for now</t>
      </text>
    </comment>
    <comment authorId="0" ref="AB37">
      <text>
        <t xml:space="preserve">OwO</t>
      </text>
    </comment>
    <comment authorId="0" ref="CM35">
      <text>
        <t xml:space="preserve">nashi + evil</t>
      </text>
    </comment>
    <comment authorId="0" ref="CN35">
      <text>
        <t xml:space="preserve"> cringe cringe cringe</t>
      </text>
    </comment>
    <comment authorId="0" ref="AD37">
      <text>
        <t xml:space="preserve">Never realize that this blooper is ugly</t>
      </text>
    </comment>
    <comment authorId="0" ref="AE37">
      <text>
        <t xml:space="preserve">lmao this guy still plays this game ? (no)</t>
      </text>
    </comment>
    <comment authorId="0" ref="AF37">
      <text>
        <t xml:space="preserve">&lt;--- see note on the left, baka</t>
      </text>
    </comment>
    <comment authorId="0" ref="AG37">
      <text>
        <t xml:space="preserve">Quick slowkill</t>
      </text>
    </comment>
    <comment authorId="0" ref="AH37">
      <text>
        <t xml:space="preserve">didn't people find a new way to do this since ?</t>
      </text>
    </comment>
    <comment authorId="0" ref="AI37">
      <text>
        <t xml:space="preserve">no hover/turbo/rocket</t>
      </text>
    </comment>
    <comment authorId="0" ref="AJ37">
      <text>
        <t xml:space="preserve">Nanashi gets better times hoverless 4Head (not anymore pogona2Smug)</t>
      </text>
    </comment>
    <comment authorId="0" ref="AK37">
      <text>
        <t xml:space="preserve">Bad pokey rng</t>
      </text>
    </comment>
    <comment authorId="0" ref="AM37">
      <text>
        <t xml:space="preserve">couldn't find the entry of the sand castle so I had to spray the sand flower a 2nd time</t>
      </text>
    </comment>
    <comment authorId="0" ref="AN37">
      <text>
        <t xml:space="preserve">died at the sand block</t>
      </text>
    </comment>
    <comment authorId="0" ref="AO37">
      <text>
        <t xml:space="preserve">this might come off as a surprise, but this was done in 1 attempt</t>
      </text>
    </comment>
    <comment authorId="0" ref="J38">
      <text>
        <t xml:space="preserve">@dogecyanide no u
36.736 QFT
21.87 entry (PB)</t>
      </text>
    </comment>
    <comment authorId="0" ref="AP37">
      <text>
        <t xml:space="preserve">Bad pungelos rng</t>
      </text>
    </comment>
    <comment authorId="0" ref="K38">
      <text>
        <t xml:space="preserve">jumpdive
13.813 QFT</t>
      </text>
    </comment>
    <comment authorId="0" ref="DA35">
      <text>
        <t xml:space="preserve">tiptoe my bro</t>
      </text>
    </comment>
    <comment authorId="0" ref="AQ37">
      <text>
        <t xml:space="preserve">birb</t>
      </text>
    </comment>
    <comment authorId="0" ref="L38">
      <text>
        <t xml:space="preserve">42.876 QFT</t>
      </text>
    </comment>
    <comment authorId="0" ref="DB35">
      <text>
        <t xml:space="preserve">:(</t>
      </text>
    </comment>
    <comment authorId="0" ref="M38">
      <text>
        <t xml:space="preserve">[retimed x2]
Best pattern, 1 tornado</t>
      </text>
    </comment>
    <comment authorId="0" ref="AS37">
      <text>
        <t xml:space="preserve">actually almost lost, this guy is insanly fast</t>
      </text>
    </comment>
    <comment authorId="0" ref="N38">
      <text>
        <t xml:space="preserve">29.13 entry
GWKD cycle</t>
      </text>
    </comment>
    <comment authorId="0" ref="AT37">
      <text>
        <t xml:space="preserve">how do I have such a bad time wth</t>
      </text>
    </comment>
    <comment authorId="0" ref="AU37">
      <text>
        <t xml:space="preserve">arrrrrrfff!!!! blue coin by accident rip IL</t>
      </text>
    </comment>
    <comment authorId="0" ref="P38">
      <text>
        <t xml:space="preserve">no spam-spray</t>
      </text>
    </comment>
    <comment authorId="0" ref="AV37">
      <text>
        <t xml:space="preserve">bad coconut (by bad I mean good)</t>
      </text>
    </comment>
    <comment authorId="0" ref="AW37">
      <text>
        <t xml:space="preserve">meow</t>
      </text>
    </comment>
    <comment authorId="0" ref="AX37">
      <text>
        <t xml:space="preserve">turbo bird</t>
      </text>
    </comment>
    <comment authorId="0" ref="S38">
      <text>
        <t xml:space="preserve">"no waiting cycle"</t>
      </text>
    </comment>
    <comment authorId="0" ref="CD36">
      <text>
        <t xml:space="preserve">rta strat</t>
      </text>
    </comment>
    <comment authorId="0" ref="AY37">
      <text>
        <t xml:space="preserve">originally done for hoverless</t>
      </text>
    </comment>
    <comment authorId="0" ref="AZ37">
      <text>
        <t xml:space="preserve">UwU</t>
      </text>
    </comment>
    <comment authorId="0" ref="U38">
      <text>
        <t xml:space="preserve">RTA cycle but I dove into the last coin</t>
      </text>
    </comment>
    <comment authorId="0" ref="BB37">
      <text>
        <t xml:space="preserve">ka ka ka</t>
      </text>
    </comment>
    <comment authorId="0" ref="BC37">
      <text>
        <t xml:space="preserve">Bad bullet bill rng</t>
      </text>
    </comment>
    <comment authorId="0" ref="BD37">
      <text>
        <t xml:space="preserve">red cycle</t>
      </text>
    </comment>
    <comment authorId="0" ref="CM168">
      <text>
        <t xml:space="preserve">strats with the wallkick zone </t>
      </text>
    </comment>
    <comment authorId="0" ref="BE37">
      <text>
        <t xml:space="preserve">I had wr and fell down so I lost 10sec</t>
      </text>
    </comment>
    <comment authorId="0" ref="BF37">
      <text>
        <t xml:space="preserve">what are the sunflowers saying ?</t>
      </text>
    </comment>
    <comment authorId="0" ref="BG37">
      <text>
        <t xml:space="preserve">PagChomp</t>
      </text>
    </comment>
    <comment authorId="0" ref="BH37">
      <text>
        <t xml:space="preserve">Yoshi wanted fucking durian, so dumb</t>
      </text>
    </comment>
    <comment authorId="0" ref="BI37">
      <text>
        <t xml:space="preserve">under the top to the bottom</t>
      </text>
    </comment>
    <comment authorId="0" ref="BJ37">
      <text>
        <t xml:space="preserve">baguette</t>
      </text>
    </comment>
    <comment authorId="0" ref="AE38">
      <text>
        <t xml:space="preserve">1:38.88 blooper: https://www.youtube.com/watch?v=LMBaJrv1tAo</t>
      </text>
    </comment>
    <comment authorId="0" ref="AF38">
      <text>
        <t xml:space="preserve">Counter-clockwise, early turn after the 6th coin</t>
      </text>
    </comment>
    <comment authorId="0" ref="A39">
      <text>
        <t xml:space="preserve">nut
100% video gang</t>
      </text>
    </comment>
    <comment authorId="0" ref="BL37">
      <text>
        <t xml:space="preserve">he ran away</t>
      </text>
    </comment>
    <comment authorId="0" ref="BM37">
      <text>
        <t xml:space="preserve">i don't know where to start this IL</t>
      </text>
    </comment>
    <comment authorId="0" ref="AH38">
      <text>
        <t xml:space="preserve">44.744 QFT
needs rocket unlocked but slower than turbo so possibly not good for any category idk</t>
      </text>
    </comment>
    <comment authorId="0" ref="BN37">
      <text>
        <t xml:space="preserve">watch My Hero Academia</t>
      </text>
    </comment>
    <comment authorId="0" ref="BO37">
      <text>
        <t xml:space="preserve">poc podac</t>
      </text>
    </comment>
    <comment authorId="0" ref="BP37">
      <text>
        <t xml:space="preserve">bad bees rng</t>
      </text>
    </comment>
    <comment authorId="0" ref="BR37">
      <text>
        <t xml:space="preserve">[retimed]
Dude why removing my note for         "[retimed]" now I don't fucking remember what my joke was on this IL </t>
      </text>
    </comment>
    <comment authorId="0" ref="BS37">
      <text>
        <t xml:space="preserve">cf sirena 5 note</t>
      </text>
    </comment>
    <comment authorId="0" ref="AN38">
      <text>
        <t xml:space="preserve">18.351 QFT</t>
      </text>
    </comment>
    <comment authorId="0" ref="BT37">
      <text>
        <t xml:space="preserve">blue cycle</t>
      </text>
    </comment>
    <comment authorId="0" ref="J39">
      <text>
        <t xml:space="preserve">22.74 entry
triplejump</t>
      </text>
    </comment>
    <comment authorId="0" ref="BU37">
      <text>
        <t xml:space="preserve">banana launch</t>
      </text>
    </comment>
    <comment authorId="0" ref="BV37">
      <text>
        <t xml:space="preserve">i didn't do casino skip</t>
      </text>
    </comment>
    <comment authorId="0" ref="BW37">
      <text>
        <t xml:space="preserve">dive strat</t>
      </text>
    </comment>
    <comment authorId="0" ref="M39">
      <text>
        <t xml:space="preserve">second best pattern, no nados (retimed from rta)</t>
      </text>
    </comment>
    <comment authorId="0" ref="BX37">
      <text>
        <t xml:space="preserve">jk cf Noki 3 note</t>
      </text>
    </comment>
    <comment authorId="0" ref="N39">
      <text>
        <t xml:space="preserve">one slide
29.41 entry (bad)</t>
      </text>
    </comment>
    <comment authorId="0" ref="BY37">
      <text>
        <t xml:space="preserve">couldn't find the last manta</t>
      </text>
    </comment>
    <comment authorId="0" ref="BZ37">
      <text>
        <t xml:space="preserve">Almost ran out of time cause hoverless</t>
      </text>
    </comment>
    <comment authorId="0" ref="P39">
      <text>
        <t xml:space="preserve">cancer grind</t>
      </text>
    </comment>
    <comment authorId="0" ref="CA37">
      <text>
        <t xml:space="preserve">slowkill</t>
      </text>
    </comment>
    <comment authorId="0" ref="AV38">
      <text>
        <t xml:space="preserve">in ep 6, Nanashi backflip</t>
      </text>
    </comment>
    <comment authorId="0" ref="CB37">
      <text>
        <t xml:space="preserve">same</t>
      </text>
    </comment>
    <comment authorId="0" ref="AW38">
      <text>
        <t xml:space="preserve">no spam-sprays</t>
      </text>
    </comment>
    <comment authorId="0" ref="CC37">
      <text>
        <t xml:space="preserve">lost time to pink boos</t>
      </text>
    </comment>
    <comment authorId="0" ref="DI36">
      <text>
        <t xml:space="preserve">42.68 SGT // 42.233 Mod retime</t>
      </text>
    </comment>
    <comment authorId="0" ref="CD37">
      <text>
        <t xml:space="preserve">^_^ I hope YOU have a good day, yes, YOU!</t>
      </text>
    </comment>
    <comment authorId="0" ref="X171">
      <text>
        <t xml:space="preserve">scuffed movement
</t>
      </text>
    </comment>
    <comment authorId="0" ref="CE37">
      <text>
        <t xml:space="preserve">KEK</t>
      </text>
    </comment>
    <comment authorId="0" ref="V39">
      <text>
        <t xml:space="preserve">the worst hundo coin</t>
      </text>
    </comment>
    <comment authorId="0" ref="CG37">
      <text>
        <t xml:space="preserve">wind made me fall all the way down
</t>
      </text>
    </comment>
    <comment authorId="0" ref="BB38">
      <text>
        <t xml:space="preserve">6.76 entry
DM shot + Jer rocket</t>
      </text>
    </comment>
    <comment authorId="0" ref="CH37">
      <text>
        <t xml:space="preserve">Mare Bay Episode 2</t>
      </text>
    </comment>
    <comment authorId="0" ref="X39">
      <text>
        <t xml:space="preserve">speed double, box triple, sumi skip</t>
      </text>
    </comment>
    <comment authorId="0" ref="AB171">
      <text>
        <t xml:space="preserve">bonk</t>
      </text>
    </comment>
    <comment authorId="0" ref="CI37">
      <text>
        <t xml:space="preserve">jk, theres nothing to see here</t>
      </text>
    </comment>
    <comment authorId="0" ref="Y39">
      <text>
        <t xml:space="preserve">19.41 entry
18.32 IGT</t>
      </text>
    </comment>
    <comment authorId="0" ref="CJ37">
      <text>
        <t xml:space="preserve">8 tooth</t>
      </text>
    </comment>
    <comment authorId="0" ref="Z39">
      <text>
        <t xml:space="preserve">jesus strat</t>
      </text>
    </comment>
    <comment authorId="0" ref="BF38">
      <text>
        <t xml:space="preserve">right first</t>
      </text>
    </comment>
    <comment authorId="0" ref="AA39">
      <text>
        <t xml:space="preserve">beyblade hover double</t>
      </text>
    </comment>
    <comment authorId="0" ref="CL37">
      <text>
        <t xml:space="preserve">fast boat</t>
      </text>
    </comment>
    <comment authorId="0" ref="CM37">
      <text>
        <t xml:space="preserve">AYAYA</t>
      </text>
    </comment>
    <comment authorId="0" ref="CN37">
      <text>
        <t xml:space="preserve">perfect, IL maxed</t>
      </text>
    </comment>
    <comment authorId="0" ref="BI38">
      <text>
        <t xml:space="preserve">speedspin
25.125 QFT</t>
      </text>
    </comment>
    <comment authorId="0" ref="AD39">
      <text>
        <t xml:space="preserve">no sumi skip</t>
      </text>
    </comment>
    <comment authorId="0" ref="DT36">
      <text>
        <t xml:space="preserve">jp banana clip</t>
      </text>
    </comment>
    <comment authorId="0" ref="CO37">
      <text>
        <t xml:space="preserve">he swam away</t>
      </text>
    </comment>
    <comment authorId="0" ref="BJ38">
      <text>
        <t xml:space="preserve">44.57 entry
Banana 1-Stu + speedspin
1:10.970 QFT</t>
      </text>
    </comment>
    <comment authorId="0" ref="CP37">
      <text>
        <t xml:space="preserve">Play bingo please guys</t>
      </text>
    </comment>
    <comment authorId="0" ref="CQ37">
      <text>
        <t xml:space="preserve">I was gonna make the joke "he flew away" but he probably really did when I see the time I did set</t>
      </text>
    </comment>
    <comment authorId="0" ref="CR37">
      <text>
        <t xml:space="preserve">Hoverless PogFish</t>
      </text>
    </comment>
    <comment authorId="0" ref="CS37">
      <text>
        <t xml:space="preserve">Im running out of ideas</t>
      </text>
    </comment>
    <comment authorId="0" ref="CT37">
      <text>
        <t xml:space="preserve">bad pokey section</t>
      </text>
    </comment>
    <comment authorId="0" ref="CV37">
      <text>
        <t xml:space="preserve">bestn't level</t>
      </text>
    </comment>
    <comment authorId="0" ref="CW37">
      <text>
        <t xml:space="preserve">that pianta lady is so sexy on the right</t>
      </text>
    </comment>
    <comment authorId="0" ref="CX37">
      <text>
        <t xml:space="preserve">for some reason I didn't have fludd at the beginning of the level</t>
      </text>
    </comment>
    <comment authorId="0" ref="BS38">
      <text>
        <t xml:space="preserve">Boo bounce entry
No GWKD
No brick skip
Momentum spin
Hotel timing PB: 41.97</t>
      </text>
    </comment>
    <comment authorId="0" ref="CY37">
      <text>
        <t xml:space="preserve">she's even sexier when she's mad</t>
      </text>
    </comment>
    <comment authorId="0" ref="CZ37">
      <text>
        <t xml:space="preserve">jelly skip</t>
      </text>
    </comment>
    <comment authorId="0" ref="DA37">
      <text>
        <t xml:space="preserve">green cycle</t>
      </text>
    </comment>
    <comment authorId="0" ref="BV38">
      <text>
        <t xml:space="preserve">Normal casino skip
1st buttslide
Momentum spin at the end</t>
      </text>
    </comment>
    <comment authorId="0" ref="DB37">
      <text>
        <t xml:space="preserve">bad spam spray rng, was wr</t>
      </text>
    </comment>
    <comment authorId="0" ref="BW38">
      <text>
        <t xml:space="preserve">20.987 QFT</t>
      </text>
    </comment>
    <comment authorId="0" ref="M40">
      <text>
        <t xml:space="preserve">retimed</t>
      </text>
    </comment>
    <comment authorId="0" ref="DC37">
      <text>
        <t xml:space="preserve">Shinobu is so cute</t>
      </text>
    </comment>
    <comment authorId="0" ref="BX38">
      <text>
        <t xml:space="preserve">[retimed]</t>
      </text>
    </comment>
    <comment authorId="0" ref="DD37">
      <text>
        <t xml:space="preserve">bad red bird rng</t>
      </text>
    </comment>
    <comment authorId="0" ref="DE37">
      <text>
        <t xml:space="preserve">Reol is so sick</t>
      </text>
    </comment>
    <comment authorId="0" ref="DF37">
      <text>
        <t xml:space="preserve">[retimed]
Check delfino shine notes pepeLaugh</t>
      </text>
    </comment>
    <comment authorId="0" ref="CA38">
      <text>
        <t xml:space="preserve">No spamspray</t>
      </text>
    </comment>
    <comment authorId="0" ref="DG37">
      <text>
        <t xml:space="preserve">bad yellow butterfly rng</t>
      </text>
    </comment>
    <comment authorId="0" ref="DI37">
      <text>
        <t xml:space="preserve">♡＾▽＾♡</t>
      </text>
    </comment>
    <comment authorId="0" ref="CD38">
      <text>
        <t xml:space="preserve">no waiting cycle</t>
      </text>
    </comment>
    <comment authorId="0" ref="DJ37">
      <text>
        <t xml:space="preserve">(ノ^∇^)
stop adding new columns now jesus chirst</t>
      </text>
    </comment>
    <comment authorId="0" ref="DK37">
      <text>
        <t xml:space="preserve">ヾ(・ω・ｏ)</t>
      </text>
    </comment>
    <comment authorId="0" ref="BB39">
      <text>
        <t xml:space="preserve">terrible rocket shots, fast 4th</t>
      </text>
    </comment>
    <comment authorId="0" ref="DM37">
      <text>
        <t xml:space="preserve">(ΦωΦ)</t>
      </text>
    </comment>
    <comment authorId="0" ref="DN37">
      <text>
        <t xml:space="preserve">（^Ｏ^）～♪</t>
      </text>
    </comment>
    <comment authorId="0" ref="DO37">
      <text>
        <t xml:space="preserve">（*＾3＾）</t>
      </text>
    </comment>
    <comment authorId="0" ref="CJ38">
      <text>
        <t xml:space="preserve">Bounceless triple jump entry + 6-tooth</t>
      </text>
    </comment>
    <comment authorId="0" ref="BE39">
      <text>
        <t xml:space="preserve">the best shine</t>
      </text>
    </comment>
    <comment authorId="0" ref="DP37">
      <text>
        <t xml:space="preserve">(◕‿◕✿)</t>
      </text>
    </comment>
    <comment authorId="0" ref="DQ37">
      <text>
        <t xml:space="preserve">(●≧ω≦)9</t>
      </text>
    </comment>
    <comment authorId="0" ref="DR37">
      <text>
        <t xml:space="preserve">(ง •̀ω•́)ง✧</t>
      </text>
    </comment>
    <comment authorId="0" ref="DT37">
      <text>
        <t xml:space="preserve">(▼-▼*)</t>
      </text>
    </comment>
    <comment authorId="0" ref="DU37">
      <text>
        <t xml:space="preserve">(；一ω一||)</t>
      </text>
    </comment>
    <comment authorId="0" ref="CP38">
      <text>
        <t xml:space="preserve">12.49 entry</t>
      </text>
    </comment>
    <comment authorId="0" ref="BK39">
      <text>
        <t xml:space="preserve">54.71 entry
otm</t>
      </text>
    </comment>
    <comment authorId="0" ref="DV37">
      <text>
        <t xml:space="preserve">[retimed]
(・ω・｀)………..
NTSC-J shine spawn cutscene was retimed to the length of an NTSC-U one</t>
      </text>
    </comment>
    <comment authorId="0" ref="CQ38">
      <text>
        <t xml:space="preserve">ep 7</t>
      </text>
    </comment>
    <comment authorId="0" ref="DW37">
      <text>
        <t xml:space="preserve">(^∀^)( ^∀)(　^)(　　)(^　)(∀^ )(^∀^)</t>
      </text>
    </comment>
    <comment authorId="0" ref="BM39">
      <text>
        <t xml:space="preserve">you know a shine is terrible when you settle for a bad shine grab</t>
      </text>
    </comment>
    <comment authorId="0" ref="DX37">
      <text>
        <t xml:space="preserve">(／≧ω＼)</t>
      </text>
    </comment>
    <comment authorId="0" ref="DY37">
      <text>
        <t xml:space="preserve">(≧∀≦)</t>
      </text>
    </comment>
    <comment authorId="0" ref="DZ37">
      <text>
        <t xml:space="preserve">(￣^￣)</t>
      </text>
    </comment>
    <comment authorId="0" ref="EA37">
      <text>
        <t xml:space="preserve">(^○^)</t>
      </text>
    </comment>
    <comment authorId="0" ref="EB37">
      <text>
        <t xml:space="preserve">(＞ロ＜)ゝ</t>
      </text>
    </comment>
    <comment authorId="0" ref="CW38">
      <text>
        <t xml:space="preserve">RTA gang</t>
      </text>
    </comment>
    <comment authorId="0" ref="EC37">
      <text>
        <t xml:space="preserve">◉︵◉</t>
      </text>
    </comment>
    <comment authorId="0" ref="ED37">
      <text>
        <t xml:space="preserve">( ͡° ͜ʖ ͡°)</t>
      </text>
    </comment>
    <comment authorId="0" ref="BU39">
      <text>
        <t xml:space="preserve">tj backside</t>
      </text>
    </comment>
    <comment authorId="0" ref="DB38">
      <text>
        <t xml:space="preserve">QFT PB (1:05.321): https://www.youtube.com/watch?v=chrHVOA2bn4</t>
      </text>
    </comment>
    <comment authorId="0" ref="DD38">
      <text>
        <t xml:space="preserve">with blues</t>
      </text>
    </comment>
    <comment authorId="0" ref="DF38">
      <text>
        <t xml:space="preserve">fluffless rocketless
34.868 QFT</t>
      </text>
    </comment>
    <comment authorId="0" ref="DG38">
      <text>
        <t xml:space="preserve">non-JP, with blues</t>
      </text>
    </comment>
    <comment authorId="0" ref="DL38">
      <text>
        <t xml:space="preserve">sloppy but I started with the right nozzle</t>
      </text>
    </comment>
    <comment authorId="0" ref="CG39">
      <text>
        <t xml:space="preserve">terrible bombs</t>
      </text>
    </comment>
    <comment authorId="0" ref="CK39">
      <text>
        <t xml:space="preserve">6 toof</t>
      </text>
    </comment>
    <comment authorId="0" ref="AH173">
      <text>
        <t xml:space="preserve">[retimed]</t>
      </text>
    </comment>
    <comment authorId="0" ref="DT38">
      <text>
        <t xml:space="preserve">fruitless endeavor</t>
      </text>
    </comment>
    <comment authorId="0" ref="BJ40">
      <text>
        <t xml:space="preserve">rec is 1:18</t>
      </text>
    </comment>
    <comment authorId="0" ref="DU38">
      <text>
        <t xml:space="preserve">GWKD</t>
      </text>
    </comment>
    <comment authorId="0" ref="A42">
      <text>
        <t xml:space="preserve">Mario</t>
      </text>
    </comment>
    <comment authorId="0" ref="DZ38">
      <text>
        <t xml:space="preserve">31.231 QFT</t>
      </text>
    </comment>
    <comment authorId="0" ref="ED38">
      <text>
        <t xml:space="preserve">[insert jackpot sfx]</t>
      </text>
    </comment>
    <comment authorId="0" ref="BX40">
      <text>
        <t xml:space="preserve">Best thing to do while studying for a test</t>
      </text>
    </comment>
    <comment authorId="0" ref="A175">
      <text>
        <t xml:space="preserve">super mario galaxy 2 for the nintendo wii</t>
      </text>
    </comment>
    <comment authorId="0" ref="DR39">
      <text>
        <t xml:space="preserve">44.919 entry</t>
      </text>
    </comment>
    <comment authorId="0" ref="A43">
      <text>
        <t xml:space="preserve">good morning shineheads</t>
      </text>
    </comment>
    <comment authorId="0" ref="DV39">
      <text>
        <t xml:space="preserve">NTSC-J shine spawn cutscene was retimed to the length of an NTSC-U one</t>
      </text>
    </comment>
    <comment authorId="0" ref="I43">
      <text>
        <t xml:space="preserve">new strategem poogers</t>
      </text>
    </comment>
    <comment authorId="0" ref="AR42">
      <text>
        <t xml:space="preserve">[retimed from full level]</t>
      </text>
    </comment>
    <comment authorId="0" ref="M43">
      <text>
        <t xml:space="preserve">who grinds this shart lol</t>
      </text>
    </comment>
    <comment authorId="0" ref="AV42">
      <text>
        <t xml:space="preserve">Holoy shart
</t>
      </text>
    </comment>
    <comment authorId="0" ref="S43">
      <text>
        <t xml:space="preserve">normal beginning</t>
      </text>
    </comment>
    <comment authorId="0" ref="U43">
      <text>
        <t xml:space="preserve">RTA</t>
      </text>
    </comment>
    <comment authorId="0" ref="Z43">
      <text>
        <t xml:space="preserve">RTA setup</t>
      </text>
    </comment>
    <comment authorId="0" ref="AA43">
      <text>
        <t xml:space="preserve">video when I 14</t>
      </text>
    </comment>
    <comment authorId="0" ref="BK42">
      <text>
        <t xml:space="preserve">Bad entry and secret</t>
      </text>
    </comment>
    <comment authorId="0" ref="AH43">
      <text>
        <t xml:space="preserve">when u spinnin</t>
      </text>
    </comment>
    <comment authorId="0" ref="AJ43">
      <text>
        <t xml:space="preserve">8/29/20</t>
      </text>
    </comment>
    <comment authorId="0" ref="AO43">
      <text>
        <t xml:space="preserve">nice</t>
      </text>
    </comment>
    <comment authorId="0" ref="AP43">
      <text>
        <t xml:space="preserve">normal</t>
      </text>
    </comment>
    <comment authorId="0" ref="AT43">
      <text>
        <t xml:space="preserve">vod 12/20</t>
      </text>
    </comment>
    <comment authorId="0" ref="AV43">
      <text>
        <t xml:space="preserve">rip</t>
      </text>
    </comment>
    <comment authorId="0" ref="AY43">
      <text>
        <t xml:space="preserve">not turbo</t>
      </text>
    </comment>
    <comment authorId="0" ref="AZ43">
      <text>
        <t xml:space="preserve">decent</t>
      </text>
    </comment>
    <comment authorId="0" ref="CI42">
      <text>
        <t xml:space="preserve">Videoless PB: 42.67
(clip lost to time)
</t>
      </text>
    </comment>
    <comment authorId="0" ref="BF43">
      <text>
        <t xml:space="preserve">vod 12/28</t>
      </text>
    </comment>
    <comment authorId="0" ref="BK43">
      <text>
        <t xml:space="preserve">JP, bad secret</t>
      </text>
    </comment>
    <comment authorId="0" ref="BM43">
      <text>
        <t xml:space="preserve">[retimed]</t>
      </text>
    </comment>
    <comment authorId="0" ref="BN43">
      <text>
        <t xml:space="preserve">RTA</t>
      </text>
    </comment>
    <comment authorId="0" ref="DA42">
      <text>
        <t xml:space="preserve">With fast text off
</t>
      </text>
    </comment>
    <comment authorId="0" ref="BW43">
      <text>
        <t xml:space="preserve">no 2nd buttslide pb is 23.67</t>
      </text>
    </comment>
    <comment authorId="0" ref="BZ43">
      <text>
        <t xml:space="preserve">bab's first decent sirena 6</t>
      </text>
    </comment>
    <comment authorId="0" ref="CB43">
      <text>
        <t xml:space="preserve">pape route</t>
      </text>
    </comment>
    <comment authorId="0" ref="CD43">
      <text>
        <t xml:space="preserve">RTA strats</t>
      </text>
    </comment>
    <comment authorId="0" ref="V45">
      <text>
        <t xml:space="preserve">terrible grind</t>
      </text>
    </comment>
    <comment authorId="0" ref="A178">
      <text>
        <t xml:space="preserve">unsure if any wr vids are still missing</t>
      </text>
    </comment>
    <comment authorId="0" ref="CM43">
      <text>
        <t xml:space="preserve">ok</t>
      </text>
    </comment>
    <comment authorId="0" ref="CP43">
      <text>
        <t xml:space="preserve">bad</t>
      </text>
    </comment>
    <comment authorId="0" ref="CQ43">
      <text>
        <t xml:space="preserve">ep 7 hype!</t>
      </text>
    </comment>
    <comment authorId="0" ref="CS43">
      <text>
        <t xml:space="preserve">cool level</t>
      </text>
    </comment>
    <comment authorId="0" ref="AK45">
      <text>
        <t xml:space="preserve">worst hundo</t>
      </text>
    </comment>
    <comment authorId="0" ref="BR44">
      <text>
        <t xml:space="preserve">mod note: retimed by anmaku</t>
      </text>
    </comment>
    <comment authorId="0" ref="CX43">
      <text>
        <t xml:space="preserve">GWK ledgegrab lol</t>
      </text>
    </comment>
    <comment authorId="0" ref="CY43">
      <text>
        <t xml:space="preserve">meh</t>
      </text>
    </comment>
    <comment authorId="0" ref="CZ43">
      <text>
        <t xml:space="preserve">blaze it</t>
      </text>
    </comment>
    <comment authorId="0" ref="DB43">
      <text>
        <t xml:space="preserve">finally lol</t>
      </text>
    </comment>
    <comment authorId="0" ref="AR45">
      <text>
        <t xml:space="preserve">[retimed from full level]</t>
      </text>
    </comment>
    <comment authorId="0" ref="M46">
      <text>
        <t xml:space="preserve">[retimed]</t>
      </text>
    </comment>
    <comment authorId="0" ref="DE43">
      <text>
        <t xml:space="preserve">E</t>
      </text>
    </comment>
    <comment authorId="0" ref="BZ44">
      <text>
        <t xml:space="preserve">vid moved to note due to frame drops:
https://www.twitch.tv/videos/1566062824</t>
      </text>
    </comment>
    <comment authorId="0" ref="AX45">
      <text>
        <t xml:space="preserve">The great Sid/Zelpiku rivalry of 2015</t>
      </text>
    </comment>
    <comment authorId="0" ref="AY45">
      <text>
        <t xml:space="preserve">More zelpiku rivalry stuff. This was WR until zelpiku beat it by a frame in late 2015. Kaff went insane on it thereafter.</t>
      </text>
    </comment>
    <comment authorId="0" ref="AE46">
      <text>
        <t xml:space="preserve">removed copied time</t>
      </text>
    </comment>
    <comment authorId="0" ref="BP45">
      <text>
        <t xml:space="preserve">[retimed by il mod]</t>
      </text>
    </comment>
    <comment authorId="0" ref="AR46">
      <text>
        <t xml:space="preserve">inside only is harder than full level :'(</t>
      </text>
    </comment>
    <comment authorId="0" ref="AV46">
      <text>
        <t xml:space="preserve">tree throw, roof throw</t>
      </text>
    </comment>
    <comment authorId="0" ref="CP45">
      <text>
        <t xml:space="preserve">Used learning Huff entry as an excuse to grind this.</t>
      </text>
    </comment>
    <comment authorId="0" ref="A48">
      <text>
        <t xml:space="preserve">Ricco 1 is not a fun IL at all</t>
      </text>
    </comment>
    <comment authorId="0" ref="BR46">
      <text>
        <t xml:space="preserve">[retimed]</t>
      </text>
    </comment>
    <comment authorId="0" ref="I48">
      <text>
        <t xml:space="preserve">outdated</t>
      </text>
    </comment>
    <comment authorId="0" ref="J48">
      <text>
        <t xml:space="preserve">outdated</t>
      </text>
    </comment>
    <comment authorId="0" ref="K48">
      <text>
        <t xml:space="preserve">lets goooooo mega pogged</t>
      </text>
    </comment>
    <comment authorId="0" ref="L48">
      <text>
        <t xml:space="preserve">outdated</t>
      </text>
    </comment>
    <comment authorId="0" ref="M48">
      <text>
        <t xml:space="preserve">mod note: retimed by anmaku
outdated</t>
      </text>
    </comment>
    <comment authorId="0" ref="N48">
      <text>
        <t xml:space="preserve">outdated</t>
      </text>
    </comment>
    <comment authorId="0" ref="O48">
      <text>
        <t xml:space="preserve">no speedspin (outdated)
</t>
      </text>
    </comment>
    <comment authorId="0" ref="P48">
      <text>
        <t xml:space="preserve">outdated</t>
      </text>
    </comment>
    <comment authorId="0" ref="DJ45">
      <text>
        <t xml:space="preserve">with hundo because this IL is never done alone ya weirdos</t>
      </text>
    </comment>
    <comment authorId="0" ref="DO45">
      <text>
        <t xml:space="preserve">2015 lool</t>
      </text>
    </comment>
    <comment authorId="0" ref="Z48">
      <text>
        <t xml:space="preserve">outdated</t>
      </text>
    </comment>
    <comment authorId="0" ref="DP45">
      <text>
        <t xml:space="preserve">also 2015
</t>
      </text>
    </comment>
    <comment authorId="0" ref="DR45">
      <text>
        <t xml:space="preserve">Sid Corona, got gooped. More just made to record Sid strats for the platforms.</t>
      </text>
    </comment>
    <comment authorId="0" ref="AD48">
      <text>
        <t xml:space="preserve">outdated</t>
      </text>
    </comment>
    <comment authorId="0" ref="AF48">
      <text>
        <t xml:space="preserve">outdated</t>
      </text>
    </comment>
    <comment authorId="0" ref="DV45">
      <text>
        <t xml:space="preserve">NTSC-J shine spawn cutscene was retimed to the length of an NTSC-U one</t>
      </text>
    </comment>
    <comment authorId="0" ref="EA45">
      <text>
        <t xml:space="preserve">RTA strat</t>
      </text>
    </comment>
    <comment authorId="0" ref="O49">
      <text>
        <t xml:space="preserve">no wall skip</t>
      </text>
    </comment>
    <comment authorId="0" ref="AU48">
      <text>
        <t xml:space="preserve">outdated</t>
      </text>
    </comment>
    <comment authorId="0" ref="AV48">
      <text>
        <t xml:space="preserve">tree hug, no instant backflip
27.84 - tree hug gp yossy (dogshit strat)</t>
      </text>
    </comment>
    <comment authorId="0" ref="X49">
      <text>
        <t xml:space="preserve">2nd attempt</t>
      </text>
    </comment>
    <comment authorId="0" ref="BE48">
      <text>
        <t xml:space="preserve">outdated
32.68 on ntsc u -
https://clips.twitch.tv/AlertTameCroquetteDancingBaby-aLihn8PWuJtspbo5</t>
      </text>
    </comment>
    <comment authorId="0" ref="DS46">
      <text>
        <t xml:space="preserve">32.39 no dives</t>
      </text>
    </comment>
    <comment authorId="0" ref="BJ48">
      <text>
        <t xml:space="preserve">45.70 entry ottr secret</t>
      </text>
    </comment>
    <comment authorId="0" ref="AE49">
      <text>
        <t xml:space="preserve">useful</t>
      </text>
    </comment>
    <comment authorId="0" ref="BK48">
      <text>
        <t xml:space="preserve">outdated</t>
      </text>
    </comment>
    <comment authorId="0" ref="BR48">
      <text>
        <t xml:space="preserve">outdated
mod note: retimed to 1:32.16 by anmaku</t>
      </text>
    </comment>
    <comment authorId="0" ref="BS48">
      <text>
        <t xml:space="preserve">outdated</t>
      </text>
    </comment>
    <comment authorId="0" ref="AO49">
      <text>
        <t xml:space="preserve">my best IL ever by far</t>
      </text>
    </comment>
    <comment authorId="0" ref="BU48">
      <text>
        <t xml:space="preserve">outdated</t>
      </text>
    </comment>
    <comment authorId="0" ref="K50">
      <text>
        <t xml:space="preserve">14.27 tj pb.
JCool and Corgi are hype.
</t>
      </text>
    </comment>
    <comment authorId="0" ref="BW48">
      <text>
        <t xml:space="preserve">rip my oldest recorded pb
https://clips.twitch.tv/CrispyObeseDurianSwiftRage</t>
      </text>
    </comment>
    <comment authorId="0" ref="M50">
      <text>
        <t xml:space="preserve">2nd best no tornadoes
</t>
      </text>
    </comment>
    <comment authorId="0" ref="BY48">
      <text>
        <t xml:space="preserve">this level is literally... not that bad :)</t>
      </text>
    </comment>
    <comment authorId="0" ref="BZ48">
      <text>
        <t xml:space="preserve">outdated</t>
      </text>
    </comment>
    <comment authorId="0" ref="CA48">
      <text>
        <t xml:space="preserve">1 attempt</t>
      </text>
    </comment>
    <comment authorId="0" ref="AV49">
      <text>
        <t xml:space="preserve">bad backflip IL, no backflip PB is 29.48</t>
      </text>
    </comment>
    <comment authorId="0" ref="CG48">
      <text>
        <t xml:space="preserve">outdated</t>
      </text>
    </comment>
    <comment authorId="0" ref="BB49">
      <text>
        <t xml:space="preserve">fok perfect mecha</t>
      </text>
    </comment>
    <comment authorId="0" ref="CH48">
      <text>
        <t xml:space="preserve">outdated</t>
      </text>
    </comment>
    <comment authorId="0" ref="X50">
      <text>
        <t xml:space="preserve">No triple, can improve even without triple</t>
      </text>
    </comment>
    <comment authorId="0" ref="CJ48">
      <text>
        <t xml:space="preserve">outdated</t>
      </text>
    </comment>
    <comment authorId="0" ref="BE49">
      <text>
        <t xml:space="preserve">no fast 7th red</t>
      </text>
    </comment>
    <comment authorId="0" ref="AA50">
      <text>
        <t xml:space="preserve">Double jump, can improve
</t>
      </text>
    </comment>
    <comment authorId="0" ref="BJ181">
      <text>
        <t xml:space="preserve">[presumed PAL]</t>
      </text>
    </comment>
    <comment authorId="0" ref="BG49">
      <text>
        <t xml:space="preserve">thanks EYG cause pal is slow</t>
      </text>
    </comment>
    <comment authorId="0" ref="CM48">
      <text>
        <t xml:space="preserve">outdated</t>
      </text>
    </comment>
    <comment authorId="0" ref="BH49">
      <text>
        <t xml:space="preserve">useful IL</t>
      </text>
    </comment>
    <comment authorId="0" ref="CN48">
      <text>
        <t xml:space="preserve">outdated</t>
      </text>
    </comment>
    <comment authorId="0" ref="AD50">
      <text>
        <t xml:space="preserve">Best with spinjump from ramp is 56.34
</t>
      </text>
    </comment>
    <comment authorId="0" ref="CO48">
      <text>
        <t xml:space="preserve">lil slop</t>
      </text>
    </comment>
    <comment authorId="0" ref="BJ49">
      <text>
        <t xml:space="preserve">safe-ish pal 2 stu</t>
      </text>
    </comment>
    <comment authorId="0" ref="A51">
      <text>
        <t xml:space="preserve">monkey business</t>
      </text>
    </comment>
    <comment authorId="0" ref="AG50">
      <text>
        <t xml:space="preserve">15.86 spam spray activation strat pb
</t>
      </text>
    </comment>
    <comment authorId="0" ref="CV48">
      <text>
        <t xml:space="preserve">outdated
42.03 ntscu forgotten - https://clips.twitch.tv/AbstemiousProductiveCheetahPraiseIt-CP5SX4C5k64ZZoCV</t>
      </text>
    </comment>
    <comment authorId="0" ref="AM50">
      <text>
        <t xml:space="preserve">Best entry is 19.30
</t>
      </text>
    </comment>
    <comment authorId="0" ref="CX48">
      <text>
        <t xml:space="preserve">i will never gwk skip
choked 28.93 gwkd to a mf shine grab
this would be record when i started playing so thats kinda poggerssss</t>
      </text>
    </comment>
    <comment authorId="0" ref="CZ48">
      <text>
        <t xml:space="preserve">outdated</t>
      </text>
    </comment>
    <comment authorId="0" ref="DA48">
      <text>
        <t xml:space="preserve">(retimed)</t>
      </text>
    </comment>
    <comment authorId="0" ref="BV49">
      <text>
        <t xml:space="preserve">2nd try, no buttslides</t>
      </text>
    </comment>
    <comment authorId="0" ref="DB48">
      <text>
        <t xml:space="preserve">outdated</t>
      </text>
    </comment>
    <comment authorId="0" ref="BW49">
      <text>
        <t xml:space="preserve">no buttslides</t>
      </text>
    </comment>
    <comment authorId="0" ref="BX49">
      <text>
        <t xml:space="preserve">1 extra, meh fruits</t>
      </text>
    </comment>
    <comment authorId="0" ref="BY49">
      <text>
        <t xml:space="preserve">during a marathon run lol, almost 2s pb</t>
      </text>
    </comment>
    <comment authorId="0" ref="CB49">
      <text>
        <t xml:space="preserve">1 door clip</t>
      </text>
    </comment>
    <comment authorId="0" ref="R51">
      <text>
        <t xml:space="preserve">rocket
</t>
      </text>
    </comment>
    <comment authorId="0" ref="CG49">
      <text>
        <t xml:space="preserve">53.5X pace into bombs</t>
      </text>
    </comment>
    <comment authorId="0" ref="CH49">
      <text>
        <t xml:space="preserve">fast spring but no fast strat at the start</t>
      </text>
    </comment>
    <comment authorId="0" ref="BD50">
      <text>
        <t xml:space="preserve">
</t>
      </text>
    </comment>
    <comment authorId="0" ref="BF50">
      <text>
        <t xml:space="preserve">Right side pb is a 55.00
</t>
      </text>
    </comment>
    <comment authorId="0" ref="CL49">
      <text>
        <t xml:space="preserve">getting hit cause its more fun</t>
      </text>
    </comment>
    <comment authorId="0" ref="DR48">
      <text>
        <t xml:space="preserve">43.71 entry</t>
      </text>
    </comment>
    <comment authorId="0" ref="CM49">
      <text>
        <t xml:space="preserve">RTA strats, good ropes bad secret</t>
      </text>
    </comment>
    <comment authorId="0" ref="DS48">
      <text>
        <t xml:space="preserve">outdated</t>
      </text>
    </comment>
    <comment authorId="0" ref="BO50">
      <text>
        <t xml:space="preserve">unfort no vid but here's screenshot:
https://bsky.app/profile/chachachaser.bsky.social/post/3ldjzxnkl2k2y
</t>
      </text>
    </comment>
    <comment authorId="0" ref="CX49">
      <text>
        <t xml:space="preserve">30.38 damageless</t>
      </text>
    </comment>
    <comment authorId="0" ref="DB49">
      <text>
        <t xml:space="preserve">finally beat my 2:16 from july 2016</t>
      </text>
    </comment>
    <comment authorId="0" ref="BW50">
      <text>
        <t xml:space="preserve">24.60 no buttslide pb
</t>
      </text>
    </comment>
    <comment authorId="0" ref="CJ50">
      <text>
        <t xml:space="preserve">Recording cut partway through</t>
      </text>
    </comment>
    <comment authorId="0" ref="DT49">
      <text>
        <t xml:space="preserve">papaya</t>
      </text>
    </comment>
    <comment authorId="0" ref="I53">
      <text>
        <t xml:space="preserve">normie strat</t>
      </text>
    </comment>
    <comment authorId="0" ref="L53">
      <text>
        <t xml:space="preserve">i can relax now
</t>
      </text>
    </comment>
    <comment authorId="0" ref="M53">
      <text>
        <t xml:space="preserve">2nd best 1 nado iirc</t>
      </text>
    </comment>
    <comment authorId="0" ref="O53">
      <text>
        <t xml:space="preserve">momentum spin, gwkd </t>
      </text>
    </comment>
    <comment authorId="0" ref="X53">
      <text>
        <t xml:space="preserve">18.60 wake up, cracked fight</t>
      </text>
    </comment>
    <comment authorId="0" ref="AB53">
      <text>
        <t xml:space="preserve">.17 off my best entry</t>
      </text>
    </comment>
    <comment authorId="0" ref="AC53">
      <text>
        <t xml:space="preserve">watch from 11 seconds onward</t>
      </text>
    </comment>
    <comment authorId="0" ref="H54">
      <text>
        <t xml:space="preserve">I train 2 hours for this</t>
      </text>
    </comment>
    <comment authorId="0" ref="J54">
      <text>
        <t xml:space="preserve">bianco3 hater
</t>
      </text>
    </comment>
    <comment authorId="0" ref="P54">
      <text>
        <t xml:space="preserve">Why does anyone play this level
</t>
      </text>
    </comment>
    <comment authorId="0" ref="Q54">
      <text>
        <t xml:space="preserve">Absolute miserable level</t>
      </text>
    </comment>
    <comment authorId="0" ref="X54">
      <text>
        <t xml:space="preserve">NO weirdo strats</t>
      </text>
    </comment>
    <comment authorId="0" ref="BE53">
      <text>
        <t xml:space="preserve">boat hop (might try to get 33 with tas)
</t>
      </text>
    </comment>
    <comment authorId="0" ref="BI53">
      <text>
        <t xml:space="preserve">embarrassing  </t>
      </text>
    </comment>
    <comment authorId="0" ref="A55">
      <text>
        <t xml:space="preserve">6k points time
</t>
      </text>
    </comment>
    <comment authorId="0" ref="AG54">
      <text>
        <t xml:space="preserve">cringe</t>
      </text>
    </comment>
    <comment authorId="0" ref="BV53">
      <text>
        <t xml:space="preserve">bad casino</t>
      </text>
    </comment>
    <comment authorId="0" ref="BF54">
      <text>
        <t xml:space="preserve">Obnoxious Level
</t>
      </text>
    </comment>
    <comment authorId="0" ref="CM53">
      <text>
        <t xml:space="preserve">cliff entry (24.98), green cycle</t>
      </text>
    </comment>
    <comment authorId="0" ref="BK54">
      <text>
        <t xml:space="preserve">[fake video] – https://www.twitch.tv/videos/570508167</t>
      </text>
    </comment>
    <comment authorId="0" ref="BL54">
      <text>
        <t xml:space="preserve">cringe</t>
      </text>
    </comment>
    <comment authorId="0" ref="CV53">
      <text>
        <t xml:space="preserve">sorry for no audio won't happen again</t>
      </text>
    </comment>
    <comment authorId="0" ref="CZ53">
      <text>
        <t xml:space="preserve">bad pink man talk</t>
      </text>
    </comment>
    <comment authorId="0" ref="DC53">
      <text>
        <t xml:space="preserve">rollout spam spray (suboptimal)</t>
      </text>
    </comment>
    <comment authorId="0" ref="CA54">
      <text>
        <t xml:space="preserve">cringe</t>
      </text>
    </comment>
    <comment authorId="0" ref="CG54">
      <text>
        <t xml:space="preserve">My brain cannot compehend this level</t>
      </text>
    </comment>
    <comment authorId="0" ref="DR53">
      <text>
        <t xml:space="preserve">only mistake was boat turn around</t>
      </text>
    </comment>
    <comment authorId="0" ref="CV54">
      <text>
        <t xml:space="preserve">normie strat</t>
      </text>
    </comment>
    <comment authorId="0" ref="BV55">
      <text>
        <t xml:space="preserve">Double Ass</t>
      </text>
    </comment>
    <comment authorId="0" ref="AR56">
      <text>
        <t xml:space="preserve">[retimed from full level]</t>
      </text>
    </comment>
    <comment authorId="0" ref="AY56">
      <text>
        <t xml:space="preserve">https://twitter.com/Reborn_Frog/status/760096186782982144</t>
      </text>
    </comment>
    <comment authorId="0" ref="CN55">
      <text>
        <t xml:space="preserve">Bro this time is insane lol</t>
      </text>
    </comment>
    <comment authorId="0" ref="A59">
      <text>
        <t xml:space="preserve">hej
</t>
      </text>
    </comment>
    <comment authorId="0" ref="I191">
      <text>
        <t xml:space="preserve">what a terrible spida
</t>
      </text>
    </comment>
    <comment authorId="0" ref="BW189">
      <text>
        <t xml:space="preserve">Mod retimed, old QFT code used</t>
      </text>
    </comment>
    <comment authorId="0" ref="A60">
      <text>
        <t xml:space="preserve">What's that drew? I can't hear you over me stealing your points :)
Me: I'm gonna practice RTA strats to use in RTA!
Me 5 minutes later: haHA me like point numburr go UPUPUPUPUP</t>
      </text>
    </comment>
    <comment authorId="0" ref="K60">
      <text>
        <t xml:space="preserve">the orange cubes crushed me :pensive:</t>
      </text>
    </comment>
    <comment authorId="0" ref="L60">
      <text>
        <t xml:space="preserve">one day I'll have consistency in this level. When? No clue lol</t>
      </text>
    </comment>
    <comment authorId="0" ref="M60">
      <text>
        <t xml:space="preserve">mod note: retimed to 2:16.20 by zeldocto</t>
      </text>
    </comment>
    <comment authorId="0" ref="N60">
      <text>
        <t xml:space="preserve">another meh entry
Hella crazy secret</t>
      </text>
    </comment>
    <comment authorId="0" ref="O60">
      <text>
        <t xml:space="preserve">retimed from a bianco 6 full</t>
      </text>
    </comment>
    <comment authorId="0" ref="U60">
      <text>
        <t xml:space="preserve">improvable</t>
      </text>
    </comment>
    <comment authorId="0" ref="AA60">
      <text>
        <t xml:space="preserve">overhyped trash</t>
      </text>
    </comment>
    <comment authorId="0" ref="AC60">
      <text>
        <t xml:space="preserve">this secret sucks bootyhole</t>
      </text>
    </comment>
    <comment authorId="0" ref="AD60">
      <text>
        <t xml:space="preserve">pro tip: don't IL while not recording even if u think you have no chance of pbing. got a 57.11 out of nowhere. god dammit</t>
      </text>
    </comment>
    <comment authorId="0" ref="J61">
      <text>
        <t xml:space="preserve">note to me: add video
</t>
      </text>
    </comment>
    <comment authorId="0" ref="AP60">
      <text>
        <t xml:space="preserve">will grind later cause shine grab was shit</t>
      </text>
    </comment>
    <comment authorId="0" ref="AT60">
      <text>
        <t xml:space="preserve">I'm bad at underwatering</t>
      </text>
    </comment>
    <comment authorId="0" ref="AV60">
      <text>
        <t xml:space="preserve">not many vibes that match doing random gbs strats at 1:30am</t>
      </text>
    </comment>
    <comment authorId="0" ref="Q61">
      <text>
        <t xml:space="preserve">this il is fucking HARD dude
last pb with video: https://www.twitch.tv/videos/966065112</t>
      </text>
    </comment>
    <comment authorId="0" ref="R61">
      <text>
        <t xml:space="preserve">fluddless
</t>
      </text>
    </comment>
    <comment authorId="0" ref="AY60">
      <text>
        <t xml:space="preserve">doggy shart</t>
      </text>
    </comment>
    <comment authorId="0" ref="AZ60">
      <text>
        <t xml:space="preserve">s h i t</t>
      </text>
    </comment>
    <comment authorId="0" ref="U61">
      <text>
        <t xml:space="preserve">RTA strats, no waiting around + ratio</t>
      </text>
    </comment>
    <comment authorId="0" ref="BI192">
      <text>
        <t xml:space="preserve">stupid strat</t>
      </text>
    </comment>
    <comment authorId="0" ref="BF60">
      <text>
        <t xml:space="preserve">actual shit level</t>
      </text>
    </comment>
    <comment authorId="0" ref="BJ60">
      <text>
        <t xml:space="preserve">this'll prolly go unbeaten by me for a bit</t>
      </text>
    </comment>
    <comment authorId="0" ref="BR60">
      <text>
        <t xml:space="preserve">[retimed]
One day I won't be shit at this god awful level</t>
      </text>
    </comment>
    <comment authorId="0" ref="I62">
      <text>
        <t xml:space="preserve">I should fix this</t>
      </text>
    </comment>
    <comment authorId="0" ref="BU60">
      <text>
        <t xml:space="preserve">haha monkey go ook ook banana </t>
      </text>
    </comment>
    <comment authorId="0" ref="K62">
      <text>
        <t xml:space="preserve">my previous pb was a 14.06 wtf crack</t>
      </text>
    </comment>
    <comment authorId="0" ref="L62">
      <text>
        <t xml:space="preserve">bad
can 42 if i try hard enough
best 5th coin is 20.80?</t>
      </text>
    </comment>
    <comment authorId="0" ref="AR61">
      <text>
        <t xml:space="preserve">perfect execuytuon.
</t>
      </text>
    </comment>
    <comment authorId="0" ref="M62">
      <text>
        <t xml:space="preserve">best no tornado</t>
      </text>
    </comment>
    <comment authorId="0" ref="BY60">
      <text>
        <t xml:space="preserve">i think dis is my next grind. watch out chosen Keepo</t>
      </text>
    </comment>
    <comment authorId="0" ref="O62">
      <text>
        <t xml:space="preserve">degeneracy </t>
      </text>
    </comment>
    <comment authorId="0" ref="BZ60">
      <text>
        <t xml:space="preserve">how are people so good at this version bro i dun get it</t>
      </text>
    </comment>
    <comment authorId="0" ref="P62">
      <text>
        <t xml:space="preserve">hell</t>
      </text>
    </comment>
    <comment authorId="0" ref="AV61">
      <text>
        <t xml:space="preserve">[retimed from rta]</t>
      </text>
    </comment>
    <comment authorId="0" ref="S62">
      <text>
        <t xml:space="preserve">RTA</t>
      </text>
    </comment>
    <comment authorId="0" ref="CD60">
      <text>
        <t xml:space="preserve">forty</t>
      </text>
    </comment>
    <comment authorId="0" ref="T62">
      <text>
        <t xml:space="preserve">lmao</t>
      </text>
    </comment>
    <comment authorId="0" ref="U62">
      <text>
        <t xml:space="preserve">invalid video: https://clips.twitch.tv/DeafFurtiveSashimiBrainSlug-_Rj6GPe9dM17mqqz</t>
      </text>
    </comment>
    <comment authorId="0" ref="CG60">
      <text>
        <t xml:space="preserve">54 potench is real</t>
      </text>
    </comment>
    <comment authorId="0" ref="CH60">
      <text>
        <t xml:space="preserve">someone help, level too addicting</t>
      </text>
    </comment>
    <comment authorId="0" ref="BC61">
      <text>
        <t xml:space="preserve">scuffed ending</t>
      </text>
    </comment>
    <comment authorId="0" ref="X62">
      <text>
        <t xml:space="preserve">no box tj</t>
      </text>
    </comment>
    <comment authorId="0" ref="CI60">
      <text>
        <t xml:space="preserve">couldn't find the fourth coin</t>
      </text>
    </comment>
    <comment authorId="0" ref="CM60">
      <text>
        <t xml:space="preserve">free ropes strat Keepo</t>
      </text>
    </comment>
    <comment authorId="0" ref="CN60">
      <text>
        <t xml:space="preserve">p happy with this. unsure when I'll improve it</t>
      </text>
    </comment>
    <comment authorId="0" ref="CS60">
      <text>
        <t xml:space="preserve">mmmmm yes dropped spins my FAVORITE</t>
      </text>
    </comment>
    <comment authorId="0" ref="DY59">
      <text>
        <t xml:space="preserve">Dead Link: https://clips.twitch.tv/ManlyEnthusiasticTroutOptimizePrime-tsDwqe_ZvbBJrhYs</t>
      </text>
    </comment>
    <comment authorId="0" ref="AK62">
      <text>
        <t xml:space="preserve">ricco 2 xD</t>
      </text>
    </comment>
    <comment authorId="0" ref="BR61">
      <text>
        <t xml:space="preserve">[retimed]</t>
      </text>
    </comment>
    <comment authorId="0" ref="AM62">
      <text>
        <t xml:space="preserve">19.3 entry</t>
      </text>
    </comment>
    <comment authorId="0" ref="CX60">
      <text>
        <t xml:space="preserve">so satisfying to string everything together but dag nabbit that's a hard task to actually pull off</t>
      </text>
    </comment>
    <comment authorId="0" ref="AO62">
      <text>
        <t xml:space="preserve">Hover</t>
      </text>
    </comment>
    <comment authorId="0" ref="CZ60">
      <text>
        <t xml:space="preserve">yoshi skip was garbage</t>
      </text>
    </comment>
    <comment authorId="0" ref="AP62">
      <text>
        <t xml:space="preserve">toburr wiggler</t>
      </text>
    </comment>
    <comment authorId="0" ref="DB60">
      <text>
        <t xml:space="preserve">dis level is hard</t>
      </text>
    </comment>
    <comment authorId="0" ref="DC60">
      <text>
        <t xml:space="preserve">boutta pull out the vdub for this</t>
      </text>
    </comment>
    <comment authorId="0" ref="BX61">
      <text>
        <t xml:space="preserve">no cycle skipperinos
</t>
      </text>
    </comment>
    <comment authorId="0" ref="AU62">
      <text>
        <t xml:space="preserve">-0.1</t>
      </text>
    </comment>
    <comment authorId="0" ref="AV62">
      <text>
        <t xml:space="preserve">yossy tree throw
33.17 normal
32.35 invisible
45.94 yoshi</t>
      </text>
    </comment>
    <comment authorId="0" ref="CB61">
      <text>
        <t xml:space="preserve">with blue coin</t>
      </text>
    </comment>
    <comment authorId="0" ref="AZ62">
      <text>
        <t xml:space="preserve">vod died lol
https://www.twitch.tv/videos/979282240</t>
      </text>
    </comment>
    <comment authorId="0" ref="DM60">
      <text>
        <t xml:space="preserve">actual junk food IL lol</t>
      </text>
    </comment>
    <comment authorId="0" ref="BE62">
      <text>
        <t xml:space="preserve">[r</t>
      </text>
    </comment>
    <comment authorId="0" ref="BF62">
      <text>
        <t xml:space="preserve">fuck this level</t>
      </text>
    </comment>
    <comment authorId="0" ref="CO61">
      <text>
        <t xml:space="preserve">rta strats
</t>
      </text>
    </comment>
    <comment authorId="0" ref="BJ62">
      <text>
        <t xml:space="preserve">missed gp
otr 1 stu rta</t>
      </text>
    </comment>
    <comment authorId="0" ref="BK62">
      <text>
        <t xml:space="preserve">54.9 entry, bad secret ending
otr 1 stu rta</t>
      </text>
    </comment>
    <comment authorId="0" ref="A64">
      <text>
        <t xml:space="preserve">I have WR if you don't count all of the people that are better than me</t>
      </text>
    </comment>
    <comment authorId="0" ref="EA60">
      <text>
        <t xml:space="preserve">ending was ass. this'll do for now</t>
      </text>
    </comment>
    <comment authorId="0" ref="CX61">
      <text>
        <t xml:space="preserve">[retimed]
shittiest strats ob the planet</t>
      </text>
    </comment>
    <comment authorId="0" ref="J64">
      <text>
        <t xml:space="preserve">poopy 23.03 entry
I suck so I can't get better</t>
      </text>
    </comment>
    <comment authorId="0" ref="K64">
      <text>
        <t xml:space="preserve"># of 14.0X before 13.9 = 27
[image] https://i.imgur.com/zNpTP1x.jpg</t>
      </text>
    </comment>
    <comment authorId="0" ref="L64">
      <text>
        <t xml:space="preserve">This is my Second Worst IL (Behind Pinna 3), I need to L2RedCoins</t>
      </text>
    </comment>
    <comment authorId="0" ref="M64">
      <text>
        <t xml:space="preserve">2nd Best, 1 Tornado 
24.3X wake up
</t>
      </text>
    </comment>
    <comment authorId="0" ref="BX62">
      <text>
        <t xml:space="preserve">cycle skip messed up fruit at the end lol</t>
      </text>
    </comment>
    <comment authorId="0" ref="O64">
      <text>
        <t xml:space="preserve">RTA - GWKD</t>
      </text>
    </comment>
    <comment authorId="0" ref="BZ62">
      <text>
        <t xml:space="preserve">
</t>
      </text>
    </comment>
    <comment authorId="0" ref="P64">
      <text>
        <t xml:space="preserve">Quick Kill | Normal PB: 17.23
</t>
      </text>
    </comment>
    <comment authorId="0" ref="CB62">
      <text>
        <t xml:space="preserve">https://clips.twitch.tv/KitschyTalentedMartenMrDestructoid-MlIZI_PwnH00qEiq</t>
      </text>
    </comment>
    <comment authorId="0" ref="CD62">
      <text>
        <t xml:space="preserve">i have a 40.79 without waiting cycle</t>
      </text>
    </comment>
    <comment authorId="0" ref="DJ61">
      <text>
        <t xml:space="preserve">removed copied time</t>
      </text>
    </comment>
    <comment authorId="0" ref="CI194">
      <text>
        <t xml:space="preserve">Red</t>
      </text>
    </comment>
    <comment authorId="0" ref="CG62">
      <text>
        <t xml:space="preserve">https://clips.twitch.tv/UninterestedModernCocoaUWot-wia6AtVG-E_eKG8z missing first few frames</t>
      </text>
    </comment>
    <comment authorId="0" ref="DM61">
      <text>
        <t xml:space="preserve">hover only bc im a chad
</t>
      </text>
    </comment>
    <comment authorId="0" ref="CH62">
      <text>
        <t xml:space="preserve">jcool 1 attempt</t>
      </text>
    </comment>
    <comment authorId="0" ref="X64">
      <text>
        <t xml:space="preserve">No Triple Jump</t>
      </text>
    </comment>
    <comment authorId="0" ref="AB64">
      <text>
        <t xml:space="preserve">13:49 Entry (Bad Beyblade)</t>
      </text>
    </comment>
    <comment authorId="0" ref="A197">
      <text>
        <t xml:space="preserve">hi</t>
      </text>
    </comment>
    <comment authorId="0" ref="AF64">
      <text>
        <t xml:space="preserve">[image] https://i.imgur.com/HFhzYc4.jpg</t>
      </text>
    </comment>
    <comment authorId="0" ref="A65">
      <text>
        <t xml:space="preserve">I'm from Peru and most of my ILs style are RTA-able. NTSC-U.  </t>
      </text>
    </comment>
    <comment authorId="0" ref="AG64">
      <text>
        <t xml:space="preserve">Quick Kill | Normal PB: 16.61</t>
      </text>
    </comment>
    <comment authorId="0" ref="I65">
      <text>
        <t xml:space="preserve">slow y turn spinjump slow petey 10-17-20</t>
      </text>
    </comment>
    <comment authorId="0" ref="J65">
      <text>
        <t xml:space="preserve">2-17-24 im still slow at this one lol 23:xx entry</t>
      </text>
    </comment>
    <comment authorId="0" ref="L65">
      <text>
        <t xml:space="preserve">im not scared of the ending anymore 12-31-20</t>
      </text>
    </comment>
    <comment authorId="0" ref="M65">
      <text>
        <t xml:space="preserve">done in a jcool IL scrim competition 4-18-2024 best partern no tornado for first 2 . tornado for 3rd</t>
      </text>
    </comment>
    <comment authorId="0" ref="N65">
      <text>
        <t xml:space="preserve">2015 strats 5-2-24 better entry</t>
      </text>
    </comment>
    <comment authorId="0" ref="O65">
      <text>
        <t xml:space="preserve">new strat but slow at the top 5-15-20 have video upload soon
</t>
      </text>
    </comment>
    <comment authorId="0" ref="AU64">
      <text>
        <t xml:space="preserve">Quick Kill | Normal: 19.57</t>
      </text>
    </comment>
    <comment authorId="0" ref="DF62">
      <text>
        <t xml:space="preserve">corrected from 39.85 to match video</t>
      </text>
    </comment>
    <comment authorId="0" ref="AV64">
      <text>
        <t xml:space="preserve">Backflip | Normal PB: 30.28 
(Hut Throw + Normal Setup)
</t>
      </text>
    </comment>
    <comment authorId="0" ref="Q65">
      <text>
        <t xml:space="preserve">rope spin at the end for swag... elkeepo</t>
      </text>
    </comment>
    <comment authorId="0" ref="DG62">
      <text>
        <t xml:space="preserve">shit</t>
      </text>
    </comment>
    <comment authorId="0" ref="R65">
      <text>
        <t xml:space="preserve">2-21-23 rocket roll outs
</t>
      </text>
    </comment>
    <comment authorId="0" ref="DJ62">
      <text>
        <t xml:space="preserve">No y cam storage</t>
      </text>
    </comment>
    <comment authorId="0" ref="U65">
      <text>
        <t xml:space="preserve">have video 5-14-24 **</t>
      </text>
    </comment>
    <comment authorId="0" ref="V65">
      <text>
        <t xml:space="preserve">bh3</t>
      </text>
    </comment>
    <comment authorId="0" ref="DM62">
      <text>
        <t xml:space="preserve">amazing</t>
      </text>
    </comment>
    <comment authorId="0" ref="BC64">
      <text>
        <t xml:space="preserve">12.72 Entry</t>
      </text>
    </comment>
    <comment authorId="0" ref="X65">
      <text>
        <t xml:space="preserve">3-25-2025
slow spinjum strat at the start -&gt; triple jumpo-&gt; slow slime skip strat thingy. </t>
      </text>
    </comment>
    <comment authorId="0" ref="BE64">
      <text>
        <t xml:space="preserve">I don't understand this level
Using the normal RTA strat, I arrive @ coin #6 before the boat even gets there, but my time is always shit, I blame NTSC-U</t>
      </text>
    </comment>
    <comment authorId="0" ref="Z65">
      <text>
        <t xml:space="preserve">9-29-20</t>
      </text>
    </comment>
    <comment authorId="0" ref="BF64">
      <text>
        <t xml:space="preserve">[image] https://i.imgur.com/AOXqRcj.jpg</t>
      </text>
    </comment>
    <comment authorId="0" ref="AA65">
      <text>
        <t xml:space="preserve">water slide beyblade
</t>
      </text>
    </comment>
    <comment authorId="0" ref="AB65">
      <text>
        <t xml:space="preserve">done on stream 12-17-2021</t>
      </text>
    </comment>
    <comment authorId="0" ref="AC65">
      <text>
        <t xml:space="preserve">have recording need to update **</t>
      </text>
    </comment>
    <comment authorId="0" ref="DS62">
      <text>
        <t xml:space="preserve">will beat soon™</t>
      </text>
    </comment>
    <comment authorId="0" ref="AD65">
      <text>
        <t xml:space="preserve">pb  3-26-24 will improve</t>
      </text>
    </comment>
    <comment authorId="0" ref="DT62">
      <text>
        <t xml:space="preserve">14:23 Coconut
18xx Bannana
</t>
      </text>
    </comment>
    <comment authorId="0" ref="BJ64">
      <text>
        <t xml:space="preserve">NTSC-U | Pineapple | 2-Stu
50.8X Entry
[image] https://i.imgur.com/24wKl96.jpg</t>
      </text>
    </comment>
    <comment authorId="0" ref="AE65">
      <text>
        <t xml:space="preserve">pretty bad/one try</t>
      </text>
    </comment>
    <comment authorId="0" ref="DV62">
      <text>
        <t xml:space="preserve">bad
NTSC-J shine spawn cutscene was retimed to the length of an NTSC-U one</t>
      </text>
    </comment>
    <comment authorId="0" ref="DW62">
      <text>
        <t xml:space="preserve">hover</t>
      </text>
    </comment>
    <comment authorId="0" ref="AJ65">
      <text>
        <t xml:space="preserve">2-3-21 pb 3 pbs 1 day on this one</t>
      </text>
    </comment>
    <comment authorId="0" ref="AK65">
      <text>
        <t xml:space="preserve">have recording ** 5-21-24</t>
      </text>
    </comment>
    <comment authorId="0" ref="AN65">
      <text>
        <t xml:space="preserve">4-19-24 despin way</t>
      </text>
    </comment>
    <comment authorId="0" ref="AQ65">
      <text>
        <t xml:space="preserve">10-26-2024 have video</t>
      </text>
    </comment>
    <comment authorId="0" ref="BW64">
      <text>
        <t xml:space="preserve">First Buttslide only (RTA Strat)</t>
      </text>
    </comment>
    <comment authorId="0" ref="AR65">
      <text>
        <t xml:space="preserve">have video ** 10-26-24 RTA ending. Ledge grab lol</t>
      </text>
    </comment>
    <comment authorId="0" ref="AS65">
      <text>
        <t xml:space="preserve">Libre strat turbo. can improve. have recording. Need to upload.
</t>
      </text>
    </comment>
    <comment authorId="0" ref="AT65">
      <text>
        <t xml:space="preserve">have video ** 5-13-24</t>
      </text>
    </comment>
    <comment authorId="0" ref="BZ64">
      <text>
        <t xml:space="preserve">Emu JP is literally broken 80% of the time</t>
      </text>
    </comment>
    <comment authorId="0" ref="AU65">
      <text>
        <t xml:space="preserve">Have video will upload later ***5-5-2024</t>
      </text>
    </comment>
    <comment authorId="0" ref="CA64">
      <text>
        <t xml:space="preserve">Quick Kill | Normal PB: 23.76</t>
      </text>
    </comment>
    <comment authorId="0" ref="AV65">
      <text>
        <t xml:space="preserve">easy strats</t>
      </text>
    </comment>
    <comment authorId="0" ref="AW65">
      <text>
        <t xml:space="preserve">have video will update later 5-5-24 **</t>
      </text>
    </comment>
    <comment authorId="0" ref="AX65">
      <text>
        <t xml:space="preserve">spray nozzle</t>
      </text>
    </comment>
    <comment authorId="0" ref="AY65">
      <text>
        <t xml:space="preserve">finally 39 after 8 years</t>
      </text>
    </comment>
    <comment authorId="0" ref="AZ65">
      <text>
        <t xml:space="preserve">I got stuck</t>
      </text>
    </comment>
    <comment authorId="0" ref="BB65">
      <text>
        <t xml:space="preserve">Thank you Paperario my mecha is not trash anymore (updated from inside the park 2-22-24)</t>
      </text>
    </comment>
    <comment authorId="0" ref="BC65">
      <text>
        <t xml:space="preserve">3-13-2024</t>
      </text>
    </comment>
    <comment authorId="0" ref="BD65">
      <text>
        <t xml:space="preserve">lmao beat my pb by :01 twice now lol</t>
      </text>
    </comment>
    <comment authorId="0" ref="BE65">
      <text>
        <t xml:space="preserve">I realized this is now bad in 2024 so I need to push further...
5-7-24
</t>
      </text>
    </comment>
    <comment authorId="0" ref="BF65">
      <text>
        <t xml:space="preserve">left side RTA 4-27-2024</t>
      </text>
    </comment>
    <comment authorId="0" ref="CM64">
      <text>
        <t xml:space="preserve">Bad Ropes (22.21 Entry)
RTA Green Cycle</t>
      </text>
    </comment>
    <comment authorId="0" ref="BH65">
      <text>
        <t xml:space="preserve">have recording can upload it **</t>
      </text>
    </comment>
    <comment authorId="0" ref="CN64">
      <text>
        <t xml:space="preserve">Standard Green Cycle RTA Strat</t>
      </text>
    </comment>
    <comment authorId="0" ref="CO64">
      <text>
        <t xml:space="preserve">Quick Kill | Normal PB: 18.87
</t>
      </text>
    </comment>
    <comment authorId="0" ref="BJ65">
      <text>
        <t xml:space="preserve">[presumed NTSC-U] learning 1stu ntscu</t>
      </text>
    </comment>
    <comment authorId="0" ref="A67">
      <text>
        <t xml:space="preserve">Yosh give me your points</t>
      </text>
    </comment>
    <comment authorId="0" ref="BL65">
      <text>
        <t xml:space="preserve">gohgo tie pogchampion 2-22-2024</t>
      </text>
    </comment>
    <comment authorId="0" ref="BN65">
      <text>
        <t xml:space="preserve">have recording 3-18-2025</t>
      </text>
    </comment>
    <comment authorId="0" ref="CV64">
      <text>
        <t xml:space="preserve">Normal Strat (NTSC-U)
Trying to get a fast 3rd chomp without being able to hover clean is real annoying</t>
      </text>
    </comment>
    <comment authorId="0" ref="BR65">
      <text>
        <t xml:space="preserve">3-24-25</t>
      </text>
    </comment>
    <comment authorId="0" ref="CX64">
      <text>
        <t xml:space="preserve">Trash</t>
      </text>
    </comment>
    <comment authorId="0" ref="BS65">
      <text>
        <t xml:space="preserve">12-9-21</t>
      </text>
    </comment>
    <comment authorId="0" ref="CZ64">
      <text>
        <t xml:space="preserve">23.34 Entry
[image] https://i.imgur.com/RjTjaj5.jpg</t>
      </text>
    </comment>
    <comment authorId="0" ref="BU65">
      <text>
        <t xml:space="preserve">fast turn around 12-19-20</t>
      </text>
    </comment>
    <comment authorId="0" ref="DA64">
      <text>
        <t xml:space="preserve">NTSC-U (idk if it changes anything)
how is 27 possible
[image] https://i.imgur.com/f8yVoDs.jpg</t>
      </text>
    </comment>
    <comment authorId="0" ref="BV65">
      <text>
        <t xml:space="preserve">10-21-2024 triple jump RTA into beyblade last cube. Bad first talk.</t>
      </text>
    </comment>
    <comment authorId="0" ref="BW65">
      <text>
        <t xml:space="preserve">rta triple jump but with 2nd buttslide rec 10-21-24</t>
      </text>
    </comment>
    <comment authorId="0" ref="DC64">
      <text>
        <t xml:space="preserve">Quick Kill | Normal PB: 18.77</t>
      </text>
    </comment>
    <comment authorId="0" ref="BX65">
      <text>
        <t xml:space="preserve">tfw he didnt pepper himself in confusion feelsbadman 9-29-20</t>
      </text>
    </comment>
    <comment authorId="0" ref="BY65">
      <text>
        <t xml:space="preserve">NTSC-U jcool was there 5-26-2024
IL stream vs fech</t>
      </text>
    </comment>
    <comment authorId="0" ref="CA65">
      <text>
        <t xml:space="preserve">ultra kill but slow entry done on stream 11-6-20</t>
      </text>
    </comment>
    <comment authorId="0" ref="CD65">
      <text>
        <t xml:space="preserve">3/18/2025 no recording only screenht</t>
      </text>
    </comment>
    <comment authorId="0" ref="CE65">
      <text>
        <t xml:space="preserve">labing with invictus pretty fun shine 2-25-2023 sirena 4 3:03.91
5-13-24 Sirena 7 2:44.49(have video can do better)</t>
      </text>
    </comment>
    <comment authorId="0" ref="CG65">
      <text>
        <t xml:space="preserve">grabbing bombs is still final boss
i'm done with this level took too long to get 1st cycle
pb after 6 years
</t>
      </text>
    </comment>
    <comment authorId="0" ref="CH65">
      <text>
        <t xml:space="preserve">Finally not a garbo noki 2 sub 30 yay took me awhile ( tied this again on 8/10/2019 epic) i'm slow at the spring clip always</t>
      </text>
    </comment>
    <comment authorId="0" ref="CI65">
      <text>
        <t xml:space="preserve">3-20-24</t>
      </text>
    </comment>
    <comment authorId="0" ref="CJ65">
      <text>
        <t xml:space="preserve">just regular joe Huff Entry + 6 Tooth (slow last tooth) 3-20-24</t>
      </text>
    </comment>
    <comment authorId="0" ref="CL65">
      <text>
        <t xml:space="preserve">4-3-2025 have rec</t>
      </text>
    </comment>
    <comment authorId="0" ref="DR64">
      <text>
        <t xml:space="preserve">Fast Corona - Done slowly 
46.37 Entry</t>
      </text>
    </comment>
    <comment authorId="0" ref="AC67">
      <text>
        <t xml:space="preserve">My favorite IL :)</t>
      </text>
    </comment>
    <comment authorId="0" ref="CN65">
      <text>
        <t xml:space="preserve">9-27-20 RTA green cycle practice time</t>
      </text>
    </comment>
    <comment authorId="0" ref="AD67">
      <text>
        <t xml:space="preserve">This is so bad, so bad. However I have the burning passion of America in my heart</t>
      </text>
    </comment>
    <comment authorId="0" ref="CO65">
      <text>
        <t xml:space="preserve">12-18-21 have video rec</t>
      </text>
    </comment>
    <comment authorId="0" ref="BK66">
      <text>
        <t xml:space="preserve">[presumed JP]</t>
      </text>
    </comment>
    <comment authorId="0" ref="A68">
      <text>
        <t xml:space="preserve">:3</t>
      </text>
    </comment>
    <comment authorId="0" ref="CQ65">
      <text>
        <t xml:space="preserve">have recording can upload it **
5-6-25</t>
      </text>
    </comment>
    <comment authorId="0" ref="CV65">
      <text>
        <t xml:space="preserve">frogrouten strat NTSCU 10-19-2024</t>
      </text>
    </comment>
    <comment authorId="0" ref="CW65">
      <text>
        <t xml:space="preserve">I stopped to talk to lil blue piant man... just kidding rec 12-18-24
</t>
      </text>
    </comment>
    <comment authorId="0" ref="CX65">
      <text>
        <t xml:space="preserve">With NTSCU text on H*CK :'( gwkd &amp; gwkh on top of mushroom 
</t>
      </text>
    </comment>
    <comment authorId="0" ref="DB197">
      <text>
        <t xml:space="preserve">i am so bad at this level grr</t>
      </text>
    </comment>
    <comment authorId="0" ref="CY65">
      <text>
        <t xml:space="preserve">Fastest I can do at the moment here</t>
      </text>
    </comment>
    <comment authorId="0" ref="J68">
      <text>
        <t xml:space="preserve">-triple jump in secret
-22.68 entry
note to me: add video</t>
      </text>
    </comment>
    <comment authorId="0" ref="K68">
      <text>
        <t xml:space="preserve">triple jump strat</t>
      </text>
    </comment>
    <comment authorId="0" ref="DA65">
      <text>
        <t xml:space="preserve">have video will upload later ** 5-8-2024</t>
      </text>
    </comment>
    <comment authorId="0" ref="L68">
      <text>
        <t xml:space="preserve">46.26 w/o grass slide
got at pace 2024!</t>
      </text>
    </comment>
    <comment authorId="0" ref="DB65">
      <text>
        <t xml:space="preserve">LilZ</t>
      </text>
    </comment>
    <comment authorId="0" ref="O68">
      <text>
        <t xml:space="preserve">40.99 with badn't strat</t>
      </text>
    </comment>
    <comment authorId="0" ref="DE65">
      <text>
        <t xml:space="preserve">have recording can upload it **
5-8-25</t>
      </text>
    </comment>
    <comment authorId="0" ref="DF65">
      <text>
        <t xml:space="preserve">have recording can upload it **
5-5-25
shadowmario strat but slower lol</t>
      </text>
    </comment>
    <comment authorId="0" ref="AV67">
      <text>
        <t xml:space="preserve">Watermelon 1:36.38</t>
      </text>
    </comment>
    <comment authorId="0" ref="DG65">
      <text>
        <t xml:space="preserve">have recording can upload it **
5-13-24</t>
      </text>
    </comment>
    <comment authorId="0" ref="DM197">
      <text>
        <t xml:space="preserve">400 attempts or so</t>
      </text>
    </comment>
    <comment authorId="0" ref="DL65">
      <text>
        <t xml:space="preserve">have video ** 5-13-24</t>
      </text>
    </comment>
    <comment authorId="0" ref="DN65">
      <text>
        <t xml:space="preserve">
small pb 5-10-2024 have video will update later **</t>
      </text>
    </comment>
    <comment authorId="0" ref="DO65">
      <text>
        <t xml:space="preserve">2nd try on stream 11-6-20 
small pb 5-6-2024 have video will update later **</t>
      </text>
    </comment>
    <comment authorId="0" ref="Z68">
      <text>
        <t xml:space="preserve">55.121 full level (qf timer)</t>
      </text>
    </comment>
    <comment authorId="0" ref="DP65">
      <text>
        <t xml:space="preserve">small pb 5-14-2024 have video will update later **</t>
      </text>
    </comment>
    <comment authorId="0" ref="DQ65">
      <text>
        <t xml:space="preserve">small pb 5-6-2024 have video will update later **</t>
      </text>
    </comment>
    <comment authorId="0" ref="DR65">
      <text>
        <t xml:space="preserve">no dive 5th plataform. </t>
      </text>
    </comment>
    <comment authorId="0" ref="DS65">
      <text>
        <t xml:space="preserve">Not the best dives but if I did this in my corona IL I would have PBed</t>
      </text>
    </comment>
    <comment authorId="0" ref="AF68">
      <text>
        <t xml:space="preserve">50.417 full level (qf timer)</t>
      </text>
    </comment>
    <comment authorId="0" ref="AG68">
      <text>
        <t xml:space="preserve">17.16 with normal strat</t>
      </text>
    </comment>
    <comment authorId="0" ref="DW65">
      <text>
        <t xml:space="preserve">pb 5-6-2024 have video will update later **</t>
      </text>
    </comment>
    <comment authorId="0" ref="DX65">
      <text>
        <t xml:space="preserve">have recording can upload it **
5-5-25 ** for some reason lghthouse time was here I edited and fixed it
</t>
      </text>
    </comment>
    <comment authorId="0" ref="DY65">
      <text>
        <t xml:space="preserve">have recording can upload it **
5-10-25</t>
      </text>
    </comment>
    <comment authorId="0" ref="EA65">
      <text>
        <t xml:space="preserve">I miss doing bingos with kwan
5-26-2024
IL stream vs fech</t>
      </text>
    </comment>
    <comment authorId="0" ref="EB65">
      <text>
        <t xml:space="preserve">have recording can upload it **
5-6-25</t>
      </text>
    </comment>
    <comment authorId="0" ref="BR67">
      <text>
        <t xml:space="preserve">done on 2021/2/7 on manta code v1.0</t>
      </text>
    </comment>
    <comment authorId="0" ref="EC65">
      <text>
        <t xml:space="preserve">have recording can upload it ** 5-11-24
</t>
      </text>
    </comment>
    <comment authorId="0" ref="BS67">
      <text>
        <t xml:space="preserve">DM me if I need to make the clip longer</t>
      </text>
    </comment>
    <comment authorId="0" ref="AN68">
      <text>
        <t xml:space="preserve">no longer 1984</t>
      </text>
    </comment>
    <comment authorId="0" ref="BT67">
      <text>
        <t xml:space="preserve">It's on Yosh 😡</t>
      </text>
    </comment>
    <comment authorId="0" ref="O69">
      <text>
        <t xml:space="preserve">ms1 + GWKD
jump dive off last plat
</t>
      </text>
    </comment>
    <comment authorId="0" ref="AV68">
      <text>
        <t xml:space="preserve">hut throw</t>
      </text>
    </comment>
    <comment authorId="0" ref="CE67">
      <text>
        <t xml:space="preserve">No sound however pretty good</t>
      </text>
    </comment>
    <comment authorId="0" ref="CH67">
      <text>
        <t xml:space="preserve">I hate this level</t>
      </text>
    </comment>
    <comment authorId="0" ref="X69">
      <text>
        <t xml:space="preserve">box triple
</t>
      </text>
    </comment>
    <comment authorId="0" ref="BE68">
      <text>
        <t xml:space="preserve">boat hop / my proudest movement il</t>
      </text>
    </comment>
    <comment authorId="0" ref="BF68">
      <text>
        <t xml:space="preserve">sunflower: "oh i'm lovin it"
because it ate a big mac</t>
      </text>
    </comment>
    <comment authorId="0" ref="AA69">
      <text>
        <t xml:space="preserve">14 club
</t>
      </text>
    </comment>
    <comment authorId="0" ref="A202">
      <text>
        <t xml:space="preserve">Runs on 3DAS, ILs done on Emu</t>
      </text>
    </comment>
    <comment authorId="0" ref="AC69">
      <text>
        <t xml:space="preserve">:o
</t>
      </text>
    </comment>
    <comment authorId="0" ref="CN67">
      <text>
        <t xml:space="preserve">First day back FTW</t>
      </text>
    </comment>
    <comment authorId="0" ref="BI68">
      <text>
        <t xml:space="preserve">ottm is bad don't do it</t>
      </text>
    </comment>
    <comment authorId="0" ref="CO67">
      <text>
        <t xml:space="preserve">TFW you work endlessly in this level and can consistently get the trick and yosh gets a better time than in a few attempts</t>
      </text>
    </comment>
    <comment authorId="0" ref="BK68">
      <text>
        <t xml:space="preserve">the 1:2x choke ):
2-stu, ottr</t>
      </text>
    </comment>
    <comment authorId="0" ref="BL68">
      <text>
        <t xml:space="preserve">left strat</t>
      </text>
    </comment>
    <comment authorId="0" ref="BM68">
      <text>
        <t xml:space="preserve">shoutouts to gb</t>
      </text>
    </comment>
    <comment authorId="0" ref="BP68">
      <text>
        <t xml:space="preserve">how do people do this level so fast</t>
      </text>
    </comment>
    <comment authorId="0" ref="CV67">
      <text>
        <t xml:space="preserve">Absolute Dog Water</t>
      </text>
    </comment>
    <comment authorId="0" ref="BR68">
      <text>
        <t xml:space="preserve">mod note: retimed to 1:35.50 by anmaku</t>
      </text>
    </comment>
    <comment authorId="0" ref="I70">
      <text>
        <t xml:space="preserve">Shitty IL</t>
      </text>
    </comment>
    <comment authorId="0" ref="CY67">
      <text>
        <t xml:space="preserve">Dog Water</t>
      </text>
    </comment>
    <comment authorId="0" ref="DB67">
      <text>
        <t xml:space="preserve">Lost time bad ending</t>
      </text>
    </comment>
    <comment authorId="0" ref="M70">
      <text>
        <t xml:space="preserve">2nd best 3 tornadoes; basically perfect execution</t>
      </text>
    </comment>
    <comment authorId="0" ref="CB68">
      <text>
        <t xml:space="preserve">one door clip route
4:12.33 with banana clip</t>
      </text>
    </comment>
    <comment authorId="0" ref="DI67">
      <text>
        <t xml:space="preserve">airstrip 100's PB 1:16.53</t>
      </text>
    </comment>
    <comment authorId="0" ref="CD68">
      <text>
        <t xml:space="preserve">forty (two)</t>
      </text>
    </comment>
    <comment authorId="0" ref="CI68">
      <text>
        <t xml:space="preserve">bad</t>
      </text>
    </comment>
    <comment authorId="0" ref="BE69">
      <text>
        <t xml:space="preserve">inner peace
</t>
      </text>
    </comment>
    <comment authorId="0" ref="AA70">
      <text>
        <t xml:space="preserve">fucking shit my pants after realizing i actually got a good triple jump and lost some frames
13 will hapen</t>
      </text>
    </comment>
    <comment authorId="0" ref="CM68">
      <text>
        <t xml:space="preserve">nanashi ropes entry (21.5x, best 21.27), green cycle w/ plat skip</t>
      </text>
    </comment>
    <comment authorId="0" ref="CN68">
      <text>
        <t xml:space="preserve">30.99 no platform skip
https://youtu.be/aaHGnnnqpRU</t>
      </text>
    </comment>
    <comment authorId="0" ref="CO68">
      <text>
        <t xml:space="preserve">didnt turn fast text on :(</t>
      </text>
    </comment>
    <comment authorId="0" ref="DA68">
      <text>
        <t xml:space="preserve">non-ramel: 52.25</t>
      </text>
    </comment>
    <comment authorId="0" ref="AS70">
      <text>
        <t xml:space="preserve">made up stratslol</t>
      </text>
    </comment>
    <comment authorId="0" ref="DF68">
      <text>
        <t xml:space="preserve">random fluff came out of nowhere while doing rta strat
42.56 is rta strat</t>
      </text>
    </comment>
    <comment authorId="0" ref="DM68">
      <text>
        <t xml:space="preserve">result of a 2.5 hour grind and 6-7 15.60's. (16.13 with hover)</t>
      </text>
    </comment>
    <comment authorId="0" ref="A204">
      <text>
        <t xml:space="preserve">huh</t>
      </text>
    </comment>
    <comment authorId="0" ref="A72">
      <text>
        <t xml:space="preserve">hover to win</t>
      </text>
    </comment>
    <comment authorId="0" ref="CX69">
      <text>
        <t xml:space="preserve">slow bridge movement
</t>
      </text>
    </comment>
    <comment authorId="0" ref="M72">
      <text>
        <t xml:space="preserve">[retimed]</t>
      </text>
    </comment>
    <comment authorId="0" ref="CH70">
      <text>
        <t xml:space="preserve">YESSSSS</t>
      </text>
    </comment>
    <comment authorId="0" ref="CN70">
      <text>
        <t xml:space="preserve">glapgaos</t>
      </text>
    </comment>
    <comment authorId="0" ref="AT204">
      <text>
        <t xml:space="preserve">great level</t>
      </text>
    </comment>
    <comment authorId="0" ref="DI70">
      <text>
        <t xml:space="preserve">42.62 SGT // 42.132 Mod retime</t>
      </text>
    </comment>
    <comment authorId="0" ref="BJ72">
      <text>
        <t xml:space="preserve">remembered to turn on obs :)</t>
      </text>
    </comment>
    <comment authorId="0" ref="BR72">
      <text>
        <t xml:space="preserve">mod note: retimed to 1:44.06 by anmaku</t>
      </text>
    </comment>
    <comment authorId="0" ref="BW72">
      <text>
        <t xml:space="preserve">lol</t>
      </text>
    </comment>
    <comment authorId="0" ref="CZ72">
      <text>
        <t xml:space="preserve">[retimed]</t>
      </text>
    </comment>
    <comment authorId="0" ref="AU74">
      <text>
        <t xml:space="preserve">with blue coin</t>
      </text>
    </comment>
    <comment authorId="0" ref="Z75">
      <text>
        <t xml:space="preserve">17.61 RTA</t>
      </text>
    </comment>
    <comment authorId="0" ref="CD74">
      <text>
        <t xml:space="preserve">rta strat</t>
      </text>
    </comment>
    <comment authorId="0" ref="BE75">
      <text>
        <t xml:space="preserve">38.53 RTA pb</t>
      </text>
    </comment>
    <comment authorId="0" ref="AS76">
      <text>
        <t xml:space="preserve">[image] 
https://imgur.com/a/HzAKmOW
</t>
      </text>
    </comment>
    <comment authorId="0" ref="DE74">
      <text>
        <t xml:space="preserve">rta</t>
      </text>
    </comment>
    <comment authorId="0" ref="CA75">
      <text>
        <t xml:space="preserve">22.44 starting at the beach
10.62 starting inside the hotel</t>
      </text>
    </comment>
    <comment authorId="0" ref="CM77">
      <text>
        <t xml:space="preserve">one attempt</t>
      </text>
    </comment>
    <comment authorId="0" ref="A80">
      <text>
        <t xml:space="preserve">viva chile ctmmmmmmm</t>
      </text>
    </comment>
    <comment authorId="0" ref="AV79">
      <text>
        <t xml:space="preserve">yossy + budget Dutchj spray</t>
      </text>
    </comment>
    <comment authorId="0" ref="S80">
      <text>
        <t xml:space="preserve">niiiice</t>
      </text>
    </comment>
    <comment authorId="0" ref="AD80">
      <text>
        <t xml:space="preserve">pretty happy for that time</t>
      </text>
    </comment>
    <comment authorId="0" ref="M81">
      <text>
        <t xml:space="preserve">during a fast any% attempt lol</t>
      </text>
    </comment>
    <comment authorId="0" ref="BX79">
      <text>
        <t xml:space="preserve">1 cycle skip, bad execution
</t>
      </text>
    </comment>
    <comment authorId="0" ref="BJ80">
      <text>
        <t xml:space="preserve">[presumed NTSC-U]</t>
      </text>
    </comment>
    <comment authorId="0" ref="A82">
      <text>
        <t xml:space="preserve">Mostly Any% RTA strats
</t>
      </text>
    </comment>
    <comment authorId="0" ref="BR80">
      <text>
        <t xml:space="preserve">[Retimed]</t>
      </text>
    </comment>
    <comment authorId="0" ref="K82">
      <text>
        <t xml:space="preserve">[partial video] https://youtu.be/HxecNIVa5eQ</t>
      </text>
    </comment>
    <comment authorId="0" ref="L82">
      <text>
        <t xml:space="preserve">42 club, Moenado is op!</t>
      </text>
    </comment>
    <comment authorId="0" ref="M82">
      <text>
        <t xml:space="preserve">2nd best 2 tornados</t>
      </text>
    </comment>
    <comment authorId="0" ref="BL81">
      <text>
        <t xml:space="preserve">RTA left side standalone 2nd place.</t>
      </text>
    </comment>
    <comment authorId="0" ref="DB80">
      <text>
        <t xml:space="preserve">random run lets go
</t>
      </text>
    </comment>
    <comment authorId="0" ref="BX81">
      <text>
        <t xml:space="preserve">bad 1st cycle</t>
      </text>
    </comment>
    <comment authorId="0" ref="DG80">
      <text>
        <t xml:space="preserve">can be improved, but my mushroom were pretty good</t>
      </text>
    </comment>
    <comment authorId="0" ref="X83">
      <text>
        <t xml:space="preserve">missed hoverslide after box triple</t>
      </text>
    </comment>
    <comment authorId="0" ref="BE82">
      <text>
        <t xml:space="preserve">No 7th red clip
</t>
      </text>
    </comment>
    <comment authorId="0" ref="AD83">
      <text>
        <t xml:space="preserve">sub minute too hard lol</t>
      </text>
    </comment>
    <comment authorId="0" ref="AG83">
      <text>
        <t xml:space="preserve">JJ quick kill</t>
      </text>
    </comment>
    <comment authorId="0" ref="CZ81">
      <text>
        <t xml:space="preserve">57.56 Fast Text Code on 7/7/2025</t>
      </text>
    </comment>
    <comment authorId="0" ref="AV83">
      <text>
        <t xml:space="preserve">really good for my skill level</t>
      </text>
    </comment>
    <comment authorId="0" ref="CI82">
      <text>
        <t xml:space="preserve">grats on the point Sid</t>
      </text>
    </comment>
    <comment authorId="0" ref="BE83">
      <text>
        <t xml:space="preserve">bad ending</t>
      </text>
    </comment>
    <comment authorId="0" ref="BI83">
      <text>
        <t xml:space="preserve">fuck this shine grab</t>
      </text>
    </comment>
    <comment authorId="0" ref="BJ83">
      <text>
        <t xml:space="preserve">finally learning 3yg</t>
      </text>
    </comment>
    <comment authorId="0" ref="BV83">
      <text>
        <t xml:space="preserve">no buttslides</t>
      </text>
    </comment>
    <comment authorId="0" ref="BW83">
      <text>
        <t xml:space="preserve">both buttslides</t>
      </text>
    </comment>
    <comment authorId="0" ref="BX83">
      <text>
        <t xml:space="preserve">With casino blue lol</t>
      </text>
    </comment>
    <comment authorId="0" ref="CA83">
      <text>
        <t xml:space="preserve">standard quick kill</t>
      </text>
    </comment>
    <comment authorId="0" ref="CB83">
      <text>
        <t xml:space="preserve">bonked off table into coin shortly after the same table killed a 4:21</t>
      </text>
    </comment>
    <comment authorId="0" ref="CC83">
      <text>
        <t xml:space="preserve">massive 1:06 choke</t>
      </text>
    </comment>
    <comment authorId="0" ref="CE83">
      <text>
        <t xml:space="preserve">Sirena 4 (Bingo)</t>
      </text>
    </comment>
    <comment authorId="0" ref="CN83">
      <text>
        <t xml:space="preserve">took forever to beat no vid PB</t>
      </text>
    </comment>
    <comment authorId="0" ref="EA214">
      <text>
        <t xml:space="preserve">[retimed]</t>
      </text>
    </comment>
    <comment authorId="0" ref="BR84">
      <text>
        <t xml:space="preserve">with fix manta code
</t>
      </text>
    </comment>
    <comment authorId="0" ref="CX83">
      <text>
        <t xml:space="preserve">bad</t>
      </text>
    </comment>
    <comment authorId="0" ref="CZ83">
      <text>
        <t xml:space="preserve">no early</t>
      </text>
    </comment>
    <comment authorId="0" ref="CE84">
      <text>
        <t xml:space="preserve">Sirena 1 :)</t>
      </text>
    </comment>
    <comment authorId="0" ref="AD86">
      <text>
        <t xml:space="preserve">57.18 without video</t>
      </text>
    </comment>
    <comment authorId="0" ref="J88">
      <text>
        <t xml:space="preserve">22.422 best entry https://youtu.be/rnerl2rIOus</t>
      </text>
    </comment>
    <comment authorId="0" ref="BJ87">
      <text>
        <t xml:space="preserve">us, 1 stu, ottm</t>
      </text>
    </comment>
    <comment authorId="0" ref="BR87">
      <text>
        <t xml:space="preserve">1:35 pre-nintendont fix</t>
      </text>
    </comment>
    <comment authorId="0" ref="A90">
      <text>
        <t xml:space="preserve">Colored names rise UP!
I'm trying to fill out my row before I tryhard for points.</t>
      </text>
    </comment>
    <comment authorId="0" ref="K90">
      <text>
        <t xml:space="preserve">This level is HOTly contested wow</t>
      </text>
    </comment>
    <comment authorId="0" ref="T90">
      <text>
        <t xml:space="preserve">No rocket rollout strat. If you land suuuuper close to the edge on the red platform you can spinjump to the blue one and save like three seconds but its crazy hard.</t>
      </text>
    </comment>
    <comment authorId="0" ref="V90">
      <text>
        <t xml:space="preserve">Got this after I was satisfied with my time and stopped recording.</t>
      </text>
    </comment>
    <comment authorId="0" ref="AA90">
      <text>
        <t xml:space="preserve">Backside beyblade strat</t>
      </text>
    </comment>
    <comment authorId="0" ref="AD90">
      <text>
        <t xml:space="preserve">Boat waterslide with box triple jump</t>
      </text>
    </comment>
    <comment authorId="0" ref="AH90">
      <text>
        <t xml:space="preserve">Sick fruit clip</t>
      </text>
    </comment>
    <comment authorId="0" ref="AI90">
      <text>
        <t xml:space="preserve">PSA: Do not do this strat. The jump for the fifth coin out of the Y-turn is insanely precise and I wasted several hours grinding this. Get a free 1:05 by groundpounding on the fourth coin and lining up the fifth coin jump that way. Y-turn strat is way too insane, saves like .7 or less. Also the triple jump was accidental.</t>
      </text>
    </comment>
    <comment authorId="0" ref="AK90">
      <text>
        <t xml:space="preserve">BLUE SHINE SPRAY SUCKS</t>
      </text>
    </comment>
    <comment authorId="0" ref="CX88">
      <text>
        <t xml:space="preserve">29.696 pb intro skip</t>
      </text>
    </comment>
    <comment authorId="0" ref="AO90">
      <text>
        <t xml:space="preserve">I FORGOT TO HIT RECORD
AAAAAAAAAAAAAAAAAAAAAAAAAAAAAAAAAAAAAAAAAAAAAAAAAAAAAAAAAAAAAAAAAAAAAAAAAAAAAAAAAAAAAAAAAAAAAAAAAAAAAAAAAAAAAAAAAAAAAAAAAAAAAAAAAAAAAAAAAAAAAAAAAAAAAAAAAAAAAAAAAAAAAAAAAAAAAAAAAAAAAAAAAAAAAAAAAAAAAAAAAAAAAAAAAAAAAAAAAAAAAAAAAAAAAA</t>
      </text>
    </comment>
    <comment authorId="0" ref="AP90">
      <text>
        <t xml:space="preserve">This strat it so dumb lol, got it though.
Groundpound windows are 6.55 - 6.70 and 7.00 - 7.25.</t>
      </text>
    </comment>
    <comment authorId="0" ref="AQ90">
      <text>
        <t xml:space="preserve">I grinded this for several hours trying to get a medal. Fourth place, Sadge. Getting the necessary entry time is more difficult than the reds. Not kidding.
The walking rocket storage is done by going neutral at the right time so Mario's stopping animation overlaps when the rocket goes off.
https://www.youtube.com/watch?v=92D77Y7EgEo</t>
      </text>
    </comment>
    <comment authorId="0" ref="DB88">
      <text>
        <t xml:space="preserve">2:16:71 pb</t>
      </text>
    </comment>
    <comment authorId="0" ref="BW89">
      <text>
        <t xml:space="preserve">18 coming soon</t>
      </text>
    </comment>
    <comment authorId="0" ref="AR90">
      <text>
        <t xml:space="preserve">[retimed from full level]</t>
      </text>
    </comment>
    <comment authorId="0" ref="AU90">
      <text>
        <t xml:space="preserve">Hard to optimize this any more without quick kill</t>
      </text>
    </comment>
    <comment authorId="0" ref="AW90">
      <text>
        <t xml:space="preserve">Used the cataquack to hit me up the cliff</t>
      </text>
    </comment>
    <comment authorId="0" ref="BB90">
      <text>
        <t xml:space="preserve">MLG Strats</t>
      </text>
    </comment>
    <comment authorId="0" ref="BE90">
      <text>
        <t xml:space="preserve">I thought this time would rank a lot better than it does</t>
      </text>
    </comment>
    <comment authorId="0" ref="BF90">
      <text>
        <t xml:space="preserve">One cycle</t>
      </text>
    </comment>
    <comment authorId="0" ref="BG90">
      <text>
        <t xml:space="preserve">Jump off awning &gt; sideflip off deck onto sail &gt; spin jump onto sloped grate</t>
      </text>
    </comment>
    <comment authorId="0" ref="BL90">
      <text>
        <t xml:space="preserve">About the best possible without quick kill</t>
      </text>
    </comment>
    <comment authorId="0" ref="BS90">
      <text>
        <t xml:space="preserve">Pretty good</t>
      </text>
    </comment>
    <comment authorId="0" ref="BW90">
      <text>
        <t xml:space="preserve">Momentum spin on each cube</t>
      </text>
    </comment>
    <comment authorId="0" ref="M92">
      <text>
        <t xml:space="preserve">best pattern 2 nados</t>
      </text>
    </comment>
    <comment authorId="0" ref="BX90">
      <text>
        <t xml:space="preserve">Could get better but I hate grinding this level.</t>
      </text>
    </comment>
    <comment authorId="0" ref="CJ90">
      <text>
        <t xml:space="preserve">Man, this is a really good time and I'm still like last</t>
      </text>
    </comment>
    <comment authorId="0" ref="CL90">
      <text>
        <t xml:space="preserve">Got a crazy savestate where I could somewhat consistently dive under Piantissimo as he was jumping over the first gap, not sure if I can 11 with it so I'll stop here.</t>
      </text>
    </comment>
    <comment authorId="0" ref="AB92">
      <text>
        <t xml:space="preserve">tied my best entry (15.53)</t>
      </text>
    </comment>
    <comment authorId="0" ref="CR90">
      <text>
        <t xml:space="preserve">Only two times here. Free medal omegalul.</t>
      </text>
    </comment>
    <comment authorId="0" ref="CZ90">
      <text>
        <t xml:space="preserve">Pretty crazy RNG</t>
      </text>
    </comment>
    <comment authorId="0" ref="AV92">
      <text>
        <t xml:space="preserve">orange + fech</t>
      </text>
    </comment>
    <comment authorId="0" ref="DS90">
      <text>
        <t xml:space="preserve">Rocket dive on the first circular crack in the concrete</t>
      </text>
    </comment>
    <comment authorId="0" ref="BK92">
      <text>
        <t xml:space="preserve">1 stu 55.9 entry
over right no y cam</t>
      </text>
    </comment>
    <comment authorId="0" ref="BL92">
      <text>
        <t xml:space="preserve">left side rta strat twr</t>
      </text>
    </comment>
    <comment authorId="0" ref="BW92">
      <text>
        <t xml:space="preserve">audio desync</t>
      </text>
    </comment>
    <comment authorId="0" ref="CJ92">
      <text>
        <t xml:space="preserve">5</t>
      </text>
    </comment>
    <comment authorId="0" ref="BJ93">
      <text>
        <t xml:space="preserve">[presumed PAL]</t>
      </text>
    </comment>
    <comment authorId="0" ref="A95">
      <text>
        <t xml:space="preserve">i'm hiyoko.
not haiyoko lol.
arrozdelicioso.</t>
      </text>
    </comment>
    <comment authorId="0" ref="I97">
      <text>
        <t xml:space="preserve">I meant to remember the entry time but i forgor the decimals (34.xx)</t>
      </text>
    </comment>
    <comment authorId="0" ref="J97">
      <text>
        <t xml:space="preserve">22.64 entry
37.58 SGT</t>
      </text>
    </comment>
    <comment authorId="0" ref="K97">
      <text>
        <t xml:space="preserve">13.96 SGT</t>
      </text>
    </comment>
    <comment authorId="0" ref="L97">
      <text>
        <t xml:space="preserve">SGT 47.38
that felt like a solid run
&lt;3 tomato i'll get you back some day (probably when i learn grass hoverslide)</t>
      </text>
    </comment>
    <comment authorId="0" ref="M97">
      <text>
        <t xml:space="preserve">SGT 2:27.41
Walmart best, 1 nado. missed the shine lmao</t>
      </text>
    </comment>
    <comment authorId="0" ref="N97">
      <text>
        <t xml:space="preserve">SGT 1:12.91
entry 30.05</t>
      </text>
    </comment>
    <comment authorId="0" ref="O97">
      <text>
        <t xml:space="preserve">SGT: 41.79</t>
      </text>
    </comment>
    <comment authorId="0" ref="P97">
      <text>
        <t xml:space="preserve">improve</t>
      </text>
    </comment>
    <comment authorId="0" ref="Q97">
      <text>
        <t xml:space="preserve">minute barrier (hard)</t>
      </text>
    </comment>
    <comment authorId="0" ref="R97">
      <text>
        <t xml:space="preserve">Horrific video</t>
      </text>
    </comment>
    <comment authorId="0" ref="U97">
      <text>
        <t xml:space="preserve">Horrific video (improve)</t>
      </text>
    </comment>
    <comment authorId="0" ref="V97">
      <text>
        <t xml:space="preserve">Video (improve)</t>
      </text>
    </comment>
    <comment authorId="0" ref="AC97">
      <text>
        <t xml:space="preserve">Slow
</t>
      </text>
    </comment>
    <comment authorId="0" ref="AF97">
      <text>
        <t xml:space="preserve">Video</t>
      </text>
    </comment>
    <comment authorId="0" ref="AG97">
      <text>
        <t xml:space="preserve">improve</t>
      </text>
    </comment>
    <comment authorId="0" ref="AH97">
      <text>
        <t xml:space="preserve">Video</t>
      </text>
    </comment>
    <comment authorId="0" ref="AJ97">
      <text>
        <t xml:space="preserve">Video (improve)
</t>
      </text>
    </comment>
    <comment authorId="0" ref="AK97">
      <text>
        <t xml:space="preserve">Video (improve)</t>
      </text>
    </comment>
    <comment authorId="0" ref="AM97">
      <text>
        <t xml:space="preserve">Video</t>
      </text>
    </comment>
    <comment authorId="0" ref="AN97">
      <text>
        <t xml:space="preserve">Video</t>
      </text>
    </comment>
    <comment authorId="0" ref="L98">
      <text>
        <t xml:space="preserve">no grass slide</t>
      </text>
    </comment>
    <comment authorId="0" ref="AU97">
      <text>
        <t xml:space="preserve">improve</t>
      </text>
    </comment>
    <comment authorId="0" ref="AW97">
      <text>
        <t xml:space="preserve">video</t>
      </text>
    </comment>
    <comment authorId="0" ref="AX97">
      <text>
        <t xml:space="preserve">Video</t>
      </text>
    </comment>
    <comment authorId="0" ref="AY97">
      <text>
        <t xml:space="preserve">Video (improve)</t>
      </text>
    </comment>
    <comment authorId="0" ref="BB97">
      <text>
        <t xml:space="preserve">video</t>
      </text>
    </comment>
    <comment authorId="0" ref="BE97">
      <text>
        <t xml:space="preserve">Video (improve)</t>
      </text>
    </comment>
    <comment authorId="0" ref="BF97">
      <text>
        <t xml:space="preserve">video (improve)</t>
      </text>
    </comment>
    <comment authorId="0" ref="BG97">
      <text>
        <t xml:space="preserve">[retimed]</t>
      </text>
    </comment>
    <comment authorId="0" ref="BH97">
      <text>
        <t xml:space="preserve">video</t>
      </text>
    </comment>
    <comment authorId="0" ref="BJ97">
      <text>
        <t xml:space="preserve">improve</t>
      </text>
    </comment>
    <comment authorId="0" ref="A99">
      <text>
        <t xml:space="preserve">long way to the top</t>
      </text>
    </comment>
    <comment authorId="0" ref="BN97">
      <text>
        <t xml:space="preserve">Video (improve)</t>
      </text>
    </comment>
    <comment authorId="0" ref="BP97">
      <text>
        <t xml:space="preserve">improve</t>
      </text>
    </comment>
    <comment authorId="0" ref="BS97">
      <text>
        <t xml:space="preserve">improve</t>
      </text>
    </comment>
    <comment authorId="0" ref="I99">
      <text>
        <t xml:space="preserve">1 try lmao</t>
      </text>
    </comment>
    <comment authorId="0" ref="J99">
      <text>
        <t xml:space="preserve">23.05 entry, best is 22.7x or low 8x
no nixonslide
tj secret</t>
      </text>
    </comment>
    <comment authorId="0" ref="K99">
      <text>
        <t xml:space="preserve">fuck yeah, shadowplay sux tho</t>
      </text>
    </comment>
    <comment authorId="0" ref="BV97">
      <text>
        <t xml:space="preserve">no momentum spin</t>
      </text>
    </comment>
    <comment authorId="0" ref="L99">
      <text>
        <t xml:space="preserve">hoverless pb 54.01
not v optimized
&lt;3 denial</t>
      </text>
    </comment>
    <comment authorId="0" ref="BY97">
      <text>
        <t xml:space="preserve">Was 2:19.xx in a pb pace run so i didn't look at the decimals (no recording equipment atm)
improve</t>
      </text>
    </comment>
    <comment authorId="0" ref="CA97">
      <text>
        <t xml:space="preserve">improve</t>
      </text>
    </comment>
    <comment authorId="0" ref="CB97">
      <text>
        <t xml:space="preserve">improve</t>
      </text>
    </comment>
    <comment authorId="0" ref="S99">
      <text>
        <t xml:space="preserve">WOOOOOOOOOOOOOOOOOOOOOOOOOOOOOOOOOOOOOOOOOOOOOOOOOOOOOOOOOOOOOOOOOOOOOOOOOOOOOOOOOOOOOOOOOOOOOOOOOOOOOOOOOOOOOOOOOOOOOOOOOOOOOOOOO I FINALLY DI DIT</t>
      </text>
    </comment>
    <comment authorId="0" ref="V99">
      <text>
        <t xml:space="preserve">pokey sprout refractory period
the fiery blossoms writhe, and I do, for we are in hell
But finally my chains are broken</t>
      </text>
    </comment>
    <comment authorId="0" ref="CG97">
      <text>
        <t xml:space="preserve">improve</t>
      </text>
    </comment>
    <comment authorId="0" ref="CH97">
      <text>
        <t xml:space="preserve">Missed the shine on like a 31.4x</t>
      </text>
    </comment>
    <comment authorId="0" ref="X99">
      <text>
        <t xml:space="preserve">check fred's row for wise words
best entry 18.97 (w/o box triple!)
entry in pb is 19.07 (3rd best)
</t>
      </text>
    </comment>
    <comment authorId="0" ref="CI97">
      <text>
        <t xml:space="preserve">video</t>
      </text>
    </comment>
    <comment authorId="0" ref="CJ97">
      <text>
        <t xml:space="preserve">improve</t>
      </text>
    </comment>
    <comment authorId="0" ref="Z99">
      <text>
        <t xml:space="preserve">lol</t>
      </text>
    </comment>
    <comment authorId="0" ref="AA99">
      <text>
        <t xml:space="preserve">15.64 craneless</t>
      </text>
    </comment>
    <comment authorId="0" ref="AB99">
      <text>
        <t xml:space="preserve">awful ending, 2 completed attempts</t>
      </text>
    </comment>
    <comment authorId="0" ref="AC99">
      <text>
        <t xml:space="preserve">this level makes no fucking sense</t>
      </text>
    </comment>
    <comment authorId="0" ref="CN97">
      <text>
        <t xml:space="preserve">improve</t>
      </text>
    </comment>
    <comment authorId="0" ref="CO97">
      <text>
        <t xml:space="preserve">improve</t>
      </text>
    </comment>
    <comment authorId="0" ref="AG99">
      <text>
        <t xml:space="preserve">dumb, 15min</t>
      </text>
    </comment>
    <comment authorId="0" ref="CT97">
      <text>
        <t xml:space="preserve">video (improve)</t>
      </text>
    </comment>
    <comment authorId="0" ref="CX97">
      <text>
        <t xml:space="preserve">Cleaning the mayor is hard.</t>
      </text>
    </comment>
    <comment authorId="0" ref="CY97">
      <text>
        <t xml:space="preserve">middle, failed shine grab (improve)</t>
      </text>
    </comment>
    <comment authorId="0" ref="CZ97">
      <text>
        <t xml:space="preserve">1:17.58 no early (improve)</t>
      </text>
    </comment>
    <comment authorId="0" ref="AP99">
      <text>
        <t xml:space="preserve">&lt;3 toburr</t>
      </text>
    </comment>
    <comment authorId="0" ref="DA97">
      <text>
        <t xml:space="preserve">type here (improve)</t>
      </text>
    </comment>
    <comment authorId="0" ref="DB97">
      <text>
        <t xml:space="preserve">improve</t>
      </text>
    </comment>
    <comment authorId="0" ref="AR99">
      <text>
        <t xml:space="preserve">sick level :)
Former 2nd place</t>
      </text>
    </comment>
    <comment authorId="0" ref="DC97">
      <text>
        <t xml:space="preserve">improve</t>
      </text>
    </comment>
    <comment authorId="0" ref="N100">
      <text>
        <t xml:space="preserve">done on old prac codes, prolly still relly
[image] https://twitter.com/snidenstealth/status/1160591864367648769</t>
      </text>
    </comment>
    <comment authorId="0" ref="O100">
      <text>
        <t xml:space="preserve">unrecorded pb is 38.06
</t>
      </text>
    </comment>
    <comment authorId="0" ref="DG97">
      <text>
        <t xml:space="preserve">improve</t>
      </text>
    </comment>
    <comment authorId="0" ref="DN97">
      <text>
        <t xml:space="preserve">weird video</t>
      </text>
    </comment>
    <comment authorId="0" ref="BD99">
      <text>
        <t xml:space="preserve">holy</t>
      </text>
    </comment>
    <comment authorId="0" ref="BE99">
      <text>
        <t xml:space="preserve">Fuck Rufus
no grate clip, cut out my grate shit and this is 33 straight up</t>
      </text>
    </comment>
    <comment authorId="0" ref="Z100">
      <text>
        <t xml:space="preserve">unrecorded pb is 16.44</t>
      </text>
    </comment>
    <comment authorId="0" ref="DR97">
      <text>
        <t xml:space="preserve">55 entry</t>
      </text>
    </comment>
    <comment authorId="0" ref="BI99">
      <text>
        <t xml:space="preserve">yay :)</t>
      </text>
    </comment>
    <comment authorId="0" ref="BJ99">
      <text>
        <t xml:space="preserve">2 completed eygs</t>
      </text>
    </comment>
    <comment authorId="0" ref="AF100">
      <text>
        <t xml:space="preserve">[image] https://twitter.com/snidenstealth/status/1211332385494753280</t>
      </text>
    </comment>
    <comment authorId="0" ref="AG100">
      <text>
        <t xml:space="preserve">[image] https://twitter.com/snidenstealth/status/1143304724122427393</t>
      </text>
    </comment>
    <comment authorId="0" ref="BN99">
      <text>
        <t xml:space="preserve">I got ONE POINT for going from 35.88 to 40.02
happy</t>
      </text>
    </comment>
    <comment authorId="0" ref="BP99">
      <text>
        <t xml:space="preserve">4 hour grimd, shouldve been less but it it now 4am and rng is a pain in the ass</t>
      </text>
    </comment>
    <comment authorId="0" ref="BR99">
      <text>
        <t xml:space="preserve">[retimed] courtesy of mr. plenty</t>
      </text>
    </comment>
    <comment authorId="0" ref="BU99">
      <text>
        <t xml:space="preserve">11.50 entry, no gwk</t>
      </text>
    </comment>
    <comment authorId="0" ref="BY99">
      <text>
        <t xml:space="preserve">wrist hurty big time</t>
      </text>
    </comment>
    <comment authorId="0" ref="CB99">
      <text>
        <t xml:space="preserve">bad, plan to get 4:25? or better</t>
      </text>
    </comment>
    <comment authorId="0" ref="CE99">
      <text>
        <t xml:space="preserve">holy fuck man
10h grind, multiple 2:0x paces
I have an awful choking problem
22.23 entry (low 20 best), 50 polekick (47-48 best)</t>
      </text>
    </comment>
    <comment authorId="0" ref="CH99">
      <text>
        <t xml:space="preserve">nothin special
20.91 spring grab</t>
      </text>
    </comment>
    <comment authorId="0" ref="CO99">
      <text>
        <t xml:space="preserve">freakyjack</t>
      </text>
    </comment>
    <comment authorId="0" ref="AF101">
      <text>
        <t xml:space="preserve">
</t>
      </text>
    </comment>
    <comment authorId="0" ref="DV98">
      <text>
        <t xml:space="preserve">I think that's around 51.343 if retimed to ntsc-u? idk</t>
      </text>
    </comment>
    <comment authorId="0" ref="CT99">
      <text>
        <t xml:space="preserve">nashi route
this came out of nowhere, couldn't do anything together then easy best start into rly good ruins into solid ending for the pace
super happy</t>
      </text>
    </comment>
    <comment authorId="0" ref="CV99">
      <text>
        <t xml:space="preserve">random 1try</t>
      </text>
    </comment>
    <comment authorId="0" ref="CZ99">
      <text>
        <t xml:space="preserve">still dog lol</t>
      </text>
    </comment>
    <comment authorId="0" ref="L102">
      <text>
        <t xml:space="preserve">43.33 – https://www.youtube.com/watch?v=H1RaYOGLSxI
pb is 43.03 but no vid</t>
      </text>
    </comment>
    <comment authorId="0" ref="DB99">
      <text>
        <t xml:space="preserve">this level takes everything i hate about myself and puts it into a level. It crushes the soul. I played for 4 hours only to improve my shit time by eleven frames across 3 pbs. all the while knowing I can get 2:15. God himself hath decreed that the stars shall never align, no matter the fortitude of the player. It is causing me to doubt myself as a competitor and as a person.
I'm so happy im done even though this is shit</t>
      </text>
    </comment>
    <comment authorId="0" ref="DF99">
      <text>
        <t xml:space="preserve">fuck shadowplay :(</t>
      </text>
    </comment>
    <comment authorId="0" ref="DL99">
      <text>
        <t xml:space="preserve">Former WR</t>
      </text>
    </comment>
    <comment authorId="0" ref="DM99">
      <text>
        <t xml:space="preserve">3try lmao
15.57 at 25fps - https://youtu.be/Msy0qHAci7w
(gimme my gold back :( )</t>
      </text>
    </comment>
    <comment authorId="0" ref="CH100">
      <text>
        <t xml:space="preserve">unrecorded pb is 27.46, sub 27 will happen</t>
      </text>
    </comment>
    <comment authorId="0" ref="DO99">
      <text>
        <t xml:space="preserve">6 22.6es, 2 22.69s
pretty sure new method is slower than current method</t>
      </text>
    </comment>
    <comment authorId="0" ref="DP99">
      <text>
        <t xml:space="preserve">it took 10 22.49s to finally get 22.5x lmao
Former WR</t>
      </text>
    </comment>
    <comment authorId="0" ref="DQ99">
      <text>
        <t xml:space="preserve">cool new strat, cant wait for the box gamers to steal this one
Former WR</t>
      </text>
    </comment>
    <comment authorId="0" ref="CN100">
      <text>
        <t xml:space="preserve">[image] https://twitter.com/snidenstealth/status/1178829718189232128</t>
      </text>
    </comment>
    <comment authorId="0" ref="DU99">
      <text>
        <t xml:space="preserve">lol</t>
      </text>
    </comment>
    <comment authorId="0" ref="A103">
      <text>
        <t xml:space="preserve">start: 1/27/25 
any% for now
up up uppity!
s/o mao o7</t>
      </text>
    </comment>
    <comment authorId="0" ref="DC100">
      <text>
        <t xml:space="preserve">[image] https://twitter.com/snidenstealth/status/1118658085826859011</t>
      </text>
    </comment>
    <comment authorId="0" ref="H104">
      <text>
        <t xml:space="preserve">bad just wanted to put a time</t>
      </text>
    </comment>
    <comment authorId="0" ref="I104">
      <text>
        <t xml:space="preserve">did this till i got a decent windmill for like 5 minutes</t>
      </text>
    </comment>
    <comment authorId="0" ref="K104">
      <text>
        <t xml:space="preserve">sub 14 sometime</t>
      </text>
    </comment>
    <comment authorId="0" ref="N104">
      <text>
        <t xml:space="preserve">did this till i did a good ending</t>
      </text>
    </comment>
    <comment authorId="0" ref="P104">
      <text>
        <t xml:space="preserve">just wanted a time</t>
      </text>
    </comment>
    <comment authorId="0" ref="S104">
      <text>
        <t xml:space="preserve">i've definitely gotten a better time dont know what tho. i'll get 37 soon</t>
      </text>
    </comment>
    <comment authorId="0" ref="U104">
      <text>
        <t xml:space="preserve">lost time to 6th coin and can def get a 50.xx</t>
      </text>
    </comment>
    <comment authorId="0" ref="X104">
      <text>
        <t xml:space="preserve">no box triple jump kinda shart</t>
      </text>
    </comment>
    <comment authorId="0" ref="Z104">
      <text>
        <t xml:space="preserve">kinda shart just wanted an 18 tbh</t>
      </text>
    </comment>
    <comment authorId="0" ref="AA104">
      <text>
        <t xml:space="preserve">shit</t>
      </text>
    </comment>
    <comment authorId="0" ref="AN104">
      <text>
        <t xml:space="preserve">decent movement overall could do real strats and get a good time tho</t>
      </text>
    </comment>
    <comment authorId="0" ref="AZ104">
      <text>
        <t xml:space="preserve">decent coins didn't do rocket rollout</t>
      </text>
    </comment>
    <comment authorId="0" ref="CJ103">
      <text>
        <t xml:space="preserve">6</t>
      </text>
    </comment>
    <comment authorId="0" ref="AK105">
      <text>
        <t xml:space="preserve">Episode 3</t>
      </text>
    </comment>
    <comment authorId="0" ref="CN104">
      <text>
        <t xml:space="preserve">green cycle galopagos bad</t>
      </text>
    </comment>
    <comment authorId="0" ref="CS104">
      <text>
        <t xml:space="preserve">really good for me might get 1:08 soon</t>
      </text>
    </comment>
    <comment authorId="0" ref="BN105">
      <text>
        <t xml:space="preserve">RTA strats</t>
      </text>
    </comment>
    <comment authorId="0" ref="BJ106">
      <text>
        <t xml:space="preserve">[probably PAL]</t>
      </text>
    </comment>
    <comment authorId="0" ref="Q109">
      <text>
        <t xml:space="preserve">this level is horrible. not worth grinding</t>
      </text>
    </comment>
    <comment authorId="0" ref="V109">
      <text>
        <t xml:space="preserve">6 hundo is awful</t>
      </text>
    </comment>
    <comment authorId="0" ref="AY109">
      <text>
        <t xml:space="preserve">sick level</t>
      </text>
    </comment>
    <comment authorId="0" ref="BB109">
      <text>
        <t xml:space="preserve">1 attempt</t>
      </text>
    </comment>
    <comment authorId="0" ref="BE109">
      <text>
        <t xml:space="preserve">1 attempt
</t>
      </text>
    </comment>
    <comment authorId="0" ref="BT109">
      <text>
        <t xml:space="preserve">bad level</t>
      </text>
    </comment>
    <comment authorId="0" ref="AA111">
      <text>
        <t xml:space="preserve">[mod note] increase the bitrate a bit in the future pls</t>
      </text>
    </comment>
    <comment authorId="0" ref="AV112">
      <text>
        <t xml:space="preserve">roof throw, no spam spray</t>
      </text>
    </comment>
    <comment authorId="0" ref="BI112">
      <text>
        <t xml:space="preserve">over the right</t>
      </text>
    </comment>
    <comment authorId="0" ref="BJ112">
      <text>
        <t xml:space="preserve">NTSC-U. Good secret, pretty slow EYG</t>
      </text>
    </comment>
    <comment authorId="0" ref="BV112">
      <text>
        <t xml:space="preserve">no butt slide</t>
      </text>
    </comment>
    <comment authorId="0" ref="BW112">
      <text>
        <t xml:space="preserve">no butt slide</t>
      </text>
    </comment>
    <comment authorId="0" ref="BY112">
      <text>
        <t xml:space="preserve">NTSC-U</t>
      </text>
    </comment>
    <comment authorId="0" ref="CJ112">
      <text>
        <t xml:space="preserve">5 tooth</t>
      </text>
    </comment>
    <comment authorId="0" ref="CM112">
      <text>
        <t xml:space="preserve">Rope entry and blue cycle</t>
      </text>
    </comment>
    <comment authorId="0" ref="CN112">
      <text>
        <t xml:space="preserve">Blue cycle</t>
      </text>
    </comment>
    <comment authorId="0" ref="BJ113">
      <text>
        <t xml:space="preserve">[presumed PAL]</t>
      </text>
    </comment>
    <comment authorId="0" ref="CV112">
      <text>
        <t xml:space="preserve">PAL</t>
      </text>
    </comment>
    <comment authorId="0" ref="CX112">
      <text>
        <t xml:space="preserve">no GWKD</t>
      </text>
    </comment>
    <comment authorId="0" ref="CY112">
      <text>
        <t xml:space="preserve">middle path</t>
      </text>
    </comment>
    <comment authorId="0" ref="P115">
      <text>
        <t xml:space="preserve">[dead link] https://youtu.be/TrDja1til7w
so close lmao</t>
      </text>
    </comment>
    <comment authorId="0" ref="S115">
      <text>
        <t xml:space="preserve">kinda bad, I'll record and update later
</t>
      </text>
    </comment>
    <comment authorId="0" ref="AB115">
      <text>
        <t xml:space="preserve">bonked on the peg on the last block lol. beyblade entry
</t>
      </text>
    </comment>
    <comment authorId="0" ref="A116">
      <text>
        <t xml:space="preserve">&lt;(O_O)&gt;</t>
      </text>
    </comment>
    <comment authorId="0" ref="I116">
      <text>
        <t xml:space="preserve">QF 1:23.950</t>
      </text>
    </comment>
    <comment authorId="0" ref="K116">
      <text>
        <t xml:space="preserve">14.33 Normal Strat
Advanced strat
14.07
</t>
      </text>
    </comment>
    <comment authorId="0" ref="L116">
      <text>
        <t xml:space="preserve">QFT 47.580</t>
      </text>
    </comment>
    <comment authorId="0" ref="M116">
      <text>
        <t xml:space="preserve">Pattern: 22/774
Nodes: S8-&gt;N4-&gt;S1-&gt;N1-&gt;S8</t>
      </text>
    </comment>
    <comment authorId="0" ref="O116">
      <text>
        <t xml:space="preserve">QFT 42.14
</t>
      </text>
    </comment>
    <comment authorId="0" ref="X116">
      <text>
        <t xml:space="preserve">QFT 54.621</t>
      </text>
    </comment>
    <comment authorId="0" ref="Z116">
      <text>
        <t xml:space="preserve">20.22 Blooperless</t>
      </text>
    </comment>
    <comment authorId="0" ref="AB116">
      <text>
        <t xml:space="preserve">QFT PB: 48.348
</t>
      </text>
    </comment>
    <comment authorId="0" ref="AC116">
      <text>
        <t xml:space="preserve">QFT 31.331</t>
      </text>
    </comment>
    <comment authorId="0" ref="P117">
      <text>
        <t xml:space="preserve">Idk how to improve this anymore.  Grinded for like 5 hours</t>
      </text>
    </comment>
    <comment authorId="0" ref="AV116">
      <text>
        <t xml:space="preserve">QFT 35.001</t>
      </text>
    </comment>
    <comment authorId="0" ref="V117">
      <text>
        <t xml:space="preserve">Done in Bianco 3</t>
      </text>
    </comment>
    <comment authorId="0" ref="BE116">
      <text>
        <t xml:space="preserve">43.910 QFT
</t>
      </text>
    </comment>
    <comment authorId="0" ref="BF116">
      <text>
        <t xml:space="preserve">1:04.75 Cycle
</t>
      </text>
    </comment>
    <comment authorId="0" ref="CN115">
      <text>
        <t xml:space="preserve">kinda shit
</t>
      </text>
    </comment>
    <comment authorId="0" ref="BI116">
      <text>
        <t xml:space="preserve">QFT 30.797</t>
      </text>
    </comment>
    <comment authorId="0" ref="BK116">
      <text>
        <t xml:space="preserve">QTF 1:35.995</t>
      </text>
    </comment>
    <comment authorId="0" ref="BL116">
      <text>
        <t xml:space="preserve">QFT 13.346</t>
      </text>
    </comment>
    <comment authorId="0" ref="AG117">
      <text>
        <t xml:space="preserve">suck it joof &gt;:)</t>
      </text>
    </comment>
    <comment authorId="0" ref="AJ117">
      <text>
        <t xml:space="preserve">Best I could do for now after 3 hours.  Bad start, but ok ending is all that mattered</t>
      </text>
    </comment>
    <comment authorId="0" ref="BR116">
      <text>
        <t xml:space="preserve">QFT 1:49.909
</t>
      </text>
    </comment>
    <comment authorId="0" ref="CX115">
      <text>
        <t xml:space="preserve">actual trash
</t>
      </text>
    </comment>
    <comment authorId="0" ref="BT116">
      <text>
        <t xml:space="preserve">QFT: 38.405</t>
      </text>
    </comment>
    <comment authorId="0" ref="CZ115">
      <text>
        <t xml:space="preserve">no early
</t>
      </text>
    </comment>
    <comment authorId="0" ref="AP117">
      <text>
        <t xml:space="preserve">358th attempt.  RTA bop, but might try for sub 1:10 someday
sorry no audio :(</t>
      </text>
    </comment>
    <comment authorId="0" ref="CG116">
      <text>
        <t xml:space="preserve">6/2/24 Shigbe UK AK race day
QT 1:00.58
</t>
      </text>
    </comment>
    <comment authorId="0" ref="BE117">
      <text>
        <t xml:space="preserve">.01 PK bop Pog</t>
      </text>
    </comment>
    <comment authorId="0" ref="BF117">
      <text>
        <t xml:space="preserve">One attempt, one-cycle pogona2Smug</t>
      </text>
    </comment>
    <comment authorId="0" ref="CN116">
      <text>
        <t xml:space="preserve">QFT 34.701
</t>
      </text>
    </comment>
    <comment authorId="0" ref="BL117">
      <text>
        <t xml:space="preserve">Just RTA strat.  Someday I will get an insta-kill</t>
      </text>
    </comment>
    <comment authorId="0" ref="CY116">
      <text>
        <t xml:space="preserve">QFT 48.915</t>
      </text>
    </comment>
    <comment authorId="0" ref="CZ116">
      <text>
        <t xml:space="preserve">QFT 1:19.546</t>
      </text>
    </comment>
    <comment authorId="0" ref="DC116">
      <text>
        <t xml:space="preserve">QTF 19.486</t>
      </text>
    </comment>
    <comment authorId="0" ref="BY117">
      <text>
        <t xml:space="preserve">Literally painful il that I do not wish to grind even though I must
ty for rimato for coaching</t>
      </text>
    </comment>
    <comment authorId="0" ref="CM117">
      <text>
        <t xml:space="preserve">bad ending</t>
      </text>
    </comment>
    <comment authorId="0" ref="CN117">
      <text>
        <t xml:space="preserve">blue cycle with pyrokick
16.00 with rocket.  I submitted that as my time as a joke
https://clips.twitch.tv/EagerSpotlessFalconTebowing-cdF2KPjZvqwvxjWK</t>
      </text>
    </comment>
    <comment authorId="0" ref="BJ118">
      <text>
        <t xml:space="preserve">[presumed NTSC-U]</t>
      </text>
    </comment>
    <comment authorId="0" ref="DZ116">
      <text>
        <t xml:space="preserve">QFT 35.468</t>
      </text>
    </comment>
    <comment authorId="0" ref="DB117">
      <text>
        <t xml:space="preserve">Frustrating af il</t>
      </text>
    </comment>
    <comment authorId="0" ref="DC117">
      <text>
        <t xml:space="preserve">Ok for now.  .01 better than linky widepeepoHappy</t>
      </text>
    </comment>
    <comment authorId="0" ref="DJ117">
      <text>
        <t xml:space="preserve">removed copied time</t>
      </text>
    </comment>
    <comment authorId="0" ref="BK119">
      <text>
        <t xml:space="preserve">[presumed JP]</t>
      </text>
    </comment>
    <comment authorId="0" ref="A124">
      <text>
        <t xml:space="preserve">👁️👄👁️💅
&lt;3</t>
      </text>
    </comment>
    <comment authorId="0" ref="BL126">
      <text>
        <t xml:space="preserve">lul funnee number</t>
      </text>
    </comment>
    <comment authorId="0" ref="BT126">
      <text>
        <t xml:space="preserve">I can't do the spinjump lol</t>
      </text>
    </comment>
    <comment authorId="0" ref="BU126">
      <text>
        <t xml:space="preserve">banger entry</t>
      </text>
    </comment>
    <comment authorId="0" ref="DU126">
      <text>
        <t xml:space="preserve">no gwk</t>
      </text>
    </comment>
    <comment authorId="0" ref="A130">
      <text>
        <t xml:space="preserve">&lt;(O_O)&gt;</t>
      </text>
    </comment>
    <comment authorId="0" ref="DZ126">
      <text>
        <t xml:space="preserve">55.14 lilypadless pb</t>
      </text>
    </comment>
    <comment authorId="0" ref="A131">
      <text>
        <t xml:space="preserve">I want good times on all any% shines</t>
      </text>
    </comment>
    <comment authorId="0" ref="DA128">
      <text>
        <t xml:space="preserve">cringe side flip</t>
      </text>
    </comment>
    <comment authorId="0" ref="DM128">
      <text>
        <t xml:space="preserve">meme pipe</t>
      </text>
    </comment>
    <comment authorId="0" ref="A132">
      <text>
        <t xml:space="preserve">occasionally wii_runner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Check out the wiki with written strats here: http://sunmar.io/wiki
</t>
      </text>
    </comment>
    <comment authorId="0" ref="Q17">
      <text>
        <t xml:space="preserve">lol I pepped best entry
low 21.7x is possible, 6x perhaps</t>
      </text>
    </comment>
    <comment authorId="0" ref="C67">
      <text>
        <t xml:space="preserve">2348 igt https://x.com/NoVidNoDidNoVid/status/1788099588047728715</t>
      </text>
    </comment>
    <comment authorId="0" ref="D100">
      <text>
        <t xml:space="preserve">retimed</t>
      </text>
    </comment>
    <comment authorId="0" ref="C1">
      <text>
        <t xml:space="preserve">WR COLUMN REQUIRES VIDEO
If you get a WR, drop a *comment* (not a note) over the former WR and moderators will update it ASAP and resolve the comment.
If you get a better time without video, you can add it as a *note* (not a comment).</t>
      </text>
    </comment>
    <comment authorId="0" ref="Z215">
      <text>
        <t xml:space="preserve">bad pre casino</t>
      </text>
    </comment>
    <comment authorId="0" ref="G67">
      <text>
        <t xml:space="preserve">2348 igt https://x.com/NoVidNoDidNoVid/status/1788099588047728715</t>
      </text>
    </comment>
    <comment authorId="0" ref="O331">
      <text>
        <t xml:space="preserve">14.75 plant unlock</t>
      </text>
    </comment>
    <comment authorId="0" ref="AC182">
      <text>
        <t xml:space="preserve">9.46 Talk</t>
      </text>
    </comment>
    <comment authorId="0" ref="A282">
      <text>
        <t xml:space="preserve">No TAS tail grab ending.</t>
      </text>
    </comment>
    <comment authorId="0" ref="B282">
      <text>
        <t xml:space="preserve">Pattern Selector: 3 x x</t>
      </text>
    </comment>
    <comment authorId="0" ref="A216">
      <text>
        <t xml:space="preserve">Uses the QFT.</t>
      </text>
    </comment>
    <comment authorId="0" ref="B249">
      <text>
        <t xml:space="preserve">any on 1st rod, using highest platform before it</t>
      </text>
    </comment>
    <comment authorId="0" ref="AB17">
      <text>
        <t xml:space="preserve">Tied fred uWu
we both starting the nixon slide 2f after nixon himself so his note is prob true</t>
      </text>
    </comment>
    <comment authorId="0" ref="A84">
      <text>
        <t xml:space="preserve">For catwalks: no instant ledgeclimb on ship.</t>
      </text>
    </comment>
    <comment authorId="0" ref="C150">
      <text>
        <t xml:space="preserve">WR ledgegrab - 18.81</t>
      </text>
    </comment>
    <comment authorId="0" ref="A51">
      <text>
        <t xml:space="preserve">Quarter Frame Timer
Secret Only, No entry</t>
      </text>
    </comment>
    <comment authorId="0" ref="C117">
      <text>
        <t xml:space="preserve">17.87 No video by Weegee.</t>
      </text>
    </comment>
    <comment authorId="0" ref="A18">
      <text>
        <t xml:space="preserve">Travel Skip moved to Delfino Plaza (Any% Movement)</t>
      </text>
    </comment>
    <comment authorId="0" ref="F150">
      <text>
        <t xml:space="preserve">18.85 ledgegrab
9.84 ending</t>
      </text>
    </comment>
    <comment authorId="0" ref="G117">
      <text>
        <t xml:space="preserve">17.88 rng spray: https://www.twitch.tv/inkstar/clip/SplendidAgitatedHerbsShazBotstix-1GSspEVZ-ZzCmxoK</t>
      </text>
    </comment>
    <comment authorId="0" ref="H84">
      <text>
        <t xml:space="preserve">some next baby variant of sewer lol
emu pb 59.70 (from 2022 xD)</t>
      </text>
    </comment>
    <comment authorId="0" ref="H18">
      <text>
        <t xml:space="preserve">not a single hard strat</t>
      </text>
    </comment>
    <comment authorId="0" ref="A299">
      <text>
        <t xml:space="preserve">must be in Y-cam before reloading on practice codes to prevent Mario from being able to move earlier than is possible in the vanilla game without dying beforehand</t>
      </text>
    </comment>
    <comment authorId="0" ref="L18">
      <text>
        <t xml:space="preserve">one frame off shout poasdfgkadfjsldfka</t>
      </text>
    </comment>
    <comment authorId="0" ref="C233">
      <text>
        <t xml:space="preserve">1:38.76 unrecorded by akane</t>
      </text>
    </comment>
    <comment authorId="0" ref="A134">
      <text>
        <t xml:space="preserve">No spin-jump dive.</t>
      </text>
    </comment>
    <comment authorId="0" ref="E233">
      <text>
        <t xml:space="preserve">1:38.76 new PB, I forgot to save the recording</t>
      </text>
    </comment>
    <comment authorId="0" ref="R117">
      <text>
        <t xml:space="preserve">ground-pound kill is not allowed</t>
      </text>
    </comment>
    <comment authorId="0" ref="C68">
      <text>
        <t xml:space="preserve">17.11 IGT (DNF, IGT only) https://www.youtube.com/watch?v=KjdAydNEmFU</t>
      </text>
    </comment>
    <comment authorId="0" ref="C35">
      <text>
        <t xml:space="preserve">Cube move: 13.37 (Best)</t>
      </text>
    </comment>
    <comment authorId="0" ref="E101">
      <text>
        <t xml:space="preserve">I need therapy after ILing this</t>
      </text>
    </comment>
    <comment authorId="0" ref="H134">
      <text>
        <t xml:space="preserve">12.37 entry
28.72 secret</t>
      </text>
    </comment>
    <comment authorId="0" ref="B283">
      <text>
        <t xml:space="preserve">Pattern Selector: 2 x x</t>
      </text>
    </comment>
    <comment authorId="0" ref="K35">
      <text>
        <t xml:space="preserve">13.37 cube move</t>
      </text>
    </comment>
    <comment authorId="0" ref="B250">
      <text>
        <t xml:space="preserve">green on 1st rod, blue on 3rd rod
This movement is the traditional "Green cycle" or "HAM cycle" and is cycle locked at 30.61. This can be performed with or without first platform skip as long as the ending is done with traditional RTA movement. A time faster than 30.61 requires different and much tighter ending movement.
example: 30.38 by Jer - 
https://www.youtube.com/watch?v=6gDUknvuEMg</t>
      </text>
    </comment>
    <comment authorId="0" ref="C250">
      <text>
        <t xml:space="preserve">30.61 is essentially rta limit to green cycle (and has no platform skip)</t>
      </text>
    </comment>
    <comment authorId="0" ref="P134">
      <text>
        <t xml:space="preserve">ma, soyukotoyo</t>
      </text>
    </comment>
    <comment authorId="0" ref="C151">
      <text>
        <t xml:space="preserve">ledgegrab at 17.28 retiming sgt i believe
9.84 ending, 27.0x is limit</t>
      </text>
    </comment>
    <comment authorId="0" ref="D184">
      <text>
        <t xml:space="preserve">rta 4.46 https://youtu.be/cAt3G2Ycy8A</t>
      </text>
    </comment>
    <comment authorId="0" ref="D151">
      <text>
        <t xml:space="preserve">17.35 ledgegrab, best ledgegrab 17.29: https://youtu.be/9-xCLZVHUbk</t>
      </text>
    </comment>
    <comment authorId="0" ref="F184">
      <text>
        <t xml:space="preserve">retimed from casino entry time (15.65) - first frame last 2 digits of sgt are visible (11.62) + constant of 0.42 (time when first frame sgt is visible) = 4.45</t>
      </text>
    </comment>
    <comment authorId="0" ref="T68">
      <text>
        <t xml:space="preserve">17.11 IGT (DNF, IGT only) https://www.youtube.com/watch?v=KjdAydNEmFU</t>
      </text>
    </comment>
    <comment authorId="0" ref="G151">
      <text>
        <t xml:space="preserve">pb block grab 17.26
27.09 rollout ending: https://www.twitch.tv/inkstar/clip/PlainMuddyGuanacoBrokeBack-dzbcSlxQv4zmwYUH</t>
      </text>
    </comment>
    <comment authorId="0" ref="AL117">
      <text>
        <t xml:space="preserve">Weegee has 17.87 unrecorded</t>
      </text>
    </comment>
    <comment authorId="0" ref="K151">
      <text>
        <t xml:space="preserve">poorly done yamata strat</t>
      </text>
    </comment>
    <comment authorId="0" ref="AB167">
      <text>
        <t xml:space="preserve">someone beat plz
</t>
      </text>
    </comment>
    <comment authorId="0" ref="A300">
      <text>
        <t xml:space="preserve">Start from entering Corona.</t>
      </text>
    </comment>
    <comment authorId="0" ref="L118">
      <text>
        <t xml:space="preserve">okay</t>
      </text>
    </comment>
    <comment authorId="0" ref="C300">
      <text>
        <t xml:space="preserve">50.22 entry</t>
      </text>
    </comment>
    <comment authorId="0" ref="L19">
      <text>
        <t xml:space="preserve">objectively the best set of strats because roof momentum spin is rilly dumb. do not @ me.</t>
      </text>
    </comment>
    <comment authorId="0" ref="P151">
      <text>
        <t xml:space="preserve">Masterpiece</t>
      </text>
    </comment>
    <comment authorId="0" ref="P85">
      <text>
        <t xml:space="preserve">speed double is dead</t>
      </text>
    </comment>
    <comment authorId="0" ref="U250">
      <text>
        <t xml:space="preserve">recorded in 60fps because I have brain damage. no plat skip</t>
      </text>
    </comment>
    <comment authorId="0" ref="C69">
      <text>
        <t xml:space="preserve">30.76 non slime wall climb strat: https://youtu.be/2eNIZpoXyqI</t>
      </text>
    </comment>
    <comment authorId="0" ref="D69">
      <text>
        <t xml:space="preserve">30.76 non slime wall climb strat: https://youtu.be/2eNIZpoXyqI</t>
      </text>
    </comment>
    <comment authorId="0" ref="C36">
      <text>
        <t xml:space="preserve">Cube land: 13.17 (Best)</t>
      </text>
    </comment>
    <comment authorId="0" ref="G69">
      <text>
        <t xml:space="preserve">16.64 No setup IGT https://clips.twitch.tv/CleverKindPelicanChocolateRain-r3LBYWgowTE94qgS</t>
      </text>
    </comment>
    <comment authorId="0" ref="B284">
      <text>
        <t xml:space="preserve">Pattern Selector: 1 x x</t>
      </text>
    </comment>
    <comment authorId="0" ref="K36">
      <text>
        <t xml:space="preserve">best cube land: 13.23</t>
      </text>
    </comment>
    <comment authorId="0" ref="B251">
      <text>
        <t xml:space="preserve">green on 1st rod, any on 3rd rod (no second brown platform skip)
This row showcases faster variants than traditional green cycle but requires very tight platforming and near perfect movement to actually pull off in a way that is faster than traditional green cycle.</t>
      </text>
    </comment>
    <comment authorId="0" ref="T300">
      <text>
        <t xml:space="preserve">50.22 entry</t>
      </text>
    </comment>
    <comment authorId="0" ref="F350">
      <text>
        <t xml:space="preserve">I thought this sucked, but I didn't beat it. someone please try so we get more accurate timesave compared to no tas swims cus 5 frames suks</t>
      </text>
    </comment>
    <comment authorId="0" ref="F284">
      <text>
        <t xml:space="preserve">11.81 chain grab https://youtu.be/BO0dCiGjDxo</t>
      </text>
    </comment>
    <comment authorId="0" ref="K350">
      <text>
        <t xml:space="preserve">TAS swims should theoretically beat this? idk</t>
      </text>
    </comment>
    <comment authorId="0" ref="D86">
      <text>
        <t xml:space="preserve">53.05 sumi no yolo slide https://youtu.be/UsuIF4nmvII</t>
      </text>
    </comment>
    <comment authorId="0" ref="T69">
      <text>
        <t xml:space="preserve">17.88 IGT (meh)</t>
      </text>
    </comment>
    <comment authorId="0" ref="D20">
      <text>
        <t xml:space="preserve">comfy ending 42.80: https://youtu.be/LwdwEdZpxhs</t>
      </text>
    </comment>
    <comment authorId="0" ref="F20">
      <text>
        <t xml:space="preserve">43.67 with no final momentum spin
https://youtu.be/EDoCK5hFu5o?t
42.86 with no GWKH
https://youtu.be/sGkHE6mTQdA</t>
      </text>
    </comment>
    <comment authorId="0" ref="Q284">
      <text>
        <t xml:space="preserve">nice nice nice</t>
      </text>
    </comment>
    <comment authorId="0" ref="N119">
      <text>
        <t xml:space="preserve">tree throw</t>
      </text>
    </comment>
    <comment authorId="0" ref="AF201">
      <text>
        <t xml:space="preserve">retimed to 10.86, 10.83 was incorrect</t>
      </text>
    </comment>
    <comment authorId="0" ref="AG234">
      <text>
        <t xml:space="preserve">[auto-submitted from main sheet]
inside only: 1:23.19</t>
      </text>
    </comment>
    <comment authorId="0" ref="A169">
      <text>
        <t xml:space="preserve">No ground-pound kill.</t>
      </text>
    </comment>
    <comment authorId="0" ref="A70">
      <text>
        <t xml:space="preserve">Uses the IGT.</t>
      </text>
    </comment>
    <comment authorId="0" ref="W284">
      <text>
        <t xml:space="preserve">12.21 chain grab,</t>
      </text>
    </comment>
    <comment authorId="0" ref="S119">
      <text>
        <t xml:space="preserve">garbage</t>
      </text>
    </comment>
    <comment authorId="0" ref="C37">
      <text>
        <t xml:space="preserve">Cube land: 13:00
Best: 12.97</t>
      </text>
    </comment>
    <comment authorId="0" ref="F136">
      <text>
        <t xml:space="preserve">ties arle's RTAS</t>
      </text>
    </comment>
    <comment authorId="0" ref="H202">
      <text>
        <t xml:space="preserve">28.15 entry</t>
      </text>
    </comment>
    <comment authorId="0" ref="G136">
      <text>
        <t xml:space="preserve">12.20 spin-jump dive: https://youtu.be/MbJDBG2_EMY</t>
      </text>
    </comment>
    <comment authorId="0" ref="H136">
      <text>
        <t xml:space="preserve">sjd – 12.30 (https://youtu.be/WDgnkIQhDBI)</t>
      </text>
    </comment>
    <comment authorId="0" ref="K103">
      <text>
        <t xml:space="preserve">19.24 entry</t>
      </text>
    </comment>
    <comment authorId="0" ref="A285">
      <text>
        <t xml:space="preserve">No fast text.</t>
      </text>
    </comment>
    <comment authorId="0" ref="D351">
      <text>
        <t xml:space="preserve">16.11 qft</t>
      </text>
    </comment>
    <comment authorId="0" ref="K37">
      <text>
        <t xml:space="preserve">best cube land is 12.97
FYG's time is not RTA, he is dumb</t>
      </text>
    </comment>
    <comment authorId="0" ref="B252">
      <text>
        <t xml:space="preserve">green on 1st &amp; 3rd rod (both brown platform skips allowed)</t>
      </text>
    </comment>
    <comment authorId="0" ref="P169">
      <text>
        <t xml:space="preserve">25.28 - https://youtu.be/26LBFhykM-0 (includes entry)</t>
      </text>
    </comment>
    <comment authorId="0" ref="D285">
      <text>
        <t xml:space="preserve">20.49 entry</t>
      </text>
    </comment>
    <comment authorId="0" ref="G351">
      <text>
        <t xml:space="preserve">16.07 qft - sm plaza</t>
      </text>
    </comment>
    <comment authorId="0" ref="Q136">
      <text>
        <t xml:space="preserve">12.19 spin-jump dive: https://youtu.be/oBawNKk17N8
perfectly perfect</t>
      </text>
    </comment>
    <comment authorId="0" ref="B153">
      <text>
        <t xml:space="preserve">PAL/U runs that don't do fruit storage or instant Yoshi dismount are accepted under JP</t>
      </text>
    </comment>
    <comment authorId="0" ref="B87">
      <text>
        <t xml:space="preserve">No one-slide across the catwalks.</t>
      </text>
    </comment>
    <comment authorId="0" ref="A21">
      <text>
        <t xml:space="preserve">Poink hit frame timing</t>
      </text>
    </comment>
    <comment authorId="0" ref="E153">
      <text>
        <t xml:space="preserve">1:48.82 with 5yg
</t>
      </text>
    </comment>
    <comment authorId="0" ref="F186">
      <text>
        <t xml:space="preserve">3.92 boo bounce - https://youtu.be/f9FZ6uVECNg
15.08 theoretical best secret entry</t>
      </text>
    </comment>
    <comment authorId="0" ref="F153">
      <text>
        <t xml:space="preserve">poopy </t>
      </text>
    </comment>
    <comment authorId="0" ref="H219">
      <text>
        <t xml:space="preserve">22.29 [rss, рal]: https://youtu.be/GFIhAYnkcys</t>
      </text>
    </comment>
    <comment authorId="0" ref="C21">
      <text>
        <t xml:space="preserve">only a few tries, can be easily improved</t>
      </text>
    </comment>
    <comment authorId="0" ref="F120">
      <text>
        <t xml:space="preserve">Tree spam sprays
22.19 roof ledgegrab</t>
      </text>
    </comment>
    <comment authorId="0" ref="V136">
      <text>
        <t xml:space="preserve">12.24 spin-jump dive: https://www.youtube.com/watch?v=NbVEJlAv2ro</t>
      </text>
    </comment>
    <comment authorId="0" ref="J153">
      <text>
        <t xml:space="preserve">otm banana – 1:22.63 (assumed JP)
otm pineapple – 1:24.03
otr banana – 1:26.07 (assumed JP)
otr pineapple – 1:26.13 (assumed JP)
-
https://youtu.be/lal_goibTZQ
-
-</t>
      </text>
    </comment>
    <comment authorId="0" ref="J120">
      <text>
        <t xml:space="preserve">tree throw
23.64 ledgegrab</t>
      </text>
    </comment>
    <comment authorId="0" ref="K153">
      <text>
        <t xml:space="preserve">JP 2 stu</t>
      </text>
    </comment>
    <comment authorId="0" ref="A269">
      <text>
        <t xml:space="preserve">No RNG spam spray rollout over the fence for Forgotten strat.</t>
      </text>
    </comment>
    <comment authorId="0" ref="B269">
      <text>
        <t xml:space="preserve">Pattern Selector: 1 0 2 or 1 0 3</t>
      </text>
    </comment>
    <comment authorId="0" ref="P186">
      <text>
        <t xml:space="preserve">Yamata movement (no GWKD): 59.24
strat: https://twitter.com/Arle_Nadja357/status/1176413302542364672</t>
      </text>
    </comment>
    <comment authorId="0" ref="O120">
      <text>
        <t xml:space="preserve">Tree throw
22.98 roof ledgegrab</t>
      </text>
    </comment>
    <comment authorId="0" ref="P153">
      <text>
        <t xml:space="preserve">otr banana (assumed JP)
otr papaya – 1:29.58 (assumed JP)</t>
      </text>
    </comment>
    <comment authorId="0" ref="F302">
      <text>
        <t xml:space="preserve">42.48 outside + 30.68 bowser
42.63 outside with hoverslides - https://youtu.be/NnyjvWXRIvw</t>
      </text>
    </comment>
    <comment authorId="0" ref="Q120">
      <text>
        <t xml:space="preserve">tree throw</t>
      </text>
    </comment>
    <comment authorId="0" ref="AI136">
      <text>
        <t xml:space="preserve">12.23 spin-jump dive: https://youtu.be/nQvPGc44RJ0</t>
      </text>
    </comment>
    <comment authorId="0" ref="C38">
      <text>
        <t xml:space="preserve">Cube move: 13.06
Best cube land: 12.97</t>
      </text>
    </comment>
    <comment authorId="0" ref="G170">
      <text>
        <t xml:space="preserve">12.16 y-turn: https://clips.twitch.tv/HardPiercingClipsmomTF2John-hXNFDkdS_kPGNLet</t>
      </text>
    </comment>
    <comment authorId="0" ref="H203">
      <text>
        <t xml:space="preserve">28.63 entry</t>
      </text>
    </comment>
    <comment authorId="0" ref="W153">
      <text>
        <t xml:space="preserve">otr pineapple (assumed JP)</t>
      </text>
    </comment>
    <comment authorId="0" ref="T21">
      <text>
        <t xml:space="preserve">only a few tries, can be easily improved</t>
      </text>
    </comment>
    <comment authorId="0" ref="W120">
      <text>
        <t xml:space="preserve">Tree throw
22.74 ledgegrab</t>
      </text>
    </comment>
    <comment authorId="0" ref="X153">
      <text>
        <t xml:space="preserve">otm banana (assumed JP)</t>
      </text>
    </comment>
    <comment authorId="0" ref="G38">
      <text>
        <t xml:space="preserve">i feel like i was being a dick talking sorry urbani ily</t>
      </text>
    </comment>
    <comment authorId="0" ref="A352">
      <text>
        <t xml:space="preserve">for Movie Skip route</t>
      </text>
    </comment>
    <comment authorId="0" ref="H38">
      <text>
        <t xml:space="preserve">fast cycle (on buttslide) 39.39 -- https://youtu.be/SFEvl2rLWQs</t>
      </text>
    </comment>
    <comment authorId="0" ref="AA153">
      <text>
        <t xml:space="preserve">1:38.66 - coconut</t>
      </text>
    </comment>
    <comment authorId="0" ref="L137">
      <text>
        <t xml:space="preserve">Probably gonna improve at some point cause video sucked lol</t>
      </text>
    </comment>
    <comment authorId="0" ref="K38">
      <text>
        <t xml:space="preserve">best cube land is 12.97
IIRC urbani has 38.89</t>
      </text>
    </comment>
    <comment authorId="0" ref="C253">
      <text>
        <t xml:space="preserve">23.09 w/ Shell Momentum Spin 
https://youtu.be/QYnpdCVjzWA</t>
      </text>
    </comment>
    <comment authorId="0" ref="T302">
      <text>
        <t xml:space="preserve">45.61 entry</t>
      </text>
    </comment>
    <comment authorId="0" ref="D220">
      <text>
        <t xml:space="preserve">50.48 qft</t>
      </text>
    </comment>
    <comment authorId="0" ref="A88">
      <text>
        <t xml:space="preserve">Uses the IGT.</t>
      </text>
    </comment>
    <comment authorId="0" ref="E220">
      <text>
        <t xml:space="preserve">47.457 QFT</t>
      </text>
    </comment>
    <comment authorId="0" ref="F253">
      <text>
        <t xml:space="preserve">23.09 w/ Shell Momentum Spin 
https://youtu.be/QYnpdCVjzWA</t>
      </text>
    </comment>
    <comment authorId="0" ref="C121">
      <text>
        <t xml:space="preserve">Comparison to 27.45 roof throw il above: https://discordapp.com/channels/83214196182880256/83214196182880256/760168069426970626</t>
      </text>
    </comment>
    <comment authorId="0" ref="D121">
      <text>
        <t xml:space="preserve">rawdog backflip</t>
      </text>
    </comment>
    <comment authorId="0" ref="AM153">
      <text>
        <t xml:space="preserve">otr papaya</t>
      </text>
    </comment>
    <comment authorId="0" ref="H88">
      <text>
        <t xml:space="preserve">emu pb: 1:32.01</t>
      </text>
    </comment>
    <comment authorId="0" ref="B270">
      <text>
        <t xml:space="preserve">Yamata strat
Pattern Selector: 1 0 2 or 1 0 3</t>
      </text>
    </comment>
    <comment authorId="0" ref="C303">
      <text>
        <t xml:space="preserve">Better reference, 48.08 https://www.youtube.com/watch?v=BTEkrEsT2U8&amp;t=7s</t>
      </text>
    </comment>
    <comment authorId="0" ref="Q154">
      <text>
        <t xml:space="preserve">fyg: ty for beating my time
i gotchu</t>
      </text>
    </comment>
    <comment authorId="0" ref="B171">
      <text>
        <t xml:space="preserve">For this strat, you aren't allowed to hit the 11th-15th rockets all at once, since you can't rely on that in RTA</t>
      </text>
    </comment>
    <comment authorId="0" ref="C171">
      <text>
        <t xml:space="preserve">10.53 entry (best is 10.26 by FYG https://youtu.be/DCVSHisD9Qg)
lost 5f on ending</t>
      </text>
    </comment>
    <comment authorId="0" ref="D39">
      <text>
        <t xml:space="preserve">w/ rocket 36.37 https://youtu.be/xAZJ_KI7jOk</t>
      </text>
    </comment>
    <comment authorId="0" ref="K171">
      <text>
        <t xml:space="preserve">no holy rocket
10.53 entry (best is 10.26 by FYG https://youtu.be/DCVSHisD9Qg)
lost 5f on ending</t>
      </text>
    </comment>
    <comment authorId="0" ref="BH153">
      <text>
        <t xml:space="preserve">otm banana (assumed JP)
originally "1:23.5x"</t>
      </text>
    </comment>
    <comment authorId="0" ref="A221">
      <text>
        <t xml:space="preserve">In game timer, higher the better
No cycle preperation</t>
      </text>
    </comment>
    <comment authorId="0" ref="A122">
      <text>
        <t xml:space="preserve">In game timer, higher the better
No cycle preperation</t>
      </text>
    </comment>
    <comment authorId="0" ref="B155">
      <text>
        <t xml:space="preserve">PAL/U runs that don't do fruit storage or instant Yoshi dismount are accepted under JP</t>
      </text>
    </comment>
    <comment authorId="0" ref="C188">
      <text>
        <t xml:space="preserve">Brick break: 8.96 (Best)</t>
      </text>
    </comment>
    <comment authorId="0" ref="C155">
      <text>
        <t xml:space="preserve">1 pound 1 spin 1:18.32: https://youtu.be/CcVDWThATUM</t>
      </text>
    </comment>
    <comment authorId="0" ref="C122">
      <text>
        <t xml:space="preserve">42.22 from weegee w/ no video</t>
      </text>
    </comment>
    <comment authorId="0" ref="D155">
      <text>
        <t xml:space="preserve">1 pound 1 spin 1:18.32: https://youtu.be/CcVDWThATUM</t>
      </text>
    </comment>
    <comment authorId="0" ref="H287">
      <text>
        <t xml:space="preserve">q5 normal cycle pb:
1:20.86 (25.59 entry) https://youtu.be/0tmGP45NIc8</t>
      </text>
    </comment>
    <comment authorId="0" ref="E155">
      <text>
        <t xml:space="preserve">3YG 1stu
1:48.82 with 5YG 2stu
1:28.92 with 3YG 2stu</t>
      </text>
    </comment>
    <comment authorId="0" ref="F23">
      <text>
        <t xml:space="preserve">1 try</t>
      </text>
    </comment>
    <comment authorId="0" ref="J155">
      <text>
        <t xml:space="preserve">banana otm – 1:20.88
pineapple otm – 1:23.53
banana otr – 1:25.16 (assumed JP)
pineapple otr – 1:25.41 (assumed JP)
https://youtu.be/AAe-UhT8RE8
https://www.twitch.tv/videos/440118250
-
-
</t>
      </text>
    </comment>
    <comment authorId="0" ref="B271">
      <text>
        <t xml:space="preserve">Pattern Selector: 1 0 1</t>
      </text>
    </comment>
    <comment authorId="0" ref="P188">
      <text>
        <t xml:space="preserve">Yamata movement (no GWKD): 35.35
strat: https://twitter.com/Arle_Nadja357/status/1176413302542364672</t>
      </text>
    </comment>
    <comment authorId="0" ref="D40">
      <text>
        <t xml:space="preserve">w/ rocket 36.14 https://youtu.be/_We0SiUcdtk</t>
      </text>
    </comment>
    <comment authorId="0" ref="F73">
      <text>
        <t xml:space="preserve">14.94 non rta rng strat:  https://www.youtube.com/watch?v=-z-q1XxXbV8</t>
      </text>
    </comment>
    <comment authorId="0" ref="J106">
      <text>
        <t xml:space="preserve">rocket</t>
      </text>
    </comment>
    <comment authorId="0" ref="Z89">
      <text>
        <t xml:space="preserve">1 try, not sure how optimized
</t>
      </text>
    </comment>
    <comment authorId="0" ref="A288">
      <text>
        <t xml:space="preserve">Uses the IGT.</t>
      </text>
    </comment>
    <comment authorId="0" ref="A222">
      <text>
        <t xml:space="preserve">Quarter Frame Timer
Secret Only, No entry</t>
      </text>
    </comment>
    <comment authorId="0" ref="A123">
      <text>
        <t xml:space="preserve">Quarter Frame Timer
Secret Only, No entry</t>
      </text>
    </comment>
    <comment authorId="0" ref="C189">
      <text>
        <t xml:space="preserve">WR is 33.58 (8.90 brick break)
[No video]</t>
      </text>
    </comment>
    <comment authorId="0" ref="H288">
      <text>
        <t xml:space="preserve">5th madlad spray: https://youtu.be/TKk8_Ky2w0E</t>
      </text>
    </comment>
    <comment authorId="0" ref="C57">
      <text>
        <t xml:space="preserve">51.30 from Arle w/ no video</t>
      </text>
    </comment>
    <comment authorId="0" ref="S73">
      <text>
        <t xml:space="preserve">offline, near perfect lol</t>
      </text>
    </comment>
    <comment authorId="0" ref="H156">
      <text>
        <t xml:space="preserve">banana otm</t>
      </text>
    </comment>
    <comment authorId="0" ref="L90">
      <text>
        <t xml:space="preserve">in a run</t>
      </text>
    </comment>
    <comment authorId="0" ref="B272">
      <text>
        <t xml:space="preserve">Yamata Strat (spam spray trigger 3rd)
Pattern Selector: 1 0 1</t>
      </text>
    </comment>
    <comment authorId="0" ref="C305">
      <text>
        <t xml:space="preserve">42.17 no video</t>
      </text>
    </comment>
    <comment authorId="0" ref="AT155">
      <text>
        <t xml:space="preserve">pineapple otr</t>
      </text>
    </comment>
    <comment authorId="0" ref="O156">
      <text>
        <t xml:space="preserve">otm banana
otm coconut – 1:22.52
https://youtu.be/PSR8d6nBOfQ</t>
      </text>
    </comment>
    <comment authorId="0" ref="AB40">
      <text>
        <t xml:space="preserve">28.32 qft
</t>
      </text>
    </comment>
    <comment authorId="0" ref="A173">
      <text>
        <t xml:space="preserve">In game timer, higher the better
No cycle preperation</t>
      </text>
    </comment>
    <comment authorId="0" ref="Q189">
      <text>
        <t xml:space="preserve">no GWKD</t>
      </text>
    </comment>
    <comment authorId="0" ref="F305">
      <text>
        <t xml:space="preserve">taken from egg's full level record
Hoverslides 42.63 
https://www.youtube.com/watch?v=Ai8ER0sVgfM&amp;ab_channel=SMSArchives</t>
      </text>
    </comment>
    <comment authorId="0" ref="G305">
      <text>
        <t xml:space="preserve">42.17 no video</t>
      </text>
    </comment>
    <comment authorId="0" ref="Q90">
      <text>
        <t xml:space="preserve">in IW practice</t>
      </text>
    </comment>
    <comment authorId="0" ref="C140">
      <text>
        <t xml:space="preserve">31.94 no vid</t>
      </text>
    </comment>
    <comment authorId="0" ref="D140">
      <text>
        <t xml:space="preserve">32.88 no tip https://youtu.be/VM8_lqlADB0</t>
      </text>
    </comment>
    <comment authorId="0" ref="D74">
      <text>
        <t xml:space="preserve">bad crane 15.58 https://youtu.be/rh4i9YfDy8M</t>
      </text>
    </comment>
    <comment authorId="0" ref="V156">
      <text>
        <t xml:space="preserve">banana, instaclip, OTM
44.52 entry</t>
      </text>
    </comment>
    <comment authorId="0" ref="J272">
      <text>
        <t xml:space="preserve">Yamata strat (not to be confused with Yamata strat)</t>
      </text>
    </comment>
    <comment authorId="0" ref="G140">
      <text>
        <t xml:space="preserve">31.94 no vid</t>
      </text>
    </comment>
    <comment authorId="0" ref="F8">
      <text>
        <t xml:space="preserve">50.26 with y cam (terrible)</t>
      </text>
    </comment>
    <comment authorId="0" ref="K107">
      <text>
        <t xml:space="preserve">hover nozzle</t>
      </text>
    </comment>
    <comment authorId="0" ref="H8">
      <text>
        <t xml:space="preserve">~50.30 on emu</t>
      </text>
    </comment>
    <comment authorId="0" ref="A289">
      <text>
        <t xml:space="preserve">Uses the QFT.</t>
      </text>
    </comment>
    <comment authorId="0" ref="B157">
      <text>
        <t xml:space="preserve">PAL/U runs that don't do fruit storage or instant Yoshi dismount are accepted under JP</t>
      </text>
    </comment>
    <comment authorId="0" ref="A91">
      <text>
        <t xml:space="preserve">Uses the QFT.</t>
      </text>
    </comment>
    <comment authorId="0" ref="C157">
      <text>
        <t xml:space="preserve">52.73 from Anon 3 w/ no video</t>
      </text>
    </comment>
    <comment authorId="0" ref="D190">
      <text>
        <t xml:space="preserve">momentum spin 15.45 https://youtu.be/SbAHOGhJJAY</t>
      </text>
    </comment>
    <comment authorId="0" ref="O8">
      <text>
        <t xml:space="preserve">backflip sprays
</t>
      </text>
    </comment>
    <comment authorId="0" ref="Q8">
      <text>
        <t xml:space="preserve">i have a 49.50, wonder if theres video still</t>
      </text>
    </comment>
    <comment authorId="0" ref="S74">
      <text>
        <t xml:space="preserve">don't do this strat.  Do front slide.  It isn't rng dependent.</t>
      </text>
    </comment>
    <comment authorId="0" ref="U140">
      <text>
        <t xml:space="preserve">no hoverslide + right side coin clip
33.95 no hoverslide + no coin clip:
https://youtu.be/uGxkJUFe3bs
Generally ties boathop in rta cus it kinda sucks.</t>
      </text>
    </comment>
    <comment authorId="0" ref="F25">
      <text>
        <t xml:space="preserve">bad</t>
      </text>
    </comment>
    <comment authorId="0" ref="W8">
      <text>
        <t xml:space="preserve">dumpster</t>
      </text>
    </comment>
    <comment authorId="0" ref="C339">
      <text>
        <t xml:space="preserve">15.34 qft
normal ledgegrab 11.01 (15.91 qft) https://youtu.be/1gB6_mUS5Wk</t>
      </text>
    </comment>
    <comment authorId="0" ref="B273">
      <text>
        <t xml:space="preserve">Pattern Selector: 1 0 1</t>
      </text>
    </comment>
    <comment authorId="0" ref="D339">
      <text>
        <t xml:space="preserve">15.34 qft
normal ledgegrab 10.98 (15.88 qft) https://youtu.be/C2b6re7XK-w</t>
      </text>
    </comment>
    <comment authorId="0" ref="O124">
      <text>
        <t xml:space="preserve">RTA viability debatable</t>
      </text>
    </comment>
    <comment authorId="0" ref="D273">
      <text>
        <t xml:space="preserve">41.50 spin strat - https://youtu.be/rxnvs5VIp4A</t>
      </text>
    </comment>
    <comment authorId="0" ref="F339">
      <text>
        <t xml:space="preserve">11.21 normal ledgegrab - https://youtu.be/zQ-cQMdPOYE</t>
      </text>
    </comment>
    <comment authorId="0" ref="A141">
      <text>
        <t xml:space="preserve">No long-distance spray on 1st Koopa.</t>
      </text>
    </comment>
    <comment authorId="0" ref="B174">
      <text>
        <t xml:space="preserve">No delayed button press or sideflip through 2nd</t>
      </text>
    </comment>
    <comment authorId="0" ref="P25">
      <text>
        <t xml:space="preserve">1:11.57 without video</t>
      </text>
    </comment>
    <comment authorId="0" ref="D42">
      <text>
        <t xml:space="preserve">never again</t>
      </text>
    </comment>
    <comment authorId="0" ref="L141">
      <text>
        <t xml:space="preserve">terrible level</t>
      </text>
    </comment>
    <comment authorId="0" ref="Q273">
      <text>
        <t xml:space="preserve">Done on U/PAL</t>
      </text>
    </comment>
    <comment authorId="0" ref="K42">
      <text>
        <t xml:space="preserve">sms has cursed me on this day</t>
      </text>
    </comment>
    <comment authorId="0" ref="C191">
      <text>
        <t xml:space="preserve">10.80 hotel entry</t>
      </text>
    </comment>
    <comment authorId="0" ref="C158">
      <text>
        <t xml:space="preserve">50.57 by planktonsecretformula.
No video</t>
      </text>
    </comment>
    <comment authorId="0" ref="E125">
      <text>
        <t xml:space="preserve">From 120, no turbo route</t>
      </text>
    </comment>
    <comment authorId="0" ref="D26">
      <text>
        <t xml:space="preserve">gwkd 1:09.96 https://youtu.be/Zv0UBLVKfV8</t>
      </text>
    </comment>
    <comment authorId="0" ref="K224">
      <text>
        <t xml:space="preserve">insta ledgegrab 12.89 - https://youtu.be/SJ6wagEjvMA
normal strat 13.22 - https://www.youtube.com/watch?v=hDAo_-0Vpgk</t>
      </text>
    </comment>
    <comment authorId="0" ref="AB273">
      <text>
        <t xml:space="preserve">no sgt, 43.51 on qft</t>
      </text>
    </comment>
    <comment authorId="0" ref="AA207">
      <text>
        <t xml:space="preserve">25 is maybe possible</t>
      </text>
    </comment>
    <comment authorId="0" ref="J125">
      <text>
        <t xml:space="preserve">[auto-submitted best known time w/ input display]</t>
      </text>
    </comment>
    <comment authorId="0" ref="AG339">
      <text>
        <t xml:space="preserve">losing a lot of time on the umbrella/roof bounce
and this is normal ledgegrab</t>
      </text>
    </comment>
    <comment authorId="0" ref="B274">
      <text>
        <t xml:space="preserve">Pattern Selector: 2 0 2 or 2 0 3</t>
      </text>
    </comment>
    <comment authorId="0" ref="D340">
      <text>
        <t xml:space="preserve">15.11 qft
shotgun rollout 10.34 (15.25 qft)
https://youtu.be/sjW35Hnly-w</t>
      </text>
    </comment>
    <comment authorId="0" ref="A175">
      <text>
        <t xml:space="preserve">Quarter Frame Timer
Secret Only, No entry</t>
      </text>
    </comment>
    <comment authorId="0" ref="B208">
      <text>
        <t xml:space="preserve">triple-jump-dive or spin-jump-dive off middle cube</t>
      </text>
    </comment>
    <comment authorId="0" ref="F274">
      <text>
        <t xml:space="preserve">43.47 with probably not rta strat https://youtu.be/Y0_AcEa_juc</t>
      </text>
    </comment>
    <comment authorId="0" ref="K142">
      <text>
        <t xml:space="preserve">optimal version: 54.37
https://youtu.be/lAzhi_EtLq0
safe version: 56.68
https://www.youtube.com/watch?v=y9XasrNZr24</t>
      </text>
    </comment>
    <comment authorId="0" ref="AB191">
      <text>
        <t xml:space="preserve">a ton of room for improvement, im just terrible at hotel entry. 3.99 boo bounce</t>
      </text>
    </comment>
    <comment authorId="0" ref="P208">
      <text>
        <t xml:space="preserve">sorry to forget to record</t>
      </text>
    </comment>
    <comment authorId="0" ref="A225">
      <text>
        <t xml:space="preserve">In game timer, higher the better
No cycle preperation</t>
      </text>
    </comment>
    <comment authorId="0" ref="E291">
      <text>
        <t xml:space="preserve">Forgot to save the replay</t>
      </text>
    </comment>
    <comment authorId="0" ref="A126">
      <text>
        <t xml:space="preserve">starts from inside the park on levels where the option is present</t>
      </text>
    </comment>
    <comment authorId="0" ref="B159">
      <text>
        <t xml:space="preserve">PAL/U runs that don't do fruit storage or instant Yoshi dismount are accepted under JP</t>
      </text>
    </comment>
    <comment authorId="0" ref="D192">
      <text>
        <t xml:space="preserve">momentum spin 4.00 https://youtu.be/bfY0kR9hHXs</t>
      </text>
    </comment>
    <comment authorId="0" ref="W274">
      <text>
        <t xml:space="preserve">43.24 with probably not rta strat -https://youtu.be/dUyZqvGUed0</t>
      </text>
    </comment>
    <comment authorId="0" ref="A308">
      <text>
        <t xml:space="preserve">See Any% Movement section below for flooded plaza.</t>
      </text>
    </comment>
    <comment authorId="0" ref="B275">
      <text>
        <t xml:space="preserve">Pattern Selector: 3 0 1</t>
      </text>
    </comment>
    <comment authorId="0" ref="BI108">
      <text>
        <t xml:space="preserve">[dead link] https://www.twitch.tv/videos/729397997</t>
      </text>
    </comment>
    <comment authorId="0" ref="P93">
      <text>
        <t xml:space="preserve">frame perfect
</t>
      </text>
    </comment>
    <comment authorId="0" ref="F275">
      <text>
        <t xml:space="preserve">very bad, but there's no times so I clipped</t>
      </text>
    </comment>
    <comment authorId="0" ref="A77">
      <text>
        <t xml:space="preserve">No buttslides</t>
      </text>
    </comment>
    <comment authorId="0" ref="D143">
      <text>
        <t xml:space="preserve">my right index is dead</t>
      </text>
    </comment>
    <comment authorId="0" ref="B77">
      <text>
        <t xml:space="preserve">Yellow on 2nd to last rod</t>
      </text>
    </comment>
    <comment authorId="0" ref="A44">
      <text>
        <t xml:space="preserve">In game timer, higher the better
No cycle preperation</t>
      </text>
    </comment>
    <comment authorId="0" ref="F110">
      <text>
        <t xml:space="preserve">easier version of fast</t>
      </text>
    </comment>
    <comment authorId="0" ref="Q275">
      <text>
        <t xml:space="preserve">Done on U/PAL</t>
      </text>
    </comment>
    <comment authorId="0" ref="D358">
      <text>
        <t xml:space="preserve">8.98 qft
noki to gelato 11.94 https://youtu.be/q0lgK8tffpQ</t>
      </text>
    </comment>
    <comment authorId="0" ref="A226">
      <text>
        <t xml:space="preserve">Quarter Frame Timer
Secret Only, No entry</t>
      </text>
    </comment>
    <comment authorId="0" ref="V242">
      <text>
        <t xml:space="preserve">done in ep 8
ep 4 entry PB with video: 12.67 https://twitter.com/Qbe_Root/status/1351230682073337856</t>
      </text>
    </comment>
    <comment authorId="0" ref="F28">
      <text>
        <t xml:space="preserve">terrible</t>
      </text>
    </comment>
    <comment authorId="0" ref="AA209">
      <text>
        <t xml:space="preserve">don't mind this :)</t>
      </text>
    </comment>
    <comment authorId="0" ref="Y11">
      <text>
        <t xml:space="preserve">left side</t>
      </text>
    </comment>
    <comment authorId="0" ref="A243">
      <text>
        <t xml:space="preserve">Uses the QFT.</t>
      </text>
    </comment>
    <comment authorId="0" ref="B276">
      <text>
        <t xml:space="preserve">Pattern Selector: 2 0 1</t>
      </text>
    </comment>
    <comment authorId="0" ref="K28">
      <text>
        <t xml:space="preserve">can improve this a fair amount, but i don't really enjoy this level</t>
      </text>
    </comment>
    <comment authorId="0" ref="L28">
      <text>
        <t xml:space="preserve">30.48 entry</t>
      </text>
    </comment>
    <comment authorId="0" ref="A177">
      <text>
        <t xml:space="preserve">In game timer, higher the better
No cycle preperation</t>
      </text>
    </comment>
    <comment authorId="0" ref="C243">
      <text>
        <t xml:space="preserve">normal 1:03.696: https://youtu.be/ABAwt06qHCA</t>
      </text>
    </comment>
    <comment authorId="0" ref="D276">
      <text>
        <t xml:space="preserve">40.20 spin strat - https://youtu.be/nLTpbUh2ayY</t>
      </text>
    </comment>
    <comment authorId="0" ref="D243">
      <text>
        <t xml:space="preserve">normal 1:03.696: https://youtu.be/ABAwt06qHCA</t>
      </text>
    </comment>
    <comment authorId="0" ref="A45">
      <text>
        <t xml:space="preserve">Quarter Frame Timer
Secret Only, No entry</t>
      </text>
    </comment>
    <comment authorId="0" ref="B78">
      <text>
        <t xml:space="preserve">Momentum run to jump dive on 3rd to lastrod, blue on 2nd to last rod</t>
      </text>
    </comment>
    <comment authorId="0" ref="C111">
      <text>
        <t xml:space="preserve">18.37 No video by Reed.</t>
      </text>
    </comment>
    <comment authorId="0" ref="D12">
      <text>
        <t xml:space="preserve">two slide 37.77: https://youtu.be/gTC4atT4DbY?feature=shared</t>
      </text>
    </comment>
    <comment authorId="0" ref="A359">
      <text>
        <t xml:space="preserve">Collect a Noki Shine, exit area and load into flooded plaza.
Intro skipping is allowed.</t>
      </text>
    </comment>
    <comment authorId="0" ref="Q276">
      <text>
        <t xml:space="preserve">Forgotten done on U/pal version
</t>
      </text>
    </comment>
    <comment authorId="0" ref="C326">
      <text>
        <t xml:space="preserve">11.57 plant unlock</t>
      </text>
    </comment>
    <comment authorId="0" ref="J12">
      <text>
        <t xml:space="preserve">sideflip</t>
      </text>
    </comment>
    <comment authorId="0" ref="Q210">
      <text>
        <t xml:space="preserve">about 90% certain i have a 23.1x</t>
      </text>
    </comment>
    <comment authorId="0" ref="D260">
      <text>
        <t xml:space="preserve">walking setup 16.31:
https://youtu.be/hLdJgk9HnhU</t>
      </text>
    </comment>
    <comment authorId="0" ref="D227">
      <text>
        <t xml:space="preserve">[retimed]</t>
      </text>
    </comment>
    <comment authorId="0" ref="H29">
      <text>
        <t xml:space="preserve">beginner cycle; can get 47.00-ish</t>
      </text>
    </comment>
    <comment authorId="0" ref="A277">
      <text>
        <t xml:space="preserve">Uses the QFT</t>
      </text>
    </comment>
    <comment authorId="0" ref="C277">
      <text>
        <t xml:space="preserve">best talk 8.56 https://youtu.be/dUk4bszj9FQ</t>
      </text>
    </comment>
    <comment authorId="0" ref="A178">
      <text>
        <t xml:space="preserve">Quarter Frame Timer
Secret Only, No entry</t>
      </text>
    </comment>
    <comment authorId="0" ref="D277">
      <text>
        <t xml:space="preserve">best talk 8.56 https://youtu.be/dUk4bszj9FQ</t>
      </text>
    </comment>
    <comment authorId="0" ref="D244">
      <text>
        <t xml:space="preserve">normal 10.952: https://youtu.be/ABAwt06qHCA</t>
      </text>
    </comment>
    <comment authorId="0" ref="A112">
      <text>
        <t xml:space="preserve">Uses the QFT.</t>
      </text>
    </comment>
    <comment authorId="0" ref="A46">
      <text>
        <t xml:space="preserve">In game timer, higher the better
No cycle preperation</t>
      </text>
    </comment>
    <comment authorId="0" ref="B79">
      <text>
        <t xml:space="preserve">Blue on 2nd to last rod, spin-jump dive</t>
      </text>
    </comment>
    <comment authorId="0" ref="H79">
      <text>
        <t xml:space="preserve">yellow cycle: 33.15 – https://www.twitch.tv/videos/655376950</t>
      </text>
    </comment>
    <comment authorId="0" ref="AG359">
      <text>
        <t xml:space="preserve">definitely improvable
</t>
      </text>
    </comment>
    <comment authorId="0" ref="A294">
      <text>
        <t xml:space="preserve">In game timer, higher the better
No cycle preperation</t>
      </text>
    </comment>
    <comment authorId="0" ref="C327">
      <text>
        <t xml:space="preserve">WR unlock - 10.60
https://youtu.be/Ls8HXeRdKRY?t=5</t>
      </text>
    </comment>
    <comment authorId="0" ref="L46">
      <text>
        <t xml:space="preserve">improvable</t>
      </text>
    </comment>
    <comment authorId="0" ref="F327">
      <text>
        <t xml:space="preserve">10.71 unlock</t>
      </text>
    </comment>
    <comment authorId="0" ref="H129">
      <text>
        <t xml:space="preserve">5 rocket – 1:05.12 https://youtu.be/SpP0rnuVP6c</t>
      </text>
    </comment>
    <comment authorId="0" ref="V46">
      <text>
        <t xml:space="preserve">53.520 QFT</t>
      </text>
    </comment>
    <comment authorId="0" ref="H96">
      <text>
        <t xml:space="preserve">15.33 with hoverslide: https://www.twitch.tv/videos/612666610</t>
      </text>
    </comment>
    <comment authorId="0" ref="A278">
      <text>
        <t xml:space="preserve">No GWKH.</t>
      </text>
    </comment>
    <comment authorId="0" ref="D311">
      <text>
        <t xml:space="preserve">duck riders:
44.28 - https://youtu.be/vCiCUjJsFlg</t>
      </text>
    </comment>
    <comment authorId="0" ref="A295">
      <text>
        <t xml:space="preserve">Quarter Frame Timer
Secret Only, No entry</t>
      </text>
    </comment>
    <comment authorId="0" ref="A262">
      <text>
        <t xml:space="preserve">In game timer, higher the better
No cycle preperation</t>
      </text>
    </comment>
    <comment authorId="0" ref="C328">
      <text>
        <t xml:space="preserve">this is 10.37 wake up, i got 10.30 wake up (10.34 on qft at least) but no recording - pumpman</t>
      </text>
    </comment>
    <comment authorId="0" ref="D328">
      <text>
        <t xml:space="preserve">10.51 plant unlock 
https://youtu.be/QR0bzDRF9p0
duck riders:
unlock 12.87 - https://youtu.be/Nxbqe9j-JBQ
plunderbell 29.89 - https://youtu.be/MARqHIon5bE
</t>
      </text>
    </comment>
    <comment authorId="0" ref="F328">
      <text>
        <t xml:space="preserve">10.50 unlock</t>
      </text>
    </comment>
    <comment authorId="0" ref="A64">
      <text>
        <t xml:space="preserve">Gooper Blooper fight only.
-Uses QFT</t>
      </text>
    </comment>
    <comment authorId="0" ref="P14">
      <text>
        <t xml:space="preserve">still improvable?</t>
      </text>
    </comment>
    <comment authorId="0" ref="H229">
      <text>
        <t xml:space="preserve">2nd cycle wr(?) – 58.48 (https://youtu.be/6_iukZorSgM)
(8.67 bombs)</t>
      </text>
    </comment>
    <comment authorId="0" ref="C31">
      <text>
        <t xml:space="preserve">Cube move: 13.57 (Best)</t>
      </text>
    </comment>
    <comment authorId="0" ref="J196">
      <text>
        <t xml:space="preserve">fast text off</t>
      </text>
    </comment>
    <comment authorId="0" ref="L229">
      <text>
        <t xml:space="preserve">shit</t>
      </text>
    </comment>
    <comment authorId="0" ref="L196">
      <text>
        <t xml:space="preserve">going bananas haha funni</t>
      </text>
    </comment>
    <comment authorId="0" ref="N229">
      <text>
        <t xml:space="preserve">55.65 no dive/single jump</t>
      </text>
    </comment>
    <comment authorId="0" ref="AG344">
      <text>
        <t xml:space="preserve">lol
</t>
      </text>
    </comment>
    <comment authorId="0" ref="P196">
      <text>
        <t xml:space="preserve">auto-reclassified to "back-side pole"</t>
      </text>
    </comment>
    <comment authorId="0" ref="A213">
      <text>
        <t xml:space="preserve">No instant ledge climb.</t>
      </text>
    </comment>
    <comment authorId="0" ref="C246">
      <text>
        <t xml:space="preserve">20.38 entry</t>
      </text>
    </comment>
    <comment authorId="0" ref="U328">
      <text>
        <t xml:space="preserve">can someone please explain wtf is happening</t>
      </text>
    </comment>
    <comment authorId="0" ref="C213">
      <text>
        <t xml:space="preserve">retimed from pipe entry time (25.25) - first frame last 2 digits of sgt are visible (17.01) + constant of 0.42 (time when first frame sgt is visible) = 8.66</t>
      </text>
    </comment>
    <comment authorId="0" ref="D246">
      <text>
        <t xml:space="preserve">20.38 entry</t>
      </text>
    </comment>
    <comment authorId="0" ref="W328">
      <text>
        <t xml:space="preserve">10.37 unlock haha
onme frame lsot on figght????</t>
      </text>
    </comment>
    <comment authorId="0" ref="F213">
      <text>
        <t xml:space="preserve">retimed from pipe entry time (25.25) - first frame last 2 digits of sgt are visible (17.01) + constant of 0.42 (time when first frame sgt is visible) = 8.66</t>
      </text>
    </comment>
    <comment authorId="0" ref="F15">
      <text>
        <t xml:space="preserve">13.79 unrecorded rarest rag of all time</t>
      </text>
    </comment>
    <comment authorId="0" ref="J114">
      <text>
        <t xml:space="preserve">trash</t>
      </text>
    </comment>
    <comment authorId="0" ref="A296">
      <text>
        <t xml:space="preserve">No fluff warp.</t>
      </text>
    </comment>
    <comment authorId="0" ref="L114">
      <text>
        <t xml:space="preserve">im such a legend poggpoggpogg</t>
      </text>
    </comment>
    <comment authorId="0" ref="A263">
      <text>
        <t xml:space="preserve">Quarter Frame Timer
Secret Only, No entry</t>
      </text>
    </comment>
    <comment authorId="0" ref="AA31">
      <text>
        <t xml:space="preserve">top left</t>
      </text>
    </comment>
    <comment authorId="0" ref="A98">
      <text>
        <t xml:space="preserve">If you get Turbo Nozzle, you have to get one in the ship</t>
      </text>
    </comment>
    <comment authorId="0" ref="C98">
      <text>
        <t xml:space="preserve">All episodes strat: 49.24
https://youtu.be/nubc-xDULOU</t>
      </text>
    </comment>
    <comment authorId="0" ref="X279">
      <text>
        <t xml:space="preserve">30.85 no ground-pound
31.35 ground-pound</t>
      </text>
    </comment>
    <comment authorId="0" ref="J296">
      <text>
        <t xml:space="preserve">no platform skip: 38.46 (https://clips.twitch.tv/BraveSavageShallotYouDontSay)</t>
      </text>
    </comment>
    <comment authorId="0" ref="C32">
      <text>
        <t xml:space="preserve">Cube move: 13.60 (Best)</t>
      </text>
    </comment>
    <comment authorId="0" ref="D65">
      <text>
        <t xml:space="preserve">28.76 hover rollout 
https://youtu.be/8pM1huy36oU
28.29 spray --&gt; dive --&gt; rollout in-place https://youtu.be/3NgXAwx-hMk
27.96 using the goop https://youtu.be/VjT24TpTlek</t>
      </text>
    </comment>
    <comment authorId="0" ref="E98">
      <text>
        <t xml:space="preserve">Coconut clip
(55.55 RIP)</t>
      </text>
    </comment>
    <comment authorId="0" ref="F98">
      <text>
        <t xml:space="preserve">brain lapsed when I grabbed the grate</t>
      </text>
    </comment>
    <comment authorId="0" ref="P296">
      <text>
        <t xml:space="preserve">no platform skip</t>
      </text>
    </comment>
    <comment authorId="0" ref="K98">
      <text>
        <t xml:space="preserve">all episodes strat - 50.54
https://youtu.be/20Ip3fptei0</t>
      </text>
    </comment>
    <comment authorId="0" ref="K32">
      <text>
        <t xml:space="preserve">best cube land: 13.57
don't think you can get better cube land unless your dive off the triangles (can get 13.46 with that), but that doesn't even guarantee a better ending cycle so I don't think it's important -Despin</t>
      </text>
    </comment>
    <comment authorId="0" ref="A115">
      <text>
        <t xml:space="preserve">No Ground-Pound kill.</t>
      </text>
    </comment>
    <comment authorId="0" ref="C181">
      <text>
        <t xml:space="preserve">9.50 Talk</t>
      </text>
    </comment>
    <comment authorId="0" ref="D214">
      <text>
        <t xml:space="preserve">[retimed]</t>
      </text>
    </comment>
    <comment authorId="0" ref="C115">
      <text>
        <t xml:space="preserve">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H181">
      <text>
        <t xml:space="preserve">2f lost to text smh</t>
      </text>
    </comment>
    <comment authorId="0" ref="K115">
      <text>
        <t xml:space="preserve">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C297">
      <text>
        <t xml:space="preserve">degen 1-hover variant: 35.52 (https://youtu.be/Uyp0_hERqwY)</t>
      </text>
    </comment>
    <comment authorId="0" ref="A165">
      <text>
        <t xml:space="preserve">The frame the HUD becomes juice instead of water.</t>
      </text>
    </comment>
    <comment authorId="0" ref="C231">
      <text>
        <t xml:space="preserve">Best Spring grab: 19.31 https://twitch.tv/ricrexx/clip/SucculentAwkwardKoalaBudBlast-f81kL4NqwVx4nocn</t>
      </text>
    </comment>
    <comment authorId="0" ref="A132">
      <text>
        <t xml:space="preserve">Mecha-Bowser fight only.
Uses QFT pause.</t>
      </text>
    </comment>
    <comment authorId="0" ref="A99">
      <text>
        <t xml:space="preserve">In game timer, higher the better
No cycle preperation</t>
      </text>
    </comment>
    <comment authorId="0" ref="A66">
      <text>
        <t xml:space="preserve">Full and Inside use the QFT.</t>
      </text>
    </comment>
    <comment authorId="0" ref="D132">
      <text>
        <t xml:space="preserve">sped up beginning</t>
      </text>
    </comment>
    <comment authorId="0" ref="F99">
      <text>
        <t xml:space="preserve">59.68 with easier RTA strats
https://clips.twitch.tv/SuccessfulAmusedGarlicMrDestructoid</t>
      </text>
    </comment>
    <comment authorId="0" ref="Q231">
      <text>
        <t xml:space="preserve">actual pbs a 27.8x, deleted cause not IL pb</t>
      </text>
    </comment>
    <comment authorId="0" ref="B248">
      <text>
        <t xml:space="preserve">blue on 1st rod, not using highest platform before it</t>
      </text>
    </comment>
    <comment authorId="0" ref="C248">
      <text>
        <t xml:space="preserve">blue cycle w/ gwkd: 31.72 -
https://twitter.com/diddeh14/status/1253843214836076544
pyro kick: 32.95 –
https://youtu.be/cpTJSAhgdto</t>
      </text>
    </comment>
    <comment authorId="0" ref="A331">
      <text>
        <t xml:space="preserve">time stops on the frame the piranha plant first flashes red on the last hit, under the assumption that this determines the timing of the M entry</t>
      </text>
    </comment>
    <comment authorId="0" ref="C331">
      <text>
        <t xml:space="preserve">best unlock 14.24 - https://youtu.be/agoJmQxKPeM
</t>
      </text>
    </comment>
    <comment authorId="0" ref="D331">
      <text>
        <t xml:space="preserve">best unlock 14.24 - https://youtu.be/agoJmQxKPeM
</t>
      </text>
    </comment>
    <comment authorId="0" ref="D232">
      <text>
        <t xml:space="preserve">32.29 https://youtu.be/sa0aOUxzwYo</t>
      </text>
    </comment>
    <comment authorId="0" ref="G331">
      <text>
        <t xml:space="preserve">14.28 unlock</t>
      </text>
    </comment>
    <comment authorId="0" ref="A100">
      <text>
        <t xml:space="preserve">Quarter Frame Timer
Secret Only, No entry</t>
      </text>
    </comment>
    <comment authorId="0" ref="E232">
      <text>
        <t xml:space="preserve">33.22
https://youtu.be/RKtt_uS4MG8</t>
      </text>
    </comment>
    <comment authorId="0" ref="C100">
      <text>
        <t xml:space="preserve">42.642 akane -no video</t>
      </text>
    </comment>
    <comment authorId="0" ref="X281">
      <text>
        <t xml:space="preserve">30.34 no ground-pound
30.46 ground-pound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16">
      <text>
        <t xml:space="preserve">upload ur videos cowards</t>
      </text>
    </comment>
    <comment authorId="0" ref="BI33">
      <text>
        <t xml:space="preserve">2:03.523 full w/out pillar blues</t>
      </text>
    </comment>
    <comment authorId="0" ref="A2">
      <text>
        <t xml:space="preserve">To start adding times, type your name into an empty row! c:</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H2">
      <text>
        <t xml:space="preserve">Blues:
Lake</t>
      </text>
    </comment>
    <comment authorId="0" ref="I2">
      <text>
        <t xml:space="preserve">Blues:
M on Windmill</t>
      </text>
    </comment>
    <comment authorId="0" ref="K2">
      <text>
        <t xml:space="preserve">Blues:
Spray small windmill
Pokey next to rocket box</t>
      </text>
    </comment>
    <comment authorId="0" ref="AB51">
      <text>
        <t xml:space="preserve">first try, then couldn't beat it :/</t>
      </text>
    </comment>
    <comment authorId="0" ref="N2">
      <text>
        <t xml:space="preserve">Tower, Village Ms, Cliff, River, Balcony are Bianco 5 blues, they are NOT required for 100s ILs</t>
      </text>
    </comment>
    <comment authorId="0" ref="AG51">
      <text>
        <t xml:space="preserve">not bad actually</t>
      </text>
    </comment>
    <comment authorId="0" ref="Q2">
      <text>
        <t xml:space="preserve">Blues:
M inside boat
M on side of boat
M below goop next to boat
Raise the boat out of water</t>
      </text>
    </comment>
    <comment authorId="0" ref="R2">
      <text>
        <t xml:space="preserve">Blues:
Coin above fountain
M on the left wall
Linked X (spray the X on Tower)
</t>
      </text>
    </comment>
    <comment authorId="0" ref="S2">
      <text>
        <t xml:space="preserve">Blues:
Coin above water
Rules:
Must be done on practice codes, because vanilla SMS pauses the timer in the coin textbox</t>
      </text>
    </comment>
    <comment authorId="0" ref="T2">
      <text>
        <t xml:space="preserve">Blues:
Spider</t>
      </text>
    </comment>
    <comment authorId="0" ref="U2">
      <text>
        <t xml:space="preserve">Blues:
Blue Butterflies
Spray fish bucket
M on wall in the corner
M on top of the pillar close to shine</t>
      </text>
    </comment>
    <comment authorId="0" ref="V2">
      <text>
        <t xml:space="preserve">Blues:
M next to sunglasses trader
M above the red roof
Linked X (spawns at Ricco 4 tower)
Crate behind tower
Spider in the boat
On top of crane
Line of coins going down
Below arrow platform
Blooper inside Ricco 3 objective
Foundation above crane
Foundation above moving pole
Above Ricco 4 tower
Platform next to tower
Blue shine on the wall
Spider on wall
M close to the shine</t>
      </text>
    </comment>
    <comment authorId="0" ref="X2">
      <text>
        <t xml:space="preserve">Blues:
Red Duck</t>
      </text>
    </comment>
    <comment authorId="0" ref="Y2">
      <text>
        <t xml:space="preserve">Blues:
Spray the sand below the shine</t>
      </text>
    </comment>
    <comment authorId="0" ref="Z2">
      <text>
        <t xml:space="preserve">Blues:
Linked Triangle (2x)</t>
      </text>
    </comment>
    <comment authorId="0" ref="AA2">
      <text>
        <t xml:space="preserve">Blues:
All 4 in sandbird stage</t>
      </text>
    </comment>
    <comment authorId="0" ref="AC2">
      <text>
        <t xml:space="preserve">Blues:
In the water near the edge of the map (2x)
Swimming with blue fishes (2x)</t>
      </text>
    </comment>
    <comment authorId="0" ref="AD2">
      <text>
        <t xml:space="preserve">Blues:
Shine in the sand</t>
      </text>
    </comment>
    <comment authorId="0" ref="AE2">
      <text>
        <t xml:space="preserve">Blues:
Shine in the sand
Blender on top of hut</t>
      </text>
    </comment>
    <comment authorId="0" ref="AF2">
      <text>
        <t xml:space="preserve">Dune Bud Staircase</t>
      </text>
    </comment>
    <comment authorId="0" ref="AW18">
      <text>
        <t xml:space="preserve">13.87 no clam</t>
      </text>
    </comment>
    <comment authorId="0" ref="AJ2">
      <text>
        <t xml:space="preserve">Blues:
Blue Bird
Stu Tower
M above Bricks
M at beach</t>
      </text>
    </comment>
    <comment authorId="0" ref="V19">
      <text>
        <t xml:space="preserve">rough estimate from my 2:57:13
</t>
      </text>
    </comment>
    <comment authorId="0" ref="J3">
      <text>
        <t xml:space="preserve">Blues:
Blue Bird
Linked O on house
Coin in air next to small windmill
Spray Bianco 5 petey spawn pillar
Top of tower near big windmill
Coin in the water
Spray top of pillar</t>
      </text>
    </comment>
    <comment authorId="0" ref="K3">
      <text>
        <t xml:space="preserve">Get blues fron Ep. 8 note
+ Pokey on top of windmill</t>
      </text>
    </comment>
    <comment authorId="0" ref="AP2">
      <text>
        <t xml:space="preserve">Blues:
Linked Os at ferriswheel</t>
      </text>
    </comment>
    <comment authorId="0" ref="L3">
      <text>
        <t xml:space="preserve">Get blues fron Ep. 8 note
+ Pokey on top of windmill
+ Tower close to windmill</t>
      </text>
    </comment>
    <comment authorId="0" ref="M3">
      <text>
        <t xml:space="preserve">Get blues fron Ep. 8 note
+ Tower close to windmill</t>
      </text>
    </comment>
    <comment authorId="0" ref="N3">
      <text>
        <t xml:space="preserve">Blues:
Gooped Pianta (2x)
Bee Hive 
Spray top of tree
Top of the platform next to Ep.5 Petey spawn
Spray Ep.5 Petey spawn
Coin in air next to small windmill
Blue Butterfly
Linked O (2x)
Blue Bird
</t>
      </text>
    </comment>
    <comment authorId="0" ref="BI18">
      <text>
        <t xml:space="preserve">[old time. included outside] 1:56.58</t>
      </text>
    </comment>
    <comment authorId="0" ref="BY1">
      <text>
        <t xml:space="preserve">for ILs that start from default delfino spawn, go into y mode before retrying the IL to prevent mario from being able to walk instantly. This is required.</t>
      </text>
    </comment>
    <comment authorId="0" ref="O3">
      <text>
        <t xml:space="preserve">Blues:
Gooped Pianta (2x)
Bee Hive
Spray top of tree
Butterfly
Linked O</t>
      </text>
    </comment>
    <comment authorId="0" ref="AV2">
      <text>
        <t xml:space="preserve">leave bird, blue on the hill for pinna 6 reds</t>
      </text>
    </comment>
    <comment authorId="0" ref="AW2">
      <text>
        <t xml:space="preserve">Blues:
Green clam
Inside the steel pillar</t>
      </text>
    </comment>
    <comment authorId="0" ref="AX2">
      <text>
        <t xml:space="preserve">Blues:
Blue shine in sand (2x)
Blue butterfly (2x)</t>
      </text>
    </comment>
    <comment authorId="0" ref="BA2">
      <text>
        <t xml:space="preserve">Blues:
Water</t>
      </text>
    </comment>
    <comment authorId="0" ref="BB2">
      <text>
        <t xml:space="preserve">Blues:
Extinguish Noki (4x)
Gravestone</t>
      </text>
    </comment>
    <comment authorId="0" ref="BC2">
      <text>
        <t xml:space="preserve">Blues:
2nd floor triangle</t>
      </text>
    </comment>
    <comment authorId="0" ref="BD2">
      <text>
        <t xml:space="preserve">Blues:
Bookshelf in room with Pianta</t>
      </text>
    </comment>
    <comment authorId="0" ref="BE2">
      <text>
        <t xml:space="preserve">Blues outside (5):
In the roof of the hut
M on the wall
Spray the flowers
Behind the hotel
Spray the torch in front of the hotel
Blues inside (14):
1st floor triangle
Inside the box
Sitting room next to box room
2nd floor X
M on 3rd floor wall
Boo in attic
Attic
Spray the blue painting
Bedroom below blue painting
Spray the lamp in the corner
Spray the big lamp in the middle
Attic M
3rd floor X</t>
      </text>
    </comment>
    <comment authorId="0" ref="BW51">
      <text>
        <t xml:space="preserve">not jp</t>
      </text>
    </comment>
    <comment authorId="0" ref="BG2">
      <text>
        <t xml:space="preserve">Blues:
Ruin (2x)</t>
      </text>
    </comment>
    <comment authorId="0" ref="BH2">
      <text>
        <t xml:space="preserve">Blues:
Pot in the shine room (2x)</t>
      </text>
    </comment>
    <comment authorId="0" ref="BY18">
      <text>
        <t xml:space="preserve">w jelly 2</t>
      </text>
    </comment>
    <comment authorId="0" ref="BK2">
      <text>
        <t xml:space="preserve">Blues:
Ruins (3x)
M on Wall</t>
      </text>
    </comment>
    <comment authorId="0" ref="AF3">
      <text>
        <t xml:space="preserve">Blues:
Shine in the sand
Dune bud with jelly
Eat duck in the tree
Butterflies
Required if you do Gelato 100 Ep. 3 route, otherwise Gelato Hidden on normal ILs</t>
      </text>
    </comment>
    <comment authorId="0" ref="A4">
      <text>
        <t xml:space="preserve">Largely outdated ILs from 2024 but I'm working on submitting newer shit when I feel like it now that qft is allowed
"meow
Silver Medal Queen
#RoadTo249" -akane 2023 or 2024
^^^ Promises made, promises kept.
- akane September 2025</t>
      </text>
    </comment>
    <comment authorId="0" ref="AG3">
      <text>
        <t xml:space="preserve">Blues:
Swing
Top of palm tree
M near rocket
Inside of the hut with the fruits
Spray shine in the sand
Dune bud with jelly
Eat duck in the tree
Butterflies
At the top of the line of coins
Alcove below the ropes
Top of the highest rope
Below the deck of Gelato 8 hut</t>
      </text>
    </comment>
    <comment authorId="0" ref="BL2">
      <text>
        <t xml:space="preserve">Ruin Blues are NOT required
Blues:
Blues:
Above rocket nozzle box
Chain of coins next to rocket box
In front of turbo box
On top of the wallkick tunnel
Linked O (2x)
Coins above water (2x)
Tunnel above 1up
Tunnel on the left of 1up
Hidden alcove on left (2x)
Spray stone on the right</t>
      </text>
    </comment>
    <comment authorId="0" ref="AH3">
      <text>
        <t xml:space="preserve">Blues:
Swing
Top of palm tree
Inside of the hut with the fruits
At the top of the line of coins
Alcove below the ropes
Top of the highest rope
Below the deck of Gelato 8 hut</t>
      </text>
    </comment>
    <comment authorId="0" ref="BO2">
      <text>
        <t xml:space="preserve">Blues:
M below Fludd
M below goop
Fire Pianta
River end
Spray the moon</t>
      </text>
    </comment>
    <comment authorId="0" ref="BP2">
      <text>
        <t xml:space="preserve">Blues:
Triangle</t>
      </text>
    </comment>
    <comment authorId="0" ref="AK3">
      <text>
        <t xml:space="preserve">Blues:
5 baskets, except the one in the far left corner that requires a purple or Yoshi clip</t>
      </text>
    </comment>
    <comment authorId="0" ref="BQ2">
      <text>
        <t xml:space="preserve">Blues:
M on village underside
Ends on Pianta 5 secret enter</t>
      </text>
    </comment>
    <comment authorId="0" ref="AL3">
      <text>
        <t xml:space="preserve">Blues:
All 6 beach baskets</t>
      </text>
    </comment>
    <comment authorId="0" ref="BR2">
      <text>
        <t xml:space="preserve">Blues:
Talk to adult Pianta (8x)
M between 2 Piantas
(M behind shine spawn)
Rules: Fast text must be on, must be done in practice codes because vanilla SMS pauses timer in textboxes</t>
      </text>
    </comment>
    <comment authorId="0" ref="AM3">
      <text>
        <t xml:space="preserve">Blues:
M on wall
Above ship
Foundation next to ships
Inside the cage
Wooden platform above cage</t>
      </text>
    </comment>
    <comment authorId="0" ref="AN3">
      <text>
        <t xml:space="preserve">Blues:
Wooden platform above cage</t>
      </text>
    </comment>
    <comment authorId="0" ref="BT2">
      <text>
        <t xml:space="preserve">Blues:
Top of the left tree</t>
      </text>
    </comment>
    <comment authorId="0" ref="AO3">
      <text>
        <t xml:space="preserve">Blues:
Wooden platform above cage
Spray the triangle close to water</t>
      </text>
    </comment>
    <comment authorId="0" ref="BU2">
      <text>
        <t xml:space="preserve">Blues:
Blue bird
Grass next to cliff</t>
      </text>
    </comment>
    <comment authorId="0" ref="L37">
      <text>
        <t xml:space="preserve">Both small windmill blues + Windmill Pokey</t>
      </text>
    </comment>
    <comment authorId="0" ref="AQ3">
      <text>
        <t xml:space="preserve">Get blues from Ep. 5 note
+ Coin above ship
+ Foundation next to ships
+ Inside cage</t>
      </text>
    </comment>
    <comment authorId="0" ref="BW2">
      <text>
        <t xml:space="preserve">Blues:
Bee hive
Blue butterflies
Bee hive
Groundpound nose</t>
      </text>
    </comment>
    <comment authorId="0" ref="N4">
      <text>
        <t xml:space="preserve">No Bianco 5 coins</t>
      </text>
    </comment>
    <comment authorId="0" ref="BY2">
      <text>
        <t xml:space="preserve">Blues:
Sewer (2x)
Jelly Skip 2.0 coin
Rules:
Start from default position</t>
      </text>
    </comment>
    <comment authorId="0" ref="O4">
      <text>
        <t xml:space="preserve">Tree</t>
      </text>
    </comment>
    <comment authorId="0" ref="BZ2">
      <text>
        <t xml:space="preserve">Blues:
Turbo gate next to shine spawn
Rules:
Start from default position.</t>
      </text>
    </comment>
    <comment authorId="0" ref="CA2">
      <text>
        <t xml:space="preserve">Start from loading Delfino yoshi shadow mario chase.
Must include yoshi text box and pineapple eat.</t>
      </text>
    </comment>
    <comment authorId="0" ref="BM19">
      <text>
        <t xml:space="preserve">Rough estimate from my 2:57:13
</t>
      </text>
    </comment>
    <comment authorId="0" ref="CD2">
      <text>
        <t xml:space="preserve">Blues:
Fire Pianta
Rules:
Start from default position.</t>
      </text>
    </comment>
    <comment authorId="0" ref="AY3">
      <text>
        <t xml:space="preserve">Get blues from 100s note
+ Basket in far left corner</t>
      </text>
    </comment>
    <comment authorId="0" ref="CE2">
      <text>
        <t xml:space="preserve">Ends on first frame of durian blue coin textbox (http://prntscr.com/tmy81x).</t>
      </text>
    </comment>
    <comment authorId="0" ref="CF2">
      <text>
        <t xml:space="preserve">Ends on exit area confirmation.</t>
      </text>
    </comment>
    <comment authorId="0" ref="CG2">
      <text>
        <t xml:space="preserve">Rules:
Start from exiting Gelato after getting a shine.</t>
      </text>
    </comment>
    <comment authorId="0" ref="CH2">
      <text>
        <t xml:space="preserve">Rules:
Start from exiting Pinna after getting a shine.</t>
      </text>
    </comment>
    <comment authorId="0" ref="CI2">
      <text>
        <t xml:space="preserve">Blues:
Ice Cube
Rules:
RTA route</t>
      </text>
    </comment>
    <comment authorId="0" ref="BI3">
      <text>
        <t xml:space="preserve">Blues:
Underwater next to eel entrance</t>
      </text>
    </comment>
    <comment authorId="0" ref="BJ3">
      <text>
        <t xml:space="preserve">Blues:
3 highest pillar blues</t>
      </text>
    </comment>
    <comment authorId="0" ref="BL3">
      <text>
        <t xml:space="preserve">Blues from 100s note
+ Blues from Ep. 6 note</t>
      </text>
    </comment>
    <comment authorId="0" ref="AH4">
      <text>
        <t xml:space="preserve">Without M because I get it in Gelato 5 (saves time because of no lag and you can get a text skip), Idk if it's allowed because there isn't a official rule for Gelato 100 🤷‍♀️</t>
      </text>
    </comment>
    <comment authorId="0" ref="BR3">
      <text>
        <t xml:space="preserve">Blues from Ep.6 note
+ Triangle close to pool</t>
      </text>
    </comment>
    <comment authorId="0" ref="BS3">
      <text>
        <t xml:space="preserve">Blues from Ep. 6 note
+ Both triangles</t>
      </text>
    </comment>
    <comment authorId="0" ref="J5">
      <text>
        <t xml:space="preserve">optimal route https://youtu.be/mbga6McZD50?si=fPQqbTUUUbhRFVTF</t>
      </text>
    </comment>
    <comment authorId="0" ref="BV3">
      <text>
        <t xml:space="preserve">Blues from Ep. 8 note
+ Triangle close to boxes</t>
      </text>
    </comment>
    <comment authorId="0" ref="AR4">
      <text>
        <t xml:space="preserve">With 1X</t>
      </text>
    </comment>
    <comment authorId="0" ref="M5">
      <text>
        <t xml:space="preserve">no tower</t>
      </text>
    </comment>
    <comment authorId="0" ref="O5">
      <text>
        <t xml:space="preserve">M instead of tree</t>
      </text>
    </comment>
    <comment authorId="0" ref="A22">
      <text>
        <t xml:space="preserve">Grinding for 3:1X</t>
      </text>
    </comment>
    <comment authorId="0" ref="AW4">
      <text>
        <t xml:space="preserve">14.27 https://www.youtube.com/watch?v=bqm3GatKuN4</t>
      </text>
    </comment>
    <comment authorId="0" ref="AY37">
      <text>
        <t xml:space="preserve">Literally 8th try basket clip, help</t>
      </text>
    </comment>
    <comment authorId="0" ref="V5">
      <text>
        <t xml:space="preserve"> 1x route</t>
      </text>
    </comment>
    <comment authorId="0" ref="BB37">
      <text>
        <t xml:space="preserve">idk I play on PAL</t>
      </text>
    </comment>
    <comment authorId="0" ref="CJ3">
      <text>
        <t xml:space="preserve">Rules:
Start from Sirena after collecting a shine
Collect 9 yellow coins</t>
      </text>
    </comment>
    <comment authorId="0" ref="CK3">
      <text>
        <t xml:space="preserve">Blues:
Blue bird on roof next to Sirena
Rules: Start from default plaza spawn in the Yoshi Egg chase plaza, unlock Yoshi, eat pineapple</t>
      </text>
    </comment>
    <comment authorId="0" ref="A39">
      <text>
        <t xml:space="preserve">nut</t>
      </text>
    </comment>
    <comment authorId="0" ref="BL37">
      <text>
        <t xml:space="preserve">Who else up replaying they buffer</t>
      </text>
    </comment>
    <comment authorId="0" ref="AM38">
      <text>
        <t xml:space="preserve">M, above boat, on girder, inside cage box, on top of platform</t>
      </text>
    </comment>
    <comment authorId="0" ref="H6">
      <text>
        <t xml:space="preserve">twitch muted copywritten audio</t>
      </text>
    </comment>
    <comment authorId="0" ref="I39">
      <text>
        <t xml:space="preserve">no GWKH</t>
      </text>
    </comment>
    <comment authorId="0" ref="BE54">
      <text>
        <t xml:space="preserve">really bad. want to improve at some point</t>
      </text>
    </comment>
    <comment authorId="0" ref="AW5">
      <text>
        <t xml:space="preserve">14.17 without green clam</t>
      </text>
    </comment>
    <comment authorId="0" ref="CF4">
      <text>
        <t xml:space="preserve">No SGT but should be fine to my knowledge considering SGT doesn't stop on exit area anyways IIRC?</t>
      </text>
    </comment>
    <comment authorId="0" ref="CH4">
      <text>
        <t xml:space="preserve">Sub 1 is possible</t>
      </text>
    </comment>
    <comment authorId="0" ref="BD5">
      <text>
        <t xml:space="preserve">Mod note:
48.048 QFT shine grab, I changed it to the IGT time for now because nothing else is QFT now but it will be done soon I hope
-akane</t>
      </text>
    </comment>
    <comment authorId="0" ref="J23">
      <text>
        <t xml:space="preserve">6 entry: ~30
6 entry w/ bridge: 39.16
6 entry w/ bridge, water, pillar: 50.94
6r entry, hover, no water or pillar: 1:23.47
6r entry, hover:1:39.48
with hover water and pillar faster in 6 maybe???
</t>
      </text>
    </comment>
    <comment authorId="0" ref="BG5">
      <text>
        <t xml:space="preserve">terrible bombs</t>
      </text>
    </comment>
    <comment authorId="0" ref="O23">
      <text>
        <t xml:space="preserve">3:34 no bridge</t>
      </text>
    </comment>
    <comment authorId="0" ref="R23">
      <text>
        <t xml:space="preserve">39.10 with 4 blues</t>
      </text>
    </comment>
    <comment authorId="0" ref="V23">
      <text>
        <t xml:space="preserve">3:48.97 old route</t>
      </text>
    </comment>
    <comment authorId="0" ref="AT6">
      <text>
        <t xml:space="preserve">got everything</t>
      </text>
    </comment>
    <comment authorId="0" ref="AL23">
      <text>
        <t xml:space="preserve">No idea how it works, copy and pray is my only advice</t>
      </text>
    </comment>
    <comment authorId="0" ref="BD6">
      <text>
        <t xml:space="preserve">no blue</t>
      </text>
    </comment>
    <comment authorId="0" ref="BE39">
      <text>
        <t xml:space="preserve">attic jump route (not that bad)</t>
      </text>
    </comment>
    <comment authorId="0" ref="CJ5">
      <text>
        <t xml:space="preserve">9 yellow coins</t>
      </text>
    </comment>
    <comment authorId="0" ref="Z7">
      <text>
        <t xml:space="preserve">private: https://www.twitch.tv/videos/803784943</t>
      </text>
    </comment>
    <comment authorId="0" ref="L24">
      <text>
        <t xml:space="preserve">sub juan twenny</t>
      </text>
    </comment>
    <comment authorId="0" ref="BJ6">
      <text>
        <t xml:space="preserve">2:16.86 full</t>
      </text>
    </comment>
    <comment authorId="0" ref="AE7">
      <text>
        <t xml:space="preserve">Backflip</t>
      </text>
    </comment>
    <comment authorId="0" ref="BM6">
      <text>
        <t xml:space="preserve">lost a 249 to the shine grab sad</t>
      </text>
    </comment>
    <comment authorId="0" ref="I8">
      <text>
        <t xml:space="preserve">loadless timer
</t>
      </text>
    </comment>
    <comment authorId="0" ref="O8">
      <text>
        <t xml:space="preserve">no river or hill</t>
      </text>
    </comment>
    <comment authorId="0" ref="AE24">
      <text>
        <t xml:space="preserve">human theory crafting</t>
      </text>
    </comment>
    <comment authorId="0" ref="Q8">
      <text>
        <t xml:space="preserve">complete shit
</t>
      </text>
    </comment>
    <comment authorId="0" ref="BL23">
      <text>
        <t xml:space="preserve">didn't get ruins, don't know if i'm supposed to :shrug:</t>
      </text>
    </comment>
    <comment authorId="0" ref="BO23">
      <text>
        <t xml:space="preserve">1:08.66 no river</t>
      </text>
    </comment>
    <comment authorId="0" ref="BP23">
      <text>
        <t xml:space="preserve">left: both rivers + triangle
both river + waterfall
middle: 55.76
right: 53.75</t>
      </text>
    </comment>
    <comment authorId="0" ref="AB41">
      <text>
        <t xml:space="preserve">QF:1:02.962
</t>
      </text>
    </comment>
    <comment authorId="0" ref="AC8">
      <text>
        <t xml:space="preserve">one practice attempt, got perfect fish rng</t>
      </text>
    </comment>
    <comment authorId="0" ref="BI7">
      <text>
        <t xml:space="preserve">[old time. included outside] 1:46.04</t>
      </text>
    </comment>
    <comment authorId="0" ref="BC24">
      <text>
        <t xml:space="preserve">when u quick killin</t>
      </text>
    </comment>
    <comment authorId="0" ref="AN8">
      <text>
        <t xml:space="preserve">0 parent</t>
      </text>
    </comment>
    <comment authorId="0" ref="K9">
      <text>
        <t xml:space="preserve">sloppy overall</t>
      </text>
    </comment>
    <comment authorId="0" ref="M9">
      <text>
        <t xml:space="preserve">tower
</t>
      </text>
    </comment>
    <comment authorId="0" ref="N9">
      <text>
        <t xml:space="preserve">Just to set a video
</t>
      </text>
    </comment>
    <comment authorId="0" ref="BY7">
      <text>
        <t xml:space="preserve">[partial video] https://clips.twitch.tv/LitigiousEsteemedTurtleResidentSleeper</t>
      </text>
    </comment>
    <comment authorId="0" ref="O9">
      <text>
        <t xml:space="preserve">assumed all Bianco 5 blues got collected</t>
      </text>
    </comment>
    <comment authorId="0" ref="Q42">
      <text>
        <t xml:space="preserve">Remastered</t>
      </text>
    </comment>
    <comment authorId="0" ref="BL24">
      <text>
        <t xml:space="preserve">man2000 route with ruins at start</t>
      </text>
    </comment>
    <comment authorId="0" ref="S42">
      <text>
        <t xml:space="preserve">1:32.78 unrecorded</t>
      </text>
    </comment>
    <comment authorId="0" ref="T9">
      <text>
        <t xml:space="preserve">boring to grind ngl
especially because it's too hard for me to skip a fucking text box apparently</t>
      </text>
    </comment>
    <comment authorId="0" ref="BO24">
      <text>
        <t xml:space="preserve">aight</t>
      </text>
    </comment>
    <comment authorId="0" ref="V42">
      <text>
        <t xml:space="preserve">chinpo</t>
      </text>
    </comment>
    <comment authorId="0" ref="V9">
      <text>
        <t xml:space="preserve">still improvable</t>
      </text>
    </comment>
    <comment authorId="0" ref="BC8">
      <text>
        <t xml:space="preserve">suicide</t>
      </text>
    </comment>
    <comment authorId="0" ref="X9">
      <text>
        <t xml:space="preserve">nice idea Larvi</t>
      </text>
    </comment>
    <comment authorId="0" ref="Y9">
      <text>
        <t xml:space="preserve">same mistake as sm27 after the last mirror crying</t>
      </text>
    </comment>
    <comment authorId="0" ref="BT24">
      <text>
        <t xml:space="preserve">beyblade gang</t>
      </text>
    </comment>
    <comment authorId="0" ref="Z9">
      <text>
        <t xml:space="preserve">not perfect but I hate grinding this without the game audio cue</t>
      </text>
    </comment>
    <comment authorId="0" ref="K26">
      <text>
        <t xml:space="preserve">w/ pokey</t>
      </text>
    </comment>
    <comment authorId="0" ref="AA9">
      <text>
        <t xml:space="preserve">Entry sucked, bird meh</t>
      </text>
    </comment>
    <comment authorId="0" ref="AB9">
      <text>
        <t xml:space="preserve">I have no idea how to do this</t>
      </text>
    </comment>
    <comment authorId="0" ref="BW24">
      <text>
        <t xml:space="preserve">not bad m8
shoutouts 2 adam</t>
      </text>
    </comment>
    <comment authorId="0" ref="BI8">
      <text>
        <t xml:space="preserve">[old time. included outside] 1:48.84 https://www.twitch.tv/videos/548092858</t>
      </text>
    </comment>
    <comment authorId="0" ref="O26">
      <text>
        <t xml:space="preserve">river, butter</t>
      </text>
    </comment>
    <comment authorId="0" ref="AG9">
      <text>
        <t xml:space="preserve">Invisible PB : 4:11.50
https://www.twitch.tv/videos/1085894158</t>
      </text>
    </comment>
    <comment authorId="0" ref="AH9">
      <text>
        <t xml:space="preserve">will never improve this as I forgot the route 4Head</t>
      </text>
    </comment>
    <comment authorId="0" ref="AK9">
      <text>
        <t xml:space="preserve">I also had this, 1 second better entry
https://www.twitch.tv/videos/783940160</t>
      </text>
    </comment>
    <comment authorId="0" ref="AL9">
      <text>
        <t xml:space="preserve">I sub to whoever beats this IL (congraz to peaches)
This was so insane and could have been 5 seconds better (2 purples crashed in each other and choked the secret)</t>
      </text>
    </comment>
    <comment authorId="0" ref="BR8">
      <text>
        <t xml:space="preserve">fucking terrible</t>
      </text>
    </comment>
    <comment authorId="0" ref="AM9">
      <text>
        <t xml:space="preserve">Still room for improvement</t>
      </text>
    </comment>
    <comment authorId="0" ref="AN9">
      <text>
        <t xml:space="preserve">trash but I can't live without all my line filled</t>
      </text>
    </comment>
    <comment authorId="0" ref="BT8">
      <text>
        <t xml:space="preserve">wtf game
</t>
      </text>
    </comment>
    <comment authorId="0" ref="BU41">
      <text>
        <t xml:space="preserve">Can definitely get a 2:0X. I just need the birds to cooperate.</t>
      </text>
    </comment>
    <comment authorId="0" ref="AP9">
      <text>
        <t xml:space="preserve">would have been wr if not for the god awful cycle</t>
      </text>
    </comment>
    <comment authorId="0" ref="BY8">
      <text>
        <t xml:space="preserve">this with jelly skip 2.0
</t>
      </text>
    </comment>
    <comment authorId="0" ref="O10">
      <text>
        <t xml:space="preserve">river,  butter</t>
      </text>
    </comment>
    <comment authorId="0" ref="AX9">
      <text>
        <t xml:space="preserve">sm pushed it way too far</t>
      </text>
    </comment>
    <comment authorId="0" ref="AY9">
      <text>
        <t xml:space="preserve">kinda hot as well</t>
      </text>
    </comment>
    <comment authorId="0" ref="BA9">
      <text>
        <t xml:space="preserve">not even close to sm27, this shine is a mystery</t>
      </text>
    </comment>
    <comment authorId="0" ref="BB9">
      <text>
        <t xml:space="preserve">It is time to redesign a new model for this column (and for all 120 columns actually)
I retimed Nindiddeh's time to be a flat 2:13.00 IGT and Anonymous 3's time to be a 2:12.28 IGT (see this following screenshot https://prnt.sc/TE5NHalwBBZD)
I saw SB multiple times got a 2:14 in his runs as well. IF ONLY THIS COLUMN WAS NOT THE STUPID TIMER
- Pogo</t>
      </text>
    </comment>
    <comment authorId="0" ref="CI41">
      <text>
        <t xml:space="preserve">Used pogo's 98 coin route</t>
      </text>
    </comment>
    <comment authorId="0" ref="BE9">
      <text>
        <t xml:space="preserve">no fast text ofc</t>
      </text>
    </comment>
    <comment authorId="0" ref="A44">
      <text>
        <t xml:space="preserve">Everywhere</t>
      </text>
    </comment>
    <comment authorId="0" ref="BK9">
      <text>
        <t xml:space="preserve">troll entry, green cycle</t>
      </text>
    </comment>
    <comment authorId="0" ref="A11">
      <text>
        <t xml:space="preserve">My goal is 2:51/WR</t>
      </text>
    </comment>
    <comment authorId="0" ref="BL9">
      <text>
        <t xml:space="preserve">Don't get Noki 1 ruin blue coins during this shine ofcourse, SB's video is outdated</t>
      </text>
    </comment>
    <comment authorId="0" ref="AG10">
      <text>
        <t xml:space="preserve">mission: defeat nanashi</t>
      </text>
    </comment>
    <comment authorId="0" ref="AW26">
      <text>
        <t xml:space="preserve">rta</t>
      </text>
    </comment>
    <comment authorId="0" ref="BM9">
      <text>
        <t xml:space="preserve">Invisible PB : 4:12.50
https://www.twitch.tv/videos/1085901300</t>
      </text>
    </comment>
    <comment authorId="0" ref="BP9">
      <text>
        <t xml:space="preserve">right path, 1 attempt, 1 blue (triangle)</t>
      </text>
    </comment>
    <comment authorId="0" ref="BS9">
      <text>
        <t xml:space="preserve">1 attempt, fast text on</t>
      </text>
    </comment>
    <comment authorId="0" ref="BT9">
      <text>
        <t xml:space="preserve">Obviousely bad considering how bad my blue coin text box was slow</t>
      </text>
    </comment>
    <comment authorId="0" ref="BU9">
      <text>
        <t xml:space="preserve">obviousely crying, in tears after this trash attempt</t>
      </text>
    </comment>
    <comment authorId="0" ref="BV9">
      <text>
        <t xml:space="preserve">I wonder how I could improve this tbh
I guess my transition from 5th red coin to rocket nozzle is that bad</t>
      </text>
    </comment>
    <comment authorId="0" ref="BW9">
      <text>
        <t xml:space="preserve">terrible pool
</t>
      </text>
    </comment>
    <comment authorId="0" ref="BZ9">
      <text>
        <t xml:space="preserve">Best bird kill : 14.422</t>
      </text>
    </comment>
    <comment authorId="0" ref="CA9">
      <text>
        <t xml:space="preserve">just did this for the medal lol, didn't grind it (yet)</t>
      </text>
    </comment>
    <comment authorId="0" ref="CI9">
      <text>
        <t xml:space="preserve">98 cause I collect 11 during delfino shines</t>
      </text>
    </comment>
    <comment authorId="0" ref="AE44">
      <text>
        <t xml:space="preserve">this is really hard :(</t>
      </text>
    </comment>
    <comment authorId="0" ref="A12">
      <text>
        <t xml:space="preserve">despin pinna 100 note for real
</t>
      </text>
    </comment>
    <comment authorId="0" ref="BM10">
      <text>
        <t xml:space="preserve">mission: defeat nanashi</t>
      </text>
    </comment>
    <comment authorId="0" ref="BO10">
      <text>
        <t xml:space="preserve">im sick
f u nashi</t>
      </text>
    </comment>
    <comment authorId="0" ref="CE26">
      <text>
        <t xml:space="preserve">wilko fruits
retimed from run
il on prac codes of 1:25.41:
https://youtu.be/o8LiEQw0n-o</t>
      </text>
    </comment>
    <comment authorId="0" ref="BR10">
      <text>
        <t xml:space="preserve">idk how this happened to my highlight. fuck you twitch</t>
      </text>
    </comment>
    <comment authorId="0" ref="BT10">
      <text>
        <t xml:space="preserve">slowkill</t>
      </text>
    </comment>
    <comment authorId="0" ref="AA28">
      <text>
        <t xml:space="preserve">i have 0 clue why its underlining so pls feel free to remove it @mods</t>
      </text>
    </comment>
    <comment authorId="0" ref="BW10">
      <text>
        <t xml:space="preserve">shit level</t>
      </text>
    </comment>
    <comment authorId="0" ref="CF10">
      <text>
        <t xml:space="preserve">never actually pressed exit area but just pretend i did :)</t>
      </text>
    </comment>
    <comment authorId="0" ref="V12">
      <text>
        <t xml:space="preserve">2x route</t>
      </text>
    </comment>
    <comment authorId="0" ref="BR27">
      <text>
        <t xml:space="preserve">Canadian emergency alert noise went off during this attempt and scared the shit out of me</t>
      </text>
    </comment>
    <comment authorId="0" ref="AK12">
      <text>
        <t xml:space="preserve">2 purples
best entry 47.90</t>
      </text>
    </comment>
    <comment authorId="0" ref="V29">
      <text>
        <t xml:space="preserve">Added by akane 2024-01-30</t>
      </text>
    </comment>
    <comment authorId="0" ref="BE28">
      <text>
        <t xml:space="preserve">dont bully me</t>
      </text>
    </comment>
    <comment authorId="0" ref="K13">
      <text>
        <t xml:space="preserve">w/ pokey</t>
      </text>
    </comment>
    <comment authorId="0" ref="L13">
      <text>
        <t xml:space="preserve">not great</t>
      </text>
    </comment>
    <comment authorId="0" ref="O13">
      <text>
        <t xml:space="preserve">not the newest stuff</t>
      </text>
    </comment>
    <comment authorId="0" ref="BL28">
      <text>
        <t xml:space="preserve">no one knows wtf to do for this il lol</t>
      </text>
    </comment>
    <comment authorId="0" ref="T13">
      <text>
        <t xml:space="preserve">24.21 w/ both spiders
https://youtu.be/Zh77e0P_VZE</t>
      </text>
    </comment>
    <comment authorId="0" ref="BO28">
      <text>
        <t xml:space="preserve">no gwkd</t>
      </text>
    </comment>
    <comment authorId="0" ref="V13">
      <text>
        <t xml:space="preserve">chinpo</t>
      </text>
    </comment>
    <comment authorId="0" ref="Y13">
      <text>
        <t xml:space="preserve">with red quack coin</t>
      </text>
    </comment>
    <comment authorId="0" ref="AB13">
      <text>
        <t xml:space="preserve">s l o w</t>
      </text>
    </comment>
    <comment authorId="0" ref="AD13">
      <text>
        <t xml:space="preserve">20.24 PB without qk</t>
      </text>
    </comment>
    <comment authorId="0" ref="AE13">
      <text>
        <t xml:space="preserve">backflip. terrible sand blue
no anal pb 44.89 -
https://clips.twitch.tv/GracefulCrowdedCucumberDerp</t>
      </text>
    </comment>
    <comment authorId="0" ref="AG13">
      <text>
        <t xml:space="preserve">terrible</t>
      </text>
    </comment>
    <comment authorId="0" ref="CE28">
      <text>
        <t xml:space="preserve">started from noki area bc its optimal in 120 now + get the M box. this might be a frame better than it actually is idk</t>
      </text>
    </comment>
    <comment authorId="0" ref="AN13">
      <text>
        <t xml:space="preserve">1:19.46 with O linked (all blues)</t>
      </text>
    </comment>
    <comment authorId="0" ref="BE29">
      <text>
        <t xml:space="preserve">Added by akane 2024-01-30</t>
      </text>
    </comment>
    <comment authorId="0" ref="AC30">
      <text>
        <t xml:space="preserve">don't ask</t>
      </text>
    </comment>
    <comment authorId="0" ref="AS13">
      <text>
        <t xml:space="preserve">2:00.42 old shit  https://www.twitch.tv/videos/520346397</t>
      </text>
    </comment>
    <comment authorId="0" ref="AV13">
      <text>
        <t xml:space="preserve">Got cliff coin, but bird evaded so it goes in this column i guess</t>
      </text>
    </comment>
    <comment authorId="0" ref="AG30">
      <text>
        <t xml:space="preserve">not perfect but took 12 hours to get lol</t>
      </text>
    </comment>
    <comment authorId="0" ref="BM29">
      <text>
        <t xml:space="preserve">Added by akane 2024-01-30</t>
      </text>
    </comment>
    <comment authorId="0" ref="AM30">
      <text>
        <t xml:space="preserve">with M</t>
      </text>
    </comment>
    <comment authorId="0" ref="BC13">
      <text>
        <t xml:space="preserve">fast</t>
      </text>
    </comment>
    <comment authorId="0" ref="BE13">
      <text>
        <t xml:space="preserve">hover torches woke im tellin u</t>
      </text>
    </comment>
    <comment authorId="0" ref="BW29">
      <text>
        <t xml:space="preserve">Added by akane 2024-01-30</t>
      </text>
    </comment>
    <comment authorId="0" ref="N31">
      <text>
        <t xml:space="preserve">pineapple
with bridge blue</t>
      </text>
    </comment>
    <comment authorId="0" ref="BI13">
      <text>
        <t xml:space="preserve">[old time. included outside] 1:52.94</t>
      </text>
    </comment>
    <comment authorId="0" ref="A48">
      <text>
        <t xml:space="preserve">I'm from Peru and most of my ILs style are RTA-able. NTSC-U.  </t>
      </text>
    </comment>
    <comment authorId="0" ref="AF14">
      <text>
        <t xml:space="preserve">reclaimed my thjrone in the most competitive 120 il</t>
      </text>
    </comment>
    <comment authorId="0" ref="A15">
      <text>
        <t xml:space="preserve">these medals don't count @ mail sheet note
</t>
      </text>
    </comment>
    <comment authorId="0" ref="AG14">
      <text>
        <t xml:space="preserve">old man catches up to modern world</t>
      </text>
    </comment>
    <comment authorId="0" ref="AW30">
      <text>
        <t xml:space="preserve">clamshell + scaffold</t>
      </text>
    </comment>
    <comment authorId="0" ref="BM13">
      <text>
        <t xml:space="preserve">bad</t>
      </text>
    </comment>
    <comment authorId="0" ref="BO13">
      <text>
        <t xml:space="preserve">very bad
1:09.15 with extra M on wall</t>
      </text>
    </comment>
    <comment authorId="0" ref="BP13">
      <text>
        <t xml:space="preserve">49.17 w/ Middle Path + 2 blues
50.87 w/ Right Path + 2 blues</t>
      </text>
    </comment>
    <comment authorId="0" ref="V31">
      <text>
        <t xml:space="preserve">with other linked X and fountain</t>
      </text>
    </comment>
    <comment authorId="0" ref="BB30">
      <text>
        <t xml:space="preserve">ntsc-u</t>
      </text>
    </comment>
    <comment authorId="0" ref="BR13">
      <text>
        <t xml:space="preserve">a couple mistakes</t>
      </text>
    </comment>
    <comment authorId="0" ref="AN14">
      <text>
        <t xml:space="preserve">didnt do the clip but oh well
</t>
      </text>
    </comment>
    <comment authorId="0" ref="BE30">
      <text>
        <t xml:space="preserve">garbo</t>
      </text>
    </comment>
    <comment authorId="0" ref="AA31">
      <text>
        <t xml:space="preserve">hi jeff</t>
      </text>
    </comment>
    <comment authorId="0" ref="BV13">
      <text>
        <t xml:space="preserve">bad</t>
      </text>
    </comment>
    <comment authorId="0" ref="O15">
      <text>
        <t xml:space="preserve">Petey blueless
</t>
      </text>
    </comment>
    <comment authorId="0" ref="A65">
      <text>
        <t xml:space="preserve">I have never ran 120</t>
      </text>
    </comment>
    <comment authorId="0" ref="BL30">
      <text>
        <t xml:space="preserve">no cliff ruins blues
</t>
      </text>
    </comment>
    <comment authorId="0" ref="AG31">
      <text>
        <t xml:space="preserve">pineapple
with rocket M</t>
      </text>
    </comment>
    <comment authorId="0" ref="BM30">
      <text>
        <t xml:space="preserve">lmao
</t>
      </text>
    </comment>
    <comment authorId="0" ref="AL31">
      <text>
        <t xml:space="preserve">wasn't recording Sadge</t>
      </text>
    </comment>
    <comment authorId="0" ref="BI14">
      <text>
        <t xml:space="preserve">[old time. included outside] 2:08.46</t>
      </text>
    </comment>
    <comment authorId="0" ref="AG15">
      <text>
        <t xml:space="preserve">like 4s lost being intimate with the pole at the end
</t>
      </text>
    </comment>
    <comment authorId="0" ref="AX15">
      <text>
        <t xml:space="preserve">fuck this shine</t>
      </text>
    </comment>
    <comment authorId="0" ref="BC15">
      <text>
        <t xml:space="preserve">no instantkill
</t>
      </text>
    </comment>
    <comment authorId="0" ref="BE15">
      <text>
        <t xml:space="preserve">difficult shine :c
</t>
      </text>
    </comment>
    <comment authorId="0" ref="AP32">
      <text>
        <t xml:space="preserve">circles pre-flip</t>
      </text>
    </comment>
    <comment authorId="0" ref="BW31">
      <text>
        <t xml:space="preserve">non-JP</t>
      </text>
    </comment>
    <comment authorId="0" ref="BH15">
      <text>
        <t xml:space="preserve">shoutouts to jesteqq's psycho strats
</t>
      </text>
    </comment>
    <comment authorId="0" ref="BK15">
      <text>
        <t xml:space="preserve">no galapagos no shell clip
https://youtu.be/0P9acokaekQ?t=23
41.5x entry^
</t>
      </text>
    </comment>
    <comment authorId="0" ref="BV15">
      <text>
        <t xml:space="preserve">difficult shine 
</t>
      </text>
    </comment>
    <comment authorId="0" ref="BW15">
      <text>
        <t xml:space="preserve">sick second hive
actually thinking about it this hive is typically not a problem just hte first hive sucks ass lol
</t>
      </text>
    </comment>
    <comment authorId="0" ref="BY15">
      <text>
        <t xml:space="preserve">for ILs that start from default delfino spawn, go into y mode before retrying the IL to prevent mario from being able to walk instantly. This is required.</t>
      </text>
    </comment>
    <comment authorId="0" ref="A67">
      <text>
        <t xml:space="preserve">Runs on 3DAS, ILs done on Emu</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ILs are variants of the ILs on the main sheet that are completely unrestricted, except that they must be ineligible for that sheet. This means some sort of setup needs to be done *and* taken advantage of. See the notes on each one for specifics.
Video is *required* for all submissions.</t>
      </text>
    </comment>
    <comment authorId="0" ref="W11">
      <text>
        <t xml:space="preserve">zelpiku had this wr for 5 years and nobody knew</t>
      </text>
    </comment>
    <comment authorId="0" ref="AD13">
      <text>
        <t xml:space="preserve">hyper hover glitch
Using the new sirena 3 setup which is included in the video. just copy the position and camera angle and you should be 100% okay.
(Still done on any% file plus pinna 5)</t>
      </text>
    </comment>
    <comment authorId="0" ref="AD11">
      <text>
        <t xml:space="preserve">hyper hover glitch
Using the new sirena 3 setup as seen in 4.45 WR
(Still done on any% file plus pinna 5)</t>
      </text>
    </comment>
    <comment authorId="0" ref="A2">
      <text>
        <t xml:space="preserve">Add your times by typing in a blank row!</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(with video) you have.</t>
      </text>
    </comment>
    <comment authorId="0" ref="AD22">
      <text>
        <t xml:space="preserve">anyp + pinna 5 file setup, compare anon 6's setup
</t>
      </text>
    </comment>
    <comment authorId="0" ref="K2">
      <text>
        <t xml:space="preserve">Complete the Blooper race all in one bellyslide; uses IGT</t>
      </text>
    </comment>
    <comment authorId="0" ref="W14">
      <text>
        <t xml:space="preserve">cog was sketch</t>
      </text>
    </comment>
    <comment authorId="0" ref="L2">
      <text>
        <t xml:space="preserve">Complete the Blooper race with the green blooper; uses IGT</t>
      </text>
    </comment>
    <comment authorId="0" ref="M2">
      <text>
        <t xml:space="preserve">Complete the Blooper race with the purple blooper; uses IGT</t>
      </text>
    </comment>
    <comment authorId="0" ref="N2">
      <text>
        <t xml:space="preserve">Complete the Blooper race with the yellow blooper; uses IGT</t>
      </text>
    </comment>
    <comment authorId="0" ref="O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P2">
      <text>
        <t xml:space="preserve">Must roll the watermelon to the blender.</t>
      </text>
    </comment>
    <comment authorId="0" ref="AD16">
      <text>
        <t xml:space="preserve">cool game
(uses pianta 7 setup per anon 6's 5.63 PB)</t>
      </text>
    </comment>
    <comment authorId="0" ref="R2">
      <text>
        <t xml:space="preserve">Underwater Nozzle Pinna 2 Secret
--------------------------------------
Using the Underwater hover nozzle obtained by going into eel, then entering a secret. Go and, grab the pinna 2 Secret shine without pressing the red button.</t>
      </text>
    </comment>
    <comment authorId="0" ref="S2">
      <text>
        <t xml:space="preserve">Collect the secret shine, but you are allowed to use normal FLUDD (hover only)</t>
      </text>
    </comment>
    <comment authorId="0" ref="U2">
      <text>
        <t xml:space="preserve">Underwater Nozzle Sirena 4 Secret
--------------------------------------
Using the Underwater hover nozzle obtained by going into eel, then entering a secret. Go and, grab the Sirena 4  secret shine without pressing the red button.</t>
      </text>
    </comment>
    <comment authorId="0" ref="V2">
      <text>
        <t xml:space="preserve">Runs using red button delay or opening the wall/mirror/poster before the timer starts.</t>
      </text>
    </comment>
    <comment authorId="0" ref="W2">
      <text>
        <t xml:space="preserve">Runs using red button delay or breaking blocks/moving the cog before the timer starts.</t>
      </text>
    </comment>
    <comment authorId="0" ref="X2">
      <text>
        <t xml:space="preserve">Underwater Nozzle Noki 6 Secret
--------------------------------------
Using the Underwater hover nozzle obtained by going into eel, then entering a secret. Go and, grab the Noki 6 secret shine without pressing the red button.</t>
      </text>
    </comment>
    <comment authorId="0" ref="AA2">
      <text>
        <t xml:space="preserve">Underwater Nozzle Pianta 5 Secret
--------------------------------------
Using the Underwater hover nozzle obtained by going into eel, then entering a secret. Go and, grab the Pianta 5 secret shine without pressing the red button.</t>
      </text>
    </comment>
    <comment authorId="0" ref="AB2">
      <text>
        <t xml:space="preserve">Collect the secret shine, but you are allowed to use normal FLUDD (hover only)</t>
      </text>
    </comment>
    <comment authorId="0" ref="AD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AG2">
      <text>
        <t xml:space="preserve">To suggest a new level, put a time in this column with a comment explaining the level. Would be nice to see more of these kinds of runs.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100's from 96 or 120 shines will not be included here to cut repetition. These are 100's you would only do in bingo or category extensions.</t>
      </text>
    </comment>
    <comment authorId="0" ref="J18">
      <text>
        <t xml:space="preserve">I don't understand why 4 is on this board</t>
      </text>
    </comment>
    <comment authorId="0" ref="M18">
      <text>
        <t xml:space="preserve">2:49.15 with FLUDD in secret</t>
      </text>
    </comment>
    <comment authorId="0" ref="P18">
      <text>
        <t xml:space="preserve">2:50.93 with rocket</t>
      </text>
    </comment>
    <comment authorId="0" ref="A2">
      <text>
        <t xml:space="preserve">Add your times by typing in a blank row!
Make your name whatever color your main is in Bingo :)</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V18">
      <text>
        <t xml:space="preserve">2:07.03 with FLUDD in secret</t>
      </text>
    </comment>
    <comment authorId="0" ref="AM1">
      <text>
        <t xml:space="preserve">Timing ends on the first frame the blue coin textbox is visible.
Remove saveboxes is not allowed.
Decimals aren't required.</t>
      </text>
    </comment>
    <comment authorId="0" ref="M2">
      <text>
        <t xml:space="preserve">Shine must be collected inside the secret.</t>
      </text>
    </comment>
    <comment authorId="0" ref="V2">
      <text>
        <t xml:space="preserve">Shine must be collected inside the secret.</t>
      </text>
    </comment>
    <comment authorId="0" ref="X2">
      <text>
        <t xml:space="preserve">Goal in the next eminent patch, added for those who want to practice it early.</t>
      </text>
    </comment>
    <comment authorId="0" ref="Z2">
      <text>
        <t xml:space="preserve">Start from inside the park. Get 10 yellow button coins and finish the shine.</t>
      </text>
    </comment>
    <comment authorId="0" ref="BG1">
      <text>
        <t xml:space="preserve">This is to time goals you rush in bingo that cannot be timed with the in game timer due to having multiple phases. Timing starts from a race file, use livesplit or any timer you prefer.</t>
      </text>
    </comment>
    <comment authorId="0" ref="AB2">
      <text>
        <t xml:space="preserve">Get 10 yellow button coins and finish the shine.</t>
      </text>
    </comment>
    <comment authorId="0" ref="AC2">
      <text>
        <t xml:space="preserve">(The intended route). Start from inside the park.</t>
      </text>
    </comment>
    <comment authorId="0" ref="AF2">
      <text>
        <t xml:space="preserve">Defeat the blooper to count for a boss goal.</t>
      </text>
    </comment>
    <comment authorId="0" ref="A3">
      <text>
        <t xml:space="preserve">We did it! Full line full videos!
Dec. 5th, 2025</t>
      </text>
    </comment>
    <comment authorId="0" ref="AH2">
      <text>
        <t xml:space="preserve">Load from plaza state of unlocking Yoshi.</t>
      </text>
    </comment>
    <comment authorId="0" ref="BQ1">
      <text>
        <t xml:space="preserve">Niche /experimental form of IL. These are intended to help general movement, routing in blues, and could be specifically implemented in draft lockout.</t>
      </text>
    </comment>
    <comment authorId="0" ref="AL2">
      <text>
        <t xml:space="preserve">Start from Gelato 4 spawn. Collect turbo nozzle and collect the sand bird shine</t>
      </text>
    </comment>
    <comment authorId="0" ref="AM2">
      <text>
        <t xml:space="preserve">Pre-statue plaza state to mimic rushing this goal in invasion.</t>
      </text>
    </comment>
    <comment authorId="0" ref="H3">
      <text>
        <t xml:space="preserve">Bad, done in 2 attempts</t>
      </text>
    </comment>
    <comment authorId="0" ref="I3">
      <text>
        <t xml:space="preserve">Better PB than invictus AND I do village side first. That is how insane my PB is.</t>
      </text>
    </comment>
    <comment authorId="0" ref="AN2">
      <text>
        <t xml:space="preserve">Do in any plaza state (post pinna state is easiest because of no toads).</t>
      </text>
    </comment>
    <comment authorId="0" ref="AO2">
      <text>
        <t xml:space="preserve">Do in any plaza state (post-pinna optimal because of no Toads)</t>
      </text>
    </comment>
    <comment authorId="0" ref="AP2">
      <text>
        <t xml:space="preserve">Collect 14 blues excluding the M blue (assumed from Episode 2).</t>
      </text>
    </comment>
    <comment authorId="0" ref="BV1">
      <text>
        <t xml:space="preserve">There are some hidden reds hoverless that are on the main sheet, that will not be included here for the sake of repetition. (Bianco 6R)</t>
      </text>
    </comment>
    <comment authorId="0" ref="AQ2">
      <text>
        <t xml:space="preserve">Windmill blue and windmill M gotten in episode 2.</t>
      </text>
    </comment>
    <comment authorId="0" ref="L3">
      <text>
        <t xml:space="preserve">just for the video full line completion</t>
      </text>
    </comment>
    <comment authorId="0" ref="AB19">
      <text>
        <t xml:space="preserve">1:24 def possible, 1:23 perhaps?</t>
      </text>
    </comment>
    <comment authorId="0" ref="AR2">
      <text>
        <t xml:space="preserve">Collect 19 blues excluding the M blue (assumed from Episode 2).</t>
      </text>
    </comment>
    <comment authorId="0" ref="AW2">
      <text>
        <t xml:space="preserve">Start inside the park.</t>
      </text>
    </comment>
    <comment authorId="0" ref="AH19">
      <text>
        <t xml:space="preserve">improvable, 43 is doable i think</t>
      </text>
    </comment>
    <comment authorId="0" ref="AX2">
      <text>
        <t xml:space="preserve">Start from outside the park, as you need blues from there to do this IL.</t>
      </text>
    </comment>
    <comment authorId="0" ref="T3">
      <text>
        <t xml:space="preserve">bad, will not improve</t>
      </text>
    </comment>
    <comment authorId="0" ref="AZ2">
      <text>
        <t xml:space="preserve">Collect 6 blues excluding the 3 available in Episode 1.</t>
      </text>
    </comment>
    <comment authorId="0" ref="U3">
      <text>
        <t xml:space="preserve">just for the video full line completion</t>
      </text>
    </comment>
    <comment authorId="0" ref="V3">
      <text>
        <t xml:space="preserve">Few attempts, idrc</t>
      </text>
    </comment>
    <comment authorId="0" ref="BB2">
      <text>
        <t xml:space="preserve">No coins from episode 1 assumed. Get 18 coins all in episode 4.
</t>
      </text>
    </comment>
    <comment authorId="0" ref="BC2">
      <text>
        <t xml:space="preserve">To mimic a goal rush.</t>
      </text>
    </comment>
    <comment authorId="0" ref="X3">
      <text>
        <t xml:space="preserve">im trash</t>
      </text>
    </comment>
    <comment authorId="0" ref="BD2">
      <text>
        <t xml:space="preserve">To mimic a goal rush.</t>
      </text>
    </comment>
    <comment authorId="0" ref="Z3">
      <text>
        <t xml:space="preserve">no comment (trash)</t>
      </text>
    </comment>
    <comment authorId="0" ref="BF2">
      <text>
        <t xml:space="preserve">Sign blue from Pianta 2 assumed. Get 15 blue coins in Episode 3.</t>
      </text>
    </comment>
    <comment authorId="0" ref="AA3">
      <text>
        <t xml:space="preserve">Idk where the vid for the better time went</t>
      </text>
    </comment>
    <comment authorId="0" ref="AC3">
      <text>
        <t xml:space="preserve">JP</t>
      </text>
    </comment>
    <comment authorId="0" ref="BI2">
      <text>
        <t xml:space="preserve">The 3 Delfino Red Coin Shines: Lilypad, Pachinko, and Grass Pipe.
</t>
      </text>
    </comment>
    <comment authorId="0" ref="AD3">
      <text>
        <t xml:space="preserve">Random attempt</t>
      </text>
    </comment>
    <comment authorId="0" ref="BJ2">
      <text>
        <t xml:space="preserve">The optimal 2 are Pianta 1 100's and Delfino 100's.</t>
      </text>
    </comment>
    <comment authorId="0" ref="AE3">
      <text>
        <t xml:space="preserve">Jumpless with boss : 1:17.343 https://youtu.be/SchHansrbOM
I had a 1s better attempt at spring then I don't wanna talk about it (crying)
https://www.twitch.tv/powonateur/clip/PhilanthropicBeautifulKaleFeelsBadMan-g1u-T4uVIj6rjzAj</t>
      </text>
    </comment>
    <comment authorId="0" ref="AF3">
      <text>
        <t xml:space="preserve">Easy timesave if faster wallkicks at the beginning
Jumpless with boss : 1:17.343 https://youtu.be/SchHansrbOM</t>
      </text>
    </comment>
    <comment authorId="0" ref="CT1">
      <text>
        <t xml:space="preserve">Goals that are currently not relevant in the bingo meta but were previously.</t>
      </text>
    </comment>
    <comment authorId="0" ref="AJ3">
      <text>
        <t xml:space="preserve">Will improve</t>
      </text>
    </comment>
    <comment authorId="0" ref="AK3">
      <text>
        <t xml:space="preserve">Such a bad level to grind, I hate it</t>
      </text>
    </comment>
    <comment authorId="0" ref="AM3">
      <text>
        <t xml:space="preserve">many minor mistakes still, 1:32 easily possible</t>
      </text>
    </comment>
    <comment authorId="0" ref="AN3">
      <text>
        <t xml:space="preserve">Has an event cutscene, no fast text, and the control of Mario was not immediate
Video comparing with Jeff's IL (read description) : https://youtu.be/RB4uIWU4bDw</t>
      </text>
    </comment>
    <comment authorId="0" ref="I4">
      <text>
        <t xml:space="preserve">with M</t>
      </text>
    </comment>
    <comment authorId="0" ref="AO3">
      <text>
        <t xml:space="preserve">trash durians, feel free to bop me back peaches</t>
      </text>
    </comment>
    <comment authorId="0" ref="AP3">
      <text>
        <t xml:space="preserve">forgot to turn on fast text, and I won't bother retiming
Anyway even the retimed IL would be easily beatable</t>
      </text>
    </comment>
    <comment authorId="0" ref="BV2">
      <text>
        <t xml:space="preserve">WR is 39.32 by Jpep – https://youtu.be/nLMwrbpm6zQ</t>
      </text>
    </comment>
    <comment authorId="0" ref="AU3">
      <text>
        <t xml:space="preserve">20 minutes of attempts, not so interested with the rng factor</t>
      </text>
    </comment>
    <comment authorId="0" ref="A21">
      <text>
        <t xml:space="preserve">ok</t>
      </text>
    </comment>
    <comment authorId="0" ref="AV3">
      <text>
        <t xml:space="preserve">95% of your attempts WILL be reset to rng, you've been warned</t>
      </text>
    </comment>
    <comment authorId="0" ref="AW3">
      <text>
        <t xml:space="preserve">I found a new way to want to inthegame myself, and it is to grind this IL</t>
      </text>
    </comment>
    <comment authorId="0" ref="AX3">
      <text>
        <t xml:space="preserve">I think the video speaks for itself (zero grind)</t>
      </text>
    </comment>
    <comment authorId="0" ref="AY3">
      <text>
        <t xml:space="preserve">One attempt, very deserved</t>
      </text>
    </comment>
    <comment authorId="0" ref="AZ3">
      <text>
        <t xml:space="preserve">trash but hate the stone and boo rng</t>
      </text>
    </comment>
    <comment authorId="0" ref="BA3">
      <text>
        <t xml:space="preserve">5mins of attempt</t>
      </text>
    </comment>
    <comment authorId="0" ref="V4">
      <text>
        <t xml:space="preserve">no hover</t>
      </text>
    </comment>
    <comment authorId="0" ref="BC3">
      <text>
        <t xml:space="preserve">Idk if I will care enough to improve but maybe I will</t>
      </text>
    </comment>
    <comment authorId="0" ref="BD3">
      <text>
        <t xml:space="preserve">This was very bad executed</t>
      </text>
    </comment>
    <comment authorId="0" ref="BE3">
      <text>
        <t xml:space="preserve">Tried hard for this one, will not improve</t>
      </text>
    </comment>
    <comment authorId="0" ref="BF3">
      <text>
        <t xml:space="preserve">1 try, will improve later sub 2:20 is possible, I got good ideas after that try</t>
      </text>
    </comment>
    <comment authorId="0" ref="BG3">
      <text>
        <t xml:space="preserve">Did not give it a serious grind as there is no incentive really.</t>
      </text>
    </comment>
    <comment authorId="0" ref="BH3">
      <text>
        <t xml:space="preserve">Did not give it a serious grind as there is no incentive really.</t>
      </text>
    </comment>
    <comment authorId="0" ref="BI3">
      <text>
        <t xml:space="preserve">Did not give it a serious grind as there is no incentive really.</t>
      </text>
    </comment>
    <comment authorId="0" ref="BJ3">
      <text>
        <t xml:space="preserve">Did not give it a serious grind as there is no incentive really.</t>
      </text>
    </comment>
    <comment authorId="0" ref="BK3">
      <text>
        <t xml:space="preserve">Did not give it a serious grind as there is no incentive really.</t>
      </text>
    </comment>
    <comment authorId="0" ref="BL3">
      <text>
        <t xml:space="preserve">Did not give it a serious grind as there is no incentive really.</t>
      </text>
    </comment>
    <comment authorId="0" ref="BM3">
      <text>
        <t xml:space="preserve">Did not give it a serious grind as there is no incentive really.</t>
      </text>
    </comment>
    <comment authorId="0" ref="BN3">
      <text>
        <t xml:space="preserve">Did not give it a serious grind as there is no incentive really.</t>
      </text>
    </comment>
    <comment authorId="0" ref="AJ4">
      <text>
        <t xml:space="preserve">before bianco unlock</t>
      </text>
    </comment>
    <comment authorId="0" ref="BO3">
      <text>
        <t xml:space="preserve">Did not give it a serious grind as there is no incentive really.</t>
      </text>
    </comment>
    <comment authorId="0" ref="CT2">
      <text>
        <t xml:space="preserve">No door clips or fruit clips. Must use Yoshi.</t>
      </text>
    </comment>
    <comment authorId="0" ref="BP3">
      <text>
        <t xml:space="preserve">Did not give it a serious grind as there is no incentive really.</t>
      </text>
    </comment>
    <comment authorId="0" ref="BQ3">
      <text>
        <t xml:space="preserve">M assumed in Bianco 2 or else your mom</t>
      </text>
    </comment>
    <comment authorId="0" ref="AM4">
      <text>
        <t xml:space="preserve">sewer coconut</t>
      </text>
    </comment>
    <comment authorId="0" ref="H5">
      <text>
        <t xml:space="preserve">just doing bianco 1 100 outside so thats why my time sux
</t>
      </text>
    </comment>
    <comment authorId="0" ref="BS3">
      <text>
        <t xml:space="preserve">Easiest gold medal of my life.
Sm27 is the easiest person to farm you should try to farm points out of him guys.</t>
      </text>
    </comment>
    <comment authorId="0" ref="BV3">
      <text>
        <t xml:space="preserve">15mins of attempt, don't want to try for longer than that or it will ruin my RTA muscle memory</t>
      </text>
    </comment>
    <comment authorId="0" ref="L5">
      <text>
        <t xml:space="preserve">destroyed peaches
</t>
      </text>
    </comment>
    <comment authorId="0" ref="BW3">
      <text>
        <t xml:space="preserve">Fine time</t>
      </text>
    </comment>
    <comment authorId="0" ref="BX3">
      <text>
        <t xml:space="preserve">Clearly trash</t>
      </text>
    </comment>
    <comment authorId="0" ref="BY3">
      <text>
        <t xml:space="preserve">I did like everyone and waited before the GP on red button</t>
      </text>
    </comment>
    <comment authorId="0" ref="BZ3">
      <text>
        <t xml:space="preserve">Sadge ending
Cycles are the same for RTA, just IGT is better, like pinna 2 reds hoverless</t>
      </text>
    </comment>
    <comment authorId="0" ref="CA3">
      <text>
        <t xml:space="preserve">1:02 doable with these strats</t>
      </text>
    </comment>
    <comment authorId="0" ref="AG21">
      <text>
        <t xml:space="preserve">ntsc-u op</t>
      </text>
    </comment>
    <comment authorId="0" ref="CB36">
      <text>
        <t xml:space="preserve">bad
</t>
      </text>
    </comment>
    <comment authorId="0" ref="CB3">
      <text>
        <t xml:space="preserve">1:03 possible but this time is ok
1:04 is perfect IL</t>
      </text>
    </comment>
    <comment authorId="0" ref="CC3">
      <text>
        <t xml:space="preserve">Finally defeated the king
(the king was sm27 but now anmaku destroys us in every possible hoverless IL)</t>
      </text>
    </comment>
    <comment authorId="0" ref="CD3">
      <text>
        <t xml:space="preserve">felt slow tbh</t>
      </text>
    </comment>
    <comment authorId="0" ref="CJ3">
      <text>
        <t xml:space="preserve">Madge tomato bopped me</t>
      </text>
    </comment>
    <comment authorId="0" ref="Z5">
      <text>
        <t xml:space="preserve">rimato only added this goal so he could flex on us with tas pinna 3. its a fact.</t>
      </text>
    </comment>
    <comment authorId="0" ref="CK3">
      <text>
        <t xml:space="preserve">Who requested this IL and why.</t>
      </text>
    </comment>
    <comment authorId="0" ref="AA5">
      <text>
        <t xml:space="preserve">Safety route</t>
      </text>
    </comment>
    <comment authorId="0" ref="CM3">
      <text>
        <t xml:space="preserve">sm27 got 54 too if you look his youtube video frame by frame, he got 54.98 (old SGT)</t>
      </text>
    </comment>
    <comment authorId="0" ref="CN3">
      <text>
        <t xml:space="preserve">sm27 got 19 too if you look his youtube video frame by frame, he got 19.81 (old SGT)</t>
      </text>
    </comment>
    <comment authorId="0" ref="CT3">
      <text>
        <t xml:space="preserve">Wasn't as hard as I thought. Took 30 minutes ish</t>
      </text>
    </comment>
    <comment authorId="0" ref="CU3">
      <text>
        <t xml:space="preserve">One attempt</t>
      </text>
    </comment>
    <comment authorId="0" ref="AM5">
      <text>
        <t xml:space="preserve">easy/consistency route</t>
      </text>
    </comment>
    <comment authorId="0" ref="AQ5">
      <text>
        <t xml:space="preserve">Definitely improvable, if anyone cares to beat it. </t>
      </text>
    </comment>
    <comment authorId="0" ref="AS5">
      <text>
        <t xml:space="preserve">vod is from my ricco 23</t>
      </text>
    </comment>
    <comment authorId="0" ref="AU5">
      <text>
        <t xml:space="preserve">peaches has been dethroned
</t>
      </text>
    </comment>
    <comment authorId="0" ref="A23">
      <text>
        <t xml:space="preserve">NUMBER 1 BINGO IL PLAYER</t>
      </text>
    </comment>
    <comment authorId="0" ref="AW5">
      <text>
        <t xml:space="preserve">Safer route so loses time to WR, but it's actually not optimized rn- could be 4-5 seconds faster, and don't have to worry about many cycles or 2nd blue bird rng. High recommend if you are looking for a consistent strat.</t>
      </text>
    </comment>
    <comment authorId="0" ref="Z6">
      <text>
        <t xml:space="preserve">get flexed on jeffry</t>
      </text>
    </comment>
    <comment authorId="0" ref="CM4">
      <text>
        <t xml:space="preserve">didn't edit video correctly so enjoy 2 attempts</t>
      </text>
    </comment>
    <comment authorId="0" ref="CN4">
      <text>
        <t xml:space="preserve">19 or 20 timing is difficult</t>
      </text>
    </comment>
    <comment authorId="0" ref="CP4">
      <text>
        <t xml:space="preserve">ends on pause</t>
      </text>
    </comment>
    <comment authorId="0" ref="CS4">
      <text>
        <t xml:space="preserve">ends exit area
</t>
      </text>
    </comment>
    <comment authorId="0" ref="AZ22">
      <text>
        <t xml:space="preserve">(nokis and water from ep 1)</t>
      </text>
    </comment>
    <comment authorId="0" ref="BB22">
      <text>
        <t xml:space="preserve">(all 18 in ep 4)</t>
      </text>
    </comment>
    <comment authorId="0" ref="P7">
      <text>
        <t xml:space="preserve">getting 2 extra yellows before the end would have helped a lot</t>
      </text>
    </comment>
    <comment authorId="0" ref="V7">
      <text>
        <t xml:space="preserve">i wanna get a good time on this but honestly fuck the chucksters</t>
      </text>
    </comment>
    <comment authorId="0" ref="Y7">
      <text>
        <t xml:space="preserve">fluddless 32.82 https://www.youtube.com/watch?v=OuQD28DiLk4</t>
      </text>
    </comment>
    <comment authorId="0" ref="Z7">
      <text>
        <t xml:space="preserve">need to redo this with 10 coins sometime</t>
      </text>
    </comment>
    <comment authorId="0" ref="AM7">
      <text>
        <t xml:space="preserve">sewer coconut kinda cringe ngl</t>
      </text>
    </comment>
    <comment authorId="0" ref="I8">
      <text>
        <t xml:space="preserve">wtf is this pyro chicken nonsense route
did this on some random custom route shit until i am illuminated to the ways of the pyro chicken</t>
      </text>
    </comment>
    <comment authorId="0" ref="Y24">
      <text>
        <t xml:space="preserve">cane king (but with video)</t>
      </text>
    </comment>
    <comment authorId="0" ref="K8">
      <text>
        <t xml:space="preserve">sadge</t>
      </text>
    </comment>
    <comment authorId="0" ref="L8">
      <text>
        <t xml:space="preserve">not my best work
lazy so i didnt highlight</t>
      </text>
    </comment>
    <comment authorId="0" ref="AR7">
      <text>
        <t xml:space="preserve">https://youtu.be/GSN7ibaAGPM</t>
      </text>
    </comment>
    <comment authorId="0" ref="M8">
      <text>
        <t xml:space="preserve">the worst run EVER got good wall and crane
genuinely unplayable wall + crane i cannot get a run that does not lose 10+ seconds to it, 2h grind and got literally like 3 cranes on pb pace
least fun ive ever had playing sunshine, sorry jj ur route is actually cool</t>
      </text>
    </comment>
    <comment authorId="0" ref="AF24">
      <text>
        <t xml:space="preserve">lol bad</t>
      </text>
    </comment>
    <comment authorId="0" ref="AW7">
      <text>
        <t xml:space="preserve">jeff route is fast</t>
      </text>
    </comment>
    <comment authorId="0" ref="R8">
      <text>
        <t xml:space="preserve">and so the student becomes the master.</t>
      </text>
    </comment>
    <comment authorId="0" ref="S8">
      <text>
        <t xml:space="preserve">deece
</t>
      </text>
    </comment>
    <comment authorId="0" ref="U8">
      <text>
        <t xml:space="preserve">bleh, lost time to dropped waterslide off the bridge, bad direction on waterslide into first coins, bad 1st crate order, rolling out over box coin (2nd boxes), npc bonk, dropped spin, missed pool pound, and dropping nose gp (and bad coins there as well)</t>
      </text>
    </comment>
    <comment authorId="0" ref="AK24">
      <text>
        <t xml:space="preserve">bad 3rd platform</t>
      </text>
    </comment>
    <comment authorId="0" ref="BA7">
      <text>
        <t xml:space="preserve">very important IL, deserves its place on the sheet</t>
      </text>
    </comment>
    <comment authorId="0" ref="V8">
      <text>
        <t xml:space="preserve">2:19.87 True all hundos variant here:
https://www.twitch.tv/videos/1003774159</t>
      </text>
    </comment>
    <comment authorId="0" ref="X8">
      <text>
        <t xml:space="preserve">lol</t>
      </text>
    </comment>
    <comment authorId="0" ref="Y8">
      <text>
        <t xml:space="preserve">yall are not doin ts RTA and saving time on average brah</t>
      </text>
    </comment>
    <comment authorId="0" ref="AQ57">
      <text>
        <t xml:space="preserve">E-e-e-very time I look at my dick
Dick, dick, dick
Call me on the dog and bone
All you Yanks, that's a telephone
Here have a look, just have a butcher's
Northern Mancky, cock-muncher
My dick's bigger than your brother
Pushing twenty-five stone like your mother
My dick's bigger than Wales
And your dick's smaller than a motherfuckin' snail
Ma bite mec
Ca monte jusqu'a la tour
Ta bite mec
Ca voit meme pas le jour
My dick like the Mississippi river
My dick ask your bitch, what's for dinner?
Every time I look at my dick, I'm like "Holy shit, that's a big dick"
And every time I look at your dick, I'm like "Holy shit, that's a small dick"
(Goddamn)
Every time I look at my dick, I'm like "Holy shit, that's a big dick"
And every time I look at your dick, I'm like "Holy shit, that's a small dick"
Yeah dog, it's motherfuckin' Kid Cuisine
My dick gets bigger than Mr. Clean
So fresh you could swish it like Listerine
Your dick look like Adam Levine
My dick like Pinocchio nose
I lie and I just watch it grow
I hang low like trunk of Dumbo
While your dick gets small like Frodo
Okay now
Young Bob Barker in this motherfucker
Price looking right in this motherfucker
Big Dick Clark in this motherfucker
Dick look like a fuckin' Nutter Butter
Got more wood than Barry Bonds
Dick so big, got a car alarm
Dick so big that it bought the farm
Your dick's like Seth Rogen's arm
Coming through with a big wang
Doing things bigger than the big bang
Your dick don't got no name
Your bitch call my dick Ving Rhames
V-V-V-Ving Rhames, Rhames, Rhames
Every time I look at my dick, I'm like "Holy shit, that's a big dick"
And every time I look at your dick, I'm like "Holy shit, that's a small dick"
(Goddamn)
Every time I look at my dick, I'm like "Holy shit, that's a big dick"
(Goddamn)
And every time I look at your dick, I'm like "Holy shit, that's a small dick"
(Goddamn)
Your dick's growing mold
My dick shines like gold
Your dick's like the Pope
My dick don't get old
Every morning I wake up and cry
It's too much dick for one guy
But if I donated my shit to science
Motherfucker probably start a riot
Every time I look at my dick, I'm like "Holy shit, that's a big dick"
(Goddamn)
And every time I look at your dick, I'm like "Holy shit, that's a small dick"
(Goddamn)
Every time I look at my dick, I'm like "Holy shit, that's a big dick"
(Goddamn)
Every time I look at your dick, I'm like "Holy shit, that's a small dick"
(That's a small dick)</t>
      </text>
    </comment>
    <comment authorId="0" ref="AR57">
      <text>
        <t xml:space="preserve">shouts plenty</t>
      </text>
    </comment>
    <comment authorId="0" ref="AC8">
      <text>
        <t xml:space="preserve">still p bad</t>
      </text>
    </comment>
    <comment authorId="0" ref="AF8">
      <text>
        <t xml:space="preserve">from the ruins wr
sub 1 is def possible idk what the limit is but i'd assume its similar to this</t>
      </text>
    </comment>
    <comment authorId="0" ref="Q25">
      <text>
        <t xml:space="preserve">easily worst and most boring bingo hundo</t>
      </text>
    </comment>
    <comment authorId="0" ref="AW24">
      <text>
        <t xml:space="preserve">with route idea</t>
      </text>
    </comment>
    <comment authorId="0" ref="BB24">
      <text>
        <t xml:space="preserve">tied this twice
bad
sub 2:25 free</t>
      </text>
    </comment>
    <comment authorId="0" ref="AM8">
      <text>
        <t xml:space="preserve">teehee jeff i did it</t>
      </text>
    </comment>
    <comment authorId="0" ref="I9">
      <text>
        <t xml:space="preserve">testicular cancer is a better alternative than this IL
</t>
      </text>
    </comment>
    <comment authorId="0" ref="AP8">
      <text>
        <t xml:space="preserve">like 5 tries</t>
      </text>
    </comment>
    <comment authorId="0" ref="AQ8">
      <text>
        <t xml:space="preserve">2try</t>
      </text>
    </comment>
    <comment authorId="0" ref="AR8">
      <text>
        <t xml:space="preserve">honestly not awful, first 2 mins are rly good then i just shit the bed
(low 2:4x pace, maybe 3x pace till then, 3s behind wr and peacho has a sloppy end)</t>
      </text>
    </comment>
    <comment authorId="0" ref="AS8">
      <text>
        <t xml:space="preserve">see ricco 23 vid</t>
      </text>
    </comment>
    <comment authorId="0" ref="AT8">
      <text>
        <t xml:space="preserve">sub 4 like tomorrow or smth
all these years later i came back.
(not great, but ok)</t>
      </text>
    </comment>
    <comment authorId="0" ref="AU8">
      <text>
        <t xml:space="preserve">dogshit but i am sick of fish jail!
(1st run to get fish + birds)</t>
      </text>
    </comment>
    <comment authorId="0" ref="P9">
      <text>
        <t xml:space="preserve">with fast text
</t>
      </text>
    </comment>
    <comment authorId="0" ref="AW8">
      <text>
        <t xml:space="preserve">el jefe route</t>
      </text>
    </comment>
    <comment authorId="0" ref="AZ8">
      <text>
        <t xml:space="preserve">this level can shove the totem pole in the middle of sirena hotel up its ass</t>
      </text>
    </comment>
    <comment authorId="0" ref="BB8">
      <text>
        <t xml:space="preserve">Coming for u sm
EDIT: retired?
EDIT 2: i found a 2:17 on video</t>
      </text>
    </comment>
    <comment authorId="0" ref="W9">
      <text>
        <t xml:space="preserve">sideflip GWKD strat
</t>
      </text>
    </comment>
    <comment authorId="0" ref="BC8">
      <text>
        <t xml:space="preserve">starts at 1:07</t>
      </text>
    </comment>
    <comment authorId="0" ref="AD9">
      <text>
        <t xml:space="preserve">video is .5 worse
</t>
      </text>
    </comment>
    <comment authorId="0" ref="AU25">
      <text>
        <t xml:space="preserve">Peaches bop :)
Nah not anymore m8</t>
      </text>
    </comment>
    <comment authorId="0" ref="AM9">
      <text>
        <t xml:space="preserve">literally like 1:38.99 thanks ragframe
</t>
      </text>
    </comment>
    <comment authorId="0" ref="AP9">
      <text>
        <t xml:space="preserve">sorry for the chop chop vid
</t>
      </text>
    </comment>
    <comment authorId="0" ref="A27">
      <text>
        <t xml:space="preserve">of the 119 variety</t>
      </text>
    </comment>
    <comment authorId="0" ref="CE8">
      <text>
        <t xml:space="preserve">i cant put down the duff</t>
      </text>
    </comment>
    <comment authorId="0" ref="CF8">
      <text>
        <t xml:space="preserve">routebullied</t>
      </text>
    </comment>
    <comment authorId="0" ref="CG8">
      <text>
        <t xml:space="preserve">ez 1:10</t>
      </text>
    </comment>
    <comment authorId="0" ref="BB9">
      <text>
        <t xml:space="preserve">cronge
</t>
      </text>
    </comment>
    <comment authorId="0" ref="CJ8">
      <text>
        <t xml:space="preserve">allez les francais</t>
      </text>
    </comment>
    <comment authorId="0" ref="CL8">
      <text>
        <t xml:space="preserve">27 poss easily</t>
      </text>
    </comment>
    <comment authorId="0" ref="BY25">
      <text>
        <t xml:space="preserve">Clip is .1 slower, but close enough to PB. Proof of WR bigJeb
Edit: former wr :(</t>
      </text>
    </comment>
    <comment authorId="0" ref="U27">
      <text>
        <t xml:space="preserve">threw a 2:02 to fire damage</t>
      </text>
    </comment>
    <comment authorId="0" ref="Y27">
      <text>
        <t xml:space="preserve">all my homies hate the beyblade</t>
      </text>
    </comment>
    <comment authorId="0" ref="BW9">
      <text>
        <t xml:space="preserve">vid is .48
</t>
      </text>
    </comment>
    <comment authorId="0" ref="M11">
      <text>
        <t xml:space="preserve">Red button ruined sub 3</t>
      </text>
    </comment>
    <comment authorId="0" ref="CA9">
      <text>
        <t xml:space="preserve">garbage time, can go 1:0x IGT
</t>
      </text>
    </comment>
    <comment authorId="0" ref="AG27">
      <text>
        <t xml:space="preserve">with pepper</t>
      </text>
    </comment>
    <comment authorId="0" ref="CT58">
      <text>
        <t xml:space="preserve">Lord of the Boards</t>
      </text>
    </comment>
    <comment authorId="0" ref="CT25">
      <text>
        <t xml:space="preserve">Most important and competitive IL of all time, finally mine.</t>
      </text>
    </comment>
    <comment authorId="0" ref="CQ9">
      <text>
        <t xml:space="preserve">2:02 with exit area
</t>
      </text>
    </comment>
    <comment authorId="0" ref="AC28">
      <text>
        <t xml:space="preserve">49 should be possible</t>
      </text>
    </comment>
    <comment authorId="0" ref="M13">
      <text>
        <t xml:space="preserve">3-10-2024
</t>
      </text>
    </comment>
    <comment authorId="0" ref="N13">
      <text>
        <t xml:space="preserve">blooper coins after vertical line of coins route (I have video im just lazy)</t>
      </text>
    </comment>
    <comment authorId="0" ref="R13">
      <text>
        <t xml:space="preserve">trying to learn the new route and not be a boomer</t>
      </text>
    </comment>
    <comment authorId="0" ref="U13">
      <text>
        <t xml:space="preserve">hover for the box breakers (no dive) </t>
      </text>
    </comment>
    <comment authorId="0" ref="Z13">
      <text>
        <t xml:space="preserve">TAS ish but I ain't rimato brother Kkona</t>
      </text>
    </comment>
    <comment authorId="0" ref="AA13">
      <text>
        <t xml:space="preserve">Libre RTA ez strats (killed 2 electrokoopa)</t>
      </text>
    </comment>
    <comment authorId="0" ref="AC13">
      <text>
        <t xml:space="preserve">new deathline strat</t>
      </text>
    </comment>
    <comment authorId="0" ref="AG13">
      <text>
        <t xml:space="preserve">first try</t>
      </text>
    </comment>
    <comment authorId="0" ref="X30">
      <text>
        <t xml:space="preserve">dogshit</t>
      </text>
    </comment>
    <comment authorId="0" ref="Y30">
      <text>
        <t xml:space="preserve">atrocious</t>
      </text>
    </comment>
    <comment authorId="0" ref="AQ13">
      <text>
        <t xml:space="preserve">invictus saw it live as proof keepo
</t>
      </text>
    </comment>
    <comment authorId="0" ref="AF30">
      <text>
        <t xml:space="preserve">terrible</t>
      </text>
    </comment>
    <comment authorId="0" ref="BC13">
      <text>
        <t xml:space="preserve">3-22-2024 on stream</t>
      </text>
    </comment>
    <comment authorId="0" ref="Q15">
      <text>
        <t xml:space="preserve">[retimed]</t>
      </text>
    </comment>
    <comment authorId="0" ref="CL13">
      <text>
        <t xml:space="preserve">30 is possible with top tier movement you can skip some coins to be optimal too.</t>
      </text>
    </comment>
    <comment authorId="0" ref="AD48">
      <text>
        <t xml:space="preserve">unoptimized
Tree gang pb is 49.63, get owned river gang</t>
      </text>
    </comment>
    <comment authorId="0" ref="CN13">
      <text>
        <t xml:space="preserve">beyblade but easier wallkicks </t>
      </text>
    </comment>
    <comment authorId="0" ref="V16">
      <text>
        <t xml:space="preserve">imagine being a cheater who uses fludd and/or fast text in the secret could never be me</t>
      </text>
    </comment>
    <comment authorId="0" ref="BB15">
      <text>
        <t xml:space="preserve">gaminggg
sorry tomato :( had to do it</t>
      </text>
    </comment>
    <comment authorId="0" ref="AP32">
      <text>
        <t xml:space="preserve">Also no door clipping</t>
      </text>
    </comment>
    <comment authorId="0" ref="BB32">
      <text>
        <t xml:space="preserve">No door clip</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t>
      </text>
    </comment>
    <comment authorId="0" ref="AG33">
      <text>
        <t xml:space="preserve">how to lose 2 seconds with identical strats</t>
      </text>
    </comment>
    <comment authorId="0" ref="C34">
      <text>
        <t xml:space="preserve">updated 2/2/2023</t>
      </text>
    </comment>
    <comment authorId="0" ref="D67">
      <text>
        <t xml:space="preserve">No SM Quick Kill, No over the building</t>
      </text>
    </comment>
    <comment authorId="0" ref="C1">
      <text>
        <t xml:space="preserve">'Sum of Best' segments.</t>
      </text>
    </comment>
    <comment authorId="0" ref="E67">
      <text>
        <t xml:space="preserve">No Fech strats</t>
      </text>
    </comment>
    <comment authorId="0" ref="F67">
      <text>
        <t xml:space="preserve">No hoverslide to Ricco, old Bianco 4 strats</t>
      </text>
    </comment>
    <comment authorId="0" ref="AR8">
      <text>
        <t xml:space="preserve">retimed</t>
      </text>
    </comment>
    <comment authorId="0" ref="AK33">
      <text>
        <t xml:space="preserve">i'm very good at this shine</t>
      </text>
    </comment>
    <comment authorId="0" ref="G67">
      <text>
        <t xml:space="preserve">Perfect pattern no tornadoes, unoptimal movement</t>
      </text>
    </comment>
    <comment authorId="0" ref="AS8">
      <text>
        <t xml:space="preserve">retimed</t>
      </text>
    </comment>
    <comment authorId="0" ref="H67">
      <text>
        <t xml:space="preserve">Old setup, rollout spray coconut</t>
      </text>
    </comment>
    <comment authorId="0" ref="AT8">
      <text>
        <t xml:space="preserve">retimed</t>
      </text>
    </comment>
    <comment authorId="0" ref="O9">
      <text>
        <t xml:space="preserve">Video is from a 1:41.86</t>
      </text>
    </comment>
    <comment authorId="0" ref="AM33">
      <text>
        <t xml:space="preserve">"custom route fast any% isn't helpful for practice"</t>
      </text>
    </comment>
    <comment authorId="0" ref="C92">
      <text>
        <t xml:space="preserve">Updated 6/3/22</t>
      </text>
    </comment>
    <comment authorId="0" ref="C59">
      <text>
        <t xml:space="preserve">updated december 4 2022
9 ntsc-u bests and counting</t>
      </text>
    </comment>
    <comment authorId="0" ref="C26">
      <text>
        <t xml:space="preserve">pal buddies
using autosplit
@doge
</t>
      </text>
    </comment>
    <comment authorId="0" ref="AP33">
      <text>
        <t xml:space="preserve">what's the secret here</t>
      </text>
    </comment>
    <comment authorId="0" ref="L34">
      <text>
        <t xml:space="preserve">forgot to update this one :p</t>
      </text>
    </comment>
    <comment authorId="0" ref="M34">
      <text>
        <t xml:space="preserve">44.50 SGT</t>
      </text>
    </comment>
    <comment authorId="0" ref="H59">
      <text>
        <t xml:space="preserve">y cam coconut spray + roof throw</t>
      </text>
    </comment>
    <comment authorId="0" ref="AU33">
      <text>
        <t xml:space="preserve">#racefilenation</t>
      </text>
    </comment>
    <comment authorId="0" ref="U100">
      <text>
        <t xml:space="preserve">Combined Pinna 5 and 6 Golds</t>
      </text>
    </comment>
    <comment authorId="0" ref="T34">
      <text>
        <t xml:space="preserve">53.26 IL</t>
      </text>
    </comment>
    <comment authorId="0" ref="U67">
      <text>
        <t xml:space="preserve">Over Top Right, fruit storage</t>
      </text>
    </comment>
    <comment authorId="0" ref="W100">
      <text>
        <t xml:space="preserve">Done as last segment after Sirena</t>
      </text>
    </comment>
    <comment authorId="0" ref="C10">
      <text>
        <t xml:space="preserve">13/9/25
</t>
      </text>
    </comment>
    <comment authorId="0" ref="AD100">
      <text>
        <t xml:space="preserve">Save Warp after Pinna</t>
      </text>
    </comment>
    <comment authorId="0" ref="AD67">
      <text>
        <t xml:space="preserve">No momentum spin</t>
      </text>
    </comment>
    <comment authorId="0" ref="AF100">
      <text>
        <t xml:space="preserve">Sirena after Noki, already unlocked Sirena</t>
      </text>
    </comment>
    <comment authorId="0" ref="AO42">
      <text>
        <t xml:space="preserve">Not very good mid 1:19 is possible
bad 7th and 8th red coin</t>
      </text>
    </comment>
    <comment authorId="0" ref="AK67">
      <text>
        <t xml:space="preserve">2:27 IGT (bad)</t>
      </text>
    </comment>
    <comment authorId="0" ref="AM100">
      <text>
        <t xml:space="preserve">Noki before Sirena, unlocked Sirena during this split</t>
      </text>
    </comment>
    <comment authorId="0" ref="AN67">
      <text>
        <t xml:space="preserve">Sideflip cliff</t>
      </text>
    </comment>
    <comment authorId="0" ref="C60">
      <text>
        <t xml:space="preserve">updated 04-02-24</t>
      </text>
    </comment>
    <comment authorId="0" ref="AP67">
      <text>
        <t xml:space="preserve">Easy entrance, no Diddeh strat</t>
      </text>
    </comment>
    <comment authorId="0" ref="C27">
      <text>
        <t xml:space="preserve">updated 4/17/20</t>
      </text>
    </comment>
    <comment authorId="0" ref="AI26">
      <text>
        <t xml:space="preserve">early split prob more like 1:27.65
</t>
      </text>
    </comment>
    <comment authorId="0" ref="AR67">
      <text>
        <t xml:space="preserve">Sideflip cliff, Pyro kick cycle</t>
      </text>
    </comment>
    <comment authorId="0" ref="AT67">
      <text>
        <t xml:space="preserve">Bad</t>
      </text>
    </comment>
    <comment authorId="0" ref="O2">
      <text>
        <t xml:space="preserve">Video is from a 1:41.86</t>
      </text>
    </comment>
    <comment authorId="0" ref="C85">
      <text>
        <t xml:space="preserve">4/16/23</t>
      </text>
    </comment>
    <comment authorId="0" ref="C11">
      <text>
        <t xml:space="preserve">Updated 07/16/21</t>
      </text>
    </comment>
    <comment authorId="0" ref="T27">
      <text>
        <t xml:space="preserve">i still dont get why this was fast</t>
      </text>
    </comment>
    <comment authorId="0" ref="E11">
      <text>
        <t xml:space="preserve">22.06 Entry + 13.83 Secret  + 0.9 = 36.79 SGT</t>
      </text>
    </comment>
    <comment authorId="0" ref="F11">
      <text>
        <t xml:space="preserve">44.70 SGT travel skip + 42.20 SGT Bianco 4</t>
      </text>
    </comment>
    <comment authorId="0" ref="G11">
      <text>
        <t xml:space="preserve">best pattern, 1 tornado</t>
      </text>
    </comment>
    <comment authorId="0" ref="H11">
      <text>
        <t xml:space="preserve">27.83 SGT 
probably my best entry</t>
      </text>
    </comment>
    <comment authorId="0" ref="C69">
      <text>
        <t xml:space="preserve">2021-11-24</t>
      </text>
    </comment>
    <comment authorId="0" ref="J11">
      <text>
        <t xml:space="preserve">1:18.59 no fech entry</t>
      </text>
    </comment>
    <comment authorId="0" ref="Z27">
      <text>
        <t xml:space="preserve">beyblade red cycle</t>
      </text>
    </comment>
    <comment authorId="0" ref="M11">
      <text>
        <t xml:space="preserve">44.03 SGT</t>
      </text>
    </comment>
    <comment authorId="0" ref="AD27">
      <text>
        <t xml:space="preserve">saved ~.5 on the secret load</t>
      </text>
    </comment>
    <comment authorId="0" ref="N11">
      <text>
        <t xml:space="preserve">20.23 entry + 26.93 secret</t>
      </text>
    </comment>
    <comment authorId="0" ref="O11">
      <text>
        <t xml:space="preserve">2:17.37 IGT</t>
      </text>
    </comment>
    <comment authorId="0" ref="AF60">
      <text>
        <t xml:space="preserve">2:40.81 with hutful
also wtf is this gold</t>
      </text>
    </comment>
    <comment authorId="0" ref="C28">
      <text>
        <t xml:space="preserve">updated 1/22/23</t>
      </text>
    </comment>
    <comment authorId="0" ref="AD85">
      <text>
        <t xml:space="preserve">gotta get sub 1:50 at some point. unsure when it'll happen tho</t>
      </text>
    </comment>
    <comment authorId="0" ref="C53">
      <text>
        <t xml:space="preserve">segments updated 12/1/2024</t>
      </text>
    </comment>
    <comment authorId="0" ref="C20">
      <text>
        <t xml:space="preserve">2024-09-13
AutoSplit</t>
      </text>
    </comment>
    <comment authorId="0" ref="AN85">
      <text>
        <t xml:space="preserve">first ever community gold peepoHappy</t>
      </text>
    </comment>
    <comment authorId="0" ref="C12">
      <text>
        <t xml:space="preserve">Updated 2024-06-11 by akane</t>
      </text>
    </comment>
    <comment authorId="0" ref="S28">
      <text>
        <t xml:space="preserve">1:16.19 but was in a CE https://www.youtube.com/watch?v=GibCsqaCBaI</t>
      </text>
    </comment>
    <comment authorId="0" ref="AI11">
      <text>
        <t xml:space="preserve">one buttslide</t>
      </text>
    </comment>
    <comment authorId="0" ref="D12">
      <text>
        <t xml:space="preserve">Airstrip + Bianco 2 combined best segments</t>
      </text>
    </comment>
    <comment authorId="0" ref="N53">
      <text>
        <t xml:space="preserve">fuck</t>
      </text>
    </comment>
    <comment authorId="0" ref="AK11">
      <text>
        <t xml:space="preserve">2:26.90 IGT + terrible ending</t>
      </text>
    </comment>
    <comment authorId="0" ref="C70">
      <text>
        <t xml:space="preserve">04/10/2021
</t>
      </text>
    </comment>
    <comment authorId="0" ref="E37">
      <text>
        <t xml:space="preserve">59 with TJ secret</t>
      </text>
    </comment>
    <comment authorId="0" ref="V53">
      <text>
        <t xml:space="preserve">slow kill</t>
      </text>
    </comment>
    <comment authorId="0" ref="AD28">
      <text>
        <t xml:space="preserve">oneslide + speedspin GWKD</t>
      </text>
    </comment>
    <comment authorId="0" ref="AS11">
      <text>
        <t xml:space="preserve">43.40</t>
      </text>
    </comment>
    <comment authorId="0" ref="G37">
      <text>
        <t xml:space="preserve">2nd best pattern no tornadoes</t>
      </text>
    </comment>
    <comment authorId="0" ref="C95">
      <text>
        <t xml:space="preserve">Updated 12/3/2022
Autosplitter
</t>
      </text>
    </comment>
    <comment authorId="0" ref="L37">
      <text>
        <t xml:space="preserve">58.55 No GWKD</t>
      </text>
    </comment>
    <comment authorId="0" ref="AR3">
      <text>
        <t xml:space="preserve">IL PB sheesh 51.83</t>
      </text>
    </comment>
    <comment authorId="0" ref="AF53">
      <text>
        <t xml:space="preserve">lost like ~5s on entry</t>
      </text>
    </comment>
    <comment authorId="0" ref="C21">
      <text>
        <t xml:space="preserve">updated 12/3/2023
autosplit takes off 3.53 from Bianco 2 and adds it to Corona</t>
      </text>
    </comment>
    <comment authorId="0" ref="S37">
      <text>
        <t xml:space="preserve">Perfect tas strat + 2 zaps</t>
      </text>
    </comment>
    <comment authorId="0" ref="T37">
      <text>
        <t xml:space="preserve">wr 1:24.99 equivalent to 52.91</t>
      </text>
    </comment>
    <comment authorId="0" ref="Y37">
      <text>
        <t xml:space="preserve">frontslide
46.70 equivalent to 14.59</t>
      </text>
    </comment>
    <comment authorId="0" ref="AG12">
      <text>
        <t xml:space="preserve">buttslide ending
-ink</t>
      </text>
    </comment>
    <comment authorId="0" ref="C13">
      <text>
        <t xml:space="preserve">Updated 23/09/2025
28/43 best segments 👀
PAL GANG
@siemke</t>
      </text>
    </comment>
    <comment authorId="0" ref="AA37">
      <text>
        <t xml:space="preserve">no speed dj
Best split 1:28.06 equi to 56.08</t>
      </text>
    </comment>
    <comment authorId="0" ref="D13">
      <text>
        <t xml:space="preserve">No Delfino Instakill</t>
      </text>
    </comment>
    <comment authorId="0" ref="E13">
      <text>
        <t xml:space="preserve">1:13.44 with tj</t>
      </text>
    </comment>
    <comment authorId="0" ref="AT20">
      <text>
        <t xml:space="preserve">converted from an autosplit 2:24.68
-ink</t>
      </text>
    </comment>
    <comment authorId="0" ref="C71">
      <text>
        <t xml:space="preserve">Updated by Dogecyanide 2024/02/07
Golds accurate As of 2023/04/02</t>
      </text>
    </comment>
    <comment authorId="0" ref="AW20">
      <text>
        <t xml:space="preserve">I wrote this in 2022 or very early 2023 and gotta say past me was spitting
- akane July 18 2024</t>
      </text>
    </comment>
    <comment authorId="0" ref="C5">
      <text>
        <t xml:space="preserve">this is excluding the bad strats
all retimed</t>
      </text>
    </comment>
    <comment authorId="0" ref="AI37">
      <text>
        <t xml:space="preserve">1 buttslide</t>
      </text>
    </comment>
    <comment authorId="0" ref="D5">
      <text>
        <t xml:space="preserve">gaming
</t>
      </text>
    </comment>
    <comment authorId="0" ref="E5">
      <text>
        <t xml:space="preserve">21.95 enter
13.88 secret</t>
      </text>
    </comment>
    <comment authorId="0" ref="F5">
      <text>
        <t xml:space="preserve">42.87</t>
      </text>
    </comment>
    <comment authorId="0" ref="V21">
      <text>
        <t xml:space="preserve">IL strat
-ink</t>
      </text>
    </comment>
    <comment authorId="0" ref="G5">
      <text>
        <t xml:space="preserve">BOOM</t>
      </text>
    </comment>
    <comment authorId="0" ref="AM37">
      <text>
        <t xml:space="preserve">Previous best split 1:25.92 equi to 54.67</t>
      </text>
    </comment>
    <comment authorId="0" ref="H5">
      <text>
        <t xml:space="preserve">il 1:50.57 - https://www.twitch.tv/videos/2213724286
yossy 1:51.63 https://www.twitch.tv/videos/2807197588</t>
      </text>
    </comment>
    <comment authorId="0" ref="AN37">
      <text>
        <t xml:space="preserve">Best split 55.52 equi to 27.86</t>
      </text>
    </comment>
    <comment authorId="0" ref="J38">
      <text>
        <t xml:space="preserve">1:22.96 removed</t>
      </text>
    </comment>
    <comment authorId="0" ref="J5">
      <text>
        <t xml:space="preserve">1:15.70 instant 3rd shot https://x.com/inkstarLum/status/1940654618079645807</t>
      </text>
    </comment>
    <comment authorId="0" ref="K38">
      <text>
        <t xml:space="preserve">1:24.41 removed</t>
      </text>
    </comment>
    <comment authorId="0" ref="K5">
      <text>
        <t xml:space="preserve">no tas entry 1:22.48</t>
      </text>
    </comment>
    <comment authorId="0" ref="L5">
      <text>
        <t xml:space="preserve">tas entry 55.52: https://www.twitch.tv/videos/1991159851</t>
      </text>
    </comment>
    <comment authorId="0" ref="M5">
      <text>
        <t xml:space="preserve">1:12.73 TAS tail  https://youtu.be/cA8sExaZBaU</t>
      </text>
    </comment>
    <comment authorId="0" ref="AT70">
      <text>
        <t xml:space="preserve">normal corona</t>
      </text>
    </comment>
    <comment authorId="0" ref="N5">
      <text>
        <t xml:space="preserve">gaming
</t>
      </text>
    </comment>
    <comment authorId="0" ref="AF54">
      <text>
        <t xml:space="preserve">epic
</t>
      </text>
    </comment>
    <comment authorId="0" ref="P5">
      <text>
        <t xml:space="preserve">TAS TRIPLE 46.74: https://twitter.com/InkstarLum/status/1613831573962625024</t>
      </text>
    </comment>
    <comment authorId="0" ref="Q5">
      <text>
        <t xml:space="preserve">gaming</t>
      </text>
    </comment>
    <comment authorId="0" ref="R38">
      <text>
        <t xml:space="preserve">1:16.22 removed</t>
      </text>
    </comment>
    <comment authorId="0" ref="C22">
      <text>
        <t xml:space="preserve">Updated as of 3 April 2024</t>
      </text>
    </comment>
    <comment authorId="0" ref="S5">
      <text>
        <t xml:space="preserve">gaming</t>
      </text>
    </comment>
    <comment authorId="0" ref="U5">
      <text>
        <t xml:space="preserve">47.61 entry
27.82 secret
</t>
      </text>
    </comment>
    <comment authorId="0" ref="V5">
      <text>
        <t xml:space="preserve">58.85 Right Side </t>
      </text>
    </comment>
    <comment authorId="0" ref="G22">
      <text>
        <t xml:space="preserve">Best Pattern 0 Nadoes</t>
      </text>
    </comment>
    <comment authorId="0" ref="AE13">
      <text>
        <t xml:space="preserve">PAL Gang 4eva</t>
      </text>
    </comment>
    <comment authorId="0" ref="AG13">
      <text>
        <t xml:space="preserve">RTA Strats : 1:28.583
https://www.youtube.com/watch?v=4l70IFs8YmQ
</t>
      </text>
    </comment>
    <comment authorId="0" ref="C47">
      <text>
        <t xml:space="preserve">updated 2023-01-23</t>
      </text>
    </comment>
    <comment authorId="0" ref="C14">
      <text>
        <t xml:space="preserve">Updated 8/1/2026
</t>
      </text>
    </comment>
    <comment authorId="0" ref="D47">
      <text>
        <t xml:space="preserve">* adjusted for 5:40.41 HF offset
Golds with airstrip split:
Airstrip 3:23.46
Bianco 2 6:57.98
Sum 10:21.44</t>
      </text>
    </comment>
    <comment authorId="0" ref="AI13">
      <text>
        <t xml:space="preserve">On a good run lol</t>
      </text>
    </comment>
    <comment authorId="0" ref="AR54">
      <text>
        <t xml:space="preserve">insane</t>
      </text>
    </comment>
    <comment authorId="0" ref="AJ13">
      <text>
        <t xml:space="preserve">2:42.14 Cycle skip</t>
      </text>
    </comment>
    <comment authorId="0" ref="AC5">
      <text>
        <t xml:space="preserve">gaming</t>
      </text>
    </comment>
    <comment authorId="0" ref="AK13">
      <text>
        <t xml:space="preserve">2:32.27 IGT</t>
      </text>
    </comment>
    <comment authorId="0" ref="G47">
      <text>
        <t xml:space="preserve">best pattern, 1 tornado</t>
      </text>
    </comment>
    <comment authorId="0" ref="AL13">
      <text>
        <t xml:space="preserve">Retimed</t>
      </text>
    </comment>
    <comment authorId="0" ref="AG5">
      <text>
        <t xml:space="preserve">RTA 1:28.52 - https://www.twitch.tv/videos/2831011315</t>
      </text>
    </comment>
    <comment authorId="0" ref="AH5">
      <text>
        <t xml:space="preserve">TAS ENTRY 56.85 https://www.twitch.tv/videos/2022371754</t>
      </text>
    </comment>
    <comment authorId="0" ref="C6">
      <text>
        <t xml:space="preserve">6/22/26</t>
      </text>
    </comment>
    <comment authorId="0" ref="AI5">
      <text>
        <t xml:space="preserve">1:27.22 no plat skip  https://www.twitch.tv/videos/2115039938</t>
      </text>
    </comment>
    <comment authorId="0" ref="AR13">
      <text>
        <t xml:space="preserve">IL PB sheesh 51.83</t>
      </text>
    </comment>
    <comment authorId="0" ref="AK5">
      <text>
        <t xml:space="preserve">tas entry - 1:21.48</t>
      </text>
    </comment>
    <comment authorId="0" ref="AS13">
      <text>
        <t xml:space="preserve">In sandbox any% race</t>
      </text>
    </comment>
    <comment authorId="0" ref="AO38">
      <text>
        <t xml:space="preserve">1:23.83 removed</t>
      </text>
    </comment>
    <comment authorId="0" ref="S80">
      <text>
        <t xml:space="preserve">Don't have video. I'll get it for the 1:19 next time. TAS strats.</t>
      </text>
    </comment>
    <comment authorId="0" ref="T47">
      <text>
        <t xml:space="preserve">right first w/ early spray</t>
      </text>
    </comment>
    <comment authorId="0" ref="F97">
      <text>
        <t xml:space="preserve">2:08.71 in a random 96 shines run</t>
      </text>
    </comment>
    <comment authorId="0" ref="U47">
      <text>
        <t xml:space="preserve">banana, instaclip, OTR</t>
      </text>
    </comment>
    <comment authorId="0" ref="W47">
      <text>
        <t xml:space="preserve">savewarp route: 1:48.24</t>
      </text>
    </comment>
    <comment authorId="0" ref="C56">
      <text>
        <t xml:space="preserve">Updated 7/24/22</t>
      </text>
    </comment>
    <comment authorId="0" ref="C23">
      <text>
        <t xml:space="preserve">updated 07/15/2023
</t>
      </text>
    </comment>
    <comment authorId="0" ref="AJ22">
      <text>
        <t xml:space="preserve">-1 cycle</t>
      </text>
    </comment>
    <comment authorId="0" ref="AD80">
      <text>
        <t xml:space="preserve">old school 2016 strats</t>
      </text>
    </comment>
    <comment authorId="0" ref="AD47">
      <text>
        <t xml:space="preserve">savewarp route: 1:52.98</t>
      </text>
    </comment>
    <comment authorId="0" ref="T97">
      <text>
        <t xml:space="preserve">Bruh i got a 1-cycle and then failed splitting</t>
      </text>
    </comment>
    <comment authorId="0" ref="AJ47">
      <text>
        <t xml:space="preserve">-2 extras</t>
      </text>
    </comment>
    <comment authorId="0" ref="C7">
      <text>
        <t xml:space="preserve">updated 9/28/21</t>
      </text>
    </comment>
    <comment authorId="0" ref="D7">
      <text>
        <t xml:space="preserve">adjusted to reflect new HF offset on 1/17/22</t>
      </text>
    </comment>
    <comment authorId="0" ref="AS80">
      <text>
        <t xml:space="preserve">Ultra kill but slow setup at start  </t>
      </text>
    </comment>
    <comment authorId="0" ref="AR14">
      <text>
        <t xml:space="preserve">Galapagos gold is 1:21.15
</t>
      </text>
    </comment>
    <comment authorId="0" ref="G40">
      <text>
        <t xml:space="preserve">anyone with a better gold has their sob carried by rng</t>
      </text>
    </comment>
    <comment authorId="0" ref="AT47">
      <text>
        <t xml:space="preserve">savewarp route: 2:41.97</t>
      </text>
    </comment>
    <comment authorId="0" ref="C32">
      <text>
        <t xml:space="preserve">Updated: August 25th 2022</t>
      </text>
    </comment>
    <comment authorId="0" ref="O40">
      <text>
        <t xml:space="preserve">bad mayor talk</t>
      </text>
    </comment>
    <comment authorId="0" ref="C24">
      <text>
        <t xml:space="preserve">updated by despin on 1/22/23 based on the splits from his PB, so could be out of date</t>
      </text>
    </comment>
    <comment authorId="0" ref="AP31">
      <text>
        <t xml:space="preserve">TAS Eel</t>
      </text>
    </comment>
    <comment authorId="0" ref="W7">
      <text>
        <t xml:space="preserve">NO BOX TRIPLE 1:44.76</t>
      </text>
    </comment>
    <comment authorId="0" ref="C16">
      <text>
        <t xml:space="preserve">5 Sec Corna Gold Plz
Updated 12/14/2020
</t>
      </text>
    </comment>
    <comment authorId="0" ref="U98">
      <text>
        <t xml:space="preserve">5YG</t>
      </text>
    </comment>
    <comment authorId="0" ref="D16">
      <text>
        <t xml:space="preserve">Changed for new offset
</t>
      </text>
    </comment>
    <comment authorId="0" ref="AD7">
      <text>
        <t xml:space="preserve">no oneslide no spinslide</t>
      </text>
    </comment>
    <comment authorId="0" ref="AU56">
      <text>
        <t xml:space="preserve">started using world splits after 1:17:51</t>
      </text>
    </comment>
    <comment authorId="0" ref="C74">
      <text>
        <t xml:space="preserve">1/6/2021</t>
      </text>
    </comment>
    <comment authorId="0" ref="J16">
      <text>
        <t xml:space="preserve">Decent Fech Entry, Best RNG, Bad Movement at the end.</t>
      </text>
    </comment>
    <comment authorId="0" ref="D41">
      <text>
        <t xml:space="preserve">sum of golds
</t>
      </text>
    </comment>
    <comment authorId="0" ref="G8">
      <text>
        <t xml:space="preserve">retimed</t>
      </text>
    </comment>
    <comment authorId="0" ref="C33">
      <text>
        <t xml:space="preserve">2019</t>
      </text>
    </comment>
    <comment authorId="0" ref="F33">
      <text>
        <t xml:space="preserve">finally got sub 2!</t>
      </text>
    </comment>
    <comment authorId="0" ref="AT40">
      <text>
        <t xml:space="preserve">2:15.5x IGT, bad mayor talk</t>
      </text>
    </comment>
    <comment authorId="0" ref="H33">
      <text>
        <t xml:space="preserve">did backflip 1 time</t>
      </text>
    </comment>
    <comment authorId="0" ref="AU7">
      <text>
        <t xml:space="preserve">.21</t>
      </text>
    </comment>
    <comment authorId="0" ref="O33">
      <text>
        <t xml:space="preserve">2:14.7 igt</t>
      </text>
    </comment>
    <comment authorId="0" ref="W8">
      <text>
        <t xml:space="preserve">1:45.68 - https://www.twitch.tv/videos/528468327</t>
      </text>
    </comment>
    <comment authorId="0" ref="AU32">
      <text>
        <t xml:space="preserve">really bad</t>
      </text>
    </comment>
    <comment authorId="0" ref="C50">
      <text>
        <t xml:space="preserve">Updated 09/01/2022
5 best segments :eyes: :eyes:</t>
      </text>
    </comment>
    <comment authorId="0" ref="U33">
      <text>
        <t xml:space="preserve">2 stu</t>
      </text>
    </comment>
    <comment authorId="0" ref="AC8">
      <text>
        <t xml:space="preserve">retimed</t>
      </text>
    </comment>
    <comment authorId="0" ref="C42">
      <text>
        <t xml:space="preserve">09/07/26</t>
      </text>
    </comment>
    <comment authorId="0" ref="C9">
      <text>
        <t xml:space="preserve">Updated 2023-12-01 by akane</t>
      </text>
    </comment>
    <comment authorId="0" ref="AM8">
      <text>
        <t xml:space="preserve">retimed</t>
      </text>
    </comment>
    <comment authorId="0" ref="AF33">
      <text>
        <t xml:space="preserve">i should just copy diddeh's gold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 Guide: https://smscommunity.github.io/sms-guide/setup/bestworlds/</t>
      </text>
    </comment>
    <comment authorId="0" ref="I8">
      <text>
        <t xml:space="preserve">no buttslide</t>
      </text>
    </comment>
    <comment authorId="0" ref="C1">
      <text>
        <t xml:space="preserve">'Sum of Best' segments.</t>
      </text>
    </comment>
    <comment authorId="0" ref="J8">
      <text>
        <t xml:space="preserve">one extra boo lol</t>
      </text>
    </comment>
    <comment authorId="0" ref="C33">
      <text>
        <t xml:space="preserve">Updated April 8th, 2026</t>
      </text>
    </comment>
    <comment authorId="0" ref="C31">
      <text>
        <t xml:space="preserve">updated 2023-01-18</t>
      </text>
    </comment>
    <comment authorId="0" ref="F28">
      <text>
        <t xml:space="preserve">9:21.70 No Early Cycle 
</t>
      </text>
    </comment>
    <comment authorId="0" ref="J31">
      <text>
        <t xml:space="preserve">double cycle skip</t>
      </text>
    </comment>
    <comment authorId="0" ref="C19">
      <text>
        <t xml:space="preserve">updated SoB calculation
-zeldocto 10/02/2024</t>
      </text>
    </comment>
    <comment authorId="0" ref="C13">
      <text>
        <t xml:space="preserve">2024-08-20
AutoSplit</t>
      </text>
    </comment>
    <comment authorId="0" ref="C43">
      <text>
        <t xml:space="preserve">09/07/26</t>
      </text>
    </comment>
    <comment authorId="0" ref="C9">
      <text>
        <t xml:space="preserve">Updated 2024-06-11 by akane</t>
      </text>
    </comment>
    <comment authorId="0" ref="H13">
      <text>
        <t xml:space="preserve">8:58.43 in an All Episodes run</t>
      </text>
    </comment>
    <comment authorId="0" ref="D8">
      <text>
        <t xml:space="preserve">13:27 into second best no tornados</t>
      </text>
    </comment>
    <comment authorId="0" ref="K15">
      <text>
        <t xml:space="preserve">2:07 eel</t>
      </text>
    </comment>
    <comment authorId="0" ref="C6">
      <text>
        <t xml:space="preserve">6/22/26</t>
      </text>
    </comment>
    <comment authorId="0" ref="C38">
      <text>
        <t xml:space="preserve">12/1/24</t>
      </text>
    </comment>
    <comment authorId="0" ref="D5">
      <text>
        <t xml:space="preserve">bruh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Right Click LiveSplit -&gt; Compare against -&gt; Best Split Times</t>
      </text>
    </comment>
    <comment authorId="0" ref="E5">
      <text>
        <t xml:space="preserve">ahh~ 🥵</t>
      </text>
    </comment>
    <comment authorId="0" ref="F5">
      <text>
        <t xml:space="preserve">god im so fucking hot</t>
      </text>
    </comment>
    <comment authorId="0" ref="L11">
      <text>
        <t xml:space="preserve">UPDATE 2024-09-13:
It happened PogBones</t>
      </text>
    </comment>
    <comment authorId="0" ref="G5">
      <text>
        <t xml:space="preserve">45</t>
      </text>
    </comment>
    <comment authorId="0" ref="H5">
      <text>
        <t xml:space="preserve">jesus fucking christ</t>
      </text>
    </comment>
    <comment authorId="0" ref="K7">
      <text>
        <t xml:space="preserve">Updated 2023-12-01 by akane</t>
      </text>
    </comment>
    <comment authorId="0" ref="I5">
      <text>
        <t xml:space="preserve">111</t>
      </text>
    </comment>
    <comment authorId="0" ref="J5">
      <text>
        <t xml:space="preserve">love corona</t>
      </text>
    </comment>
    <comment authorId="0" ref="K5">
      <text>
        <t xml:space="preserve">i rule the world</t>
      </text>
    </comment>
    <comment authorId="0" ref="A8">
      <text>
        <t xml:space="preserve">Updated 2024-06-11 by akane</t>
      </text>
    </comment>
    <comment authorId="0" ref="A6">
      <text>
        <t xml:space="preserve">6/22/26</t>
      </text>
    </comment>
    <comment authorId="0" ref="C2">
      <text>
        <t xml:space="preserve">bruh</t>
      </text>
    </comment>
    <comment authorId="0" ref="D2">
      <text>
        <t xml:space="preserve">wee woo</t>
      </text>
    </comment>
    <comment authorId="0" ref="E2">
      <text>
        <t xml:space="preserve">ahh~ 🥵</t>
      </text>
    </comment>
    <comment authorId="0" ref="F2">
      <text>
        <t xml:space="preserve">god im so fucking hot</t>
      </text>
    </comment>
    <comment authorId="0" ref="A29">
      <text>
        <t xml:space="preserve">Updated April 19th, 2026</t>
      </text>
    </comment>
    <comment authorId="0" ref="G2">
      <text>
        <t xml:space="preserve">45</t>
      </text>
    </comment>
    <comment authorId="0" ref="H2">
      <text>
        <t xml:space="preserve">jesus fucking christ</t>
      </text>
    </comment>
    <comment authorId="0" ref="I2">
      <text>
        <t xml:space="preserve">busting</t>
      </text>
    </comment>
    <comment authorId="0" ref="J2">
      <text>
        <t xml:space="preserve">fuck</t>
      </text>
    </comment>
    <comment authorId="0" ref="B11">
      <text>
        <t xml:space="preserve">2024-09-13
AutoSplit</t>
      </text>
    </comment>
    <comment authorId="0" ref="C5">
      <text>
        <t xml:space="preserve">bruh</t>
      </text>
    </comment>
    <comment authorId="0" ref="D5">
      <text>
        <t xml:space="preserve">wee woo</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Timing - Time starts when pressing A to select 'Yes' to create a new file. Time ends when you land the final ground pound on the Bowser fight.
Restrictions - You are not allowed to shoot water with the spray nozzle, or spray juice with yoshi
Other Rules - You are allowed to use the spray nozzle to shoot poinks and rockets, as these applications of the spray nozzle are required to complete bianco 5 and pinna 1. You are also allowed to backflip while holding fruit (such as in gbs/serena 3) as it is impossible to spray while holding fruit. You are also allowed to have the spray nozzle out to sidestep, as long as you don’t spray any water.</t>
      </text>
    </comment>
    <comment authorId="0" ref="A1">
      <text>
        <t xml:space="preserve">Slowly being duplicated over to here 
https://www.speedrun.com/smsce/guides/f5a8y</t>
      </text>
    </comment>
    <comment authorId="0" ref="B96">
      <text>
        <t xml:space="preserve">-Timing starts on file select. -Play from a save file that directly lands you in the flooded plaza. -Timing ends when the Shine Sprite counter ticks over to the next number after collecting the last Shine Sprite.
Collect every possible Shine Sprite in the flooded Plaza. The 11 possible Shines are Pachinko, Gelato Pipe, Jail Secret, Chuckster, Lighthouse, Lilypad, Right Bell, Shine Gate, Gold Bird, Red Coin Field and Delfino 100 coins.</t>
      </text>
    </comment>
    <comment authorId="0" ref="B57">
      <text>
        <t xml:space="preserve">Timing starts on file select.
Timing ends on the final ground pound in the Bowser fight.
Mario may not die or take any damage other than underwater air damage.
You must collect all 120 Shine Sprites.</t>
      </text>
    </comment>
    <comment authorId="0" ref="B117">
      <text>
        <t xml:space="preserve">Played on the Mirror Mode GCT file created by JoshuaMK.
Mirror Mode is a mod that flips the entirety of SMS's overworld over its Y-axis.
</t>
      </text>
    </comment>
    <comment authorId="0" ref="B20">
      <text>
        <t xml:space="preserve">Stage Loader codes must be used in Nintendont or Dolphin.
Timing starts on file select.
Timing ends on the final ground pound in the Bowser fight.
Recommended: use the Stage Loader with the 79 Shines preset.</t>
      </text>
    </comment>
    <comment authorId="0" ref="C84">
      <text>
        <t xml:space="preserve">A terrible run to get this category started</t>
      </text>
    </comment>
    <comment authorId="0" ref="C82">
      <text>
        <t xml:space="preserve">Bad run, I died like 3 times. Future runners of this trash please use the hover boxes more. thanks</t>
      </text>
    </comment>
    <comment authorId="0" ref="B80">
      <text>
        <t xml:space="preserve">-Timing starts on file select.
-Timing ends on the last ground pound of Bowser.
-You cannot use the X Button.</t>
      </text>
    </comment>
    <comment authorId="0" ref="C43">
      <text>
        <t xml:space="preserve">Made it!</t>
      </text>
    </comment>
    <comment authorId="0" ref="B41">
      <text>
        <t xml:space="preserve">Timing starts on file select.
Timing ends on the final ground pound in the Bowser fight.
Regular jumps, double jumps, triple jumps, spinjumps, sideflips and backflips are banned.</t>
      </text>
    </comment>
    <comment authorId="0" ref="C105">
      <text>
        <t xml:space="preserve">I can't tell whether this is actually a moderately interesting category.</t>
      </text>
    </comment>
    <comment authorId="0" ref="C8">
      <text>
        <t xml:space="preserve">bounty acquired</t>
      </text>
    </comment>
    <comment authorId="0" ref="B103">
      <text>
        <t xml:space="preserve">Watch all cutscenes in their entirety, uninterrupted by other cutscenes. All cutscenes only need to be watched in full once. Shine spawn cutscenes do not count.
List of Cutscenes: https://pastebin.com/9T61W70H
Timing starts on console reset, as the pre-title screen cutscene needs to be watched. Timing ends after the line, "The vacation starts now," before the credits.</t>
      </text>
    </comment>
    <comment authorId="0" ref="B4">
      <text>
        <t xml:space="preserve">Read all the signs in the game.
List of all signs: https://smscommunity.notion.site/The-Signs-in-Super-Mario-Sunshine-65e463313d4b4bcaa701ad2864731ae0
Timing starts on race file select. Timing ends upon reading the final sign.</t>
      </text>
    </comment>
    <comment authorId="0" ref="B66">
      <text>
        <t xml:space="preserve">Timing starts on race file select. Timing ends when Mario holds up the final Shine or when the final blue coin’s save prompt appears.
Collect all 24 Shines and 40 blue coins available without defeating the brown Polluted Piranha Plant. (The final Shine count will be 25 because of the airstrip.)
The possible Shines are all 11 Shines from Pianta, beach Shine, Chuckster, Gelato pipe, red coin field, jail secret, left bell, lighthouse, lilypad, pachinko, right bell, Shine Gate, underbell and Delfino 100 coins.</t>
      </text>
    </comment>
    <comment authorId="0" ref="B124">
      <text>
        <t xml:space="preserve">Played on New File.
You must achieve the best known scoreboard in Super Mario Sunshine.
Ends on the final groundpound in Bowser.
</t>
      </text>
    </comment>
    <comment authorId="0" ref="B27">
      <text>
        <t xml:space="preserve">Stage Loader codes must be used in Nintendont or Dolphin.
Timing starts on file select.
Timing ends on the final ground pound in the Bowser fight.
Recommended: use the Stage Loader with the 120 Shines preset.
</t>
      </text>
    </comment>
    <comment authorId="0" ref="B89">
      <text>
        <t xml:space="preserve">-Timing starts on file select. -Play from a save file that directly lands you in the flooded plaza. -Timing ends when the Shine Sprite counter ticks over to the next number after collecting the last Shine Sprite.
Collect every possible Shine Sprite and blue coin in the flooded Plaza. The 11 possible Shines are Pachinko, Gelato Pipe, Jail Secret, Chuckster, Lighthouse, Lilypad, Right Bell, Shine Gate, Gold Bird, Red Coin Field and Delfino 100 coins.</t>
      </text>
    </comment>
    <comment authorId="0" ref="C52">
      <text>
        <t xml:space="preserve">mevius deleted his shit so this the only run on here</t>
      </text>
    </comment>
    <comment authorId="0" ref="B50">
      <text>
        <t xml:space="preserve">Timing starts on file select.
Timing ends on the final ground pound in the Bowser fight.
Mario may not die or take any damage other than underwater air damage.</t>
      </text>
    </comment>
    <comment authorId="0" ref="C83">
      <text>
        <t xml:space="preserve">10min lost on Yoshi skip (equivalent to hoverless) and other misc big timeloss</t>
      </text>
    </comment>
    <comment authorId="0" ref="C112">
      <text>
        <t xml:space="preserve">Lol funny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text>
    </comment>
    <comment authorId="0" ref="C15">
      <text>
        <t xml:space="preserve">I'm not very good so I have to unlock Rocket Nozzle in order to get shine gate and lighthouse, so I get 33 shines, and respectively, a 53:41 lol.</t>
      </text>
    </comment>
    <comment authorId="0" ref="B11">
      <text>
        <t xml:space="preserve">Timing starts on race file select.
Timing ends when Mario holds up the final plaza Shine.
Collect all 16 Shines from Delfino Plaza.</t>
      </text>
    </comment>
    <comment authorId="0" ref="C44">
      <text>
        <t xml:space="preserve">SUB 2 LESGOOOO</t>
      </text>
    </comment>
    <comment authorId="0" ref="B73">
      <text>
        <t xml:space="preserve">Category Rules
Timing starts on race file select. Timing ends when Mario holds up the final Shine or when the final blue coin’s save prompt appears.
Collect all 20 Shines and 36 blue coins available without harming any creatures, not including the blue coin behind the turbo gate. (The final Shine count will be 21 because of the airstrip.)
The possible Shines are Pianta 1-6, Pianta 100 coins, Pianta 5 reds, beach Shine, Chuckster, Gelato pipe, jail secret, left bell, lighthouse, lilypad, pachinko, right bell, Shine Gate, underbell and Delfino 100 coins.</t>
      </text>
    </comment>
    <comment authorId="0" ref="C9">
      <text>
        <t xml:space="preserve">bounty acquired™</t>
      </text>
    </comment>
    <comment authorId="0" ref="C7">
      <text>
        <t xml:space="preserve">bounty acquired</t>
      </text>
    </comment>
    <comment authorId="0" ref="C69">
      <text>
        <t xml:space="preserve">sub 1 is free</t>
      </text>
    </comment>
    <comment authorId="0" ref="B131">
      <text>
        <t xml:space="preserve">Played on New File.
This follows the same rules as 120 but you need to do the maximum amount of trade in you can with all 240 blue coins in the game. (i.e 24 trade in)
Run is not valid if you trade 20 blue coins or more at once!
</t>
      </text>
    </comment>
  </commentList>
</comments>
</file>

<file path=xl/sharedStrings.xml><?xml version="1.0" encoding="utf-8"?>
<sst xmlns="http://schemas.openxmlformats.org/spreadsheetml/2006/main" count="28720" uniqueCount="12101">
  <si>
    <t>Super Mario Sunshine Individual Level (IL) Spreadsheet</t>
  </si>
  <si>
    <t>スーパーマリオサンシャイン Individual Level（IL）        スプレッドシート</t>
  </si>
  <si>
    <t>What is this sheet?</t>
  </si>
  <si>
    <t>このシートは何に使用されますか？</t>
  </si>
  <si>
    <r>
      <rPr>
        <sz val="10.0"/>
      </rPr>
      <t xml:space="preserve">This sheet is a place to post and compete with IL times.
This sheet requires the use of the </t>
    </r>
    <r>
      <rPr>
        <b/>
        <sz val="10.0"/>
      </rPr>
      <t>Shine Get Timer</t>
    </r>
    <r>
      <rPr>
        <sz val="10.0"/>
      </rPr>
      <t xml:space="preserve"> or </t>
    </r>
    <r>
      <rPr>
        <b/>
        <sz val="10.0"/>
      </rPr>
      <t xml:space="preserve">Quarterframe Timer </t>
    </r>
    <r>
      <rPr>
        <sz val="10.0"/>
      </rPr>
      <t xml:space="preserve">practice codes, on a </t>
    </r>
    <r>
      <rPr>
        <b/>
        <sz val="10.0"/>
      </rPr>
      <t>Wii/GameCube or Dolphin emulator</t>
    </r>
    <r>
      <rPr>
        <sz val="10.0"/>
      </rPr>
      <t>. This timer skips loading times, so it can be used consistently across different consoles, discs, isos, and emulators.</t>
    </r>
  </si>
  <si>
    <t>このシートは、ILを投稿してタイムを競う場所です。 このシートでは、Shine Getタイマーの練習コードの使用を求めます。このタイマーは読み込み時間をスキップするため、様々なコンソール、ディスク、ISO、およびエミュレーター間で一貫して使用できます。</t>
  </si>
  <si>
    <r>
      <rPr>
        <b/>
        <sz val="11.0"/>
      </rPr>
      <t xml:space="preserve">Set up practice codes with the guide here: </t>
    </r>
    <r>
      <rPr>
        <b/>
        <color rgb="FF1155CC"/>
        <sz val="11.0"/>
        <u/>
      </rPr>
      <t>https://gct.zint.ch/guide.html</t>
    </r>
  </si>
  <si>
    <r>
      <rPr>
        <rFont val="Arial"/>
        <b/>
        <sz val="11.0"/>
      </rPr>
      <t xml:space="preserve">ガイドと練習コードの設定はこちら： </t>
    </r>
    <r>
      <rPr>
        <rFont val="Arial"/>
        <b/>
        <color rgb="FF1155CC"/>
        <sz val="11.0"/>
        <u/>
      </rPr>
      <t>https//gct.zint.ch/ja/guide.html</t>
    </r>
  </si>
  <si>
    <t>Runners are ranked and ordered using a point system, as follows: You get 1 point for last place in an IL, 2 points for second to last, etc. So, the more people you beat in an IL, the more points, and higher up the sheet, you get.
Medals are awarded for top-3 times; video is required for all new top-3 times.</t>
  </si>
  <si>
    <t>ILシートにおける走者の配置は、ポイントベースシステムに基づいて決定されます。走者は、最下位の場合は1ポイントを獲得し、最下位から2位の場合は2ポイントを獲得します。つまり、ILにおいて倒すことができる走者が多いほど、獲得できるポイントも多くなります。ポイントの多い走者は、シートの上位にランク付けされます。</t>
  </si>
  <si>
    <t>Rules</t>
  </si>
  <si>
    <t>ルール</t>
  </si>
  <si>
    <r>
      <rPr>
        <b/>
        <color rgb="FF000000"/>
        <sz val="11.0"/>
        <u/>
      </rPr>
      <t xml:space="preserve">The full ruleset is available at
</t>
    </r>
    <r>
      <rPr>
        <b/>
        <color rgb="FF1155CC"/>
        <sz val="11.0"/>
        <u/>
      </rPr>
      <t>sunmar.io/ilrules</t>
    </r>
  </si>
  <si>
    <t xml:space="preserve"> - ここに掲載するタイムはすべて、スーパーマリオ3Dコレクションではなく、ゲームキューブ版のいずれかで達成しなければなりません。</t>
  </si>
  <si>
    <t>Do also take note of level-specific rules and information, found in the notes on the header of each level.</t>
  </si>
  <si>
    <t xml:space="preserve"> - ここに投稿するタイムはすべて、バージョン2.0を使用するか、「Shine Get Timer」練習コードのより高いバージョンを使用して計算するものとします。</t>
  </si>
  <si>
    <t xml:space="preserve"> - 許可されるコード：ファストテキスト（モンテ 5を除く）、FMVスキップ（ピンナ 1を除く）、フリーポーズ（注：「モンテ 1」において空中で一時停止してシャインを出すなど、このコードを使用して利点を得ることは禁止）、「どんな果物でもヨッシーの卵を開く」。ポジションロードは、モンテマンやヒミツ赤コインなど、ステージの最初から計測を行わないILにのみ許可されています。</t>
  </si>
  <si>
    <t xml:space="preserve"> - ゲームプレイを高速化する他のコードは許可されていません。</t>
  </si>
  <si>
    <t xml:space="preserve"> - このシートの各シャインで最も速い記録は、動画が必要です。 動画のリンクがない限り、WRは太字になりません。</t>
  </si>
  <si>
    <t xml:space="preserve"> -ハイパーリンクのルール：1）画像なし、動画のみ。2）動画は、±0.02の差で、前述のタイムと一致する必要があります。いずれかのルールに違反していることが判明したリンクは、自動的にメモに転送されます。</t>
  </si>
  <si>
    <t xml:space="preserve"> - ピンナパークの場合、ストーリーによってはパーク内部から計測が始まります。 これは、パークに入ったらエリアをリセットすることで実現できます（Zを押しながらエリアを出る）。</t>
  </si>
  <si>
    <t xml:space="preserve"> - ドルピックタウンの場合、デフォルトの位置（ビアンコヒルズの近く）から始めなければなりません。</t>
  </si>
  <si>
    <t>世界記録を更新していなくても、自己ベストを更新した場合は動画を提出することを強くお勧めします。このシートは、リーダーボードとして機能するだけでなく、新しいプレイヤーの参考用のリソースとしても機能します。新しいプレイヤーは新しいレベルを学ぶとき、技量に適したやり方を考え出すために、WRではない動画を参照するのにこのシートが役立つと思うかもしれません。</t>
  </si>
  <si>
    <t>How to use this sheet</t>
  </si>
  <si>
    <t>このシートの使い方</t>
  </si>
  <si>
    <t>1. Request access by messaging nokidoki on Discord. Include an email address that you use for Google Drive.</t>
  </si>
  <si>
    <t>1.Discordにおいてnokidokiにメッセージを送信してアクセスをリクエストできます。 Googleドライブに使用するメールアドレスも含めてください。</t>
  </si>
  <si>
    <t xml:space="preserve">    - Please be warned that your Google Account's name and email will be visible publicly; both while you're viewing the sheet, and permanently in the sheet's edit history. If you do not want this to be visible, you must create a new Google Account with your desired username.</t>
  </si>
  <si>
    <t>2. Once a moderator gives you access, you may add your username to a blank row on any sheet to reserve it for yourself. For the cleanliness of the sheet, please only add yourself to a sheet once you have times to insert. Blank rows cause clutter that must be cleaned up by mods.</t>
  </si>
  <si>
    <t>2.次に、下部の[ILタイム]タブに移動します。ここに、プレイヤーの名前が書かれた行があり、そこにタイムを入力することができます。</t>
  </si>
  <si>
    <t>3. If you want to add a video to your time, upload it to YouTube or clip / highlight it on Twitch, right click the cell that your time is in, and select "Insert link".</t>
  </si>
  <si>
    <t>3.記録に動画を追加したい場合は、YouTubeにアップロードするか、Twitchにおいてクリップ/ハイライトを選択してください。次に、タイムが表示されているセルを右クリックし、[リンクを挿入]を選択してください。</t>
  </si>
  <si>
    <t>More detailed info on how to join the sheet, set up hardware, and submit times, can be found at
https://smscommunity.github.io/sms-guide/il/</t>
  </si>
  <si>
    <t>Free ILs</t>
  </si>
  <si>
    <t>Guide</t>
  </si>
  <si>
    <t>Bianco Hills</t>
  </si>
  <si>
    <t>Ricco Harbor</t>
  </si>
  <si>
    <t>Gelato Beach</t>
  </si>
  <si>
    <t>Pinna Park</t>
  </si>
  <si>
    <t>Sirena Beach</t>
  </si>
  <si>
    <t>Noki Bay</t>
  </si>
  <si>
    <t>Pianta Village</t>
  </si>
  <si>
    <t>Delfino Plaza</t>
  </si>
  <si>
    <t>Player</t>
  </si>
  <si>
    <t>Points</t>
  </si>
  <si>
    <t>Medals</t>
  </si>
  <si>
    <r>
      <rPr>
        <rFont val="arial,sans,sans-serif"/>
        <b/>
        <color rgb="FFFFFFFF"/>
        <sz val="10.0"/>
      </rPr>
      <t xml:space="preserve">Entries
</t>
    </r>
    <r>
      <rPr>
        <rFont val="arial,sans,sans-serif"/>
        <b val="0"/>
        <i/>
        <color rgb="FFFFFFFF"/>
        <sz val="10.0"/>
      </rPr>
      <t>(Video)</t>
    </r>
  </si>
  <si>
    <r>
      <rPr>
        <b/>
        <color rgb="FFFFFFFF"/>
        <sz val="9.0"/>
      </rPr>
      <t xml:space="preserve">Ep. 3
</t>
    </r>
    <r>
      <rPr>
        <b/>
        <color rgb="FFFFFFFF"/>
        <sz val="8.0"/>
      </rPr>
      <t>w/ Button</t>
    </r>
  </si>
  <si>
    <t>Ep. 2
Belly%</t>
  </si>
  <si>
    <t>WR</t>
  </si>
  <si>
    <t>Ep. 2
Green Blooper</t>
  </si>
  <si>
    <t>Ep. 2
Purple Blooper</t>
  </si>
  <si>
    <t>Lotfy</t>
  </si>
  <si>
    <t>Ep. 2
Yellow Blooper</t>
  </si>
  <si>
    <t>Ep. 8
Hyper-
Hover</t>
  </si>
  <si>
    <t>akane</t>
  </si>
  <si>
    <t>Ep. 8
No GBS</t>
  </si>
  <si>
    <t>Ep. 2</t>
  </si>
  <si>
    <t>Anon 3</t>
  </si>
  <si>
    <t>Ep. 2 
w/ Fludd</t>
  </si>
  <si>
    <t>Ep. 4</t>
  </si>
  <si>
    <t>Ep. 8</t>
  </si>
  <si>
    <t>Ep. 2 Reds</t>
  </si>
  <si>
    <t>Ep. 6</t>
  </si>
  <si>
    <t>Ep. 5</t>
  </si>
  <si>
    <t>ink</t>
  </si>
  <si>
    <t>Ep. 5 
w/ Fludd</t>
  </si>
  <si>
    <t>shout</t>
  </si>
  <si>
    <t>Under- bell</t>
  </si>
  <si>
    <t>Aries</t>
  </si>
  <si>
    <t>Anon 6</t>
  </si>
  <si>
    <t>Despin</t>
  </si>
  <si>
    <t>Yoshi</t>
  </si>
  <si>
    <t>DarkMan</t>
  </si>
  <si>
    <t>19</t>
  </si>
  <si>
    <t>ÆTHERION</t>
  </si>
  <si>
    <t>1</t>
  </si>
  <si>
    <t>Anon 5</t>
  </si>
  <si>
    <t>Jpep</t>
  </si>
  <si>
    <t>4</t>
  </si>
  <si>
    <t>Arle</t>
  </si>
  <si>
    <t>7</t>
  </si>
  <si>
    <t>frededish</t>
  </si>
  <si>
    <t>24.22</t>
  </si>
  <si>
    <t>Ipsen</t>
  </si>
  <si>
    <t>26.02</t>
  </si>
  <si>
    <t>25.65</t>
  </si>
  <si>
    <t>14.56</t>
  </si>
  <si>
    <t>JJsrl</t>
  </si>
  <si>
    <t>Zeldocto</t>
  </si>
  <si>
    <t>beans</t>
  </si>
  <si>
    <t>Noki</t>
  </si>
  <si>
    <t>Anon 4</t>
  </si>
  <si>
    <t>Yossy._</t>
  </si>
  <si>
    <t>Stranded</t>
  </si>
  <si>
    <t>Rimato</t>
  </si>
  <si>
    <t>Jukatox</t>
  </si>
  <si>
    <t>14.66</t>
  </si>
  <si>
    <t>PumpMan</t>
  </si>
  <si>
    <t>Nindiddeh</t>
  </si>
  <si>
    <t>Erthide</t>
  </si>
  <si>
    <t>PsioNick</t>
  </si>
  <si>
    <t>Blaze</t>
  </si>
  <si>
    <t>120 ILs</t>
  </si>
  <si>
    <t>Siemke</t>
  </si>
  <si>
    <t>5.59</t>
  </si>
  <si>
    <t>AK</t>
  </si>
  <si>
    <t>Jer</t>
  </si>
  <si>
    <t>Fech</t>
  </si>
  <si>
    <t>Bancakes</t>
  </si>
  <si>
    <t>Weegee</t>
  </si>
  <si>
    <t>Derp</t>
  </si>
  <si>
    <t>sm27</t>
  </si>
  <si>
    <t>joshteautwins</t>
  </si>
  <si>
    <t>11.74</t>
  </si>
  <si>
    <t>Rossy</t>
  </si>
  <si>
    <t>Larvitar</t>
  </si>
  <si>
    <t>Dogecyande</t>
  </si>
  <si>
    <t>Mirror</t>
  </si>
  <si>
    <t>Mikan</t>
  </si>
  <si>
    <t>Cysse</t>
  </si>
  <si>
    <t>warspyking</t>
  </si>
  <si>
    <t>Trey</t>
  </si>
  <si>
    <t>ShadowMario27</t>
  </si>
  <si>
    <t>zGamuT</t>
  </si>
  <si>
    <t>18</t>
  </si>
  <si>
    <t>invictusspiritus</t>
  </si>
  <si>
    <t>2</t>
  </si>
  <si>
    <t>Libre</t>
  </si>
  <si>
    <t>Urbani</t>
  </si>
  <si>
    <t>ChiliChesdog</t>
  </si>
  <si>
    <t>JeffCo</t>
  </si>
  <si>
    <t>Pixel626</t>
  </si>
  <si>
    <t>14.16</t>
  </si>
  <si>
    <t>anmaku</t>
  </si>
  <si>
    <t>Gelato Beach / Mamma Beach</t>
  </si>
  <si>
    <t>lumardy</t>
  </si>
  <si>
    <t>Despotar</t>
  </si>
  <si>
    <t>nanashi</t>
  </si>
  <si>
    <t>toburr</t>
  </si>
  <si>
    <t>Druz</t>
  </si>
  <si>
    <t>Jcool114</t>
  </si>
  <si>
    <t>14.89</t>
  </si>
  <si>
    <t>ToogsX</t>
  </si>
  <si>
    <t>OrnateRope</t>
  </si>
  <si>
    <t>PlantfanClub</t>
  </si>
  <si>
    <t>slime</t>
  </si>
  <si>
    <t>Sided</t>
  </si>
  <si>
    <t>Crumbliing</t>
  </si>
  <si>
    <t>5.95</t>
  </si>
  <si>
    <t>Submissions</t>
  </si>
  <si>
    <t>Noki Bay / Mare Bay</t>
  </si>
  <si>
    <t>11.23</t>
  </si>
  <si>
    <t>Pianta Village / Monte Village</t>
  </si>
  <si>
    <t>12</t>
  </si>
  <si>
    <t>0</t>
  </si>
  <si>
    <t>3</t>
  </si>
  <si>
    <t>5</t>
  </si>
  <si>
    <t>14.36</t>
  </si>
  <si>
    <t>19.54</t>
  </si>
  <si>
    <t>15.43</t>
  </si>
  <si>
    <r>
      <rPr>
        <rFont val="arial,sans,sans-serif"/>
        <b/>
        <color rgb="FFFFFFFF"/>
        <sz val="10.0"/>
      </rPr>
      <t xml:space="preserve">Entries
</t>
    </r>
    <r>
      <rPr>
        <rFont val="arial,sans,sans-serif"/>
        <b val="0"/>
        <i/>
        <color rgb="FFFFFFFF"/>
        <sz val="10.0"/>
      </rPr>
      <t>(Video)</t>
    </r>
  </si>
  <si>
    <t>Ep. 1</t>
  </si>
  <si>
    <t>6.26</t>
  </si>
  <si>
    <t>Ep. 3</t>
  </si>
  <si>
    <t>Ep. 7</t>
  </si>
  <si>
    <r>
      <rPr>
        <rFont val="arial,sans,sans-serif"/>
        <b/>
        <color rgb="FFFFFFFF"/>
        <sz val="10.0"/>
      </rPr>
      <t xml:space="preserve">Entries
</t>
    </r>
    <r>
      <rPr>
        <rFont val="arial,sans,sans-serif"/>
        <b val="0"/>
        <i/>
        <color rgb="FFFFFFFF"/>
        <sz val="10.0"/>
      </rPr>
      <t>(Video)</t>
    </r>
  </si>
  <si>
    <t>12.15</t>
  </si>
  <si>
    <t>Ep. 3 Reds</t>
  </si>
  <si>
    <t>Ep. 6 Reds</t>
  </si>
  <si>
    <t>Pogonateur</t>
  </si>
  <si>
    <t>100 Coins</t>
  </si>
  <si>
    <t>Ep. 6 Entry</t>
  </si>
  <si>
    <t>100s</t>
  </si>
  <si>
    <t>14.61</t>
  </si>
  <si>
    <t>Ep. 2 Entry</t>
  </si>
  <si>
    <t>1:10.82</t>
  </si>
  <si>
    <t xml:space="preserve"> 100s</t>
  </si>
  <si>
    <t>Ep. 4 Reds</t>
  </si>
  <si>
    <t>6.42</t>
  </si>
  <si>
    <t>Hidden</t>
  </si>
  <si>
    <t>1:33.57</t>
  </si>
  <si>
    <t>Hidden 1</t>
  </si>
  <si>
    <t>Ep. 1 Reds</t>
  </si>
  <si>
    <t>23.48</t>
  </si>
  <si>
    <t>48.54</t>
  </si>
  <si>
    <t>Episode 1</t>
  </si>
  <si>
    <t>[1] any</t>
  </si>
  <si>
    <t>50.04</t>
  </si>
  <si>
    <t>Ep. 6 (EYG)</t>
  </si>
  <si>
    <t>Lighthouse</t>
  </si>
  <si>
    <t>10</t>
  </si>
  <si>
    <t>50.92</t>
  </si>
  <si>
    <t>Gold Bird</t>
  </si>
  <si>
    <t>17.54</t>
  </si>
  <si>
    <t>Lilypad</t>
  </si>
  <si>
    <t>Jail Secret</t>
  </si>
  <si>
    <t>Pineapples + Durians</t>
  </si>
  <si>
    <t>51.57</t>
  </si>
  <si>
    <t>Corona Blues</t>
  </si>
  <si>
    <t>Beach Pipe</t>
  </si>
  <si>
    <t>50.33</t>
  </si>
  <si>
    <t>11.07</t>
  </si>
  <si>
    <t>Grass Pipe</t>
  </si>
  <si>
    <t>Airstrip Reds</t>
  </si>
  <si>
    <t>Left Bell</t>
  </si>
  <si>
    <t>21.25</t>
  </si>
  <si>
    <t>Rocket</t>
  </si>
  <si>
    <t>50.98</t>
  </si>
  <si>
    <t>Derpspace</t>
  </si>
  <si>
    <t>No Tower</t>
  </si>
  <si>
    <t>9</t>
  </si>
  <si>
    <t>All</t>
  </si>
  <si>
    <t>No Pokey</t>
  </si>
  <si>
    <t>Normal</t>
  </si>
  <si>
    <t>50.38</t>
  </si>
  <si>
    <t>No Rocket</t>
  </si>
  <si>
    <t>15.03</t>
  </si>
  <si>
    <t>Full</t>
  </si>
  <si>
    <t>Sandbird Only</t>
  </si>
  <si>
    <t>50.77</t>
  </si>
  <si>
    <t>Yoshi Route</t>
  </si>
  <si>
    <t>16.13</t>
  </si>
  <si>
    <t>5 Baskets</t>
  </si>
  <si>
    <t>54.53</t>
  </si>
  <si>
    <t>58.324</t>
  </si>
  <si>
    <t>6 Baskets</t>
  </si>
  <si>
    <t>50.34</t>
  </si>
  <si>
    <t>0 Δ</t>
  </si>
  <si>
    <t>6.39</t>
  </si>
  <si>
    <t>1 Δ</t>
  </si>
  <si>
    <t>Ship Blues</t>
  </si>
  <si>
    <t>banana</t>
  </si>
  <si>
    <t>papaya</t>
  </si>
  <si>
    <t>pineapple</t>
  </si>
  <si>
    <t>50.55</t>
  </si>
  <si>
    <t>coconut</t>
  </si>
  <si>
    <t>No Basket</t>
  </si>
  <si>
    <t>Basket</t>
  </si>
  <si>
    <t>11.67</t>
  </si>
  <si>
    <t>Outside</t>
  </si>
  <si>
    <t>Inside</t>
  </si>
  <si>
    <t>51.00</t>
  </si>
  <si>
    <t>Hover</t>
  </si>
  <si>
    <t>Turbo</t>
  </si>
  <si>
    <t>2 Δ</t>
  </si>
  <si>
    <t>Warspy</t>
  </si>
  <si>
    <t>Ep. 5 Reds</t>
  </si>
  <si>
    <t>Hidden 2</t>
  </si>
  <si>
    <t>1:29.95</t>
  </si>
  <si>
    <t>Banana Clip</t>
  </si>
  <si>
    <t>Yoshi Clip</t>
  </si>
  <si>
    <t>Yoshi + Fire Pianta</t>
  </si>
  <si>
    <t>Airstrip</t>
  </si>
  <si>
    <t>From Sirena</t>
  </si>
  <si>
    <t>Yoshi Bell</t>
  </si>
  <si>
    <t>51.67</t>
  </si>
  <si>
    <t>23.42</t>
  </si>
  <si>
    <t>976</t>
  </si>
  <si>
    <t>Airstrip
100 Coins</t>
  </si>
  <si>
    <t>13</t>
  </si>
  <si>
    <t>8</t>
  </si>
  <si>
    <t>51.68</t>
  </si>
  <si>
    <t>38</t>
  </si>
  <si>
    <t>Beach Shine</t>
  </si>
  <si>
    <t>25.39</t>
  </si>
  <si>
    <t>63</t>
  </si>
  <si>
    <t>52.74</t>
  </si>
  <si>
    <t>Box Game 1</t>
  </si>
  <si>
    <t>Box Game 2</t>
  </si>
  <si>
    <t>Box Game 3</t>
  </si>
  <si>
    <t>Corona Mountain</t>
  </si>
  <si>
    <t>Chuckster</t>
  </si>
  <si>
    <t>1:24.65</t>
  </si>
  <si>
    <t>Anonymous 5</t>
  </si>
  <si>
    <t>1:19.446</t>
  </si>
  <si>
    <t>Light-
house</t>
  </si>
  <si>
    <t>1:14.40</t>
  </si>
  <si>
    <t>Pachinko</t>
  </si>
  <si>
    <t>1:17.14</t>
  </si>
  <si>
    <t>Right Bell</t>
  </si>
  <si>
    <t>1:13.36</t>
  </si>
  <si>
    <t>4:17.10</t>
  </si>
  <si>
    <t>Shine Gate</t>
  </si>
  <si>
    <t>Underbell</t>
  </si>
  <si>
    <t>Episode 2 (Full)</t>
  </si>
  <si>
    <t>Full Level</t>
  </si>
  <si>
    <t>[1] ledgegrab</t>
  </si>
  <si>
    <t>4.55</t>
  </si>
  <si>
    <t>Secret Only</t>
  </si>
  <si>
    <t>1:20.95</t>
  </si>
  <si>
    <t>2:49.702</t>
  </si>
  <si>
    <t>Non- Hover</t>
  </si>
  <si>
    <t>23.62</t>
  </si>
  <si>
    <t>1:22.216</t>
  </si>
  <si>
    <t>Inside Only</t>
  </si>
  <si>
    <t>1:23.45</t>
  </si>
  <si>
    <t>29.59</t>
  </si>
  <si>
    <t>1:21.78</t>
  </si>
  <si>
    <t>11.24</t>
  </si>
  <si>
    <t>1:31.34</t>
  </si>
  <si>
    <t>17.20</t>
  </si>
  <si>
    <t>1:08.72</t>
  </si>
  <si>
    <t>Non-RTA Route</t>
  </si>
  <si>
    <t>2:53.473</t>
  </si>
  <si>
    <t>Anonymous 4</t>
  </si>
  <si>
    <t>6</t>
  </si>
  <si>
    <t>1:23.23</t>
  </si>
  <si>
    <t>RTA Route</t>
  </si>
  <si>
    <t>44.09</t>
  </si>
  <si>
    <t>1:46.073</t>
  </si>
  <si>
    <t>4.45</t>
  </si>
  <si>
    <t>1.22.415</t>
  </si>
  <si>
    <t>1:21.99</t>
  </si>
  <si>
    <t>1:24.88</t>
  </si>
  <si>
    <t>1:26.619</t>
  </si>
  <si>
    <t>1:15.80</t>
  </si>
  <si>
    <t>WildGeffe64</t>
  </si>
  <si>
    <t>1:11.671</t>
  </si>
  <si>
    <t>1:23.12</t>
  </si>
  <si>
    <t>1:08.68</t>
  </si>
  <si>
    <t>US/PAL</t>
  </si>
  <si>
    <t>1:22.58</t>
  </si>
  <si>
    <t>51.855</t>
  </si>
  <si>
    <t>1:10.604</t>
  </si>
  <si>
    <t>JP</t>
  </si>
  <si>
    <t>1:21.76</t>
  </si>
  <si>
    <t>ChristopherCostley</t>
  </si>
  <si>
    <t>20.31</t>
  </si>
  <si>
    <t>45.63</t>
  </si>
  <si>
    <t>2:59.579</t>
  </si>
  <si>
    <t>1:23.05</t>
  </si>
  <si>
    <t>AverageTrey</t>
  </si>
  <si>
    <t>2:30.81</t>
  </si>
  <si>
    <t>No Setup</t>
  </si>
  <si>
    <t>1:23.55</t>
  </si>
  <si>
    <t>1:27.74</t>
  </si>
  <si>
    <t>Eel Only</t>
  </si>
  <si>
    <t>4.95</t>
  </si>
  <si>
    <t>1:20.837</t>
  </si>
  <si>
    <t>1:50.59</t>
  </si>
  <si>
    <t>50.683</t>
  </si>
  <si>
    <t>1:23.78</t>
  </si>
  <si>
    <t>1:11.46</t>
  </si>
  <si>
    <t>39.96</t>
  </si>
  <si>
    <t>1:29.05</t>
  </si>
  <si>
    <t>1:02.26</t>
  </si>
  <si>
    <t>FoundYourGun</t>
  </si>
  <si>
    <t>17.07</t>
  </si>
  <si>
    <t>1:13.82</t>
  </si>
  <si>
    <t>2:00.79</t>
  </si>
  <si>
    <t>2:07.13</t>
  </si>
  <si>
    <t xml:space="preserve">  [2] Y-turn wallkicks</t>
  </si>
  <si>
    <t>Bowser Only</t>
  </si>
  <si>
    <t>1:18.18</t>
  </si>
  <si>
    <t>No Hyper-
Hover</t>
  </si>
  <si>
    <t>2:16.74</t>
  </si>
  <si>
    <t>Leaderboard Viewer</t>
  </si>
  <si>
    <t>13.546</t>
  </si>
  <si>
    <t>15.34</t>
  </si>
  <si>
    <t>1:18.71</t>
  </si>
  <si>
    <t>1:35.929</t>
  </si>
  <si>
    <t>16.64</t>
  </si>
  <si>
    <t>1:44.22</t>
  </si>
  <si>
    <t>1:19.29</t>
  </si>
  <si>
    <t>6.52</t>
  </si>
  <si>
    <t>Video cutoff times →</t>
  </si>
  <si>
    <t>1:47.36</t>
  </si>
  <si>
    <t>50.83</t>
  </si>
  <si>
    <t>1:19.18</t>
  </si>
  <si>
    <t>37.12</t>
  </si>
  <si>
    <t>13.84</t>
  </si>
  <si>
    <t>1:18.32</t>
  </si>
  <si>
    <t>Anonymous 6</t>
  </si>
  <si>
    <t>42.86</t>
  </si>
  <si>
    <t>2:14.10</t>
  </si>
  <si>
    <t>2:00.81</t>
  </si>
  <si>
    <t>1:09.73</t>
  </si>
  <si>
    <t>38.78</t>
  </si>
  <si>
    <t>16.00</t>
  </si>
  <si>
    <t>56.72</t>
  </si>
  <si>
    <t>40.59</t>
  </si>
  <si>
    <t>41.32</t>
  </si>
  <si>
    <t>1:04.11</t>
  </si>
  <si>
    <t>5.63</t>
  </si>
  <si>
    <t>51.33</t>
  </si>
  <si>
    <t>1:21.22</t>
  </si>
  <si>
    <t>16.37</t>
  </si>
  <si>
    <t>2:16.94</t>
  </si>
  <si>
    <t>3:04.050</t>
  </si>
  <si>
    <t>50.06</t>
  </si>
  <si>
    <t>53.12</t>
  </si>
  <si>
    <t>16.71</t>
  </si>
  <si>
    <t>14.63</t>
  </si>
  <si>
    <t>44.28</t>
  </si>
  <si>
    <t>1.22.27</t>
  </si>
  <si>
    <t>30.15</t>
  </si>
  <si>
    <t>55.35</t>
  </si>
  <si>
    <t>1:38.22</t>
  </si>
  <si>
    <t>Zelpiku</t>
  </si>
  <si>
    <t>1:34.01</t>
  </si>
  <si>
    <t>15.07</t>
  </si>
  <si>
    <t>34.82</t>
  </si>
  <si>
    <t>1:05.75</t>
  </si>
  <si>
    <t>1:01.31</t>
  </si>
  <si>
    <t>1:06.35</t>
  </si>
  <si>
    <t>2:00.99</t>
  </si>
  <si>
    <t>1:27.620</t>
  </si>
  <si>
    <t>39.12</t>
  </si>
  <si>
    <t>1:13.26</t>
  </si>
  <si>
    <t>18.77</t>
  </si>
  <si>
    <t>1:43.15</t>
  </si>
  <si>
    <t>1:10.10</t>
  </si>
  <si>
    <t>47.79</t>
  </si>
  <si>
    <t>26.91</t>
  </si>
  <si>
    <t>8.64</t>
  </si>
  <si>
    <t>53.66</t>
  </si>
  <si>
    <t>18.04</t>
  </si>
  <si>
    <t>35.46</t>
  </si>
  <si>
    <t>27.21</t>
  </si>
  <si>
    <t>29.08</t>
  </si>
  <si>
    <t>42.99</t>
  </si>
  <si>
    <t>1:19.21</t>
  </si>
  <si>
    <t>2:25.71</t>
  </si>
  <si>
    <t>1:19.17</t>
  </si>
  <si>
    <t>1:20.41</t>
  </si>
  <si>
    <t>1:18.34</t>
  </si>
  <si>
    <t>49.41</t>
  </si>
  <si>
    <t>42.02</t>
  </si>
  <si>
    <t>29.38</t>
  </si>
  <si>
    <t>28.64</t>
  </si>
  <si>
    <t>32.95</t>
  </si>
  <si>
    <t>1:16.72</t>
  </si>
  <si>
    <t>52.93</t>
  </si>
  <si>
    <t>42.50</t>
  </si>
  <si>
    <t>48.48</t>
  </si>
  <si>
    <t>27.41</t>
  </si>
  <si>
    <t>1:18.97</t>
  </si>
  <si>
    <t>1:20.59</t>
  </si>
  <si>
    <t>1:19.97</t>
  </si>
  <si>
    <t>11.33</t>
  </si>
  <si>
    <t>1:06.78</t>
  </si>
  <si>
    <t>1:21.08</t>
  </si>
  <si>
    <r>
      <rPr>
        <color rgb="FF1155CC"/>
        <sz val="9.0"/>
        <u/>
      </rPr>
      <t>5.7</t>
    </r>
    <r>
      <rPr>
        <color rgb="FF1155CC"/>
        <sz val="9.0"/>
        <u/>
      </rPr>
      <t>4</t>
    </r>
  </si>
  <si>
    <t>42.39</t>
  </si>
  <si>
    <t>1:29.11</t>
  </si>
  <si>
    <t>1:20.00</t>
  </si>
  <si>
    <t>3:43.25</t>
  </si>
  <si>
    <t>51.52</t>
  </si>
  <si>
    <t>34.43</t>
  </si>
  <si>
    <t>22.89</t>
  </si>
  <si>
    <t>49.32</t>
  </si>
  <si>
    <t>21.31</t>
  </si>
  <si>
    <t>2:01.15</t>
  </si>
  <si>
    <t>2:31.07</t>
  </si>
  <si>
    <t>2:45.298</t>
  </si>
  <si>
    <t>2:26.12</t>
  </si>
  <si>
    <t>21.93</t>
  </si>
  <si>
    <t>17.97</t>
  </si>
  <si>
    <t>4:24.37</t>
  </si>
  <si>
    <t>1:11.05</t>
  </si>
  <si>
    <t>45.03</t>
  </si>
  <si>
    <t>2:12.90</t>
  </si>
  <si>
    <t>1:04.91</t>
  </si>
  <si>
    <t>53.87</t>
  </si>
  <si>
    <t>28.03</t>
  </si>
  <si>
    <t>1:40.26</t>
  </si>
  <si>
    <t>1:25.64</t>
  </si>
  <si>
    <t>32.77</t>
  </si>
  <si>
    <t xml:space="preserve">  Inside</t>
  </si>
  <si>
    <t>1:31.75</t>
  </si>
  <si>
    <t>1:13.73</t>
  </si>
  <si>
    <t>[1] Y-cam</t>
  </si>
  <si>
    <t>11.81</t>
  </si>
  <si>
    <t>49.98</t>
  </si>
  <si>
    <t>52.05</t>
  </si>
  <si>
    <t>29.82</t>
  </si>
  <si>
    <t>15.59</t>
  </si>
  <si>
    <t>1:12.08</t>
  </si>
  <si>
    <t>29.48</t>
  </si>
  <si>
    <t>1:10.19</t>
  </si>
  <si>
    <t>1:09.49</t>
  </si>
  <si>
    <t>1:13.43</t>
  </si>
  <si>
    <t>27.37</t>
  </si>
  <si>
    <t>1:35.08</t>
  </si>
  <si>
    <t>1:44.04</t>
  </si>
  <si>
    <t>42.31</t>
  </si>
  <si>
    <t>12.61</t>
  </si>
  <si>
    <t>29.52</t>
  </si>
  <si>
    <t>44.20</t>
  </si>
  <si>
    <t>Noki Doki</t>
  </si>
  <si>
    <t>50.16</t>
  </si>
  <si>
    <t>27.04</t>
  </si>
  <si>
    <t>1:49.23</t>
  </si>
  <si>
    <t>52.018</t>
  </si>
  <si>
    <t>2:17.43</t>
  </si>
  <si>
    <t>1:21.20</t>
  </si>
  <si>
    <t>4:27.57</t>
  </si>
  <si>
    <t>1:02.92</t>
  </si>
  <si>
    <t>35.79</t>
  </si>
  <si>
    <t>1:30.11</t>
  </si>
  <si>
    <t>42.308</t>
  </si>
  <si>
    <t>42.72</t>
  </si>
  <si>
    <t>1:34.45</t>
  </si>
  <si>
    <t>1:30.51</t>
  </si>
  <si>
    <t>51.10</t>
  </si>
  <si>
    <t>Pokepowerz</t>
  </si>
  <si>
    <t>21.14</t>
  </si>
  <si>
    <t>37.46</t>
  </si>
  <si>
    <t>22.70</t>
  </si>
  <si>
    <t>1:25.22</t>
  </si>
  <si>
    <t>21.30</t>
  </si>
  <si>
    <t>52.57</t>
  </si>
  <si>
    <t>1:16.18</t>
  </si>
  <si>
    <t>47.45</t>
  </si>
  <si>
    <t>30.93</t>
  </si>
  <si>
    <t>1:11.071</t>
  </si>
  <si>
    <t>11.16</t>
  </si>
  <si>
    <t>FLUDDKoopa64</t>
  </si>
  <si>
    <t>1:20.013</t>
  </si>
  <si>
    <t>24.42</t>
  </si>
  <si>
    <t xml:space="preserve">  [2] backflip</t>
  </si>
  <si>
    <t>31.95</t>
  </si>
  <si>
    <t>25.00</t>
  </si>
  <si>
    <t>49.47</t>
  </si>
  <si>
    <t>22.77</t>
  </si>
  <si>
    <t>23.26</t>
  </si>
  <si>
    <t>25.27</t>
  </si>
  <si>
    <t>Orange</t>
  </si>
  <si>
    <t>27.95</t>
  </si>
  <si>
    <t>25.37</t>
  </si>
  <si>
    <t>20.01</t>
  </si>
  <si>
    <t>24.54</t>
  </si>
  <si>
    <t>1:00.60</t>
  </si>
  <si>
    <t>49.48</t>
  </si>
  <si>
    <t>10338</t>
  </si>
  <si>
    <t>20</t>
  </si>
  <si>
    <t>15</t>
  </si>
  <si>
    <t>1:16.23</t>
  </si>
  <si>
    <t>16</t>
  </si>
  <si>
    <t>50.40</t>
  </si>
  <si>
    <t>113</t>
  </si>
  <si>
    <t>49.43</t>
  </si>
  <si>
    <t>115</t>
  </si>
  <si>
    <t>28.46</t>
  </si>
  <si>
    <t>49.95</t>
  </si>
  <si>
    <t>49.83</t>
  </si>
  <si>
    <t>50.650</t>
  </si>
  <si>
    <t>Sm27</t>
  </si>
  <si>
    <t>978</t>
  </si>
  <si>
    <t>49.63</t>
  </si>
  <si>
    <t>27</t>
  </si>
  <si>
    <t>50.26</t>
  </si>
  <si>
    <t>1:18.54</t>
  </si>
  <si>
    <t>49.56</t>
  </si>
  <si>
    <t>49.66</t>
  </si>
  <si>
    <t>45</t>
  </si>
  <si>
    <t>54</t>
  </si>
  <si>
    <t>51.86</t>
  </si>
  <si>
    <t>36.57</t>
  </si>
  <si>
    <t>49.52</t>
  </si>
  <si>
    <t>49.46</t>
  </si>
  <si>
    <t>49.59</t>
  </si>
  <si>
    <t>13.63</t>
  </si>
  <si>
    <t>1:19.64</t>
  </si>
  <si>
    <t>49.50</t>
  </si>
  <si>
    <t>1:03.85</t>
  </si>
  <si>
    <t>42.01</t>
  </si>
  <si>
    <t>49.53</t>
  </si>
  <si>
    <t>49.82</t>
  </si>
  <si>
    <t>1:09.62</t>
  </si>
  <si>
    <t>2:10.06</t>
  </si>
  <si>
    <t>1:06.85</t>
  </si>
  <si>
    <t>1:09.15</t>
  </si>
  <si>
    <t>2:43.49</t>
  </si>
  <si>
    <t>37.99</t>
  </si>
  <si>
    <t>15.96</t>
  </si>
  <si>
    <t xml:space="preserve">  Outside</t>
  </si>
  <si>
    <t>[1,1] ledgegrab (6 wallkicks)</t>
  </si>
  <si>
    <t>30.62</t>
  </si>
  <si>
    <t>55.71</t>
  </si>
  <si>
    <t>30.42</t>
  </si>
  <si>
    <t>31.96</t>
  </si>
  <si>
    <t>44.33</t>
  </si>
  <si>
    <t>1:31.31</t>
  </si>
  <si>
    <t>33.333</t>
  </si>
  <si>
    <t>17.34</t>
  </si>
  <si>
    <t>2:50.904</t>
  </si>
  <si>
    <t>30.96</t>
  </si>
  <si>
    <t>43.39</t>
  </si>
  <si>
    <t>31.33</t>
  </si>
  <si>
    <t>1:06.65</t>
  </si>
  <si>
    <t>1:46.20</t>
  </si>
  <si>
    <t>31.52</t>
  </si>
  <si>
    <t>52.04</t>
  </si>
  <si>
    <t>1:15.26</t>
  </si>
  <si>
    <t>34.20</t>
  </si>
  <si>
    <t>2:13.52</t>
  </si>
  <si>
    <t>[1,2] ledgegrab (5 wallkicks)</t>
  </si>
  <si>
    <t>1:11.237</t>
  </si>
  <si>
    <t>30.52</t>
  </si>
  <si>
    <t>49.45</t>
  </si>
  <si>
    <t>31.81</t>
  </si>
  <si>
    <t>34.367</t>
  </si>
  <si>
    <t>51.60</t>
  </si>
  <si>
    <t>16.08</t>
  </si>
  <si>
    <t>1:09.803</t>
  </si>
  <si>
    <t>18.94</t>
  </si>
  <si>
    <t>14.34</t>
  </si>
  <si>
    <t>43.96</t>
  </si>
  <si>
    <t>43.05</t>
  </si>
  <si>
    <t>2:51.17</t>
  </si>
  <si>
    <t>27.65</t>
  </si>
  <si>
    <t>29.65</t>
  </si>
  <si>
    <t>50.483</t>
  </si>
  <si>
    <t>54.68</t>
  </si>
  <si>
    <t>27.85</t>
  </si>
  <si>
    <t>30.09</t>
  </si>
  <si>
    <t>59.55</t>
  </si>
  <si>
    <t>30.57</t>
  </si>
  <si>
    <t>34.200</t>
  </si>
  <si>
    <t>1:34.03</t>
  </si>
  <si>
    <t>1:12.79</t>
  </si>
  <si>
    <t>15.00</t>
  </si>
  <si>
    <t>16.93</t>
  </si>
  <si>
    <t>28.86</t>
  </si>
  <si>
    <t>36.79</t>
  </si>
  <si>
    <t>1:03.58</t>
  </si>
  <si>
    <t>1:23.28</t>
  </si>
  <si>
    <t>28.30</t>
  </si>
  <si>
    <t>1:29.18</t>
  </si>
  <si>
    <t>1:59.57</t>
  </si>
  <si>
    <t>1:38.91</t>
  </si>
  <si>
    <t>Episode 3 (Full)</t>
  </si>
  <si>
    <t>[1] triple jump</t>
  </si>
  <si>
    <t>37.14</t>
  </si>
  <si>
    <t>2:02.81</t>
  </si>
  <si>
    <t>38.94</t>
  </si>
  <si>
    <t>37.31</t>
  </si>
  <si>
    <t>18.07</t>
  </si>
  <si>
    <t>15.46</t>
  </si>
  <si>
    <t>4:23.27</t>
  </si>
  <si>
    <t>38.01</t>
  </si>
  <si>
    <t>1:38.83</t>
  </si>
  <si>
    <t>2:58.22</t>
  </si>
  <si>
    <t>37.904</t>
  </si>
  <si>
    <t>1:12.18</t>
  </si>
  <si>
    <t>39.60</t>
  </si>
  <si>
    <t>38.80</t>
  </si>
  <si>
    <t>1:03.66</t>
  </si>
  <si>
    <t>38.972</t>
  </si>
  <si>
    <t>44.68</t>
  </si>
  <si>
    <t>24.95</t>
  </si>
  <si>
    <t>37.61</t>
  </si>
  <si>
    <t>37.60</t>
  </si>
  <si>
    <t>37.85</t>
  </si>
  <si>
    <t>34.02</t>
  </si>
  <si>
    <t>37.98</t>
  </si>
  <si>
    <t>8.54</t>
  </si>
  <si>
    <t>37.84</t>
  </si>
  <si>
    <t>39.39</t>
  </si>
  <si>
    <t>53.67</t>
  </si>
  <si>
    <r>
      <rPr>
        <rFont val="arial,sans,sans-serif"/>
        <color rgb="FF1155CC"/>
        <sz val="9.0"/>
        <u/>
      </rPr>
      <t>28.</t>
    </r>
    <r>
      <rPr>
        <rFont val="arial,sans,sans-serif"/>
        <color rgb="FF1155CC"/>
        <sz val="9.0"/>
        <u/>
      </rPr>
      <t>52</t>
    </r>
  </si>
  <si>
    <t>38.61</t>
  </si>
  <si>
    <t>17.83</t>
  </si>
  <si>
    <r>
      <rPr>
        <rFont val="arial,sans,sans-serif"/>
        <color rgb="FF000000"/>
        <sz val="9.0"/>
        <u/>
      </rPr>
      <t>1:47.</t>
    </r>
    <r>
      <rPr>
        <rFont val="arial,sans,sans-serif"/>
        <color rgb="FF000000"/>
        <sz val="9.0"/>
        <u/>
      </rPr>
      <t>47</t>
    </r>
  </si>
  <si>
    <t>39.19</t>
  </si>
  <si>
    <t>39.64</t>
  </si>
  <si>
    <r>
      <rPr>
        <rFont val="arial,sans,sans-serif"/>
        <color rgb="FF000000"/>
        <sz val="9.0"/>
        <u/>
      </rPr>
      <t>1:12.</t>
    </r>
    <r>
      <rPr>
        <rFont val="arial,sans,sans-serif"/>
        <color rgb="FF000000"/>
        <sz val="9.0"/>
      </rPr>
      <t>67</t>
    </r>
  </si>
  <si>
    <t xml:space="preserve">  [2] jump-dive</t>
  </si>
  <si>
    <t>36.53</t>
  </si>
  <si>
    <t>2:38.60</t>
  </si>
  <si>
    <t>28.58</t>
  </si>
  <si>
    <t>36.70</t>
  </si>
  <si>
    <t>1:00.81</t>
  </si>
  <si>
    <t>43.09</t>
  </si>
  <si>
    <t>37.34</t>
  </si>
  <si>
    <t>23.49</t>
  </si>
  <si>
    <t>41.72</t>
  </si>
  <si>
    <t>1:44.33</t>
  </si>
  <si>
    <t>2:14.83</t>
  </si>
  <si>
    <t>28.29</t>
  </si>
  <si>
    <t>1:20.36</t>
  </si>
  <si>
    <t>48.77</t>
  </si>
  <si>
    <t>36.54</t>
  </si>
  <si>
    <t>1:43.103</t>
  </si>
  <si>
    <t>41.70</t>
  </si>
  <si>
    <t>42.67</t>
  </si>
  <si>
    <t>37.18</t>
  </si>
  <si>
    <t>37.30</t>
  </si>
  <si>
    <t>1:03.82</t>
  </si>
  <si>
    <t>28.55</t>
  </si>
  <si>
    <t>37.68</t>
  </si>
  <si>
    <t>39.44</t>
  </si>
  <si>
    <t>37.33</t>
  </si>
  <si>
    <t>44.27</t>
  </si>
  <si>
    <t>38.104</t>
  </si>
  <si>
    <t>1:08.26</t>
  </si>
  <si>
    <t>52.64</t>
  </si>
  <si>
    <t>37.07</t>
  </si>
  <si>
    <t>1:19.50</t>
  </si>
  <si>
    <t>41.06</t>
  </si>
  <si>
    <t>25.60</t>
  </si>
  <si>
    <t>37.81</t>
  </si>
  <si>
    <t>37.04</t>
  </si>
  <si>
    <t>46.37</t>
  </si>
  <si>
    <t>1:01.58</t>
  </si>
  <si>
    <t>1:17.66</t>
  </si>
  <si>
    <t>37.15</t>
  </si>
  <si>
    <t>37.44</t>
  </si>
  <si>
    <t>24.98</t>
  </si>
  <si>
    <t>28.32</t>
  </si>
  <si>
    <t>36.88</t>
  </si>
  <si>
    <t>37.78</t>
  </si>
  <si>
    <t>1:15.20</t>
  </si>
  <si>
    <t>43.44</t>
  </si>
  <si>
    <t>37.94</t>
  </si>
  <si>
    <t>10.42</t>
  </si>
  <si>
    <t>966</t>
  </si>
  <si>
    <t>23</t>
  </si>
  <si>
    <t>39</t>
  </si>
  <si>
    <t>48</t>
  </si>
  <si>
    <t>1:07.13</t>
  </si>
  <si>
    <t>51.64</t>
  </si>
  <si>
    <t>42.96</t>
  </si>
  <si>
    <t>1:22.89</t>
  </si>
  <si>
    <t>14.26</t>
  </si>
  <si>
    <t>1:30.08</t>
  </si>
  <si>
    <t>1:07.33</t>
  </si>
  <si>
    <t>14.20</t>
  </si>
  <si>
    <t>1:23.70</t>
  </si>
  <si>
    <t>2:50.56</t>
  </si>
  <si>
    <t>14.314</t>
  </si>
  <si>
    <t>1:22.44</t>
  </si>
  <si>
    <t>1:27.20</t>
  </si>
  <si>
    <t>29.26</t>
  </si>
  <si>
    <t>14.33</t>
  </si>
  <si>
    <t>14.29</t>
  </si>
  <si>
    <t>1:32.08</t>
  </si>
  <si>
    <t>50.80</t>
  </si>
  <si>
    <t>15.86</t>
  </si>
  <si>
    <t>14.21</t>
  </si>
  <si>
    <t>29.34</t>
  </si>
  <si>
    <t>14.40</t>
  </si>
  <si>
    <t>14.23</t>
  </si>
  <si>
    <t>1:03.02</t>
  </si>
  <si>
    <t>14.43</t>
  </si>
  <si>
    <t>22.29</t>
  </si>
  <si>
    <t>2:57.30</t>
  </si>
  <si>
    <t>41.66</t>
  </si>
  <si>
    <t>14.31</t>
  </si>
  <si>
    <t>1:15.63</t>
  </si>
  <si>
    <t>47.95</t>
  </si>
  <si>
    <t>14.30</t>
  </si>
  <si>
    <t>14.19</t>
  </si>
  <si>
    <t>20.54</t>
  </si>
  <si>
    <t>14.37</t>
  </si>
  <si>
    <t>1:13.14</t>
  </si>
  <si>
    <t>1:55.68</t>
  </si>
  <si>
    <t>53.44</t>
  </si>
  <si>
    <t>1:12.63</t>
  </si>
  <si>
    <t>18.33</t>
  </si>
  <si>
    <t>13.79</t>
  </si>
  <si>
    <t>2:34.91</t>
  </si>
  <si>
    <t>13.81</t>
  </si>
  <si>
    <t>40.27</t>
  </si>
  <si>
    <t>2:30.91</t>
  </si>
  <si>
    <t>13.93</t>
  </si>
  <si>
    <t>13.80</t>
  </si>
  <si>
    <t>3:00.77</t>
  </si>
  <si>
    <t>21.48</t>
  </si>
  <si>
    <t>13.87</t>
  </si>
  <si>
    <t>13.94</t>
  </si>
  <si>
    <t>50.30</t>
  </si>
  <si>
    <t>13.96</t>
  </si>
  <si>
    <t>45.29</t>
  </si>
  <si>
    <t>14.247</t>
  </si>
  <si>
    <t>35.25</t>
  </si>
  <si>
    <t>2:17.04</t>
  </si>
  <si>
    <t>53.77</t>
  </si>
  <si>
    <t>1:53.14</t>
  </si>
  <si>
    <t>27.48</t>
  </si>
  <si>
    <t>13.82</t>
  </si>
  <si>
    <t>1:53.41</t>
  </si>
  <si>
    <t>14.11</t>
  </si>
  <si>
    <t>13.90</t>
  </si>
  <si>
    <t>33.03</t>
  </si>
  <si>
    <t>13.51</t>
  </si>
  <si>
    <t>13.88</t>
  </si>
  <si>
    <t>1:31.94</t>
  </si>
  <si>
    <t>1:25.71</t>
  </si>
  <si>
    <t>13.86</t>
  </si>
  <si>
    <t>11.57</t>
  </si>
  <si>
    <t>1:30.64</t>
  </si>
  <si>
    <t>13.83</t>
  </si>
  <si>
    <t>2:10.38</t>
  </si>
  <si>
    <t>28.25</t>
  </si>
  <si>
    <t>[1] no one-slide</t>
  </si>
  <si>
    <t>22.18</t>
  </si>
  <si>
    <t>1:11.66</t>
  </si>
  <si>
    <t>4:23.10</t>
  </si>
  <si>
    <t>3:03.33</t>
  </si>
  <si>
    <t>28.98</t>
  </si>
  <si>
    <t>22.57</t>
  </si>
  <si>
    <t>22.54</t>
  </si>
  <si>
    <t>22.45</t>
  </si>
  <si>
    <t>22.772</t>
  </si>
  <si>
    <t>32.48</t>
  </si>
  <si>
    <t>1:11.59</t>
  </si>
  <si>
    <t>22.41</t>
  </si>
  <si>
    <t>1:45.53</t>
  </si>
  <si>
    <t>26.21</t>
  </si>
  <si>
    <t xml:space="preserve">  [2] one-slide</t>
  </si>
  <si>
    <t>21.78</t>
  </si>
  <si>
    <t>1:43.43</t>
  </si>
  <si>
    <t>41.43</t>
  </si>
  <si>
    <t>21.90</t>
  </si>
  <si>
    <t>22.24</t>
  </si>
  <si>
    <t>21.85</t>
  </si>
  <si>
    <t>21.81</t>
  </si>
  <si>
    <t>1:11.97</t>
  </si>
  <si>
    <t>22.17</t>
  </si>
  <si>
    <t>22.01</t>
  </si>
  <si>
    <t>12.41</t>
  </si>
  <si>
    <t>22.489</t>
  </si>
  <si>
    <t>2:52.16</t>
  </si>
  <si>
    <t>28.61</t>
  </si>
  <si>
    <t>21.84</t>
  </si>
  <si>
    <t>1:02.61</t>
  </si>
  <si>
    <t>43.46</t>
  </si>
  <si>
    <t>22.22</t>
  </si>
  <si>
    <t>21.91</t>
  </si>
  <si>
    <t>22.15</t>
  </si>
  <si>
    <t>22.11</t>
  </si>
  <si>
    <t>26.94</t>
  </si>
  <si>
    <t>1:40.03</t>
  </si>
  <si>
    <t>26.14</t>
  </si>
  <si>
    <t>2:20.23</t>
  </si>
  <si>
    <t>Episode 4</t>
  </si>
  <si>
    <t>[1] no grass-slide, no rope speedspin</t>
  </si>
  <si>
    <t>44.66</t>
  </si>
  <si>
    <t>1:24.38</t>
  </si>
  <si>
    <t>45.43</t>
  </si>
  <si>
    <t>44.89</t>
  </si>
  <si>
    <t>1:41.99</t>
  </si>
  <si>
    <t>17.40</t>
  </si>
  <si>
    <t>1:48.58</t>
  </si>
  <si>
    <t>47.13</t>
  </si>
  <si>
    <t>45.98</t>
  </si>
  <si>
    <t>47.16</t>
  </si>
  <si>
    <t>1:17.59</t>
  </si>
  <si>
    <t>41.47</t>
  </si>
  <si>
    <t>48.581</t>
  </si>
  <si>
    <t>36.20</t>
  </si>
  <si>
    <t>1:04.85</t>
  </si>
  <si>
    <t>44.86</t>
  </si>
  <si>
    <t>1:09.26</t>
  </si>
  <si>
    <t>1:17.81</t>
  </si>
  <si>
    <r>
      <rPr>
        <color rgb="FF1155CC"/>
        <sz val="9.0"/>
        <u/>
      </rPr>
      <t>38.8</t>
    </r>
    <r>
      <rPr>
        <color rgb="FF1155CC"/>
        <sz val="9.0"/>
      </rPr>
      <t>6</t>
    </r>
  </si>
  <si>
    <t>24.73</t>
  </si>
  <si>
    <t>54.70</t>
  </si>
  <si>
    <t>58.51</t>
  </si>
  <si>
    <t>1:30.14</t>
  </si>
  <si>
    <t xml:space="preserve">  [2] grass-slide, no rope speedspin</t>
  </si>
  <si>
    <t>1:17.93</t>
  </si>
  <si>
    <t>43.53</t>
  </si>
  <si>
    <t>42.82</t>
  </si>
  <si>
    <t>43.67</t>
  </si>
  <si>
    <t>878</t>
  </si>
  <si>
    <t>1:32.21</t>
  </si>
  <si>
    <t>41</t>
  </si>
  <si>
    <t xml:space="preserve"> </t>
  </si>
  <si>
    <t>43.90</t>
  </si>
  <si>
    <t>1:31.24</t>
  </si>
  <si>
    <t>1:07.97</t>
  </si>
  <si>
    <t>47.51</t>
  </si>
  <si>
    <t>45.86</t>
  </si>
  <si>
    <t>1:15.21</t>
  </si>
  <si>
    <t>20.84</t>
  </si>
  <si>
    <t xml:space="preserve">    [3] grass-slide, rope speedspin</t>
  </si>
  <si>
    <r>
      <rPr>
        <rFont val="arial,sans,sans-serif"/>
        <color rgb="FF000000"/>
        <sz val="9.0"/>
      </rPr>
      <t>3:13.0</t>
    </r>
    <r>
      <rPr>
        <rFont val="arial,sans,sans-serif"/>
        <color rgb="FF000000"/>
        <sz val="9.0"/>
      </rPr>
      <t>9</t>
    </r>
  </si>
  <si>
    <t>42.03</t>
  </si>
  <si>
    <t>23.36</t>
  </si>
  <si>
    <t>42.57</t>
  </si>
  <si>
    <t>1:27.58</t>
  </si>
  <si>
    <t>42.98</t>
  </si>
  <si>
    <t>16.27</t>
  </si>
  <si>
    <t>3:11.22</t>
  </si>
  <si>
    <t>42.24</t>
  </si>
  <si>
    <t>1:43.52</t>
  </si>
  <si>
    <t>21.19</t>
  </si>
  <si>
    <t>43.97</t>
  </si>
  <si>
    <t>1:14.53</t>
  </si>
  <si>
    <t>1:15.74</t>
  </si>
  <si>
    <t>44.00</t>
  </si>
  <si>
    <t>1:14.61</t>
  </si>
  <si>
    <t>53.57</t>
  </si>
  <si>
    <t>30.41</t>
  </si>
  <si>
    <t>43.76</t>
  </si>
  <si>
    <t>1:11.12</t>
  </si>
  <si>
    <t>10.69</t>
  </si>
  <si>
    <t>42.89</t>
  </si>
  <si>
    <t>18.37</t>
  </si>
  <si>
    <t>Misc ILs</t>
  </si>
  <si>
    <t>42.36</t>
  </si>
  <si>
    <t>31.92</t>
  </si>
  <si>
    <t>42.65</t>
  </si>
  <si>
    <t>41.60</t>
  </si>
  <si>
    <t>43.79</t>
  </si>
  <si>
    <t>43.80</t>
  </si>
  <si>
    <t>44.37</t>
  </si>
  <si>
    <t>43.84</t>
  </si>
  <si>
    <t>3:01.37</t>
  </si>
  <si>
    <t>100 Coin Shines</t>
  </si>
  <si>
    <t>43.92</t>
  </si>
  <si>
    <t>22.74</t>
  </si>
  <si>
    <t>Special Shines</t>
  </si>
  <si>
    <t>45.83</t>
  </si>
  <si>
    <t>1:25.89</t>
  </si>
  <si>
    <t>28.04</t>
  </si>
  <si>
    <t>Blue Coins</t>
  </si>
  <si>
    <t>52.26</t>
  </si>
  <si>
    <t>44.42</t>
  </si>
  <si>
    <t>45.78</t>
  </si>
  <si>
    <t>RTA Rushes</t>
  </si>
  <si>
    <t>100 Coins + Blues Combos</t>
  </si>
  <si>
    <t>25.17</t>
  </si>
  <si>
    <t>Hidden Reds Hoverless</t>
  </si>
  <si>
    <r>
      <rPr>
        <rFont val="arial,sans,sans-serif"/>
        <color rgb="FF000000"/>
        <sz val="9.0"/>
      </rPr>
      <t>1:0</t>
    </r>
    <r>
      <rPr>
        <rFont val="arial,sans,sans-serif"/>
        <color rgb="FF000000"/>
        <sz val="9.0"/>
      </rPr>
      <t>9.79</t>
    </r>
  </si>
  <si>
    <t>50 Coins</t>
  </si>
  <si>
    <t>1:45.55</t>
  </si>
  <si>
    <t>1:37.97</t>
  </si>
  <si>
    <t>Nozzle Rushes</t>
  </si>
  <si>
    <t>26.98</t>
  </si>
  <si>
    <t>16.48</t>
  </si>
  <si>
    <t>Blue Coins (10 Shines No Shines)</t>
  </si>
  <si>
    <t>Episode 5</t>
  </si>
  <si>
    <t>[1] log triplejump</t>
  </si>
  <si>
    <t>24.56</t>
  </si>
  <si>
    <t>Legacy Goals</t>
  </si>
  <si>
    <t>1:36.78</t>
  </si>
  <si>
    <t>20 Shines</t>
  </si>
  <si>
    <t>25.11</t>
  </si>
  <si>
    <t>1:45.51</t>
  </si>
  <si>
    <t>25.492</t>
  </si>
  <si>
    <t>2:07.82</t>
  </si>
  <si>
    <r>
      <rPr>
        <rFont val="arial,sans,sans-serif"/>
        <b/>
        <color rgb="FFFFFFFF"/>
        <sz val="10.0"/>
      </rPr>
      <t xml:space="preserve">Entries
</t>
    </r>
    <r>
      <rPr>
        <rFont val="arial,sans,sans-serif"/>
        <b val="0"/>
        <i/>
        <color rgb="FFFFFFFF"/>
        <sz val="10.0"/>
      </rPr>
      <t>(Video)</t>
    </r>
  </si>
  <si>
    <t>20.11</t>
  </si>
  <si>
    <t>Bianco 1</t>
  </si>
  <si>
    <t>Bianco 3</t>
  </si>
  <si>
    <t>Bianco 4</t>
  </si>
  <si>
    <t>Ricco 1</t>
  </si>
  <si>
    <t>14.62</t>
  </si>
  <si>
    <t>Ricco 2</t>
  </si>
  <si>
    <t>Ricco 4
(In A Secret)</t>
  </si>
  <si>
    <t>Ricco 5</t>
  </si>
  <si>
    <t>Gelato 1</t>
  </si>
  <si>
    <t>Gelato 2</t>
  </si>
  <si>
    <t>Pinna 2</t>
  </si>
  <si>
    <t>24.44</t>
  </si>
  <si>
    <t>Sirena 1</t>
  </si>
  <si>
    <t>Sirena 4</t>
  </si>
  <si>
    <t>Noki 1</t>
  </si>
  <si>
    <t>Pianta 1</t>
  </si>
  <si>
    <t>3:05.97</t>
  </si>
  <si>
    <t>Pianta 5
(In A Secret)</t>
  </si>
  <si>
    <t>Bianco 4 Fluddless</t>
  </si>
  <si>
    <t>Bianco 4 Hoverless</t>
  </si>
  <si>
    <t>Ricco 3 Hoverless</t>
  </si>
  <si>
    <t>Pinna 3 + 10 Yellow Button Coins</t>
  </si>
  <si>
    <t>6.49</t>
  </si>
  <si>
    <t>Pinna 3 Hoverless</t>
  </si>
  <si>
    <t>1:06.36</t>
  </si>
  <si>
    <t>Wiggler + 10 Yellow Button Coins</t>
  </si>
  <si>
    <t>Pinna 5
From Back
Hoverless</t>
  </si>
  <si>
    <t xml:space="preserve">  [2] Zeldo Kick</t>
  </si>
  <si>
    <t>Pianta 3 Damageless</t>
  </si>
  <si>
    <t>22.91</t>
  </si>
  <si>
    <t>Noki 2 Jumpless</t>
  </si>
  <si>
    <t>Noki 2
(Blooper)</t>
  </si>
  <si>
    <t>Underbell with Fruit</t>
  </si>
  <si>
    <t>Right Bell (Yoshi)</t>
  </si>
  <si>
    <t>33.39</t>
  </si>
  <si>
    <t>Lighthouse (Yoshi)</t>
  </si>
  <si>
    <t>Anonymous 3</t>
  </si>
  <si>
    <t>Lighthouse (Infinite Wall Kicks)</t>
  </si>
  <si>
    <t>Jail Secret
(Hover)</t>
  </si>
  <si>
    <t>Sand Bird with Turbo Nozzle</t>
  </si>
  <si>
    <t>1:13.65</t>
  </si>
  <si>
    <t>10072</t>
  </si>
  <si>
    <t>11 in Delfino  (Pre Statue)</t>
  </si>
  <si>
    <t>3 Fruit Ladies</t>
  </si>
  <si>
    <t>4 Fruit Ladies</t>
  </si>
  <si>
    <t>24.591</t>
  </si>
  <si>
    <t>15* in
Bianco 3</t>
  </si>
  <si>
    <t>15* in Bianco 3 (Spicy Pizza Route)</t>
  </si>
  <si>
    <t>20* in
Bianco 4</t>
  </si>
  <si>
    <t>20 in
Ricco 1</t>
  </si>
  <si>
    <t>23 in
Ricco 1</t>
  </si>
  <si>
    <t>2:45.55</t>
  </si>
  <si>
    <t>15 in
Gelato 1</t>
  </si>
  <si>
    <t>20 in
Gelato 1</t>
  </si>
  <si>
    <t>1:02.48</t>
  </si>
  <si>
    <t>16 in
Pinna 1</t>
  </si>
  <si>
    <t>20 in
Pinna 1</t>
  </si>
  <si>
    <t>7 from Pinna Beach</t>
  </si>
  <si>
    <t>9* in
Sirena 2</t>
  </si>
  <si>
    <t>12 in
Sirena 3</t>
  </si>
  <si>
    <t>18 in
Sirena 4</t>
  </si>
  <si>
    <t>12 in
Noki 1</t>
  </si>
  <si>
    <t>16 in
Noki 1</t>
  </si>
  <si>
    <t>20 in Noki 1</t>
  </si>
  <si>
    <t xml:space="preserve">16* in
Pianta 3 </t>
  </si>
  <si>
    <t>150 Yellow Coins from Delfino</t>
  </si>
  <si>
    <t>1:44.43</t>
  </si>
  <si>
    <t>27.35</t>
  </si>
  <si>
    <t>11</t>
  </si>
  <si>
    <t>15 Blues from Delfino</t>
  </si>
  <si>
    <t>3 Reds Rush</t>
  </si>
  <si>
    <t>2 100 Coin Shines</t>
  </si>
  <si>
    <t>18 Lives</t>
  </si>
  <si>
    <t>16 Blues from Pianta</t>
  </si>
  <si>
    <t>15 M's Rush</t>
  </si>
  <si>
    <t>17 M's Rush</t>
  </si>
  <si>
    <t>5 NPC Blues</t>
  </si>
  <si>
    <t>3 Shines from Blue Trades</t>
  </si>
  <si>
    <t>Bianco 100
15 Blues</t>
  </si>
  <si>
    <t>1:34.25</t>
  </si>
  <si>
    <t>Gelato 100
15 Blues</t>
  </si>
  <si>
    <t>Ricco 100
23 Blues</t>
  </si>
  <si>
    <t>Sirena 100
18 Blues</t>
  </si>
  <si>
    <t>Noki 100
16 Blues</t>
  </si>
  <si>
    <t>Bianco 3R (Rocket)</t>
  </si>
  <si>
    <t>Ricco 4R
(Rocket)</t>
  </si>
  <si>
    <t>Gelato 1R
(Spray Only)</t>
  </si>
  <si>
    <t>Pinna 2R</t>
  </si>
  <si>
    <t>Pinna 6R</t>
  </si>
  <si>
    <t>Pianta 5R</t>
  </si>
  <si>
    <t>Sirena 2R</t>
  </si>
  <si>
    <t>Sirena 4R</t>
  </si>
  <si>
    <t>Noki 6R</t>
  </si>
  <si>
    <t>1:52.47</t>
  </si>
  <si>
    <t>Pianta 3 + Shine</t>
  </si>
  <si>
    <t>Pianta 5</t>
  </si>
  <si>
    <t>Bianco Turbo (4)</t>
  </si>
  <si>
    <t>Ricco Rocket (3)</t>
  </si>
  <si>
    <t>Noki Rocket (1)</t>
  </si>
  <si>
    <t>13 in
Bianco 1</t>
  </si>
  <si>
    <t>14 in
Pianta 1</t>
  </si>
  <si>
    <t>41.23</t>
  </si>
  <si>
    <t>3 in
Sirena 1</t>
  </si>
  <si>
    <t>37.52</t>
  </si>
  <si>
    <t>22 in
Gelato 1</t>
  </si>
  <si>
    <t>Sirena 3
(No Clipping)</t>
  </si>
  <si>
    <t>Gold Bird
(No Turbo)</t>
  </si>
  <si>
    <t>44.17</t>
  </si>
  <si>
    <t>1:13.22</t>
  </si>
  <si>
    <t>774</t>
  </si>
  <si>
    <t>25</t>
  </si>
  <si>
    <t>92</t>
  </si>
  <si>
    <t>3:51.53</t>
  </si>
  <si>
    <t>1:16.xx</t>
  </si>
  <si>
    <t>13.67</t>
  </si>
  <si>
    <t>848</t>
  </si>
  <si>
    <t>26</t>
  </si>
  <si>
    <t>2:38.158</t>
  </si>
  <si>
    <t>52.59</t>
  </si>
  <si>
    <t>2:36.756</t>
  </si>
  <si>
    <t>1:19.94</t>
  </si>
  <si>
    <t xml:space="preserve">    [3] rope-Y</t>
  </si>
  <si>
    <t>2:58.845</t>
  </si>
  <si>
    <t>41.76</t>
  </si>
  <si>
    <t>2:25.445</t>
  </si>
  <si>
    <t>1:21.98</t>
  </si>
  <si>
    <t>1:09.83</t>
  </si>
  <si>
    <t>1:17.06</t>
  </si>
  <si>
    <t>2:48.368</t>
  </si>
  <si>
    <t>2:32.519</t>
  </si>
  <si>
    <t>3:14.55</t>
  </si>
  <si>
    <t>3:13.960</t>
  </si>
  <si>
    <t>2:13.99</t>
  </si>
  <si>
    <t>3:05.752</t>
  </si>
  <si>
    <t>1:26.52</t>
  </si>
  <si>
    <t>23.79</t>
  </si>
  <si>
    <t>2:27.881</t>
  </si>
  <si>
    <t>23.556</t>
  </si>
  <si>
    <t>1:08.33</t>
  </si>
  <si>
    <t>3:17.630</t>
  </si>
  <si>
    <t>29.72</t>
  </si>
  <si>
    <t>38.22</t>
  </si>
  <si>
    <t>2:39.959</t>
  </si>
  <si>
    <t>23.50</t>
  </si>
  <si>
    <t>2:25.278</t>
  </si>
  <si>
    <t>15.98</t>
  </si>
  <si>
    <t>1:54.514</t>
  </si>
  <si>
    <t>3:05.63</t>
  </si>
  <si>
    <t xml:space="preserve">      [3] grass-slide triple-jump</t>
  </si>
  <si>
    <t>21.82</t>
  </si>
  <si>
    <t>2:28.715</t>
  </si>
  <si>
    <t>55.99</t>
  </si>
  <si>
    <t>52.30</t>
  </si>
  <si>
    <t>22.28</t>
  </si>
  <si>
    <t>1:47.16</t>
  </si>
  <si>
    <t>43.66</t>
  </si>
  <si>
    <t>49.77</t>
  </si>
  <si>
    <t>1:16.59</t>
  </si>
  <si>
    <t>22.05</t>
  </si>
  <si>
    <t>42.42</t>
  </si>
  <si>
    <t>27.88</t>
  </si>
  <si>
    <t>1:21.66</t>
  </si>
  <si>
    <t>22.49</t>
  </si>
  <si>
    <t>22.30</t>
  </si>
  <si>
    <t>1:13.98</t>
  </si>
  <si>
    <t>22.25</t>
  </si>
  <si>
    <t>1:02.18</t>
  </si>
  <si>
    <t>54.387</t>
  </si>
  <si>
    <t>41.13</t>
  </si>
  <si>
    <t>51.77</t>
  </si>
  <si>
    <t>51.351</t>
  </si>
  <si>
    <t>3:05.77</t>
  </si>
  <si>
    <t>2:04.01</t>
  </si>
  <si>
    <t>1:23.91</t>
  </si>
  <si>
    <t>Episode 6 (Full)</t>
  </si>
  <si>
    <t>53.47</t>
  </si>
  <si>
    <t>1:23.416</t>
  </si>
  <si>
    <t>[1] spin+Y, no GWKD</t>
  </si>
  <si>
    <t>35.45</t>
  </si>
  <si>
    <t>54.087</t>
  </si>
  <si>
    <t>49.60</t>
  </si>
  <si>
    <t>44.63</t>
  </si>
  <si>
    <t>1:03.89</t>
  </si>
  <si>
    <t>1:09.07</t>
  </si>
  <si>
    <t>33.75</t>
  </si>
  <si>
    <t>16.38</t>
  </si>
  <si>
    <t>1:12.94</t>
  </si>
  <si>
    <t>1:53.15</t>
  </si>
  <si>
    <t>1:44.72</t>
  </si>
  <si>
    <t>1:13.64</t>
  </si>
  <si>
    <t>43.610</t>
  </si>
  <si>
    <t>15.68</t>
  </si>
  <si>
    <t>1:00.68</t>
  </si>
  <si>
    <t>12.012</t>
  </si>
  <si>
    <t>43.58</t>
  </si>
  <si>
    <t xml:space="preserve">  [2] rollout+Y, no GWKD</t>
  </si>
  <si>
    <t>1:35.05</t>
  </si>
  <si>
    <t>1:11.14</t>
  </si>
  <si>
    <t>42.409</t>
  </si>
  <si>
    <t>51.017</t>
  </si>
  <si>
    <t>29.92</t>
  </si>
  <si>
    <t>1:11.75</t>
  </si>
  <si>
    <t>2:03.35</t>
  </si>
  <si>
    <t>1:25.385</t>
  </si>
  <si>
    <t>54.71</t>
  </si>
  <si>
    <t>26.593</t>
  </si>
  <si>
    <t>1:11.25</t>
  </si>
  <si>
    <t>14.39</t>
  </si>
  <si>
    <t>1:22.048</t>
  </si>
  <si>
    <t>1:37.92</t>
  </si>
  <si>
    <t>1:12,34</t>
  </si>
  <si>
    <t>1:15.775</t>
  </si>
  <si>
    <t>3:18.73</t>
  </si>
  <si>
    <t>1:34.327</t>
  </si>
  <si>
    <t>1:34.05</t>
  </si>
  <si>
    <t>1:35.83</t>
  </si>
  <si>
    <t>34.35</t>
  </si>
  <si>
    <t>2:16.870</t>
  </si>
  <si>
    <t xml:space="preserve">    [3,1] speedspin, no GWKD</t>
  </si>
  <si>
    <t>1:44.237</t>
  </si>
  <si>
    <t>1:10.31</t>
  </si>
  <si>
    <t>27.49</t>
  </si>
  <si>
    <t>1:36.996</t>
  </si>
  <si>
    <t>1:15.47</t>
  </si>
  <si>
    <t>43.87</t>
  </si>
  <si>
    <t>2:36.156</t>
  </si>
  <si>
    <t>1:10.20</t>
  </si>
  <si>
    <t>2:34.654</t>
  </si>
  <si>
    <t>2:54.21</t>
  </si>
  <si>
    <t>1:03.51</t>
  </si>
  <si>
    <t>1:10.47</t>
  </si>
  <si>
    <t>3:08.721</t>
  </si>
  <si>
    <t>2:03.923</t>
  </si>
  <si>
    <t>3:05.785</t>
  </si>
  <si>
    <t>22.92</t>
  </si>
  <si>
    <t>1:55.13</t>
  </si>
  <si>
    <t>1:13.77</t>
  </si>
  <si>
    <t>1:45.105</t>
  </si>
  <si>
    <t>1:41.16</t>
  </si>
  <si>
    <t>26.68</t>
  </si>
  <si>
    <t>1:13.76</t>
  </si>
  <si>
    <t>2:56.376</t>
  </si>
  <si>
    <t>38.46</t>
  </si>
  <si>
    <t>1:00.393</t>
  </si>
  <si>
    <t>39.539</t>
  </si>
  <si>
    <t>1:39.65</t>
  </si>
  <si>
    <t>1:58.55</t>
  </si>
  <si>
    <t xml:space="preserve">    [3,2] speedspin, GWKD</t>
  </si>
  <si>
    <t>1:08.67</t>
  </si>
  <si>
    <t>18.38</t>
  </si>
  <si>
    <t>1:20.914</t>
  </si>
  <si>
    <t>1:09.31</t>
  </si>
  <si>
    <t>2:13.600</t>
  </si>
  <si>
    <t>37.36</t>
  </si>
  <si>
    <t>1:42.70</t>
  </si>
  <si>
    <t>1:22.916</t>
  </si>
  <si>
    <t>1:10.48</t>
  </si>
  <si>
    <t>2:27</t>
  </si>
  <si>
    <t>Pogo</t>
  </si>
  <si>
    <t>1:05.33</t>
  </si>
  <si>
    <t>828</t>
  </si>
  <si>
    <t>1:10.83</t>
  </si>
  <si>
    <t>58</t>
  </si>
  <si>
    <t>3:10.823</t>
  </si>
  <si>
    <t>69</t>
  </si>
  <si>
    <t>51.91</t>
  </si>
  <si>
    <t>1:10.90</t>
  </si>
  <si>
    <t>1:10.11</t>
  </si>
  <si>
    <t>2:28.948</t>
  </si>
  <si>
    <t>2:46</t>
  </si>
  <si>
    <t>1:23.41</t>
  </si>
  <si>
    <t>28.08</t>
  </si>
  <si>
    <t>1:11.27</t>
  </si>
  <si>
    <t>1:10.40</t>
  </si>
  <si>
    <t>1:09.74</t>
  </si>
  <si>
    <t>4:12</t>
  </si>
  <si>
    <t>1:24.25</t>
  </si>
  <si>
    <t>3:46</t>
  </si>
  <si>
    <t>1:09.48</t>
  </si>
  <si>
    <t>8.61</t>
  </si>
  <si>
    <t>5:10</t>
  </si>
  <si>
    <t>1:10.75</t>
  </si>
  <si>
    <t>3:22</t>
  </si>
  <si>
    <t>53.41</t>
  </si>
  <si>
    <t>5:35</t>
  </si>
  <si>
    <t>[1,1] 2nd momentum spin, no GWKD</t>
  </si>
  <si>
    <t>41.36</t>
  </si>
  <si>
    <t>17.93</t>
  </si>
  <si>
    <t>1:16.07</t>
  </si>
  <si>
    <t>6:03</t>
  </si>
  <si>
    <t>41.96</t>
  </si>
  <si>
    <t>47.83</t>
  </si>
  <si>
    <t>6:40</t>
  </si>
  <si>
    <t>26.82</t>
  </si>
  <si>
    <t>4:39.90</t>
  </si>
  <si>
    <t>4:40</t>
  </si>
  <si>
    <t>6:54</t>
  </si>
  <si>
    <t>42.175</t>
  </si>
  <si>
    <t>4:10.650</t>
  </si>
  <si>
    <t>3:18.93</t>
  </si>
  <si>
    <t>4:26.899</t>
  </si>
  <si>
    <t>5:30.496</t>
  </si>
  <si>
    <t>42.16</t>
  </si>
  <si>
    <t>1:27.353</t>
  </si>
  <si>
    <t>42.26</t>
  </si>
  <si>
    <t>4:03.843</t>
  </si>
  <si>
    <t>4:19.092</t>
  </si>
  <si>
    <t>31.79</t>
  </si>
  <si>
    <t>39.29</t>
  </si>
  <si>
    <t>2:24.79</t>
  </si>
  <si>
    <t>1:31.51</t>
  </si>
  <si>
    <t>17.33</t>
  </si>
  <si>
    <t>58.84</t>
  </si>
  <si>
    <r>
      <rPr>
        <rFont val="Arial"/>
        <color rgb="FF000000"/>
        <sz val="9.0"/>
      </rPr>
      <t>4</t>
    </r>
    <r>
      <rPr>
        <rFont val="Arial"/>
        <color rgb="FF000000"/>
        <sz val="9.0"/>
      </rPr>
      <t>2.65</t>
    </r>
  </si>
  <si>
    <t>1:05.432</t>
  </si>
  <si>
    <t>39.75</t>
  </si>
  <si>
    <t>49.19</t>
  </si>
  <si>
    <t>3:25.23</t>
  </si>
  <si>
    <t>42.27</t>
  </si>
  <si>
    <t>[1,2] 2nd momentum spin, GWKD</t>
  </si>
  <si>
    <t>40.72</t>
  </si>
  <si>
    <t>36.08</t>
  </si>
  <si>
    <t>41.90</t>
  </si>
  <si>
    <t>1:46.17</t>
  </si>
  <si>
    <t>1:19.33</t>
  </si>
  <si>
    <t>40.96</t>
  </si>
  <si>
    <t>28.57</t>
  </si>
  <si>
    <t>1:16.77</t>
  </si>
  <si>
    <t>1:01.25</t>
  </si>
  <si>
    <t>1:21.48</t>
  </si>
  <si>
    <t>1:02.88</t>
  </si>
  <si>
    <t>32.05</t>
  </si>
  <si>
    <t>54.98</t>
  </si>
  <si>
    <t>41.26</t>
  </si>
  <si>
    <t>52.71</t>
  </si>
  <si>
    <t>1:01.11</t>
  </si>
  <si>
    <t>1:21.60</t>
  </si>
  <si>
    <t>1:06.332</t>
  </si>
  <si>
    <t>43.36</t>
  </si>
  <si>
    <t>58.124</t>
  </si>
  <si>
    <t>45.81</t>
  </si>
  <si>
    <t>1:07.300</t>
  </si>
  <si>
    <t>1:10.136</t>
  </si>
  <si>
    <t xml:space="preserve">  [2,1] spin+Y, no GWKD</t>
  </si>
  <si>
    <t>25.25</t>
  </si>
  <si>
    <t>40.36</t>
  </si>
  <si>
    <t>1:13.907</t>
  </si>
  <si>
    <t>3:20.61</t>
  </si>
  <si>
    <t>3:27.33</t>
  </si>
  <si>
    <t>49.849</t>
  </si>
  <si>
    <t>1:15.44</t>
  </si>
  <si>
    <t>1:44.370</t>
  </si>
  <si>
    <t>40.79</t>
  </si>
  <si>
    <t>1:20.74</t>
  </si>
  <si>
    <t>41.24</t>
  </si>
  <si>
    <t>40.49</t>
  </si>
  <si>
    <t>31.765</t>
  </si>
  <si>
    <t>1:30.05</t>
  </si>
  <si>
    <t>40.69</t>
  </si>
  <si>
    <t>10.82</t>
  </si>
  <si>
    <t>54.888</t>
  </si>
  <si>
    <t>41.007</t>
  </si>
  <si>
    <t>19.319</t>
  </si>
  <si>
    <t>1:09.22</t>
  </si>
  <si>
    <t>53.38</t>
  </si>
  <si>
    <t>33.566</t>
  </si>
  <si>
    <t>40.95</t>
  </si>
  <si>
    <t>42.76</t>
  </si>
  <si>
    <t>41.12</t>
  </si>
  <si>
    <t>2:01.688</t>
  </si>
  <si>
    <t>46.36</t>
  </si>
  <si>
    <t>52.72</t>
  </si>
  <si>
    <t>1:02.19</t>
  </si>
  <si>
    <t>2:20.306</t>
  </si>
  <si>
    <t>1:29.81</t>
  </si>
  <si>
    <t>41.86</t>
  </si>
  <si>
    <t>29.929</t>
  </si>
  <si>
    <t>1:21.90</t>
  </si>
  <si>
    <t>1:14.90</t>
  </si>
  <si>
    <t>4:00.273</t>
  </si>
  <si>
    <t>2:02.03</t>
  </si>
  <si>
    <t xml:space="preserve">  [2,2] spin+Y, GWKD</t>
  </si>
  <si>
    <t>39.72</t>
  </si>
  <si>
    <t>1:14.507</t>
  </si>
  <si>
    <t>40.19</t>
  </si>
  <si>
    <t>44.978</t>
  </si>
  <si>
    <t>2:11.81</t>
  </si>
  <si>
    <t>1:32.03</t>
  </si>
  <si>
    <t>41.45</t>
  </si>
  <si>
    <t>2:02.63</t>
  </si>
  <si>
    <t>40.33</t>
  </si>
  <si>
    <t>637</t>
  </si>
  <si>
    <t>36</t>
  </si>
  <si>
    <t>49.02</t>
  </si>
  <si>
    <t>49</t>
  </si>
  <si>
    <t>41.141</t>
  </si>
  <si>
    <t>53</t>
  </si>
  <si>
    <t>2:06.22</t>
  </si>
  <si>
    <t>3:33.89</t>
  </si>
  <si>
    <t>32.65</t>
  </si>
  <si>
    <t>40.09</t>
  </si>
  <si>
    <t>2:01.75</t>
  </si>
  <si>
    <t>2:05.02</t>
  </si>
  <si>
    <t>41.33</t>
  </si>
  <si>
    <t>40.82</t>
  </si>
  <si>
    <t>2:05.291</t>
  </si>
  <si>
    <t>16.04</t>
  </si>
  <si>
    <t xml:space="preserve">    [3,1] spin (no Y), no GWKD</t>
  </si>
  <si>
    <t>40.76</t>
  </si>
  <si>
    <t>2:50.86</t>
  </si>
  <si>
    <t>20.98</t>
  </si>
  <si>
    <t>1:29.12</t>
  </si>
  <si>
    <t>2:14.03</t>
  </si>
  <si>
    <t>41.29</t>
  </si>
  <si>
    <t>1:57.92</t>
  </si>
  <si>
    <t>1:39.56</t>
  </si>
  <si>
    <t>3:17.46</t>
  </si>
  <si>
    <t>2:33.54</t>
  </si>
  <si>
    <t>2:39.14</t>
  </si>
  <si>
    <t>2:55.75</t>
  </si>
  <si>
    <t>1:52.345</t>
  </si>
  <si>
    <t xml:space="preserve">    [3,2] spin (no Y), GWKD</t>
  </si>
  <si>
    <t>2:28.14</t>
  </si>
  <si>
    <t>1:50.54</t>
  </si>
  <si>
    <t>40.39</t>
  </si>
  <si>
    <t>1:33.19</t>
  </si>
  <si>
    <t>21.73</t>
  </si>
  <si>
    <t>2:29.19</t>
  </si>
  <si>
    <t>4:25.54</t>
  </si>
  <si>
    <t>2:14.38</t>
  </si>
  <si>
    <t>47.00</t>
  </si>
  <si>
    <t>1:10.25</t>
  </si>
  <si>
    <t>26.64</t>
  </si>
  <si>
    <t>15.66</t>
  </si>
  <si>
    <t>46.112</t>
  </si>
  <si>
    <t>45.23</t>
  </si>
  <si>
    <t>35.40</t>
  </si>
  <si>
    <t>1:00.91</t>
  </si>
  <si>
    <t>2:14.42</t>
  </si>
  <si>
    <t>42.275</t>
  </si>
  <si>
    <t>3:23.203</t>
  </si>
  <si>
    <t xml:space="preserve">      [4,1] rollout+Y, no GWKD</t>
  </si>
  <si>
    <t>40.22</t>
  </si>
  <si>
    <t>1:08.13</t>
  </si>
  <si>
    <t>26.04</t>
  </si>
  <si>
    <t>27.22</t>
  </si>
  <si>
    <t>1:16.68</t>
  </si>
  <si>
    <t>40:92</t>
  </si>
  <si>
    <t>35.69</t>
  </si>
  <si>
    <t>1:31.191</t>
  </si>
  <si>
    <t>29.88</t>
  </si>
  <si>
    <t>32.60</t>
  </si>
  <si>
    <t>1:39.399</t>
  </si>
  <si>
    <t>1:31.16</t>
  </si>
  <si>
    <t>1:33.159</t>
  </si>
  <si>
    <t>1:52.39</t>
  </si>
  <si>
    <t>1:20.47</t>
  </si>
  <si>
    <t>2:32.118</t>
  </si>
  <si>
    <t>11.01</t>
  </si>
  <si>
    <t>40.85</t>
  </si>
  <si>
    <t>40.99</t>
  </si>
  <si>
    <t>2:20.673</t>
  </si>
  <si>
    <t>3:44.55</t>
  </si>
  <si>
    <t>51.50</t>
  </si>
  <si>
    <t>2:57.977</t>
  </si>
  <si>
    <t>1:54.247</t>
  </si>
  <si>
    <t>3:00.26</t>
  </si>
  <si>
    <t>2:54.274</t>
  </si>
  <si>
    <t xml:space="preserve">      [4,2] rollout+Y, GWKD</t>
  </si>
  <si>
    <t>39.35</t>
  </si>
  <si>
    <t>1:35.061</t>
  </si>
  <si>
    <t>29.75</t>
  </si>
  <si>
    <t>40.16</t>
  </si>
  <si>
    <t>15.50</t>
  </si>
  <si>
    <t>40.12</t>
  </si>
  <si>
    <t>1:11.81</t>
  </si>
  <si>
    <t>37.637</t>
  </si>
  <si>
    <t>57.85</t>
  </si>
  <si>
    <t>29.61</t>
  </si>
  <si>
    <t>1:16.042</t>
  </si>
  <si>
    <t>40.26</t>
  </si>
  <si>
    <t>2:07.227</t>
  </si>
  <si>
    <t>24.62</t>
  </si>
  <si>
    <t>1:13.973</t>
  </si>
  <si>
    <t>1:38.79</t>
  </si>
  <si>
    <t>1:59.619</t>
  </si>
  <si>
    <t>1:39.26</t>
  </si>
  <si>
    <t>2:39.792</t>
  </si>
  <si>
    <t xml:space="preserve">        [5,1] speedspin, no GWKD</t>
  </si>
  <si>
    <t>39.89</t>
  </si>
  <si>
    <t>40.70</t>
  </si>
  <si>
    <t>1:15.90</t>
  </si>
  <si>
    <t>2:11.598</t>
  </si>
  <si>
    <t>39.95</t>
  </si>
  <si>
    <t>2:28</t>
  </si>
  <si>
    <t>28.65</t>
  </si>
  <si>
    <t>40.15</t>
  </si>
  <si>
    <t>3:12</t>
  </si>
  <si>
    <t>28.28</t>
  </si>
  <si>
    <t>5:47</t>
  </si>
  <si>
    <t>40.90</t>
  </si>
  <si>
    <t>43.70</t>
  </si>
  <si>
    <t>6:27</t>
  </si>
  <si>
    <t>48.06</t>
  </si>
  <si>
    <t>1:40.99</t>
  </si>
  <si>
    <t>5:32.27</t>
  </si>
  <si>
    <t>40.92</t>
  </si>
  <si>
    <t>26.35</t>
  </si>
  <si>
    <t>1:59.95</t>
  </si>
  <si>
    <t>2:18.06</t>
  </si>
  <si>
    <t>40.23</t>
  </si>
  <si>
    <t>40.46</t>
  </si>
  <si>
    <t>1:00.593</t>
  </si>
  <si>
    <t>17.77</t>
  </si>
  <si>
    <t>45.13</t>
  </si>
  <si>
    <t>1:20.23</t>
  </si>
  <si>
    <t>56.13</t>
  </si>
  <si>
    <t>1:03.363</t>
  </si>
  <si>
    <t>37.23</t>
  </si>
  <si>
    <t>34.69</t>
  </si>
  <si>
    <t xml:space="preserve">        [5,2] speedspin, GWKD</t>
  </si>
  <si>
    <t>38.88</t>
  </si>
  <si>
    <t>58.792</t>
  </si>
  <si>
    <t>39.21</t>
  </si>
  <si>
    <t>1:10.13</t>
  </si>
  <si>
    <t>38.99</t>
  </si>
  <si>
    <t>25.325</t>
  </si>
  <si>
    <t>40.20</t>
  </si>
  <si>
    <t>1:25.43</t>
  </si>
  <si>
    <t>55</t>
  </si>
  <si>
    <t>1:33.78</t>
  </si>
  <si>
    <t>1:30.91</t>
  </si>
  <si>
    <t>1:16.63</t>
  </si>
  <si>
    <t>38.95</t>
  </si>
  <si>
    <t>1:42.9</t>
  </si>
  <si>
    <t>39.16</t>
  </si>
  <si>
    <t>1:23.750</t>
  </si>
  <si>
    <t>3:25.638</t>
  </si>
  <si>
    <t>27.23</t>
  </si>
  <si>
    <t>20.70</t>
  </si>
  <si>
    <t>1:06.45</t>
  </si>
  <si>
    <t>22.69</t>
  </si>
  <si>
    <t>631</t>
  </si>
  <si>
    <t>21.39</t>
  </si>
  <si>
    <t>17</t>
  </si>
  <si>
    <t>1:15.73</t>
  </si>
  <si>
    <t>67</t>
  </si>
  <si>
    <t>3:40.59</t>
  </si>
  <si>
    <t>2:22.609</t>
  </si>
  <si>
    <t>20.66</t>
  </si>
  <si>
    <t>41.19</t>
  </si>
  <si>
    <t>30.76</t>
  </si>
  <si>
    <t>1:13.84</t>
  </si>
  <si>
    <t>2:36.97</t>
  </si>
  <si>
    <t>2:39.025</t>
  </si>
  <si>
    <t>30.38</t>
  </si>
  <si>
    <t>724</t>
  </si>
  <si>
    <t>2:22.308</t>
  </si>
  <si>
    <t>39.52</t>
  </si>
  <si>
    <t>10.83</t>
  </si>
  <si>
    <t>42</t>
  </si>
  <si>
    <t>2:48.77</t>
  </si>
  <si>
    <t>1:21.52</t>
  </si>
  <si>
    <t>2:37.22</t>
  </si>
  <si>
    <t>[1] no bridge one-slide</t>
  </si>
  <si>
    <t>29.09</t>
  </si>
  <si>
    <t>3:09.689</t>
  </si>
  <si>
    <t>32.38</t>
  </si>
  <si>
    <t>2:59.412</t>
  </si>
  <si>
    <t>1:06.46</t>
  </si>
  <si>
    <t>29.56</t>
  </si>
  <si>
    <t>46.24</t>
  </si>
  <si>
    <t>2:14.067</t>
  </si>
  <si>
    <t>30.03</t>
  </si>
  <si>
    <t>29.98</t>
  </si>
  <si>
    <t>2:55.208</t>
  </si>
  <si>
    <t>1:16.64</t>
  </si>
  <si>
    <t>29.80</t>
  </si>
  <si>
    <t>2:23.243</t>
  </si>
  <si>
    <t>22.95</t>
  </si>
  <si>
    <t>2:09.229</t>
  </si>
  <si>
    <t>31.031</t>
  </si>
  <si>
    <t>25.14</t>
  </si>
  <si>
    <t>3:31.51</t>
  </si>
  <si>
    <t>1:43.48</t>
  </si>
  <si>
    <t>1:27.98</t>
  </si>
  <si>
    <t>27.55</t>
  </si>
  <si>
    <t>2:23.476</t>
  </si>
  <si>
    <t>30.80</t>
  </si>
  <si>
    <t>17.09</t>
  </si>
  <si>
    <t>29.30</t>
  </si>
  <si>
    <t>30.74</t>
  </si>
  <si>
    <t>52.84</t>
  </si>
  <si>
    <t>19.65</t>
  </si>
  <si>
    <t>52.18</t>
  </si>
  <si>
    <t>31.364</t>
  </si>
  <si>
    <t>3:17.61</t>
  </si>
  <si>
    <t>23.94</t>
  </si>
  <si>
    <t>1:12.34</t>
  </si>
  <si>
    <t>1:08.568</t>
  </si>
  <si>
    <t>6.36</t>
  </si>
  <si>
    <t>59.31</t>
  </si>
  <si>
    <t>33.82</t>
  </si>
  <si>
    <t>57.22</t>
  </si>
  <si>
    <t xml:space="preserve">  [2] bridge one-slide</t>
  </si>
  <si>
    <t>1:09.41</t>
  </si>
  <si>
    <t>28.02</t>
  </si>
  <si>
    <t>12.278</t>
  </si>
  <si>
    <t>1:47.34</t>
  </si>
  <si>
    <t>1:16.96</t>
  </si>
  <si>
    <t>47.847</t>
  </si>
  <si>
    <t>1:18.14</t>
  </si>
  <si>
    <t>55.42</t>
  </si>
  <si>
    <t>28.33</t>
  </si>
  <si>
    <t>9704</t>
  </si>
  <si>
    <t>1:25:05</t>
  </si>
  <si>
    <t>28.80</t>
  </si>
  <si>
    <t>1:46.573</t>
  </si>
  <si>
    <t>28.22</t>
  </si>
  <si>
    <t>98</t>
  </si>
  <si>
    <t>116</t>
  </si>
  <si>
    <t>1:15.87</t>
  </si>
  <si>
    <t>28.06</t>
  </si>
  <si>
    <t>18.83</t>
  </si>
  <si>
    <t>1:46.04</t>
  </si>
  <si>
    <t>42.49</t>
  </si>
  <si>
    <t>28.78</t>
  </si>
  <si>
    <t>2:25.74</t>
  </si>
  <si>
    <t>1:18.28</t>
  </si>
  <si>
    <t>1:43.136</t>
  </si>
  <si>
    <t>28.51</t>
  </si>
  <si>
    <t>1:37.49</t>
  </si>
  <si>
    <t>3:07.27</t>
  </si>
  <si>
    <t>29.31</t>
  </si>
  <si>
    <t>2:34.954</t>
  </si>
  <si>
    <t>2:32.01</t>
  </si>
  <si>
    <t>2:44.497</t>
  </si>
  <si>
    <t>28.79</t>
  </si>
  <si>
    <t>3:19.699</t>
  </si>
  <si>
    <t>1:58.10</t>
  </si>
  <si>
    <t>2:15.59</t>
  </si>
  <si>
    <t>1:31.81</t>
  </si>
  <si>
    <t>3:06.319</t>
  </si>
  <si>
    <t>1:31.65</t>
  </si>
  <si>
    <t>1:08.47</t>
  </si>
  <si>
    <t>1:49.62</t>
  </si>
  <si>
    <t>38.25</t>
  </si>
  <si>
    <t>2:57.87</t>
  </si>
  <si>
    <t>52.17</t>
  </si>
  <si>
    <t>1:04.161</t>
  </si>
  <si>
    <t>Episode 7</t>
  </si>
  <si>
    <t>[1] no insta-kill</t>
  </si>
  <si>
    <t>16.47</t>
  </si>
  <si>
    <t>44</t>
  </si>
  <si>
    <t>1:24.74</t>
  </si>
  <si>
    <t>56.51</t>
  </si>
  <si>
    <t>46.61</t>
  </si>
  <si>
    <t>16.97</t>
  </si>
  <si>
    <t>2:18.87</t>
  </si>
  <si>
    <t>43.83</t>
  </si>
  <si>
    <t>1:19.61</t>
  </si>
  <si>
    <t>16.84</t>
  </si>
  <si>
    <t>1:03.11</t>
  </si>
  <si>
    <t>2:12.89</t>
  </si>
  <si>
    <t>1:10.86</t>
  </si>
  <si>
    <t>16.66</t>
  </si>
  <si>
    <t>3:02.24</t>
  </si>
  <si>
    <t>1:01.15</t>
  </si>
  <si>
    <t>2:32</t>
  </si>
  <si>
    <t>51.80</t>
  </si>
  <si>
    <t>16.83</t>
  </si>
  <si>
    <t>4:39</t>
  </si>
  <si>
    <t>1:59.24</t>
  </si>
  <si>
    <t>17.73</t>
  </si>
  <si>
    <t>2:13.72</t>
  </si>
  <si>
    <t>1:40.12</t>
  </si>
  <si>
    <t>3:53</t>
  </si>
  <si>
    <t>1:53.77</t>
  </si>
  <si>
    <t>49.97</t>
  </si>
  <si>
    <t>1:59.67</t>
  </si>
  <si>
    <t>16.57</t>
  </si>
  <si>
    <t>5:13</t>
  </si>
  <si>
    <t>16.31</t>
  </si>
  <si>
    <t>6:32</t>
  </si>
  <si>
    <t>4:33</t>
  </si>
  <si>
    <t>14.64</t>
  </si>
  <si>
    <t>44.06</t>
  </si>
  <si>
    <t>30.05</t>
  </si>
  <si>
    <t>4:15.38</t>
  </si>
  <si>
    <t>5:50.31</t>
  </si>
  <si>
    <t xml:space="preserve">  [2] insta-kill</t>
  </si>
  <si>
    <t>4:53.15</t>
  </si>
  <si>
    <t>3:12.89</t>
  </si>
  <si>
    <t>36.62</t>
  </si>
  <si>
    <t>54.61</t>
  </si>
  <si>
    <t>43.33</t>
  </si>
  <si>
    <t>1:06.53</t>
  </si>
  <si>
    <t>1:37.85</t>
  </si>
  <si>
    <t>30.75</t>
  </si>
  <si>
    <t>1:34.15</t>
  </si>
  <si>
    <t>34.29</t>
  </si>
  <si>
    <t>16.03</t>
  </si>
  <si>
    <t>1:21</t>
  </si>
  <si>
    <t>1:13</t>
  </si>
  <si>
    <t>16.01</t>
  </si>
  <si>
    <t>19.652</t>
  </si>
  <si>
    <t>2:54.91</t>
  </si>
  <si>
    <t>32.732</t>
  </si>
  <si>
    <t>15.99</t>
  </si>
  <si>
    <t>57.88</t>
  </si>
  <si>
    <t>1:50.777</t>
  </si>
  <si>
    <t>1:04.88</t>
  </si>
  <si>
    <t>2:06</t>
  </si>
  <si>
    <t>2:39.57</t>
  </si>
  <si>
    <t>1:59.78</t>
  </si>
  <si>
    <t>16.14</t>
  </si>
  <si>
    <t>1:44.32</t>
  </si>
  <si>
    <t>38.81</t>
  </si>
  <si>
    <t>18.71</t>
  </si>
  <si>
    <t>503</t>
  </si>
  <si>
    <t>1:42.62</t>
  </si>
  <si>
    <t>1:39.52</t>
  </si>
  <si>
    <t>1:51.41</t>
  </si>
  <si>
    <t>40</t>
  </si>
  <si>
    <t>1:11.87</t>
  </si>
  <si>
    <t>3:41.29</t>
  </si>
  <si>
    <t>46.89</t>
  </si>
  <si>
    <t>2:38.21</t>
  </si>
  <si>
    <t>2:39.61</t>
  </si>
  <si>
    <t>16.07</t>
  </si>
  <si>
    <t>44.77</t>
  </si>
  <si>
    <t>16.17</t>
  </si>
  <si>
    <t>1:26.31</t>
  </si>
  <si>
    <t>Episode 8</t>
  </si>
  <si>
    <t>[1] no rocket rollout</t>
  </si>
  <si>
    <t>58.12</t>
  </si>
  <si>
    <t>2:18.00</t>
  </si>
  <si>
    <t>17.90</t>
  </si>
  <si>
    <t>25.66</t>
  </si>
  <si>
    <t>58.53</t>
  </si>
  <si>
    <t>26.11</t>
  </si>
  <si>
    <t>29.45</t>
  </si>
  <si>
    <t>59.859</t>
  </si>
  <si>
    <t>710</t>
  </si>
  <si>
    <t>3:16.05</t>
  </si>
  <si>
    <t>43.12</t>
  </si>
  <si>
    <t>21</t>
  </si>
  <si>
    <t>32</t>
  </si>
  <si>
    <t>1:20.38</t>
  </si>
  <si>
    <t>3:30.22</t>
  </si>
  <si>
    <t>2:36.69</t>
  </si>
  <si>
    <t>2:50.22</t>
  </si>
  <si>
    <t>1:21.75</t>
  </si>
  <si>
    <t>2:15.73</t>
  </si>
  <si>
    <t>1:15.77</t>
  </si>
  <si>
    <t>Episode 3 Reds (IGT)</t>
  </si>
  <si>
    <t>[1] hover</t>
  </si>
  <si>
    <t>41.62</t>
  </si>
  <si>
    <t>49.01</t>
  </si>
  <si>
    <t>38.02</t>
  </si>
  <si>
    <t>2:13.55</t>
  </si>
  <si>
    <t>4:01.74</t>
  </si>
  <si>
    <t>38.62</t>
  </si>
  <si>
    <t>1:43.92</t>
  </si>
  <si>
    <t>38.12</t>
  </si>
  <si>
    <t>1:24.93</t>
  </si>
  <si>
    <t>38.59</t>
  </si>
  <si>
    <t>39.86</t>
  </si>
  <si>
    <t>29.35</t>
  </si>
  <si>
    <t>2:15.01</t>
  </si>
  <si>
    <t>37.75</t>
  </si>
  <si>
    <t>1:05.82</t>
  </si>
  <si>
    <t>52.54</t>
  </si>
  <si>
    <t>41.48</t>
  </si>
  <si>
    <t>3:04.61</t>
  </si>
  <si>
    <t>27.01</t>
  </si>
  <si>
    <t>41.37</t>
  </si>
  <si>
    <t>29.20</t>
  </si>
  <si>
    <t>55.28</t>
  </si>
  <si>
    <t>48.81</t>
  </si>
  <si>
    <t>1:17.07</t>
  </si>
  <si>
    <t>38.15</t>
  </si>
  <si>
    <t>1:15.41</t>
  </si>
  <si>
    <t>1:16.34</t>
  </si>
  <si>
    <t>1:19.05</t>
  </si>
  <si>
    <t>56.02</t>
  </si>
  <si>
    <t>1:20.34</t>
  </si>
  <si>
    <t>38.72</t>
  </si>
  <si>
    <t>12.39</t>
  </si>
  <si>
    <t>3:07.38</t>
  </si>
  <si>
    <t>51.65</t>
  </si>
  <si>
    <t>1:00.97</t>
  </si>
  <si>
    <t xml:space="preserve">  Reds (QFT)</t>
  </si>
  <si>
    <t>54.31</t>
  </si>
  <si>
    <t>45.16</t>
  </si>
  <si>
    <t>38.47</t>
  </si>
  <si>
    <t>42.66</t>
  </si>
  <si>
    <t>43.16</t>
  </si>
  <si>
    <t>1:00.75</t>
  </si>
  <si>
    <t>37.170</t>
  </si>
  <si>
    <t>1:29.73</t>
  </si>
  <si>
    <t>37.63</t>
  </si>
  <si>
    <t>1:07.77</t>
  </si>
  <si>
    <t>1:02.69</t>
  </si>
  <si>
    <t>1:22.46</t>
  </si>
  <si>
    <t>55.54</t>
  </si>
  <si>
    <t>1:18.21</t>
  </si>
  <si>
    <t>15.21</t>
  </si>
  <si>
    <t>50.67</t>
  </si>
  <si>
    <t>1:41</t>
  </si>
  <si>
    <t>1:43.60</t>
  </si>
  <si>
    <t>34.09</t>
  </si>
  <si>
    <t>Episode 6 Reds (IGT)</t>
  </si>
  <si>
    <t>51.17</t>
  </si>
  <si>
    <t>3:15.34</t>
  </si>
  <si>
    <t>22.06</t>
  </si>
  <si>
    <t>1:06.11</t>
  </si>
  <si>
    <t>1:37.96</t>
  </si>
  <si>
    <t>33.31</t>
  </si>
  <si>
    <t>50.13</t>
  </si>
  <si>
    <t>50.47</t>
  </si>
  <si>
    <t>2:54</t>
  </si>
  <si>
    <t>21.98</t>
  </si>
  <si>
    <t>3:18</t>
  </si>
  <si>
    <t>50.60</t>
  </si>
  <si>
    <t>2:09.89</t>
  </si>
  <si>
    <t>2:52.50</t>
  </si>
  <si>
    <t>1:02.75</t>
  </si>
  <si>
    <t>2:06.15</t>
  </si>
  <si>
    <t>22.55</t>
  </si>
  <si>
    <t>48.46</t>
  </si>
  <si>
    <t>27.31</t>
  </si>
  <si>
    <t>1:45.02</t>
  </si>
  <si>
    <t>1:37.95</t>
  </si>
  <si>
    <t>1:55.22</t>
  </si>
  <si>
    <t>50.17</t>
  </si>
  <si>
    <t>42.69</t>
  </si>
  <si>
    <t>2:27.63</t>
  </si>
  <si>
    <t>1:14</t>
  </si>
  <si>
    <t>21.76</t>
  </si>
  <si>
    <t>2:20</t>
  </si>
  <si>
    <t>Jesteq</t>
  </si>
  <si>
    <t>694</t>
  </si>
  <si>
    <t>1:17.87</t>
  </si>
  <si>
    <t>51</t>
  </si>
  <si>
    <t>52.07</t>
  </si>
  <si>
    <t>4:27.21</t>
  </si>
  <si>
    <t>2:22</t>
  </si>
  <si>
    <t xml:space="preserve">  [2,1] rocket, 7th red rocket-thru</t>
  </si>
  <si>
    <t>1:00.41</t>
  </si>
  <si>
    <t>1:22.87</t>
  </si>
  <si>
    <t>1:10.69</t>
  </si>
  <si>
    <t>2:29</t>
  </si>
  <si>
    <t>1:11.24</t>
  </si>
  <si>
    <t>3:51</t>
  </si>
  <si>
    <t>2:06.44</t>
  </si>
  <si>
    <t>3:17.67</t>
  </si>
  <si>
    <t>3:27</t>
  </si>
  <si>
    <t xml:space="preserve">  [2,2] rocket, 7th red ground-pound</t>
  </si>
  <si>
    <t>5:08</t>
  </si>
  <si>
    <t>1:01.05</t>
  </si>
  <si>
    <t>1:32.89</t>
  </si>
  <si>
    <t>27.59</t>
  </si>
  <si>
    <t>33.34</t>
  </si>
  <si>
    <t>4:32</t>
  </si>
  <si>
    <t>1:31.98</t>
  </si>
  <si>
    <t>1:30.33</t>
  </si>
  <si>
    <t>17.24</t>
  </si>
  <si>
    <t>11.11</t>
  </si>
  <si>
    <t>6:29</t>
  </si>
  <si>
    <t xml:space="preserve">  [2,3] rocket, 6th red 1st cycle</t>
  </si>
  <si>
    <t>1:02.25</t>
  </si>
  <si>
    <t>51.71</t>
  </si>
  <si>
    <t>29.81</t>
  </si>
  <si>
    <t>1:07.12</t>
  </si>
  <si>
    <t>56.38</t>
  </si>
  <si>
    <t>15.63</t>
  </si>
  <si>
    <t>1:02.11</t>
  </si>
  <si>
    <t>3:29.27</t>
  </si>
  <si>
    <t>1:12.42</t>
  </si>
  <si>
    <t>1:01.18</t>
  </si>
  <si>
    <t>1:00.98</t>
  </si>
  <si>
    <t>1:02.05</t>
  </si>
  <si>
    <t>29.05</t>
  </si>
  <si>
    <t>42.44</t>
  </si>
  <si>
    <t>1:09.12</t>
  </si>
  <si>
    <t>1:30.61</t>
  </si>
  <si>
    <t>1:46.43</t>
  </si>
  <si>
    <t>40.47</t>
  </si>
  <si>
    <t>1:16.73</t>
  </si>
  <si>
    <t xml:space="preserve">    [3] rocket, right side top cycle</t>
  </si>
  <si>
    <t>1:04.78</t>
  </si>
  <si>
    <t>12.51</t>
  </si>
  <si>
    <t>481</t>
  </si>
  <si>
    <t>29.25</t>
  </si>
  <si>
    <t>1:01.95</t>
  </si>
  <si>
    <t>58.88</t>
  </si>
  <si>
    <t>31</t>
  </si>
  <si>
    <t>43.93</t>
  </si>
  <si>
    <t>48.57</t>
  </si>
  <si>
    <t>1:16.89</t>
  </si>
  <si>
    <t>3:45.38</t>
  </si>
  <si>
    <t>25.77</t>
  </si>
  <si>
    <t>19.33</t>
  </si>
  <si>
    <t>2:18.43</t>
  </si>
  <si>
    <t>46.99</t>
  </si>
  <si>
    <t>53.52</t>
  </si>
  <si>
    <t>2:37.47</t>
  </si>
  <si>
    <t>58.458</t>
  </si>
  <si>
    <t>53.520</t>
  </si>
  <si>
    <t>3:18.72</t>
  </si>
  <si>
    <t>3:11.14</t>
  </si>
  <si>
    <t>1:20.21</t>
  </si>
  <si>
    <t>2:49.38</t>
  </si>
  <si>
    <t>1:18.45</t>
  </si>
  <si>
    <t xml:space="preserve">  [2] rocket</t>
  </si>
  <si>
    <t>38.27</t>
  </si>
  <si>
    <t>39.27</t>
  </si>
  <si>
    <t>1:32.55</t>
  </si>
  <si>
    <t>3:16.95</t>
  </si>
  <si>
    <t>53.80</t>
  </si>
  <si>
    <t>41.88</t>
  </si>
  <si>
    <t>42.14</t>
  </si>
  <si>
    <t>1:04.41</t>
  </si>
  <si>
    <t>3:12.64</t>
  </si>
  <si>
    <t>41.674</t>
  </si>
  <si>
    <t>1:32.44</t>
  </si>
  <si>
    <t>41.77</t>
  </si>
  <si>
    <t>43.376</t>
  </si>
  <si>
    <t>1:53.30</t>
  </si>
  <si>
    <t>3:13.21</t>
  </si>
  <si>
    <t>1:30.48</t>
  </si>
  <si>
    <t>39.272</t>
  </si>
  <si>
    <t>2:07.86</t>
  </si>
  <si>
    <t>2:35.85</t>
  </si>
  <si>
    <t>15.60</t>
  </si>
  <si>
    <t>1:46.67</t>
  </si>
  <si>
    <t>20.75</t>
  </si>
  <si>
    <t>2:06.88</t>
  </si>
  <si>
    <t>17.00</t>
  </si>
  <si>
    <t>2:18.04</t>
  </si>
  <si>
    <t>2:36.39</t>
  </si>
  <si>
    <t>1:39.62</t>
  </si>
  <si>
    <t>2:16.29</t>
  </si>
  <si>
    <t>1:47.86</t>
  </si>
  <si>
    <t>2:42.62</t>
  </si>
  <si>
    <t>1:14.84</t>
  </si>
  <si>
    <t>1:53.01</t>
  </si>
  <si>
    <t>2:16.736</t>
  </si>
  <si>
    <t>2:12.15</t>
  </si>
  <si>
    <t>30.88</t>
  </si>
  <si>
    <t>30.89</t>
  </si>
  <si>
    <t>11.27</t>
  </si>
  <si>
    <t>2:02.57</t>
  </si>
  <si>
    <t>55.17</t>
  </si>
  <si>
    <t>16.19</t>
  </si>
  <si>
    <t>31.90</t>
  </si>
  <si>
    <t>1:26.16</t>
  </si>
  <si>
    <t>47.97</t>
  </si>
  <si>
    <t>3:24.16</t>
  </si>
  <si>
    <t>22.87</t>
  </si>
  <si>
    <t>56.71</t>
  </si>
  <si>
    <t>1:08.28</t>
  </si>
  <si>
    <t>22.72</t>
  </si>
  <si>
    <t>34.42</t>
  </si>
  <si>
    <t>33.38</t>
  </si>
  <si>
    <t>25.21</t>
  </si>
  <si>
    <t>59.65</t>
  </si>
  <si>
    <t>30.02</t>
  </si>
  <si>
    <t>25.57</t>
  </si>
  <si>
    <t>19.47</t>
  </si>
  <si>
    <t>1:49.10</t>
  </si>
  <si>
    <t>Episode 1 (Full)</t>
  </si>
  <si>
    <t>47.41</t>
  </si>
  <si>
    <t>[1,1] box spin, ramp spin</t>
  </si>
  <si>
    <t>50.88</t>
  </si>
  <si>
    <t>23.77</t>
  </si>
  <si>
    <t>50.11</t>
  </si>
  <si>
    <t>50.93</t>
  </si>
  <si>
    <t>2:59.17</t>
  </si>
  <si>
    <t>52.09</t>
  </si>
  <si>
    <t>Rimato13</t>
  </si>
  <si>
    <t>9587</t>
  </si>
  <si>
    <t>23.59</t>
  </si>
  <si>
    <t>26.57</t>
  </si>
  <si>
    <t>104</t>
  </si>
  <si>
    <t>50.74</t>
  </si>
  <si>
    <t>1:40.56</t>
  </si>
  <si>
    <t>1:18.57</t>
  </si>
  <si>
    <t>1:48</t>
  </si>
  <si>
    <t>27.98</t>
  </si>
  <si>
    <r>
      <rPr>
        <rFont val="Arial"/>
        <color rgb="FF1155CC"/>
        <sz val="9.0"/>
        <u/>
      </rPr>
      <t>53.4</t>
    </r>
    <r>
      <rPr>
        <rFont val="Arial"/>
        <color rgb="FF1155CC"/>
        <sz val="9.0"/>
        <u/>
      </rPr>
      <t>5</t>
    </r>
  </si>
  <si>
    <t>37.03</t>
  </si>
  <si>
    <t>1:43.35</t>
  </si>
  <si>
    <t>53.953</t>
  </si>
  <si>
    <t>2:03</t>
  </si>
  <si>
    <t>2:44</t>
  </si>
  <si>
    <t>1:50</t>
  </si>
  <si>
    <t>1:58.89</t>
  </si>
  <si>
    <t>2:52.76</t>
  </si>
  <si>
    <t>51.12</t>
  </si>
  <si>
    <t>3:31</t>
  </si>
  <si>
    <t>37.65</t>
  </si>
  <si>
    <t>2:01.60</t>
  </si>
  <si>
    <t>52.40</t>
  </si>
  <si>
    <t>53.89</t>
  </si>
  <si>
    <t>2:12.40</t>
  </si>
  <si>
    <t>1:07.40</t>
  </si>
  <si>
    <t>1:47.03</t>
  </si>
  <si>
    <t>51.51</t>
  </si>
  <si>
    <t>1:08.74</t>
  </si>
  <si>
    <t>55.37</t>
  </si>
  <si>
    <t>1:15.14</t>
  </si>
  <si>
    <t>40.44</t>
  </si>
  <si>
    <t>39.15</t>
  </si>
  <si>
    <t>1:36.70</t>
  </si>
  <si>
    <t>1:26.82</t>
  </si>
  <si>
    <t>[1,2] box spin, speed double-jump</t>
  </si>
  <si>
    <t>25.20</t>
  </si>
  <si>
    <t>50.85</t>
  </si>
  <si>
    <t>2:16.93</t>
  </si>
  <si>
    <t>56.39</t>
  </si>
  <si>
    <t>1:16.13</t>
  </si>
  <si>
    <t>1:24.50</t>
  </si>
  <si>
    <t>37.72</t>
  </si>
  <si>
    <t>52.53</t>
  </si>
  <si>
    <t>50.90</t>
  </si>
  <si>
    <t>691</t>
  </si>
  <si>
    <t>22</t>
  </si>
  <si>
    <t>1:05.35</t>
  </si>
  <si>
    <t>52.24</t>
  </si>
  <si>
    <t>1:20.18</t>
  </si>
  <si>
    <t xml:space="preserve">  [2,1] box triple, ramp spin</t>
  </si>
  <si>
    <t>51.94</t>
  </si>
  <si>
    <t>1:22.10</t>
  </si>
  <si>
    <t>52.29</t>
  </si>
  <si>
    <t>2:18.56</t>
  </si>
  <si>
    <t>51.30</t>
  </si>
  <si>
    <t>52.89</t>
  </si>
  <si>
    <t>1:08.25</t>
  </si>
  <si>
    <t>59.14</t>
  </si>
  <si>
    <t>16.51</t>
  </si>
  <si>
    <t>38.52</t>
  </si>
  <si>
    <t>1:19.10</t>
  </si>
  <si>
    <t>4:14.88</t>
  </si>
  <si>
    <t xml:space="preserve">  [2,2] box triple, speed double-jump</t>
  </si>
  <si>
    <t>1:28.32</t>
  </si>
  <si>
    <t>14.51</t>
  </si>
  <si>
    <t>50.22</t>
  </si>
  <si>
    <t>44.04</t>
  </si>
  <si>
    <t>16.53</t>
  </si>
  <si>
    <t>50.41</t>
  </si>
  <si>
    <t>3:24.71</t>
  </si>
  <si>
    <t>ModestTomato</t>
  </si>
  <si>
    <t>1:47.78</t>
  </si>
  <si>
    <t>1:23.10</t>
  </si>
  <si>
    <t>53.27</t>
  </si>
  <si>
    <t>425</t>
  </si>
  <si>
    <t>54.58</t>
  </si>
  <si>
    <t>30</t>
  </si>
  <si>
    <t>1:25.81</t>
  </si>
  <si>
    <t>18.44</t>
  </si>
  <si>
    <t>2:39.359</t>
  </si>
  <si>
    <t>1:38.25</t>
  </si>
  <si>
    <t>40.40</t>
  </si>
  <si>
    <t xml:space="preserve">    [3] any, sumi skip</t>
  </si>
  <si>
    <t>47.58</t>
  </si>
  <si>
    <t>3:00.43</t>
  </si>
  <si>
    <t>47.84</t>
  </si>
  <si>
    <t>50.016</t>
  </si>
  <si>
    <t>3:18.63</t>
  </si>
  <si>
    <t>1:20.56</t>
  </si>
  <si>
    <t>15.13</t>
  </si>
  <si>
    <t>2:35.78</t>
  </si>
  <si>
    <t>44.97</t>
  </si>
  <si>
    <t>3:00.81</t>
  </si>
  <si>
    <t>37.22</t>
  </si>
  <si>
    <t>44.95</t>
  </si>
  <si>
    <t>3:39.64</t>
  </si>
  <si>
    <t>58.61</t>
  </si>
  <si>
    <t>19.18</t>
  </si>
  <si>
    <t>3:29.26</t>
  </si>
  <si>
    <t>1:03.36</t>
  </si>
  <si>
    <t>1:13.19</t>
  </si>
  <si>
    <t>1:01.35</t>
  </si>
  <si>
    <t>19.24</t>
  </si>
  <si>
    <t>2:57.06</t>
  </si>
  <si>
    <t>1:58.94</t>
  </si>
  <si>
    <t>1:52.15</t>
  </si>
  <si>
    <t>2:26.22</t>
  </si>
  <si>
    <t>39.14</t>
  </si>
  <si>
    <t>15.48</t>
  </si>
  <si>
    <t>1:59.63</t>
  </si>
  <si>
    <t>1:46.66</t>
  </si>
  <si>
    <t>1:56.73</t>
  </si>
  <si>
    <t>18.81</t>
  </si>
  <si>
    <t>19.01</t>
  </si>
  <si>
    <t>2:07.05</t>
  </si>
  <si>
    <t>56.84</t>
  </si>
  <si>
    <t>54.01</t>
  </si>
  <si>
    <t>18.62</t>
  </si>
  <si>
    <t>14.94</t>
  </si>
  <si>
    <t>19.26</t>
  </si>
  <si>
    <t>30.91</t>
  </si>
  <si>
    <t>1:39.06</t>
  </si>
  <si>
    <t>19.14</t>
  </si>
  <si>
    <t>3:27.34</t>
  </si>
  <si>
    <t>1:06.30</t>
  </si>
  <si>
    <t>55.64</t>
  </si>
  <si>
    <t>1:11.62</t>
  </si>
  <si>
    <t>18.51</t>
  </si>
  <si>
    <t>34.00</t>
  </si>
  <si>
    <t>1:02.28</t>
  </si>
  <si>
    <t>19.41</t>
  </si>
  <si>
    <t>18.67</t>
  </si>
  <si>
    <t>8.49</t>
  </si>
  <si>
    <t>1:15.55</t>
  </si>
  <si>
    <t>8.70</t>
  </si>
  <si>
    <t>3:00.24</t>
  </si>
  <si>
    <t>1:02.81</t>
  </si>
  <si>
    <t>54.59</t>
  </si>
  <si>
    <t>50.15</t>
  </si>
  <si>
    <t>52.85</t>
  </si>
  <si>
    <t>23.12</t>
  </si>
  <si>
    <t>26.29</t>
  </si>
  <si>
    <t>18.01</t>
  </si>
  <si>
    <t>1:59</t>
  </si>
  <si>
    <t>1:43.49</t>
  </si>
  <si>
    <t>27.66</t>
  </si>
  <si>
    <t>27.53</t>
  </si>
  <si>
    <t>1:56</t>
  </si>
  <si>
    <t>17.88</t>
  </si>
  <si>
    <t>1:37.89</t>
  </si>
  <si>
    <t>2:00.68</t>
  </si>
  <si>
    <t>44.80</t>
  </si>
  <si>
    <t>18.09</t>
  </si>
  <si>
    <t>43.22</t>
  </si>
  <si>
    <t>17.87</t>
  </si>
  <si>
    <t>1:21.23</t>
  </si>
  <si>
    <t>1:46</t>
  </si>
  <si>
    <t>18.14</t>
  </si>
  <si>
    <t>1:32.00</t>
  </si>
  <si>
    <t>17.91</t>
  </si>
  <si>
    <t>1:01.52</t>
  </si>
  <si>
    <t>18.11</t>
  </si>
  <si>
    <t>638</t>
  </si>
  <si>
    <t>57</t>
  </si>
  <si>
    <t>2:31.37</t>
  </si>
  <si>
    <t>2:55</t>
  </si>
  <si>
    <t>3:00</t>
  </si>
  <si>
    <r>
      <rPr>
        <rFont val="arial,sans,sans-serif"/>
        <color rgb="FF000000"/>
        <sz val="9.0"/>
        <u/>
      </rPr>
      <t>1:22.</t>
    </r>
    <r>
      <rPr>
        <rFont val="arial,sans,sans-serif"/>
        <color rgb="FF000000"/>
        <sz val="9.0"/>
        <u/>
      </rPr>
      <t>02</t>
    </r>
  </si>
  <si>
    <t>3:41</t>
  </si>
  <si>
    <t>1:29.08</t>
  </si>
  <si>
    <t>41.87</t>
  </si>
  <si>
    <t>1:14.69</t>
  </si>
  <si>
    <t>[1] standard</t>
  </si>
  <si>
    <t>1:17.40</t>
  </si>
  <si>
    <t>31.09</t>
  </si>
  <si>
    <t>2:14</t>
  </si>
  <si>
    <t>4:25.63</t>
  </si>
  <si>
    <t>3:42.35</t>
  </si>
  <si>
    <t>30.56</t>
  </si>
  <si>
    <t>1:31.60</t>
  </si>
  <si>
    <t>17.21</t>
  </si>
  <si>
    <t>1:13.25</t>
  </si>
  <si>
    <t>3:15.64</t>
  </si>
  <si>
    <t>44.60</t>
  </si>
  <si>
    <t>31.19</t>
  </si>
  <si>
    <t>1:48.67</t>
  </si>
  <si>
    <t>1:19.24</t>
  </si>
  <si>
    <t>1:21.64</t>
  </si>
  <si>
    <t>58.62</t>
  </si>
  <si>
    <t>1:17.97</t>
  </si>
  <si>
    <t>18.57</t>
  </si>
  <si>
    <t>33.867</t>
  </si>
  <si>
    <t>45.67</t>
  </si>
  <si>
    <t>3:16.19</t>
  </si>
  <si>
    <t>2:45.76</t>
  </si>
  <si>
    <t>31.44</t>
  </si>
  <si>
    <r>
      <rPr>
        <b/>
        <color rgb="FFB35C00"/>
        <sz val="9.0"/>
        <u/>
      </rPr>
      <t>40</t>
    </r>
    <r>
      <rPr>
        <b/>
        <color rgb="FFB35C00"/>
        <sz val="9.0"/>
        <u/>
      </rPr>
      <t>.38</t>
    </r>
  </si>
  <si>
    <t>1:27.65</t>
  </si>
  <si>
    <t>32.39</t>
  </si>
  <si>
    <t>54.05</t>
  </si>
  <si>
    <t>39.79</t>
  </si>
  <si>
    <t>51.28</t>
  </si>
  <si>
    <t>1:02.79</t>
  </si>
  <si>
    <t>2:17</t>
  </si>
  <si>
    <t>1:18.93</t>
  </si>
  <si>
    <t>2:01.66</t>
  </si>
  <si>
    <t>2:07.03</t>
  </si>
  <si>
    <t>1:20</t>
  </si>
  <si>
    <t>1:47.77</t>
  </si>
  <si>
    <t>2:01.58</t>
  </si>
  <si>
    <t>1:59.58</t>
  </si>
  <si>
    <t xml:space="preserve">  [2] sumi skip</t>
  </si>
  <si>
    <t>1:57.40</t>
  </si>
  <si>
    <t>28.99</t>
  </si>
  <si>
    <t>15.77</t>
  </si>
  <si>
    <t>4:17.30</t>
  </si>
  <si>
    <t>3:14.22</t>
  </si>
  <si>
    <t>41.99</t>
  </si>
  <si>
    <t>2:18</t>
  </si>
  <si>
    <t>1:08.48</t>
  </si>
  <si>
    <t>35.63</t>
  </si>
  <si>
    <t>50.19</t>
  </si>
  <si>
    <t>1:49.79</t>
  </si>
  <si>
    <t>33.900</t>
  </si>
  <si>
    <t>1:17.43</t>
  </si>
  <si>
    <t>27.52</t>
  </si>
  <si>
    <t>3:03.81</t>
  </si>
  <si>
    <t>1:07.22</t>
  </si>
  <si>
    <t>30.18</t>
  </si>
  <si>
    <t>1:19.92</t>
  </si>
  <si>
    <t>24.21</t>
  </si>
  <si>
    <t>1:40.89</t>
  </si>
  <si>
    <t>1:04.564</t>
  </si>
  <si>
    <t>11.26</t>
  </si>
  <si>
    <r>
      <rPr>
        <rFont val="arial,sans,sans-serif"/>
        <color rgb="FF000000"/>
        <sz val="9.0"/>
        <u/>
      </rPr>
      <t>28.</t>
    </r>
    <r>
      <rPr>
        <rFont val="arial,sans,sans-serif"/>
        <color rgb="FF000000"/>
        <sz val="9.0"/>
        <u/>
      </rPr>
      <t>71</t>
    </r>
  </si>
  <si>
    <t>1:00</t>
  </si>
  <si>
    <t>1:08.49</t>
  </si>
  <si>
    <t>1:43.86</t>
  </si>
  <si>
    <t>1:44.96</t>
  </si>
  <si>
    <t>1:59.45</t>
  </si>
  <si>
    <t>45.31</t>
  </si>
  <si>
    <t>39.33</t>
  </si>
  <si>
    <t>1:08</t>
  </si>
  <si>
    <t>45.44</t>
  </si>
  <si>
    <t>1:44.xx</t>
  </si>
  <si>
    <t>1:40.00</t>
  </si>
  <si>
    <t>1:05.46</t>
  </si>
  <si>
    <t>1:29.65</t>
  </si>
  <si>
    <t>52.085</t>
  </si>
  <si>
    <t>51.08</t>
  </si>
  <si>
    <t>53.153</t>
  </si>
  <si>
    <t>54.854</t>
  </si>
  <si>
    <t>49.349</t>
  </si>
  <si>
    <t>572</t>
  </si>
  <si>
    <t>1:22.91</t>
  </si>
  <si>
    <t>1:09.32</t>
  </si>
  <si>
    <t>51.11</t>
  </si>
  <si>
    <t>1:27.60</t>
  </si>
  <si>
    <t>29</t>
  </si>
  <si>
    <t>3:24.10</t>
  </si>
  <si>
    <t>51.46</t>
  </si>
  <si>
    <t>1:31.64</t>
  </si>
  <si>
    <t>[1] blooper</t>
  </si>
  <si>
    <t>35.06</t>
  </si>
  <si>
    <t>34.12</t>
  </si>
  <si>
    <t>3:22.46</t>
  </si>
  <si>
    <t>38.004</t>
  </si>
  <si>
    <t>41.91</t>
  </si>
  <si>
    <t>22.46</t>
  </si>
  <si>
    <t>1:17.30</t>
  </si>
  <si>
    <t>1:17.22</t>
  </si>
  <si>
    <t>37.00</t>
  </si>
  <si>
    <t>48.66</t>
  </si>
  <si>
    <t>Larvi</t>
  </si>
  <si>
    <t>54.64</t>
  </si>
  <si>
    <t>367</t>
  </si>
  <si>
    <t>20.38</t>
  </si>
  <si>
    <t>21.23</t>
  </si>
  <si>
    <t>44.99</t>
  </si>
  <si>
    <t>35.235</t>
  </si>
  <si>
    <t>3:10.60</t>
  </si>
  <si>
    <t>3:48.78</t>
  </si>
  <si>
    <t>51.90</t>
  </si>
  <si>
    <t>2:07.23</t>
  </si>
  <si>
    <t>2:44.88</t>
  </si>
  <si>
    <t xml:space="preserve">  [2,1] jesus strat, blooperless</t>
  </si>
  <si>
    <t>2:28.20</t>
  </si>
  <si>
    <t>1:04.82</t>
  </si>
  <si>
    <t>33.40</t>
  </si>
  <si>
    <t>1:35.28</t>
  </si>
  <si>
    <t>21.88</t>
  </si>
  <si>
    <t>1:48.16</t>
  </si>
  <si>
    <t>16.96</t>
  </si>
  <si>
    <t>33.400</t>
  </si>
  <si>
    <t>3:14.99</t>
  </si>
  <si>
    <t>2:57.57</t>
  </si>
  <si>
    <t>4:26.57</t>
  </si>
  <si>
    <t>3:24.82</t>
  </si>
  <si>
    <t>1:08.35</t>
  </si>
  <si>
    <t>33.60</t>
  </si>
  <si>
    <t>1:11.39</t>
  </si>
  <si>
    <t>1:54.11</t>
  </si>
  <si>
    <t xml:space="preserve">  [2,2] triplejump, blooperless</t>
  </si>
  <si>
    <t>30.16</t>
  </si>
  <si>
    <t>48.27</t>
  </si>
  <si>
    <t>1:13.94</t>
  </si>
  <si>
    <t>31.83</t>
  </si>
  <si>
    <t>45.26</t>
  </si>
  <si>
    <t>1:04.94</t>
  </si>
  <si>
    <t>52.03</t>
  </si>
  <si>
    <t>2:58.31</t>
  </si>
  <si>
    <t>1:04.52</t>
  </si>
  <si>
    <t>1:42.61</t>
  </si>
  <si>
    <t>35.001</t>
  </si>
  <si>
    <t>28.18</t>
  </si>
  <si>
    <t>2:13.06</t>
  </si>
  <si>
    <t>1:39.33</t>
  </si>
  <si>
    <t>32.43</t>
  </si>
  <si>
    <t>1:38</t>
  </si>
  <si>
    <t>2:00.21</t>
  </si>
  <si>
    <t>27.72</t>
  </si>
  <si>
    <t>1:51</t>
  </si>
  <si>
    <t>1:26.50</t>
  </si>
  <si>
    <t>548</t>
  </si>
  <si>
    <t>34</t>
  </si>
  <si>
    <t>3:34</t>
  </si>
  <si>
    <t>32.40</t>
  </si>
  <si>
    <t>53.81</t>
  </si>
  <si>
    <t>1:58.68</t>
  </si>
  <si>
    <t>1:30.85</t>
  </si>
  <si>
    <t>1:23.65</t>
  </si>
  <si>
    <t>20.97</t>
  </si>
  <si>
    <t>1:16.67</t>
  </si>
  <si>
    <t>11.64</t>
  </si>
  <si>
    <t>24.99</t>
  </si>
  <si>
    <t>2:19</t>
  </si>
  <si>
    <t>21.02</t>
  </si>
  <si>
    <t>4:42.07</t>
  </si>
  <si>
    <t>1:28</t>
  </si>
  <si>
    <t>22.889</t>
  </si>
  <si>
    <t>4:07</t>
  </si>
  <si>
    <t>52.02</t>
  </si>
  <si>
    <t>5:37.04</t>
  </si>
  <si>
    <t>17.23</t>
  </si>
  <si>
    <t>1:12.53</t>
  </si>
  <si>
    <t>23.99</t>
  </si>
  <si>
    <t>58.58</t>
  </si>
  <si>
    <t>3:24.11</t>
  </si>
  <si>
    <t xml:space="preserve">  [2] blooperless</t>
  </si>
  <si>
    <t>1:48.94</t>
  </si>
  <si>
    <t>35.32</t>
  </si>
  <si>
    <t>1:16.90</t>
  </si>
  <si>
    <t>55.58</t>
  </si>
  <si>
    <t>18.88</t>
  </si>
  <si>
    <t>1:09.85</t>
  </si>
  <si>
    <t>1:19.22</t>
  </si>
  <si>
    <t>55.74</t>
  </si>
  <si>
    <t>19.08</t>
  </si>
  <si>
    <t>57.18</t>
  </si>
  <si>
    <t>19.11</t>
  </si>
  <si>
    <t>1:28.71</t>
  </si>
  <si>
    <t>1:17.52</t>
  </si>
  <si>
    <t>20.67</t>
  </si>
  <si>
    <t>56</t>
  </si>
  <si>
    <t>46.57</t>
  </si>
  <si>
    <t>41.50</t>
  </si>
  <si>
    <t>19.34</t>
  </si>
  <si>
    <t>3:17.87</t>
  </si>
  <si>
    <t>2:00</t>
  </si>
  <si>
    <t>1:28.42</t>
  </si>
  <si>
    <t>12.57</t>
  </si>
  <si>
    <t>Dex</t>
  </si>
  <si>
    <t>20.320</t>
  </si>
  <si>
    <t>332</t>
  </si>
  <si>
    <t>1:38.70</t>
  </si>
  <si>
    <t>29.14</t>
  </si>
  <si>
    <t>3:46.81</t>
  </si>
  <si>
    <t>54.17</t>
  </si>
  <si>
    <t>1:07.09</t>
  </si>
  <si>
    <t>43.77</t>
  </si>
  <si>
    <t>2:04.69</t>
  </si>
  <si>
    <t>2:41.01</t>
  </si>
  <si>
    <t>19.45</t>
  </si>
  <si>
    <t>48.05</t>
  </si>
  <si>
    <t>18.85</t>
  </si>
  <si>
    <t>2:01.12</t>
  </si>
  <si>
    <t>3:06:10</t>
  </si>
  <si>
    <t>26.65</t>
  </si>
  <si>
    <t>19.28</t>
  </si>
  <si>
    <t>2:08.36</t>
  </si>
  <si>
    <t>2:35.95</t>
  </si>
  <si>
    <t>2:06.43</t>
  </si>
  <si>
    <t>2:18.86</t>
  </si>
  <si>
    <t>19.06</t>
  </si>
  <si>
    <t>19.85</t>
  </si>
  <si>
    <t>19.31</t>
  </si>
  <si>
    <t>3:27.54</t>
  </si>
  <si>
    <t>1:37.66</t>
  </si>
  <si>
    <t>1:21.51</t>
  </si>
  <si>
    <t>3:15.67</t>
  </si>
  <si>
    <t>1:04.25</t>
  </si>
  <si>
    <t>2:23.56</t>
  </si>
  <si>
    <t>Episode 3</t>
  </si>
  <si>
    <t>[1] spin-jump</t>
  </si>
  <si>
    <t>1:53.53</t>
  </si>
  <si>
    <t>36.89</t>
  </si>
  <si>
    <t>3:21.09</t>
  </si>
  <si>
    <t>2:01.57</t>
  </si>
  <si>
    <t>16.34</t>
  </si>
  <si>
    <t>2:31.71</t>
  </si>
  <si>
    <t>1:22.71</t>
  </si>
  <si>
    <t>16.52</t>
  </si>
  <si>
    <t>17.517</t>
  </si>
  <si>
    <t>3:19.30</t>
  </si>
  <si>
    <t>2:21.24</t>
  </si>
  <si>
    <t>16.24</t>
  </si>
  <si>
    <t>1:09.02</t>
  </si>
  <si>
    <t>38.08</t>
  </si>
  <si>
    <t>27.68</t>
  </si>
  <si>
    <t>2:01.52</t>
  </si>
  <si>
    <t>1:34.51</t>
  </si>
  <si>
    <t>1:16.29</t>
  </si>
  <si>
    <t>3:02.05</t>
  </si>
  <si>
    <t>1:08.42</t>
  </si>
  <si>
    <t>17.08</t>
  </si>
  <si>
    <t>17.51</t>
  </si>
  <si>
    <t>1:30.94</t>
  </si>
  <si>
    <t>28.68</t>
  </si>
  <si>
    <t>31.78</t>
  </si>
  <si>
    <t>50.69</t>
  </si>
  <si>
    <t>58.81</t>
  </si>
  <si>
    <t>33.28</t>
  </si>
  <si>
    <t>1:49.61</t>
  </si>
  <si>
    <t>2:12.93</t>
  </si>
  <si>
    <t>44.13</t>
  </si>
  <si>
    <t xml:space="preserve">  [2] front-slide beyblade</t>
  </si>
  <si>
    <t>15.04</t>
  </si>
  <si>
    <t>44.71</t>
  </si>
  <si>
    <t>1:33.09</t>
  </si>
  <si>
    <t>509</t>
  </si>
  <si>
    <t>1:55</t>
  </si>
  <si>
    <t>23.16</t>
  </si>
  <si>
    <t>1:44</t>
  </si>
  <si>
    <t>1:21.89</t>
  </si>
  <si>
    <t>1:22.50</t>
  </si>
  <si>
    <t>1:10.55</t>
  </si>
  <si>
    <t>1:17.20</t>
  </si>
  <si>
    <t>15.83</t>
  </si>
  <si>
    <t>4:33.10</t>
  </si>
  <si>
    <t>18.10</t>
  </si>
  <si>
    <t>3:24.79</t>
  </si>
  <si>
    <t>1:33.71</t>
  </si>
  <si>
    <t>17.10</t>
  </si>
  <si>
    <t>3:18.28</t>
  </si>
  <si>
    <t>43.68</t>
  </si>
  <si>
    <t>1:49</t>
  </si>
  <si>
    <t>21.09</t>
  </si>
  <si>
    <t>1:51.55</t>
  </si>
  <si>
    <t>1:18.82</t>
  </si>
  <si>
    <t>1:19.63</t>
  </si>
  <si>
    <t>56.35</t>
  </si>
  <si>
    <t>1:20.33</t>
  </si>
  <si>
    <t>20.91</t>
  </si>
  <si>
    <t>47.57</t>
  </si>
  <si>
    <t>3:15.57</t>
  </si>
  <si>
    <t>2:46.83</t>
  </si>
  <si>
    <t>2:56</t>
  </si>
  <si>
    <t>46.90</t>
  </si>
  <si>
    <t>20.76</t>
  </si>
  <si>
    <t>15.24</t>
  </si>
  <si>
    <t>1:06.32</t>
  </si>
  <si>
    <t>1:13.28</t>
  </si>
  <si>
    <t>4:02</t>
  </si>
  <si>
    <t>1:42.35</t>
  </si>
  <si>
    <t>16.63</t>
  </si>
  <si>
    <t>3:27.20</t>
  </si>
  <si>
    <t>1:08.54</t>
  </si>
  <si>
    <t>34.92</t>
  </si>
  <si>
    <t>1:15.37</t>
  </si>
  <si>
    <t>3:04.84</t>
  </si>
  <si>
    <t>1:15.43</t>
  </si>
  <si>
    <t>1:08.39</t>
  </si>
  <si>
    <t>2:11.89</t>
  </si>
  <si>
    <t>45.47</t>
  </si>
  <si>
    <t>4:01</t>
  </si>
  <si>
    <t>Switchmaster</t>
  </si>
  <si>
    <t>505</t>
  </si>
  <si>
    <t>35</t>
  </si>
  <si>
    <t>1:24.98</t>
  </si>
  <si>
    <t>1:11.96</t>
  </si>
  <si>
    <t>1:17.31</t>
  </si>
  <si>
    <t>1:57</t>
  </si>
  <si>
    <t>15.26</t>
  </si>
  <si>
    <t>4:43.52</t>
  </si>
  <si>
    <t>3:30.91</t>
  </si>
  <si>
    <t>1:35.71</t>
  </si>
  <si>
    <t>3:19</t>
  </si>
  <si>
    <t>10.98</t>
  </si>
  <si>
    <t>1:18.26</t>
  </si>
  <si>
    <t>31.58</t>
  </si>
  <si>
    <t>19.48</t>
  </si>
  <si>
    <t xml:space="preserve">    [3] back-slide beyblade</t>
  </si>
  <si>
    <t>53.96</t>
  </si>
  <si>
    <t>3:11.04</t>
  </si>
  <si>
    <t>2:24</t>
  </si>
  <si>
    <t>1:33.13</t>
  </si>
  <si>
    <t>1:06.26</t>
  </si>
  <si>
    <t>17.47</t>
  </si>
  <si>
    <t>3:05</t>
  </si>
  <si>
    <t>48.67</t>
  </si>
  <si>
    <t>1:38.49</t>
  </si>
  <si>
    <t>1:49.15</t>
  </si>
  <si>
    <t>1:54.52</t>
  </si>
  <si>
    <t>2:01.44</t>
  </si>
  <si>
    <t>14.74</t>
  </si>
  <si>
    <t>2:42</t>
  </si>
  <si>
    <t>3:21.94</t>
  </si>
  <si>
    <t>1:08.05</t>
  </si>
  <si>
    <t>35.03</t>
  </si>
  <si>
    <t>2:59.00</t>
  </si>
  <si>
    <t>14.54</t>
  </si>
  <si>
    <t>14.47</t>
  </si>
  <si>
    <t>22.67</t>
  </si>
  <si>
    <t>1:10.68</t>
  </si>
  <si>
    <t>1:40.64</t>
  </si>
  <si>
    <t>28.71</t>
  </si>
  <si>
    <t>1:59.80</t>
  </si>
  <si>
    <t>37.73</t>
  </si>
  <si>
    <t>1:20.05</t>
  </si>
  <si>
    <t>1:38.00</t>
  </si>
  <si>
    <t>22.84</t>
  </si>
  <si>
    <t>1:15.93</t>
  </si>
  <si>
    <t>15.648</t>
  </si>
  <si>
    <t>14.81</t>
  </si>
  <si>
    <t>Paper</t>
  </si>
  <si>
    <t>14.84</t>
  </si>
  <si>
    <t>33</t>
  </si>
  <si>
    <t>1:21.54</t>
  </si>
  <si>
    <t>3:32.30</t>
  </si>
  <si>
    <t>1:29.68</t>
  </si>
  <si>
    <t>17.13</t>
  </si>
  <si>
    <t>3:17.xx</t>
  </si>
  <si>
    <t>46.68</t>
  </si>
  <si>
    <t>1:47.80</t>
  </si>
  <si>
    <t>1:19.55</t>
  </si>
  <si>
    <t>17.41</t>
  </si>
  <si>
    <t>55.88</t>
  </si>
  <si>
    <t>47.81</t>
  </si>
  <si>
    <t>3:11.31</t>
  </si>
  <si>
    <t>1:25.01</t>
  </si>
  <si>
    <t>1:30.67</t>
  </si>
  <si>
    <t>53.11</t>
  </si>
  <si>
    <t>47.77</t>
  </si>
  <si>
    <t>1:02.78</t>
  </si>
  <si>
    <t>1:12.62</t>
  </si>
  <si>
    <t>1:55.43</t>
  </si>
  <si>
    <t>17.70</t>
  </si>
  <si>
    <t>1:45.25</t>
  </si>
  <si>
    <t>1:51.49</t>
  </si>
  <si>
    <t>16.77</t>
  </si>
  <si>
    <t>31.88</t>
  </si>
  <si>
    <t>1:59.94</t>
  </si>
  <si>
    <t>3:18.75</t>
  </si>
  <si>
    <t>1:08.17</t>
  </si>
  <si>
    <t>2:57.xx</t>
  </si>
  <si>
    <t>peaches</t>
  </si>
  <si>
    <t>1:09.34</t>
  </si>
  <si>
    <t>1:41.83</t>
  </si>
  <si>
    <t>28.48</t>
  </si>
  <si>
    <t>326</t>
  </si>
  <si>
    <t>1:37.60</t>
  </si>
  <si>
    <t>1:59.81</t>
  </si>
  <si>
    <t>14.76</t>
  </si>
  <si>
    <t>25.40</t>
  </si>
  <si>
    <t>45.80</t>
  </si>
  <si>
    <t>14.80</t>
  </si>
  <si>
    <t>37</t>
  </si>
  <si>
    <t>475</t>
  </si>
  <si>
    <t>2:57.96</t>
  </si>
  <si>
    <t>3:25.65</t>
  </si>
  <si>
    <t>2:33.91</t>
  </si>
  <si>
    <t>1:20.84</t>
  </si>
  <si>
    <t>4:25.96</t>
  </si>
  <si>
    <t>24.59</t>
  </si>
  <si>
    <t>14.90</t>
  </si>
  <si>
    <t>15.81</t>
  </si>
  <si>
    <t>4:04.30</t>
  </si>
  <si>
    <t>1:34.64</t>
  </si>
  <si>
    <t>3:22.06</t>
  </si>
  <si>
    <t>2:58.99</t>
  </si>
  <si>
    <t>1:29.29</t>
  </si>
  <si>
    <t>3:32.67</t>
  </si>
  <si>
    <t>1:08.85</t>
  </si>
  <si>
    <t>2:30.69</t>
  </si>
  <si>
    <t>3:47.65</t>
  </si>
  <si>
    <t>43.26</t>
  </si>
  <si>
    <t>1:53.51</t>
  </si>
  <si>
    <t>1:23.95</t>
  </si>
  <si>
    <t>2:10.51</t>
  </si>
  <si>
    <t>55.81</t>
  </si>
  <si>
    <t>53.08</t>
  </si>
  <si>
    <t>9389</t>
  </si>
  <si>
    <t>1:01.38</t>
  </si>
  <si>
    <t>1:21.84</t>
  </si>
  <si>
    <t>22.04</t>
  </si>
  <si>
    <t>1:24.07</t>
  </si>
  <si>
    <t>36.45</t>
  </si>
  <si>
    <t>14.91</t>
  </si>
  <si>
    <t>3:15.89</t>
  </si>
  <si>
    <t>2:47.46</t>
  </si>
  <si>
    <t>59.32</t>
  </si>
  <si>
    <t>1:23.38</t>
  </si>
  <si>
    <t>1:58.39</t>
  </si>
  <si>
    <t>Episode 4 (Full)</t>
  </si>
  <si>
    <t>54.63</t>
  </si>
  <si>
    <t>[1] no beyblade</t>
  </si>
  <si>
    <t>45.46</t>
  </si>
  <si>
    <t>59.05</t>
  </si>
  <si>
    <t>1:04.18</t>
  </si>
  <si>
    <t>34.49</t>
  </si>
  <si>
    <t>2:16.01</t>
  </si>
  <si>
    <t>2:18.15</t>
  </si>
  <si>
    <t>2:20.08</t>
  </si>
  <si>
    <t>2:19.81</t>
  </si>
  <si>
    <t>1:37.79</t>
  </si>
  <si>
    <t>1:42.59</t>
  </si>
  <si>
    <t>49.87</t>
  </si>
  <si>
    <t>1:51.03</t>
  </si>
  <si>
    <t>1:59.50</t>
  </si>
  <si>
    <t>36.81</t>
  </si>
  <si>
    <t>1:59.26</t>
  </si>
  <si>
    <t>4:14.93</t>
  </si>
  <si>
    <t>3:36.93</t>
  </si>
  <si>
    <t>1:10.02</t>
  </si>
  <si>
    <t>37.53</t>
  </si>
  <si>
    <t>30.14</t>
  </si>
  <si>
    <t>1:21.62</t>
  </si>
  <si>
    <t>4:30.02</t>
  </si>
  <si>
    <t>3:04.37</t>
  </si>
  <si>
    <t>49.09</t>
  </si>
  <si>
    <t>1:13.49</t>
  </si>
  <si>
    <t>46.82</t>
  </si>
  <si>
    <t>26.99</t>
  </si>
  <si>
    <t>1:38.69</t>
  </si>
  <si>
    <t>1:19.20</t>
  </si>
  <si>
    <t>2:21.44</t>
  </si>
  <si>
    <t>2:38.72</t>
  </si>
  <si>
    <t>42.34</t>
  </si>
  <si>
    <t>28.95</t>
  </si>
  <si>
    <t>47.914</t>
  </si>
  <si>
    <t>1:46.72</t>
  </si>
  <si>
    <t>1:58.77</t>
  </si>
  <si>
    <t>2:13.56</t>
  </si>
  <si>
    <t>1:49.19</t>
  </si>
  <si>
    <t>2:04.93</t>
  </si>
  <si>
    <t>39.28</t>
  </si>
  <si>
    <t>46.16</t>
  </si>
  <si>
    <t>1:26.45</t>
  </si>
  <si>
    <t>2:01.00</t>
  </si>
  <si>
    <t>46.19</t>
  </si>
  <si>
    <t>1:11.03</t>
  </si>
  <si>
    <t>424</t>
  </si>
  <si>
    <t>2:05</t>
  </si>
  <si>
    <t>56.08</t>
  </si>
  <si>
    <t>1:27.34</t>
  </si>
  <si>
    <t>1:11.33</t>
  </si>
  <si>
    <t>3:32.83</t>
  </si>
  <si>
    <t>1:32.77</t>
  </si>
  <si>
    <t>17.50</t>
  </si>
  <si>
    <t>1:11.23</t>
  </si>
  <si>
    <t>3:18.32</t>
  </si>
  <si>
    <t>1:20.67</t>
  </si>
  <si>
    <t>1:22.20</t>
  </si>
  <si>
    <t>3:12.68</t>
  </si>
  <si>
    <t>1:43</t>
  </si>
  <si>
    <t>2:37</t>
  </si>
  <si>
    <t>54.24</t>
  </si>
  <si>
    <t xml:space="preserve">  [2] beyblade</t>
  </si>
  <si>
    <t>17.03</t>
  </si>
  <si>
    <t>1:41.44</t>
  </si>
  <si>
    <t>2:02.49</t>
  </si>
  <si>
    <t>15.97</t>
  </si>
  <si>
    <t>16.23</t>
  </si>
  <si>
    <t>3:21.23</t>
  </si>
  <si>
    <t>34.93</t>
  </si>
  <si>
    <t>33.68</t>
  </si>
  <si>
    <t>1:48.15</t>
  </si>
  <si>
    <t>35.22</t>
  </si>
  <si>
    <t>1:16.40</t>
  </si>
  <si>
    <t>57.45</t>
  </si>
  <si>
    <t>36.25</t>
  </si>
  <si>
    <t>2:57.94</t>
  </si>
  <si>
    <t>1:05.73</t>
  </si>
  <si>
    <t>1:43.79</t>
  </si>
  <si>
    <t>43.29</t>
  </si>
  <si>
    <t>44.38</t>
  </si>
  <si>
    <t>4:10</t>
  </si>
  <si>
    <t>27.79</t>
  </si>
  <si>
    <t>1:40.18</t>
  </si>
  <si>
    <t>2:06.62</t>
  </si>
  <si>
    <t>44.83</t>
  </si>
  <si>
    <t>43.72</t>
  </si>
  <si>
    <t>316</t>
  </si>
  <si>
    <t>Corginess</t>
  </si>
  <si>
    <t>1:03.25</t>
  </si>
  <si>
    <t>365</t>
  </si>
  <si>
    <t>2:40.543</t>
  </si>
  <si>
    <t>1:19.43</t>
  </si>
  <si>
    <t>4:22.48</t>
  </si>
  <si>
    <t>1:25.97</t>
  </si>
  <si>
    <t>3:22.31</t>
  </si>
  <si>
    <t>44.64</t>
  </si>
  <si>
    <t>1:54.74</t>
  </si>
  <si>
    <t>1:20.78</t>
  </si>
  <si>
    <t>1:29.69</t>
  </si>
  <si>
    <t>1:18.76</t>
  </si>
  <si>
    <t>22.62</t>
  </si>
  <si>
    <t>47.94</t>
  </si>
  <si>
    <t>3:16.43</t>
  </si>
  <si>
    <t>3:04.184</t>
  </si>
  <si>
    <t>2:54.63</t>
  </si>
  <si>
    <t>44.39</t>
  </si>
  <si>
    <t>44.48</t>
  </si>
  <si>
    <t>2:36.122</t>
  </si>
  <si>
    <t>1:24.29</t>
  </si>
  <si>
    <t>53.05</t>
  </si>
  <si>
    <t>1:10.79</t>
  </si>
  <si>
    <t>2:10.22</t>
  </si>
  <si>
    <t>45.01</t>
  </si>
  <si>
    <t>2:17.11</t>
  </si>
  <si>
    <t>17.64</t>
  </si>
  <si>
    <t>16.41</t>
  </si>
  <si>
    <t>2:49.969</t>
  </si>
  <si>
    <t>1:56.23</t>
  </si>
  <si>
    <t>1:53.36</t>
  </si>
  <si>
    <t>1:52.03</t>
  </si>
  <si>
    <t>3:27.15</t>
  </si>
  <si>
    <t>3:16.963</t>
  </si>
  <si>
    <t>43.54</t>
  </si>
  <si>
    <t>18.06</t>
  </si>
  <si>
    <t>3:18.01</t>
  </si>
  <si>
    <t>3:50.16</t>
  </si>
  <si>
    <t>3:28.408</t>
  </si>
  <si>
    <t>2:57.33</t>
  </si>
  <si>
    <t>1:20.43</t>
  </si>
  <si>
    <t>43.88</t>
  </si>
  <si>
    <t>55.11</t>
  </si>
  <si>
    <t>2:47.87</t>
  </si>
  <si>
    <t>44.32</t>
  </si>
  <si>
    <t>1:38.65</t>
  </si>
  <si>
    <t>44.11</t>
  </si>
  <si>
    <t>2:14.68</t>
  </si>
  <si>
    <t>1:34.08</t>
  </si>
  <si>
    <t>44.91</t>
  </si>
  <si>
    <t>46.80</t>
  </si>
  <si>
    <t>2:43.81</t>
  </si>
  <si>
    <t>344</t>
  </si>
  <si>
    <t>45.65</t>
  </si>
  <si>
    <t>1:56.382</t>
  </si>
  <si>
    <t>1:13.24</t>
  </si>
  <si>
    <t>3:23.44</t>
  </si>
  <si>
    <t>1:38.15</t>
  </si>
  <si>
    <t>39.10</t>
  </si>
  <si>
    <t>1:30.54</t>
  </si>
  <si>
    <t>54.320</t>
  </si>
  <si>
    <t>32.132</t>
  </si>
  <si>
    <t>3:25.29</t>
  </si>
  <si>
    <t>43.81</t>
  </si>
  <si>
    <t>1:24.97</t>
  </si>
  <si>
    <t>1:27.09</t>
  </si>
  <si>
    <t>59.96</t>
  </si>
  <si>
    <t>35.96</t>
  </si>
  <si>
    <t>3:34.94</t>
  </si>
  <si>
    <t>3:11.57</t>
  </si>
  <si>
    <t>1:24.46</t>
  </si>
  <si>
    <t>1:05.25</t>
  </si>
  <si>
    <t>1:13.93</t>
  </si>
  <si>
    <t>1:28.254</t>
  </si>
  <si>
    <t>52.152</t>
  </si>
  <si>
    <t>1:01.71</t>
  </si>
  <si>
    <t>1:00.55</t>
  </si>
  <si>
    <t>[1] yellow cycle</t>
  </si>
  <si>
    <t>2:06.80</t>
  </si>
  <si>
    <t>2:30.06</t>
  </si>
  <si>
    <t>2:21.49</t>
  </si>
  <si>
    <t>2:06.40</t>
  </si>
  <si>
    <t>1:38.95</t>
  </si>
  <si>
    <t>36.669</t>
  </si>
  <si>
    <t>1:55.20</t>
  </si>
  <si>
    <t>2:11.51</t>
  </si>
  <si>
    <t>1:59.89</t>
  </si>
  <si>
    <t>3:35.27</t>
  </si>
  <si>
    <t>1:53.83</t>
  </si>
  <si>
    <t>1:24.02</t>
  </si>
  <si>
    <t>4:28.62</t>
  </si>
  <si>
    <t>3:02.38</t>
  </si>
  <si>
    <t>1:13.29</t>
  </si>
  <si>
    <t>58.78</t>
  </si>
  <si>
    <t>47.33</t>
  </si>
  <si>
    <t>1:35.18</t>
  </si>
  <si>
    <t>29.42</t>
  </si>
  <si>
    <t>1:37.45</t>
  </si>
  <si>
    <t>1:53.92</t>
  </si>
  <si>
    <t>2:11.35</t>
  </si>
  <si>
    <t>34.000</t>
  </si>
  <si>
    <t>45.37</t>
  </si>
  <si>
    <t>1:21.81</t>
  </si>
  <si>
    <t>1:58.xx</t>
  </si>
  <si>
    <t>1:02.662</t>
  </si>
  <si>
    <t>1:44.65</t>
  </si>
  <si>
    <t>SB</t>
  </si>
  <si>
    <t>315</t>
  </si>
  <si>
    <t>1:11.88</t>
  </si>
  <si>
    <t>1:19.88</t>
  </si>
  <si>
    <t>4:33.58</t>
  </si>
  <si>
    <t>3:20.36</t>
  </si>
  <si>
    <t>1:50.243</t>
  </si>
  <si>
    <t>32.766</t>
  </si>
  <si>
    <t>1:17.90</t>
  </si>
  <si>
    <t>2:00.019</t>
  </si>
  <si>
    <t xml:space="preserve">  [2,1] "backup" blue cycle</t>
  </si>
  <si>
    <t>30.86</t>
  </si>
  <si>
    <t>2:53.006</t>
  </si>
  <si>
    <t>3:17.75</t>
  </si>
  <si>
    <t>2:42.79</t>
  </si>
  <si>
    <t>31.1</t>
  </si>
  <si>
    <t>18.00</t>
  </si>
  <si>
    <t>3:08.988</t>
  </si>
  <si>
    <t>31.49</t>
  </si>
  <si>
    <t>1:53.67</t>
  </si>
  <si>
    <t>26.61</t>
  </si>
  <si>
    <t>16.80</t>
  </si>
  <si>
    <t>3:20.92</t>
  </si>
  <si>
    <t>3:46.059</t>
  </si>
  <si>
    <t>29.06</t>
  </si>
  <si>
    <t>42.55</t>
  </si>
  <si>
    <t>2:59.53</t>
  </si>
  <si>
    <t>2:19.706</t>
  </si>
  <si>
    <t xml:space="preserve">  [2,2] blue cycle</t>
  </si>
  <si>
    <t>41.39</t>
  </si>
  <si>
    <t>2:47.26</t>
  </si>
  <si>
    <t>1:53.680</t>
  </si>
  <si>
    <t>30.39</t>
  </si>
  <si>
    <t>29.99</t>
  </si>
  <si>
    <t>2:36.256</t>
  </si>
  <si>
    <t>29.96</t>
  </si>
  <si>
    <t>41.95</t>
  </si>
  <si>
    <t>288</t>
  </si>
  <si>
    <t>1:33.259</t>
  </si>
  <si>
    <t>30.26</t>
  </si>
  <si>
    <t>1:21.57</t>
  </si>
  <si>
    <t>1:31.38</t>
  </si>
  <si>
    <t>4:50.50</t>
  </si>
  <si>
    <t>3:40.45</t>
  </si>
  <si>
    <t>32.71</t>
  </si>
  <si>
    <t>1:36.37</t>
  </si>
  <si>
    <t>35.53</t>
  </si>
  <si>
    <t>1:31.43</t>
  </si>
  <si>
    <t>3:22.96</t>
  </si>
  <si>
    <t>48.24</t>
  </si>
  <si>
    <t>1:53.37</t>
  </si>
  <si>
    <t>1:28.61</t>
  </si>
  <si>
    <t>53.73</t>
  </si>
  <si>
    <t>1:24.60</t>
  </si>
  <si>
    <t>1:24.06</t>
  </si>
  <si>
    <t>6:23</t>
  </si>
  <si>
    <t>3:31.60</t>
  </si>
  <si>
    <t>42.61</t>
  </si>
  <si>
    <t>57.21</t>
  </si>
  <si>
    <t>1:10.62</t>
  </si>
  <si>
    <t>30.65</t>
  </si>
  <si>
    <t>2:16.66</t>
  </si>
  <si>
    <t>2:12.14</t>
  </si>
  <si>
    <t>2:15.96</t>
  </si>
  <si>
    <t>2:13.09</t>
  </si>
  <si>
    <t>45.95</t>
  </si>
  <si>
    <t>1:52.87</t>
  </si>
  <si>
    <t>1:55.76</t>
  </si>
  <si>
    <t>1:56.57</t>
  </si>
  <si>
    <t>19.56</t>
  </si>
  <si>
    <t>3:41.35</t>
  </si>
  <si>
    <t>25.38</t>
  </si>
  <si>
    <t>34.38</t>
  </si>
  <si>
    <t>38.63</t>
  </si>
  <si>
    <t>32.16</t>
  </si>
  <si>
    <t>2:03.64</t>
  </si>
  <si>
    <t>4:02.94</t>
  </si>
  <si>
    <t>1:19.79</t>
  </si>
  <si>
    <t>3:27.06</t>
  </si>
  <si>
    <t>1:18.39</t>
  </si>
  <si>
    <t>1:34.71</t>
  </si>
  <si>
    <t>28.94</t>
  </si>
  <si>
    <t>1:51.66</t>
  </si>
  <si>
    <t>2:11.69</t>
  </si>
  <si>
    <t>11.06</t>
  </si>
  <si>
    <t>1:11.16</t>
  </si>
  <si>
    <t>1:38.04</t>
  </si>
  <si>
    <t>1:21.86</t>
  </si>
  <si>
    <t>42.19</t>
  </si>
  <si>
    <t>30.06</t>
  </si>
  <si>
    <t>30.51</t>
  </si>
  <si>
    <t>30.46</t>
  </si>
  <si>
    <t>1:28.21</t>
  </si>
  <si>
    <t>280</t>
  </si>
  <si>
    <t>30.58</t>
  </si>
  <si>
    <t>51.97</t>
  </si>
  <si>
    <t>299</t>
  </si>
  <si>
    <t>30.19</t>
  </si>
  <si>
    <t>52</t>
  </si>
  <si>
    <t>3:14.38</t>
  </si>
  <si>
    <t>3:43.94</t>
  </si>
  <si>
    <t>1:21.39</t>
  </si>
  <si>
    <t>1:33.67</t>
  </si>
  <si>
    <t>3:26.83</t>
  </si>
  <si>
    <t>3:19.22</t>
  </si>
  <si>
    <t>3:29.88</t>
  </si>
  <si>
    <t>33.87</t>
  </si>
  <si>
    <t>2:48.52</t>
  </si>
  <si>
    <t>5:12.37</t>
  </si>
  <si>
    <t>3:27.12</t>
  </si>
  <si>
    <t>51.37</t>
  </si>
  <si>
    <t>4:17.58</t>
  </si>
  <si>
    <t>3:03.91</t>
  </si>
  <si>
    <t>2:45.87</t>
  </si>
  <si>
    <t>2:04.79</t>
  </si>
  <si>
    <t>2:46.98</t>
  </si>
  <si>
    <t>57.76</t>
  </si>
  <si>
    <t>56.11</t>
  </si>
  <si>
    <t>[1] smokestack</t>
  </si>
  <si>
    <t>1:06.76</t>
  </si>
  <si>
    <t>14.93</t>
  </si>
  <si>
    <t>56.05</t>
  </si>
  <si>
    <t>35.19</t>
  </si>
  <si>
    <t>56.15</t>
  </si>
  <si>
    <t>1:04.72</t>
  </si>
  <si>
    <t>9.89</t>
  </si>
  <si>
    <t>1:31.01</t>
  </si>
  <si>
    <t>2:08</t>
  </si>
  <si>
    <t>2:41</t>
  </si>
  <si>
    <t>49.74</t>
  </si>
  <si>
    <t>2:11</t>
  </si>
  <si>
    <t>15.015</t>
  </si>
  <si>
    <t>3:23</t>
  </si>
  <si>
    <t>3:07</t>
  </si>
  <si>
    <t>4:31</t>
  </si>
  <si>
    <t>2:34</t>
  </si>
  <si>
    <t>4:37</t>
  </si>
  <si>
    <t>2:04</t>
  </si>
  <si>
    <t>20.94</t>
  </si>
  <si>
    <t>4:03</t>
  </si>
  <si>
    <t>3:34.17</t>
  </si>
  <si>
    <t>2:38</t>
  </si>
  <si>
    <t>1:32.80</t>
  </si>
  <si>
    <t>1:32</t>
  </si>
  <si>
    <t>2:07.70</t>
  </si>
  <si>
    <t>2:50</t>
  </si>
  <si>
    <t>3:26.18</t>
  </si>
  <si>
    <t>43.91</t>
  </si>
  <si>
    <t>1:20.24</t>
  </si>
  <si>
    <t>1:01.02</t>
  </si>
  <si>
    <t>2:33.51</t>
  </si>
  <si>
    <t>47.11</t>
  </si>
  <si>
    <t>3:19.68</t>
  </si>
  <si>
    <t>32.91</t>
  </si>
  <si>
    <t>33.93</t>
  </si>
  <si>
    <t>49.40</t>
  </si>
  <si>
    <t>48.23</t>
  </si>
  <si>
    <t>1:13.59</t>
  </si>
  <si>
    <t xml:space="preserve">  [2] no beyblade</t>
  </si>
  <si>
    <t>2:25.77</t>
  </si>
  <si>
    <t>22.07</t>
  </si>
  <si>
    <t>17.68</t>
  </si>
  <si>
    <t>4:23.94</t>
  </si>
  <si>
    <t>15.33</t>
  </si>
  <si>
    <t>1:06</t>
  </si>
  <si>
    <t>1:11.09</t>
  </si>
  <si>
    <t>2:26</t>
  </si>
  <si>
    <t>2:31</t>
  </si>
  <si>
    <t>15.148</t>
  </si>
  <si>
    <t>RSW</t>
  </si>
  <si>
    <t>45.19</t>
  </si>
  <si>
    <t>3:27.42</t>
  </si>
  <si>
    <t>1:08.15</t>
  </si>
  <si>
    <t>3:04.13</t>
  </si>
  <si>
    <t>297</t>
  </si>
  <si>
    <t>2:41.77</t>
  </si>
  <si>
    <t>4:51.40</t>
  </si>
  <si>
    <t>1:45.59</t>
  </si>
  <si>
    <t>2:28.30</t>
  </si>
  <si>
    <t>45.50</t>
  </si>
  <si>
    <t>53.95</t>
  </si>
  <si>
    <t>4:20.69</t>
  </si>
  <si>
    <t>3:10.32</t>
  </si>
  <si>
    <t>2:57.50</t>
  </si>
  <si>
    <t>3:21.17</t>
  </si>
  <si>
    <t>2:46.86</t>
  </si>
  <si>
    <t>27.64</t>
  </si>
  <si>
    <t>3:45.14</t>
  </si>
  <si>
    <t>3:20.41</t>
  </si>
  <si>
    <t>2:50.61</t>
  </si>
  <si>
    <t>3:29.66</t>
  </si>
  <si>
    <t>2:38.46</t>
  </si>
  <si>
    <t xml:space="preserve">    [3] beyblade, spinjump dive</t>
  </si>
  <si>
    <t>12.66</t>
  </si>
  <si>
    <t>2:37.58</t>
  </si>
  <si>
    <t>1:35.xx</t>
  </si>
  <si>
    <t>2:07.58</t>
  </si>
  <si>
    <t>2:31.62</t>
  </si>
  <si>
    <t>12.96</t>
  </si>
  <si>
    <t>1:34.62</t>
  </si>
  <si>
    <t>278</t>
  </si>
  <si>
    <t>13.03</t>
  </si>
  <si>
    <t>53.32</t>
  </si>
  <si>
    <t>12.67</t>
  </si>
  <si>
    <t>57.87</t>
  </si>
  <si>
    <t>1:01.64</t>
  </si>
  <si>
    <t>4:36.02</t>
  </si>
  <si>
    <t>35.76</t>
  </si>
  <si>
    <t>3:35.84</t>
  </si>
  <si>
    <t>43.78</t>
  </si>
  <si>
    <t>1:43.46</t>
  </si>
  <si>
    <t>1:20.52</t>
  </si>
  <si>
    <t>13.13</t>
  </si>
  <si>
    <t>1:07.48</t>
  </si>
  <si>
    <t>1:12.85</t>
  </si>
  <si>
    <t>9.94</t>
  </si>
  <si>
    <t>26.90</t>
  </si>
  <si>
    <t>14.748</t>
  </si>
  <si>
    <t>4:18</t>
  </si>
  <si>
    <t>2:21</t>
  </si>
  <si>
    <t>4:05</t>
  </si>
  <si>
    <t>3:24</t>
  </si>
  <si>
    <t>21.28</t>
  </si>
  <si>
    <t>1:15.69</t>
  </si>
  <si>
    <t>48.74</t>
  </si>
  <si>
    <t>3:33.03</t>
  </si>
  <si>
    <t>53.94</t>
  </si>
  <si>
    <t>38.85</t>
  </si>
  <si>
    <t>35.08</t>
  </si>
  <si>
    <t>12.80</t>
  </si>
  <si>
    <t>12.83</t>
  </si>
  <si>
    <t>58.94</t>
  </si>
  <si>
    <t>13.06</t>
  </si>
  <si>
    <t>1:58.06</t>
  </si>
  <si>
    <t>1:28.26</t>
  </si>
  <si>
    <t>3:36.76</t>
  </si>
  <si>
    <t>302</t>
  </si>
  <si>
    <t>4:11.97</t>
  </si>
  <si>
    <t>13.50</t>
  </si>
  <si>
    <t>1:11.95</t>
  </si>
  <si>
    <t>1:52.13</t>
  </si>
  <si>
    <t>2:13.77</t>
  </si>
  <si>
    <t>1:40.06</t>
  </si>
  <si>
    <t>42.62</t>
  </si>
  <si>
    <t>2:52.33</t>
  </si>
  <si>
    <t>2:32.93</t>
  </si>
  <si>
    <t>29.44</t>
  </si>
  <si>
    <t xml:space="preserve">      [4] beyblade, speed double-jump</t>
  </si>
  <si>
    <t>12.43</t>
  </si>
  <si>
    <t>1:44.02</t>
  </si>
  <si>
    <t>12.44</t>
  </si>
  <si>
    <t>2:04.78</t>
  </si>
  <si>
    <t>1:46.90</t>
  </si>
  <si>
    <t>1:43.69</t>
  </si>
  <si>
    <t>29.55</t>
  </si>
  <si>
    <t>12.55</t>
  </si>
  <si>
    <t>Jeff</t>
  </si>
  <si>
    <t>240</t>
  </si>
  <si>
    <t>2:02.36</t>
  </si>
  <si>
    <t>44.43</t>
  </si>
  <si>
    <t>56.85</t>
  </si>
  <si>
    <t>1:24.53</t>
  </si>
  <si>
    <t>4:41.91</t>
  </si>
  <si>
    <t>1:35.41</t>
  </si>
  <si>
    <t>53.69</t>
  </si>
  <si>
    <t>12.60</t>
  </si>
  <si>
    <t>2:46.02</t>
  </si>
  <si>
    <t>1:33.30</t>
  </si>
  <si>
    <t>3:29.30</t>
  </si>
  <si>
    <t>12.64</t>
  </si>
  <si>
    <t>1:03.65</t>
  </si>
  <si>
    <t>55.43</t>
  </si>
  <si>
    <t>3:27.40</t>
  </si>
  <si>
    <t>12.53</t>
  </si>
  <si>
    <t>3:13.68</t>
  </si>
  <si>
    <t>2:18.36</t>
  </si>
  <si>
    <t>1:17.77</t>
  </si>
  <si>
    <t>2:31.16</t>
  </si>
  <si>
    <t>2:16.53</t>
  </si>
  <si>
    <t>1:29.28</t>
  </si>
  <si>
    <t>2:03.07</t>
  </si>
  <si>
    <t>26.93</t>
  </si>
  <si>
    <t>[1] sewer</t>
  </si>
  <si>
    <t>3:39.83</t>
  </si>
  <si>
    <t>1:00.25</t>
  </si>
  <si>
    <t>3:43.80</t>
  </si>
  <si>
    <t>54.73</t>
  </si>
  <si>
    <t>1:02.31</t>
  </si>
  <si>
    <t>3:14.85</t>
  </si>
  <si>
    <t>1:34.12</t>
  </si>
  <si>
    <t>1:12.67</t>
  </si>
  <si>
    <t>1:34.82</t>
  </si>
  <si>
    <t>2:48</t>
  </si>
  <si>
    <t>31.73</t>
  </si>
  <si>
    <t>1:51.00</t>
  </si>
  <si>
    <t>2:11.63</t>
  </si>
  <si>
    <t>1:43.9</t>
  </si>
  <si>
    <t>2:09.82</t>
  </si>
  <si>
    <t>1:18.27</t>
  </si>
  <si>
    <t xml:space="preserve">  [2] catwalks, ramp spin</t>
  </si>
  <si>
    <t>55.51</t>
  </si>
  <si>
    <t>56.88</t>
  </si>
  <si>
    <t>237</t>
  </si>
  <si>
    <t>1:00.04</t>
  </si>
  <si>
    <t>5:46.50</t>
  </si>
  <si>
    <t>1:01.361</t>
  </si>
  <si>
    <t>56.31</t>
  </si>
  <si>
    <t>21.06</t>
  </si>
  <si>
    <t>57.91</t>
  </si>
  <si>
    <t>2:55.23</t>
  </si>
  <si>
    <t>20.33</t>
  </si>
  <si>
    <t>56.54</t>
  </si>
  <si>
    <t>1:16.17</t>
  </si>
  <si>
    <t>31.69</t>
  </si>
  <si>
    <t xml:space="preserve">    [3,1] catwalks, speed double-jump</t>
  </si>
  <si>
    <t>252</t>
  </si>
  <si>
    <t>11.00</t>
  </si>
  <si>
    <t>28</t>
  </si>
  <si>
    <t>54.74</t>
  </si>
  <si>
    <t>55.67</t>
  </si>
  <si>
    <t>49.44</t>
  </si>
  <si>
    <t>2:53.43</t>
  </si>
  <si>
    <t>3:22.97</t>
  </si>
  <si>
    <t>2:58.74</t>
  </si>
  <si>
    <t>3:58.69</t>
  </si>
  <si>
    <t>21.60</t>
  </si>
  <si>
    <t>2:44.45</t>
  </si>
  <si>
    <t>29.32</t>
  </si>
  <si>
    <t>55.455</t>
  </si>
  <si>
    <t>56.67</t>
  </si>
  <si>
    <t>56.28</t>
  </si>
  <si>
    <t>27.15</t>
  </si>
  <si>
    <t>24.04</t>
  </si>
  <si>
    <t>56.62</t>
  </si>
  <si>
    <t>55.38</t>
  </si>
  <si>
    <t>34.10</t>
  </si>
  <si>
    <t>9198</t>
  </si>
  <si>
    <t>53.06</t>
  </si>
  <si>
    <t>26.53</t>
  </si>
  <si>
    <t>89</t>
  </si>
  <si>
    <t>114</t>
  </si>
  <si>
    <t>1:48.03</t>
  </si>
  <si>
    <t>2:39</t>
  </si>
  <si>
    <t>13.69</t>
  </si>
  <si>
    <t xml:space="preserve">    [3,2] catwalks, speed double-jump, sumi</t>
  </si>
  <si>
    <t>2:20.67</t>
  </si>
  <si>
    <t>1:10.85</t>
  </si>
  <si>
    <t>38.48</t>
  </si>
  <si>
    <t>246</t>
  </si>
  <si>
    <t>55.75</t>
  </si>
  <si>
    <t>1:24.90</t>
  </si>
  <si>
    <t>57.11</t>
  </si>
  <si>
    <t>39.32</t>
  </si>
  <si>
    <t>4:23.75</t>
  </si>
  <si>
    <t>1:41.63</t>
  </si>
  <si>
    <t>Episode 6</t>
  </si>
  <si>
    <t>3:33.41</t>
  </si>
  <si>
    <t>[1] ⟳ clockwise "boomer" route</t>
  </si>
  <si>
    <t>1:32.84</t>
  </si>
  <si>
    <t>1:21.10</t>
  </si>
  <si>
    <t>2:33.02</t>
  </si>
  <si>
    <t>MrYhatoh</t>
  </si>
  <si>
    <t>248</t>
  </si>
  <si>
    <t>1:32.81</t>
  </si>
  <si>
    <t>3:19.13</t>
  </si>
  <si>
    <t>3:30.076</t>
  </si>
  <si>
    <t>3:11.15</t>
  </si>
  <si>
    <t>1:31.95</t>
  </si>
  <si>
    <t>2:46.68</t>
  </si>
  <si>
    <t>1:31.52</t>
  </si>
  <si>
    <t>3:27.27</t>
  </si>
  <si>
    <t>3:18.97</t>
  </si>
  <si>
    <t>1:46.40</t>
  </si>
  <si>
    <t>14.57</t>
  </si>
  <si>
    <t>2:28.50</t>
  </si>
  <si>
    <t>56.17</t>
  </si>
  <si>
    <t>3:07.65</t>
  </si>
  <si>
    <t>3:46.64</t>
  </si>
  <si>
    <t>3:52.14</t>
  </si>
  <si>
    <t>3:29.59</t>
  </si>
  <si>
    <t>2:24.611</t>
  </si>
  <si>
    <t>2:30.05</t>
  </si>
  <si>
    <t>2:17.64</t>
  </si>
  <si>
    <t>1:59.64</t>
  </si>
  <si>
    <t>1:55.64</t>
  </si>
  <si>
    <t>18.23</t>
  </si>
  <si>
    <t>1:33.35</t>
  </si>
  <si>
    <t>1:55.30</t>
  </si>
  <si>
    <t>3:53.68</t>
  </si>
  <si>
    <t>2:57.24</t>
  </si>
  <si>
    <t>1:11.36</t>
  </si>
  <si>
    <t>57.67</t>
  </si>
  <si>
    <t>57.891</t>
  </si>
  <si>
    <t>4:15.70</t>
  </si>
  <si>
    <t>1:37.88</t>
  </si>
  <si>
    <t>3:13.17</t>
  </si>
  <si>
    <t>1:03.55</t>
  </si>
  <si>
    <t>46.74</t>
  </si>
  <si>
    <t>1:17.80</t>
  </si>
  <si>
    <t xml:space="preserve">  [2,1] ⟲ counter-clockwise route</t>
  </si>
  <si>
    <t>1:33.90</t>
  </si>
  <si>
    <t>1:34.32</t>
  </si>
  <si>
    <t>1:14.13</t>
  </si>
  <si>
    <t>1:50.31</t>
  </si>
  <si>
    <t>1:33.80</t>
  </si>
  <si>
    <t>1:50.367</t>
  </si>
  <si>
    <t>2:14.73</t>
  </si>
  <si>
    <t>2:47.066</t>
  </si>
  <si>
    <t>2:07.xx</t>
  </si>
  <si>
    <t>1:15.36</t>
  </si>
  <si>
    <t>1:32.98</t>
  </si>
  <si>
    <t>3:25.772</t>
  </si>
  <si>
    <t>1:33.25</t>
  </si>
  <si>
    <t>48.61</t>
  </si>
  <si>
    <t>52.63</t>
  </si>
  <si>
    <t>1:26.38</t>
  </si>
  <si>
    <t>1:33.68</t>
  </si>
  <si>
    <t>1:26.67</t>
  </si>
  <si>
    <t>4:37.80</t>
  </si>
  <si>
    <t>2:08.61</t>
  </si>
  <si>
    <t>SidedWilliams</t>
  </si>
  <si>
    <t>204</t>
  </si>
  <si>
    <t>3:17.52</t>
  </si>
  <si>
    <t>1:33.41</t>
  </si>
  <si>
    <t>18.58</t>
  </si>
  <si>
    <t>1:08.65</t>
  </si>
  <si>
    <t>1:47.79</t>
  </si>
  <si>
    <t>2:08.88</t>
  </si>
  <si>
    <t>1:12.43</t>
  </si>
  <si>
    <t>2:18.89</t>
  </si>
  <si>
    <t>48.82</t>
  </si>
  <si>
    <t>3:29.90</t>
  </si>
  <si>
    <t>28.26</t>
  </si>
  <si>
    <t>2:41.27</t>
  </si>
  <si>
    <t>1:33.64</t>
  </si>
  <si>
    <t>46.30</t>
  </si>
  <si>
    <t>8.67</t>
  </si>
  <si>
    <t>1:56.87</t>
  </si>
  <si>
    <t>1:23.58</t>
  </si>
  <si>
    <t>58.72</t>
  </si>
  <si>
    <t>2:21.68</t>
  </si>
  <si>
    <t>2:11.46</t>
  </si>
  <si>
    <t>1:07.92</t>
  </si>
  <si>
    <t>1:17.17</t>
  </si>
  <si>
    <t>28.01</t>
  </si>
  <si>
    <t>3:10.01</t>
  </si>
  <si>
    <t>46.43</t>
  </si>
  <si>
    <t xml:space="preserve">  [2,2] ⟲ counter-clockwise, left of pillar</t>
  </si>
  <si>
    <t>1:34.18</t>
  </si>
  <si>
    <t>2:11.58</t>
  </si>
  <si>
    <t>3:08.81</t>
  </si>
  <si>
    <t>2:12.26</t>
  </si>
  <si>
    <t>3:14.89</t>
  </si>
  <si>
    <t>2:05.29</t>
  </si>
  <si>
    <t>1:33.93</t>
  </si>
  <si>
    <t>1:33.81</t>
  </si>
  <si>
    <t>2:38.12</t>
  </si>
  <si>
    <t>1:54.67</t>
  </si>
  <si>
    <t>1:31.82</t>
  </si>
  <si>
    <t>2:09.67</t>
  </si>
  <si>
    <t>1:31.92</t>
  </si>
  <si>
    <t>59.75</t>
  </si>
  <si>
    <t>1:10.89</t>
  </si>
  <si>
    <t>48.73</t>
  </si>
  <si>
    <t>18.50</t>
  </si>
  <si>
    <t>1:54.82</t>
  </si>
  <si>
    <t>4:09.58</t>
  </si>
  <si>
    <t>1:08.32</t>
  </si>
  <si>
    <t>1:33.88</t>
  </si>
  <si>
    <t>1:31.77</t>
  </si>
  <si>
    <t>3:11.84</t>
  </si>
  <si>
    <t>1:17.83</t>
  </si>
  <si>
    <t>30.11</t>
  </si>
  <si>
    <t>1:33.83</t>
  </si>
  <si>
    <t>32.98</t>
  </si>
  <si>
    <t>1:33.65</t>
  </si>
  <si>
    <t>188</t>
  </si>
  <si>
    <t>1:33.73</t>
  </si>
  <si>
    <t>1:32.28</t>
  </si>
  <si>
    <t>2:26.27</t>
  </si>
  <si>
    <t>52.94</t>
  </si>
  <si>
    <t>43.86</t>
  </si>
  <si>
    <t>47.53</t>
  </si>
  <si>
    <t>53.35</t>
  </si>
  <si>
    <t>48.71</t>
  </si>
  <si>
    <t>184</t>
  </si>
  <si>
    <t>46.53</t>
  </si>
  <si>
    <t>1:32.32</t>
  </si>
  <si>
    <t>1:25.08</t>
  </si>
  <si>
    <t>11.20</t>
  </si>
  <si>
    <t>17.96</t>
  </si>
  <si>
    <t>1:07.01</t>
  </si>
  <si>
    <t>51.15</t>
  </si>
  <si>
    <t>1:26.84</t>
  </si>
  <si>
    <t xml:space="preserve">  Full Level</t>
  </si>
  <si>
    <t>47.98</t>
  </si>
  <si>
    <t>31.18</t>
  </si>
  <si>
    <t>56.65</t>
  </si>
  <si>
    <t>1:23.30</t>
  </si>
  <si>
    <t>3:30.97</t>
  </si>
  <si>
    <t>48.314</t>
  </si>
  <si>
    <t>1:35.26</t>
  </si>
  <si>
    <t>1:10.15</t>
  </si>
  <si>
    <t>49.616</t>
  </si>
  <si>
    <t>45.64</t>
  </si>
  <si>
    <t>21.18</t>
  </si>
  <si>
    <t>55.85</t>
  </si>
  <si>
    <t>47.69</t>
  </si>
  <si>
    <t>1:01.85</t>
  </si>
  <si>
    <t>26.41</t>
  </si>
  <si>
    <t>1:53</t>
  </si>
  <si>
    <t>48.72</t>
  </si>
  <si>
    <t>14.53</t>
  </si>
  <si>
    <t xml:space="preserve">  Button Press</t>
  </si>
  <si>
    <t>9.42</t>
  </si>
  <si>
    <t>2:13.69</t>
  </si>
  <si>
    <t>3:35.87</t>
  </si>
  <si>
    <t>2:33.01</t>
  </si>
  <si>
    <t>9.56</t>
  </si>
  <si>
    <t>1:05.55</t>
  </si>
  <si>
    <t>9.926</t>
  </si>
  <si>
    <t>1:49.46</t>
  </si>
  <si>
    <t>2:24.88</t>
  </si>
  <si>
    <t>xenophanes</t>
  </si>
  <si>
    <t>119</t>
  </si>
  <si>
    <t>10.16</t>
  </si>
  <si>
    <t>21.95</t>
  </si>
  <si>
    <t>mdmason85</t>
  </si>
  <si>
    <t>10.160</t>
  </si>
  <si>
    <t>55.24</t>
  </si>
  <si>
    <t>1:53.10</t>
  </si>
  <si>
    <t>5:33.90</t>
  </si>
  <si>
    <t>3:02.21</t>
  </si>
  <si>
    <t>3:05.98</t>
  </si>
  <si>
    <t>9.65</t>
  </si>
  <si>
    <t>1:25.819</t>
  </si>
  <si>
    <t>4:15.989</t>
  </si>
  <si>
    <t>4:19.13</t>
  </si>
  <si>
    <t>2:09.81</t>
  </si>
  <si>
    <t>2:57.86</t>
  </si>
  <si>
    <t>1:28.53</t>
  </si>
  <si>
    <t>2:01.42</t>
  </si>
  <si>
    <t>1:29.94</t>
  </si>
  <si>
    <t>2:45.10</t>
  </si>
  <si>
    <t>1:07.29</t>
  </si>
  <si>
    <t>59.48</t>
  </si>
  <si>
    <t>1:29.567</t>
  </si>
  <si>
    <t>56.30</t>
  </si>
  <si>
    <t>36.29</t>
  </si>
  <si>
    <t>1:05.38</t>
  </si>
  <si>
    <t>3:20.967</t>
  </si>
  <si>
    <t>45.02</t>
  </si>
  <si>
    <t>1:25.885</t>
  </si>
  <si>
    <t>1:13.37</t>
  </si>
  <si>
    <t>57.38</t>
  </si>
  <si>
    <t>2:24.82</t>
  </si>
  <si>
    <t>1:59.819</t>
  </si>
  <si>
    <t>3:13</t>
  </si>
  <si>
    <t>4:08.481</t>
  </si>
  <si>
    <t>2:40.56</t>
  </si>
  <si>
    <t>1:11.938</t>
  </si>
  <si>
    <t>1:36</t>
  </si>
  <si>
    <t>26.893</t>
  </si>
  <si>
    <t>3:57.58</t>
  </si>
  <si>
    <t>3:55.268</t>
  </si>
  <si>
    <t>6:23.92</t>
  </si>
  <si>
    <t>4:03.610</t>
  </si>
  <si>
    <t>1:18.011</t>
  </si>
  <si>
    <t>1:29.37</t>
  </si>
  <si>
    <t>31.531</t>
  </si>
  <si>
    <t>1:54.214</t>
  </si>
  <si>
    <t>2:24.477</t>
  </si>
  <si>
    <t>182</t>
  </si>
  <si>
    <t>2:04.60</t>
  </si>
  <si>
    <t>16.916</t>
  </si>
  <si>
    <t>16.90</t>
  </si>
  <si>
    <t>1:32.62</t>
  </si>
  <si>
    <t>Fred45566</t>
  </si>
  <si>
    <t>16.783</t>
  </si>
  <si>
    <t>3:19.75</t>
  </si>
  <si>
    <t>1:33.12</t>
  </si>
  <si>
    <t>4:14.55</t>
  </si>
  <si>
    <t>4:33.84</t>
  </si>
  <si>
    <t>4:21.58</t>
  </si>
  <si>
    <t>3:35.78</t>
  </si>
  <si>
    <t>4:22.61</t>
  </si>
  <si>
    <t>2:46.41</t>
  </si>
  <si>
    <t>16.60</t>
  </si>
  <si>
    <t>11.51</t>
  </si>
  <si>
    <t>2:49.74</t>
  </si>
  <si>
    <t>2:20.63</t>
  </si>
  <si>
    <t>3:36.51</t>
  </si>
  <si>
    <t>1:04.08</t>
  </si>
  <si>
    <t>57.04</t>
  </si>
  <si>
    <t>37.39</t>
  </si>
  <si>
    <t>1:05.15</t>
  </si>
  <si>
    <t>37.26</t>
  </si>
  <si>
    <t>1:08.56</t>
  </si>
  <si>
    <t>53.60</t>
  </si>
  <si>
    <t>8.94</t>
  </si>
  <si>
    <t>3:31.22</t>
  </si>
  <si>
    <t>1:06.29</t>
  </si>
  <si>
    <t>28.34</t>
  </si>
  <si>
    <t>1:59.00</t>
  </si>
  <si>
    <t>16.69</t>
  </si>
  <si>
    <t>55.94</t>
  </si>
  <si>
    <t>3:42.28</t>
  </si>
  <si>
    <t>3:11.94</t>
  </si>
  <si>
    <t>15.54</t>
  </si>
  <si>
    <t>1:35.85</t>
  </si>
  <si>
    <t>1:43.39</t>
  </si>
  <si>
    <t>2:13.60</t>
  </si>
  <si>
    <t>49.24</t>
  </si>
  <si>
    <t>1:12.70</t>
  </si>
  <si>
    <t xml:space="preserve">  [2] spray early trigger</t>
  </si>
  <si>
    <t>3:37</t>
  </si>
  <si>
    <t>3:02</t>
  </si>
  <si>
    <t>Expreli</t>
  </si>
  <si>
    <t>121</t>
  </si>
  <si>
    <t>46</t>
  </si>
  <si>
    <t>29.33</t>
  </si>
  <si>
    <t>2:01</t>
  </si>
  <si>
    <t>1:25.17</t>
  </si>
  <si>
    <t>1:45.26</t>
  </si>
  <si>
    <t>8:28</t>
  </si>
  <si>
    <t>5:27.81</t>
  </si>
  <si>
    <t>5:41</t>
  </si>
  <si>
    <t>3:41.52</t>
  </si>
  <si>
    <t>29.78</t>
  </si>
  <si>
    <t>1:13.79</t>
  </si>
  <si>
    <t>34.98</t>
  </si>
  <si>
    <t>1:45.70</t>
  </si>
  <si>
    <t>9.19</t>
  </si>
  <si>
    <t>26.95</t>
  </si>
  <si>
    <t>55.61</t>
  </si>
  <si>
    <t>1:11</t>
  </si>
  <si>
    <t>3:00.88</t>
  </si>
  <si>
    <t>24</t>
  </si>
  <si>
    <t>2:12</t>
  </si>
  <si>
    <t>2:25</t>
  </si>
  <si>
    <t>1:03.09</t>
  </si>
  <si>
    <t>5:05</t>
  </si>
  <si>
    <t>Anonymous 9</t>
  </si>
  <si>
    <t>148</t>
  </si>
  <si>
    <t>18.34</t>
  </si>
  <si>
    <t>3:29.34</t>
  </si>
  <si>
    <t>3:32.54</t>
  </si>
  <si>
    <t>3:58.26</t>
  </si>
  <si>
    <t>1:26.77</t>
  </si>
  <si>
    <t>3:49.30</t>
  </si>
  <si>
    <t>2:09.08</t>
  </si>
  <si>
    <t>54.38</t>
  </si>
  <si>
    <t>1:27.49</t>
  </si>
  <si>
    <t>12.47</t>
  </si>
  <si>
    <t>31.02</t>
  </si>
  <si>
    <t>4:15.61</t>
  </si>
  <si>
    <t>1:02.66</t>
  </si>
  <si>
    <t>1:16.80</t>
  </si>
  <si>
    <t>36.15</t>
  </si>
  <si>
    <t>31.76</t>
  </si>
  <si>
    <t>2:09</t>
  </si>
  <si>
    <t>2:01.31</t>
  </si>
  <si>
    <t>2:07</t>
  </si>
  <si>
    <t>2:24.23</t>
  </si>
  <si>
    <t>3:29</t>
  </si>
  <si>
    <t>3:55</t>
  </si>
  <si>
    <t>2:58</t>
  </si>
  <si>
    <t>1:03.16</t>
  </si>
  <si>
    <t>2:36</t>
  </si>
  <si>
    <t xml:space="preserve">    [3] spam spray early trigger</t>
  </si>
  <si>
    <t>44.14</t>
  </si>
  <si>
    <t>111</t>
  </si>
  <si>
    <t>55.44</t>
  </si>
  <si>
    <t>1:32.325</t>
  </si>
  <si>
    <t>4:48.655</t>
  </si>
  <si>
    <t>15.53</t>
  </si>
  <si>
    <t>2:17.59</t>
  </si>
  <si>
    <t>Tom$</t>
  </si>
  <si>
    <t>141</t>
  </si>
  <si>
    <t>4:15.60</t>
  </si>
  <si>
    <t>3:26.54</t>
  </si>
  <si>
    <t>1:40.533</t>
  </si>
  <si>
    <t>17.74</t>
  </si>
  <si>
    <t>2:52.59</t>
  </si>
  <si>
    <t>3:41.19</t>
  </si>
  <si>
    <t>3:24.87</t>
  </si>
  <si>
    <t>2:15.26</t>
  </si>
  <si>
    <t>1:24.72</t>
  </si>
  <si>
    <t>58.99</t>
  </si>
  <si>
    <t>37.45</t>
  </si>
  <si>
    <t>1:29.289</t>
  </si>
  <si>
    <t>58.32</t>
  </si>
  <si>
    <t>1:02.77</t>
  </si>
  <si>
    <t>15.79</t>
  </si>
  <si>
    <t>3:47.794</t>
  </si>
  <si>
    <t>58.28</t>
  </si>
  <si>
    <t>1:38.99</t>
  </si>
  <si>
    <t>1:27.754</t>
  </si>
  <si>
    <t>1:05.065</t>
  </si>
  <si>
    <t>1:33.426</t>
  </si>
  <si>
    <t xml:space="preserve">      [4,1] insta-kill (any)</t>
  </si>
  <si>
    <t>3:11.911</t>
  </si>
  <si>
    <t>14.99</t>
  </si>
  <si>
    <t>1:35.40</t>
  </si>
  <si>
    <t>1:33.61</t>
  </si>
  <si>
    <t>1:30.18</t>
  </si>
  <si>
    <t>Ivey</t>
  </si>
  <si>
    <t>15.29</t>
  </si>
  <si>
    <t>131</t>
  </si>
  <si>
    <t>1:29.155</t>
  </si>
  <si>
    <t>3:50.52</t>
  </si>
  <si>
    <t>3:13.36</t>
  </si>
  <si>
    <t>2:24.54</t>
  </si>
  <si>
    <t>20.89</t>
  </si>
  <si>
    <t>18.418</t>
  </si>
  <si>
    <t>2:00.386</t>
  </si>
  <si>
    <t>22.93</t>
  </si>
  <si>
    <t>4:14.86</t>
  </si>
  <si>
    <t>22.50</t>
  </si>
  <si>
    <t>3:46.08</t>
  </si>
  <si>
    <t>3:49.01</t>
  </si>
  <si>
    <t>15.22</t>
  </si>
  <si>
    <t>21.00</t>
  </si>
  <si>
    <t>4:03.476</t>
  </si>
  <si>
    <t>20.20</t>
  </si>
  <si>
    <t>1:05.45</t>
  </si>
  <si>
    <t>15.06</t>
  </si>
  <si>
    <t>54.14</t>
  </si>
  <si>
    <t>15.02</t>
  </si>
  <si>
    <t>39.63</t>
  </si>
  <si>
    <t>3:24.003</t>
  </si>
  <si>
    <t>30.92</t>
  </si>
  <si>
    <t>34.17</t>
  </si>
  <si>
    <t>1:05.17</t>
  </si>
  <si>
    <t>37.56</t>
  </si>
  <si>
    <t>11.21</t>
  </si>
  <si>
    <t>1:24.04</t>
  </si>
  <si>
    <t>1:54.63</t>
  </si>
  <si>
    <t>1:10.33</t>
  </si>
  <si>
    <t>26.74</t>
  </si>
  <si>
    <t>52.01</t>
  </si>
  <si>
    <t>2:19.906</t>
  </si>
  <si>
    <t>3:15</t>
  </si>
  <si>
    <t>22.83</t>
  </si>
  <si>
    <t>1:08.76</t>
  </si>
  <si>
    <t>23.92</t>
  </si>
  <si>
    <t xml:space="preserve">      [4,2] insta-kill (y-turn)</t>
  </si>
  <si>
    <t>1:24.01</t>
  </si>
  <si>
    <t>32.02</t>
  </si>
  <si>
    <t>5:24.78</t>
  </si>
  <si>
    <t>GravityBeatle</t>
  </si>
  <si>
    <t>1:41.47</t>
  </si>
  <si>
    <t>129</t>
  </si>
  <si>
    <t>4:02.09</t>
  </si>
  <si>
    <t>1:20.14</t>
  </si>
  <si>
    <t>5:20.00</t>
  </si>
  <si>
    <t>1:28.11</t>
  </si>
  <si>
    <t>25.80</t>
  </si>
  <si>
    <t>1:03.33</t>
  </si>
  <si>
    <t>1:58.20</t>
  </si>
  <si>
    <t>59.72</t>
  </si>
  <si>
    <t>3:11.38</t>
  </si>
  <si>
    <t>20.14</t>
  </si>
  <si>
    <t>3:07.95</t>
  </si>
  <si>
    <t>1:11.43</t>
  </si>
  <si>
    <t>[1] rocket storage strat</t>
  </si>
  <si>
    <t>2:30.60</t>
  </si>
  <si>
    <t>24.84</t>
  </si>
  <si>
    <t>1:58.30</t>
  </si>
  <si>
    <t>05.16</t>
  </si>
  <si>
    <t>4:06.02</t>
  </si>
  <si>
    <t>47.88</t>
  </si>
  <si>
    <t>3:25.47</t>
  </si>
  <si>
    <t>3:07.98</t>
  </si>
  <si>
    <t>3:39.67</t>
  </si>
  <si>
    <t>4:33.86</t>
  </si>
  <si>
    <t>3:55.48</t>
  </si>
  <si>
    <t>3:23.69</t>
  </si>
  <si>
    <t>4:24.22</t>
  </si>
  <si>
    <t>3:01.26</t>
  </si>
  <si>
    <t>3:16.73</t>
  </si>
  <si>
    <t>46.31</t>
  </si>
  <si>
    <t>2:16.34</t>
  </si>
  <si>
    <t>9169</t>
  </si>
  <si>
    <t>1:27.97</t>
  </si>
  <si>
    <t>39.73</t>
  </si>
  <si>
    <t>56.86</t>
  </si>
  <si>
    <t>44.85</t>
  </si>
  <si>
    <t>4:30</t>
  </si>
  <si>
    <t>87</t>
  </si>
  <si>
    <t>48.10</t>
  </si>
  <si>
    <t>50.51</t>
  </si>
  <si>
    <t>Bramz</t>
  </si>
  <si>
    <t>2:47</t>
  </si>
  <si>
    <t>110</t>
  </si>
  <si>
    <t>45.96</t>
  </si>
  <si>
    <t>56.78</t>
  </si>
  <si>
    <t>3:10</t>
  </si>
  <si>
    <t>5:29.59</t>
  </si>
  <si>
    <t>1:18.24</t>
  </si>
  <si>
    <t>1:30.01</t>
  </si>
  <si>
    <t>18.97</t>
  </si>
  <si>
    <t>1:24.70</t>
  </si>
  <si>
    <t>3:48.42</t>
  </si>
  <si>
    <t>36.55</t>
  </si>
  <si>
    <t>5:56</t>
  </si>
  <si>
    <t>1:10.96</t>
  </si>
  <si>
    <t>2:12.49</t>
  </si>
  <si>
    <t>6:09</t>
  </si>
  <si>
    <t>7:12</t>
  </si>
  <si>
    <t xml:space="preserve">  </t>
  </si>
  <si>
    <t>21.37</t>
  </si>
  <si>
    <t>30.98</t>
  </si>
  <si>
    <t>33.25</t>
  </si>
  <si>
    <t>35.05</t>
  </si>
  <si>
    <t>2:20.86</t>
  </si>
  <si>
    <t>19.10</t>
  </si>
  <si>
    <t>Episode 4 Reds (IGT)</t>
  </si>
  <si>
    <t>2:02.18</t>
  </si>
  <si>
    <t>1:01.54</t>
  </si>
  <si>
    <t>3:47.66</t>
  </si>
  <si>
    <t>59.68</t>
  </si>
  <si>
    <t>17.30</t>
  </si>
  <si>
    <t>2:10.60</t>
  </si>
  <si>
    <t>7.12</t>
  </si>
  <si>
    <t>1:10.42</t>
  </si>
  <si>
    <t>1:01.28</t>
  </si>
  <si>
    <t>1:25</t>
  </si>
  <si>
    <t>1:23</t>
  </si>
  <si>
    <t>1:00.28</t>
  </si>
  <si>
    <t>1:48.28</t>
  </si>
  <si>
    <t>1:08.11</t>
  </si>
  <si>
    <t>27.42</t>
  </si>
  <si>
    <t>Anonymous 2</t>
  </si>
  <si>
    <t>59.51</t>
  </si>
  <si>
    <t>2:55.33</t>
  </si>
  <si>
    <t>1:00.01</t>
  </si>
  <si>
    <t>3:24.29</t>
  </si>
  <si>
    <t>3:52:35</t>
  </si>
  <si>
    <t>2:44.18</t>
  </si>
  <si>
    <t>2:59.15</t>
  </si>
  <si>
    <t>2:56.83</t>
  </si>
  <si>
    <t>1:00.51</t>
  </si>
  <si>
    <t>2:00.50</t>
  </si>
  <si>
    <t>1:02.98</t>
  </si>
  <si>
    <t>41.92</t>
  </si>
  <si>
    <t>1:14:09</t>
  </si>
  <si>
    <t>54.87</t>
  </si>
  <si>
    <t>58.18</t>
  </si>
  <si>
    <t>57.60</t>
  </si>
  <si>
    <t>1:58</t>
  </si>
  <si>
    <t>2:02</t>
  </si>
  <si>
    <t>2:13.62</t>
  </si>
  <si>
    <t>103</t>
  </si>
  <si>
    <t>3:45</t>
  </si>
  <si>
    <t>47.99</t>
  </si>
  <si>
    <t>4:21</t>
  </si>
  <si>
    <t>3:04</t>
  </si>
  <si>
    <t>1:18</t>
  </si>
  <si>
    <t>1:22.92</t>
  </si>
  <si>
    <t>3:20</t>
  </si>
  <si>
    <t xml:space="preserve"> Reds (QFT)</t>
  </si>
  <si>
    <t>42.70</t>
  </si>
  <si>
    <t>42.94</t>
  </si>
  <si>
    <t>1:31.62</t>
  </si>
  <si>
    <t>42.642</t>
  </si>
  <si>
    <t>45.111</t>
  </si>
  <si>
    <t>43.38</t>
  </si>
  <si>
    <t>47.514</t>
  </si>
  <si>
    <t>mars</t>
  </si>
  <si>
    <t>118</t>
  </si>
  <si>
    <t>14</t>
  </si>
  <si>
    <t>3:21.25</t>
  </si>
  <si>
    <t>3:26.42</t>
  </si>
  <si>
    <t>3:51.28</t>
  </si>
  <si>
    <t>4:51.92</t>
  </si>
  <si>
    <t>4:15.01</t>
  </si>
  <si>
    <t>3:14.45</t>
  </si>
  <si>
    <t>2:08.65</t>
  </si>
  <si>
    <t>54.44</t>
  </si>
  <si>
    <t>1:34.11</t>
  </si>
  <si>
    <t>3:49.66</t>
  </si>
  <si>
    <t>33.85</t>
  </si>
  <si>
    <t>2:10.00</t>
  </si>
  <si>
    <t>1:13.63</t>
  </si>
  <si>
    <t>1:01.63</t>
  </si>
  <si>
    <t>51.21</t>
  </si>
  <si>
    <t>1:01.68</t>
  </si>
  <si>
    <t>2:15.62</t>
  </si>
  <si>
    <t>46.94</t>
  </si>
  <si>
    <t>3:43.09</t>
  </si>
  <si>
    <t>1:59.87</t>
  </si>
  <si>
    <t>2:08.394</t>
  </si>
  <si>
    <t>2:04.21</t>
  </si>
  <si>
    <t>39.02</t>
  </si>
  <si>
    <t>1:06.12</t>
  </si>
  <si>
    <t>54.95</t>
  </si>
  <si>
    <t>18.27</t>
  </si>
  <si>
    <t>3:48.09</t>
  </si>
  <si>
    <t>112</t>
  </si>
  <si>
    <t>26.01</t>
  </si>
  <si>
    <t>38.91</t>
  </si>
  <si>
    <t>3:49.99</t>
  </si>
  <si>
    <t>45.93</t>
  </si>
  <si>
    <t>42.22</t>
  </si>
  <si>
    <t>40.07</t>
  </si>
  <si>
    <t>49.06</t>
  </si>
  <si>
    <t>2:12.03</t>
  </si>
  <si>
    <t>50.81</t>
  </si>
  <si>
    <t>39.31</t>
  </si>
  <si>
    <t>41.68</t>
  </si>
  <si>
    <t>39.57</t>
  </si>
  <si>
    <t>41.341</t>
  </si>
  <si>
    <t>99</t>
  </si>
  <si>
    <t>4:48.66</t>
  </si>
  <si>
    <t>52.87</t>
  </si>
  <si>
    <t>40.45</t>
  </si>
  <si>
    <t>39.82</t>
  </si>
  <si>
    <t>1:22.47</t>
  </si>
  <si>
    <t>3:51.97</t>
  </si>
  <si>
    <t>1:08.12</t>
  </si>
  <si>
    <t>45.82</t>
  </si>
  <si>
    <t>22.61</t>
  </si>
  <si>
    <t>3:09.77</t>
  </si>
  <si>
    <t>19.05</t>
  </si>
  <si>
    <t>85</t>
  </si>
  <si>
    <t>19.68</t>
  </si>
  <si>
    <t>3:42.789</t>
  </si>
  <si>
    <t>57.824</t>
  </si>
  <si>
    <t>41.775</t>
  </si>
  <si>
    <t>1:18.711</t>
  </si>
  <si>
    <t>1:04.34</t>
  </si>
  <si>
    <t>1:14.38</t>
  </si>
  <si>
    <t>1:04.831</t>
  </si>
  <si>
    <t>35.402</t>
  </si>
  <si>
    <t>53.686</t>
  </si>
  <si>
    <t>49.983</t>
  </si>
  <si>
    <t>20.387</t>
  </si>
  <si>
    <t>19.13</t>
  </si>
  <si>
    <t>2:03.87</t>
  </si>
  <si>
    <t>4:00.25</t>
  </si>
  <si>
    <t>4:01.54</t>
  </si>
  <si>
    <t>11.12</t>
  </si>
  <si>
    <t>1:26.18</t>
  </si>
  <si>
    <t>4:21.05</t>
  </si>
  <si>
    <t>21.04</t>
  </si>
  <si>
    <t>18.87</t>
  </si>
  <si>
    <t>2:28.37</t>
  </si>
  <si>
    <t>42.92</t>
  </si>
  <si>
    <t>19.78</t>
  </si>
  <si>
    <t>19.38</t>
  </si>
  <si>
    <t>79</t>
  </si>
  <si>
    <t>1:29.90</t>
  </si>
  <si>
    <t>5:27.52</t>
  </si>
  <si>
    <t>1:30.31</t>
  </si>
  <si>
    <t>1:27.91</t>
  </si>
  <si>
    <t>1:02.96</t>
  </si>
  <si>
    <t>1:28.20</t>
  </si>
  <si>
    <t>77</t>
  </si>
  <si>
    <t>2:59.18</t>
  </si>
  <si>
    <t>18.90</t>
  </si>
  <si>
    <t>19.62</t>
  </si>
  <si>
    <t>50.08</t>
  </si>
  <si>
    <t>3:54.05</t>
  </si>
  <si>
    <t>47.10</t>
  </si>
  <si>
    <t>19.77</t>
  </si>
  <si>
    <t>19.30</t>
  </si>
  <si>
    <t>33.65</t>
  </si>
  <si>
    <t>20.18</t>
  </si>
  <si>
    <t>26.77</t>
  </si>
  <si>
    <t>22.02</t>
  </si>
  <si>
    <t>2:10.92</t>
  </si>
  <si>
    <t>2:26.91</t>
  </si>
  <si>
    <t>37.70</t>
  </si>
  <si>
    <t>2:02.95</t>
  </si>
  <si>
    <t>48.22</t>
  </si>
  <si>
    <t>1:12.66</t>
  </si>
  <si>
    <t>57.68</t>
  </si>
  <si>
    <t>20.80</t>
  </si>
  <si>
    <t>Episode 2</t>
  </si>
  <si>
    <t>[1] rocket</t>
  </si>
  <si>
    <t>MachinArle</t>
  </si>
  <si>
    <t>1:40.95</t>
  </si>
  <si>
    <t>2:06.39</t>
  </si>
  <si>
    <t>70</t>
  </si>
  <si>
    <t>2:31.11</t>
  </si>
  <si>
    <t>1:47.12</t>
  </si>
  <si>
    <t>2:27.60</t>
  </si>
  <si>
    <t>1:44.704</t>
  </si>
  <si>
    <t>1:48.46</t>
  </si>
  <si>
    <t>21.63</t>
  </si>
  <si>
    <t>62</t>
  </si>
  <si>
    <t>1:42.72</t>
  </si>
  <si>
    <t>1:11.32</t>
  </si>
  <si>
    <t>3:29.23</t>
  </si>
  <si>
    <t>3:24.88</t>
  </si>
  <si>
    <t>45.22</t>
  </si>
  <si>
    <t>2:04.06</t>
  </si>
  <si>
    <t>53.31</t>
  </si>
  <si>
    <t>2:04.97</t>
  </si>
  <si>
    <t>32.03</t>
  </si>
  <si>
    <t xml:space="preserve">  [2] hover</t>
  </si>
  <si>
    <t>1:44.59</t>
  </si>
  <si>
    <t>1:27.06</t>
  </si>
  <si>
    <t>1:47.51</t>
  </si>
  <si>
    <t>11.47</t>
  </si>
  <si>
    <t>1:45.95</t>
  </si>
  <si>
    <t>Denial</t>
  </si>
  <si>
    <t>3:59.54</t>
  </si>
  <si>
    <t>50.12</t>
  </si>
  <si>
    <t>4:28.73</t>
  </si>
  <si>
    <t>42.35</t>
  </si>
  <si>
    <t>3:12.11</t>
  </si>
  <si>
    <t>2:24.02</t>
  </si>
  <si>
    <t>28.42</t>
  </si>
  <si>
    <t>1:00.12</t>
  </si>
  <si>
    <t>1:49.70</t>
  </si>
  <si>
    <t>58.41</t>
  </si>
  <si>
    <t>[1] RTA pattern</t>
  </si>
  <si>
    <t>28.89</t>
  </si>
  <si>
    <t>3:01</t>
  </si>
  <si>
    <t>3:11.81</t>
  </si>
  <si>
    <t>12.54</t>
  </si>
  <si>
    <t>1:13.60</t>
  </si>
  <si>
    <t>29.18</t>
  </si>
  <si>
    <t>1:15.57</t>
  </si>
  <si>
    <t>spilledBeans</t>
  </si>
  <si>
    <t>1:04.77</t>
  </si>
  <si>
    <t>42.80</t>
  </si>
  <si>
    <t>59</t>
  </si>
  <si>
    <t>1:15.33</t>
  </si>
  <si>
    <t>47.06</t>
  </si>
  <si>
    <t>26.18</t>
  </si>
  <si>
    <t>47.36</t>
  </si>
  <si>
    <t>1:11.72</t>
  </si>
  <si>
    <t>37.28</t>
  </si>
  <si>
    <t>34.85</t>
  </si>
  <si>
    <t>[1] rocket, full storages</t>
  </si>
  <si>
    <t>45.99</t>
  </si>
  <si>
    <t>2:18.93</t>
  </si>
  <si>
    <t>48.58</t>
  </si>
  <si>
    <t>mae</t>
  </si>
  <si>
    <t>56.21</t>
  </si>
  <si>
    <t>54.84</t>
  </si>
  <si>
    <t>1:19.56</t>
  </si>
  <si>
    <t>1:03.29</t>
  </si>
  <si>
    <t>50.39</t>
  </si>
  <si>
    <t>1:04.80</t>
  </si>
  <si>
    <t>54.94</t>
  </si>
  <si>
    <t>35.35</t>
  </si>
  <si>
    <t>25.75</t>
  </si>
  <si>
    <t>1:07.95</t>
  </si>
  <si>
    <t>5:23.60</t>
  </si>
  <si>
    <t>3:08.11</t>
  </si>
  <si>
    <t>2:36.04</t>
  </si>
  <si>
    <t>3:13.06</t>
  </si>
  <si>
    <t>1:39.45</t>
  </si>
  <si>
    <t>45.72</t>
  </si>
  <si>
    <t>1:01.61</t>
  </si>
  <si>
    <t>27.08</t>
  </si>
  <si>
    <t>43</t>
  </si>
  <si>
    <t>38.13</t>
  </si>
  <si>
    <t>1:50.34</t>
  </si>
  <si>
    <t>2:45</t>
  </si>
  <si>
    <t>1:35.02</t>
  </si>
  <si>
    <t>4:22.19</t>
  </si>
  <si>
    <t>36.02</t>
  </si>
  <si>
    <t>3:36.40</t>
  </si>
  <si>
    <t>1:35.34</t>
  </si>
  <si>
    <t>1:15.53</t>
  </si>
  <si>
    <t>3:45.59</t>
  </si>
  <si>
    <t>1:22</t>
  </si>
  <si>
    <t>1:25.51</t>
  </si>
  <si>
    <t>3:59.27</t>
  </si>
  <si>
    <t>3:46.76</t>
  </si>
  <si>
    <t>2:26.47</t>
  </si>
  <si>
    <t>2:58.00</t>
  </si>
  <si>
    <t>19.52</t>
  </si>
  <si>
    <t>Mevius0229</t>
  </si>
  <si>
    <t>2:59.90</t>
  </si>
  <si>
    <t>18.70</t>
  </si>
  <si>
    <t>18.24</t>
  </si>
  <si>
    <t>Episode 5 (Full)</t>
  </si>
  <si>
    <t>1:54.87</t>
  </si>
  <si>
    <t>trwr</t>
  </si>
  <si>
    <t>20.64</t>
  </si>
  <si>
    <t>Xeifo</t>
  </si>
  <si>
    <t>57.02</t>
  </si>
  <si>
    <t>1:28.89</t>
  </si>
  <si>
    <t>1:47.54</t>
  </si>
  <si>
    <t>18.45</t>
  </si>
  <si>
    <t>22.75</t>
  </si>
  <si>
    <t>1:08.40</t>
  </si>
  <si>
    <t>35.75</t>
  </si>
  <si>
    <t>1:15.06</t>
  </si>
  <si>
    <t>1:00.61</t>
  </si>
  <si>
    <t>1:02.72</t>
  </si>
  <si>
    <t>1:14.10</t>
  </si>
  <si>
    <t>22.96</t>
  </si>
  <si>
    <t>1:42.99</t>
  </si>
  <si>
    <t>4:35.07</t>
  </si>
  <si>
    <t>1:22.45</t>
  </si>
  <si>
    <t xml:space="preserve">  [2] turbo</t>
  </si>
  <si>
    <t>1:36.02</t>
  </si>
  <si>
    <t>31.39</t>
  </si>
  <si>
    <t>29.86</t>
  </si>
  <si>
    <t>1:14.95</t>
  </si>
  <si>
    <t>1:00.33</t>
  </si>
  <si>
    <t>56.52</t>
  </si>
  <si>
    <t>30.69</t>
  </si>
  <si>
    <t>53.33</t>
  </si>
  <si>
    <t>57.27</t>
  </si>
  <si>
    <t>2:43.11</t>
  </si>
  <si>
    <t>31.65</t>
  </si>
  <si>
    <t>1:03.53</t>
  </si>
  <si>
    <t>52.90</t>
  </si>
  <si>
    <t>21.47</t>
  </si>
  <si>
    <t>Danieru</t>
  </si>
  <si>
    <t>1:18.46</t>
  </si>
  <si>
    <t>30.49</t>
  </si>
  <si>
    <t>Reed</t>
  </si>
  <si>
    <t>25.18</t>
  </si>
  <si>
    <t>[1,1] no insta-kill</t>
  </si>
  <si>
    <t xml:space="preserve">
</t>
  </si>
  <si>
    <t>19.37</t>
  </si>
  <si>
    <t>19.60</t>
  </si>
  <si>
    <t>19.67</t>
  </si>
  <si>
    <t>3:39.27</t>
  </si>
  <si>
    <t>24.23</t>
  </si>
  <si>
    <t>1:10.00</t>
  </si>
  <si>
    <t>20.153</t>
  </si>
  <si>
    <t>Aurelia400</t>
  </si>
  <si>
    <t>19.53</t>
  </si>
  <si>
    <t>19.70</t>
  </si>
  <si>
    <t>3:34.95</t>
  </si>
  <si>
    <t>23.88</t>
  </si>
  <si>
    <t>2:53.76</t>
  </si>
  <si>
    <t>45.36</t>
  </si>
  <si>
    <t>1:36.75</t>
  </si>
  <si>
    <t>1:16.46</t>
  </si>
  <si>
    <t>1:24.80</t>
  </si>
  <si>
    <t>1:14.83</t>
  </si>
  <si>
    <t>6.32</t>
  </si>
  <si>
    <t>[1,2] failed insta-kill</t>
  </si>
  <si>
    <t>9164</t>
  </si>
  <si>
    <t>1:33</t>
  </si>
  <si>
    <t>1:29</t>
  </si>
  <si>
    <t>switch_runner</t>
  </si>
  <si>
    <t>82</t>
  </si>
  <si>
    <t>4:37.82</t>
  </si>
  <si>
    <t>7:40.94</t>
  </si>
  <si>
    <t>49.27</t>
  </si>
  <si>
    <t>2:43.80</t>
  </si>
  <si>
    <t>1:20.10</t>
  </si>
  <si>
    <t>1:16.83</t>
  </si>
  <si>
    <t>1:11.13</t>
  </si>
  <si>
    <t>1:43.76</t>
  </si>
  <si>
    <t>19.39</t>
  </si>
  <si>
    <t>5:55.52</t>
  </si>
  <si>
    <t>4:17.13</t>
  </si>
  <si>
    <t>36.82</t>
  </si>
  <si>
    <t>1:30.40</t>
  </si>
  <si>
    <t>4:17.62</t>
  </si>
  <si>
    <t>13.73</t>
  </si>
  <si>
    <t>4:15.47</t>
  </si>
  <si>
    <t>1:28.47</t>
  </si>
  <si>
    <t>2:49.75</t>
  </si>
  <si>
    <t>48.89</t>
  </si>
  <si>
    <t>2:13.42</t>
  </si>
  <si>
    <t>18.18</t>
  </si>
  <si>
    <t>5:37.55</t>
  </si>
  <si>
    <t>18.284</t>
  </si>
  <si>
    <t>18.30</t>
  </si>
  <si>
    <t>1:11.01</t>
  </si>
  <si>
    <t>3:36.04</t>
  </si>
  <si>
    <t>38.65</t>
  </si>
  <si>
    <t>2:46.49</t>
  </si>
  <si>
    <t>4:36.09</t>
  </si>
  <si>
    <t>4:22.39</t>
  </si>
  <si>
    <t>2:49.46</t>
  </si>
  <si>
    <t>Papaccino</t>
  </si>
  <si>
    <t>18.35</t>
  </si>
  <si>
    <t>1:23.77</t>
  </si>
  <si>
    <t>1:14.46</t>
  </si>
  <si>
    <t>[1] normal GBS</t>
  </si>
  <si>
    <t>30.82</t>
  </si>
  <si>
    <t>36.31</t>
  </si>
  <si>
    <t>34.39</t>
  </si>
  <si>
    <t>3:45.93</t>
  </si>
  <si>
    <t>2:15.52</t>
  </si>
  <si>
    <t>lilGreenYoshi</t>
  </si>
  <si>
    <t>32.899</t>
  </si>
  <si>
    <t>1:43.99</t>
  </si>
  <si>
    <t>1:25.67</t>
  </si>
  <si>
    <t>33.46</t>
  </si>
  <si>
    <t>31.22</t>
  </si>
  <si>
    <t>jpep</t>
  </si>
  <si>
    <t>4:56.74</t>
  </si>
  <si>
    <t>33.95</t>
  </si>
  <si>
    <t>38.19</t>
  </si>
  <si>
    <t>47.31</t>
  </si>
  <si>
    <t>Odme_</t>
  </si>
  <si>
    <t xml:space="preserve">  [2,1] roof-throw GBS, normal spot</t>
  </si>
  <si>
    <t>29.89</t>
  </si>
  <si>
    <t>31.28</t>
  </si>
  <si>
    <t>46.33</t>
  </si>
  <si>
    <t>1:26.81</t>
  </si>
  <si>
    <t>3:19.29</t>
  </si>
  <si>
    <t>29.29</t>
  </si>
  <si>
    <t>28.62</t>
  </si>
  <si>
    <t>28.92</t>
  </si>
  <si>
    <t>6:32.36</t>
  </si>
  <si>
    <t>32.19</t>
  </si>
  <si>
    <t xml:space="preserve">  [2,2] roof-throw GBS, yossy spot</t>
  </si>
  <si>
    <t>27.03</t>
  </si>
  <si>
    <t>MoJungo</t>
  </si>
  <si>
    <t>4:17.69</t>
  </si>
  <si>
    <t>3:47.26</t>
  </si>
  <si>
    <t>27.67</t>
  </si>
  <si>
    <t>1:09.42</t>
  </si>
  <si>
    <t>1:04.68</t>
  </si>
  <si>
    <t>2:41.02</t>
  </si>
  <si>
    <t>27.45</t>
  </si>
  <si>
    <t>41.59</t>
  </si>
  <si>
    <t>MichaelGuy</t>
  </si>
  <si>
    <t>1:01.08</t>
  </si>
  <si>
    <t>27.74</t>
  </si>
  <si>
    <t>6:49.47</t>
  </si>
  <si>
    <t>4:45.67</t>
  </si>
  <si>
    <t>1:25.23</t>
  </si>
  <si>
    <t>4:20.97</t>
  </si>
  <si>
    <t>27.29</t>
  </si>
  <si>
    <t>PlantFanClub</t>
  </si>
  <si>
    <t>28.73</t>
  </si>
  <si>
    <t>3:51.07</t>
  </si>
  <si>
    <t>28.12</t>
  </si>
  <si>
    <t>4:52.60</t>
  </si>
  <si>
    <t>27.58</t>
  </si>
  <si>
    <t>5:42.56</t>
  </si>
  <si>
    <t>2:55.49</t>
  </si>
  <si>
    <t>2:51.671</t>
  </si>
  <si>
    <t>1:09.23</t>
  </si>
  <si>
    <t>1:09.502</t>
  </si>
  <si>
    <t>2:57.00</t>
  </si>
  <si>
    <t xml:space="preserve">    [3] backflip GBS</t>
  </si>
  <si>
    <t>26.36</t>
  </si>
  <si>
    <t>1:31.73</t>
  </si>
  <si>
    <t>2:10.89</t>
  </si>
  <si>
    <t>1:27</t>
  </si>
  <si>
    <t>26.59</t>
  </si>
  <si>
    <t>1:12</t>
  </si>
  <si>
    <t>41.25</t>
  </si>
  <si>
    <t>1:19.23</t>
  </si>
  <si>
    <t>27.99</t>
  </si>
  <si>
    <t>DespotarTV</t>
  </si>
  <si>
    <t>3:52.69</t>
  </si>
  <si>
    <t>Episode 1 Reds (IGT)</t>
  </si>
  <si>
    <t>41.52</t>
  </si>
  <si>
    <t>39.22</t>
  </si>
  <si>
    <t>42.95</t>
  </si>
  <si>
    <t>39.38</t>
  </si>
  <si>
    <t>40.62</t>
  </si>
  <si>
    <t>2:22.00</t>
  </si>
  <si>
    <t>41.22</t>
  </si>
  <si>
    <t>49.37</t>
  </si>
  <si>
    <t>40.65</t>
  </si>
  <si>
    <t>33.88</t>
  </si>
  <si>
    <t>42.07</t>
  </si>
  <si>
    <t>weird_th</t>
  </si>
  <si>
    <t>40.75</t>
  </si>
  <si>
    <t>33.36</t>
  </si>
  <si>
    <t>36.39</t>
  </si>
  <si>
    <t>2:32.57</t>
  </si>
  <si>
    <t>35.97</t>
  </si>
  <si>
    <t>53.13</t>
  </si>
  <si>
    <t>34.401</t>
  </si>
  <si>
    <t>37.270</t>
  </si>
  <si>
    <t>44.50</t>
  </si>
  <si>
    <t>52.32</t>
  </si>
  <si>
    <t>27.62</t>
  </si>
  <si>
    <t>1:28.45</t>
  </si>
  <si>
    <t>Ian_LC</t>
  </si>
  <si>
    <t>1:22.59</t>
  </si>
  <si>
    <t>30.60</t>
  </si>
  <si>
    <t>55.34</t>
  </si>
  <si>
    <t>42.12</t>
  </si>
  <si>
    <t>Ian</t>
  </si>
  <si>
    <t>1:29.64</t>
  </si>
  <si>
    <t>Embouchure</t>
  </si>
  <si>
    <t>1:15.00</t>
  </si>
  <si>
    <t>1:09.57</t>
  </si>
  <si>
    <t>37.90</t>
  </si>
  <si>
    <t>1:40.15</t>
  </si>
  <si>
    <t>2:19.72</t>
  </si>
  <si>
    <t>51.62</t>
  </si>
  <si>
    <t>34.22</t>
  </si>
  <si>
    <t>Hexaroot</t>
  </si>
  <si>
    <t>2:30.38</t>
  </si>
  <si>
    <t>1:49.07</t>
  </si>
  <si>
    <t>2:26.01</t>
  </si>
  <si>
    <t>22.53</t>
  </si>
  <si>
    <t>2:22.36</t>
  </si>
  <si>
    <t>48.16</t>
  </si>
  <si>
    <t>21.01</t>
  </si>
  <si>
    <t>2:06.23</t>
  </si>
  <si>
    <t>2:31.57</t>
  </si>
  <si>
    <t>2:21.73</t>
  </si>
  <si>
    <t>fizz</t>
  </si>
  <si>
    <t>4:21.67</t>
  </si>
  <si>
    <t>1:10.52</t>
  </si>
  <si>
    <t>45.09</t>
  </si>
  <si>
    <t>Park Entry</t>
  </si>
  <si>
    <t>Ricrexx</t>
  </si>
  <si>
    <t>8.09</t>
  </si>
  <si>
    <t>3:40.94</t>
  </si>
  <si>
    <t>8.13</t>
  </si>
  <si>
    <t>1:06.97</t>
  </si>
  <si>
    <t>8.23</t>
  </si>
  <si>
    <t>8.10</t>
  </si>
  <si>
    <t>27.92</t>
  </si>
  <si>
    <t>Drew The Cougar</t>
  </si>
  <si>
    <t>57.28</t>
  </si>
  <si>
    <t>8.15</t>
  </si>
  <si>
    <t>8.19</t>
  </si>
  <si>
    <t>schmittd</t>
  </si>
  <si>
    <t>3:58.29</t>
  </si>
  <si>
    <t>[1] no DM shot</t>
  </si>
  <si>
    <t>1:33.46</t>
  </si>
  <si>
    <t>4:57</t>
  </si>
  <si>
    <t>29.91</t>
  </si>
  <si>
    <t xml:space="preserve">  [2] DM shot, basic 4th grab</t>
  </si>
  <si>
    <t>54.20</t>
  </si>
  <si>
    <t>1:41.70</t>
  </si>
  <si>
    <t>Rox</t>
  </si>
  <si>
    <t>53.75</t>
  </si>
  <si>
    <t>1:38.74</t>
  </si>
  <si>
    <t xml:space="preserve">    [3] DM shot, early 4th grab after 3rd</t>
  </si>
  <si>
    <t>49.67</t>
  </si>
  <si>
    <t>1:12.46</t>
  </si>
  <si>
    <t>50.37</t>
  </si>
  <si>
    <t>TheHaywire</t>
  </si>
  <si>
    <t>51.41</t>
  </si>
  <si>
    <t>1:31.58</t>
  </si>
  <si>
    <t>50.23</t>
  </si>
  <si>
    <t>41.93</t>
  </si>
  <si>
    <t xml:space="preserve">      [4] DM shot, early 4th grab before 3rd</t>
  </si>
  <si>
    <t>48.39</t>
  </si>
  <si>
    <t>51.20</t>
  </si>
  <si>
    <t>26.97</t>
  </si>
  <si>
    <t>49.29</t>
  </si>
  <si>
    <t>rudhira</t>
  </si>
  <si>
    <t>2:16.92</t>
  </si>
  <si>
    <t>49.64</t>
  </si>
  <si>
    <t>5:19</t>
  </si>
  <si>
    <t>48.75</t>
  </si>
  <si>
    <t>1:26.01</t>
  </si>
  <si>
    <t>3:25.24</t>
  </si>
  <si>
    <t>1:03.22</t>
  </si>
  <si>
    <t>4:17.68</t>
  </si>
  <si>
    <t>45:13</t>
  </si>
  <si>
    <t>1:30.87</t>
  </si>
  <si>
    <t>3:52</t>
  </si>
  <si>
    <t>30.73</t>
  </si>
  <si>
    <t>11:23</t>
  </si>
  <si>
    <t>averag6trova</t>
  </si>
  <si>
    <t>6.61</t>
  </si>
  <si>
    <t>6.67</t>
  </si>
  <si>
    <t>6.69</t>
  </si>
  <si>
    <t>1:14.88</t>
  </si>
  <si>
    <t>21.38</t>
  </si>
  <si>
    <t>23.23</t>
  </si>
  <si>
    <t>pixel626</t>
  </si>
  <si>
    <t>1:16.33</t>
  </si>
  <si>
    <t>41.98</t>
  </si>
  <si>
    <t>plankton</t>
  </si>
  <si>
    <t>43.20</t>
  </si>
  <si>
    <t>42.17</t>
  </si>
  <si>
    <t>42.32</t>
  </si>
  <si>
    <t>DrewCoug</t>
  </si>
  <si>
    <t>25.09</t>
  </si>
  <si>
    <t>28.70</t>
  </si>
  <si>
    <t>28.54</t>
  </si>
  <si>
    <t>27.70</t>
  </si>
  <si>
    <t>28.828</t>
  </si>
  <si>
    <t>28.82</t>
  </si>
  <si>
    <t>27.87</t>
  </si>
  <si>
    <t>20.30</t>
  </si>
  <si>
    <t>23.91</t>
  </si>
  <si>
    <t>47.50</t>
  </si>
  <si>
    <t>6.45</t>
  </si>
  <si>
    <t>AlaeusSR</t>
  </si>
  <si>
    <t>28.97</t>
  </si>
  <si>
    <t>9135</t>
  </si>
  <si>
    <t>78</t>
  </si>
  <si>
    <t>MadTyro</t>
  </si>
  <si>
    <t>12.26</t>
  </si>
  <si>
    <t>12.35</t>
  </si>
  <si>
    <t>12.27</t>
  </si>
  <si>
    <t>36.48</t>
  </si>
  <si>
    <t>1:02:35</t>
  </si>
  <si>
    <t>13.66</t>
  </si>
  <si>
    <t>12.30</t>
  </si>
  <si>
    <t>12.46</t>
  </si>
  <si>
    <t>41.69</t>
  </si>
  <si>
    <t>12.36</t>
  </si>
  <si>
    <t>SantaAries</t>
  </si>
  <si>
    <t>2:10.26</t>
  </si>
  <si>
    <t>1:07.34</t>
  </si>
  <si>
    <t>[1] go around</t>
  </si>
  <si>
    <t>pancake</t>
  </si>
  <si>
    <t>47.814</t>
  </si>
  <si>
    <t>47.72</t>
  </si>
  <si>
    <t xml:space="preserve">  [2] boat-hop</t>
  </si>
  <si>
    <t>36.98</t>
  </si>
  <si>
    <t>38.75</t>
  </si>
  <si>
    <t>16.21</t>
  </si>
  <si>
    <t>38.92</t>
  </si>
  <si>
    <t>43.48</t>
  </si>
  <si>
    <t>29.69</t>
  </si>
  <si>
    <t>52.22</t>
  </si>
  <si>
    <t xml:space="preserve">    [3] Yamata cycle</t>
  </si>
  <si>
    <t>36.36</t>
  </si>
  <si>
    <t>1:37.25</t>
  </si>
  <si>
    <t>36.60</t>
  </si>
  <si>
    <t xml:space="preserve">      [4] TAS</t>
  </si>
  <si>
    <t>32.04</t>
  </si>
  <si>
    <t>32.33</t>
  </si>
  <si>
    <t>29.85</t>
  </si>
  <si>
    <t>35.02</t>
  </si>
  <si>
    <t>33.08</t>
  </si>
  <si>
    <t>17.94</t>
  </si>
  <si>
    <t>34.06</t>
  </si>
  <si>
    <t>1:07.63</t>
  </si>
  <si>
    <t>32.18</t>
  </si>
  <si>
    <t>26.85</t>
  </si>
  <si>
    <t>35.85</t>
  </si>
  <si>
    <t>[1] right-side</t>
  </si>
  <si>
    <t>57.08</t>
  </si>
  <si>
    <t>57.190</t>
  </si>
  <si>
    <t>56.01</t>
  </si>
  <si>
    <t>58.38</t>
  </si>
  <si>
    <t>58.15</t>
  </si>
  <si>
    <t>55.90</t>
  </si>
  <si>
    <t>41.27</t>
  </si>
  <si>
    <t>41.78</t>
  </si>
  <si>
    <t xml:space="preserve">  [2,1] left-side, no damage gp cancel</t>
  </si>
  <si>
    <t>31.38</t>
  </si>
  <si>
    <t>55.18</t>
  </si>
  <si>
    <t xml:space="preserve">  [2,2] left-side, damage gp cancel</t>
  </si>
  <si>
    <t>52.80</t>
  </si>
  <si>
    <t>46.62</t>
  </si>
  <si>
    <t>52.91</t>
  </si>
  <si>
    <t>24.88</t>
  </si>
  <si>
    <t>1:11.08</t>
  </si>
  <si>
    <t>53.01</t>
  </si>
  <si>
    <t>1:13.45</t>
  </si>
  <si>
    <t>52.98</t>
  </si>
  <si>
    <t>10.32</t>
  </si>
  <si>
    <t>52.97</t>
  </si>
  <si>
    <t>[1] tree triple-jump</t>
  </si>
  <si>
    <t>44.93</t>
  </si>
  <si>
    <t>51.87</t>
  </si>
  <si>
    <t xml:space="preserve">  [2,1] boat movement</t>
  </si>
  <si>
    <t>43.23</t>
  </si>
  <si>
    <t>47.78</t>
  </si>
  <si>
    <t>44.10</t>
  </si>
  <si>
    <t>44.53</t>
  </si>
  <si>
    <t xml:space="preserve">  [2,2] advanced boat movement</t>
  </si>
  <si>
    <t>42.442</t>
  </si>
  <si>
    <t>2:09.37</t>
  </si>
  <si>
    <t>2:34.94</t>
  </si>
  <si>
    <t xml:space="preserve">    [3] boat beyblade</t>
  </si>
  <si>
    <t>43.08</t>
  </si>
  <si>
    <t>43.10</t>
  </si>
  <si>
    <t>[1] over top right</t>
  </si>
  <si>
    <t>53.34</t>
  </si>
  <si>
    <t>26.72</t>
  </si>
  <si>
    <t xml:space="preserve">  [2] over top center</t>
  </si>
  <si>
    <t>48.35</t>
  </si>
  <si>
    <t>32.06</t>
  </si>
  <si>
    <t>1:02.30</t>
  </si>
  <si>
    <t>1:25.86</t>
  </si>
  <si>
    <t>1:11.85</t>
  </si>
  <si>
    <t>28.69</t>
  </si>
  <si>
    <t>29.22</t>
  </si>
  <si>
    <t>30.66</t>
  </si>
  <si>
    <t>50.05</t>
  </si>
  <si>
    <t>28.31</t>
  </si>
  <si>
    <t>29.596</t>
  </si>
  <si>
    <t>15.37</t>
  </si>
  <si>
    <t>29.62</t>
  </si>
  <si>
    <t>1:11.55</t>
  </si>
  <si>
    <t>29.95</t>
  </si>
  <si>
    <t>27.12</t>
  </si>
  <si>
    <t>27.13</t>
  </si>
  <si>
    <t>1:09.79</t>
  </si>
  <si>
    <t>27.25</t>
  </si>
  <si>
    <t>27.28</t>
  </si>
  <si>
    <t>39.55</t>
  </si>
  <si>
    <t>27.77</t>
  </si>
  <si>
    <t>28.428</t>
  </si>
  <si>
    <t>43.41</t>
  </si>
  <si>
    <t>27.38</t>
  </si>
  <si>
    <t>28.05</t>
  </si>
  <si>
    <t>28.09</t>
  </si>
  <si>
    <t>24.75</t>
  </si>
  <si>
    <t>2:19.38</t>
  </si>
  <si>
    <t>18.17</t>
  </si>
  <si>
    <t>24.69</t>
  </si>
  <si>
    <t>19.80</t>
  </si>
  <si>
    <t>32.73</t>
  </si>
  <si>
    <t>31.197</t>
  </si>
  <si>
    <t>42.13</t>
  </si>
  <si>
    <t xml:space="preserve">  Full (EYG)</t>
  </si>
  <si>
    <t>[1,1] 2-stu (JP)</t>
  </si>
  <si>
    <t>1:21.28</t>
  </si>
  <si>
    <t>1:32.06</t>
  </si>
  <si>
    <t>1:22.63</t>
  </si>
  <si>
    <t>1:23.48</t>
  </si>
  <si>
    <t>21.51</t>
  </si>
  <si>
    <t>23.03</t>
  </si>
  <si>
    <t>1:24.59</t>
  </si>
  <si>
    <t>1:14.04</t>
  </si>
  <si>
    <t>1:23.59</t>
  </si>
  <si>
    <t>[1,2] 2-stu (PAL/U)</t>
  </si>
  <si>
    <t>9.76</t>
  </si>
  <si>
    <t>1:18.20</t>
  </si>
  <si>
    <t>1:34.55</t>
  </si>
  <si>
    <t xml:space="preserve">  [2,1] 1-stu (JP)</t>
  </si>
  <si>
    <t>1:15.51</t>
  </si>
  <si>
    <t>1:19.39</t>
  </si>
  <si>
    <t>1:15.95</t>
  </si>
  <si>
    <t>24.67</t>
  </si>
  <si>
    <t>1:20.01</t>
  </si>
  <si>
    <t>20.60</t>
  </si>
  <si>
    <t>23.57</t>
  </si>
  <si>
    <t>1:37.42</t>
  </si>
  <si>
    <t>6.31</t>
  </si>
  <si>
    <t>1:16.15</t>
  </si>
  <si>
    <t>9064</t>
  </si>
  <si>
    <t xml:space="preserve">  [2,2] 1-stu (PAL/U)</t>
  </si>
  <si>
    <t>1:12.68</t>
  </si>
  <si>
    <t>88</t>
  </si>
  <si>
    <t>50.66</t>
  </si>
  <si>
    <t>1:19.12</t>
  </si>
  <si>
    <t>1:24.32</t>
  </si>
  <si>
    <t>36.63</t>
  </si>
  <si>
    <t>1:18.58</t>
  </si>
  <si>
    <t>2:14.06</t>
  </si>
  <si>
    <t>1:08.38</t>
  </si>
  <si>
    <t>38.39</t>
  </si>
  <si>
    <t xml:space="preserve">  Outside (3YG)</t>
  </si>
  <si>
    <t>55.07</t>
  </si>
  <si>
    <t>58.30</t>
  </si>
  <si>
    <t>42.59</t>
  </si>
  <si>
    <t>52.73</t>
  </si>
  <si>
    <t>49.76</t>
  </si>
  <si>
    <t>[1,2] 1-stu 2-pound (JP)</t>
  </si>
  <si>
    <t>14.17</t>
  </si>
  <si>
    <t>43.65</t>
  </si>
  <si>
    <t>54.48</t>
  </si>
  <si>
    <t>1:38.38</t>
  </si>
  <si>
    <t>[1,3] 1-stu 1-pound 1-circle(JP)</t>
  </si>
  <si>
    <t>50.24</t>
  </si>
  <si>
    <t>32.86</t>
  </si>
  <si>
    <t>1:03.18</t>
  </si>
  <si>
    <t>2:03.81</t>
  </si>
  <si>
    <t>[1,4] 1-stu 1-pound (JP)</t>
  </si>
  <si>
    <t>46.77</t>
  </si>
  <si>
    <t>38.40</t>
  </si>
  <si>
    <t>47.20</t>
  </si>
  <si>
    <t>25.52</t>
  </si>
  <si>
    <t xml:space="preserve">  [2,1] 2-stu (PAL/U)</t>
  </si>
  <si>
    <t>8.71</t>
  </si>
  <si>
    <t>51.14</t>
  </si>
  <si>
    <t>18.03</t>
  </si>
  <si>
    <t>44.57</t>
  </si>
  <si>
    <t>25.44</t>
  </si>
  <si>
    <t>49.81</t>
  </si>
  <si>
    <t>28.81</t>
  </si>
  <si>
    <t>44.36</t>
  </si>
  <si>
    <t xml:space="preserve">  Outside (5YG)</t>
  </si>
  <si>
    <t>[1] 2-stu</t>
  </si>
  <si>
    <t>1:09.86</t>
  </si>
  <si>
    <t>32.35</t>
  </si>
  <si>
    <t xml:space="preserve">  [2] 1-stu</t>
  </si>
  <si>
    <t>41.71</t>
  </si>
  <si>
    <t>45.18</t>
  </si>
  <si>
    <t xml:space="preserve">  Yoshi Mount (EYG)</t>
  </si>
  <si>
    <t>[1] banana</t>
  </si>
  <si>
    <t>10.72</t>
  </si>
  <si>
    <t>10.76</t>
  </si>
  <si>
    <t>11.19</t>
  </si>
  <si>
    <t>10.75</t>
  </si>
  <si>
    <t>42.56</t>
  </si>
  <si>
    <t>12.87</t>
  </si>
  <si>
    <t>11.42</t>
  </si>
  <si>
    <t>1:40.29</t>
  </si>
  <si>
    <t>12.84</t>
  </si>
  <si>
    <t>11.13</t>
  </si>
  <si>
    <t>50.86</t>
  </si>
  <si>
    <t>33.81</t>
  </si>
  <si>
    <t>22.36</t>
  </si>
  <si>
    <t>47.75</t>
  </si>
  <si>
    <t>[1] papaya</t>
  </si>
  <si>
    <t>10.90</t>
  </si>
  <si>
    <t>11.78</t>
  </si>
  <si>
    <t>2:00.95</t>
  </si>
  <si>
    <t>10.92</t>
  </si>
  <si>
    <t>2:27.04</t>
  </si>
  <si>
    <t>4:24.41</t>
  </si>
  <si>
    <t>1:10.65</t>
  </si>
  <si>
    <t>[1] pineapple</t>
  </si>
  <si>
    <t>10.74</t>
  </si>
  <si>
    <t>11.50</t>
  </si>
  <si>
    <t>[1] coconut</t>
  </si>
  <si>
    <t>33.27</t>
  </si>
  <si>
    <t>14.60</t>
  </si>
  <si>
    <t>1:32.19</t>
  </si>
  <si>
    <t>15.76</t>
  </si>
  <si>
    <t>10.94</t>
  </si>
  <si>
    <t>14.73</t>
  </si>
  <si>
    <t>51.27</t>
  </si>
  <si>
    <t>[1] left</t>
  </si>
  <si>
    <t>28.56</t>
  </si>
  <si>
    <t>12.99</t>
  </si>
  <si>
    <t>13.01</t>
  </si>
  <si>
    <t>13.26</t>
  </si>
  <si>
    <t>13.07</t>
  </si>
  <si>
    <t>29.19</t>
  </si>
  <si>
    <t>13.16</t>
  </si>
  <si>
    <t>13.046</t>
  </si>
  <si>
    <t>29.21</t>
  </si>
  <si>
    <t>43.57</t>
  </si>
  <si>
    <t>48.80</t>
  </si>
  <si>
    <t>13.00</t>
  </si>
  <si>
    <t>26.52</t>
  </si>
  <si>
    <t>2:16.76</t>
  </si>
  <si>
    <t>17.61</t>
  </si>
  <si>
    <t>13.10</t>
  </si>
  <si>
    <t>1:17.33</t>
  </si>
  <si>
    <t>1:28.00</t>
  </si>
  <si>
    <t xml:space="preserve">  [2] right</t>
  </si>
  <si>
    <t>12.19</t>
  </si>
  <si>
    <t>42.20</t>
  </si>
  <si>
    <t>12.28</t>
  </si>
  <si>
    <t>12.34</t>
  </si>
  <si>
    <t>12.22</t>
  </si>
  <si>
    <t>20.77</t>
  </si>
  <si>
    <r>
      <rPr>
        <rFont val="Arial"/>
        <color rgb="FF1155CC"/>
        <sz val="9.0"/>
        <u/>
      </rPr>
      <t>12.2</t>
    </r>
    <r>
      <rPr>
        <rFont val="Arial"/>
        <color rgb="FF1155CC"/>
        <sz val="9.0"/>
        <u/>
      </rPr>
      <t>4</t>
    </r>
  </si>
  <si>
    <t>1:14.07</t>
  </si>
  <si>
    <t>12.76</t>
  </si>
  <si>
    <t>30.25</t>
  </si>
  <si>
    <t>9.23</t>
  </si>
  <si>
    <t>31.61</t>
  </si>
  <si>
    <t>22.68</t>
  </si>
  <si>
    <t>[1] no holy rocket</t>
  </si>
  <si>
    <t>1:16.01</t>
  </si>
  <si>
    <t>1:05.65</t>
  </si>
  <si>
    <t>1:05.68</t>
  </si>
  <si>
    <t>1:06.166</t>
  </si>
  <si>
    <t>8921</t>
  </si>
  <si>
    <t>90</t>
  </si>
  <si>
    <t>101</t>
  </si>
  <si>
    <t>10.26</t>
  </si>
  <si>
    <t>1:18.95</t>
  </si>
  <si>
    <t>36.93</t>
  </si>
  <si>
    <t>11.044</t>
  </si>
  <si>
    <t>42.73</t>
  </si>
  <si>
    <t>2:14.27</t>
  </si>
  <si>
    <t>Episode 2 Reds (IGT)</t>
  </si>
  <si>
    <t>[1] normal cycle</t>
  </si>
  <si>
    <t>36.18</t>
  </si>
  <si>
    <t>1:09.10</t>
  </si>
  <si>
    <t>35.88</t>
  </si>
  <si>
    <t>34.01</t>
  </si>
  <si>
    <t xml:space="preserve">  [2] early cycle</t>
  </si>
  <si>
    <t>2:18.16</t>
  </si>
  <si>
    <t>16.68</t>
  </si>
  <si>
    <t>14.44</t>
  </si>
  <si>
    <t>44.55</t>
  </si>
  <si>
    <t>54.11</t>
  </si>
  <si>
    <t>1:37.82</t>
  </si>
  <si>
    <t>35.44</t>
  </si>
  <si>
    <t>47.27</t>
  </si>
  <si>
    <t>1:01.41</t>
  </si>
  <si>
    <t>30.23</t>
  </si>
  <si>
    <t>1:59.98</t>
  </si>
  <si>
    <t>39.24</t>
  </si>
  <si>
    <t>1:42.12</t>
  </si>
  <si>
    <t>1:02.62</t>
  </si>
  <si>
    <t>1:28.84</t>
  </si>
  <si>
    <t>46.39</t>
  </si>
  <si>
    <t>1:25.37</t>
  </si>
  <si>
    <t>1:28.64</t>
  </si>
  <si>
    <t>1:25.29</t>
  </si>
  <si>
    <t>1:26.14</t>
  </si>
  <si>
    <t>1:25.54</t>
  </si>
  <si>
    <t>50.417</t>
  </si>
  <si>
    <t>51.117</t>
  </si>
  <si>
    <t>46.446</t>
  </si>
  <si>
    <t>32.85</t>
  </si>
  <si>
    <t>53.61</t>
  </si>
  <si>
    <t>1:14.89</t>
  </si>
  <si>
    <t>41.73</t>
  </si>
  <si>
    <t>1:34.99</t>
  </si>
  <si>
    <t>1:22.06</t>
  </si>
  <si>
    <t>1:22.64</t>
  </si>
  <si>
    <t>1:22.182</t>
  </si>
  <si>
    <t>1:29.78</t>
  </si>
  <si>
    <t>34.11</t>
  </si>
  <si>
    <t>Hotel Entry</t>
  </si>
  <si>
    <t>[1] no stair rollout cancel</t>
  </si>
  <si>
    <t>10.65</t>
  </si>
  <si>
    <t>10.77</t>
  </si>
  <si>
    <t>11.03</t>
  </si>
  <si>
    <t>10.73</t>
  </si>
  <si>
    <t>21.07</t>
  </si>
  <si>
    <t>10.93</t>
  </si>
  <si>
    <t>1:53.25</t>
  </si>
  <si>
    <t>10.70</t>
  </si>
  <si>
    <t>10.96</t>
  </si>
  <si>
    <t>2:29.97</t>
  </si>
  <si>
    <t>10.80</t>
  </si>
  <si>
    <t>2:23.93</t>
  </si>
  <si>
    <t>10.86</t>
  </si>
  <si>
    <t>10.85</t>
  </si>
  <si>
    <t>22.00</t>
  </si>
  <si>
    <t>10.81</t>
  </si>
  <si>
    <t>4:25.94</t>
  </si>
  <si>
    <t>1:11.02</t>
  </si>
  <si>
    <t xml:space="preserve">  [2] stair rollout cancel</t>
  </si>
  <si>
    <t>2:19.92</t>
  </si>
  <si>
    <t>10.56</t>
  </si>
  <si>
    <t>53.64</t>
  </si>
  <si>
    <t>27.94</t>
  </si>
  <si>
    <t>10.60</t>
  </si>
  <si>
    <t>11.38</t>
  </si>
  <si>
    <t>53.09</t>
  </si>
  <si>
    <t>Casino Entry</t>
  </si>
  <si>
    <t>15.61</t>
  </si>
  <si>
    <t>15.78</t>
  </si>
  <si>
    <t>16.67</t>
  </si>
  <si>
    <t>15.65</t>
  </si>
  <si>
    <t>16.05</t>
  </si>
  <si>
    <t>1:38.02</t>
  </si>
  <si>
    <t>15.72</t>
  </si>
  <si>
    <t>15.87</t>
  </si>
  <si>
    <t>16.02</t>
  </si>
  <si>
    <t>15.89</t>
  </si>
  <si>
    <t>40.74</t>
  </si>
  <si>
    <t>4.35</t>
  </si>
  <si>
    <t>27.05</t>
  </si>
  <si>
    <t>4.40</t>
  </si>
  <si>
    <t>2:17.16</t>
  </si>
  <si>
    <t>18.26</t>
  </si>
  <si>
    <t>4.41</t>
  </si>
  <si>
    <t>1:29.02</t>
  </si>
  <si>
    <t>1:33.51</t>
  </si>
  <si>
    <t>[1] no momentum spin</t>
  </si>
  <si>
    <t>54.51</t>
  </si>
  <si>
    <t>23.13</t>
  </si>
  <si>
    <t>21.10</t>
  </si>
  <si>
    <t xml:space="preserve">  [2] momentum spin</t>
  </si>
  <si>
    <t>50.32</t>
  </si>
  <si>
    <t>1:15.64</t>
  </si>
  <si>
    <t>51.58</t>
  </si>
  <si>
    <t>11.18</t>
  </si>
  <si>
    <t>31.68</t>
  </si>
  <si>
    <t>53.119</t>
  </si>
  <si>
    <t>50.65</t>
  </si>
  <si>
    <t>25.15</t>
  </si>
  <si>
    <t>51.49</t>
  </si>
  <si>
    <t>20.00</t>
  </si>
  <si>
    <t>8542</t>
  </si>
  <si>
    <t>83</t>
  </si>
  <si>
    <t>50.56</t>
  </si>
  <si>
    <t>1:19.38</t>
  </si>
  <si>
    <t>36.96</t>
  </si>
  <si>
    <t>[1] no momentum spin, no GWKD</t>
  </si>
  <si>
    <t>36.61</t>
  </si>
  <si>
    <t>39.65</t>
  </si>
  <si>
    <t>2:15.45</t>
  </si>
  <si>
    <t xml:space="preserve">  [2] momentum spin, no GWKD</t>
  </si>
  <si>
    <t>33.51</t>
  </si>
  <si>
    <t>34.26</t>
  </si>
  <si>
    <t>38.32</t>
  </si>
  <si>
    <t>34.41</t>
  </si>
  <si>
    <t>33.91</t>
  </si>
  <si>
    <t>42.46</t>
  </si>
  <si>
    <t>35.602</t>
  </si>
  <si>
    <t>35.12</t>
  </si>
  <si>
    <t>39.74</t>
  </si>
  <si>
    <t>49.96</t>
  </si>
  <si>
    <t>33.78</t>
  </si>
  <si>
    <t>34.88</t>
  </si>
  <si>
    <t>34.19</t>
  </si>
  <si>
    <t>43.64</t>
  </si>
  <si>
    <t>34.91</t>
  </si>
  <si>
    <t xml:space="preserve">    [3] momentum spin, GWKD</t>
  </si>
  <si>
    <t>33.61</t>
  </si>
  <si>
    <t>1:38.07</t>
  </si>
  <si>
    <t>34.81</t>
  </si>
  <si>
    <t>1:33.91</t>
  </si>
  <si>
    <t>38.50</t>
  </si>
  <si>
    <t xml:space="preserve">  Outside (Level start)</t>
  </si>
  <si>
    <t>15.45</t>
  </si>
  <si>
    <t>15.58</t>
  </si>
  <si>
    <t>1:04.39</t>
  </si>
  <si>
    <t>16.12</t>
  </si>
  <si>
    <t>15.90</t>
  </si>
  <si>
    <t>15.62</t>
  </si>
  <si>
    <t>8.57</t>
  </si>
  <si>
    <t>26.40</t>
  </si>
  <si>
    <t xml:space="preserve">  [2] boo bounce</t>
  </si>
  <si>
    <t>15.41</t>
  </si>
  <si>
    <t>48.53</t>
  </si>
  <si>
    <t>41.65</t>
  </si>
  <si>
    <t>15.73</t>
  </si>
  <si>
    <t>28.47</t>
  </si>
  <si>
    <t>52.44</t>
  </si>
  <si>
    <t>40.83</t>
  </si>
  <si>
    <t>45.48</t>
  </si>
  <si>
    <t xml:space="preserve">  Outside (Hotel start)</t>
  </si>
  <si>
    <t>4.06</t>
  </si>
  <si>
    <t>4.19</t>
  </si>
  <si>
    <t>1:12.65</t>
  </si>
  <si>
    <t>4.88</t>
  </si>
  <si>
    <t>4.22</t>
  </si>
  <si>
    <t>1:15.52</t>
  </si>
  <si>
    <t>10.46</t>
  </si>
  <si>
    <t>4.16</t>
  </si>
  <si>
    <t>59.71</t>
  </si>
  <si>
    <t>4.46</t>
  </si>
  <si>
    <t>1:29.91</t>
  </si>
  <si>
    <t>3.92</t>
  </si>
  <si>
    <t>4.13</t>
  </si>
  <si>
    <t>1:14.16</t>
  </si>
  <si>
    <t>1:27.71</t>
  </si>
  <si>
    <t>4.08</t>
  </si>
  <si>
    <t>32.61</t>
  </si>
  <si>
    <t xml:space="preserve">    [3] TAS strat</t>
  </si>
  <si>
    <t>3.59</t>
  </si>
  <si>
    <t>48.90</t>
  </si>
  <si>
    <t>2:09.77</t>
  </si>
  <si>
    <t>2:30.27</t>
  </si>
  <si>
    <t>2:24.40</t>
  </si>
  <si>
    <t>[1] front-side pole, no GWK</t>
  </si>
  <si>
    <t>23.85</t>
  </si>
  <si>
    <t>4:27.34</t>
  </si>
  <si>
    <t>24.52</t>
  </si>
  <si>
    <t>1:12.19</t>
  </si>
  <si>
    <t>24.33</t>
  </si>
  <si>
    <t xml:space="preserve">  [2] back-side pole, no GWK</t>
  </si>
  <si>
    <t>32.83</t>
  </si>
  <si>
    <t>23.29</t>
  </si>
  <si>
    <t>1:31.99</t>
  </si>
  <si>
    <t>24.46</t>
  </si>
  <si>
    <t>23.83</t>
  </si>
  <si>
    <t>24.50</t>
  </si>
  <si>
    <t>51.88</t>
  </si>
  <si>
    <t>25.33</t>
  </si>
  <si>
    <t>23.73</t>
  </si>
  <si>
    <t>15.57</t>
  </si>
  <si>
    <t>29.28</t>
  </si>
  <si>
    <t xml:space="preserve">    [3] back-side pole, GWK</t>
  </si>
  <si>
    <t>22.35</t>
  </si>
  <si>
    <t>23.22</t>
  </si>
  <si>
    <t>23.33</t>
  </si>
  <si>
    <t>23.15</t>
  </si>
  <si>
    <t>2:17.86</t>
  </si>
  <si>
    <t>22.32</t>
  </si>
  <si>
    <t>[1] groundpound, no GWK</t>
  </si>
  <si>
    <t xml:space="preserve">  [2] no gp, front-side pole, no GWK</t>
  </si>
  <si>
    <t>1:16.31</t>
  </si>
  <si>
    <t xml:space="preserve">    [3] no gp, back-side pole, no GWK</t>
  </si>
  <si>
    <t>11.30</t>
  </si>
  <si>
    <t>22.63</t>
  </si>
  <si>
    <t>11.66</t>
  </si>
  <si>
    <t>12.33</t>
  </si>
  <si>
    <t>12.13</t>
  </si>
  <si>
    <t>6.56</t>
  </si>
  <si>
    <t xml:space="preserve">      [4] no gp, back-side pole, GWK</t>
  </si>
  <si>
    <t>shoutplenty</t>
  </si>
  <si>
    <t>11.08</t>
  </si>
  <si>
    <t>8537</t>
  </si>
  <si>
    <t>11.36</t>
  </si>
  <si>
    <t>10.79</t>
  </si>
  <si>
    <t>11.40</t>
  </si>
  <si>
    <t>[1] no momentum spin/buttslides</t>
  </si>
  <si>
    <t>2:19.93</t>
  </si>
  <si>
    <t>52.79</t>
  </si>
  <si>
    <t>38.49</t>
  </si>
  <si>
    <t>56.47</t>
  </si>
  <si>
    <t>38.35</t>
  </si>
  <si>
    <t xml:space="preserve">  [2] no buttslides, momentum spin</t>
  </si>
  <si>
    <t>50.35</t>
  </si>
  <si>
    <t>54.18</t>
  </si>
  <si>
    <t>54.60</t>
  </si>
  <si>
    <t>16.94</t>
  </si>
  <si>
    <t>52.10</t>
  </si>
  <si>
    <t>54.00</t>
  </si>
  <si>
    <t>51.39</t>
  </si>
  <si>
    <t>1:01.40</t>
  </si>
  <si>
    <t xml:space="preserve">    [3] 1st wall-kick, momentum spin</t>
  </si>
  <si>
    <t>1:38.05</t>
  </si>
  <si>
    <t xml:space="preserve">      [4] 1st buttslide, momentum spin</t>
  </si>
  <si>
    <t>50.10</t>
  </si>
  <si>
    <t>51.09</t>
  </si>
  <si>
    <t>54.154</t>
  </si>
  <si>
    <t xml:space="preserve">        [5] both buttslides, no platform skips</t>
  </si>
  <si>
    <t>47.29</t>
  </si>
  <si>
    <t>49.35</t>
  </si>
  <si>
    <t>26.42</t>
  </si>
  <si>
    <t>48.85</t>
  </si>
  <si>
    <t>50.09</t>
  </si>
  <si>
    <t>27.71</t>
  </si>
  <si>
    <t>43.02</t>
  </si>
  <si>
    <t>25.88</t>
  </si>
  <si>
    <t>2:36.72</t>
  </si>
  <si>
    <t>25.97</t>
  </si>
  <si>
    <t>27:95</t>
  </si>
  <si>
    <t>23.70</t>
  </si>
  <si>
    <t>24.31</t>
  </si>
  <si>
    <t>23.98</t>
  </si>
  <si>
    <t>24.94</t>
  </si>
  <si>
    <t>24.25</t>
  </si>
  <si>
    <t>24.90</t>
  </si>
  <si>
    <t>23.90</t>
  </si>
  <si>
    <t>24.24</t>
  </si>
  <si>
    <t>23.74</t>
  </si>
  <si>
    <t>24.14</t>
  </si>
  <si>
    <t>24.57</t>
  </si>
  <si>
    <t>23.67</t>
  </si>
  <si>
    <t>24.77</t>
  </si>
  <si>
    <t>23.04</t>
  </si>
  <si>
    <t>23.40</t>
  </si>
  <si>
    <t>25.725</t>
  </si>
  <si>
    <t>23.51</t>
  </si>
  <si>
    <t>23.54</t>
  </si>
  <si>
    <t>23.97</t>
  </si>
  <si>
    <t>21.74</t>
  </si>
  <si>
    <t>2:09.57</t>
  </si>
  <si>
    <t>23.08</t>
  </si>
  <si>
    <t>2:25.86</t>
  </si>
  <si>
    <t>23.68</t>
  </si>
  <si>
    <t>23.27</t>
  </si>
  <si>
    <t>23.44</t>
  </si>
  <si>
    <t>21.94</t>
  </si>
  <si>
    <t>23.28</t>
  </si>
  <si>
    <t>4:24.84</t>
  </si>
  <si>
    <t>23.21</t>
  </si>
  <si>
    <t>24.08</t>
  </si>
  <si>
    <t>1:11.22</t>
  </si>
  <si>
    <t>2:25.39</t>
  </si>
  <si>
    <t>21.75</t>
  </si>
  <si>
    <t>28.59</t>
  </si>
  <si>
    <t>21.70</t>
  </si>
  <si>
    <t>32.97</t>
  </si>
  <si>
    <t>1:36.89</t>
  </si>
  <si>
    <t>52.99</t>
  </si>
  <si>
    <t>1:11.49</t>
  </si>
  <si>
    <t>26.32</t>
  </si>
  <si>
    <t>25.31</t>
  </si>
  <si>
    <t>26.49</t>
  </si>
  <si>
    <t>1:45.39</t>
  </si>
  <si>
    <t>25.46</t>
  </si>
  <si>
    <t>25.76</t>
  </si>
  <si>
    <t>44.54</t>
  </si>
  <si>
    <t>25.85</t>
  </si>
  <si>
    <t>30.08</t>
  </si>
  <si>
    <t>44.30</t>
  </si>
  <si>
    <t xml:space="preserve">  Casino</t>
  </si>
  <si>
    <t>8.66</t>
  </si>
  <si>
    <t>8.80</t>
  </si>
  <si>
    <t>28.14</t>
  </si>
  <si>
    <t>8.79</t>
  </si>
  <si>
    <t>8.76</t>
  </si>
  <si>
    <t>2:14.93</t>
  </si>
  <si>
    <t>8.89</t>
  </si>
  <si>
    <t>1:28.37</t>
  </si>
  <si>
    <t>1:01.78</t>
  </si>
  <si>
    <t>[1] no cycle skips</t>
  </si>
  <si>
    <t>1:35.86</t>
  </si>
  <si>
    <t>2:09.18</t>
  </si>
  <si>
    <t>42.79</t>
  </si>
  <si>
    <t>2:03.16</t>
  </si>
  <si>
    <t>2:38.258</t>
  </si>
  <si>
    <t>20.63</t>
  </si>
  <si>
    <t>20.53</t>
  </si>
  <si>
    <t>20.43</t>
  </si>
  <si>
    <t>20.73</t>
  </si>
  <si>
    <t>22.08</t>
  </si>
  <si>
    <t>20.74</t>
  </si>
  <si>
    <t>31.04</t>
  </si>
  <si>
    <t>22.756</t>
  </si>
  <si>
    <t>20.79</t>
  </si>
  <si>
    <t>50.57</t>
  </si>
  <si>
    <t>20.96</t>
  </si>
  <si>
    <t>22.73</t>
  </si>
  <si>
    <t>21.87</t>
  </si>
  <si>
    <t>[1] JP</t>
  </si>
  <si>
    <t>24.10</t>
  </si>
  <si>
    <t>20.57</t>
  </si>
  <si>
    <t>47.64</t>
  </si>
  <si>
    <t>25.04</t>
  </si>
  <si>
    <t>46.04</t>
  </si>
  <si>
    <t>1.02.328</t>
  </si>
  <si>
    <t>52.68</t>
  </si>
  <si>
    <t>BlazeRol</t>
  </si>
  <si>
    <t>8520</t>
  </si>
  <si>
    <t>93</t>
  </si>
  <si>
    <t xml:space="preserve">  [2] US / PAL</t>
  </si>
  <si>
    <t>48.88</t>
  </si>
  <si>
    <t>36.80</t>
  </si>
  <si>
    <t>[1] no quick kill</t>
  </si>
  <si>
    <t>22.90</t>
  </si>
  <si>
    <t>24.03</t>
  </si>
  <si>
    <t>23.590</t>
  </si>
  <si>
    <t>25.058</t>
  </si>
  <si>
    <t>2:14.53</t>
  </si>
  <si>
    <t>27.82</t>
  </si>
  <si>
    <t>23.10</t>
  </si>
  <si>
    <t xml:space="preserve">  [2] quick kill</t>
  </si>
  <si>
    <t>21.79</t>
  </si>
  <si>
    <t>2:19.08</t>
  </si>
  <si>
    <t>49.86</t>
  </si>
  <si>
    <t>22.12</t>
  </si>
  <si>
    <t>22.10</t>
  </si>
  <si>
    <t>22.13</t>
  </si>
  <si>
    <t>[1] Paper route</t>
  </si>
  <si>
    <t>4:25.44</t>
  </si>
  <si>
    <t>4:20.70</t>
  </si>
  <si>
    <t>55.21</t>
  </si>
  <si>
    <t>4:23.44</t>
  </si>
  <si>
    <t>4:22.14</t>
  </si>
  <si>
    <t>4.21.57</t>
  </si>
  <si>
    <t>1:38.62</t>
  </si>
  <si>
    <t>4:23.14</t>
  </si>
  <si>
    <t>4:13.36</t>
  </si>
  <si>
    <t>4:23.47</t>
  </si>
  <si>
    <t>32.82</t>
  </si>
  <si>
    <t>1:00.78</t>
  </si>
  <si>
    <t>1:08.69</t>
  </si>
  <si>
    <t>1:09.75</t>
  </si>
  <si>
    <t>2:06.98</t>
  </si>
  <si>
    <t>1:07.62</t>
  </si>
  <si>
    <t>1:09.89</t>
  </si>
  <si>
    <t>38.45</t>
  </si>
  <si>
    <t>1:05.18</t>
  </si>
  <si>
    <t>1:39.16</t>
  </si>
  <si>
    <t>1:04.75</t>
  </si>
  <si>
    <t>43.34</t>
  </si>
  <si>
    <t>43.343</t>
  </si>
  <si>
    <t>44.61</t>
  </si>
  <si>
    <t>45.845</t>
  </si>
  <si>
    <t xml:space="preserve">  Reds Button Press</t>
  </si>
  <si>
    <t>[1] no brick skip</t>
  </si>
  <si>
    <t>41.42</t>
  </si>
  <si>
    <t xml:space="preserve">  [2] brick skip</t>
  </si>
  <si>
    <t>12.56</t>
  </si>
  <si>
    <t>13.45</t>
  </si>
  <si>
    <t>13.863</t>
  </si>
  <si>
    <t>12.86</t>
  </si>
  <si>
    <t>34.30</t>
  </si>
  <si>
    <t>52.78</t>
  </si>
  <si>
    <t>42.40</t>
  </si>
  <si>
    <t>27.57</t>
  </si>
  <si>
    <t>1:19.74</t>
  </si>
  <si>
    <t>10.40</t>
  </si>
  <si>
    <t>1:10.53</t>
  </si>
  <si>
    <t>42.52</t>
  </si>
  <si>
    <t>1:29.54</t>
  </si>
  <si>
    <t>1:19.96</t>
  </si>
  <si>
    <t>31.16</t>
  </si>
  <si>
    <t>34.58</t>
  </si>
  <si>
    <t>32.17</t>
  </si>
  <si>
    <t>22.19</t>
  </si>
  <si>
    <t>31.798</t>
  </si>
  <si>
    <t>31.664</t>
  </si>
  <si>
    <t>47.52</t>
  </si>
  <si>
    <t>29.996</t>
  </si>
  <si>
    <t>20.61</t>
  </si>
  <si>
    <t>2:02.33</t>
  </si>
  <si>
    <t>[1] Sirena 7</t>
  </si>
  <si>
    <t>2:20.14</t>
  </si>
  <si>
    <t>2:09.94</t>
  </si>
  <si>
    <t>2:07.927</t>
  </si>
  <si>
    <t>54.27</t>
  </si>
  <si>
    <t>53.25</t>
  </si>
  <si>
    <t>28.91</t>
  </si>
  <si>
    <t>53.39</t>
  </si>
  <si>
    <t>53.97</t>
  </si>
  <si>
    <t>1:11.51</t>
  </si>
  <si>
    <t xml:space="preserve"> 55.688</t>
  </si>
  <si>
    <t>55.05</t>
  </si>
  <si>
    <t>55.31</t>
  </si>
  <si>
    <t>1:00.88</t>
  </si>
  <si>
    <t>1:07.967</t>
  </si>
  <si>
    <t>44.67</t>
  </si>
  <si>
    <t>27.18</t>
  </si>
  <si>
    <t>54.92</t>
  </si>
  <si>
    <t>2:16.69</t>
  </si>
  <si>
    <t>17.60</t>
  </si>
  <si>
    <t>1:04.35</t>
  </si>
  <si>
    <t>[1] sideflip wallkicks</t>
  </si>
  <si>
    <t>29.729</t>
  </si>
  <si>
    <t>42.83</t>
  </si>
  <si>
    <t xml:space="preserve">  [2] triangle wallkicks</t>
  </si>
  <si>
    <t>28.36</t>
  </si>
  <si>
    <t>28.60</t>
  </si>
  <si>
    <t>21.03</t>
  </si>
  <si>
    <t>29.062</t>
  </si>
  <si>
    <t>1:16.86</t>
  </si>
  <si>
    <t>30.79</t>
  </si>
  <si>
    <t>28.21</t>
  </si>
  <si>
    <t>28.52</t>
  </si>
  <si>
    <t>49.72</t>
  </si>
  <si>
    <t>22.52</t>
  </si>
  <si>
    <t>43.71</t>
  </si>
  <si>
    <t>42.97</t>
  </si>
  <si>
    <t>47.62</t>
  </si>
  <si>
    <t>42.87</t>
  </si>
  <si>
    <t>59.61</t>
  </si>
  <si>
    <t>19.57</t>
  </si>
  <si>
    <t>43.40</t>
  </si>
  <si>
    <t>58.39</t>
  </si>
  <si>
    <t>6.47</t>
  </si>
  <si>
    <t>[1] 5-tooth</t>
  </si>
  <si>
    <t>1:43.78</t>
  </si>
  <si>
    <t>8355</t>
  </si>
  <si>
    <t>1:46.21</t>
  </si>
  <si>
    <t>66</t>
  </si>
  <si>
    <t>1:19.25</t>
  </si>
  <si>
    <t>1:52.48</t>
  </si>
  <si>
    <t>37.01</t>
  </si>
  <si>
    <t xml:space="preserve">  [2] 6-tooth</t>
  </si>
  <si>
    <t>1:34.23</t>
  </si>
  <si>
    <t>1:33.53</t>
  </si>
  <si>
    <t>2:11.20</t>
  </si>
  <si>
    <t>1:32.95</t>
  </si>
  <si>
    <t>1:09.11</t>
  </si>
  <si>
    <t>1:36.096</t>
  </si>
  <si>
    <t>1:34.83</t>
  </si>
  <si>
    <t>1:34.21</t>
  </si>
  <si>
    <t>1:39.92</t>
  </si>
  <si>
    <t>1:30.93</t>
  </si>
  <si>
    <t>1:36.99</t>
  </si>
  <si>
    <t>59.77</t>
  </si>
  <si>
    <t xml:space="preserve">    [3] 6.5-tooth ("TAS Eel")</t>
  </si>
  <si>
    <t>1:27.14</t>
  </si>
  <si>
    <t>51.47</t>
  </si>
  <si>
    <t>2:22.46</t>
  </si>
  <si>
    <t>50.20</t>
  </si>
  <si>
    <t>1:28.15</t>
  </si>
  <si>
    <t>16.91</t>
  </si>
  <si>
    <t xml:space="preserve">      [4] 7-tooth</t>
  </si>
  <si>
    <t>1:27.35</t>
  </si>
  <si>
    <t>1:37.52</t>
  </si>
  <si>
    <t>1:28.22</t>
  </si>
  <si>
    <t>15.16</t>
  </si>
  <si>
    <t>1:26.88</t>
  </si>
  <si>
    <t>1:01.65</t>
  </si>
  <si>
    <t>2:04.86</t>
  </si>
  <si>
    <t>39.50</t>
  </si>
  <si>
    <t>1:31:11</t>
  </si>
  <si>
    <t>1:46.16</t>
  </si>
  <si>
    <t>1:08.08</t>
  </si>
  <si>
    <t>8.74</t>
  </si>
  <si>
    <t>1:03.21</t>
  </si>
  <si>
    <t>1:18.44</t>
  </si>
  <si>
    <t>18.15</t>
  </si>
  <si>
    <t>31.85</t>
  </si>
  <si>
    <t>2:15.76</t>
  </si>
  <si>
    <t>42.10</t>
  </si>
  <si>
    <t>32.94</t>
  </si>
  <si>
    <t>1:13.10</t>
  </si>
  <si>
    <t>51.89</t>
  </si>
  <si>
    <t>[1] bounce</t>
  </si>
  <si>
    <t>12.73</t>
  </si>
  <si>
    <t>1:14.31</t>
  </si>
  <si>
    <t>12.90</t>
  </si>
  <si>
    <t>1:16.74</t>
  </si>
  <si>
    <t>13.40</t>
  </si>
  <si>
    <t>12.94</t>
  </si>
  <si>
    <t>1:00.56</t>
  </si>
  <si>
    <t>42.29</t>
  </si>
  <si>
    <t>1:34.34</t>
  </si>
  <si>
    <t>52.12</t>
  </si>
  <si>
    <t xml:space="preserve">  [2] bounceless</t>
  </si>
  <si>
    <t>12.81</t>
  </si>
  <si>
    <t>2:04.39</t>
  </si>
  <si>
    <t>12.69</t>
  </si>
  <si>
    <t>2:31.00</t>
  </si>
  <si>
    <t>2:24.83</t>
  </si>
  <si>
    <t>12.49</t>
  </si>
  <si>
    <t>54.34</t>
  </si>
  <si>
    <t>28.24</t>
  </si>
  <si>
    <t>1:06.066</t>
  </si>
  <si>
    <t>32.87</t>
  </si>
  <si>
    <t>1:03.54</t>
  </si>
  <si>
    <t xml:space="preserve">  Il Piantissimo Talk</t>
  </si>
  <si>
    <t>10.95</t>
  </si>
  <si>
    <t>10.61</t>
  </si>
  <si>
    <t>11.152</t>
  </si>
  <si>
    <t>[1] cliff outside, green inside</t>
  </si>
  <si>
    <t>55.33</t>
  </si>
  <si>
    <t>55.89</t>
  </si>
  <si>
    <t>56.50</t>
  </si>
  <si>
    <t>57.81</t>
  </si>
  <si>
    <t xml:space="preserve">  [2,1] rope outside, green inside</t>
  </si>
  <si>
    <t>51.99</t>
  </si>
  <si>
    <t>2:17.19</t>
  </si>
  <si>
    <t>54.76</t>
  </si>
  <si>
    <t>1:25.56</t>
  </si>
  <si>
    <t>1:04.51</t>
  </si>
  <si>
    <t>53.48</t>
  </si>
  <si>
    <t>1:30.38</t>
  </si>
  <si>
    <t>53.29</t>
  </si>
  <si>
    <t>52.52</t>
  </si>
  <si>
    <t>1:31.71</t>
  </si>
  <si>
    <t>56.60</t>
  </si>
  <si>
    <t>52.27</t>
  </si>
  <si>
    <t>53.20</t>
  </si>
  <si>
    <t>21.68</t>
  </si>
  <si>
    <t xml:space="preserve">  [2,2] rope outside, Galapagos inside</t>
  </si>
  <si>
    <t>21.34</t>
  </si>
  <si>
    <t>19.29</t>
  </si>
  <si>
    <t>1:16.98</t>
  </si>
  <si>
    <t>51.31</t>
  </si>
  <si>
    <t>11.56</t>
  </si>
  <si>
    <t>51.25</t>
  </si>
  <si>
    <t>23.00</t>
  </si>
  <si>
    <t>[1] blue cycle</t>
  </si>
  <si>
    <t>32.12</t>
  </si>
  <si>
    <t>25.61</t>
  </si>
  <si>
    <t>33.52</t>
  </si>
  <si>
    <t>36.603</t>
  </si>
  <si>
    <t>28.11</t>
  </si>
  <si>
    <t>24.80</t>
  </si>
  <si>
    <t>24.61</t>
  </si>
  <si>
    <t xml:space="preserve">  [2] cycleless</t>
  </si>
  <si>
    <t>31.98</t>
  </si>
  <si>
    <t>31.08</t>
  </si>
  <si>
    <t>nindiddeh</t>
  </si>
  <si>
    <t>8322</t>
  </si>
  <si>
    <t>45.445</t>
  </si>
  <si>
    <t>86</t>
  </si>
  <si>
    <t>30.95</t>
  </si>
  <si>
    <t>1:18.78</t>
  </si>
  <si>
    <t>2:09.96</t>
  </si>
  <si>
    <t xml:space="preserve">    [3,1] Traditional RTA Green cycle</t>
  </si>
  <si>
    <t>30.61</t>
  </si>
  <si>
    <r>
      <rPr>
        <color rgb="FF000000"/>
        <sz val="9.0"/>
      </rPr>
      <t>1:07.5</t>
    </r>
    <r>
      <rPr>
        <color rgb="FF000000"/>
        <sz val="9.0"/>
      </rPr>
      <t>6</t>
    </r>
  </si>
  <si>
    <t>38.05</t>
  </si>
  <si>
    <t>30.99</t>
  </si>
  <si>
    <t>30.68</t>
  </si>
  <si>
    <t>31.34</t>
  </si>
  <si>
    <t>30.67</t>
  </si>
  <si>
    <t>31.62</t>
  </si>
  <si>
    <t>30.71</t>
  </si>
  <si>
    <t>39.92</t>
  </si>
  <si>
    <t>1:05.02</t>
  </si>
  <si>
    <t>49.58</t>
  </si>
  <si>
    <t xml:space="preserve">    [3,2] Green cycle/Galapagos hybrid</t>
  </si>
  <si>
    <t>16.55</t>
  </si>
  <si>
    <t>30.78</t>
  </si>
  <si>
    <t>55.01</t>
  </si>
  <si>
    <t>1:37.80</t>
  </si>
  <si>
    <t>30.59</t>
  </si>
  <si>
    <t>1:01.75</t>
  </si>
  <si>
    <t xml:space="preserve">      [4] Galapagos cycle</t>
  </si>
  <si>
    <t>29.60</t>
  </si>
  <si>
    <t>29.76</t>
  </si>
  <si>
    <t>18.61</t>
  </si>
  <si>
    <t>29.68</t>
  </si>
  <si>
    <t>25.45</t>
  </si>
  <si>
    <t>30.44</t>
  </si>
  <si>
    <t>29.71</t>
  </si>
  <si>
    <t>41.55</t>
  </si>
  <si>
    <t>[1] cliff entry</t>
  </si>
  <si>
    <t>23.65</t>
  </si>
  <si>
    <t>23.69</t>
  </si>
  <si>
    <t>43.43</t>
  </si>
  <si>
    <t>27.32</t>
  </si>
  <si>
    <t>24.86</t>
  </si>
  <si>
    <t>1:20.70</t>
  </si>
  <si>
    <t xml:space="preserve">  [2,1] classic ropes</t>
  </si>
  <si>
    <t>20.78</t>
  </si>
  <si>
    <t>21.20</t>
  </si>
  <si>
    <t>21.97</t>
  </si>
  <si>
    <t>21.57</t>
  </si>
  <si>
    <t>48.50</t>
  </si>
  <si>
    <t>2:28.83</t>
  </si>
  <si>
    <t>1:12.09</t>
  </si>
  <si>
    <t>43.19</t>
  </si>
  <si>
    <t>20.62</t>
  </si>
  <si>
    <t>31.97</t>
  </si>
  <si>
    <t>1:30.42</t>
  </si>
  <si>
    <t>11.94</t>
  </si>
  <si>
    <t>51.55</t>
  </si>
  <si>
    <t xml:space="preserve">  [2,2] Nanashi "Nashi" ropes</t>
  </si>
  <si>
    <t>15.56</t>
  </si>
  <si>
    <t>20.55</t>
  </si>
  <si>
    <t>1:10.22</t>
  </si>
  <si>
    <t>21.32</t>
  </si>
  <si>
    <t>20.47</t>
  </si>
  <si>
    <t>12.74</t>
  </si>
  <si>
    <t>29.24</t>
  </si>
  <si>
    <t>49.00</t>
  </si>
  <si>
    <t>2:18.66</t>
  </si>
  <si>
    <t>18.20</t>
  </si>
  <si>
    <t>1:02.95</t>
  </si>
  <si>
    <t>37.83</t>
  </si>
  <si>
    <t>19.64</t>
  </si>
  <si>
    <t>35.26</t>
  </si>
  <si>
    <t>20.23</t>
  </si>
  <si>
    <r>
      <rPr>
        <color rgb="FF1155CC"/>
        <sz val="9.0"/>
        <u/>
      </rPr>
      <t>30.6</t>
    </r>
    <r>
      <rPr>
        <color rgb="FF1155CC"/>
        <sz val="9.0"/>
        <u/>
      </rPr>
      <t>1</t>
    </r>
  </si>
  <si>
    <t>20.420</t>
  </si>
  <si>
    <t>46.97</t>
  </si>
  <si>
    <t>19.91</t>
  </si>
  <si>
    <t>19.82</t>
  </si>
  <si>
    <t>19.92</t>
  </si>
  <si>
    <t>18.78</t>
  </si>
  <si>
    <t>6.59</t>
  </si>
  <si>
    <t>8180</t>
  </si>
  <si>
    <t>102</t>
  </si>
  <si>
    <t>19.00</t>
  </si>
  <si>
    <t>51.61</t>
  </si>
  <si>
    <t>19.719</t>
  </si>
  <si>
    <t>2:14.00</t>
  </si>
  <si>
    <t>18.96</t>
  </si>
  <si>
    <t>18.98</t>
  </si>
  <si>
    <t xml:space="preserve">    [3] spam-spray early trigger</t>
  </si>
  <si>
    <t>18.73</t>
  </si>
  <si>
    <t>2:09.91</t>
  </si>
  <si>
    <t>19.84</t>
  </si>
  <si>
    <t>20.020</t>
  </si>
  <si>
    <t>16.95</t>
  </si>
  <si>
    <t xml:space="preserve">      [4,1] insta-kill (spinjump)</t>
  </si>
  <si>
    <t>1:01.45</t>
  </si>
  <si>
    <t>1:13.20</t>
  </si>
  <si>
    <t>15.74</t>
  </si>
  <si>
    <t>26.25</t>
  </si>
  <si>
    <t>16.116</t>
  </si>
  <si>
    <t xml:space="preserve">      [4,2] insta-kill (backflip)</t>
  </si>
  <si>
    <t>2:25.44</t>
  </si>
  <si>
    <t>16.616</t>
  </si>
  <si>
    <t>Episode 8 (Full)</t>
  </si>
  <si>
    <t>1:12.07</t>
  </si>
  <si>
    <t>1:12.91</t>
  </si>
  <si>
    <t>1:13.46</t>
  </si>
  <si>
    <t>1:12.072</t>
  </si>
  <si>
    <t>1:29.66</t>
  </si>
  <si>
    <t>1:10.09</t>
  </si>
  <si>
    <t>1:07.25</t>
  </si>
  <si>
    <t>1:09.25</t>
  </si>
  <si>
    <t>1:05.85</t>
  </si>
  <si>
    <t>1:07.52</t>
  </si>
  <si>
    <t>1:01.34</t>
  </si>
  <si>
    <t>1:08.62</t>
  </si>
  <si>
    <t>2:29.90</t>
  </si>
  <si>
    <t>2:26.10</t>
  </si>
  <si>
    <t>40.37</t>
  </si>
  <si>
    <t>42.71</t>
  </si>
  <si>
    <t>40.707</t>
  </si>
  <si>
    <t>44.477</t>
  </si>
  <si>
    <t>2:07.00</t>
  </si>
  <si>
    <t>[1] episode 2</t>
  </si>
  <si>
    <t xml:space="preserve">  [2] episode 7</t>
  </si>
  <si>
    <t>32.72</t>
  </si>
  <si>
    <t>1:32.50</t>
  </si>
  <si>
    <t>13.68</t>
  </si>
  <si>
    <t>31.12</t>
  </si>
  <si>
    <t>1:37.32</t>
  </si>
  <si>
    <t>35.59</t>
  </si>
  <si>
    <t>[1] standard route</t>
  </si>
  <si>
    <t>13.11</t>
  </si>
  <si>
    <t>1:42.90</t>
  </si>
  <si>
    <t>51.76</t>
  </si>
  <si>
    <t xml:space="preserve">  [2] Nanashi route</t>
  </si>
  <si>
    <t>1:24.51</t>
  </si>
  <si>
    <t>39.36</t>
  </si>
  <si>
    <t>1:24.08</t>
  </si>
  <si>
    <t>1:31.08</t>
  </si>
  <si>
    <t>54.77</t>
  </si>
  <si>
    <t>21.61</t>
  </si>
  <si>
    <t>[1,1] normal 1st, bad 3rd (normal)</t>
  </si>
  <si>
    <t>49.84</t>
  </si>
  <si>
    <t>1:16.93</t>
  </si>
  <si>
    <t>51.44</t>
  </si>
  <si>
    <t>51.78</t>
  </si>
  <si>
    <t>51.951</t>
  </si>
  <si>
    <t>32.46</t>
  </si>
  <si>
    <t>23.07</t>
  </si>
  <si>
    <t>31.35</t>
  </si>
  <si>
    <t>27.11</t>
  </si>
  <si>
    <t>25.73</t>
  </si>
  <si>
    <t>[1,2] normal 1st, bad 3rd (early)</t>
  </si>
  <si>
    <t>47.21</t>
  </si>
  <si>
    <t>6.57</t>
  </si>
  <si>
    <t>48.181</t>
  </si>
  <si>
    <t>8055</t>
  </si>
  <si>
    <t>47.67</t>
  </si>
  <si>
    <t>117</t>
  </si>
  <si>
    <t>47.38</t>
  </si>
  <si>
    <t>1:18.68</t>
  </si>
  <si>
    <t>37.51</t>
  </si>
  <si>
    <t>[1,3] normal 1st, good 3rd (wait at wall)</t>
  </si>
  <si>
    <t>46.34</t>
  </si>
  <si>
    <t>47.71</t>
  </si>
  <si>
    <t>47.080</t>
  </si>
  <si>
    <t>2:19.30</t>
  </si>
  <si>
    <t>1:10.18</t>
  </si>
  <si>
    <t>[1,4] normal 1st, good 3rd (bait chomp)</t>
  </si>
  <si>
    <t>48.94</t>
  </si>
  <si>
    <t>1:00.94</t>
  </si>
  <si>
    <t>45.34</t>
  </si>
  <si>
    <t>2:36.18</t>
  </si>
  <si>
    <r>
      <rPr>
        <color rgb="FF000000"/>
        <sz val="9.0"/>
        <u/>
      </rPr>
      <t>50.</t>
    </r>
    <r>
      <rPr>
        <color rgb="FF000000"/>
        <sz val="9.0"/>
        <u/>
      </rPr>
      <t>36</t>
    </r>
  </si>
  <si>
    <t>52.95</t>
  </si>
  <si>
    <t>[1,5] normal 1st, good 3rd (slide past)</t>
  </si>
  <si>
    <t>42.90</t>
  </si>
  <si>
    <t>30.29</t>
  </si>
  <si>
    <t>43.14</t>
  </si>
  <si>
    <t>44.844</t>
  </si>
  <si>
    <t>45.14</t>
  </si>
  <si>
    <t>1:37.08</t>
  </si>
  <si>
    <t>15.08</t>
  </si>
  <si>
    <t>45.33</t>
  </si>
  <si>
    <t>1:00.65</t>
  </si>
  <si>
    <t>44.65</t>
  </si>
  <si>
    <t>43.74</t>
  </si>
  <si>
    <t>2:13.23</t>
  </si>
  <si>
    <t>40.04</t>
  </si>
  <si>
    <t>18.64</t>
  </si>
  <si>
    <t>1:48.97</t>
  </si>
  <si>
    <t>43.49</t>
  </si>
  <si>
    <t>9.01</t>
  </si>
  <si>
    <t>59.62</t>
  </si>
  <si>
    <t>27.76</t>
  </si>
  <si>
    <t>44.44</t>
  </si>
  <si>
    <t>40.25</t>
  </si>
  <si>
    <t>2:40.31</t>
  </si>
  <si>
    <t>42.11</t>
  </si>
  <si>
    <t xml:space="preserve">  [2,1] forgotten 1st, bad 3rd</t>
  </si>
  <si>
    <t>46.58</t>
  </si>
  <si>
    <t>43.94</t>
  </si>
  <si>
    <t>53.887</t>
  </si>
  <si>
    <t>26.31</t>
  </si>
  <si>
    <t>1:26.93</t>
  </si>
  <si>
    <t>10.89</t>
  </si>
  <si>
    <t>1:25.34</t>
  </si>
  <si>
    <t>1:35.29</t>
  </si>
  <si>
    <t xml:space="preserve">  [2,2] forgotten 1st, bad 2nd, good 3rd</t>
  </si>
  <si>
    <t>43.30</t>
  </si>
  <si>
    <t>51.82</t>
  </si>
  <si>
    <t>34.56</t>
  </si>
  <si>
    <t>47.24</t>
  </si>
  <si>
    <t>49.783</t>
  </si>
  <si>
    <t>44.07</t>
  </si>
  <si>
    <t>21.27</t>
  </si>
  <si>
    <t>2:00.41</t>
  </si>
  <si>
    <t>46.00</t>
  </si>
  <si>
    <t>2:27.47</t>
  </si>
  <si>
    <t>2:25.36</t>
  </si>
  <si>
    <t>21.86</t>
  </si>
  <si>
    <t>1:10.29</t>
  </si>
  <si>
    <t>44.19</t>
  </si>
  <si>
    <t>2:24.41</t>
  </si>
  <si>
    <t xml:space="preserve">  [2,3] forgotten 1st, good 2nd + 3rd</t>
  </si>
  <si>
    <t>40.54</t>
  </si>
  <si>
    <t>33.54</t>
  </si>
  <si>
    <t>41.07</t>
  </si>
  <si>
    <t>44.78</t>
  </si>
  <si>
    <t>15.70</t>
  </si>
  <si>
    <t>41.20</t>
  </si>
  <si>
    <t>1:15.38</t>
  </si>
  <si>
    <t>1:08.09</t>
  </si>
  <si>
    <t>1:46.31</t>
  </si>
  <si>
    <t>12.78</t>
  </si>
  <si>
    <t>52.75</t>
  </si>
  <si>
    <t>2:17.76</t>
  </si>
  <si>
    <t>1:30.35</t>
  </si>
  <si>
    <t>1:00.48</t>
  </si>
  <si>
    <t>39.66</t>
  </si>
  <si>
    <t>42.93</t>
  </si>
  <si>
    <t>1:32.65</t>
  </si>
  <si>
    <t>1:28.81</t>
  </si>
  <si>
    <t>[1] no GWKD (no momentum-spin)</t>
  </si>
  <si>
    <t>32.69</t>
  </si>
  <si>
    <t>20.59</t>
  </si>
  <si>
    <t>20.02</t>
  </si>
  <si>
    <t>32.75</t>
  </si>
  <si>
    <t>33.20</t>
  </si>
  <si>
    <t>33.79</t>
  </si>
  <si>
    <t>23.20</t>
  </si>
  <si>
    <t>29.73</t>
  </si>
  <si>
    <t>36.46</t>
  </si>
  <si>
    <t>23.32</t>
  </si>
  <si>
    <t>25.58</t>
  </si>
  <si>
    <t>6.63</t>
  </si>
  <si>
    <t>8051</t>
  </si>
  <si>
    <t xml:space="preserve">  [2,1] GWKD, sideflip ms</t>
  </si>
  <si>
    <t>30.463</t>
  </si>
  <si>
    <t>31.15</t>
  </si>
  <si>
    <t>30.85</t>
  </si>
  <si>
    <t>2:12.87</t>
  </si>
  <si>
    <t xml:space="preserve">  [2,2] GWKD, triple-jump-dive ms</t>
  </si>
  <si>
    <t xml:space="preserve">  [2,3] GWKD, spin-jump-dive ms</t>
  </si>
  <si>
    <t>46.48</t>
  </si>
  <si>
    <t>30.94</t>
  </si>
  <si>
    <t>31.32</t>
  </si>
  <si>
    <t>31.51</t>
  </si>
  <si>
    <t>30.34</t>
  </si>
  <si>
    <t>[1] right</t>
  </si>
  <si>
    <t>46.07</t>
  </si>
  <si>
    <t>46.54</t>
  </si>
  <si>
    <t>46.21</t>
  </si>
  <si>
    <t>49.23</t>
  </si>
  <si>
    <t>46.83</t>
  </si>
  <si>
    <t>49.31</t>
  </si>
  <si>
    <t>47.61</t>
  </si>
  <si>
    <t>49.91</t>
  </si>
  <si>
    <t>47.26</t>
  </si>
  <si>
    <t>46.20</t>
  </si>
  <si>
    <t xml:space="preserve">  [2] center</t>
  </si>
  <si>
    <t>45.27</t>
  </si>
  <si>
    <t>45.10</t>
  </si>
  <si>
    <t>48.37</t>
  </si>
  <si>
    <t>52.45</t>
  </si>
  <si>
    <t>46.85</t>
  </si>
  <si>
    <t>45.70</t>
  </si>
  <si>
    <t>46.64</t>
  </si>
  <si>
    <t>45.57</t>
  </si>
  <si>
    <t>47.07</t>
  </si>
  <si>
    <t>10.63</t>
  </si>
  <si>
    <t xml:space="preserve">    [3] left</t>
  </si>
  <si>
    <t>44.74</t>
  </si>
  <si>
    <t>43.73</t>
  </si>
  <si>
    <t>43.63</t>
  </si>
  <si>
    <t>29.63</t>
  </si>
  <si>
    <t>45.04</t>
  </si>
  <si>
    <t>43.99</t>
  </si>
  <si>
    <t>[1] no pink pianta skip</t>
  </si>
  <si>
    <t>48.30</t>
  </si>
  <si>
    <t>32.29</t>
  </si>
  <si>
    <t>52.485</t>
  </si>
  <si>
    <t>25.82</t>
  </si>
  <si>
    <t>26.15</t>
  </si>
  <si>
    <t>28.628</t>
  </si>
  <si>
    <t>26.27</t>
  </si>
  <si>
    <t>2:18.51</t>
  </si>
  <si>
    <t>1:24.68</t>
  </si>
  <si>
    <t>1:00.44</t>
  </si>
  <si>
    <t>20.45</t>
  </si>
  <si>
    <t>19.72</t>
  </si>
  <si>
    <t>1:35.33</t>
  </si>
  <si>
    <t>20.95</t>
  </si>
  <si>
    <t>23.857</t>
  </si>
  <si>
    <t>20.19</t>
  </si>
  <si>
    <t>20.88</t>
  </si>
  <si>
    <t>1:14.54</t>
  </si>
  <si>
    <t>19.75</t>
  </si>
  <si>
    <t>20.07</t>
  </si>
  <si>
    <t>19.98</t>
  </si>
  <si>
    <t>7927</t>
  </si>
  <si>
    <t>50.89</t>
  </si>
  <si>
    <t>1:18.91</t>
  </si>
  <si>
    <t>[1] no spam-spray unlock</t>
  </si>
  <si>
    <t>2:18.94</t>
  </si>
  <si>
    <t>2:17.89</t>
  </si>
  <si>
    <t>43.13</t>
  </si>
  <si>
    <t>2:15.06</t>
  </si>
  <si>
    <t>1:09.61</t>
  </si>
  <si>
    <t>2:15.46</t>
  </si>
  <si>
    <t>39.59</t>
  </si>
  <si>
    <t>1:01.94</t>
  </si>
  <si>
    <t>2:16.43</t>
  </si>
  <si>
    <t>41.79</t>
  </si>
  <si>
    <t>2:18.37</t>
  </si>
  <si>
    <t>16.81</t>
  </si>
  <si>
    <t>2:18.11</t>
  </si>
  <si>
    <t>44.12</t>
  </si>
  <si>
    <t>1:02.56</t>
  </si>
  <si>
    <t>1:36.93</t>
  </si>
  <si>
    <t>1:07.133</t>
  </si>
  <si>
    <t>15.10</t>
  </si>
  <si>
    <t>53.21</t>
  </si>
  <si>
    <t>59.88</t>
  </si>
  <si>
    <t>1:06.39</t>
  </si>
  <si>
    <t>1:49.80</t>
  </si>
  <si>
    <t>1:15.39</t>
  </si>
  <si>
    <t>[1] double-jump dive</t>
  </si>
  <si>
    <t>18.63</t>
  </si>
  <si>
    <t>18.93</t>
  </si>
  <si>
    <t>27.96</t>
  </si>
  <si>
    <t>29.51</t>
  </si>
  <si>
    <t>19.03</t>
  </si>
  <si>
    <t>Version</t>
  </si>
  <si>
    <t>40.05</t>
  </si>
  <si>
    <t>SoB</t>
  </si>
  <si>
    <t>Bianco 2</t>
  </si>
  <si>
    <t>19.17</t>
  </si>
  <si>
    <t>19.20</t>
  </si>
  <si>
    <t>28.72</t>
  </si>
  <si>
    <t>33.55</t>
  </si>
  <si>
    <t>53.24</t>
  </si>
  <si>
    <t>Bianco 5</t>
  </si>
  <si>
    <t>Gelato 8</t>
  </si>
  <si>
    <t>Gelato 7</t>
  </si>
  <si>
    <t>Pianta 2</t>
  </si>
  <si>
    <t>Pianta 3</t>
  </si>
  <si>
    <t>27.75</t>
  </si>
  <si>
    <t>Pianta 4</t>
  </si>
  <si>
    <t>1:20.68</t>
  </si>
  <si>
    <t>Pianta 6</t>
  </si>
  <si>
    <t>Pianta 7</t>
  </si>
  <si>
    <t xml:space="preserve">  [2] triple-jump hover-cancel</t>
  </si>
  <si>
    <t>Pinna 1</t>
  </si>
  <si>
    <t>Pinna 3</t>
  </si>
  <si>
    <t>Pinna 4</t>
  </si>
  <si>
    <t>Pinna 6</t>
  </si>
  <si>
    <t>1:07.85</t>
  </si>
  <si>
    <t>Pinna 7</t>
  </si>
  <si>
    <t>Ricco 3</t>
  </si>
  <si>
    <t>Ricco 4</t>
  </si>
  <si>
    <t>Ricco 6</t>
  </si>
  <si>
    <t>Ricco 7</t>
  </si>
  <si>
    <t>Bianco 6</t>
  </si>
  <si>
    <t>18.53</t>
  </si>
  <si>
    <t>1:30.44</t>
  </si>
  <si>
    <t>Bianco 7</t>
  </si>
  <si>
    <t>51.66</t>
  </si>
  <si>
    <t>Sirena 2</t>
  </si>
  <si>
    <t>Sirena 3</t>
  </si>
  <si>
    <t>Sirena 5</t>
  </si>
  <si>
    <t>Sirena 6</t>
  </si>
  <si>
    <t>Sirena 7</t>
  </si>
  <si>
    <t>34.95</t>
  </si>
  <si>
    <t>22.59</t>
  </si>
  <si>
    <t>19.63</t>
  </si>
  <si>
    <t>Noki 2</t>
  </si>
  <si>
    <t>Noki 3</t>
  </si>
  <si>
    <t>Noki 4</t>
  </si>
  <si>
    <t>Noki 5</t>
  </si>
  <si>
    <t>Noki 6</t>
  </si>
  <si>
    <t>Noki 7</t>
  </si>
  <si>
    <t>Corona</t>
  </si>
  <si>
    <t>18.91</t>
  </si>
  <si>
    <t>18.80</t>
  </si>
  <si>
    <t>PB</t>
  </si>
  <si>
    <t>Difference</t>
  </si>
  <si>
    <t>Comment</t>
  </si>
  <si>
    <t>NTSC-J Combined</t>
  </si>
  <si>
    <t>NTSC-J</t>
  </si>
  <si>
    <t>2:26.40</t>
  </si>
  <si>
    <t>10:11.91</t>
  </si>
  <si>
    <t>1:11.83</t>
  </si>
  <si>
    <t>1:57.79</t>
  </si>
  <si>
    <t>2:39.05</t>
  </si>
  <si>
    <t>1:50.65</t>
  </si>
  <si>
    <t>47.28</t>
  </si>
  <si>
    <t>1:16.14</t>
  </si>
  <si>
    <t>1:22.35</t>
  </si>
  <si>
    <t>1:12.98</t>
  </si>
  <si>
    <t>1:17.34</t>
  </si>
  <si>
    <t>1:41.69</t>
  </si>
  <si>
    <t>47.18</t>
  </si>
  <si>
    <t>18.65</t>
  </si>
  <si>
    <t>2:08.42</t>
  </si>
  <si>
    <t>1:15.30</t>
  </si>
  <si>
    <t>4:23.87</t>
  </si>
  <si>
    <t>57.55</t>
  </si>
  <si>
    <t>1:41.20</t>
  </si>
  <si>
    <t>1:26.55</t>
  </si>
  <si>
    <t>1:19.89</t>
  </si>
  <si>
    <t>47.04</t>
  </si>
  <si>
    <t>1:47.27</t>
  </si>
  <si>
    <t>2:27.43</t>
  </si>
  <si>
    <t>47.74</t>
  </si>
  <si>
    <t xml:space="preserve">    [3] insta-kill</t>
  </si>
  <si>
    <t>2:23.97</t>
  </si>
  <si>
    <t>56.73</t>
  </si>
  <si>
    <t>1:26.46</t>
  </si>
  <si>
    <t>2:39.52</t>
  </si>
  <si>
    <t>1:21.30</t>
  </si>
  <si>
    <t>55.62</t>
  </si>
  <si>
    <t>53.51</t>
  </si>
  <si>
    <t>1:24.58</t>
  </si>
  <si>
    <t>55.00</t>
  </si>
  <si>
    <t>1:20.30</t>
  </si>
  <si>
    <t>1:57.08</t>
  </si>
  <si>
    <t>1:34.49</t>
  </si>
  <si>
    <t>1:19.78</t>
  </si>
  <si>
    <t>2:24.46</t>
  </si>
  <si>
    <t>1:12:23</t>
  </si>
  <si>
    <t>33.05</t>
  </si>
  <si>
    <t>1:27.95</t>
  </si>
  <si>
    <t>18.54</t>
  </si>
  <si>
    <t>18.651</t>
  </si>
  <si>
    <t>1:13.97</t>
  </si>
  <si>
    <t>PAL Combined</t>
  </si>
  <si>
    <t>PAL</t>
  </si>
  <si>
    <t>10:15.97</t>
  </si>
  <si>
    <t>1:59.07</t>
  </si>
  <si>
    <t>2:40.69</t>
  </si>
  <si>
    <t>1:52.22</t>
  </si>
  <si>
    <t>48.19</t>
  </si>
  <si>
    <t>1:18.51</t>
  </si>
  <si>
    <t>1:13.78</t>
  </si>
  <si>
    <t>1:22.32</t>
  </si>
  <si>
    <t>1:43.17</t>
  </si>
  <si>
    <t>2:12.27</t>
  </si>
  <si>
    <t>1:15.86</t>
  </si>
  <si>
    <t>1:17.91</t>
  </si>
  <si>
    <t>1:25.27</t>
  </si>
  <si>
    <t>1:00.15</t>
  </si>
  <si>
    <t>1:44.06</t>
  </si>
  <si>
    <t>18.49</t>
  </si>
  <si>
    <t>47.17</t>
  </si>
  <si>
    <t>47.48</t>
  </si>
  <si>
    <t>1:49.35</t>
  </si>
  <si>
    <t>2:23.89</t>
  </si>
  <si>
    <t>1:07.78</t>
  </si>
  <si>
    <t>57.30</t>
  </si>
  <si>
    <t>1:27.13</t>
  </si>
  <si>
    <t>2:31.10</t>
  </si>
  <si>
    <t>40.94</t>
  </si>
  <si>
    <t>56.25</t>
  </si>
  <si>
    <t>1:25.48</t>
  </si>
  <si>
    <t>55.79</t>
  </si>
  <si>
    <t>2:00.12</t>
  </si>
  <si>
    <t>1:36.68</t>
  </si>
  <si>
    <t>1:21.06</t>
  </si>
  <si>
    <t>43.42</t>
  </si>
  <si>
    <t>2:26.06</t>
  </si>
  <si>
    <t>1:18.10</t>
  </si>
  <si>
    <t>1:14:51</t>
  </si>
  <si>
    <t>12.88</t>
  </si>
  <si>
    <t>NTSC-U Combined</t>
  </si>
  <si>
    <t>NTSC-U</t>
  </si>
  <si>
    <t>10:18.22</t>
  </si>
  <si>
    <t>1:13.47</t>
  </si>
  <si>
    <t>2:00.57</t>
  </si>
  <si>
    <t>2:44.03</t>
  </si>
  <si>
    <t>1:55.38</t>
  </si>
  <si>
    <t>1:25.09</t>
  </si>
  <si>
    <t>1:26.40</t>
  </si>
  <si>
    <t>58.02</t>
  </si>
  <si>
    <t>1:15.09</t>
  </si>
  <si>
    <t>1:45.65</t>
  </si>
  <si>
    <t>48.65</t>
  </si>
  <si>
    <t>2:15.60</t>
  </si>
  <si>
    <t>1:16.85</t>
  </si>
  <si>
    <t>1:20.08</t>
  </si>
  <si>
    <t>1:26.64</t>
  </si>
  <si>
    <t>1:59.99</t>
  </si>
  <si>
    <t>1:00.66</t>
  </si>
  <si>
    <t>1:47.20</t>
  </si>
  <si>
    <t>1:29.70</t>
  </si>
  <si>
    <t>1:19.49</t>
  </si>
  <si>
    <t>1:30.30</t>
  </si>
  <si>
    <t>1:21.27</t>
  </si>
  <si>
    <t>1:50.06</t>
  </si>
  <si>
    <t>48.70</t>
  </si>
  <si>
    <t>51.40</t>
  </si>
  <si>
    <t>2:30.40</t>
  </si>
  <si>
    <t>1:32.91</t>
  </si>
  <si>
    <t>58.90</t>
  </si>
  <si>
    <t>1:29.38</t>
  </si>
  <si>
    <t>2:51.14</t>
  </si>
  <si>
    <t>58.00</t>
  </si>
  <si>
    <t>1:27.08</t>
  </si>
  <si>
    <t>56.92</t>
  </si>
  <si>
    <t>1:24.19</t>
  </si>
  <si>
    <t>2:03.96</t>
  </si>
  <si>
    <t>1:38.19</t>
  </si>
  <si>
    <t>2:18.53</t>
  </si>
  <si>
    <t>2:28.90</t>
  </si>
  <si>
    <t>1:15:44</t>
  </si>
  <si>
    <t>1:23.016</t>
  </si>
  <si>
    <t>1:21.50</t>
  </si>
  <si>
    <t>1:02.55</t>
  </si>
  <si>
    <t>43.15</t>
  </si>
  <si>
    <t>1:29.71</t>
  </si>
  <si>
    <t>1:24.20</t>
  </si>
  <si>
    <t>21.53</t>
  </si>
  <si>
    <t>1:16.44</t>
  </si>
  <si>
    <t>Episode 5 Reds (IGT)</t>
  </si>
  <si>
    <t>1:57.86</t>
  </si>
  <si>
    <t>39.139</t>
  </si>
  <si>
    <t>22.94</t>
  </si>
  <si>
    <t>40.77</t>
  </si>
  <si>
    <t>30.33</t>
  </si>
  <si>
    <t>25.28</t>
  </si>
  <si>
    <t>27.51</t>
  </si>
  <si>
    <t>20.44</t>
  </si>
  <si>
    <t>37.48</t>
  </si>
  <si>
    <t>1:41.76</t>
  </si>
  <si>
    <t>6.72</t>
  </si>
  <si>
    <t>37.804</t>
  </si>
  <si>
    <t>37.79</t>
  </si>
  <si>
    <t>7848</t>
  </si>
  <si>
    <t>51.81</t>
  </si>
  <si>
    <t>1:21.97</t>
  </si>
  <si>
    <t>37.62</t>
  </si>
  <si>
    <t>37.20</t>
  </si>
  <si>
    <t>34.86</t>
  </si>
  <si>
    <t>2:19.24</t>
  </si>
  <si>
    <t>1:10.74</t>
  </si>
  <si>
    <t>1:23.24</t>
  </si>
  <si>
    <t>1:17.21</t>
  </si>
  <si>
    <t>1:33.00</t>
  </si>
  <si>
    <t>1:20.04</t>
  </si>
  <si>
    <t>1:33.526</t>
  </si>
  <si>
    <t>1:02.24</t>
  </si>
  <si>
    <t>2:26.98</t>
  </si>
  <si>
    <t>2:30.78</t>
  </si>
  <si>
    <r>
      <rPr>
        <rFont val="Arial"/>
        <b/>
        <color rgb="FFF3F3F3"/>
        <sz val="18.0"/>
      </rPr>
      <t xml:space="preserve">Delfino Plaza </t>
    </r>
    <r>
      <rPr>
        <rFont val="Arial"/>
        <b/>
        <color rgb="FFF3F3F3"/>
        <sz val="12.0"/>
      </rPr>
      <t>(Shines + Movement)</t>
    </r>
  </si>
  <si>
    <t>51.02</t>
  </si>
  <si>
    <t>1:26.78</t>
  </si>
  <si>
    <t>2:44.76</t>
  </si>
  <si>
    <t>Corona Mountain (Full)</t>
  </si>
  <si>
    <t>[1,1] normal corona</t>
  </si>
  <si>
    <t>1:23.74</t>
  </si>
  <si>
    <t>55.08</t>
  </si>
  <si>
    <t>1:29.24</t>
  </si>
  <si>
    <t>1:20.63</t>
  </si>
  <si>
    <t>1:39.25</t>
  </si>
  <si>
    <t>1:34.52</t>
  </si>
  <si>
    <t>[1,2] normal corona, Kwan dive</t>
  </si>
  <si>
    <t>1:24.41</t>
  </si>
  <si>
    <t>1:32.46</t>
  </si>
  <si>
    <t>45.56</t>
  </si>
  <si>
    <t>1:22.68</t>
  </si>
  <si>
    <t>2:24.57</t>
  </si>
  <si>
    <t>1:11 is free</t>
  </si>
  <si>
    <t>10:13.88</t>
  </si>
  <si>
    <t xml:space="preserve">    [2] fast corona</t>
  </si>
  <si>
    <t>1:12.17</t>
  </si>
  <si>
    <t>1:58.81</t>
  </si>
  <si>
    <t>19.81</t>
  </si>
  <si>
    <t>2:41.72</t>
  </si>
  <si>
    <t>1:15.04</t>
  </si>
  <si>
    <t>1:53.86</t>
  </si>
  <si>
    <t>1:51.54</t>
  </si>
  <si>
    <t>1:13.69</t>
  </si>
  <si>
    <t>1:16.84</t>
  </si>
  <si>
    <t>1:23.18</t>
  </si>
  <si>
    <t>49.90</t>
  </si>
  <si>
    <t>1:18.12</t>
  </si>
  <si>
    <t>1:23.67</t>
  </si>
  <si>
    <t>1:14.41</t>
  </si>
  <si>
    <t>55.92</t>
  </si>
  <si>
    <t>1:19.46</t>
  </si>
  <si>
    <t>1:17.94</t>
  </si>
  <si>
    <t>8.87</t>
  </si>
  <si>
    <t>58.54</t>
  </si>
  <si>
    <t>1:42.13</t>
  </si>
  <si>
    <t>47.68</t>
  </si>
  <si>
    <t xml:space="preserve">  Entry</t>
  </si>
  <si>
    <t>47.65</t>
  </si>
  <si>
    <t>2:09.12</t>
  </si>
  <si>
    <t>1:15.54</t>
  </si>
  <si>
    <t>1:16.27</t>
  </si>
  <si>
    <t>37.35</t>
  </si>
  <si>
    <t>1:24.91</t>
  </si>
  <si>
    <t>1:54.21</t>
  </si>
  <si>
    <t>59.22</t>
  </si>
  <si>
    <t>48.02</t>
  </si>
  <si>
    <t>2:30.65</t>
  </si>
  <si>
    <t>1:41.30</t>
  </si>
  <si>
    <t>1:27.05</t>
  </si>
  <si>
    <t>48.32</t>
  </si>
  <si>
    <t>46.98</t>
  </si>
  <si>
    <t>1:25.41</t>
  </si>
  <si>
    <t>32.96</t>
  </si>
  <si>
    <t>42.30</t>
  </si>
  <si>
    <t>1:48.17</t>
  </si>
  <si>
    <t>44.41</t>
  </si>
  <si>
    <t>42.45</t>
  </si>
  <si>
    <t>2:26.18</t>
  </si>
  <si>
    <t>44.81</t>
  </si>
  <si>
    <t>57.15</t>
  </si>
  <si>
    <t>42.38</t>
  </si>
  <si>
    <t>1:27.62</t>
  </si>
  <si>
    <t>2:42.69</t>
  </si>
  <si>
    <t>1:22.69</t>
  </si>
  <si>
    <t>12.63</t>
  </si>
  <si>
    <t>1:20.76</t>
  </si>
  <si>
    <t>55.52</t>
  </si>
  <si>
    <t xml:space="preserve">  Bowser Only</t>
  </si>
  <si>
    <t>[1] no dives</t>
  </si>
  <si>
    <t>31.06</t>
  </si>
  <si>
    <t>1:25.94</t>
  </si>
  <si>
    <t>1:58.51</t>
  </si>
  <si>
    <t>34.16</t>
  </si>
  <si>
    <t>1:36.47</t>
  </si>
  <si>
    <t>32.78</t>
  </si>
  <si>
    <t>1:30.29</t>
  </si>
  <si>
    <t>1:20.11</t>
  </si>
  <si>
    <t>2:25.17</t>
  </si>
  <si>
    <t xml:space="preserve">  [2] dives</t>
  </si>
  <si>
    <t>34.59</t>
  </si>
  <si>
    <t>1:12:43</t>
  </si>
  <si>
    <t>23.39</t>
  </si>
  <si>
    <t>10:12.54</t>
  </si>
  <si>
    <t>1:11.90</t>
  </si>
  <si>
    <t>1:57.82</t>
  </si>
  <si>
    <t>2:40.85</t>
  </si>
  <si>
    <t>1:51.12</t>
  </si>
  <si>
    <t>47.35</t>
  </si>
  <si>
    <t>1:16.39</t>
  </si>
  <si>
    <t>55.76</t>
  </si>
  <si>
    <t>1:19.31</t>
  </si>
  <si>
    <t>1:42.30</t>
  </si>
  <si>
    <t>1:24.71</t>
  </si>
  <si>
    <t>1:58.32</t>
  </si>
  <si>
    <t>1:43.63</t>
  </si>
  <si>
    <t>1:26.75</t>
  </si>
  <si>
    <t>21.67</t>
  </si>
  <si>
    <t>1:17.35</t>
  </si>
  <si>
    <t>1:26.86</t>
  </si>
  <si>
    <t>2:27.06</t>
  </si>
  <si>
    <t>1:28.62</t>
  </si>
  <si>
    <t>2:09.46</t>
  </si>
  <si>
    <t>1:28.55</t>
  </si>
  <si>
    <t>2:42.93</t>
  </si>
  <si>
    <t>1:24.48</t>
  </si>
  <si>
    <t>55.78</t>
  </si>
  <si>
    <t>1:24.79</t>
  </si>
  <si>
    <t>55.40</t>
  </si>
  <si>
    <t>2:01.51</t>
  </si>
  <si>
    <t>1:35.67</t>
  </si>
  <si>
    <t>1:21.33</t>
  </si>
  <si>
    <t>46.10</t>
  </si>
  <si>
    <t>2:25.04</t>
  </si>
  <si>
    <t>1:13:17</t>
  </si>
  <si>
    <t>2:26.72</t>
  </si>
  <si>
    <t>10:13.51</t>
  </si>
  <si>
    <t>2:23.20</t>
  </si>
  <si>
    <t>1:12.27</t>
  </si>
  <si>
    <t>4:24.07</t>
  </si>
  <si>
    <t>1:58.63</t>
  </si>
  <si>
    <t>2:39.09</t>
  </si>
  <si>
    <t>Corona Entry (Default Start)</t>
  </si>
  <si>
    <t>[1] left side</t>
  </si>
  <si>
    <t>12.50</t>
  </si>
  <si>
    <t>1:08.79</t>
  </si>
  <si>
    <t>1:51.83</t>
  </si>
  <si>
    <t>1:18.69</t>
  </si>
  <si>
    <t>1:23.51</t>
  </si>
  <si>
    <t>1:13.56</t>
  </si>
  <si>
    <r>
      <rPr>
        <rFont val="arial,sans,sans-serif"/>
        <color rgb="FF000000"/>
        <sz val="9.0"/>
        <u/>
      </rPr>
      <t>1:20</t>
    </r>
    <r>
      <rPr>
        <rFont val="arial,sans,sans-serif"/>
        <color rgb="FF000000"/>
        <sz val="9.0"/>
        <u/>
      </rPr>
      <t>.75</t>
    </r>
  </si>
  <si>
    <t>2:08.91</t>
  </si>
  <si>
    <t>1:42.33</t>
  </si>
  <si>
    <t>53.40</t>
  </si>
  <si>
    <t>2:10.59</t>
  </si>
  <si>
    <t xml:space="preserve">  [2] right side</t>
  </si>
  <si>
    <t>1:16.71</t>
  </si>
  <si>
    <t>1:25.24</t>
  </si>
  <si>
    <t>1:59.84</t>
  </si>
  <si>
    <t>59.36</t>
  </si>
  <si>
    <t>1:44.66</t>
  </si>
  <si>
    <t>46.88</t>
  </si>
  <si>
    <t>34.40</t>
  </si>
  <si>
    <t>1:35.76</t>
  </si>
  <si>
    <t>13.64</t>
  </si>
  <si>
    <t>[1] chuckster throw</t>
  </si>
  <si>
    <t>47.87</t>
  </si>
  <si>
    <t>2:26.23</t>
  </si>
  <si>
    <t>52.46</t>
  </si>
  <si>
    <t>57.35</t>
  </si>
  <si>
    <t>2:45.40</t>
  </si>
  <si>
    <t>56.22</t>
  </si>
  <si>
    <t>1:25.11</t>
  </si>
  <si>
    <t xml:space="preserve">  [2] Delorean clip (JP)</t>
  </si>
  <si>
    <t>1:20.57</t>
  </si>
  <si>
    <t>1:15.10</t>
  </si>
  <si>
    <t>2:01.06</t>
  </si>
  <si>
    <t>1:35.84</t>
  </si>
  <si>
    <t>1:20.83</t>
  </si>
  <si>
    <t xml:space="preserve">    [3] KKona clip (PAL/U)</t>
  </si>
  <si>
    <t>2:25.30</t>
  </si>
  <si>
    <t>1:42.76</t>
  </si>
  <si>
    <t>1:13:44</t>
  </si>
  <si>
    <t>1:12 is free</t>
  </si>
  <si>
    <t>10:12.95</t>
  </si>
  <si>
    <t>1:12.26</t>
  </si>
  <si>
    <t>2:39.72</t>
  </si>
  <si>
    <t>1:50.85</t>
  </si>
  <si>
    <t>13.28</t>
  </si>
  <si>
    <t>1:18.80</t>
  </si>
  <si>
    <t>29.46</t>
  </si>
  <si>
    <t>Lilypad Entry (Default Start)</t>
  </si>
  <si>
    <t>2:10.98</t>
  </si>
  <si>
    <t>1:56.55</t>
  </si>
  <si>
    <t>1:45.57</t>
  </si>
  <si>
    <t>1:26.80</t>
  </si>
  <si>
    <t>30.28</t>
  </si>
  <si>
    <t>1:17.74</t>
  </si>
  <si>
    <t>1:28.09</t>
  </si>
  <si>
    <t>1:20.55</t>
  </si>
  <si>
    <t>1:49.26</t>
  </si>
  <si>
    <t>2:25.60</t>
  </si>
  <si>
    <t>1:29.35</t>
  </si>
  <si>
    <t>2:42.27</t>
  </si>
  <si>
    <t>2:16.83</t>
  </si>
  <si>
    <t>1:24.33</t>
  </si>
  <si>
    <t>31.21</t>
  </si>
  <si>
    <t>55.59</t>
  </si>
  <si>
    <t>1:21.21</t>
  </si>
  <si>
    <t>1:58.70</t>
  </si>
  <si>
    <t>1:35.43</t>
  </si>
  <si>
    <t>1:22.90</t>
  </si>
  <si>
    <t>1:12:49</t>
  </si>
  <si>
    <t>1:13 is free</t>
  </si>
  <si>
    <t>1:58.65</t>
  </si>
  <si>
    <t>2:39.53</t>
  </si>
  <si>
    <t>1:51.98</t>
  </si>
  <si>
    <t>Beach Pipe (Entry)</t>
  </si>
  <si>
    <t>1:22.65</t>
  </si>
  <si>
    <t>55.95</t>
  </si>
  <si>
    <t>1:13.09</t>
  </si>
  <si>
    <t>7.74</t>
  </si>
  <si>
    <t>2:11.32</t>
  </si>
  <si>
    <t>1:15.32</t>
  </si>
  <si>
    <t>1:16.20</t>
  </si>
  <si>
    <t>1:32.58</t>
  </si>
  <si>
    <t>1:24.95</t>
  </si>
  <si>
    <t>1:57.85</t>
  </si>
  <si>
    <t>59.42</t>
  </si>
  <si>
    <t>1:26.90</t>
  </si>
  <si>
    <t xml:space="preserve">  Inside (Hover)</t>
  </si>
  <si>
    <t>[1] pump hover</t>
  </si>
  <si>
    <t>1:29.47</t>
  </si>
  <si>
    <t>15.93</t>
  </si>
  <si>
    <t>53.93</t>
  </si>
  <si>
    <t>1:47.73</t>
  </si>
  <si>
    <t>2:36.80</t>
  </si>
  <si>
    <t>2:46.20</t>
  </si>
  <si>
    <t>22.79</t>
  </si>
  <si>
    <t xml:space="preserve">  [2] ramp</t>
  </si>
  <si>
    <t>2:01.98</t>
  </si>
  <si>
    <t>1:34.63</t>
  </si>
  <si>
    <t>1:19.86</t>
  </si>
  <si>
    <t>Gold Bird (Default Start)</t>
  </si>
  <si>
    <t>[1] no GWK</t>
  </si>
  <si>
    <t>2:25.56</t>
  </si>
  <si>
    <t>1:13:33</t>
  </si>
  <si>
    <t>hello plankton</t>
  </si>
  <si>
    <t>10:13.55</t>
  </si>
  <si>
    <t>11.63</t>
  </si>
  <si>
    <t>1:12.06</t>
  </si>
  <si>
    <t>2:41.20</t>
  </si>
  <si>
    <t>1:51.48</t>
  </si>
  <si>
    <t>32.15</t>
  </si>
  <si>
    <t>1:17.79</t>
  </si>
  <si>
    <t>1:13.21</t>
  </si>
  <si>
    <t>1:18.92</t>
  </si>
  <si>
    <t>1:42.73</t>
  </si>
  <si>
    <t>1:15.72</t>
  </si>
  <si>
    <t>1:17.02</t>
  </si>
  <si>
    <t>1:25.20</t>
  </si>
  <si>
    <t xml:space="preserve">  [2] GWK</t>
  </si>
  <si>
    <t>2:00.49</t>
  </si>
  <si>
    <t>31.45</t>
  </si>
  <si>
    <t>59.59</t>
  </si>
  <si>
    <t>1:45.04</t>
  </si>
  <si>
    <t>1:27.66</t>
  </si>
  <si>
    <t>48.21</t>
  </si>
  <si>
    <t>1:48.10</t>
  </si>
  <si>
    <t>47.96</t>
  </si>
  <si>
    <t>2:28.93</t>
  </si>
  <si>
    <t>1:28.56</t>
  </si>
  <si>
    <t>33.10</t>
  </si>
  <si>
    <t>57.09</t>
  </si>
  <si>
    <t>1:29.49</t>
  </si>
  <si>
    <t>2:45.46</t>
  </si>
  <si>
    <t>24.65</t>
  </si>
  <si>
    <t>55.12</t>
  </si>
  <si>
    <t>2:02.53</t>
  </si>
  <si>
    <t>1:36.01</t>
  </si>
  <si>
    <t>46.35</t>
  </si>
  <si>
    <t>2:24.80</t>
  </si>
  <si>
    <t>1:14:22</t>
  </si>
  <si>
    <t>25.41</t>
  </si>
  <si>
    <t>toobou</t>
  </si>
  <si>
    <t>Entries (Default Start)</t>
  </si>
  <si>
    <t>[1] pachinko</t>
  </si>
  <si>
    <t>10:14.76</t>
  </si>
  <si>
    <t>1:12.69</t>
  </si>
  <si>
    <t>1:59.76</t>
  </si>
  <si>
    <t>32.22</t>
  </si>
  <si>
    <t>2:39.81</t>
  </si>
  <si>
    <t>1:51.96</t>
  </si>
  <si>
    <t>47.80</t>
  </si>
  <si>
    <t>1:21.73</t>
  </si>
  <si>
    <t>1:44.29</t>
  </si>
  <si>
    <t>2:11.93</t>
  </si>
  <si>
    <t>27.24</t>
  </si>
  <si>
    <t>1:15.65</t>
  </si>
  <si>
    <t>1:17.55</t>
  </si>
  <si>
    <t>1:25.18</t>
  </si>
  <si>
    <t>1:57.58</t>
  </si>
  <si>
    <t>1:44.51</t>
  </si>
  <si>
    <t>1:28.06</t>
  </si>
  <si>
    <t xml:space="preserve">  [2] jail secret</t>
  </si>
  <si>
    <t>1:18.15</t>
  </si>
  <si>
    <t>1:27.70</t>
  </si>
  <si>
    <t>1:49.40</t>
  </si>
  <si>
    <t>2:29.10</t>
  </si>
  <si>
    <t>1:27.25</t>
  </si>
  <si>
    <t>1:27.63</t>
  </si>
  <si>
    <t>2:44.40</t>
  </si>
  <si>
    <t>1:23.96</t>
  </si>
  <si>
    <t>1:25.53</t>
  </si>
  <si>
    <t>24.64</t>
  </si>
  <si>
    <t>1:21.18</t>
  </si>
  <si>
    <t>1:58.56</t>
  </si>
  <si>
    <t>1:34.68</t>
  </si>
  <si>
    <t>1:21.46</t>
  </si>
  <si>
    <t>2:26.96</t>
  </si>
  <si>
    <t>1:12:58</t>
  </si>
  <si>
    <t>test</t>
  </si>
  <si>
    <t xml:space="preserve">    [3] grass pipe</t>
  </si>
  <si>
    <t>Dogecyanide</t>
  </si>
  <si>
    <t>1:06.399</t>
  </si>
  <si>
    <t>10:17.90</t>
  </si>
  <si>
    <t>7743</t>
  </si>
  <si>
    <t>[1] no setup</t>
  </si>
  <si>
    <t>1:13.08</t>
  </si>
  <si>
    <t>1:59.66</t>
  </si>
  <si>
    <t>2:42.20</t>
  </si>
  <si>
    <t>91</t>
  </si>
  <si>
    <t>1:20.42</t>
  </si>
  <si>
    <t>21.13</t>
  </si>
  <si>
    <t>1:14.25</t>
  </si>
  <si>
    <t>1:23.98</t>
  </si>
  <si>
    <t>19.69</t>
  </si>
  <si>
    <t>42.53</t>
  </si>
  <si>
    <t>2:12.46</t>
  </si>
  <si>
    <t>1:55.66</t>
  </si>
  <si>
    <t>2:17.02</t>
  </si>
  <si>
    <t>1:09.06</t>
  </si>
  <si>
    <r>
      <rPr>
        <rFont val="Arial"/>
        <b/>
        <color rgb="FFF3F3F3"/>
        <sz val="18.0"/>
      </rPr>
      <t xml:space="preserve">Delfino Plaza </t>
    </r>
    <r>
      <rPr>
        <rFont val="Arial"/>
        <b/>
        <color rgb="FFF3F3F3"/>
        <sz val="12.0"/>
      </rPr>
      <t>(Any% Movement)</t>
    </r>
  </si>
  <si>
    <t>39.20</t>
  </si>
  <si>
    <t>1:28.28</t>
  </si>
  <si>
    <t>46.84</t>
  </si>
  <si>
    <t>59.24</t>
  </si>
  <si>
    <t>Bianco Plant Fight</t>
  </si>
  <si>
    <t>1:28.12</t>
  </si>
  <si>
    <t>[1] normal</t>
  </si>
  <si>
    <t>2:18.55</t>
  </si>
  <si>
    <t>1:49.78</t>
  </si>
  <si>
    <t>2:24.60</t>
  </si>
  <si>
    <t>14.58</t>
  </si>
  <si>
    <t xml:space="preserve">  [2] 2014 TAS movement</t>
  </si>
  <si>
    <t>1:33.76</t>
  </si>
  <si>
    <t>15.17</t>
  </si>
  <si>
    <t>2:45.72</t>
  </si>
  <si>
    <t xml:space="preserve">    [3] roof "scumbag" movement</t>
  </si>
  <si>
    <t>2:02.41</t>
  </si>
  <si>
    <t>19.51</t>
  </si>
  <si>
    <t>29.66</t>
  </si>
  <si>
    <t>49.03</t>
  </si>
  <si>
    <t>29.58</t>
  </si>
  <si>
    <t>27.40</t>
  </si>
  <si>
    <t>27.73</t>
  </si>
  <si>
    <t>2:37.15</t>
  </si>
  <si>
    <t>49.88</t>
  </si>
  <si>
    <t>44.16</t>
  </si>
  <si>
    <t>1:20.72</t>
  </si>
  <si>
    <t>1:25.06</t>
  </si>
  <si>
    <t>1:21.93</t>
  </si>
  <si>
    <t>Shadow Mario</t>
  </si>
  <si>
    <t>i love PAL</t>
  </si>
  <si>
    <t>1:21.80</t>
  </si>
  <si>
    <t>10:13.683</t>
  </si>
  <si>
    <t>1:12.834</t>
  </si>
  <si>
    <t>1:59.253</t>
  </si>
  <si>
    <r>
      <rPr>
        <rFont val="Arial"/>
        <color rgb="FF000000"/>
        <sz val="9.0"/>
        <u/>
      </rPr>
      <t>2:39.28</t>
    </r>
    <r>
      <rPr>
        <rFont val="Arial"/>
        <color rgb="FF000000"/>
        <sz val="9.0"/>
      </rPr>
      <t>9</t>
    </r>
  </si>
  <si>
    <t>34.52</t>
  </si>
  <si>
    <t>48.99</t>
  </si>
  <si>
    <t>1:52.782</t>
  </si>
  <si>
    <t>47.505</t>
  </si>
  <si>
    <t>1:17.519</t>
  </si>
  <si>
    <t>1:22.48</t>
  </si>
  <si>
    <t>2:27.23</t>
  </si>
  <si>
    <t>56.041</t>
  </si>
  <si>
    <t>1:13.464</t>
  </si>
  <si>
    <t>4:23.71</t>
  </si>
  <si>
    <t>1:21.867</t>
  </si>
  <si>
    <t>1:42.321</t>
  </si>
  <si>
    <t>47.622</t>
  </si>
  <si>
    <t>2:12.122</t>
  </si>
  <si>
    <t>1:15.553</t>
  </si>
  <si>
    <t>1:17.463</t>
  </si>
  <si>
    <t>1:28.344</t>
  </si>
  <si>
    <t>1:58.869</t>
  </si>
  <si>
    <t>59.687</t>
  </si>
  <si>
    <t>1:43.820</t>
  </si>
  <si>
    <t>1:28.060</t>
  </si>
  <si>
    <t>46.880</t>
  </si>
  <si>
    <t>1:17.990</t>
  </si>
  <si>
    <t>1:27.826</t>
  </si>
  <si>
    <t>1:20.561</t>
  </si>
  <si>
    <t>48.651</t>
  </si>
  <si>
    <t>1:49.359</t>
  </si>
  <si>
    <t>47.961</t>
  </si>
  <si>
    <t>2:30.236</t>
  </si>
  <si>
    <t>1:30.140</t>
  </si>
  <si>
    <t>57.385</t>
  </si>
  <si>
    <t>1:27.704</t>
  </si>
  <si>
    <t>33.53</t>
  </si>
  <si>
    <t>2:45.677</t>
  </si>
  <si>
    <t>1:26.700</t>
  </si>
  <si>
    <t>55.993</t>
  </si>
  <si>
    <t>2:13.07</t>
  </si>
  <si>
    <t>1:25.378</t>
  </si>
  <si>
    <t>55.718</t>
  </si>
  <si>
    <t>1:21.333</t>
  </si>
  <si>
    <t>1:59.390</t>
  </si>
  <si>
    <t>1:34.668</t>
  </si>
  <si>
    <t>1:20.925</t>
  </si>
  <si>
    <t>43.389</t>
  </si>
  <si>
    <t>2:26.880</t>
  </si>
  <si>
    <t>1:13:54</t>
  </si>
  <si>
    <t>28.15</t>
  </si>
  <si>
    <t>10:14.87</t>
  </si>
  <si>
    <t>1:58.73</t>
  </si>
  <si>
    <t>2:41.56</t>
  </si>
  <si>
    <t>1:52.11</t>
  </si>
  <si>
    <t>47.59</t>
  </si>
  <si>
    <t>1:19.26</t>
  </si>
  <si>
    <t>1:23.57</t>
  </si>
  <si>
    <t>56.03</t>
  </si>
  <si>
    <t>33.57</t>
  </si>
  <si>
    <t>1:20.13</t>
  </si>
  <si>
    <t>1:42.93</t>
  </si>
  <si>
    <t>1:28.36</t>
  </si>
  <si>
    <t>2:12.13</t>
  </si>
  <si>
    <t>1:17.16</t>
  </si>
  <si>
    <t>1:58.50</t>
  </si>
  <si>
    <t>59.23</t>
  </si>
  <si>
    <t>1:43.66</t>
  </si>
  <si>
    <t>1:17.82</t>
  </si>
  <si>
    <t>1:27.10</t>
  </si>
  <si>
    <t>50.03</t>
  </si>
  <si>
    <t>Travel Skip</t>
  </si>
  <si>
    <t>1:48.22</t>
  </si>
  <si>
    <t>44.26</t>
  </si>
  <si>
    <t>47.93</t>
  </si>
  <si>
    <t>2:28.66</t>
  </si>
  <si>
    <t>1:29.45</t>
  </si>
  <si>
    <t>57.26</t>
  </si>
  <si>
    <t>1:29.50</t>
  </si>
  <si>
    <t>2:45.16</t>
  </si>
  <si>
    <t>1:24.15</t>
  </si>
  <si>
    <t>56.29</t>
  </si>
  <si>
    <t>1:25.55</t>
  </si>
  <si>
    <t>1:21.02</t>
  </si>
  <si>
    <t>2:01.87</t>
  </si>
  <si>
    <t>1:35.73</t>
  </si>
  <si>
    <t>44.94</t>
  </si>
  <si>
    <t>44.84</t>
  </si>
  <si>
    <t>41.40</t>
  </si>
  <si>
    <t>2:28.84</t>
  </si>
  <si>
    <t>1:14:19</t>
  </si>
  <si>
    <t>road to low 1:11</t>
  </si>
  <si>
    <t>12.48</t>
  </si>
  <si>
    <t>10:13.42</t>
  </si>
  <si>
    <t>1:58.21</t>
  </si>
  <si>
    <t>2:41.30</t>
  </si>
  <si>
    <t>1:51.58</t>
  </si>
  <si>
    <t>48.83</t>
  </si>
  <si>
    <t>47.60</t>
  </si>
  <si>
    <t>1:23.52</t>
  </si>
  <si>
    <t>26.45</t>
  </si>
  <si>
    <t>1:43.81</t>
  </si>
  <si>
    <t>47.42</t>
  </si>
  <si>
    <t>2:10.07</t>
  </si>
  <si>
    <t>Gelato Plant Fight (From Bianco)</t>
  </si>
  <si>
    <t>[1] around benches</t>
  </si>
  <si>
    <t>1:00.21</t>
  </si>
  <si>
    <t>2:19.26</t>
  </si>
  <si>
    <t>18.40</t>
  </si>
  <si>
    <t>1:23.54</t>
  </si>
  <si>
    <t>1:25.57</t>
  </si>
  <si>
    <t>2:00.71</t>
  </si>
  <si>
    <t>37.92</t>
  </si>
  <si>
    <t>1:31.23</t>
  </si>
  <si>
    <t xml:space="preserve">  [2] between benches</t>
  </si>
  <si>
    <t>59.41</t>
  </si>
  <si>
    <t>1:45.27</t>
  </si>
  <si>
    <t>1:27.85</t>
  </si>
  <si>
    <t>59.83</t>
  </si>
  <si>
    <t>1:18.13</t>
  </si>
  <si>
    <t>1:20.65</t>
  </si>
  <si>
    <t>21.41</t>
  </si>
  <si>
    <t>1:49.50</t>
  </si>
  <si>
    <t>47.82</t>
  </si>
  <si>
    <t>22.20</t>
  </si>
  <si>
    <t>2:24.25</t>
  </si>
  <si>
    <t>57.62</t>
  </si>
  <si>
    <t>1:15.83</t>
  </si>
  <si>
    <t>1:27.96</t>
  </si>
  <si>
    <t>2:46.78</t>
  </si>
  <si>
    <t>1:26.03</t>
  </si>
  <si>
    <t>59.50</t>
  </si>
  <si>
    <t>56.64</t>
  </si>
  <si>
    <t>1:22.31</t>
  </si>
  <si>
    <t>2:03.42</t>
  </si>
  <si>
    <t>1:35.69</t>
  </si>
  <si>
    <t>1:22.25</t>
  </si>
  <si>
    <t>2:28.40</t>
  </si>
  <si>
    <t>1:14:10</t>
  </si>
  <si>
    <t>I have a very slow Wii</t>
  </si>
  <si>
    <t>10:16.05</t>
  </si>
  <si>
    <t>26.73</t>
  </si>
  <si>
    <t>1:13.11</t>
  </si>
  <si>
    <t>19.74</t>
  </si>
  <si>
    <t>2:00.62</t>
  </si>
  <si>
    <t>2:41.04</t>
  </si>
  <si>
    <t>1:53.54</t>
  </si>
  <si>
    <t>Gelato to Pianta</t>
  </si>
  <si>
    <t>48.63</t>
  </si>
  <si>
    <t>[1,1] front side, triple jump</t>
  </si>
  <si>
    <t>14.18</t>
  </si>
  <si>
    <t>1:19.66</t>
  </si>
  <si>
    <t>1:23.50</t>
  </si>
  <si>
    <t>57.42</t>
  </si>
  <si>
    <t>1:13.99</t>
  </si>
  <si>
    <t>1:45.43</t>
  </si>
  <si>
    <t>7.03</t>
  </si>
  <si>
    <t>47.91</t>
  </si>
  <si>
    <t>Switchmaster64</t>
  </si>
  <si>
    <t>2:11.78</t>
  </si>
  <si>
    <t>7575</t>
  </si>
  <si>
    <t>1:25.68</t>
  </si>
  <si>
    <t>1:45.64</t>
  </si>
  <si>
    <t>1:28.24</t>
  </si>
  <si>
    <t>51.23</t>
  </si>
  <si>
    <t>1:19.80</t>
  </si>
  <si>
    <t>48.01</t>
  </si>
  <si>
    <t>2:28.76</t>
  </si>
  <si>
    <t>58.16</t>
  </si>
  <si>
    <t>2:43.40</t>
  </si>
  <si>
    <t>1:26.48</t>
  </si>
  <si>
    <t>[1,2] front side, spin+Y</t>
  </si>
  <si>
    <t>12.71</t>
  </si>
  <si>
    <t>55.48</t>
  </si>
  <si>
    <t>1:36.08</t>
  </si>
  <si>
    <t>1:21.65</t>
  </si>
  <si>
    <t>2:27.58</t>
  </si>
  <si>
    <t>1:14:03</t>
  </si>
  <si>
    <t>2:14.13</t>
  </si>
  <si>
    <t>:）</t>
  </si>
  <si>
    <t>Banova</t>
  </si>
  <si>
    <t>39.42</t>
  </si>
  <si>
    <t>59.45</t>
  </si>
  <si>
    <t>10:16.07</t>
  </si>
  <si>
    <t>19.185</t>
  </si>
  <si>
    <t>1:00.31</t>
  </si>
  <si>
    <t>2:34.28</t>
  </si>
  <si>
    <t>1:13.00</t>
  </si>
  <si>
    <t>44.62</t>
  </si>
  <si>
    <t>30.22</t>
  </si>
  <si>
    <t>55.69</t>
  </si>
  <si>
    <t>1:37.35</t>
  </si>
  <si>
    <t>2:41.61</t>
  </si>
  <si>
    <t>1:53.55</t>
  </si>
  <si>
    <t>[1,3] front side, dive-rollout, spin+Y</t>
  </si>
  <si>
    <t>12.18</t>
  </si>
  <si>
    <t>2:12.85</t>
  </si>
  <si>
    <t>18.95</t>
  </si>
  <si>
    <t>1:43.29</t>
  </si>
  <si>
    <t>1:16.43</t>
  </si>
  <si>
    <t>46.93</t>
  </si>
  <si>
    <t xml:space="preserve">  [2,1] back side, roof ms, spin+Y</t>
  </si>
  <si>
    <t>58.97</t>
  </si>
  <si>
    <t>56.70</t>
  </si>
  <si>
    <t>1:13.90</t>
  </si>
  <si>
    <t xml:space="preserve">  [2,2] back side, buttslide, spin+Y</t>
  </si>
  <si>
    <t>30.12</t>
  </si>
  <si>
    <t>40.35</t>
  </si>
  <si>
    <t>1:24.31</t>
  </si>
  <si>
    <t>2:50.43</t>
  </si>
  <si>
    <t>49.42</t>
  </si>
  <si>
    <t>1:43.61</t>
  </si>
  <si>
    <t>42.15</t>
  </si>
  <si>
    <t>33.44</t>
  </si>
  <si>
    <t>43.69</t>
  </si>
  <si>
    <t>2:12.50</t>
  </si>
  <si>
    <t xml:space="preserve">    [3,1] fech strat, ledgegrab</t>
  </si>
  <si>
    <t>55.29</t>
  </si>
  <si>
    <t>10.44</t>
  </si>
  <si>
    <t>1:29.15</t>
  </si>
  <si>
    <t>1:29.56</t>
  </si>
  <si>
    <t>1:10.77</t>
  </si>
  <si>
    <t>1:25.61</t>
  </si>
  <si>
    <t>1:40.45</t>
  </si>
  <si>
    <t>10.88</t>
  </si>
  <si>
    <t>10.84</t>
  </si>
  <si>
    <t xml:space="preserve">    [3,2] fech strat, no ledgegrab</t>
  </si>
  <si>
    <t>10.08</t>
  </si>
  <si>
    <t>10.21</t>
  </si>
  <si>
    <t>53.10</t>
  </si>
  <si>
    <t>10.71</t>
  </si>
  <si>
    <t>10.41</t>
  </si>
  <si>
    <t>1:15.91</t>
  </si>
  <si>
    <t>10.87</t>
  </si>
  <si>
    <t>50.91</t>
  </si>
  <si>
    <t>1:18.22</t>
  </si>
  <si>
    <t>1:25.96</t>
  </si>
  <si>
    <t>1:57.88</t>
  </si>
  <si>
    <t>1:00.38</t>
  </si>
  <si>
    <t>Pianta Reentry</t>
  </si>
  <si>
    <t>[1] jump backhover</t>
  </si>
  <si>
    <t>6.27</t>
  </si>
  <si>
    <t>2:09.62</t>
  </si>
  <si>
    <t>2:26.00</t>
  </si>
  <si>
    <t>2:22.70</t>
  </si>
  <si>
    <t>1:45.00</t>
  </si>
  <si>
    <t xml:space="preserve">  [2] double-jump</t>
  </si>
  <si>
    <t>6.23</t>
  </si>
  <si>
    <t>4:23.74</t>
  </si>
  <si>
    <t>1:10.39</t>
  </si>
  <si>
    <t>2:20.81</t>
  </si>
  <si>
    <t>1:18.48</t>
  </si>
  <si>
    <t xml:space="preserve">    [3] TAS reentry</t>
  </si>
  <si>
    <t>5.84</t>
  </si>
  <si>
    <t>1:20.73</t>
  </si>
  <si>
    <t>27.91</t>
  </si>
  <si>
    <t>33.84</t>
  </si>
  <si>
    <t>1:36.96</t>
  </si>
  <si>
    <t>11.91</t>
  </si>
  <si>
    <t>48.40</t>
  </si>
  <si>
    <t>2:25.67</t>
  </si>
  <si>
    <t>Honey Skip</t>
  </si>
  <si>
    <t>[1] hover-ground pound setup</t>
  </si>
  <si>
    <t>20.35</t>
  </si>
  <si>
    <t>22.88</t>
  </si>
  <si>
    <t>21.56</t>
  </si>
  <si>
    <t>57.83</t>
  </si>
  <si>
    <t>1:28.51</t>
  </si>
  <si>
    <t>1:09.19</t>
  </si>
  <si>
    <t>2:47.16</t>
  </si>
  <si>
    <t>1:51.60</t>
  </si>
  <si>
    <t>1:18.90</t>
  </si>
  <si>
    <t>57.98</t>
  </si>
  <si>
    <t>25.12</t>
  </si>
  <si>
    <t>46.14</t>
  </si>
  <si>
    <t>56.00</t>
  </si>
  <si>
    <t>54.39</t>
  </si>
  <si>
    <t>28.38</t>
  </si>
  <si>
    <t>2:16.49</t>
  </si>
  <si>
    <t>1:23.25</t>
  </si>
  <si>
    <t>1:21.40</t>
  </si>
  <si>
    <t>2:02.23</t>
  </si>
  <si>
    <t>1:36.73</t>
  </si>
  <si>
    <t>1:01.88</t>
  </si>
  <si>
    <t>Movie Skip</t>
  </si>
  <si>
    <t>[1] ledgegrab setup</t>
  </si>
  <si>
    <t>1:22.41</t>
  </si>
  <si>
    <t>1:39.95</t>
  </si>
  <si>
    <t>43.31</t>
  </si>
  <si>
    <t>2:27.01</t>
  </si>
  <si>
    <t>15.982</t>
  </si>
  <si>
    <t>10:13.35</t>
  </si>
  <si>
    <t>1:58.44</t>
  </si>
  <si>
    <t>2:40.27</t>
  </si>
  <si>
    <t>1:50.89</t>
  </si>
  <si>
    <t>Pinna Reentry</t>
  </si>
  <si>
    <t>[1] run in</t>
  </si>
  <si>
    <t>1:19.42</t>
  </si>
  <si>
    <t>1:23.43</t>
  </si>
  <si>
    <t>56.09</t>
  </si>
  <si>
    <t>20.06</t>
  </si>
  <si>
    <t>1:22.34</t>
  </si>
  <si>
    <t>1:42.45</t>
  </si>
  <si>
    <t>2:10.95</t>
  </si>
  <si>
    <t>1:22.13</t>
  </si>
  <si>
    <t>1:17.92</t>
  </si>
  <si>
    <t>1:25.82</t>
  </si>
  <si>
    <t>1:00.07</t>
  </si>
  <si>
    <t>13.60</t>
  </si>
  <si>
    <t>1:46.39</t>
  </si>
  <si>
    <t>1:27.42</t>
  </si>
  <si>
    <t>46.87</t>
  </si>
  <si>
    <t>32.76</t>
  </si>
  <si>
    <t>1:18.01</t>
  </si>
  <si>
    <t>1:29.43</t>
  </si>
  <si>
    <t>1:49.87</t>
  </si>
  <si>
    <t>47.92</t>
  </si>
  <si>
    <t>2:32.47</t>
  </si>
  <si>
    <t>23.38</t>
  </si>
  <si>
    <t>1:29.21</t>
  </si>
  <si>
    <t>32.14</t>
  </si>
  <si>
    <t>57.20</t>
  </si>
  <si>
    <t>1:28.67</t>
  </si>
  <si>
    <t>2:47.04</t>
  </si>
  <si>
    <t>56.24</t>
  </si>
  <si>
    <t>1:26.54</t>
  </si>
  <si>
    <t>36.28</t>
  </si>
  <si>
    <t>55.66</t>
  </si>
  <si>
    <t>26.24</t>
  </si>
  <si>
    <t>2:02.31</t>
  </si>
  <si>
    <t xml:space="preserve">  [2] jump backhover</t>
  </si>
  <si>
    <t>1:35.82</t>
  </si>
  <si>
    <t>6.17</t>
  </si>
  <si>
    <t>20.40</t>
  </si>
  <si>
    <t>46.17</t>
  </si>
  <si>
    <t>2:27.76</t>
  </si>
  <si>
    <t>1:14:13</t>
  </si>
  <si>
    <t>6.46</t>
  </si>
  <si>
    <t>cool ting</t>
  </si>
  <si>
    <t>10:19.70</t>
  </si>
  <si>
    <t>1:12.55</t>
  </si>
  <si>
    <t>1:59.55</t>
  </si>
  <si>
    <t>2:43.10</t>
  </si>
  <si>
    <t>1:53.04</t>
  </si>
  <si>
    <t>1:23.40</t>
  </si>
  <si>
    <t>1:43.87</t>
  </si>
  <si>
    <t>2:12.52</t>
  </si>
  <si>
    <t>1:16.70</t>
  </si>
  <si>
    <t>1:26.11</t>
  </si>
  <si>
    <t>2:00.02</t>
  </si>
  <si>
    <t>1:44.78</t>
  </si>
  <si>
    <t>7526</t>
  </si>
  <si>
    <t>1:18.40</t>
  </si>
  <si>
    <t>1:28.49</t>
  </si>
  <si>
    <t>1:49.60</t>
  </si>
  <si>
    <t>2:27.28</t>
  </si>
  <si>
    <t>1:30.09</t>
  </si>
  <si>
    <t>2:45.28</t>
  </si>
  <si>
    <t>1:25.98</t>
  </si>
  <si>
    <t>1:21.37</t>
  </si>
  <si>
    <t>1:34.87</t>
  </si>
  <si>
    <t>109</t>
  </si>
  <si>
    <t>5.57</t>
  </si>
  <si>
    <t>2:27.21</t>
  </si>
  <si>
    <t>1:13:46</t>
  </si>
  <si>
    <t>Soon I will become a legend</t>
  </si>
  <si>
    <t>AudioKillers</t>
  </si>
  <si>
    <t>5.61</t>
  </si>
  <si>
    <t>10:17.67</t>
  </si>
  <si>
    <t>1:12.73</t>
  </si>
  <si>
    <t>1:59.34</t>
  </si>
  <si>
    <t>2:43.55</t>
  </si>
  <si>
    <t>1:53.17</t>
  </si>
  <si>
    <t>1:23.13</t>
  </si>
  <si>
    <t>1:21.31</t>
  </si>
  <si>
    <t>2:11.55</t>
  </si>
  <si>
    <t>1:15.66</t>
  </si>
  <si>
    <t>1:26.43</t>
  </si>
  <si>
    <t>2:01.08</t>
  </si>
  <si>
    <t>1:44.09</t>
  </si>
  <si>
    <t>1:28.08</t>
  </si>
  <si>
    <t>1:18.31</t>
  </si>
  <si>
    <t>1:28.13</t>
  </si>
  <si>
    <t>Pinna to Ricco</t>
  </si>
  <si>
    <t>[1] any, no bayblade</t>
  </si>
  <si>
    <t>1:49.90</t>
  </si>
  <si>
    <t>9.41</t>
  </si>
  <si>
    <t>2:32.12</t>
  </si>
  <si>
    <t>1:30.57</t>
  </si>
  <si>
    <t>2:41.82</t>
  </si>
  <si>
    <t>1:28.65</t>
  </si>
  <si>
    <t>1:26.08</t>
  </si>
  <si>
    <t>55.60</t>
  </si>
  <si>
    <t>39.68</t>
  </si>
  <si>
    <t xml:space="preserve">  [2, 1] beyblade, swimming</t>
  </si>
  <si>
    <t>7.97</t>
  </si>
  <si>
    <t>2:04.04</t>
  </si>
  <si>
    <t>1:22.01</t>
  </si>
  <si>
    <t>8.78</t>
  </si>
  <si>
    <t>2:27.12</t>
  </si>
  <si>
    <t>1:16:23</t>
  </si>
  <si>
    <t>Imagine</t>
  </si>
  <si>
    <t>TheCeddyWithin</t>
  </si>
  <si>
    <t>10:15.59</t>
  </si>
  <si>
    <t>1:12.97</t>
  </si>
  <si>
    <t>8.37</t>
  </si>
  <si>
    <t>1:59.62</t>
  </si>
  <si>
    <t>2:40.09</t>
  </si>
  <si>
    <t>8.33</t>
  </si>
  <si>
    <t>1:53.70</t>
  </si>
  <si>
    <t>1:22.78</t>
  </si>
  <si>
    <t>57.47</t>
  </si>
  <si>
    <t>1:13.89</t>
  </si>
  <si>
    <t xml:space="preserve"> 1:22.93</t>
  </si>
  <si>
    <t>1:43.41</t>
  </si>
  <si>
    <t>2:14.02</t>
  </si>
  <si>
    <t>2:01.09</t>
  </si>
  <si>
    <t>59.82</t>
  </si>
  <si>
    <t>1:44.84</t>
  </si>
  <si>
    <t>46.79</t>
  </si>
  <si>
    <t>1:02.08</t>
  </si>
  <si>
    <t>1:18.73</t>
  </si>
  <si>
    <t>1:20.89</t>
  </si>
  <si>
    <t>47.25</t>
  </si>
  <si>
    <t>47.90</t>
  </si>
  <si>
    <t>2:31.20</t>
  </si>
  <si>
    <t>58.46</t>
  </si>
  <si>
    <t>1:31.80</t>
  </si>
  <si>
    <t>50.70</t>
  </si>
  <si>
    <t xml:space="preserve">  [2, 2] beyblade, no swimming</t>
  </si>
  <si>
    <t>8.04</t>
  </si>
  <si>
    <t>2:48.15</t>
  </si>
  <si>
    <t>1:26.57</t>
  </si>
  <si>
    <t>56.43</t>
  </si>
  <si>
    <t>1:22.09</t>
  </si>
  <si>
    <t>1:59.04</t>
  </si>
  <si>
    <t>1:35.15</t>
  </si>
  <si>
    <t>52.83</t>
  </si>
  <si>
    <t>42.91</t>
  </si>
  <si>
    <t>2:29.42</t>
  </si>
  <si>
    <t>1:15:17</t>
  </si>
  <si>
    <t>1:14 soonTM</t>
  </si>
  <si>
    <t>Fech8763</t>
  </si>
  <si>
    <t>17.14</t>
  </si>
  <si>
    <t>10:14.28</t>
  </si>
  <si>
    <t>1:12.21</t>
  </si>
  <si>
    <t>1:58.25</t>
  </si>
  <si>
    <t>8.11</t>
  </si>
  <si>
    <t>14.70</t>
  </si>
  <si>
    <t>2:39.06</t>
  </si>
  <si>
    <t>1:52.46</t>
  </si>
  <si>
    <t>1:23.73</t>
  </si>
  <si>
    <t>1:22.16</t>
  </si>
  <si>
    <t>1:42.68</t>
  </si>
  <si>
    <t>47.56</t>
  </si>
  <si>
    <t>2:13.25</t>
  </si>
  <si>
    <t>2:00.06</t>
  </si>
  <si>
    <t>44.35</t>
  </si>
  <si>
    <t>59.90</t>
  </si>
  <si>
    <t>1:45.72</t>
  </si>
  <si>
    <t>1:18.11</t>
  </si>
  <si>
    <t>1:28.98</t>
  </si>
  <si>
    <t>1:20.61</t>
  </si>
  <si>
    <t>1:49.91</t>
  </si>
  <si>
    <t>48.12</t>
  </si>
  <si>
    <t>1:29.57</t>
  </si>
  <si>
    <t>2:49.12</t>
  </si>
  <si>
    <t>56.27</t>
  </si>
  <si>
    <t>2:04.14</t>
  </si>
  <si>
    <t>Ricco to Pinna</t>
  </si>
  <si>
    <t>1:15:43</t>
  </si>
  <si>
    <t>Nanashi</t>
  </si>
  <si>
    <t>10:15.09</t>
  </si>
  <si>
    <t>2:41.65</t>
  </si>
  <si>
    <t>1:52.43</t>
  </si>
  <si>
    <t>1:19.70</t>
  </si>
  <si>
    <t>1:23.80</t>
  </si>
  <si>
    <t>57.10</t>
  </si>
  <si>
    <t>1:14.05</t>
  </si>
  <si>
    <t>1:24.37</t>
  </si>
  <si>
    <t>48.03</t>
  </si>
  <si>
    <t>2:00.60</t>
  </si>
  <si>
    <t>1:00.03</t>
  </si>
  <si>
    <t>1:45.63</t>
  </si>
  <si>
    <t>1:28.05</t>
  </si>
  <si>
    <t>47.63</t>
  </si>
  <si>
    <t>1:18.16</t>
  </si>
  <si>
    <t>1:28.48</t>
  </si>
  <si>
    <t>Bianco to Sirena (Yoshi SM)</t>
  </si>
  <si>
    <t>1:20.32</t>
  </si>
  <si>
    <t>[1] no banana throw</t>
  </si>
  <si>
    <t>20.12</t>
  </si>
  <si>
    <t>1:50.01</t>
  </si>
  <si>
    <t>2:45.24</t>
  </si>
  <si>
    <t>1:26.62</t>
  </si>
  <si>
    <t>57.25</t>
  </si>
  <si>
    <t>56.45</t>
  </si>
  <si>
    <t>2:03.02</t>
  </si>
  <si>
    <t>1:35.95</t>
  </si>
  <si>
    <t>2:27.54</t>
  </si>
  <si>
    <t>1:13:53</t>
  </si>
  <si>
    <t>Torcnein</t>
  </si>
  <si>
    <t>10:16.43</t>
  </si>
  <si>
    <t>1:13.48</t>
  </si>
  <si>
    <t>2:42.54</t>
  </si>
  <si>
    <t>1:54.51</t>
  </si>
  <si>
    <t>48.68</t>
  </si>
  <si>
    <t>1:44.24</t>
  </si>
  <si>
    <t>25.425</t>
  </si>
  <si>
    <t>1:25.30</t>
  </si>
  <si>
    <t>1:58.00</t>
  </si>
  <si>
    <t>1:00.20</t>
  </si>
  <si>
    <t>1:28.63</t>
  </si>
  <si>
    <t>1:21.11</t>
  </si>
  <si>
    <t>1:50.57</t>
  </si>
  <si>
    <t>1:30.43</t>
  </si>
  <si>
    <t>58.56</t>
  </si>
  <si>
    <t>1:29.99</t>
  </si>
  <si>
    <t>2:45.00</t>
  </si>
  <si>
    <t>1:18.59</t>
  </si>
  <si>
    <t>20.58</t>
  </si>
  <si>
    <t>57.07</t>
  </si>
  <si>
    <t>56.97</t>
  </si>
  <si>
    <t>2:03.57</t>
  </si>
  <si>
    <t>1:36.83</t>
  </si>
  <si>
    <t>1:22.62</t>
  </si>
  <si>
    <t>46.73</t>
  </si>
  <si>
    <t>2:27.37</t>
  </si>
  <si>
    <t>1:14:58</t>
  </si>
  <si>
    <t>2:14.55</t>
  </si>
  <si>
    <t>10:19.69</t>
  </si>
  <si>
    <t>1:59.32</t>
  </si>
  <si>
    <t>2:42.49</t>
  </si>
  <si>
    <t>1:52.77</t>
  </si>
  <si>
    <t>1:20.40</t>
  </si>
  <si>
    <t>1:25.07</t>
  </si>
  <si>
    <t>1:24.77</t>
  </si>
  <si>
    <t>1:44.39</t>
  </si>
  <si>
    <t>48.33</t>
  </si>
  <si>
    <t>2:13.20</t>
  </si>
  <si>
    <t>1:19.37</t>
  </si>
  <si>
    <t>1:45.85</t>
  </si>
  <si>
    <t xml:space="preserve">  [2] banana throw</t>
  </si>
  <si>
    <t>1:00.37</t>
  </si>
  <si>
    <t>1:45.46</t>
  </si>
  <si>
    <t>1:08.93</t>
  </si>
  <si>
    <t>1:28.30</t>
  </si>
  <si>
    <t>1:21.34</t>
  </si>
  <si>
    <t>1:50.13</t>
  </si>
  <si>
    <t>48.38</t>
  </si>
  <si>
    <t>2:32.03</t>
  </si>
  <si>
    <t>1:30.06</t>
  </si>
  <si>
    <t>58.43</t>
  </si>
  <si>
    <t>1:27.55</t>
  </si>
  <si>
    <t>2:50.82</t>
  </si>
  <si>
    <t>57.05</t>
  </si>
  <si>
    <t>56.48</t>
  </si>
  <si>
    <t>1:22.17</t>
  </si>
  <si>
    <t>2:06.14</t>
  </si>
  <si>
    <t>9.81</t>
  </si>
  <si>
    <t>2:27.09</t>
  </si>
  <si>
    <t>1:15:34</t>
  </si>
  <si>
    <t>21.45</t>
  </si>
  <si>
    <t>10:15.48</t>
  </si>
  <si>
    <t>1:13.13</t>
  </si>
  <si>
    <t>1:59.71</t>
  </si>
  <si>
    <t>2:40.34</t>
  </si>
  <si>
    <t>1:54.86</t>
  </si>
  <si>
    <t>56.75</t>
  </si>
  <si>
    <t>27.84</t>
  </si>
  <si>
    <t>1:26.30</t>
  </si>
  <si>
    <t>1:45.60</t>
  </si>
  <si>
    <t>48.18</t>
  </si>
  <si>
    <t>2:14.23</t>
  </si>
  <si>
    <t>1:15.84</t>
  </si>
  <si>
    <t>Sirena Reentry</t>
  </si>
  <si>
    <t>6.03</t>
  </si>
  <si>
    <t>1:28.76</t>
  </si>
  <si>
    <t>1:18.07</t>
  </si>
  <si>
    <t>2:51.19</t>
  </si>
  <si>
    <t>50.72</t>
  </si>
  <si>
    <t>2:30.30</t>
  </si>
  <si>
    <t>1:30.19</t>
  </si>
  <si>
    <t>58.66</t>
  </si>
  <si>
    <t>1:30.77</t>
  </si>
  <si>
    <t>2:48.40</t>
  </si>
  <si>
    <t>57.19</t>
  </si>
  <si>
    <t>2:04.00</t>
  </si>
  <si>
    <t>1:35.93</t>
  </si>
  <si>
    <t>1:22.30</t>
  </si>
  <si>
    <t>46.29</t>
  </si>
  <si>
    <t xml:space="preserve">  [2] hover double-jump</t>
  </si>
  <si>
    <t>6.07</t>
  </si>
  <si>
    <t>1:14:56</t>
  </si>
  <si>
    <t xml:space="preserve">broken loads </t>
  </si>
  <si>
    <t>10:16.04</t>
  </si>
  <si>
    <t>1:59.90</t>
  </si>
  <si>
    <t>2:42.89</t>
  </si>
  <si>
    <t>1:52.94</t>
  </si>
  <si>
    <t>1:21.70</t>
  </si>
  <si>
    <t>1:14.22</t>
  </si>
  <si>
    <t>1:22.29</t>
  </si>
  <si>
    <t>1:45.88</t>
  </si>
  <si>
    <t>48.20</t>
  </si>
  <si>
    <t>36.17</t>
  </si>
  <si>
    <t>2:13.13</t>
  </si>
  <si>
    <t>1:17.58</t>
  </si>
  <si>
    <t>1:28.10</t>
  </si>
  <si>
    <t>1:18.43</t>
  </si>
  <si>
    <t>1:28.25</t>
  </si>
  <si>
    <t>1:48.18</t>
  </si>
  <si>
    <t>2:36.86</t>
  </si>
  <si>
    <t>57.80</t>
  </si>
  <si>
    <t>1:30.66</t>
  </si>
  <si>
    <t>2:47.21</t>
  </si>
  <si>
    <t>1:26.28</t>
  </si>
  <si>
    <t>2:03.43</t>
  </si>
  <si>
    <t>1:35.98</t>
  </si>
  <si>
    <t>5.51</t>
  </si>
  <si>
    <t>2:28.97</t>
  </si>
  <si>
    <t>getting fasdt</t>
  </si>
  <si>
    <t>Pancakez</t>
  </si>
  <si>
    <t>10:16.00</t>
  </si>
  <si>
    <t>1:12.88</t>
  </si>
  <si>
    <t>5.53</t>
  </si>
  <si>
    <t>2:41.28</t>
  </si>
  <si>
    <t>56.61</t>
  </si>
  <si>
    <t>1:13.70</t>
  </si>
  <si>
    <t>47.70</t>
  </si>
  <si>
    <t>2:13.95</t>
  </si>
  <si>
    <t>1:15.85</t>
  </si>
  <si>
    <t>1:26.00</t>
  </si>
  <si>
    <t>2:04.17</t>
  </si>
  <si>
    <t>1:00.08</t>
  </si>
  <si>
    <t>1:46.12</t>
  </si>
  <si>
    <t>1:28.85</t>
  </si>
  <si>
    <t>1:20.31</t>
  </si>
  <si>
    <t>48.62</t>
  </si>
  <si>
    <t>1:50.20</t>
  </si>
  <si>
    <t>2:35.21</t>
  </si>
  <si>
    <t>58.05</t>
  </si>
  <si>
    <t>Sirena to Noki</t>
  </si>
  <si>
    <t>1:30.76</t>
  </si>
  <si>
    <t>2:49.27</t>
  </si>
  <si>
    <t>3.80</t>
  </si>
  <si>
    <t>1:29.25</t>
  </si>
  <si>
    <t>56.32</t>
  </si>
  <si>
    <t>55.83</t>
  </si>
  <si>
    <t>1:21.41</t>
  </si>
  <si>
    <t>2:05.69</t>
  </si>
  <si>
    <t>1:35.81</t>
  </si>
  <si>
    <t>1:22.96</t>
  </si>
  <si>
    <t>2:29.67</t>
  </si>
  <si>
    <t>1:14.59</t>
  </si>
  <si>
    <t>1:15:26</t>
  </si>
  <si>
    <t xml:space="preserve">bad loads </t>
  </si>
  <si>
    <t>Dobedto</t>
  </si>
  <si>
    <t>3.97</t>
  </si>
  <si>
    <t>1:13.34</t>
  </si>
  <si>
    <t>1:59.48</t>
  </si>
  <si>
    <t>2:43.05</t>
  </si>
  <si>
    <t>1:54.59</t>
  </si>
  <si>
    <t>49.62</t>
  </si>
  <si>
    <t>1:21.17</t>
  </si>
  <si>
    <t>57.24</t>
  </si>
  <si>
    <t>1:24.78</t>
  </si>
  <si>
    <t>1:44.16</t>
  </si>
  <si>
    <t>2:14.58</t>
  </si>
  <si>
    <t>1:00.79</t>
  </si>
  <si>
    <t>1:28.54</t>
  </si>
  <si>
    <t>49.15</t>
  </si>
  <si>
    <t>1:19.09</t>
  </si>
  <si>
    <t>1:30.12</t>
  </si>
  <si>
    <t>1:20.97</t>
  </si>
  <si>
    <t>49.13</t>
  </si>
  <si>
    <t>2:33.63</t>
  </si>
  <si>
    <t>1:30.34</t>
  </si>
  <si>
    <t>58.93</t>
  </si>
  <si>
    <t>2:50.41</t>
  </si>
  <si>
    <t>1:17.56</t>
  </si>
  <si>
    <t>57.65</t>
  </si>
  <si>
    <t>1:26.34</t>
  </si>
  <si>
    <t>56.42</t>
  </si>
  <si>
    <t>2:04.76</t>
  </si>
  <si>
    <t>1:37.75</t>
  </si>
  <si>
    <t>1:22.98</t>
  </si>
  <si>
    <t>47.43</t>
  </si>
  <si>
    <t>2:29.53</t>
  </si>
  <si>
    <t>1:15:32</t>
  </si>
  <si>
    <t>Samura1man</t>
  </si>
  <si>
    <t>Corona Entry (Flooded Plaza)</t>
  </si>
  <si>
    <t>[1] single umbrella</t>
  </si>
  <si>
    <t>10:18.23</t>
  </si>
  <si>
    <t>2:41.08</t>
  </si>
  <si>
    <t>49.16</t>
  </si>
  <si>
    <t>1:23.27</t>
  </si>
  <si>
    <t>57.34</t>
  </si>
  <si>
    <t>1:15.12</t>
  </si>
  <si>
    <t>1:45.75</t>
  </si>
  <si>
    <t>2:14.36</t>
  </si>
  <si>
    <t>1:16.22</t>
  </si>
  <si>
    <t>1:17.64</t>
  </si>
  <si>
    <t>1:26.42</t>
  </si>
  <si>
    <t>2:04.22</t>
  </si>
  <si>
    <t>59.79</t>
  </si>
  <si>
    <t>1:46.95</t>
  </si>
  <si>
    <t>1:28.34</t>
  </si>
  <si>
    <t>48.07</t>
  </si>
  <si>
    <t>2:29.00</t>
  </si>
  <si>
    <t>1:30.81</t>
  </si>
  <si>
    <t>58.71</t>
  </si>
  <si>
    <t>2:48.05</t>
  </si>
  <si>
    <t>1:29.36</t>
  </si>
  <si>
    <t>57.79</t>
  </si>
  <si>
    <t>56.55</t>
  </si>
  <si>
    <t>1:23.01</t>
  </si>
  <si>
    <t>1:36.07</t>
  </si>
  <si>
    <t>2:28.58</t>
  </si>
  <si>
    <t xml:space="preserve">  [2] roof</t>
  </si>
  <si>
    <t>1:15:14</t>
  </si>
  <si>
    <t>10:16.16</t>
  </si>
  <si>
    <t>1:12.96</t>
  </si>
  <si>
    <t>2:00.13</t>
  </si>
  <si>
    <t>2:45.03</t>
  </si>
  <si>
    <t>2:28.88</t>
  </si>
  <si>
    <t>1:53.19</t>
  </si>
  <si>
    <t>57.56</t>
  </si>
  <si>
    <t>1:13.91</t>
  </si>
  <si>
    <t>1:26.63</t>
  </si>
  <si>
    <t>1:45.68</t>
  </si>
  <si>
    <t>1:26.21</t>
  </si>
  <si>
    <t>1:58.79</t>
  </si>
  <si>
    <t>1:00.26</t>
  </si>
  <si>
    <t>1:47.87</t>
  </si>
  <si>
    <t>1:28.44</t>
  </si>
  <si>
    <t>1:18.33</t>
  </si>
  <si>
    <t>1:28.60</t>
  </si>
  <si>
    <t>1:20.99</t>
  </si>
  <si>
    <t>1:51.04</t>
  </si>
  <si>
    <t>48.13</t>
  </si>
  <si>
    <t>2:31.47</t>
  </si>
  <si>
    <t>57.53</t>
  </si>
  <si>
    <t>1:30.89</t>
  </si>
  <si>
    <t>2:48.20</t>
  </si>
  <si>
    <t>57.48</t>
  </si>
  <si>
    <t>1:26.15</t>
  </si>
  <si>
    <t>1:21.49</t>
  </si>
  <si>
    <t>2:05.76</t>
  </si>
  <si>
    <t>1:36.29</t>
  </si>
  <si>
    <t>30.13</t>
  </si>
  <si>
    <t>2:35.75</t>
  </si>
  <si>
    <t>1:16:29</t>
  </si>
  <si>
    <t>10:18.05</t>
  </si>
  <si>
    <t>1:12.95</t>
  </si>
  <si>
    <t>4:24.04</t>
  </si>
  <si>
    <t>2:43.33</t>
  </si>
  <si>
    <t xml:space="preserve">    [3] double umbrella</t>
  </si>
  <si>
    <t>1:23.31</t>
  </si>
  <si>
    <t>Bianco Hills I</t>
  </si>
  <si>
    <t>2:26.79</t>
  </si>
  <si>
    <t>1:16.25</t>
  </si>
  <si>
    <t>1:27.84</t>
  </si>
  <si>
    <t>1:47.30</t>
  </si>
  <si>
    <t>Bianco Hills II</t>
  </si>
  <si>
    <t>32.47</t>
  </si>
  <si>
    <t>16:04.96</t>
  </si>
  <si>
    <t>2:33.12</t>
  </si>
  <si>
    <t>58.82</t>
  </si>
  <si>
    <t>2:48.71</t>
  </si>
  <si>
    <t>1:29.27</t>
  </si>
  <si>
    <t>57.37</t>
  </si>
  <si>
    <t>13.24</t>
  </si>
  <si>
    <t>2:38.89</t>
  </si>
  <si>
    <t>8:42.55</t>
  </si>
  <si>
    <t>9:02.54</t>
  </si>
  <si>
    <t>51.72</t>
  </si>
  <si>
    <t>1:23.64</t>
  </si>
  <si>
    <t>2:04.23</t>
  </si>
  <si>
    <t>1:35.90</t>
  </si>
  <si>
    <t>46.56</t>
  </si>
  <si>
    <t>1:14:46</t>
  </si>
  <si>
    <t>ok might not get wr before i get 1:12 sob</t>
  </si>
  <si>
    <t>10:18.13</t>
  </si>
  <si>
    <t>1:13.68</t>
  </si>
  <si>
    <t>2:47.49</t>
  </si>
  <si>
    <t>49.73</t>
  </si>
  <si>
    <t>1:19.76</t>
  </si>
  <si>
    <t>1:24.99</t>
  </si>
  <si>
    <t>8:49.39</t>
  </si>
  <si>
    <t>56.83</t>
  </si>
  <si>
    <t>1:13.81</t>
  </si>
  <si>
    <t>2:35.92</t>
  </si>
  <si>
    <t>1:20.03</t>
  </si>
  <si>
    <t>1:25.69</t>
  </si>
  <si>
    <t>11:43.73</t>
  </si>
  <si>
    <t>9:20.00</t>
  </si>
  <si>
    <t>54.36</t>
  </si>
  <si>
    <t>1:56.47</t>
  </si>
  <si>
    <t>1:00.49</t>
  </si>
  <si>
    <t>1:45.97</t>
  </si>
  <si>
    <t>1:29.41</t>
  </si>
  <si>
    <t>1:21.45</t>
  </si>
  <si>
    <t>1:52.34</t>
  </si>
  <si>
    <t>2:30.10</t>
  </si>
  <si>
    <t>1:31.87</t>
  </si>
  <si>
    <t>58.96</t>
  </si>
  <si>
    <t>2:52.06</t>
  </si>
  <si>
    <t>1:24.23</t>
  </si>
  <si>
    <t>57.50</t>
  </si>
  <si>
    <t>2:16.13</t>
  </si>
  <si>
    <t>2:00.37</t>
  </si>
  <si>
    <t>1:25.88</t>
  </si>
  <si>
    <t>17.80</t>
  </si>
  <si>
    <t>2:31.13</t>
  </si>
  <si>
    <t>1:17:25</t>
  </si>
  <si>
    <t>why is consistency impossible</t>
  </si>
  <si>
    <t>Yossy</t>
  </si>
  <si>
    <t>10:17.42</t>
  </si>
  <si>
    <t>1:12.92</t>
  </si>
  <si>
    <t>1:59.36</t>
  </si>
  <si>
    <t>1:31.22</t>
  </si>
  <si>
    <t>2:41.22</t>
  </si>
  <si>
    <t>1:53.68</t>
  </si>
  <si>
    <t>1:02.02</t>
  </si>
  <si>
    <t>48.84</t>
  </si>
  <si>
    <t>1:23.84</t>
  </si>
  <si>
    <t>1:23.93</t>
  </si>
  <si>
    <t>56.96</t>
  </si>
  <si>
    <t>1:14.76</t>
  </si>
  <si>
    <t>1:25.15</t>
  </si>
  <si>
    <t>2:13.35</t>
  </si>
  <si>
    <t>1:16.11</t>
  </si>
  <si>
    <t>1:26.59</t>
  </si>
  <si>
    <t>2:00.66</t>
  </si>
  <si>
    <t>1:46.30</t>
  </si>
  <si>
    <t>1:28.57</t>
  </si>
  <si>
    <t>16:19.24</t>
  </si>
  <si>
    <t>48.34</t>
  </si>
  <si>
    <t>2:41.76</t>
  </si>
  <si>
    <t>1:28.69</t>
  </si>
  <si>
    <t>9:03.20</t>
  </si>
  <si>
    <t>9:15.83</t>
  </si>
  <si>
    <t>1:50.50</t>
  </si>
  <si>
    <t>9:02.96</t>
  </si>
  <si>
    <t>2:37.14</t>
  </si>
  <si>
    <t>1:30.82</t>
  </si>
  <si>
    <t>2:37.75</t>
  </si>
  <si>
    <t>57.97</t>
  </si>
  <si>
    <t>11:51.12</t>
  </si>
  <si>
    <t>1:31.39</t>
  </si>
  <si>
    <t>9:36.31</t>
  </si>
  <si>
    <t>2:47.00</t>
  </si>
  <si>
    <t>57.77</t>
  </si>
  <si>
    <t>1:23.53</t>
  </si>
  <si>
    <t>2:06.08</t>
  </si>
  <si>
    <t>1:36.22</t>
  </si>
  <si>
    <t>2:31.65</t>
  </si>
  <si>
    <t>1:14:55</t>
  </si>
  <si>
    <t>10:14.88</t>
  </si>
  <si>
    <t>1:12.90</t>
  </si>
  <si>
    <t>1:59.61</t>
  </si>
  <si>
    <t>2:46.25</t>
  </si>
  <si>
    <t>1:54.38</t>
  </si>
  <si>
    <t>49.18</t>
  </si>
  <si>
    <t>1:23.87</t>
  </si>
  <si>
    <t>57.33</t>
  </si>
  <si>
    <t>1:25.28</t>
  </si>
  <si>
    <t>1:44.61</t>
  </si>
  <si>
    <t>16:24.98</t>
  </si>
  <si>
    <t>48.49</t>
  </si>
  <si>
    <t>2:13.63</t>
  </si>
  <si>
    <t>2:45.41</t>
  </si>
  <si>
    <t>1:20.29</t>
  </si>
  <si>
    <t>2:02.69</t>
  </si>
  <si>
    <t>1:00.62</t>
  </si>
  <si>
    <t>9:11.91</t>
  </si>
  <si>
    <t>1:47.04</t>
  </si>
  <si>
    <t>1:28.07</t>
  </si>
  <si>
    <t>9:33.44</t>
  </si>
  <si>
    <t>1:18.17</t>
  </si>
  <si>
    <t>9:11.99</t>
  </si>
  <si>
    <t>1:29.79</t>
  </si>
  <si>
    <t>22.09</t>
  </si>
  <si>
    <t>1:20.62</t>
  </si>
  <si>
    <t>2:40.66</t>
  </si>
  <si>
    <t>1:49.63</t>
  </si>
  <si>
    <t>12:09.31</t>
  </si>
  <si>
    <t>9:50.69</t>
  </si>
  <si>
    <t>2:38.42</t>
  </si>
  <si>
    <t>1:30.37</t>
  </si>
  <si>
    <t>58.25</t>
  </si>
  <si>
    <t>1:28.50</t>
  </si>
  <si>
    <t>2:52.02</t>
  </si>
  <si>
    <t>56.80</t>
  </si>
  <si>
    <t>1:26.89</t>
  </si>
  <si>
    <t>56.07</t>
  </si>
  <si>
    <t>1:22.70</t>
  </si>
  <si>
    <t>2:04.64</t>
  </si>
  <si>
    <t>1:36.41</t>
  </si>
  <si>
    <t>19.49</t>
  </si>
  <si>
    <t>2:30.20</t>
  </si>
  <si>
    <t xml:space="preserve">is okay </t>
  </si>
  <si>
    <t>2:44.41</t>
  </si>
  <si>
    <t>1:54.64</t>
  </si>
  <si>
    <t>19.79</t>
  </si>
  <si>
    <t>56.93</t>
  </si>
  <si>
    <t>1:14.51</t>
  </si>
  <si>
    <t>1:44.48</t>
  </si>
  <si>
    <t>2:18.61</t>
  </si>
  <si>
    <t>2:38.95</t>
  </si>
  <si>
    <t>1:16.41</t>
  </si>
  <si>
    <t>1:20.91</t>
  </si>
  <si>
    <t>1:25.74</t>
  </si>
  <si>
    <t>1:00.54</t>
  </si>
  <si>
    <t>1:46.86</t>
  </si>
  <si>
    <t>1:29.31</t>
  </si>
  <si>
    <t>1:21.01</t>
  </si>
  <si>
    <t>1:51.05</t>
  </si>
  <si>
    <t>2:41.62</t>
  </si>
  <si>
    <t>57.84</t>
  </si>
  <si>
    <t>1:30.32</t>
  </si>
  <si>
    <t>2:49.19</t>
  </si>
  <si>
    <t>1:18.64</t>
  </si>
  <si>
    <t>31.93</t>
  </si>
  <si>
    <t>1:21.13</t>
  </si>
  <si>
    <t>2:06.79</t>
  </si>
  <si>
    <t>2:29.73</t>
  </si>
  <si>
    <t>wanna thank my mom, dad and middle school teacher</t>
  </si>
  <si>
    <t>10:19.60</t>
  </si>
  <si>
    <t>1:13.30</t>
  </si>
  <si>
    <t>32.32</t>
  </si>
  <si>
    <t>2:43.47</t>
  </si>
  <si>
    <t>1:52.73</t>
  </si>
  <si>
    <t>-</t>
  </si>
  <si>
    <t>2:35.45</t>
  </si>
  <si>
    <t>57.43</t>
  </si>
  <si>
    <t>1:15.46</t>
  </si>
  <si>
    <t>2:01.47</t>
  </si>
  <si>
    <t>1:00.89</t>
  </si>
  <si>
    <t>1:48.00</t>
  </si>
  <si>
    <t>11:41.08</t>
  </si>
  <si>
    <t>1:30.65</t>
  </si>
  <si>
    <t>1:50.36</t>
  </si>
  <si>
    <t>2:26.15</t>
  </si>
  <si>
    <t>1:31.25</t>
  </si>
  <si>
    <t>59.10</t>
  </si>
  <si>
    <t>1:29.34</t>
  </si>
  <si>
    <t>2:48.97</t>
  </si>
  <si>
    <t>56.90</t>
  </si>
  <si>
    <t>1:22.22</t>
  </si>
  <si>
    <t>47.22</t>
  </si>
  <si>
    <t>2:28.87</t>
  </si>
  <si>
    <t>1:15:56</t>
  </si>
  <si>
    <t>Epic</t>
  </si>
  <si>
    <t>33.01</t>
  </si>
  <si>
    <t>10:17.28</t>
  </si>
  <si>
    <t>2:00.11</t>
  </si>
  <si>
    <t>2:42.33</t>
  </si>
  <si>
    <t>1:53.13</t>
  </si>
  <si>
    <t>48.92</t>
  </si>
  <si>
    <t>1:15.07</t>
  </si>
  <si>
    <t>1:23.20</t>
  </si>
  <si>
    <t>1:44.40</t>
  </si>
  <si>
    <t>2:14.29</t>
  </si>
  <si>
    <t>1:16.42</t>
  </si>
  <si>
    <t>1:26.61</t>
  </si>
  <si>
    <t>2:02.72</t>
  </si>
  <si>
    <t>59.87</t>
  </si>
  <si>
    <t>26.44</t>
  </si>
  <si>
    <t>1:47.19</t>
  </si>
  <si>
    <t>1:29.77</t>
  </si>
  <si>
    <t>1:50.82</t>
  </si>
  <si>
    <t>2:35.69</t>
  </si>
  <si>
    <t>2:49.39</t>
  </si>
  <si>
    <t>1:27.82</t>
  </si>
  <si>
    <t>56.76</t>
  </si>
  <si>
    <t>1:28.23</t>
  </si>
  <si>
    <t>25.26</t>
  </si>
  <si>
    <t>57.17</t>
  </si>
  <si>
    <t>1:22.93</t>
  </si>
  <si>
    <t>2:04.91</t>
  </si>
  <si>
    <t>24.55</t>
  </si>
  <si>
    <t>1:23.63</t>
  </si>
  <si>
    <t>2:28.61</t>
  </si>
  <si>
    <t>1:14:48</t>
  </si>
  <si>
    <t>cuck</t>
  </si>
  <si>
    <t>10:16.80</t>
  </si>
  <si>
    <t>2:00.24</t>
  </si>
  <si>
    <t>2:45.26</t>
  </si>
  <si>
    <t>16:12.07</t>
  </si>
  <si>
    <t>1:56.63</t>
  </si>
  <si>
    <t>56.66</t>
  </si>
  <si>
    <t>1:13.96</t>
  </si>
  <si>
    <t>1:25.03</t>
  </si>
  <si>
    <t>1:44.60</t>
  </si>
  <si>
    <t>2:11.85</t>
  </si>
  <si>
    <t>2:39.35</t>
  </si>
  <si>
    <t>7328</t>
  </si>
  <si>
    <t>8:47.32</t>
  </si>
  <si>
    <t>50</t>
  </si>
  <si>
    <t>72</t>
  </si>
  <si>
    <t>1:16.04</t>
  </si>
  <si>
    <t>51.35</t>
  </si>
  <si>
    <t>1:22.33</t>
  </si>
  <si>
    <t>1:00.11</t>
  </si>
  <si>
    <t>9:08.11</t>
  </si>
  <si>
    <t>37.10</t>
  </si>
  <si>
    <t>1:28.70</t>
  </si>
  <si>
    <t>1:29.33</t>
  </si>
  <si>
    <t>1:21.05</t>
  </si>
  <si>
    <t>1:51.35</t>
  </si>
  <si>
    <t>8:50.53</t>
  </si>
  <si>
    <t>2:17.90</t>
  </si>
  <si>
    <t>2:32.54</t>
  </si>
  <si>
    <t>1:31.47</t>
  </si>
  <si>
    <t>1:30.36</t>
  </si>
  <si>
    <t>2:36.35</t>
  </si>
  <si>
    <t>57.54</t>
  </si>
  <si>
    <t>1:27.46</t>
  </si>
  <si>
    <t>1:22.84</t>
  </si>
  <si>
    <t>2:04.65</t>
  </si>
  <si>
    <t>1:36.25</t>
  </si>
  <si>
    <t>47.03</t>
  </si>
  <si>
    <t>2:29.13</t>
  </si>
  <si>
    <t>1:15:18</t>
  </si>
  <si>
    <t xml:space="preserve">Yuto </t>
  </si>
  <si>
    <t>11:48.00</t>
  </si>
  <si>
    <t>10:17.22</t>
  </si>
  <si>
    <t>2:00.32</t>
  </si>
  <si>
    <t>2:42.73</t>
  </si>
  <si>
    <t>1:23.04</t>
  </si>
  <si>
    <t>1:23.94</t>
  </si>
  <si>
    <t>59.18</t>
  </si>
  <si>
    <t>1:14.64</t>
  </si>
  <si>
    <t>1:26.58</t>
  </si>
  <si>
    <t>1:44.95</t>
  </si>
  <si>
    <t>2:13.66</t>
  </si>
  <si>
    <t>9:21.12</t>
  </si>
  <si>
    <t>1:15.94</t>
  </si>
  <si>
    <t>1:18.74</t>
  </si>
  <si>
    <t>2:03.48</t>
  </si>
  <si>
    <t>59.94</t>
  </si>
  <si>
    <t>1:29.22</t>
  </si>
  <si>
    <t>47.66</t>
  </si>
  <si>
    <t>1:29.93</t>
  </si>
  <si>
    <t>48.96</t>
  </si>
  <si>
    <t>1:51.76</t>
  </si>
  <si>
    <t>2:31.93</t>
  </si>
  <si>
    <t>1:32.41</t>
  </si>
  <si>
    <t>59.02</t>
  </si>
  <si>
    <t>2:48.00</t>
  </si>
  <si>
    <t>57.89</t>
  </si>
  <si>
    <t>1:27.03</t>
  </si>
  <si>
    <t>1:22.88</t>
  </si>
  <si>
    <t>2:04.05</t>
  </si>
  <si>
    <t>1:36.16</t>
  </si>
  <si>
    <t>46.76</t>
  </si>
  <si>
    <t>1:14:59</t>
  </si>
  <si>
    <t>10:14.83</t>
  </si>
  <si>
    <t>1:58.92</t>
  </si>
  <si>
    <t>2:42.91</t>
  </si>
  <si>
    <t>1:53.62</t>
  </si>
  <si>
    <t>47.49</t>
  </si>
  <si>
    <t>1:18.47</t>
  </si>
  <si>
    <t>1:22.85</t>
  </si>
  <si>
    <t>1:14.26</t>
  </si>
  <si>
    <t>1:21.26</t>
  </si>
  <si>
    <t>1:44.86</t>
  </si>
  <si>
    <t>16:09.61</t>
  </si>
  <si>
    <t>2:39.38</t>
  </si>
  <si>
    <t>1:17.09</t>
  </si>
  <si>
    <t>1:25.90</t>
  </si>
  <si>
    <t>8:46.5</t>
  </si>
  <si>
    <t>2:05.58</t>
  </si>
  <si>
    <t>9:11.24</t>
  </si>
  <si>
    <t>1:00.22</t>
  </si>
  <si>
    <t>1:46.99</t>
  </si>
  <si>
    <t>8:54.80</t>
  </si>
  <si>
    <t>1:28.43</t>
  </si>
  <si>
    <t>2:36.74</t>
  </si>
  <si>
    <t>47.40</t>
  </si>
  <si>
    <t>11:48.44</t>
  </si>
  <si>
    <t>1:18.42</t>
  </si>
  <si>
    <t>1:28.41</t>
  </si>
  <si>
    <t>9:24.95</t>
  </si>
  <si>
    <t>1:20.75</t>
  </si>
  <si>
    <t>1:52.01</t>
  </si>
  <si>
    <t>2:42.15</t>
  </si>
  <si>
    <t>1:29.72</t>
  </si>
  <si>
    <t>58.44</t>
  </si>
  <si>
    <t>1:29.48</t>
  </si>
  <si>
    <t>2:50.62</t>
  </si>
  <si>
    <t>1:26.35</t>
  </si>
  <si>
    <t>32.68</t>
  </si>
  <si>
    <t>fuck</t>
  </si>
  <si>
    <t>2:06.81</t>
  </si>
  <si>
    <t>1:34.91</t>
  </si>
  <si>
    <t>1:21.67</t>
  </si>
  <si>
    <t>2:28.72</t>
  </si>
  <si>
    <t>Bounceyboy</t>
  </si>
  <si>
    <t>10:18.18</t>
  </si>
  <si>
    <t>16:09.20</t>
  </si>
  <si>
    <t>2:43.00</t>
  </si>
  <si>
    <t>1:57.67</t>
  </si>
  <si>
    <t>1:22.60</t>
  </si>
  <si>
    <t>1:23.86</t>
  </si>
  <si>
    <t>8:48.01</t>
  </si>
  <si>
    <t>9:12.56</t>
  </si>
  <si>
    <t>1:14.81</t>
  </si>
  <si>
    <t>8:54.02</t>
  </si>
  <si>
    <t>1:44.35</t>
  </si>
  <si>
    <t>48.11</t>
  </si>
  <si>
    <t>11:45.98</t>
  </si>
  <si>
    <t>2:12.18</t>
  </si>
  <si>
    <t>9:29.55</t>
  </si>
  <si>
    <t>2:03.76</t>
  </si>
  <si>
    <t>1:46.88</t>
  </si>
  <si>
    <t>1:20.44</t>
  </si>
  <si>
    <t>1:30.15</t>
  </si>
  <si>
    <t>1:21.15</t>
  </si>
  <si>
    <t>48.93</t>
  </si>
  <si>
    <t>16:14.37</t>
  </si>
  <si>
    <t>1:51.44</t>
  </si>
  <si>
    <t>48.79</t>
  </si>
  <si>
    <t>2:40.99</t>
  </si>
  <si>
    <t>8:53.50</t>
  </si>
  <si>
    <t>1:30.99</t>
  </si>
  <si>
    <t>9:13.94</t>
  </si>
  <si>
    <t>8:59.27</t>
  </si>
  <si>
    <t>1:30.95</t>
  </si>
  <si>
    <t>2:37.61</t>
  </si>
  <si>
    <t>11:48.96</t>
  </si>
  <si>
    <t>2:47.37</t>
  </si>
  <si>
    <t>9:25.61</t>
  </si>
  <si>
    <t>1:27.19</t>
  </si>
  <si>
    <t>56.87</t>
  </si>
  <si>
    <t>2:03.01</t>
  </si>
  <si>
    <t>1:36.27</t>
  </si>
  <si>
    <t>1:26.47</t>
  </si>
  <si>
    <t>16:12.21</t>
  </si>
  <si>
    <t>2:31.12</t>
  </si>
  <si>
    <t>2:40.07</t>
  </si>
  <si>
    <t>1:15:55</t>
  </si>
  <si>
    <t>8:55.19</t>
  </si>
  <si>
    <t>Dex513</t>
  </si>
  <si>
    <t>10:17.93</t>
  </si>
  <si>
    <t>2:00.48</t>
  </si>
  <si>
    <t>2:43.14</t>
  </si>
  <si>
    <t>1:53.60</t>
  </si>
  <si>
    <t>1:19.72</t>
  </si>
  <si>
    <t>1:24.05</t>
  </si>
  <si>
    <t>57.06</t>
  </si>
  <si>
    <t>1:15.23</t>
  </si>
  <si>
    <t>9:14.61</t>
  </si>
  <si>
    <t>1:48.12</t>
  </si>
  <si>
    <t>2:14.52</t>
  </si>
  <si>
    <t>1:16.32</t>
  </si>
  <si>
    <t>1:19.02</t>
  </si>
  <si>
    <t>2:06.13</t>
  </si>
  <si>
    <t>1:46.51</t>
  </si>
  <si>
    <t>1:29.17</t>
  </si>
  <si>
    <t>1:19.11</t>
  </si>
  <si>
    <t>1:29.13</t>
  </si>
  <si>
    <t>9:03.21</t>
  </si>
  <si>
    <t>1:50.60</t>
  </si>
  <si>
    <t>2:36.28</t>
  </si>
  <si>
    <t>11:52.84</t>
  </si>
  <si>
    <t>2:36.13</t>
  </si>
  <si>
    <t>9:36.92</t>
  </si>
  <si>
    <t>58.67</t>
  </si>
  <si>
    <t>1:31.66</t>
  </si>
  <si>
    <t>2:25.68</t>
  </si>
  <si>
    <t>42.00</t>
  </si>
  <si>
    <t>2:48.54</t>
  </si>
  <si>
    <t>56.99</t>
  </si>
  <si>
    <t>2:07.40</t>
  </si>
  <si>
    <t>1:36.44</t>
  </si>
  <si>
    <t>1:23.35</t>
  </si>
  <si>
    <t>44.15</t>
  </si>
  <si>
    <t>2:30.63</t>
  </si>
  <si>
    <t>1:15:36</t>
  </si>
  <si>
    <t>Dutchj</t>
  </si>
  <si>
    <t>10:18.71</t>
  </si>
  <si>
    <t>2:01.63</t>
  </si>
  <si>
    <t>2:44.14</t>
  </si>
  <si>
    <t>1:23.15</t>
  </si>
  <si>
    <t>1:14.77</t>
  </si>
  <si>
    <t>16:13.50</t>
  </si>
  <si>
    <t>1:46.29</t>
  </si>
  <si>
    <t>2:40.13</t>
  </si>
  <si>
    <t>2:14.94</t>
  </si>
  <si>
    <t>8:52.06</t>
  </si>
  <si>
    <t>2:03.83</t>
  </si>
  <si>
    <t>1:46.93</t>
  </si>
  <si>
    <t>48.56</t>
  </si>
  <si>
    <t>1:20.80</t>
  </si>
  <si>
    <t>1:29.51</t>
  </si>
  <si>
    <t>48.86</t>
  </si>
  <si>
    <t>1:52.58</t>
  </si>
  <si>
    <t>2:33.92</t>
  </si>
  <si>
    <t>9:11.16</t>
  </si>
  <si>
    <t>2:47.84</t>
  </si>
  <si>
    <t>1:28.91</t>
  </si>
  <si>
    <t>58.24</t>
  </si>
  <si>
    <t>1:27.02</t>
  </si>
  <si>
    <t>2:03.90</t>
  </si>
  <si>
    <t>1:36.20</t>
  </si>
  <si>
    <t>2:33.04</t>
  </si>
  <si>
    <t>1:15:59</t>
  </si>
  <si>
    <t>8:54.43</t>
  </si>
  <si>
    <t>2:37.28</t>
  </si>
  <si>
    <t>2:46.37</t>
  </si>
  <si>
    <t>12:00.96</t>
  </si>
  <si>
    <t>9:29.46</t>
  </si>
  <si>
    <t>1:26.09</t>
  </si>
  <si>
    <t>58.21</t>
  </si>
  <si>
    <t>1:46.36</t>
  </si>
  <si>
    <t>49.11</t>
  </si>
  <si>
    <t>2:26.24</t>
  </si>
  <si>
    <t>2:32.74</t>
  </si>
  <si>
    <t>1:48.07</t>
  </si>
  <si>
    <t>fook</t>
  </si>
  <si>
    <t>48.41</t>
  </si>
  <si>
    <t>1:19.57</t>
  </si>
  <si>
    <t>1:30.90</t>
  </si>
  <si>
    <t>49.25</t>
  </si>
  <si>
    <t>16:13.564</t>
  </si>
  <si>
    <t>1:50.91</t>
  </si>
  <si>
    <t>49.61</t>
  </si>
  <si>
    <t>2:42.203</t>
  </si>
  <si>
    <t>2:37.69</t>
  </si>
  <si>
    <t>8:49.071</t>
  </si>
  <si>
    <t>9:22.569</t>
  </si>
  <si>
    <t>9:02.273</t>
  </si>
  <si>
    <t>2:37.566</t>
  </si>
  <si>
    <t>11:55.065</t>
  </si>
  <si>
    <t>2:51.27</t>
  </si>
  <si>
    <t>9:35.295</t>
  </si>
  <si>
    <t>1:24.26</t>
  </si>
  <si>
    <t>2:04.26</t>
  </si>
  <si>
    <t>1:38.46</t>
  </si>
  <si>
    <t>1:23.47</t>
  </si>
  <si>
    <t>16:20.81</t>
  </si>
  <si>
    <t>2:41.29</t>
  </si>
  <si>
    <t>8:58.77</t>
  </si>
  <si>
    <t>9:21.86</t>
  </si>
  <si>
    <t>10:21.63</t>
  </si>
  <si>
    <t>1:13.92</t>
  </si>
  <si>
    <t>8:59.30</t>
  </si>
  <si>
    <t>2:02.89</t>
  </si>
  <si>
    <t>2:37.62</t>
  </si>
  <si>
    <t>11:51.84</t>
  </si>
  <si>
    <t>2:43.04</t>
  </si>
  <si>
    <t>9:37.56</t>
  </si>
  <si>
    <t>1:54.33</t>
  </si>
  <si>
    <t>2:24.68</t>
  </si>
  <si>
    <t>50.07</t>
  </si>
  <si>
    <t>1:25.21</t>
  </si>
  <si>
    <t>don't say that word</t>
  </si>
  <si>
    <t>1:48.66</t>
  </si>
  <si>
    <t>1:28.96</t>
  </si>
  <si>
    <t>16:08.99</t>
  </si>
  <si>
    <t>2:41.07</t>
  </si>
  <si>
    <t>8:56.56</t>
  </si>
  <si>
    <t>9:25.37</t>
  </si>
  <si>
    <t>9:01.78</t>
  </si>
  <si>
    <t>2:37.94</t>
  </si>
  <si>
    <t>11:55.04</t>
  </si>
  <si>
    <t>9:39.19</t>
  </si>
  <si>
    <t>1:00.71</t>
  </si>
  <si>
    <t>1:29.82</t>
  </si>
  <si>
    <t>16:12.37</t>
  </si>
  <si>
    <t>49.36</t>
  </si>
  <si>
    <t>2:41.35</t>
  </si>
  <si>
    <t>8:57.39</t>
  </si>
  <si>
    <t>1:21.71</t>
  </si>
  <si>
    <t>9:21.42</t>
  </si>
  <si>
    <t>49.39</t>
  </si>
  <si>
    <t>8:59.38</t>
  </si>
  <si>
    <t>1:51.93</t>
  </si>
  <si>
    <t>2:36.63</t>
  </si>
  <si>
    <t>49.21</t>
  </si>
  <si>
    <t>11:58.52</t>
  </si>
  <si>
    <t>2:34.86</t>
  </si>
  <si>
    <t>1:31.28</t>
  </si>
  <si>
    <t>51.26</t>
  </si>
  <si>
    <t>9:36.52</t>
  </si>
  <si>
    <t>1:30.10</t>
  </si>
  <si>
    <t>16:22.63</t>
  </si>
  <si>
    <t>2:43.18</t>
  </si>
  <si>
    <t>58.19</t>
  </si>
  <si>
    <t>58.11</t>
  </si>
  <si>
    <t>1:25.87</t>
  </si>
  <si>
    <t>2:08.25</t>
  </si>
  <si>
    <t>1:37.76</t>
  </si>
  <si>
    <t>2:35.83</t>
  </si>
  <si>
    <t>1:17:45</t>
  </si>
  <si>
    <t>10:18.96</t>
  </si>
  <si>
    <t>1:13.61</t>
  </si>
  <si>
    <t>2:00.36</t>
  </si>
  <si>
    <t>2:45.99</t>
  </si>
  <si>
    <t>2:18.73</t>
  </si>
  <si>
    <t>1:55.74</t>
  </si>
  <si>
    <t>1:22.79</t>
  </si>
  <si>
    <t>1:15.08</t>
  </si>
  <si>
    <t>1:25.72</t>
  </si>
  <si>
    <t>1:48.95</t>
  </si>
  <si>
    <t>2:15.54</t>
  </si>
  <si>
    <t>1:16.47</t>
  </si>
  <si>
    <t>1:29.39</t>
  </si>
  <si>
    <t>1:00.02</t>
  </si>
  <si>
    <t>1:47.24</t>
  </si>
  <si>
    <t>1:29.53</t>
  </si>
  <si>
    <t>1:19.00</t>
  </si>
  <si>
    <t>1:51.75</t>
  </si>
  <si>
    <t>2:35.14</t>
  </si>
  <si>
    <t>59.25</t>
  </si>
  <si>
    <t>1:32.17</t>
  </si>
  <si>
    <t>2:53.37</t>
  </si>
  <si>
    <t>1:34.02</t>
  </si>
  <si>
    <t>58.26</t>
  </si>
  <si>
    <t>1:28.18</t>
  </si>
  <si>
    <t>20.82</t>
  </si>
  <si>
    <t>2:08.70</t>
  </si>
  <si>
    <t>1:35.23</t>
  </si>
  <si>
    <t>1:24.40</t>
  </si>
  <si>
    <t>16:18.80</t>
  </si>
  <si>
    <t>2:29.71</t>
  </si>
  <si>
    <t>9:03.76</t>
  </si>
  <si>
    <t>9:26.33</t>
  </si>
  <si>
    <t>9:05.61</t>
  </si>
  <si>
    <t>1:17:14</t>
  </si>
  <si>
    <t>2:38.40</t>
  </si>
  <si>
    <t>11:54.08</t>
  </si>
  <si>
    <t>9:39.38</t>
  </si>
  <si>
    <t>frankfurters</t>
  </si>
  <si>
    <t>Saro</t>
  </si>
  <si>
    <t>10:18.64</t>
  </si>
  <si>
    <t>1:13.54</t>
  </si>
  <si>
    <t>2:00.23</t>
  </si>
  <si>
    <t>2:42.18</t>
  </si>
  <si>
    <t>1:55.58</t>
  </si>
  <si>
    <t>21.29</t>
  </si>
  <si>
    <t>58.04</t>
  </si>
  <si>
    <t>16:09.18</t>
  </si>
  <si>
    <t>48.47</t>
  </si>
  <si>
    <t>2:40.10</t>
  </si>
  <si>
    <t>2:18.26</t>
  </si>
  <si>
    <t>9:01.80</t>
  </si>
  <si>
    <t>9:27.97</t>
  </si>
  <si>
    <t>1:27.67</t>
  </si>
  <si>
    <t>9:00.43</t>
  </si>
  <si>
    <t>2:01.46</t>
  </si>
  <si>
    <t>1:46.94</t>
  </si>
  <si>
    <t>1:52.30</t>
  </si>
  <si>
    <t>48.28</t>
  </si>
  <si>
    <t>2:39.89</t>
  </si>
  <si>
    <t>1:32.05</t>
  </si>
  <si>
    <t>58.50</t>
  </si>
  <si>
    <t>2:53.54</t>
  </si>
  <si>
    <t>1:20.15</t>
  </si>
  <si>
    <t>58.55</t>
  </si>
  <si>
    <t>1:27.76</t>
  </si>
  <si>
    <t>1:26.27</t>
  </si>
  <si>
    <t>12:07.74</t>
  </si>
  <si>
    <t>2:08.94</t>
  </si>
  <si>
    <t>9:38.88</t>
  </si>
  <si>
    <t>1:23.19</t>
  </si>
  <si>
    <t>2:31.76</t>
  </si>
  <si>
    <t>2:33.79</t>
  </si>
  <si>
    <t>1:16:44</t>
  </si>
  <si>
    <t>FluddHentai</t>
  </si>
  <si>
    <t>16:16.99</t>
  </si>
  <si>
    <t>2:43.19</t>
  </si>
  <si>
    <t>9:05.46</t>
  </si>
  <si>
    <t>9:29.40</t>
  </si>
  <si>
    <t>9:04.79</t>
  </si>
  <si>
    <t>2:38.93</t>
  </si>
  <si>
    <t>10:19.96</t>
  </si>
  <si>
    <t>12:11.50</t>
  </si>
  <si>
    <t>9:40.76</t>
  </si>
  <si>
    <t>1:13.57</t>
  </si>
  <si>
    <t>2:01.80</t>
  </si>
  <si>
    <t>frick</t>
  </si>
  <si>
    <t>2:47.89</t>
  </si>
  <si>
    <t>1:53.87</t>
  </si>
  <si>
    <t>16:21.17</t>
  </si>
  <si>
    <t>9:06.24</t>
  </si>
  <si>
    <t>9:24.01</t>
  </si>
  <si>
    <t>9:05.90</t>
  </si>
  <si>
    <t>2:39.03</t>
  </si>
  <si>
    <t>12:10.90</t>
  </si>
  <si>
    <t>9:47.80</t>
  </si>
  <si>
    <t>2:27.45</t>
  </si>
  <si>
    <t>1:25.02</t>
  </si>
  <si>
    <t>16:19.73</t>
  </si>
  <si>
    <t>2:42.66</t>
  </si>
  <si>
    <t>9:01.67</t>
  </si>
  <si>
    <t>9:27.92</t>
  </si>
  <si>
    <t>9:08.15</t>
  </si>
  <si>
    <t>2:38.23</t>
  </si>
  <si>
    <t>12:20.49</t>
  </si>
  <si>
    <t>9:43.77</t>
  </si>
  <si>
    <t>2:28.71</t>
  </si>
  <si>
    <t>fuck?</t>
  </si>
  <si>
    <t>16:19.94</t>
  </si>
  <si>
    <t>2:44.67</t>
  </si>
  <si>
    <t>9:12.23</t>
  </si>
  <si>
    <t>9:25.90</t>
  </si>
  <si>
    <t>9:03.67</t>
  </si>
  <si>
    <t>1:45.18</t>
  </si>
  <si>
    <t>2:39.55</t>
  </si>
  <si>
    <t>12:17.15</t>
  </si>
  <si>
    <t>9:42.37</t>
  </si>
  <si>
    <t>2:17.40</t>
  </si>
  <si>
    <t>2:29.85</t>
  </si>
  <si>
    <t>fuuck</t>
  </si>
  <si>
    <t>1:16.36</t>
  </si>
  <si>
    <t>16:14.24</t>
  </si>
  <si>
    <t>2:41.57</t>
  </si>
  <si>
    <t>8:57.91</t>
  </si>
  <si>
    <t>9:29.63</t>
  </si>
  <si>
    <t>9:11.01</t>
  </si>
  <si>
    <t>2:38.85</t>
  </si>
  <si>
    <t>11:58.02</t>
  </si>
  <si>
    <t>9:39.3</t>
  </si>
  <si>
    <t>7077</t>
  </si>
  <si>
    <t>2:46.75</t>
  </si>
  <si>
    <t>9:12.41</t>
  </si>
  <si>
    <t>9:31.53</t>
  </si>
  <si>
    <t>9:11.93</t>
  </si>
  <si>
    <t>2:40.87</t>
  </si>
  <si>
    <t>12:07.93</t>
  </si>
  <si>
    <t>9:47.33</t>
  </si>
  <si>
    <t>1:25.95</t>
  </si>
  <si>
    <t>2:04.99</t>
  </si>
  <si>
    <t>76</t>
  </si>
  <si>
    <t>1:01.37</t>
  </si>
  <si>
    <t>16:18.54</t>
  </si>
  <si>
    <t>2:46.19</t>
  </si>
  <si>
    <t>9:06.74</t>
  </si>
  <si>
    <t>1:48.53</t>
  </si>
  <si>
    <t>9:34.58</t>
  </si>
  <si>
    <t>9:09.00</t>
  </si>
  <si>
    <t>2:39.58</t>
  </si>
  <si>
    <t>1:30.49</t>
  </si>
  <si>
    <t>12:24.02</t>
  </si>
  <si>
    <t>9:45.92</t>
  </si>
  <si>
    <t>2:30.29</t>
  </si>
  <si>
    <t>1:18.79</t>
  </si>
  <si>
    <t>1:18.52</t>
  </si>
  <si>
    <t>1:29.04</t>
  </si>
  <si>
    <t>#fuck</t>
  </si>
  <si>
    <t>16:19.50</t>
  </si>
  <si>
    <t>2:43.99</t>
  </si>
  <si>
    <t>9:09.58</t>
  </si>
  <si>
    <t>9:36.79</t>
  </si>
  <si>
    <t>9:07.36</t>
  </si>
  <si>
    <t>2:39.20</t>
  </si>
  <si>
    <t>1:51.97</t>
  </si>
  <si>
    <t>12:27.30</t>
  </si>
  <si>
    <t>9:53.08</t>
  </si>
  <si>
    <t>13.76</t>
  </si>
  <si>
    <t>16:14.30</t>
  </si>
  <si>
    <t>2:43.70</t>
  </si>
  <si>
    <t>9:08.09</t>
  </si>
  <si>
    <t>9:31.50</t>
  </si>
  <si>
    <t>9:07.30</t>
  </si>
  <si>
    <t>2:38.80</t>
  </si>
  <si>
    <t>1:30.58</t>
  </si>
  <si>
    <t>12:14.90</t>
  </si>
  <si>
    <t>9:41.70</t>
  </si>
  <si>
    <t>2:48.87</t>
  </si>
  <si>
    <t>1:24.85</t>
  </si>
  <si>
    <t>くそ</t>
  </si>
  <si>
    <t>59.70</t>
  </si>
  <si>
    <t>16:25.77</t>
  </si>
  <si>
    <t>1:31.09</t>
  </si>
  <si>
    <t>2:42.30</t>
  </si>
  <si>
    <t>9:12.83</t>
  </si>
  <si>
    <t>9:34.57</t>
  </si>
  <si>
    <t>9:11.41</t>
  </si>
  <si>
    <t>55.80</t>
  </si>
  <si>
    <t>2:41.42</t>
  </si>
  <si>
    <t>12:36.03</t>
  </si>
  <si>
    <t>9:40.27</t>
  </si>
  <si>
    <t>2:31.01</t>
  </si>
  <si>
    <t>16:26.34</t>
  </si>
  <si>
    <t>2:46.40</t>
  </si>
  <si>
    <t>9:20.40</t>
  </si>
  <si>
    <t>9:44.33</t>
  </si>
  <si>
    <t>9:16.24</t>
  </si>
  <si>
    <t>2:42.37</t>
  </si>
  <si>
    <t>12:03.65</t>
  </si>
  <si>
    <t>10:05.72</t>
  </si>
  <si>
    <t>2:34.96</t>
  </si>
  <si>
    <t>2:15.66</t>
  </si>
  <si>
    <t>16:28.53</t>
  </si>
  <si>
    <t>2:44.86</t>
  </si>
  <si>
    <t>2:07.77</t>
  </si>
  <si>
    <t>9:30.77</t>
  </si>
  <si>
    <t>9:39.33</t>
  </si>
  <si>
    <t>1:37.91</t>
  </si>
  <si>
    <t>9:14.47</t>
  </si>
  <si>
    <t>12:09.52</t>
  </si>
  <si>
    <t>1:27.24</t>
  </si>
  <si>
    <t>10:01.57</t>
  </si>
  <si>
    <t>h*ck</t>
  </si>
  <si>
    <t>2:34.26</t>
  </si>
  <si>
    <t>16:34.99</t>
  </si>
  <si>
    <t>2:46.48</t>
  </si>
  <si>
    <t>9:22.98</t>
  </si>
  <si>
    <t>1:18:34</t>
  </si>
  <si>
    <t>9:43.61</t>
  </si>
  <si>
    <t>9:07.89</t>
  </si>
  <si>
    <t>2:41.26</t>
  </si>
  <si>
    <t>12:14.19</t>
  </si>
  <si>
    <t>9:55.15</t>
  </si>
  <si>
    <t>2:31.9</t>
  </si>
  <si>
    <t>1:10.95</t>
  </si>
  <si>
    <t>i'm not as bad anymore but fuck</t>
  </si>
  <si>
    <t>16:26.374</t>
  </si>
  <si>
    <t>2:45.292</t>
  </si>
  <si>
    <t>9:18.931</t>
  </si>
  <si>
    <t>9:45.077</t>
  </si>
  <si>
    <t>9:14.933</t>
  </si>
  <si>
    <t>2:40.079</t>
  </si>
  <si>
    <t>12:33.658</t>
  </si>
  <si>
    <t>9:56.477</t>
  </si>
  <si>
    <t>2:32.992</t>
  </si>
  <si>
    <t>fucking</t>
  </si>
  <si>
    <t>10:20.38</t>
  </si>
  <si>
    <t>16:29.13</t>
  </si>
  <si>
    <t>2:45.53</t>
  </si>
  <si>
    <t>2:01.34</t>
  </si>
  <si>
    <t>1:55.82</t>
  </si>
  <si>
    <t>9:34.79</t>
  </si>
  <si>
    <t>9:54.51</t>
  </si>
  <si>
    <t>9:13.41</t>
  </si>
  <si>
    <t>2:40.58</t>
  </si>
  <si>
    <t>12:11.78</t>
  </si>
  <si>
    <t>1:25.31</t>
  </si>
  <si>
    <t>9:51.70</t>
  </si>
  <si>
    <t>1:14.93</t>
  </si>
  <si>
    <t>1:48.34</t>
  </si>
  <si>
    <t>2:18.71</t>
  </si>
  <si>
    <t>1:16.52</t>
  </si>
  <si>
    <t>1:20.60</t>
  </si>
  <si>
    <t>2:33.18</t>
  </si>
  <si>
    <t>1:01.06</t>
  </si>
  <si>
    <t>1:46.38</t>
  </si>
  <si>
    <t>16:27.84</t>
  </si>
  <si>
    <t>2:44.21</t>
  </si>
  <si>
    <t>9:16.71</t>
  </si>
  <si>
    <t>9:28.20</t>
  </si>
  <si>
    <t>9:13.99</t>
  </si>
  <si>
    <t>2:41.47</t>
  </si>
  <si>
    <t>12:35.53</t>
  </si>
  <si>
    <t>1:21.92</t>
  </si>
  <si>
    <t>10:08.90</t>
  </si>
  <si>
    <t>1:52.92</t>
  </si>
  <si>
    <t>59.95</t>
  </si>
  <si>
    <t>2:33.37</t>
  </si>
  <si>
    <t>1:31.40</t>
  </si>
  <si>
    <t>16:29.48</t>
  </si>
  <si>
    <t>9:27.28</t>
  </si>
  <si>
    <t>9:43.98</t>
  </si>
  <si>
    <t>9:16.48</t>
  </si>
  <si>
    <t>2:40.90</t>
  </si>
  <si>
    <t>12:26.71</t>
  </si>
  <si>
    <t>59.03</t>
  </si>
  <si>
    <t>9:56.97</t>
  </si>
  <si>
    <t>1:30.98</t>
  </si>
  <si>
    <t>2:38.07</t>
  </si>
  <si>
    <t>2:50.21</t>
  </si>
  <si>
    <t>hek</t>
  </si>
  <si>
    <t>JeffCompass</t>
  </si>
  <si>
    <t>58.27</t>
  </si>
  <si>
    <t>16:32.81</t>
  </si>
  <si>
    <t>2:47.75</t>
  </si>
  <si>
    <t>57.69</t>
  </si>
  <si>
    <t>9:27.46</t>
  </si>
  <si>
    <t>9:53.19</t>
  </si>
  <si>
    <t>2:53.12</t>
  </si>
  <si>
    <t>9:17.04</t>
  </si>
  <si>
    <t>2:08.71</t>
  </si>
  <si>
    <t>1:38.06</t>
  </si>
  <si>
    <t>12:22.07</t>
  </si>
  <si>
    <t>10:09.74</t>
  </si>
  <si>
    <t>1:25.44</t>
  </si>
  <si>
    <t>2:39.67</t>
  </si>
  <si>
    <t>2:38.14</t>
  </si>
  <si>
    <t>piss</t>
  </si>
  <si>
    <t>ivey</t>
  </si>
  <si>
    <t>1:16:52</t>
  </si>
  <si>
    <t>10:20.51</t>
  </si>
  <si>
    <t>1:13.58</t>
  </si>
  <si>
    <t>2:01.86</t>
  </si>
  <si>
    <t>2:44.51</t>
  </si>
  <si>
    <t>16:33.877</t>
  </si>
  <si>
    <t>2:46.143</t>
  </si>
  <si>
    <t>1:55.45</t>
  </si>
  <si>
    <t>9:33.673</t>
  </si>
  <si>
    <t>9:45.326</t>
  </si>
  <si>
    <t>9:14.697</t>
  </si>
  <si>
    <t>2:40.796</t>
  </si>
  <si>
    <t>12:32.938</t>
  </si>
  <si>
    <t>10:03.692</t>
  </si>
  <si>
    <t>2:32.169</t>
  </si>
  <si>
    <t>1:15.28</t>
  </si>
  <si>
    <t>1:27.33</t>
  </si>
  <si>
    <t>1:47.70</t>
  </si>
  <si>
    <t>48.51</t>
  </si>
  <si>
    <t>16:26.51</t>
  </si>
  <si>
    <t>2:45.54</t>
  </si>
  <si>
    <t>1:16.56</t>
  </si>
  <si>
    <t>9:25.30</t>
  </si>
  <si>
    <t>9:43.86</t>
  </si>
  <si>
    <t>44.23</t>
  </si>
  <si>
    <t>9:18.88</t>
  </si>
  <si>
    <t>1:29.97</t>
  </si>
  <si>
    <t>2:43.30</t>
  </si>
  <si>
    <t>12:37.51</t>
  </si>
  <si>
    <t>2:05.81</t>
  </si>
  <si>
    <t>9:52.08</t>
  </si>
  <si>
    <t>2:37.23</t>
  </si>
  <si>
    <t>1:46.42</t>
  </si>
  <si>
    <t>1:29.23</t>
  </si>
  <si>
    <t>1:19.71</t>
  </si>
  <si>
    <t>16:26.72</t>
  </si>
  <si>
    <t>1:29.98</t>
  </si>
  <si>
    <t>2:47.45</t>
  </si>
  <si>
    <t>10:10.56</t>
  </si>
  <si>
    <t>1:21.35</t>
  </si>
  <si>
    <t>9:32.71</t>
  </si>
  <si>
    <t>9:24.20</t>
  </si>
  <si>
    <t>12:40.39</t>
  </si>
  <si>
    <t>48.17</t>
  </si>
  <si>
    <t>10:10.10</t>
  </si>
  <si>
    <t>2:37.37</t>
  </si>
  <si>
    <t>30.24</t>
  </si>
  <si>
    <t>59.15</t>
  </si>
  <si>
    <t>1:33.05</t>
  </si>
  <si>
    <t>17:17.47</t>
  </si>
  <si>
    <t>2:49.88</t>
  </si>
  <si>
    <t>2:59.02</t>
  </si>
  <si>
    <t>1:31</t>
  </si>
  <si>
    <t>10:22.56</t>
  </si>
  <si>
    <t>11:27.32</t>
  </si>
  <si>
    <t>56.89</t>
  </si>
  <si>
    <t>9:47.54</t>
  </si>
  <si>
    <t>2:49.73</t>
  </si>
  <si>
    <t>13:11.50</t>
  </si>
  <si>
    <t>11:33.97</t>
  </si>
  <si>
    <t>3:17.91</t>
  </si>
  <si>
    <t>3DAS</t>
  </si>
  <si>
    <t>17:07.1</t>
  </si>
  <si>
    <t>3:01.4</t>
  </si>
  <si>
    <t>10:49.2</t>
  </si>
  <si>
    <t>12:15.9</t>
  </si>
  <si>
    <t>9:43.0</t>
  </si>
  <si>
    <t>3:01.3</t>
  </si>
  <si>
    <t>13:05.6</t>
  </si>
  <si>
    <t>12:00.6</t>
  </si>
  <si>
    <t>3:40.1</t>
  </si>
  <si>
    <t>1:36.45</t>
  </si>
  <si>
    <t>10:59</t>
  </si>
  <si>
    <t>Garbage PB, I do Ricco Late, as well as Noki before Sirena</t>
  </si>
  <si>
    <t>2:05.62</t>
  </si>
  <si>
    <t>1:36.71</t>
  </si>
  <si>
    <t>1:25.83</t>
  </si>
  <si>
    <t>16:21.45</t>
  </si>
  <si>
    <t>02:43.07</t>
  </si>
  <si>
    <t>09:09.97</t>
  </si>
  <si>
    <t>9:32.06</t>
  </si>
  <si>
    <t>2:32.43</t>
  </si>
  <si>
    <t>9:09.33</t>
  </si>
  <si>
    <t>1:16:22</t>
  </si>
  <si>
    <t>12:26.96</t>
  </si>
  <si>
    <t>9:44.81</t>
  </si>
  <si>
    <t>:)</t>
  </si>
  <si>
    <t>duck</t>
  </si>
  <si>
    <t>10:21.9</t>
  </si>
  <si>
    <t>1:13.74</t>
  </si>
  <si>
    <t>2:02.62</t>
  </si>
  <si>
    <t>1:56.3</t>
  </si>
  <si>
    <t>57.93</t>
  </si>
  <si>
    <t>1:48.13</t>
  </si>
  <si>
    <t>2:15.84</t>
  </si>
  <si>
    <t>1:23.21</t>
  </si>
  <si>
    <t>1:29.1</t>
  </si>
  <si>
    <t>2:05.6</t>
  </si>
  <si>
    <t>59.98</t>
  </si>
  <si>
    <t>1:47.59</t>
  </si>
  <si>
    <t>1:30.04</t>
  </si>
  <si>
    <t>47.9</t>
  </si>
  <si>
    <t>1:51.70</t>
  </si>
  <si>
    <t>2:36.37</t>
  </si>
  <si>
    <t>1:31.26</t>
  </si>
  <si>
    <t>59.39</t>
  </si>
  <si>
    <t>2:52.56</t>
  </si>
  <si>
    <t>1:31.17</t>
  </si>
  <si>
    <t>1:23.6</t>
  </si>
  <si>
    <t>2:09.51</t>
  </si>
  <si>
    <t>1:35.56</t>
  </si>
  <si>
    <t>1:23.56</t>
  </si>
  <si>
    <t xml:space="preserve"> 43.8</t>
  </si>
  <si>
    <t>2:32.16</t>
  </si>
  <si>
    <t>1:17:32</t>
  </si>
  <si>
    <t>i need to come back</t>
  </si>
  <si>
    <t>10:22.11</t>
  </si>
  <si>
    <t>1:13.55</t>
  </si>
  <si>
    <t>2:01.01</t>
  </si>
  <si>
    <t>2:45.74</t>
  </si>
  <si>
    <t>1:57.51</t>
  </si>
  <si>
    <t>1:25.66</t>
  </si>
  <si>
    <t>58.49</t>
  </si>
  <si>
    <t>1:16.28</t>
  </si>
  <si>
    <t>1:48.47</t>
  </si>
  <si>
    <t>2:15.68</t>
  </si>
  <si>
    <t>1:17.03</t>
  </si>
  <si>
    <t>1:28.66</t>
  </si>
  <si>
    <t>1:47.53</t>
  </si>
  <si>
    <t>48.98</t>
  </si>
  <si>
    <t>49.51</t>
  </si>
  <si>
    <t>1:52.08</t>
  </si>
  <si>
    <t>1:34.16</t>
  </si>
  <si>
    <t>1:00.23</t>
  </si>
  <si>
    <t>1:32.63</t>
  </si>
  <si>
    <t>2:52.61</t>
  </si>
  <si>
    <t>59.40</t>
  </si>
  <si>
    <t>26.08</t>
  </si>
  <si>
    <t>1:25.91</t>
  </si>
  <si>
    <t>2:07.18</t>
  </si>
  <si>
    <t>1:38.51</t>
  </si>
  <si>
    <t>2:33:33</t>
  </si>
  <si>
    <t>1:17:09</t>
  </si>
  <si>
    <t>NTSC-U is epic</t>
  </si>
  <si>
    <t>10:20.54</t>
  </si>
  <si>
    <t>1:13.42</t>
  </si>
  <si>
    <t>2:00.40</t>
  </si>
  <si>
    <t>2:43.34</t>
  </si>
  <si>
    <t>40.89</t>
  </si>
  <si>
    <t>1:55.85</t>
  </si>
  <si>
    <t>1:23.68</t>
  </si>
  <si>
    <t>1:15.27</t>
  </si>
  <si>
    <t>1:44.98</t>
  </si>
  <si>
    <t>2:15.98</t>
  </si>
  <si>
    <t>2:12.82</t>
  </si>
  <si>
    <t>1:28.94</t>
  </si>
  <si>
    <t>1:29.44</t>
  </si>
  <si>
    <t>1:20.69</t>
  </si>
  <si>
    <t>2:39.45</t>
  </si>
  <si>
    <t>58.69</t>
  </si>
  <si>
    <t>1:32.34</t>
  </si>
  <si>
    <t>2:50.32</t>
  </si>
  <si>
    <t>57.01</t>
  </si>
  <si>
    <t>56.58</t>
  </si>
  <si>
    <t>1:24.14</t>
  </si>
  <si>
    <t>2:15.31</t>
  </si>
  <si>
    <t>1:23.39</t>
  </si>
  <si>
    <t>2:36.31</t>
  </si>
  <si>
    <t>1:15:29</t>
  </si>
  <si>
    <t>10:20.58</t>
  </si>
  <si>
    <t>2:46.59</t>
  </si>
  <si>
    <t>1:56.86</t>
  </si>
  <si>
    <t>59.81</t>
  </si>
  <si>
    <t>1:49.11</t>
  </si>
  <si>
    <t>2:15.33</t>
  </si>
  <si>
    <t>1:23.60</t>
  </si>
  <si>
    <t>1:28.78</t>
  </si>
  <si>
    <t>1:00.40</t>
  </si>
  <si>
    <t>1:46.76</t>
  </si>
  <si>
    <t>1:21.85</t>
  </si>
  <si>
    <t>1:51.32</t>
  </si>
  <si>
    <t>48.08</t>
  </si>
  <si>
    <t>2:42.19</t>
  </si>
  <si>
    <t>1:30.78</t>
  </si>
  <si>
    <t>2:48.04</t>
  </si>
  <si>
    <t>1:33.66</t>
  </si>
  <si>
    <t>57.96</t>
  </si>
  <si>
    <t>1:27.15</t>
  </si>
  <si>
    <t>1:23.03</t>
  </si>
  <si>
    <t>2:08.78</t>
  </si>
  <si>
    <t>2:35.44</t>
  </si>
  <si>
    <t>imagine being good at manta</t>
  </si>
  <si>
    <t>25.98</t>
  </si>
  <si>
    <t>10:21.58</t>
  </si>
  <si>
    <t>1:14.48</t>
  </si>
  <si>
    <t>2:46.81</t>
  </si>
  <si>
    <t>1:57.44</t>
  </si>
  <si>
    <t>1:25.50</t>
  </si>
  <si>
    <t>1:24.82</t>
  </si>
  <si>
    <t>10.53</t>
  </si>
  <si>
    <t>2:16.61</t>
  </si>
  <si>
    <t>1:20.51</t>
  </si>
  <si>
    <t>18:47.47</t>
  </si>
  <si>
    <t>2:00.35</t>
  </si>
  <si>
    <t>1:00.85</t>
  </si>
  <si>
    <t>1:29.87</t>
  </si>
  <si>
    <t>1:50.87</t>
  </si>
  <si>
    <t>49.71</t>
  </si>
  <si>
    <t>27:37.07</t>
  </si>
  <si>
    <t>2:39.68</t>
  </si>
  <si>
    <t>1:33.47</t>
  </si>
  <si>
    <t>1:33.01</t>
  </si>
  <si>
    <t>59.84</t>
  </si>
  <si>
    <t>1:32.76</t>
  </si>
  <si>
    <t>2:53.53</t>
  </si>
  <si>
    <t>36:44.60</t>
  </si>
  <si>
    <t>57.58</t>
  </si>
  <si>
    <t>1:24.69</t>
  </si>
  <si>
    <t>2:09.19</t>
  </si>
  <si>
    <t>1:38.55</t>
  </si>
  <si>
    <t>1:24.75</t>
  </si>
  <si>
    <t>2:28.91</t>
  </si>
  <si>
    <t>1:15:54</t>
  </si>
  <si>
    <t>45:41.57</t>
  </si>
  <si>
    <t>Kaffelon</t>
  </si>
  <si>
    <t>10:17.58</t>
  </si>
  <si>
    <t>1:13.41</t>
  </si>
  <si>
    <t>2:00.76</t>
  </si>
  <si>
    <t>48:20.80</t>
  </si>
  <si>
    <t>1:23.14</t>
  </si>
  <si>
    <t>59.01</t>
  </si>
  <si>
    <t>1:15.45</t>
  </si>
  <si>
    <t>1:47.26</t>
  </si>
  <si>
    <t>2:16.55</t>
  </si>
  <si>
    <t>1:00:20.55</t>
  </si>
  <si>
    <t>1:27.28</t>
  </si>
  <si>
    <t>2:10.28</t>
  </si>
  <si>
    <t>1:47.89</t>
  </si>
  <si>
    <t>1:30.02</t>
  </si>
  <si>
    <t>1:10:02.33</t>
  </si>
  <si>
    <t>1:50.71</t>
  </si>
  <si>
    <t>2:40.57</t>
  </si>
  <si>
    <t>1:31.85</t>
  </si>
  <si>
    <t>59.37</t>
  </si>
  <si>
    <t>1:32.07</t>
  </si>
  <si>
    <t>58.59</t>
  </si>
  <si>
    <t>1:27.31</t>
  </si>
  <si>
    <t>57.46</t>
  </si>
  <si>
    <t>2:08.04</t>
  </si>
  <si>
    <t>2:17.82</t>
  </si>
  <si>
    <t>1:36.46</t>
  </si>
  <si>
    <t>1:23.61</t>
  </si>
  <si>
    <t>19:15.0</t>
  </si>
  <si>
    <t>28:49.8</t>
  </si>
  <si>
    <t>2:21.59</t>
  </si>
  <si>
    <t>2:36.55</t>
  </si>
  <si>
    <t>38:44.3</t>
  </si>
  <si>
    <t>48:01.5</t>
  </si>
  <si>
    <t>50:46.7</t>
  </si>
  <si>
    <t>1:03:21.7</t>
  </si>
  <si>
    <t>1:13:43.9</t>
  </si>
  <si>
    <t>10:21.54</t>
  </si>
  <si>
    <t>2:01.11</t>
  </si>
  <si>
    <t>19:16.00</t>
  </si>
  <si>
    <t>1:56.30</t>
  </si>
  <si>
    <t>29:00.00</t>
  </si>
  <si>
    <t>39:02.00</t>
  </si>
  <si>
    <t>58.89</t>
  </si>
  <si>
    <t>48:38.00</t>
  </si>
  <si>
    <t>51:22.00</t>
  </si>
  <si>
    <t>1:26.44</t>
  </si>
  <si>
    <t>1:03:26.00</t>
  </si>
  <si>
    <t>1:47.84</t>
  </si>
  <si>
    <t>1:13:41.00</t>
  </si>
  <si>
    <t>1:16.91</t>
  </si>
  <si>
    <t>1:29.80</t>
  </si>
  <si>
    <t>1:01.22</t>
  </si>
  <si>
    <t>1:47.52</t>
  </si>
  <si>
    <t>54.02</t>
  </si>
  <si>
    <t>49.08</t>
  </si>
  <si>
    <t>1:21.96</t>
  </si>
  <si>
    <t>1:22.05</t>
  </si>
  <si>
    <t>49.28</t>
  </si>
  <si>
    <t>2:39.69</t>
  </si>
  <si>
    <t>28.19</t>
  </si>
  <si>
    <t>1:30.46</t>
  </si>
  <si>
    <t>2:52.68</t>
  </si>
  <si>
    <t>1:32.57</t>
  </si>
  <si>
    <t>1:00:09.29</t>
  </si>
  <si>
    <t>1:09.48.46</t>
  </si>
  <si>
    <t>1:33.70</t>
  </si>
  <si>
    <t>1:12:15</t>
  </si>
  <si>
    <t>hot</t>
  </si>
  <si>
    <t>15.47</t>
  </si>
  <si>
    <t>1:38.52</t>
  </si>
  <si>
    <t>18:53.76</t>
  </si>
  <si>
    <t>I love eel mouth</t>
  </si>
  <si>
    <t>27:45.93</t>
  </si>
  <si>
    <t>37:03.25</t>
  </si>
  <si>
    <t>10:22.45</t>
  </si>
  <si>
    <t>2:03.14</t>
  </si>
  <si>
    <t>2:43.23</t>
  </si>
  <si>
    <t>1:56.74</t>
  </si>
  <si>
    <t>1:25.76</t>
  </si>
  <si>
    <t>1:31.02</t>
  </si>
  <si>
    <t>1:48.57</t>
  </si>
  <si>
    <t>2:17.54</t>
  </si>
  <si>
    <t>12.98</t>
  </si>
  <si>
    <t>45:58.22</t>
  </si>
  <si>
    <t>1:23.33</t>
  </si>
  <si>
    <t>2:09.44</t>
  </si>
  <si>
    <t>1:47.88</t>
  </si>
  <si>
    <t>1:22.24</t>
  </si>
  <si>
    <t>1:52.33</t>
  </si>
  <si>
    <t>2:33.19</t>
  </si>
  <si>
    <t>48:35.37</t>
  </si>
  <si>
    <t>1:00:36.83</t>
  </si>
  <si>
    <t>1:10:13.91</t>
  </si>
  <si>
    <t>18:51.71</t>
  </si>
  <si>
    <t>27:43.15</t>
  </si>
  <si>
    <t>1:31.88</t>
  </si>
  <si>
    <t>59.38</t>
  </si>
  <si>
    <t>1:32.60</t>
  </si>
  <si>
    <t>2:52.94</t>
  </si>
  <si>
    <t>57.75</t>
  </si>
  <si>
    <t>37:03.79</t>
  </si>
  <si>
    <t>1:36.03</t>
  </si>
  <si>
    <t>1:16:54</t>
  </si>
  <si>
    <t>46:06.57</t>
  </si>
  <si>
    <t>bad golds but i do be kinda consistent</t>
  </si>
  <si>
    <t>48:44.77</t>
  </si>
  <si>
    <t>1:01:01.21</t>
  </si>
  <si>
    <t>1:10:20.80</t>
  </si>
  <si>
    <t>10:19.51</t>
  </si>
  <si>
    <t>gaming</t>
  </si>
  <si>
    <t>1:13.31</t>
  </si>
  <si>
    <t>2:00.85</t>
  </si>
  <si>
    <t>1:57.94</t>
  </si>
  <si>
    <t>18:57.99</t>
  </si>
  <si>
    <t>27:55.72</t>
  </si>
  <si>
    <t>37:12.74</t>
  </si>
  <si>
    <t>46:18.35</t>
  </si>
  <si>
    <t>48:58.63</t>
  </si>
  <si>
    <t>59.26</t>
  </si>
  <si>
    <t>1:01:00.46</t>
  </si>
  <si>
    <t>47.55</t>
  </si>
  <si>
    <t>2:19.41</t>
  </si>
  <si>
    <t>1:10:30.37</t>
  </si>
  <si>
    <t>1:16.51</t>
  </si>
  <si>
    <t>1:23.36</t>
  </si>
  <si>
    <t>1:00.36</t>
  </si>
  <si>
    <t>1:48.14</t>
  </si>
  <si>
    <t>18:50.89</t>
  </si>
  <si>
    <t>1:31.03</t>
  </si>
  <si>
    <t>27:45.69</t>
  </si>
  <si>
    <t>37:05.29</t>
  </si>
  <si>
    <t>46:09.94</t>
  </si>
  <si>
    <t>48:48.49</t>
  </si>
  <si>
    <t>1:00:57.39</t>
  </si>
  <si>
    <t>1:10:35.29</t>
  </si>
  <si>
    <t>48.78</t>
  </si>
  <si>
    <t>1:51.87</t>
  </si>
  <si>
    <t>16:12.20</t>
  </si>
  <si>
    <t>18:56.61</t>
  </si>
  <si>
    <t>28:01.76</t>
  </si>
  <si>
    <t>2:39.41</t>
  </si>
  <si>
    <t>37:23.82</t>
  </si>
  <si>
    <t>1:31.90</t>
  </si>
  <si>
    <t>59.16</t>
  </si>
  <si>
    <t>2:50.69</t>
  </si>
  <si>
    <t>57:91</t>
  </si>
  <si>
    <t>1:31.13</t>
  </si>
  <si>
    <t>57.57</t>
  </si>
  <si>
    <t>1:25.39</t>
  </si>
  <si>
    <t>2:13.64</t>
  </si>
  <si>
    <t>46:32.95</t>
  </si>
  <si>
    <t>49:12.78</t>
  </si>
  <si>
    <t>2:34.19</t>
  </si>
  <si>
    <t>1:18:56</t>
  </si>
  <si>
    <t>1:01:14.96</t>
  </si>
  <si>
    <t>I suc</t>
  </si>
  <si>
    <t>10:21.01</t>
  </si>
  <si>
    <t>1:11:18.48</t>
  </si>
  <si>
    <t>2:45.88</t>
  </si>
  <si>
    <t>1:57.39</t>
  </si>
  <si>
    <t>1:25.12</t>
  </si>
  <si>
    <t>1:15.67</t>
  </si>
  <si>
    <t>1:48.51</t>
  </si>
  <si>
    <t>2:20.18</t>
  </si>
  <si>
    <t>1:27.73</t>
  </si>
  <si>
    <t>2:10.34</t>
  </si>
  <si>
    <t>1:00.52</t>
  </si>
  <si>
    <t>1:48.91</t>
  </si>
  <si>
    <t>19:04.27</t>
  </si>
  <si>
    <t>1:20.27</t>
  </si>
  <si>
    <t>1:31.86</t>
  </si>
  <si>
    <t>1:21.61</t>
  </si>
  <si>
    <t>1:52.62</t>
  </si>
  <si>
    <t>28:15.23</t>
  </si>
  <si>
    <t>37:49.23</t>
  </si>
  <si>
    <t>2:27.26</t>
  </si>
  <si>
    <t>46:54.22</t>
  </si>
  <si>
    <t>1:33.15</t>
  </si>
  <si>
    <t>2:52.04</t>
  </si>
  <si>
    <t>58.14</t>
  </si>
  <si>
    <t>2:14.57</t>
  </si>
  <si>
    <t>1:36.40</t>
  </si>
  <si>
    <t>1:16:46</t>
  </si>
  <si>
    <t>yes my golds are bad dont be toxic</t>
  </si>
  <si>
    <t>32.53</t>
  </si>
  <si>
    <t>PangaeaPanga</t>
  </si>
  <si>
    <t>10:20.52</t>
  </si>
  <si>
    <t>49:34.40</t>
  </si>
  <si>
    <t>2:43.29</t>
  </si>
  <si>
    <t>1:58.24</t>
  </si>
  <si>
    <t>1:25.04</t>
  </si>
  <si>
    <t>1:23.83</t>
  </si>
  <si>
    <t>59.64</t>
  </si>
  <si>
    <t>1:01:41.29</t>
  </si>
  <si>
    <t>1:30.83</t>
  </si>
  <si>
    <t>1:11:19.94</t>
  </si>
  <si>
    <t>2:14.12</t>
  </si>
  <si>
    <t>1:16.30</t>
  </si>
  <si>
    <t>2:11.64</t>
  </si>
  <si>
    <t>1:00.30</t>
  </si>
  <si>
    <t>1:48.80</t>
  </si>
  <si>
    <t>i'm also going to get 1:13</t>
  </si>
  <si>
    <t>1:21.74</t>
  </si>
  <si>
    <t>19:00.83</t>
  </si>
  <si>
    <t>1:32.83</t>
  </si>
  <si>
    <t>59.60</t>
  </si>
  <si>
    <t>1:33.04</t>
  </si>
  <si>
    <t>28:04.92</t>
  </si>
  <si>
    <t>2:50.11</t>
  </si>
  <si>
    <t>37:43.70</t>
  </si>
  <si>
    <t>58.09</t>
  </si>
  <si>
    <t>1:32.12</t>
  </si>
  <si>
    <t>6.66</t>
  </si>
  <si>
    <t>46:43.94</t>
  </si>
  <si>
    <t>1:23.92</t>
  </si>
  <si>
    <t>2:04.82</t>
  </si>
  <si>
    <t>49:24.81</t>
  </si>
  <si>
    <t>1:36.18</t>
  </si>
  <si>
    <t>1:01:43.03</t>
  </si>
  <si>
    <t>46.60</t>
  </si>
  <si>
    <t>1:11:25.24</t>
  </si>
  <si>
    <t>2:35.47</t>
  </si>
  <si>
    <t>1:13:57</t>
  </si>
  <si>
    <t>1:12:57 next</t>
  </si>
  <si>
    <t>18:56.93</t>
  </si>
  <si>
    <t>27:58.90</t>
  </si>
  <si>
    <t>37:38.14</t>
  </si>
  <si>
    <t>46:40.19</t>
  </si>
  <si>
    <t>49:19.85</t>
  </si>
  <si>
    <t>1:01:47.73</t>
  </si>
  <si>
    <t>1:11:33.10</t>
  </si>
  <si>
    <t>6969</t>
  </si>
  <si>
    <t>16:12.36</t>
  </si>
  <si>
    <t>18:56.36</t>
  </si>
  <si>
    <t>28:02.78</t>
  </si>
  <si>
    <t>37:44.03</t>
  </si>
  <si>
    <t>47:00.54</t>
  </si>
  <si>
    <t>49:43.18</t>
  </si>
  <si>
    <t>1:02:04.34</t>
  </si>
  <si>
    <t>BadKid</t>
  </si>
  <si>
    <t>1:11:50.48</t>
  </si>
  <si>
    <t>Sarcrai</t>
  </si>
  <si>
    <t>50.95</t>
  </si>
  <si>
    <t>10:21.33</t>
  </si>
  <si>
    <t>18:50.86</t>
  </si>
  <si>
    <t>28:03.62</t>
  </si>
  <si>
    <t>2:01.68</t>
  </si>
  <si>
    <t>37:34.94</t>
  </si>
  <si>
    <t>2:48.18</t>
  </si>
  <si>
    <t>46:40.60</t>
  </si>
  <si>
    <t>49:20.52</t>
  </si>
  <si>
    <t>1:01:45.18</t>
  </si>
  <si>
    <t>1:11:53.96</t>
  </si>
  <si>
    <t>1:14:45</t>
  </si>
  <si>
    <t>I'm going to get 1:13</t>
  </si>
  <si>
    <t>1:28.19</t>
  </si>
  <si>
    <t>2:16.81</t>
  </si>
  <si>
    <t>16:17.44</t>
  </si>
  <si>
    <t>19:03.78</t>
  </si>
  <si>
    <t>28:23.88</t>
  </si>
  <si>
    <t>1:26.99</t>
  </si>
  <si>
    <t>38:05.22</t>
  </si>
  <si>
    <t>2:09.95</t>
  </si>
  <si>
    <t>47:21.51</t>
  </si>
  <si>
    <t>1:00.39</t>
  </si>
  <si>
    <t>1:48.55</t>
  </si>
  <si>
    <t>50:01.28</t>
  </si>
  <si>
    <t>1:30.39</t>
  </si>
  <si>
    <t>1:02:21.62</t>
  </si>
  <si>
    <t>1:12:15.99</t>
  </si>
  <si>
    <t>36.73</t>
  </si>
  <si>
    <t>1:30.73</t>
  </si>
  <si>
    <t>49.05</t>
  </si>
  <si>
    <t>1:52.12</t>
  </si>
  <si>
    <t>2:34.33</t>
  </si>
  <si>
    <t>19:08.60</t>
  </si>
  <si>
    <t>1:32.31</t>
  </si>
  <si>
    <t>28:21.45</t>
  </si>
  <si>
    <t>37:56.74</t>
  </si>
  <si>
    <t>1:32.94</t>
  </si>
  <si>
    <t>47:08.73</t>
  </si>
  <si>
    <t>49:49.54</t>
  </si>
  <si>
    <t>1:02:28.66</t>
  </si>
  <si>
    <t>1:30.70</t>
  </si>
  <si>
    <t>1:12:11.03</t>
  </si>
  <si>
    <t>57.59</t>
  </si>
  <si>
    <t>I'm also going to get 1:13</t>
  </si>
  <si>
    <t>2:08.05</t>
  </si>
  <si>
    <t>1:36.23</t>
  </si>
  <si>
    <t>16:21.16</t>
  </si>
  <si>
    <t>19:05.36</t>
  </si>
  <si>
    <t>28:20.36</t>
  </si>
  <si>
    <t>38:03.40</t>
  </si>
  <si>
    <t>47:20.49</t>
  </si>
  <si>
    <t>2:40.05</t>
  </si>
  <si>
    <t>50:02.12</t>
  </si>
  <si>
    <t>1:17:54</t>
  </si>
  <si>
    <t>1:02:21.82</t>
  </si>
  <si>
    <t>42.51</t>
  </si>
  <si>
    <t>1:12.24.44</t>
  </si>
  <si>
    <t>Gohgo</t>
  </si>
  <si>
    <t>10:18.79</t>
  </si>
  <si>
    <t>19:02.00</t>
  </si>
  <si>
    <t>28:13.00</t>
  </si>
  <si>
    <t>2:00.72</t>
  </si>
  <si>
    <t>38:08.00</t>
  </si>
  <si>
    <t>47:14.00</t>
  </si>
  <si>
    <t>1:59.10</t>
  </si>
  <si>
    <t>49:59.00</t>
  </si>
  <si>
    <t>1:02:05.00</t>
  </si>
  <si>
    <t>1:11:45.00</t>
  </si>
  <si>
    <t>1:14 get, 1:13 soon TM</t>
  </si>
  <si>
    <t>16:18.53</t>
  </si>
  <si>
    <t>19:10.47</t>
  </si>
  <si>
    <t>48.00</t>
  </si>
  <si>
    <t>28:17.62</t>
  </si>
  <si>
    <t>2:16.37</t>
  </si>
  <si>
    <t>38:18.98</t>
  </si>
  <si>
    <t>47:27.98</t>
  </si>
  <si>
    <t>1:08.50</t>
  </si>
  <si>
    <t>50:17.08</t>
  </si>
  <si>
    <t>1:27.81</t>
  </si>
  <si>
    <t>1:02:41.09</t>
  </si>
  <si>
    <t>2:09.16</t>
  </si>
  <si>
    <t>1:00.73</t>
  </si>
  <si>
    <t>1:12:33.83</t>
  </si>
  <si>
    <t>1:48.96</t>
  </si>
  <si>
    <t>16:22.91</t>
  </si>
  <si>
    <t>19:09.99</t>
  </si>
  <si>
    <t>1:30.59</t>
  </si>
  <si>
    <t>28:30.49</t>
  </si>
  <si>
    <t>38:08.38</t>
  </si>
  <si>
    <t>47:31.09</t>
  </si>
  <si>
    <t>1:53.00</t>
  </si>
  <si>
    <t>50:16.45</t>
  </si>
  <si>
    <t>1:02:42.17</t>
  </si>
  <si>
    <t>2:40.98</t>
  </si>
  <si>
    <t>1:12:51.07</t>
  </si>
  <si>
    <t>38.26</t>
  </si>
  <si>
    <t>1:33.20</t>
  </si>
  <si>
    <t>2:53.60</t>
  </si>
  <si>
    <t>1:29.40</t>
  </si>
  <si>
    <t>58.48</t>
  </si>
  <si>
    <t>19:00.67</t>
  </si>
  <si>
    <t>28:17.70</t>
  </si>
  <si>
    <t>38:08.74</t>
  </si>
  <si>
    <t>47:25.00</t>
  </si>
  <si>
    <t>2:15.67</t>
  </si>
  <si>
    <t>50:09.00</t>
  </si>
  <si>
    <t>1:36.56</t>
  </si>
  <si>
    <t>1:02:30.41</t>
  </si>
  <si>
    <t>47.12</t>
  </si>
  <si>
    <t>1:12:59.23</t>
  </si>
  <si>
    <t>1:17:35</t>
  </si>
  <si>
    <t>i never improve strats</t>
  </si>
  <si>
    <t>16:19.61</t>
  </si>
  <si>
    <t>19:15.17</t>
  </si>
  <si>
    <t>28:51.30</t>
  </si>
  <si>
    <t>10:23.05</t>
  </si>
  <si>
    <t>38:43.13</t>
  </si>
  <si>
    <t>48:09.93</t>
  </si>
  <si>
    <t>2:03.24</t>
  </si>
  <si>
    <t>50:52.72</t>
  </si>
  <si>
    <t>2:45.29</t>
  </si>
  <si>
    <t>1:03:08.29</t>
  </si>
  <si>
    <t>2:00.51</t>
  </si>
  <si>
    <t>1:13:13.34</t>
  </si>
  <si>
    <t>1:15:50</t>
  </si>
  <si>
    <t>Hello Peaches PeepoHug</t>
  </si>
  <si>
    <t>16:29.1</t>
  </si>
  <si>
    <t>1:26.32</t>
  </si>
  <si>
    <t>1:47.11</t>
  </si>
  <si>
    <t>49.33</t>
  </si>
  <si>
    <t>1:17.26</t>
  </si>
  <si>
    <t>1:25.73</t>
  </si>
  <si>
    <t>1:28.68</t>
  </si>
  <si>
    <t>1:48.11</t>
  </si>
  <si>
    <t>1:30.25</t>
  </si>
  <si>
    <t>1:21.94</t>
  </si>
  <si>
    <t>1:52.72</t>
  </si>
  <si>
    <t>14.27</t>
  </si>
  <si>
    <t>2:54.05</t>
  </si>
  <si>
    <t>1:31.44</t>
  </si>
  <si>
    <t>58.03</t>
  </si>
  <si>
    <t>1:25.25</t>
  </si>
  <si>
    <t>2:06.99</t>
  </si>
  <si>
    <t>1:38.53</t>
  </si>
  <si>
    <t>1:24.57</t>
  </si>
  <si>
    <t>47.76</t>
  </si>
  <si>
    <t>2:38.51</t>
  </si>
  <si>
    <t>1:17:16</t>
  </si>
  <si>
    <t>54.81</t>
  </si>
  <si>
    <t>25.70</t>
  </si>
  <si>
    <t>pal feelin lonely</t>
  </si>
  <si>
    <t>10:23.52</t>
  </si>
  <si>
    <t>1:14.09</t>
  </si>
  <si>
    <t>Audiokillers</t>
  </si>
  <si>
    <t>1:14.70</t>
  </si>
  <si>
    <t>19:01.70</t>
  </si>
  <si>
    <t>1:59.56</t>
  </si>
  <si>
    <t>28:22.00</t>
  </si>
  <si>
    <t>50.02</t>
  </si>
  <si>
    <t>38:16.00</t>
  </si>
  <si>
    <t>50:05.00</t>
  </si>
  <si>
    <t>59.54</t>
  </si>
  <si>
    <t>1:03:11.80</t>
  </si>
  <si>
    <t>1:13:03.60</t>
  </si>
  <si>
    <t>1:27.69</t>
  </si>
  <si>
    <t>2:15.86</t>
  </si>
  <si>
    <t>16:32.8</t>
  </si>
  <si>
    <t>19:22.0</t>
  </si>
  <si>
    <t>28:47.97</t>
  </si>
  <si>
    <t>2:06.83</t>
  </si>
  <si>
    <t>1:01.39</t>
  </si>
  <si>
    <t>38:46.61</t>
  </si>
  <si>
    <t>48:21.23</t>
  </si>
  <si>
    <t>51:08.89</t>
  </si>
  <si>
    <t>1:04:09.40</t>
  </si>
  <si>
    <t>1:14:16.37</t>
  </si>
  <si>
    <t>1:22.23</t>
  </si>
  <si>
    <t>1:17:01</t>
  </si>
  <si>
    <t>Hello Doge</t>
  </si>
  <si>
    <t>16:35.80</t>
  </si>
  <si>
    <t>2:35.54</t>
  </si>
  <si>
    <t>29:24.10</t>
  </si>
  <si>
    <t>1:32.53</t>
  </si>
  <si>
    <t>39:43.10</t>
  </si>
  <si>
    <t>59.52</t>
  </si>
  <si>
    <t>1:32.33</t>
  </si>
  <si>
    <t>2:48.07</t>
  </si>
  <si>
    <t>59.09</t>
  </si>
  <si>
    <t>58.74</t>
  </si>
  <si>
    <t>2:08.69</t>
  </si>
  <si>
    <t>1:38.44</t>
  </si>
  <si>
    <t>16:26.37</t>
  </si>
  <si>
    <t>19:19.78</t>
  </si>
  <si>
    <t>1:29.03</t>
  </si>
  <si>
    <t>28:42.80</t>
  </si>
  <si>
    <t>39:06.87</t>
  </si>
  <si>
    <t>2:39.29</t>
  </si>
  <si>
    <t>48:31.29</t>
  </si>
  <si>
    <t>1:17:04</t>
  </si>
  <si>
    <t>51:17.29</t>
  </si>
  <si>
    <t>1:04:19.55</t>
  </si>
  <si>
    <t>1:14:37.33</t>
  </si>
  <si>
    <t>PAL SoB Archived</t>
  </si>
  <si>
    <t>scorpi</t>
  </si>
  <si>
    <t>game</t>
  </si>
  <si>
    <t>10:22.98</t>
  </si>
  <si>
    <t>1:13.53</t>
  </si>
  <si>
    <t>19:22.74</t>
  </si>
  <si>
    <t>29:04.54</t>
  </si>
  <si>
    <t>2:46.92</t>
  </si>
  <si>
    <t>39:32.41</t>
  </si>
  <si>
    <t>1:57.61</t>
  </si>
  <si>
    <t>49:09.65</t>
  </si>
  <si>
    <t>49.5</t>
  </si>
  <si>
    <t>51:54.75</t>
  </si>
  <si>
    <t>1:04:15.18</t>
  </si>
  <si>
    <t>1:15:01.59</t>
  </si>
  <si>
    <t xml:space="preserve">   1:15.76</t>
  </si>
  <si>
    <t>1:27.78</t>
  </si>
  <si>
    <t>17:06</t>
  </si>
  <si>
    <t>20:13</t>
  </si>
  <si>
    <t>2:17.46</t>
  </si>
  <si>
    <t>1:16.50</t>
  </si>
  <si>
    <t>30:36</t>
  </si>
  <si>
    <t>1:29.85</t>
  </si>
  <si>
    <t>41:26</t>
  </si>
  <si>
    <t xml:space="preserve">   1:00.69</t>
  </si>
  <si>
    <t xml:space="preserve">   1:47.80</t>
  </si>
  <si>
    <t>51:28</t>
  </si>
  <si>
    <t xml:space="preserve">   1:22.75</t>
  </si>
  <si>
    <t>1:53.18</t>
  </si>
  <si>
    <t>2:43.56</t>
  </si>
  <si>
    <t>59.06</t>
  </si>
  <si>
    <t>1:35.00</t>
  </si>
  <si>
    <t>2:48.96</t>
  </si>
  <si>
    <t>1:25.32</t>
  </si>
  <si>
    <t>58.34</t>
  </si>
  <si>
    <t>2:39.01</t>
  </si>
  <si>
    <t>2:01.95</t>
  </si>
  <si>
    <t>1:18:42</t>
  </si>
  <si>
    <t>54:27</t>
  </si>
  <si>
    <t xml:space="preserve">1:17 pls </t>
  </si>
  <si>
    <t>1:09:39</t>
  </si>
  <si>
    <t>10:23.00</t>
  </si>
  <si>
    <t>1:14.65</t>
  </si>
  <si>
    <t>2:02.85</t>
  </si>
  <si>
    <t>1:21:21</t>
  </si>
  <si>
    <t>2:46.77</t>
  </si>
  <si>
    <t>2:34.54</t>
  </si>
  <si>
    <t>1:24:31</t>
  </si>
  <si>
    <t>1:25.38</t>
  </si>
  <si>
    <t>Trash</t>
  </si>
  <si>
    <t>1:27.83</t>
  </si>
  <si>
    <t>1:47.44</t>
  </si>
  <si>
    <t>49.07</t>
  </si>
  <si>
    <t>2:16.85</t>
  </si>
  <si>
    <t>1:25.92</t>
  </si>
  <si>
    <t>1:30.80</t>
  </si>
  <si>
    <t>2:07.11</t>
  </si>
  <si>
    <t>1:48.42</t>
  </si>
  <si>
    <t>1:20.93</t>
  </si>
  <si>
    <t>20:24.08</t>
  </si>
  <si>
    <t>31:04.81</t>
  </si>
  <si>
    <t>1:31.67</t>
  </si>
  <si>
    <t>59.43</t>
  </si>
  <si>
    <t>43:18.341</t>
  </si>
  <si>
    <t>1:32.71</t>
  </si>
  <si>
    <t>2:48.49</t>
  </si>
  <si>
    <t>53:05.88</t>
  </si>
  <si>
    <t>59.13</t>
  </si>
  <si>
    <t>1:32.79</t>
  </si>
  <si>
    <t>56:59.94</t>
  </si>
  <si>
    <t>2:10.12</t>
  </si>
  <si>
    <t>1:38.18</t>
  </si>
  <si>
    <t>47.85</t>
  </si>
  <si>
    <t>1:10:38.63</t>
  </si>
  <si>
    <t>2:36.30</t>
  </si>
  <si>
    <t>1:23:24.64</t>
  </si>
  <si>
    <t>1:18:21</t>
  </si>
  <si>
    <t>1:28:33</t>
  </si>
  <si>
    <t>I'm also also going to get 1:13</t>
  </si>
  <si>
    <t>love ya too</t>
  </si>
  <si>
    <t>10:22.79</t>
  </si>
  <si>
    <t>17:20.98</t>
  </si>
  <si>
    <t>1:14.29</t>
  </si>
  <si>
    <t>2:02.91</t>
  </si>
  <si>
    <t>2:45.86</t>
  </si>
  <si>
    <t>1:59.15</t>
  </si>
  <si>
    <t>1:25.75</t>
  </si>
  <si>
    <t>1:26.72</t>
  </si>
  <si>
    <t>1:16.21</t>
  </si>
  <si>
    <t>32.09</t>
  </si>
  <si>
    <t>1:28.04</t>
  </si>
  <si>
    <t>20:31.40</t>
  </si>
  <si>
    <t>49.10</t>
  </si>
  <si>
    <t>2:19.82</t>
  </si>
  <si>
    <t>1:17.36</t>
  </si>
  <si>
    <t>31:29.62</t>
  </si>
  <si>
    <t>1:30.17</t>
  </si>
  <si>
    <t>2:04.95</t>
  </si>
  <si>
    <t>1:01.13</t>
  </si>
  <si>
    <t>44:17.45</t>
  </si>
  <si>
    <t>1:48.08</t>
  </si>
  <si>
    <t>1:27.48</t>
  </si>
  <si>
    <t>1:31.36</t>
  </si>
  <si>
    <t>55:14.52</t>
  </si>
  <si>
    <t>12.31</t>
  </si>
  <si>
    <t>48.87</t>
  </si>
  <si>
    <t>1:34.20</t>
  </si>
  <si>
    <t>1:32.66</t>
  </si>
  <si>
    <t>2:51.15</t>
  </si>
  <si>
    <t>58:18.36</t>
  </si>
  <si>
    <t>51.43</t>
  </si>
  <si>
    <t>2:10.42</t>
  </si>
  <si>
    <t>1:12:42.84</t>
  </si>
  <si>
    <t>1:24.09</t>
  </si>
  <si>
    <t>2:34.70</t>
  </si>
  <si>
    <t>1:26:22.76</t>
  </si>
  <si>
    <t>1:17:33</t>
  </si>
  <si>
    <t>ok</t>
  </si>
  <si>
    <t>1:29:50</t>
  </si>
  <si>
    <t>Eel Aware</t>
  </si>
  <si>
    <t>15.51</t>
  </si>
  <si>
    <t>17:49</t>
  </si>
  <si>
    <t>10:26.32</t>
  </si>
  <si>
    <t>21:15</t>
  </si>
  <si>
    <t>33:24</t>
  </si>
  <si>
    <t>46:38</t>
  </si>
  <si>
    <t>N/A, Ricco Late, Changed Sirena and Noki Around</t>
  </si>
  <si>
    <t>13.18</t>
  </si>
  <si>
    <t>29.15</t>
  </si>
  <si>
    <t>1:35:43</t>
  </si>
  <si>
    <t>My PB is garbage, my movement is 1:2X at least</t>
  </si>
  <si>
    <t>19:07.25</t>
  </si>
  <si>
    <t>28:28.17</t>
  </si>
  <si>
    <t>38:20.84</t>
  </si>
  <si>
    <t>47:58.57</t>
  </si>
  <si>
    <t>50:39.77</t>
  </si>
  <si>
    <t>1:03:37.87</t>
  </si>
  <si>
    <t>1:13:57.01</t>
  </si>
  <si>
    <t>26.92</t>
  </si>
  <si>
    <t>1:16:29.97</t>
  </si>
  <si>
    <t>2:04.74</t>
  </si>
  <si>
    <t>2:17.26</t>
  </si>
  <si>
    <t>17.71</t>
  </si>
  <si>
    <t>2:47.90</t>
  </si>
  <si>
    <t>42.75</t>
  </si>
  <si>
    <t>1:59.14</t>
  </si>
  <si>
    <t>1:14.57</t>
  </si>
  <si>
    <t>6945</t>
  </si>
  <si>
    <t>71</t>
  </si>
  <si>
    <t>1:22.75</t>
  </si>
  <si>
    <t>1:12.60</t>
  </si>
  <si>
    <t>39.49</t>
  </si>
  <si>
    <t>36.78</t>
  </si>
  <si>
    <t>36.35</t>
  </si>
  <si>
    <t>2:17.91</t>
  </si>
  <si>
    <t>17.32</t>
  </si>
  <si>
    <t>56.81</t>
  </si>
  <si>
    <t>1:36.58</t>
  </si>
  <si>
    <t>1:33.58</t>
  </si>
  <si>
    <t>1:29.30</t>
  </si>
  <si>
    <t>45.92</t>
  </si>
  <si>
    <t>2:04.63</t>
  </si>
  <si>
    <t>1:00.14</t>
  </si>
  <si>
    <t>2:08.95</t>
  </si>
  <si>
    <t>1:48.64</t>
  </si>
  <si>
    <t>39.84</t>
  </si>
  <si>
    <t>1:46.14</t>
  </si>
  <si>
    <t>48.95</t>
  </si>
  <si>
    <t>1:23.76</t>
  </si>
  <si>
    <t>1:23.71</t>
  </si>
  <si>
    <t>29.41</t>
  </si>
  <si>
    <t>39.85</t>
  </si>
  <si>
    <t>2:34.22</t>
  </si>
  <si>
    <t>1:53.24</t>
  </si>
  <si>
    <t>28.77</t>
  </si>
  <si>
    <t>58.79</t>
  </si>
  <si>
    <t>1:41.66</t>
  </si>
  <si>
    <t>2:53.27</t>
  </si>
  <si>
    <t>58.63</t>
  </si>
  <si>
    <t>1:27.93</t>
  </si>
  <si>
    <t>22.40</t>
  </si>
  <si>
    <t>2:14.66</t>
  </si>
  <si>
    <t>2:28.54</t>
  </si>
  <si>
    <t>1:22.43</t>
  </si>
  <si>
    <t>4:23.77</t>
  </si>
  <si>
    <t>1:08.92</t>
  </si>
  <si>
    <t>2:09.50</t>
  </si>
  <si>
    <t>1:37.93</t>
  </si>
  <si>
    <t>1:25.78</t>
  </si>
  <si>
    <t>55.68</t>
  </si>
  <si>
    <t>28.67</t>
  </si>
  <si>
    <t>34.47</t>
  </si>
  <si>
    <t>1:34.30</t>
  </si>
  <si>
    <t>2:39.36</t>
  </si>
  <si>
    <t>54.46</t>
  </si>
  <si>
    <t>1:18:26</t>
  </si>
  <si>
    <t>slow fast hazel</t>
  </si>
  <si>
    <t>10:23.66</t>
  </si>
  <si>
    <t>2:04.48</t>
  </si>
  <si>
    <t>2:45.97</t>
  </si>
  <si>
    <t>1:56.98</t>
  </si>
  <si>
    <t>59.58</t>
  </si>
  <si>
    <t>46.96</t>
  </si>
  <si>
    <t>1:44.50</t>
  </si>
  <si>
    <t>2:18.63</t>
  </si>
  <si>
    <t>1:17.23</t>
  </si>
  <si>
    <t>1:25.60</t>
  </si>
  <si>
    <t>1:31.46</t>
  </si>
  <si>
    <t>2:05.39</t>
  </si>
  <si>
    <t>1:48.99</t>
  </si>
  <si>
    <t>1:21.87</t>
  </si>
  <si>
    <t>1:30.97</t>
  </si>
  <si>
    <t>13.61</t>
  </si>
  <si>
    <t>1:53.56</t>
  </si>
  <si>
    <t>2:37.40</t>
  </si>
  <si>
    <t>1:32.04</t>
  </si>
  <si>
    <t>2:48.91</t>
  </si>
  <si>
    <t>1:33.10</t>
  </si>
  <si>
    <t>2:15.44</t>
  </si>
  <si>
    <t>51.07</t>
  </si>
  <si>
    <t>1:38.16</t>
  </si>
  <si>
    <t>2:37.87</t>
  </si>
  <si>
    <t>1:16:47</t>
  </si>
  <si>
    <t>2016</t>
  </si>
  <si>
    <t>2:15.39</t>
  </si>
  <si>
    <t>18.66</t>
  </si>
  <si>
    <t>10:21.03</t>
  </si>
  <si>
    <t>1:19.60</t>
  </si>
  <si>
    <t>2:04.34</t>
  </si>
  <si>
    <t>2:44.85</t>
  </si>
  <si>
    <t>1:59.86</t>
  </si>
  <si>
    <t>49.38</t>
  </si>
  <si>
    <t>1:24.03</t>
  </si>
  <si>
    <t>1:48.20</t>
  </si>
  <si>
    <t>2:19.61</t>
  </si>
  <si>
    <t>1:24.18</t>
  </si>
  <si>
    <t>1:30.56</t>
  </si>
  <si>
    <t>1:00.46</t>
  </si>
  <si>
    <t>1:21.09</t>
  </si>
  <si>
    <t>49.12</t>
  </si>
  <si>
    <t>2:37.18</t>
  </si>
  <si>
    <t>1:32.49</t>
  </si>
  <si>
    <t>1:28.14</t>
  </si>
  <si>
    <t>1:32.36</t>
  </si>
  <si>
    <t>2:50.57</t>
  </si>
  <si>
    <t>1:32.73</t>
  </si>
  <si>
    <t>1:32.54</t>
  </si>
  <si>
    <t>57.92</t>
  </si>
  <si>
    <t>2:08.44</t>
  </si>
  <si>
    <t>1:36.33</t>
  </si>
  <si>
    <t>2:40.06</t>
  </si>
  <si>
    <t>1:15:19</t>
  </si>
  <si>
    <t>1:19 is expensive</t>
  </si>
  <si>
    <t>10:20.84</t>
  </si>
  <si>
    <t>2:02.42</t>
  </si>
  <si>
    <t>Rank</t>
  </si>
  <si>
    <t>2:45.23</t>
  </si>
  <si>
    <t>1:58.71</t>
  </si>
  <si>
    <t>59.21</t>
  </si>
  <si>
    <t>1:15.89</t>
  </si>
  <si>
    <t>1:50.15</t>
  </si>
  <si>
    <t>Time</t>
  </si>
  <si>
    <t>48.26</t>
  </si>
  <si>
    <t>2:18.18</t>
  </si>
  <si>
    <t>1:16.81</t>
  </si>
  <si>
    <t>1:25.58</t>
  </si>
  <si>
    <t>Platform</t>
  </si>
  <si>
    <t>2:09.02</t>
  </si>
  <si>
    <t>1:00.58</t>
  </si>
  <si>
    <t>1:49.28</t>
  </si>
  <si>
    <t>1:31.21</t>
  </si>
  <si>
    <t>49.2</t>
  </si>
  <si>
    <t>49.57</t>
  </si>
  <si>
    <t>1:52.27</t>
  </si>
  <si>
    <t>2:39.15</t>
  </si>
  <si>
    <t>33.66</t>
  </si>
  <si>
    <t>1:32.82</t>
  </si>
  <si>
    <r>
      <rPr>
        <b/>
        <sz val="18.0"/>
      </rPr>
      <t xml:space="preserve">Date </t>
    </r>
    <r>
      <rPr>
        <b val="0"/>
        <sz val="10.0"/>
      </rPr>
      <t>(yyyy-mm-dd)</t>
    </r>
  </si>
  <si>
    <t>2:52.49</t>
  </si>
  <si>
    <t>1:22.74</t>
  </si>
  <si>
    <t>1:26.24</t>
  </si>
  <si>
    <t>Table of Contents</t>
  </si>
  <si>
    <t>1:19:04</t>
  </si>
  <si>
    <t>27.86</t>
  </si>
  <si>
    <t>678-999-8212</t>
  </si>
  <si>
    <t>All Signs</t>
  </si>
  <si>
    <t>10:17.94</t>
  </si>
  <si>
    <t>2:00.42</t>
  </si>
  <si>
    <t>2:46.58</t>
  </si>
  <si>
    <t>1:56.43</t>
  </si>
  <si>
    <t>25.54</t>
  </si>
  <si>
    <t>2:21.20</t>
  </si>
  <si>
    <t>7.02</t>
  </si>
  <si>
    <t>1:16.35</t>
  </si>
  <si>
    <t>stranded</t>
  </si>
  <si>
    <t>1st</t>
  </si>
  <si>
    <t>2:14.65</t>
  </si>
  <si>
    <t>6798</t>
  </si>
  <si>
    <t>50.25</t>
  </si>
  <si>
    <t>1:51.50</t>
  </si>
  <si>
    <t>48.15</t>
  </si>
  <si>
    <t>59.33</t>
  </si>
  <si>
    <t>1:36.51</t>
  </si>
  <si>
    <t>2:55.67</t>
  </si>
  <si>
    <t>1:34.66</t>
  </si>
  <si>
    <t>56.95</t>
  </si>
  <si>
    <t>1:31.33</t>
  </si>
  <si>
    <t>1:26.76</t>
  </si>
  <si>
    <t>2:18.54</t>
  </si>
  <si>
    <t>1:36.26</t>
  </si>
  <si>
    <t>1:19.07</t>
  </si>
  <si>
    <t>1:28.03</t>
  </si>
  <si>
    <t>2:37.88</t>
  </si>
  <si>
    <t>1:18:59</t>
  </si>
  <si>
    <t>Fallen</t>
  </si>
  <si>
    <t>10:19.80</t>
  </si>
  <si>
    <t>1:13.80</t>
  </si>
  <si>
    <t>2:02.55</t>
  </si>
  <si>
    <t>1:26.36</t>
  </si>
  <si>
    <t>1:23.82</t>
  </si>
  <si>
    <t>1:48.52</t>
  </si>
  <si>
    <t>48.60</t>
  </si>
  <si>
    <t>2:14.87</t>
  </si>
  <si>
    <t>1:16.78</t>
  </si>
  <si>
    <t>1:24.45</t>
  </si>
  <si>
    <t>2:13.91</t>
  </si>
  <si>
    <t>1:32.02</t>
  </si>
  <si>
    <t>1:21.00</t>
  </si>
  <si>
    <t>1:22.28</t>
  </si>
  <si>
    <t>1:52.18</t>
  </si>
  <si>
    <t>2:44.28</t>
  </si>
  <si>
    <t>59.3</t>
  </si>
  <si>
    <t>1:33.2</t>
  </si>
  <si>
    <t>2:53.11</t>
  </si>
  <si>
    <t>58.40</t>
  </si>
  <si>
    <t>1:26.41</t>
  </si>
  <si>
    <t>2:09.24</t>
  </si>
  <si>
    <t>1:36.48</t>
  </si>
  <si>
    <t>23:08</t>
  </si>
  <si>
    <t>1:10.28</t>
  </si>
  <si>
    <t>give me 1:17</t>
  </si>
  <si>
    <t>Wii (JP)</t>
  </si>
  <si>
    <t>Stelzig</t>
  </si>
  <si>
    <t>10:22.43</t>
  </si>
  <si>
    <t>2:02.97</t>
  </si>
  <si>
    <t>All Delfino Shines</t>
  </si>
  <si>
    <t>2:46.33</t>
  </si>
  <si>
    <t>2nd</t>
  </si>
  <si>
    <t>1:56.19</t>
  </si>
  <si>
    <t>23:16</t>
  </si>
  <si>
    <t>1:51.25</t>
  </si>
  <si>
    <t>48.45</t>
  </si>
  <si>
    <t>2:17.92</t>
  </si>
  <si>
    <t>1:48.65</t>
  </si>
  <si>
    <t>Fast Misc.</t>
  </si>
  <si>
    <t>3rd</t>
  </si>
  <si>
    <t>1:23.17</t>
  </si>
  <si>
    <t>1:52.7</t>
  </si>
  <si>
    <t>25:38</t>
  </si>
  <si>
    <t>2:38.16</t>
  </si>
  <si>
    <t>1:34.7</t>
  </si>
  <si>
    <t>1:34.98</t>
  </si>
  <si>
    <t>2:51.01</t>
  </si>
  <si>
    <t>50.53</t>
  </si>
  <si>
    <t>2:08.37</t>
  </si>
  <si>
    <t>1:36.54</t>
  </si>
  <si>
    <t>1:29.88</t>
  </si>
  <si>
    <t>Sprayless</t>
  </si>
  <si>
    <t>4th</t>
  </si>
  <si>
    <t>46.92</t>
  </si>
  <si>
    <t>2:43.09</t>
  </si>
  <si>
    <t>1:18:25</t>
  </si>
  <si>
    <t>29:00</t>
  </si>
  <si>
    <t>3:48 better than my pb</t>
  </si>
  <si>
    <t>StrongmanLin</t>
  </si>
  <si>
    <t>10:23.53</t>
  </si>
  <si>
    <t>1:14.72</t>
  </si>
  <si>
    <t>2:05.45</t>
  </si>
  <si>
    <t>2:46.26</t>
  </si>
  <si>
    <t>49.68</t>
  </si>
  <si>
    <t>Wii (US)</t>
  </si>
  <si>
    <t>1:27:22</t>
  </si>
  <si>
    <t>1:25.79</t>
  </si>
  <si>
    <t>Jumpless</t>
  </si>
  <si>
    <t>5th</t>
  </si>
  <si>
    <t>1:00:58</t>
  </si>
  <si>
    <t>1:18.04</t>
  </si>
  <si>
    <t>1:30.71</t>
  </si>
  <si>
    <t>1:49:56</t>
  </si>
  <si>
    <t>2:17:60</t>
  </si>
  <si>
    <t>Damageless</t>
  </si>
  <si>
    <t>1:26.02</t>
  </si>
  <si>
    <t>1:29.92</t>
  </si>
  <si>
    <t>2:05.53</t>
  </si>
  <si>
    <t>1:48.85</t>
  </si>
  <si>
    <t>1:22.39</t>
  </si>
  <si>
    <t>1:31.00</t>
  </si>
  <si>
    <t>44.01</t>
  </si>
  <si>
    <t>Max%</t>
  </si>
  <si>
    <t>1:53.96</t>
  </si>
  <si>
    <t>Any% (No X Button)</t>
  </si>
  <si>
    <t>2:39.12</t>
  </si>
  <si>
    <t>24:54</t>
  </si>
  <si>
    <t>1:00.27</t>
  </si>
  <si>
    <t>2:49.42</t>
  </si>
  <si>
    <t>2:08:07</t>
  </si>
  <si>
    <t>2:36.64</t>
  </si>
  <si>
    <t>1:17:52</t>
  </si>
  <si>
    <t>55.41</t>
  </si>
  <si>
    <t>Only cool people have no WR best splits</t>
  </si>
  <si>
    <t>10:24.14</t>
  </si>
  <si>
    <t>Flooded Plaza</t>
  </si>
  <si>
    <t>1:14.06</t>
  </si>
  <si>
    <t>2:04.83</t>
  </si>
  <si>
    <t>26:38</t>
  </si>
  <si>
    <t>2:47.13</t>
  </si>
  <si>
    <t>49.89</t>
  </si>
  <si>
    <t>59.46</t>
  </si>
  <si>
    <t>1:38.59</t>
  </si>
  <si>
    <t>1:29.86</t>
  </si>
  <si>
    <t>1:45.14</t>
  </si>
  <si>
    <t>2:25.42</t>
  </si>
  <si>
    <t>1:17.18</t>
  </si>
  <si>
    <t>All Cutscenes</t>
  </si>
  <si>
    <t>1:26.22</t>
  </si>
  <si>
    <t>tgguitarguy</t>
  </si>
  <si>
    <t>2:05.05</t>
  </si>
  <si>
    <t>53:41</t>
  </si>
  <si>
    <t>1:31.76</t>
  </si>
  <si>
    <t>1:22.52</t>
  </si>
  <si>
    <t>1:52.90</t>
  </si>
  <si>
    <t>2:31.88</t>
  </si>
  <si>
    <t>Aliven't World Tour</t>
  </si>
  <si>
    <t>Cmdr</t>
  </si>
  <si>
    <t>5:15:59</t>
  </si>
  <si>
    <t>2:52.58</t>
  </si>
  <si>
    <t>1:21.42</t>
  </si>
  <si>
    <t>59.00</t>
  </si>
  <si>
    <t>1:38.01</t>
  </si>
  <si>
    <t>1:18:09</t>
  </si>
  <si>
    <t>Mirror Mode</t>
  </si>
  <si>
    <t>3YG Goat</t>
  </si>
  <si>
    <t>Max% Scoreboard</t>
  </si>
  <si>
    <t>10:25.67</t>
  </si>
  <si>
    <t>1:14.68</t>
  </si>
  <si>
    <t>2:05.08</t>
  </si>
  <si>
    <t>2:49.70</t>
  </si>
  <si>
    <t>2:00.34</t>
  </si>
  <si>
    <t>79 Shines</t>
  </si>
  <si>
    <t>1:42:04</t>
  </si>
  <si>
    <t>1:16.53</t>
  </si>
  <si>
    <t>1:53.33</t>
  </si>
  <si>
    <t>2:26.61</t>
  </si>
  <si>
    <t>1:17.47</t>
  </si>
  <si>
    <t>1:47:39</t>
  </si>
  <si>
    <t>1:01.30</t>
  </si>
  <si>
    <t>1:49.49</t>
  </si>
  <si>
    <t>1:32.20</t>
  </si>
  <si>
    <t>1:21.32</t>
  </si>
  <si>
    <t>49.69</t>
  </si>
  <si>
    <t>120 Shines</t>
  </si>
  <si>
    <t>2:37.44</t>
  </si>
  <si>
    <t>1:35.10</t>
  </si>
  <si>
    <t>59.99</t>
  </si>
  <si>
    <t>1:34.69</t>
  </si>
  <si>
    <t>2:54.99</t>
  </si>
  <si>
    <t>1:22.95</t>
  </si>
  <si>
    <t>2:46:42</t>
  </si>
  <si>
    <t>2:09.80</t>
  </si>
  <si>
    <t>Zale</t>
  </si>
  <si>
    <t>3:26:11</t>
  </si>
  <si>
    <t>1:25.26</t>
  </si>
  <si>
    <t>32.28</t>
  </si>
  <si>
    <t>2:34.49</t>
  </si>
  <si>
    <t>1:19:13</t>
  </si>
  <si>
    <t>NTSC-U Brother for Life</t>
  </si>
  <si>
    <t>10:23.27</t>
  </si>
  <si>
    <t>1:14.27</t>
  </si>
  <si>
    <t>2:05.68</t>
  </si>
  <si>
    <t>2:42.57</t>
  </si>
  <si>
    <t>1:57.76</t>
  </si>
  <si>
    <t>1:00.57</t>
  </si>
  <si>
    <t>1:37:28</t>
  </si>
  <si>
    <t>1:17.05</t>
  </si>
  <si>
    <t>1:48.86</t>
  </si>
  <si>
    <t>2:23.43</t>
  </si>
  <si>
    <t>1:16.55</t>
  </si>
  <si>
    <t>1:00.82</t>
  </si>
  <si>
    <t>1:49.33</t>
  </si>
  <si>
    <t>1:32.87</t>
  </si>
  <si>
    <t>1:19.30</t>
  </si>
  <si>
    <t>1:30.62</t>
  </si>
  <si>
    <t>1:44:33</t>
  </si>
  <si>
    <t>2:33.45</t>
  </si>
  <si>
    <t>1:23.44</t>
  </si>
  <si>
    <t>Milk</t>
  </si>
  <si>
    <t>2:06:03</t>
  </si>
  <si>
    <t>1:32.40</t>
  </si>
  <si>
    <t>59.89</t>
  </si>
  <si>
    <t>2:52.48</t>
  </si>
  <si>
    <t>1:34.53</t>
  </si>
  <si>
    <t>1:26.07</t>
  </si>
  <si>
    <t>1:36.38</t>
  </si>
  <si>
    <t>2:14.40</t>
  </si>
  <si>
    <t>1:36.52</t>
  </si>
  <si>
    <t>NokiDoki</t>
  </si>
  <si>
    <t>1:51:54</t>
  </si>
  <si>
    <t>2:41.70</t>
  </si>
  <si>
    <t>1:19:45</t>
  </si>
  <si>
    <t>The drought is over</t>
  </si>
  <si>
    <t>Gainai</t>
  </si>
  <si>
    <t>10:24.53</t>
  </si>
  <si>
    <t>Wii (PAL)</t>
  </si>
  <si>
    <t>2:02.99</t>
  </si>
  <si>
    <t>2:49.50</t>
  </si>
  <si>
    <t>1:56:07</t>
  </si>
  <si>
    <t>2:00.30</t>
  </si>
  <si>
    <t>1:00.06</t>
  </si>
  <si>
    <t>1:33.40</t>
  </si>
  <si>
    <t>1:48.23</t>
  </si>
  <si>
    <t>1:17.15</t>
  </si>
  <si>
    <t>2:09.41</t>
  </si>
  <si>
    <t>1:01.00</t>
  </si>
  <si>
    <t>1:48.50</t>
  </si>
  <si>
    <t>1:24.17</t>
  </si>
  <si>
    <t>1:53.48</t>
  </si>
  <si>
    <t>20.87</t>
  </si>
  <si>
    <t>1:35.50</t>
  </si>
  <si>
    <t>2:56.61</t>
  </si>
  <si>
    <t>1:26.60</t>
  </si>
  <si>
    <t>Any%</t>
  </si>
  <si>
    <t>57.14</t>
  </si>
  <si>
    <t>2:19.62</t>
  </si>
  <si>
    <t>2:10.76</t>
  </si>
  <si>
    <t>47.5</t>
  </si>
  <si>
    <t>2:40.19</t>
  </si>
  <si>
    <t>1:19:09</t>
  </si>
  <si>
    <t>Dapper</t>
  </si>
  <si>
    <t>1:17:40</t>
  </si>
  <si>
    <t>10:21.71</t>
  </si>
  <si>
    <t>2:24.20</t>
  </si>
  <si>
    <t>2:24.10</t>
  </si>
  <si>
    <t>1:59.59</t>
  </si>
  <si>
    <t>49.20</t>
  </si>
  <si>
    <t>1:24.00</t>
  </si>
  <si>
    <t>1:35.37</t>
  </si>
  <si>
    <t>1:48.68</t>
  </si>
  <si>
    <t>48.52</t>
  </si>
  <si>
    <t>2:18.95</t>
  </si>
  <si>
    <t>2:22.27</t>
  </si>
  <si>
    <t>1:00.50</t>
  </si>
  <si>
    <t>1:48.30</t>
  </si>
  <si>
    <t>1:32.25</t>
  </si>
  <si>
    <t>1:52.16</t>
  </si>
  <si>
    <t>2:43.91</t>
  </si>
  <si>
    <t>2:50.37</t>
  </si>
  <si>
    <t>pogonateur</t>
  </si>
  <si>
    <t>58.29</t>
  </si>
  <si>
    <t>3:09:11</t>
  </si>
  <si>
    <t>57.90</t>
  </si>
  <si>
    <t>1:26.04</t>
  </si>
  <si>
    <t>2:14.19</t>
  </si>
  <si>
    <t>1:36.65</t>
  </si>
  <si>
    <t>1:29.52</t>
  </si>
  <si>
    <t>1:19:08</t>
  </si>
  <si>
    <t>Yee</t>
  </si>
  <si>
    <t>10:22.82</t>
  </si>
  <si>
    <t>2:05.36</t>
  </si>
  <si>
    <t>bounceyboy</t>
  </si>
  <si>
    <t>31.56</t>
  </si>
  <si>
    <t>3:49:13</t>
  </si>
  <si>
    <t>2:47.48</t>
  </si>
  <si>
    <t>1:59.20</t>
  </si>
  <si>
    <t>49.49</t>
  </si>
  <si>
    <t>1:26.12</t>
  </si>
  <si>
    <t>1:30.74</t>
  </si>
  <si>
    <t>2:25.37</t>
  </si>
  <si>
    <t>1:33.39</t>
  </si>
  <si>
    <t>1:25.77</t>
  </si>
  <si>
    <t>1:29.55</t>
  </si>
  <si>
    <t>2:32.97</t>
  </si>
  <si>
    <t>1:00.35</t>
  </si>
  <si>
    <t>1:49.20</t>
  </si>
  <si>
    <t>1:34.81</t>
  </si>
  <si>
    <t>1:29.62</t>
  </si>
  <si>
    <t>1:53.88</t>
  </si>
  <si>
    <t>1:35.35</t>
  </si>
  <si>
    <t>Pre-Peach</t>
  </si>
  <si>
    <t>2:51.86</t>
  </si>
  <si>
    <t>58.47</t>
  </si>
  <si>
    <t>1:32.37</t>
  </si>
  <si>
    <t>2:13.32</t>
  </si>
  <si>
    <t>1:36.59</t>
  </si>
  <si>
    <t>55:34</t>
  </si>
  <si>
    <t>2:47.88</t>
  </si>
  <si>
    <t>1:20:16</t>
  </si>
  <si>
    <t>Here rest how bad I am</t>
  </si>
  <si>
    <t>29.84</t>
  </si>
  <si>
    <t>10:26.97</t>
  </si>
  <si>
    <t>2:04.40</t>
  </si>
  <si>
    <t>2:48.88</t>
  </si>
  <si>
    <t>50.48</t>
  </si>
  <si>
    <t>1:26.95</t>
  </si>
  <si>
    <t>1:06:04</t>
  </si>
  <si>
    <t>1:50.86</t>
  </si>
  <si>
    <t>48.69</t>
  </si>
  <si>
    <t>2:26.37</t>
  </si>
  <si>
    <t>1:17.48</t>
  </si>
  <si>
    <t>1:30.28</t>
  </si>
  <si>
    <t>1:30.60</t>
  </si>
  <si>
    <t>2:10.54</t>
  </si>
  <si>
    <t>1:01.10</t>
  </si>
  <si>
    <t>1:49.37</t>
  </si>
  <si>
    <t>1:32.56</t>
  </si>
  <si>
    <t>1:30.55</t>
  </si>
  <si>
    <t>1:22.51</t>
  </si>
  <si>
    <t>Old Pacifist</t>
  </si>
  <si>
    <t>12.58</t>
  </si>
  <si>
    <t>1:59:21</t>
  </si>
  <si>
    <t>2:51.06</t>
  </si>
  <si>
    <t>59.74</t>
  </si>
  <si>
    <t>1:35.06</t>
  </si>
  <si>
    <t>2:56.13</t>
  </si>
  <si>
    <t>1:27.17</t>
  </si>
  <si>
    <t>58.75</t>
  </si>
  <si>
    <t>1:32.85</t>
  </si>
  <si>
    <t>Shadowmario27</t>
  </si>
  <si>
    <t>2:18:57</t>
  </si>
  <si>
    <t>1:24.49</t>
  </si>
  <si>
    <t>2:19.09</t>
  </si>
  <si>
    <t>1:38.87</t>
  </si>
  <si>
    <t>2:42.55</t>
  </si>
  <si>
    <t>1:20:33</t>
  </si>
  <si>
    <t>consistency 100 pepeLaugh</t>
  </si>
  <si>
    <t>Arceus</t>
  </si>
  <si>
    <t>2:05.14</t>
  </si>
  <si>
    <t>1:29:16</t>
  </si>
  <si>
    <t>2:47.73</t>
  </si>
  <si>
    <t>1:59.25</t>
  </si>
  <si>
    <t>26.66</t>
  </si>
  <si>
    <t>49.79</t>
  </si>
  <si>
    <t>1:27.57</t>
  </si>
  <si>
    <t>1:24.13</t>
  </si>
  <si>
    <t>1:35.80</t>
  </si>
  <si>
    <t>1:46.97</t>
  </si>
  <si>
    <t>2:19.47</t>
  </si>
  <si>
    <t>1:17.41</t>
  </si>
  <si>
    <t>1:30.84</t>
  </si>
  <si>
    <t>1:29.32</t>
  </si>
  <si>
    <t>2:13.80</t>
  </si>
  <si>
    <t>2:17.06</t>
  </si>
  <si>
    <t>1:48.84</t>
  </si>
  <si>
    <t>1:35:36</t>
  </si>
  <si>
    <t>1:31.70</t>
  </si>
  <si>
    <t>1:57.27</t>
  </si>
  <si>
    <t>2:35.46</t>
  </si>
  <si>
    <t>17.76</t>
  </si>
  <si>
    <t>1:34.19</t>
  </si>
  <si>
    <t>1:38.39</t>
  </si>
  <si>
    <t>2:52.53</t>
  </si>
  <si>
    <t>2:19:55</t>
  </si>
  <si>
    <t>2:15.09</t>
  </si>
  <si>
    <t>47.34</t>
  </si>
  <si>
    <t>2:49.45</t>
  </si>
  <si>
    <t>1:21:49</t>
  </si>
  <si>
    <t>GCN (US)</t>
  </si>
  <si>
    <t>cursed</t>
  </si>
  <si>
    <t>Bloodwhale</t>
  </si>
  <si>
    <t>10:22.84</t>
  </si>
  <si>
    <t>2:03.73</t>
  </si>
  <si>
    <t>49.85</t>
  </si>
  <si>
    <t>1:19.90</t>
  </si>
  <si>
    <t>1:33.75</t>
  </si>
  <si>
    <t>1:49.67</t>
  </si>
  <si>
    <t>All Shines All Blues</t>
  </si>
  <si>
    <t>49.22</t>
  </si>
  <si>
    <t>2:18.76</t>
  </si>
  <si>
    <t>1:18.02</t>
  </si>
  <si>
    <t>1:31.07</t>
  </si>
  <si>
    <t>1:01.26</t>
  </si>
  <si>
    <t>1:50.40</t>
  </si>
  <si>
    <t>50.75</t>
  </si>
  <si>
    <t>28:25</t>
  </si>
  <si>
    <t>1:32.11</t>
  </si>
  <si>
    <t>1:53.66</t>
  </si>
  <si>
    <t>49.78</t>
  </si>
  <si>
    <t>2:52.82</t>
  </si>
  <si>
    <t>1:35.72</t>
  </si>
  <si>
    <t>2:52.65</t>
  </si>
  <si>
    <t>1:26.70</t>
  </si>
  <si>
    <t>59.63</t>
  </si>
  <si>
    <t>1:33.55</t>
  </si>
  <si>
    <t>59.57</t>
  </si>
  <si>
    <t>1:28.87</t>
  </si>
  <si>
    <t>2:18.08</t>
  </si>
  <si>
    <t>1:39.54</t>
  </si>
  <si>
    <t>2:45.44</t>
  </si>
  <si>
    <t>All Shines</t>
  </si>
  <si>
    <t>1:19:57</t>
  </si>
  <si>
    <t>love ya</t>
  </si>
  <si>
    <t>Pyroshade</t>
  </si>
  <si>
    <t>10:26.82</t>
  </si>
  <si>
    <t>1:14.32</t>
  </si>
  <si>
    <t>25:22</t>
  </si>
  <si>
    <t>2:05.37</t>
  </si>
  <si>
    <t>1:26.53</t>
  </si>
  <si>
    <t>1:27.21</t>
  </si>
  <si>
    <t>1:17.29</t>
  </si>
  <si>
    <t>1:29.84</t>
  </si>
  <si>
    <t>6732</t>
  </si>
  <si>
    <t>1:50.16</t>
  </si>
  <si>
    <t>2:26.90</t>
  </si>
  <si>
    <t>Grégoire</t>
  </si>
  <si>
    <t>2:32.77</t>
  </si>
  <si>
    <t>107</t>
  </si>
  <si>
    <t>34:17</t>
  </si>
  <si>
    <t>1:35.32</t>
  </si>
  <si>
    <t>1:22.04</t>
  </si>
  <si>
    <t>1:10.49</t>
  </si>
  <si>
    <t>1:54.36</t>
  </si>
  <si>
    <t>49.54</t>
  </si>
  <si>
    <t>2:46.36</t>
  </si>
  <si>
    <t>1:36.14</t>
  </si>
  <si>
    <t>38.42</t>
  </si>
  <si>
    <t>1:35.12</t>
  </si>
  <si>
    <t>2:53.36</t>
  </si>
  <si>
    <t>1:20.90</t>
  </si>
  <si>
    <t>2:36.91</t>
  </si>
  <si>
    <t>59.29</t>
  </si>
  <si>
    <t>17.43</t>
  </si>
  <si>
    <t>1:27.52</t>
  </si>
  <si>
    <t>1:38.61</t>
  </si>
  <si>
    <t>47.54</t>
  </si>
  <si>
    <t>2:46.87</t>
  </si>
  <si>
    <t>1:18:50</t>
  </si>
  <si>
    <t>1:36.30</t>
  </si>
  <si>
    <t>1:33.45</t>
  </si>
  <si>
    <t>15.20</t>
  </si>
  <si>
    <t>10:24.29</t>
  </si>
  <si>
    <t>2:24.74</t>
  </si>
  <si>
    <t>1:14.28</t>
  </si>
  <si>
    <t>2:21:34</t>
  </si>
  <si>
    <t>41.28</t>
  </si>
  <si>
    <t>2:05.67</t>
  </si>
  <si>
    <t>19.95</t>
  </si>
  <si>
    <t>2:01.83</t>
  </si>
  <si>
    <t>37.89</t>
  </si>
  <si>
    <t>1:23.85</t>
  </si>
  <si>
    <t>9.69</t>
  </si>
  <si>
    <t>1:00.90</t>
  </si>
  <si>
    <t>1:16.76</t>
  </si>
  <si>
    <t>18.42</t>
  </si>
  <si>
    <t>1:42.84</t>
  </si>
  <si>
    <t>27.54</t>
  </si>
  <si>
    <t>30.70</t>
  </si>
  <si>
    <t>1:51.74</t>
  </si>
  <si>
    <t>48.4</t>
  </si>
  <si>
    <t>40.28</t>
  </si>
  <si>
    <t>2:24.69</t>
  </si>
  <si>
    <t>2:52.00</t>
  </si>
  <si>
    <t>1:17.10</t>
  </si>
  <si>
    <t>1:31.96</t>
  </si>
  <si>
    <t>2:16.12</t>
  </si>
  <si>
    <t>1:00.92</t>
  </si>
  <si>
    <t>1:49.68</t>
  </si>
  <si>
    <t>44.03</t>
  </si>
  <si>
    <t>1:32.52</t>
  </si>
  <si>
    <t>53.49</t>
  </si>
  <si>
    <t>1:22.94</t>
  </si>
  <si>
    <t>1:30.96</t>
  </si>
  <si>
    <t>1:53.75</t>
  </si>
  <si>
    <t>3:00.67</t>
  </si>
  <si>
    <t>1:35.11</t>
  </si>
  <si>
    <t>1:39.23</t>
  </si>
  <si>
    <t>1:20.45</t>
  </si>
  <si>
    <t>1:25.85</t>
  </si>
  <si>
    <t>2:15.89</t>
  </si>
  <si>
    <t>1:36.55</t>
  </si>
  <si>
    <t>1:26.97</t>
  </si>
  <si>
    <t>47.02</t>
  </si>
  <si>
    <t>2:41.33</t>
  </si>
  <si>
    <t>I haven't touched this category in 2 years</t>
  </si>
  <si>
    <t>1:56.77</t>
  </si>
  <si>
    <t>10:26.40</t>
  </si>
  <si>
    <t>pikkoxd</t>
  </si>
  <si>
    <t>25:55</t>
  </si>
  <si>
    <t>2:49.13</t>
  </si>
  <si>
    <t>2:02.93</t>
  </si>
  <si>
    <t>35.56</t>
  </si>
  <si>
    <t>49.99</t>
  </si>
  <si>
    <t>23.96</t>
  </si>
  <si>
    <t>pleeko_</t>
  </si>
  <si>
    <t>28:00</t>
  </si>
  <si>
    <t>22.14</t>
  </si>
  <si>
    <t>1:00.59</t>
  </si>
  <si>
    <t>2:12.92</t>
  </si>
  <si>
    <t>1:17.61</t>
  </si>
  <si>
    <t>2:24.95</t>
  </si>
  <si>
    <t>1:55.08</t>
  </si>
  <si>
    <t>2:27.84</t>
  </si>
  <si>
    <t>2:09.72</t>
  </si>
  <si>
    <t>1:49.88</t>
  </si>
  <si>
    <t>29:22</t>
  </si>
  <si>
    <t>49.80</t>
  </si>
  <si>
    <t>4:21.42</t>
  </si>
  <si>
    <t>1:31.72</t>
  </si>
  <si>
    <t>1:05.58</t>
  </si>
  <si>
    <t>49.92</t>
  </si>
  <si>
    <t>2:23.38</t>
  </si>
  <si>
    <t>1:57.99</t>
  </si>
  <si>
    <t>2:42.94</t>
  </si>
  <si>
    <t>33.74</t>
  </si>
  <si>
    <t>1:02.00</t>
  </si>
  <si>
    <t>1:27.68</t>
  </si>
  <si>
    <t>1:36.72</t>
  </si>
  <si>
    <t>29:45</t>
  </si>
  <si>
    <t>2:57.69</t>
  </si>
  <si>
    <t>1:39.42</t>
  </si>
  <si>
    <t>1:01.91</t>
  </si>
  <si>
    <t>1:27.61</t>
  </si>
  <si>
    <t>2:17.32</t>
  </si>
  <si>
    <t>1:38.68</t>
  </si>
  <si>
    <t>2:46.72</t>
  </si>
  <si>
    <t>1:21:04</t>
  </si>
  <si>
    <t>Huffle</t>
  </si>
  <si>
    <t>30:56</t>
  </si>
  <si>
    <t>10:27.10</t>
  </si>
  <si>
    <t>2:05.64</t>
  </si>
  <si>
    <t>2:47.53</t>
  </si>
  <si>
    <t>2:01.24</t>
  </si>
  <si>
    <t>49.93</t>
  </si>
  <si>
    <t>1:00.84</t>
  </si>
  <si>
    <t>1:19.06</t>
  </si>
  <si>
    <t>1:37.55</t>
  </si>
  <si>
    <t>1:53.85</t>
  </si>
  <si>
    <t>2:25.84</t>
  </si>
  <si>
    <t>2:35.80</t>
  </si>
  <si>
    <t>1:49.17</t>
  </si>
  <si>
    <t>1:05.42</t>
  </si>
  <si>
    <t>1:32.93</t>
  </si>
  <si>
    <t>1:54.19</t>
  </si>
  <si>
    <t>2:49.07</t>
  </si>
  <si>
    <t>1:33.86</t>
  </si>
  <si>
    <t>1:35.64</t>
  </si>
  <si>
    <t>2:57.02</t>
  </si>
  <si>
    <t>59.12</t>
  </si>
  <si>
    <t>2:17.10</t>
  </si>
  <si>
    <t>18.74</t>
  </si>
  <si>
    <t>1:38.60</t>
  </si>
  <si>
    <t>1:33.31</t>
  </si>
  <si>
    <t>2:45.18</t>
  </si>
  <si>
    <t>1:41.46</t>
  </si>
  <si>
    <t>1:20:28</t>
  </si>
  <si>
    <t>PB Sucks</t>
  </si>
  <si>
    <t>runaway</t>
  </si>
  <si>
    <t>23.11</t>
  </si>
  <si>
    <t>10:29.20</t>
  </si>
  <si>
    <t>22.26</t>
  </si>
  <si>
    <t>1:14.56</t>
  </si>
  <si>
    <t>2:07.61</t>
  </si>
  <si>
    <t>2:51.84</t>
  </si>
  <si>
    <t>2:02.70</t>
  </si>
  <si>
    <t>1:23.99</t>
  </si>
  <si>
    <t>1:39.64</t>
  </si>
  <si>
    <t>2:02.77</t>
  </si>
  <si>
    <t>2:25.90</t>
  </si>
  <si>
    <t>1:16.57</t>
  </si>
  <si>
    <t>1:31.61</t>
  </si>
  <si>
    <t>13.70</t>
  </si>
  <si>
    <t>2:23.84</t>
  </si>
  <si>
    <t>1:00.87</t>
  </si>
  <si>
    <t>GoogleCheese</t>
  </si>
  <si>
    <t>30.55</t>
  </si>
  <si>
    <t>1:35.54</t>
  </si>
  <si>
    <t>28.35</t>
  </si>
  <si>
    <t>1:33.33</t>
  </si>
  <si>
    <t>21.64</t>
  </si>
  <si>
    <t>1:23.07</t>
  </si>
  <si>
    <t>25.47</t>
  </si>
  <si>
    <t>6.80</t>
  </si>
  <si>
    <t>1:56.02</t>
  </si>
  <si>
    <t>2:43.95</t>
  </si>
  <si>
    <t>6539</t>
  </si>
  <si>
    <t>2:59.73</t>
  </si>
  <si>
    <t>59.08</t>
  </si>
  <si>
    <t>1:39.29</t>
  </si>
  <si>
    <t>1:19.01</t>
  </si>
  <si>
    <t>Emu (US)</t>
  </si>
  <si>
    <t xml:space="preserve"> 1:01.82</t>
  </si>
  <si>
    <t>2:17.57</t>
  </si>
  <si>
    <t xml:space="preserve">GCT </t>
  </si>
  <si>
    <t>1:36.88</t>
  </si>
  <si>
    <t>1:42.37</t>
  </si>
  <si>
    <t>2:45.31</t>
  </si>
  <si>
    <t>1:22:23</t>
  </si>
  <si>
    <t>Chosen</t>
  </si>
  <si>
    <t>10:27.73</t>
  </si>
  <si>
    <t>1:14.91</t>
  </si>
  <si>
    <t>2:07.71</t>
  </si>
  <si>
    <t>2:52.70</t>
  </si>
  <si>
    <t>2:03.61</t>
  </si>
  <si>
    <t>Gecko Code</t>
  </si>
  <si>
    <t>1:28.35</t>
  </si>
  <si>
    <t>1:27.80</t>
  </si>
  <si>
    <t>1:17.13</t>
  </si>
  <si>
    <t>1:51.18</t>
  </si>
  <si>
    <t>1:32.47</t>
  </si>
  <si>
    <t>2:50.97</t>
  </si>
  <si>
    <t>1:01.77</t>
  </si>
  <si>
    <t>1:50.72</t>
  </si>
  <si>
    <t>1:33.77</t>
  </si>
  <si>
    <t>2:14.86</t>
  </si>
  <si>
    <t>1:24.30</t>
  </si>
  <si>
    <t>1:55.39</t>
  </si>
  <si>
    <t>51.34</t>
  </si>
  <si>
    <t>1:38.75</t>
  </si>
  <si>
    <t>10:06:11</t>
  </si>
  <si>
    <t>1:01.80</t>
  </si>
  <si>
    <t>2:56.99</t>
  </si>
  <si>
    <t>1:19.73</t>
  </si>
  <si>
    <t>59.34</t>
  </si>
  <si>
    <t>1:28.83</t>
  </si>
  <si>
    <t>2:14.60</t>
  </si>
  <si>
    <t>1:39.15</t>
  </si>
  <si>
    <t>1:32.01</t>
  </si>
  <si>
    <t>2:47.74</t>
  </si>
  <si>
    <t>11:21:48</t>
  </si>
  <si>
    <t>10:31.89</t>
  </si>
  <si>
    <t>2:10.19</t>
  </si>
  <si>
    <t>2:53.70</t>
  </si>
  <si>
    <t>2:08.21</t>
  </si>
  <si>
    <t>50.8</t>
  </si>
  <si>
    <t>1:29.59</t>
  </si>
  <si>
    <t>1:03.90</t>
  </si>
  <si>
    <t>1:39.47</t>
  </si>
  <si>
    <t>1:58.14</t>
  </si>
  <si>
    <t>2:34.17</t>
  </si>
  <si>
    <t>1:34.40</t>
  </si>
  <si>
    <t>True 120 Shines</t>
  </si>
  <si>
    <t>2:26.93</t>
  </si>
  <si>
    <t>1:51.89</t>
  </si>
  <si>
    <t>1:39.39</t>
  </si>
  <si>
    <t>50.18</t>
  </si>
  <si>
    <t>1:02.34</t>
  </si>
  <si>
    <t>2:00.31</t>
  </si>
  <si>
    <t>2:46.54</t>
  </si>
  <si>
    <t>1:43.06</t>
  </si>
  <si>
    <t>1:02.22</t>
  </si>
  <si>
    <t>1:39.80</t>
  </si>
  <si>
    <t>2:57.47</t>
  </si>
  <si>
    <t>1:36.05</t>
  </si>
  <si>
    <t>1:03.06</t>
  </si>
  <si>
    <t>1:40.40</t>
  </si>
  <si>
    <t>1:44.76</t>
  </si>
  <si>
    <t>2:59.50</t>
  </si>
  <si>
    <t>1:22:37</t>
  </si>
  <si>
    <t>When am I finally gonna get a corona gold</t>
  </si>
  <si>
    <t>10:32.17</t>
  </si>
  <si>
    <t>2:09.06</t>
  </si>
  <si>
    <t>2:04.87</t>
  </si>
  <si>
    <t>1:24.61</t>
  </si>
  <si>
    <t>1:51.28</t>
  </si>
  <si>
    <t>1:56.62</t>
  </si>
  <si>
    <t>2:35.25</t>
  </si>
  <si>
    <t>1:32.09</t>
  </si>
  <si>
    <t>2:18.83</t>
  </si>
  <si>
    <t>1:00.72</t>
  </si>
  <si>
    <t>1:52.56</t>
  </si>
  <si>
    <t>1:36.60</t>
  </si>
  <si>
    <t>1:58.08</t>
  </si>
  <si>
    <t>2:57.71</t>
  </si>
  <si>
    <t>1:41.61</t>
  </si>
  <si>
    <t>1:02.54</t>
  </si>
  <si>
    <t>2:59.54</t>
  </si>
  <si>
    <t>1:29.10</t>
  </si>
  <si>
    <t>2:21.78</t>
  </si>
  <si>
    <t>1:38.03</t>
  </si>
  <si>
    <t>2:51.78</t>
  </si>
  <si>
    <t>1:24:48</t>
  </si>
  <si>
    <t>Needs work</t>
  </si>
  <si>
    <t>SpanishMeerkat</t>
  </si>
  <si>
    <t>10:31.13</t>
  </si>
  <si>
    <t>1:16.12</t>
  </si>
  <si>
    <t>2:10.83</t>
  </si>
  <si>
    <t>2:58.98</t>
  </si>
  <si>
    <t>2:03.71</t>
  </si>
  <si>
    <t>1:34.44</t>
  </si>
  <si>
    <t>1:24.52</t>
  </si>
  <si>
    <t>1:52.80</t>
  </si>
  <si>
    <t>2:03.49</t>
  </si>
  <si>
    <t>1:17.89</t>
  </si>
  <si>
    <t>1:39.50</t>
  </si>
  <si>
    <t>3:32.12</t>
  </si>
  <si>
    <t>1:37.41</t>
  </si>
  <si>
    <t>1:24.43</t>
  </si>
  <si>
    <t>3:09.81</t>
  </si>
  <si>
    <t>1:38.40</t>
  </si>
  <si>
    <t>1:45.66</t>
  </si>
  <si>
    <t>3:03.70</t>
  </si>
  <si>
    <t>1:32.78</t>
  </si>
  <si>
    <t>1:42.48</t>
  </si>
  <si>
    <t>1:05.19</t>
  </si>
  <si>
    <t>2:30.58</t>
  </si>
  <si>
    <t>1:38.45</t>
  </si>
  <si>
    <t>1:36.62</t>
  </si>
  <si>
    <t>3:01.06</t>
  </si>
  <si>
    <t>1:25:08</t>
  </si>
  <si>
    <t>New Official Gatekeeper of the Sub 1:20 SoBs</t>
  </si>
  <si>
    <t>10:34.54</t>
  </si>
  <si>
    <t>2:09.99</t>
  </si>
  <si>
    <t>2:57.05</t>
  </si>
  <si>
    <t>50.59</t>
  </si>
  <si>
    <t>1:01.16</t>
  </si>
  <si>
    <t>1:20.85</t>
  </si>
  <si>
    <t>1:55.78</t>
  </si>
  <si>
    <t>2:02.51</t>
  </si>
  <si>
    <t>2:47.76</t>
  </si>
  <si>
    <t>1:38.72</t>
  </si>
  <si>
    <t>2:44.10</t>
  </si>
  <si>
    <t>1:02.49</t>
  </si>
  <si>
    <t>1:51.46</t>
  </si>
  <si>
    <t>1:37.16</t>
  </si>
  <si>
    <t>1:25.46</t>
  </si>
  <si>
    <t>1:57.48</t>
  </si>
  <si>
    <t>48.76</t>
  </si>
  <si>
    <t>2:51.87</t>
  </si>
  <si>
    <t>1:40.53</t>
  </si>
  <si>
    <t>1:02.90</t>
  </si>
  <si>
    <t>1:37.33</t>
  </si>
  <si>
    <t>2:56.70</t>
  </si>
  <si>
    <t>39.88</t>
  </si>
  <si>
    <t>1:01.67</t>
  </si>
  <si>
    <t>2:45.66</t>
  </si>
  <si>
    <t>1:38.88</t>
  </si>
  <si>
    <t>1:36.50</t>
  </si>
  <si>
    <t>10:37.19</t>
  </si>
  <si>
    <t>2:08.23</t>
  </si>
  <si>
    <t>2:55.59</t>
  </si>
  <si>
    <t>1:39.41</t>
  </si>
  <si>
    <t>1:23.72</t>
  </si>
  <si>
    <t>1:01.72</t>
  </si>
  <si>
    <t>2:03.84</t>
  </si>
  <si>
    <t>2:43.26</t>
  </si>
  <si>
    <t>1:39.32</t>
  </si>
  <si>
    <t>1:52.86</t>
  </si>
  <si>
    <t>1:34.24</t>
  </si>
  <si>
    <t>50.82</t>
  </si>
  <si>
    <t>1:29.67</t>
  </si>
  <si>
    <t>2:54.43</t>
  </si>
  <si>
    <t>1:50.88</t>
  </si>
  <si>
    <t>1:38.84</t>
  </si>
  <si>
    <t>2:55.26</t>
  </si>
  <si>
    <t>1:38.78</t>
  </si>
  <si>
    <t>1:07.57</t>
  </si>
  <si>
    <t>1:26.68</t>
  </si>
  <si>
    <t>2:36.61</t>
  </si>
  <si>
    <t>1:36.82</t>
  </si>
  <si>
    <t>46.52</t>
  </si>
  <si>
    <t>3:13.10</t>
  </si>
  <si>
    <t>1:29:38</t>
  </si>
  <si>
    <t>(almost) 3das sweep</t>
  </si>
  <si>
    <t>Javi</t>
  </si>
  <si>
    <t>10:53.85</t>
  </si>
  <si>
    <t>1:17.01</t>
  </si>
  <si>
    <t>1:20.39</t>
  </si>
  <si>
    <t>2:22.55</t>
  </si>
  <si>
    <t>3:08.22</t>
  </si>
  <si>
    <t>2:10.99</t>
  </si>
  <si>
    <t>1:39.12</t>
  </si>
  <si>
    <t>1:05.80</t>
  </si>
  <si>
    <t>1:55.36</t>
  </si>
  <si>
    <t>2:12.76</t>
  </si>
  <si>
    <t>51.29</t>
  </si>
  <si>
    <t>2:50.25</t>
  </si>
  <si>
    <t>1:18.50</t>
  </si>
  <si>
    <t>1:40.82</t>
  </si>
  <si>
    <t>2:38.66</t>
  </si>
  <si>
    <t>1:01.86</t>
  </si>
  <si>
    <t>1:57.45</t>
  </si>
  <si>
    <t>1:38.73</t>
  </si>
  <si>
    <t>54.16</t>
  </si>
  <si>
    <t>1:31.83</t>
  </si>
  <si>
    <t>1:38.82</t>
  </si>
  <si>
    <t>50.61</t>
  </si>
  <si>
    <t>2:07.65</t>
  </si>
  <si>
    <t>3:11.35</t>
  </si>
  <si>
    <t>1:49.97</t>
  </si>
  <si>
    <t>1:05.72</t>
  </si>
  <si>
    <t>1:46.02</t>
  </si>
  <si>
    <t>3:04.10</t>
  </si>
  <si>
    <t>1:39.24</t>
  </si>
  <si>
    <t>1:00.67</t>
  </si>
  <si>
    <t>1:08.23</t>
  </si>
  <si>
    <t>2:24.03</t>
  </si>
  <si>
    <t>2:02.76</t>
  </si>
  <si>
    <t>2:57.59</t>
  </si>
  <si>
    <t>1:25:32</t>
  </si>
  <si>
    <t>What a beast, right? LOL</t>
  </si>
  <si>
    <t>10:39.99</t>
  </si>
  <si>
    <t>2:12.23</t>
  </si>
  <si>
    <t>3:01.13</t>
  </si>
  <si>
    <t>2:11.96</t>
  </si>
  <si>
    <t>1:33.38</t>
  </si>
  <si>
    <t>1:39.34</t>
  </si>
  <si>
    <t>2:06.89</t>
  </si>
  <si>
    <t>2:11.98</t>
  </si>
  <si>
    <t>1:42.18</t>
  </si>
  <si>
    <t>1:48.25</t>
  </si>
  <si>
    <t>3:43.28</t>
  </si>
  <si>
    <t>1:01.97</t>
  </si>
  <si>
    <t>1:51.23</t>
  </si>
  <si>
    <t>1:37.07</t>
  </si>
  <si>
    <t>1:34.33</t>
  </si>
  <si>
    <t>1:23.29</t>
  </si>
  <si>
    <t>57.41</t>
  </si>
  <si>
    <t>2:11.68</t>
  </si>
  <si>
    <t>2:37.79</t>
  </si>
  <si>
    <t>1:47.74</t>
  </si>
  <si>
    <t>3:08.26</t>
  </si>
  <si>
    <t>2:11.88</t>
  </si>
  <si>
    <t>1:05.63</t>
  </si>
  <si>
    <t>2:30.47</t>
  </si>
  <si>
    <t>1:39.85</t>
  </si>
  <si>
    <t>1:58.12</t>
  </si>
  <si>
    <t>3:40.18</t>
  </si>
  <si>
    <t>21.54</t>
  </si>
  <si>
    <t>No EYG, Swapped Sirena and Noki in the route</t>
  </si>
  <si>
    <t>UndercoverOrange</t>
  </si>
  <si>
    <t>11:08.67</t>
  </si>
  <si>
    <t>2:28.25</t>
  </si>
  <si>
    <t>3:08.01</t>
  </si>
  <si>
    <t>2:26.50</t>
  </si>
  <si>
    <t>2:25.31</t>
  </si>
  <si>
    <t>53.83</t>
  </si>
  <si>
    <t>1:52.70</t>
  </si>
  <si>
    <t>1:28.92</t>
  </si>
  <si>
    <t>2:31.27</t>
  </si>
  <si>
    <t>2:27.96</t>
  </si>
  <si>
    <t>55.82</t>
  </si>
  <si>
    <t>3:02.80</t>
  </si>
  <si>
    <t>1:55.86</t>
  </si>
  <si>
    <t>3:01.23</t>
  </si>
  <si>
    <t>2:06.16</t>
  </si>
  <si>
    <t>1:53.59</t>
  </si>
  <si>
    <t>1:53.21</t>
  </si>
  <si>
    <t>4:21.77</t>
  </si>
  <si>
    <t>1:35.03</t>
  </si>
  <si>
    <t>2:32.04</t>
  </si>
  <si>
    <t>56.3</t>
  </si>
  <si>
    <t>3:45.09</t>
  </si>
  <si>
    <t>2:26.42</t>
  </si>
  <si>
    <t>1:35.38</t>
  </si>
  <si>
    <t>2:30.07</t>
  </si>
  <si>
    <t>3:34.83</t>
  </si>
  <si>
    <t>1:55.23</t>
  </si>
  <si>
    <t>1:08.03</t>
  </si>
  <si>
    <t>2:07.12</t>
  </si>
  <si>
    <t>3:49.82</t>
  </si>
  <si>
    <t>2:28.12</t>
  </si>
  <si>
    <t>3:55.22</t>
  </si>
  <si>
    <t>1:45:26</t>
  </si>
  <si>
    <t>Pee Pee Poo Poo</t>
  </si>
  <si>
    <t>32.27</t>
  </si>
  <si>
    <t>1:31.15</t>
  </si>
  <si>
    <t>1:20.50</t>
  </si>
  <si>
    <t>1:12.36</t>
  </si>
  <si>
    <t>40.97</t>
  </si>
  <si>
    <t>2:16.59</t>
  </si>
  <si>
    <t>31.13</t>
  </si>
  <si>
    <t>51.98</t>
  </si>
  <si>
    <t>6484</t>
  </si>
  <si>
    <t>51.22</t>
  </si>
  <si>
    <t>37.25</t>
  </si>
  <si>
    <t>2:11.26</t>
  </si>
  <si>
    <t>1:12.61</t>
  </si>
  <si>
    <t>51.16</t>
  </si>
  <si>
    <t>16.78</t>
  </si>
  <si>
    <t>14.83</t>
  </si>
  <si>
    <t>55.27</t>
  </si>
  <si>
    <t>1:06.59</t>
  </si>
  <si>
    <t>19.25</t>
  </si>
  <si>
    <t>1:45.37</t>
  </si>
  <si>
    <t>8.77</t>
  </si>
  <si>
    <t>50.29</t>
  </si>
  <si>
    <t>42.25</t>
  </si>
  <si>
    <t>27.61</t>
  </si>
  <si>
    <t>1:41.45</t>
  </si>
  <si>
    <t>52.86</t>
  </si>
  <si>
    <t>49.17</t>
  </si>
  <si>
    <t>2:12.28</t>
  </si>
  <si>
    <t>2:26.88</t>
  </si>
  <si>
    <t>2:20.60</t>
  </si>
  <si>
    <t>4:20.03</t>
  </si>
  <si>
    <t>1:08.22</t>
  </si>
  <si>
    <t>45.69</t>
  </si>
  <si>
    <t>26.75</t>
  </si>
  <si>
    <t>2:13.12</t>
  </si>
  <si>
    <t>39.93</t>
  </si>
  <si>
    <t>42.23</t>
  </si>
  <si>
    <t>1:29.74</t>
  </si>
  <si>
    <t>1:18.70</t>
  </si>
  <si>
    <t>32.42</t>
  </si>
  <si>
    <t>20.37</t>
  </si>
  <si>
    <t>24.92</t>
  </si>
  <si>
    <t>6460</t>
  </si>
  <si>
    <t>1:22.55</t>
  </si>
  <si>
    <t>37.47</t>
  </si>
  <si>
    <t>1:09.45</t>
  </si>
  <si>
    <t>50.84</t>
  </si>
  <si>
    <t>2:58.60</t>
  </si>
  <si>
    <t>14.88</t>
  </si>
  <si>
    <t>52.47</t>
  </si>
  <si>
    <t>2:22.30</t>
  </si>
  <si>
    <t>41.11</t>
  </si>
  <si>
    <t>19.71</t>
  </si>
  <si>
    <t>1:53.90</t>
  </si>
  <si>
    <t>55.70</t>
  </si>
  <si>
    <t>9.24</t>
  </si>
  <si>
    <t>1:09.35</t>
  </si>
  <si>
    <t>27.19</t>
  </si>
  <si>
    <t>31.40</t>
  </si>
  <si>
    <t>2:51.67</t>
  </si>
  <si>
    <t>42.47</t>
  </si>
  <si>
    <t>39.99</t>
  </si>
  <si>
    <t>54.54</t>
  </si>
  <si>
    <t>45.30</t>
  </si>
  <si>
    <t>55.32</t>
  </si>
  <si>
    <t>27.560</t>
  </si>
  <si>
    <t>1:27.253</t>
  </si>
  <si>
    <t>13.19</t>
  </si>
  <si>
    <t>2:00.03</t>
  </si>
  <si>
    <t>1:37.65</t>
  </si>
  <si>
    <t>34.62</t>
  </si>
  <si>
    <t>24.60</t>
  </si>
  <si>
    <t>2:08.82</t>
  </si>
  <si>
    <t>2:13.19</t>
  </si>
  <si>
    <t>22.65</t>
  </si>
  <si>
    <t>3:05.34</t>
  </si>
  <si>
    <t>29.54</t>
  </si>
  <si>
    <t>36.94</t>
  </si>
  <si>
    <t>1:38.86</t>
  </si>
  <si>
    <t>52.986</t>
  </si>
  <si>
    <t>30.530</t>
  </si>
  <si>
    <t>1:08.02</t>
  </si>
  <si>
    <t>2:02.44</t>
  </si>
  <si>
    <t>1:36.28</t>
  </si>
  <si>
    <t>1:02.12</t>
  </si>
  <si>
    <t>32.50</t>
  </si>
  <si>
    <t>1:03.44</t>
  </si>
  <si>
    <t>22.43</t>
  </si>
  <si>
    <t>31.64</t>
  </si>
  <si>
    <t>34.32</t>
  </si>
  <si>
    <t>52.15</t>
  </si>
  <si>
    <t>25.84</t>
  </si>
  <si>
    <t>6.89</t>
  </si>
  <si>
    <t>6378</t>
  </si>
  <si>
    <t>2:13.39</t>
  </si>
  <si>
    <t>39.76</t>
  </si>
  <si>
    <t>39.09</t>
  </si>
  <si>
    <t>2:50.24</t>
  </si>
  <si>
    <t>52.56</t>
  </si>
  <si>
    <t>44.87</t>
  </si>
  <si>
    <t>1:39.55</t>
  </si>
  <si>
    <t>16.87</t>
  </si>
  <si>
    <t>44.73</t>
  </si>
  <si>
    <t>41.41</t>
  </si>
  <si>
    <t>1:57.91</t>
  </si>
  <si>
    <t>59.73</t>
  </si>
  <si>
    <t>1:12.86</t>
  </si>
  <si>
    <t>42.06</t>
  </si>
  <si>
    <t>38.29</t>
  </si>
  <si>
    <t>44.72</t>
  </si>
  <si>
    <t>1:10.94</t>
  </si>
  <si>
    <t>35.78</t>
  </si>
  <si>
    <t>34.99</t>
  </si>
  <si>
    <t>1:51.06</t>
  </si>
  <si>
    <t>2:30.24</t>
  </si>
  <si>
    <t>4:21.13</t>
  </si>
  <si>
    <t>43.06</t>
  </si>
  <si>
    <t>39.06</t>
  </si>
  <si>
    <t>1:35.04</t>
  </si>
  <si>
    <t>1:11.37</t>
  </si>
  <si>
    <t>33.58</t>
  </si>
  <si>
    <t>2:16.19</t>
  </si>
  <si>
    <t>15.69</t>
  </si>
  <si>
    <t>10.67</t>
  </si>
  <si>
    <t>35.15</t>
  </si>
  <si>
    <t>49.94</t>
  </si>
  <si>
    <t>24.37</t>
  </si>
  <si>
    <t>7.77</t>
  </si>
  <si>
    <t>6134</t>
  </si>
  <si>
    <t>97</t>
  </si>
  <si>
    <t>13.92</t>
  </si>
  <si>
    <t>2:16.03</t>
  </si>
  <si>
    <t>1:11.47</t>
  </si>
  <si>
    <t>38.09</t>
  </si>
  <si>
    <t>2:45.33</t>
  </si>
  <si>
    <t>17.11</t>
  </si>
  <si>
    <t>56.37</t>
  </si>
  <si>
    <t>2:22.47</t>
  </si>
  <si>
    <t>40.64</t>
  </si>
  <si>
    <t>1:11.69</t>
  </si>
  <si>
    <t>57.86</t>
  </si>
  <si>
    <t>30.53</t>
  </si>
  <si>
    <t>1:01.09</t>
  </si>
  <si>
    <t>18.28</t>
  </si>
  <si>
    <t>3:06.19</t>
  </si>
  <si>
    <t>50.43</t>
  </si>
  <si>
    <t>28.84</t>
  </si>
  <si>
    <t>1:23.89</t>
  </si>
  <si>
    <t>1:43.16</t>
  </si>
  <si>
    <t>1:31.224</t>
  </si>
  <si>
    <t>35.43</t>
  </si>
  <si>
    <t>53.26</t>
  </si>
  <si>
    <t>2:21.08</t>
  </si>
  <si>
    <t>4:14.83</t>
  </si>
  <si>
    <t>2:46.31</t>
  </si>
  <si>
    <t>55.04</t>
  </si>
  <si>
    <t>1:22.08</t>
  </si>
  <si>
    <t>12.14</t>
  </si>
  <si>
    <t>1:06.25</t>
  </si>
  <si>
    <t>1:57.97</t>
  </si>
  <si>
    <t>29.12</t>
  </si>
  <si>
    <t>2:14.32</t>
  </si>
  <si>
    <t>23.61</t>
  </si>
  <si>
    <t>1:17.04</t>
  </si>
  <si>
    <t>31.86</t>
  </si>
  <si>
    <t>13.33</t>
  </si>
  <si>
    <t>51.73</t>
  </si>
  <si>
    <t>6053</t>
  </si>
  <si>
    <t>36.86</t>
  </si>
  <si>
    <t>2:12.17</t>
  </si>
  <si>
    <t>1:09.44</t>
  </si>
  <si>
    <t>38.69</t>
  </si>
  <si>
    <t>14.50</t>
  </si>
  <si>
    <t>48.915</t>
  </si>
  <si>
    <t>42.04</t>
  </si>
  <si>
    <t>32.44</t>
  </si>
  <si>
    <t>12.59</t>
  </si>
  <si>
    <t>50.917</t>
  </si>
  <si>
    <t>33.800</t>
  </si>
  <si>
    <t>1:59.69</t>
  </si>
  <si>
    <t>2:31.61</t>
  </si>
  <si>
    <t>53.653</t>
  </si>
  <si>
    <t>1:30.75</t>
  </si>
  <si>
    <t>15.80</t>
  </si>
  <si>
    <t>1:15.508</t>
  </si>
  <si>
    <t>31.26</t>
  </si>
  <si>
    <t>6027</t>
  </si>
  <si>
    <t>61</t>
  </si>
  <si>
    <t>2:13.10</t>
  </si>
  <si>
    <t>1:09.68</t>
  </si>
  <si>
    <t>39.45</t>
  </si>
  <si>
    <t>50.78</t>
  </si>
  <si>
    <t>1:37.02</t>
  </si>
  <si>
    <t>45.54</t>
  </si>
  <si>
    <t>1:00.18</t>
  </si>
  <si>
    <t>2:14.62</t>
  </si>
  <si>
    <t>28.41</t>
  </si>
  <si>
    <t>34.23</t>
  </si>
  <si>
    <t>34.65</t>
  </si>
  <si>
    <t>1:58.42</t>
  </si>
  <si>
    <t>2:30.50</t>
  </si>
  <si>
    <t>22.47</t>
  </si>
  <si>
    <t>28.88</t>
  </si>
  <si>
    <t>34.61</t>
  </si>
  <si>
    <t>2:16.06</t>
  </si>
  <si>
    <t>reed</t>
  </si>
  <si>
    <t>5986</t>
  </si>
  <si>
    <t>53.70</t>
  </si>
  <si>
    <t>1:18.72</t>
  </si>
  <si>
    <t>36.90</t>
  </si>
  <si>
    <t>2:34.41</t>
  </si>
  <si>
    <t>1:09.97</t>
  </si>
  <si>
    <t>17.58</t>
  </si>
  <si>
    <t>1:33.95</t>
  </si>
  <si>
    <t>2:21.96</t>
  </si>
  <si>
    <t>20.08</t>
  </si>
  <si>
    <t>27.89</t>
  </si>
  <si>
    <t>18.22</t>
  </si>
  <si>
    <t>26.48</t>
  </si>
  <si>
    <t>3:56.99</t>
  </si>
  <si>
    <t>28.74</t>
  </si>
  <si>
    <t>32.79</t>
  </si>
  <si>
    <t>53.30</t>
  </si>
  <si>
    <t>44.52</t>
  </si>
  <si>
    <t>1:20.66</t>
  </si>
  <si>
    <t>41.89</t>
  </si>
  <si>
    <t>1:15.58</t>
  </si>
  <si>
    <t>1:40.85</t>
  </si>
  <si>
    <t>1:37.78</t>
  </si>
  <si>
    <t>34.51</t>
  </si>
  <si>
    <t>21.24</t>
  </si>
  <si>
    <t>1:11.06</t>
  </si>
  <si>
    <t>34.75</t>
  </si>
  <si>
    <t>1:46.22</t>
  </si>
  <si>
    <t>27.17</t>
  </si>
  <si>
    <t>18.41</t>
  </si>
  <si>
    <t>1:40.22</t>
  </si>
  <si>
    <t>22.66</t>
  </si>
  <si>
    <t>33.04</t>
  </si>
  <si>
    <t>25.42</t>
  </si>
  <si>
    <t>essbee</t>
  </si>
  <si>
    <t>5899</t>
  </si>
  <si>
    <t>13.99</t>
  </si>
  <si>
    <t>44.56</t>
  </si>
  <si>
    <t>2:18.49</t>
  </si>
  <si>
    <t>2:14.75</t>
  </si>
  <si>
    <t>52.70</t>
  </si>
  <si>
    <t>17.84</t>
  </si>
  <si>
    <t>15.11</t>
  </si>
  <si>
    <t>45.52</t>
  </si>
  <si>
    <t>2:04.45</t>
  </si>
  <si>
    <t>41.34</t>
  </si>
  <si>
    <t>20.21</t>
  </si>
  <si>
    <t>1:44.69</t>
  </si>
  <si>
    <t>1:13.23</t>
  </si>
  <si>
    <t>50.27</t>
  </si>
  <si>
    <t>42.60</t>
  </si>
  <si>
    <t>55.14</t>
  </si>
  <si>
    <t>53.59</t>
  </si>
  <si>
    <t>54.12</t>
  </si>
  <si>
    <t>36.05</t>
  </si>
  <si>
    <t>24.53</t>
  </si>
  <si>
    <t>21.77</t>
  </si>
  <si>
    <t>2:23.06</t>
  </si>
  <si>
    <t>25.79</t>
  </si>
  <si>
    <t>4:22.50</t>
  </si>
  <si>
    <t>2:09.47</t>
  </si>
  <si>
    <t>29.49</t>
  </si>
  <si>
    <t>1:34.46</t>
  </si>
  <si>
    <t>13.04</t>
  </si>
  <si>
    <t>30.72</t>
  </si>
  <si>
    <t>1:13.88</t>
  </si>
  <si>
    <t>1:33.52</t>
  </si>
  <si>
    <t>45.84</t>
  </si>
  <si>
    <t>2:15.16</t>
  </si>
  <si>
    <t>1:24.87</t>
  </si>
  <si>
    <t>1:00.24</t>
  </si>
  <si>
    <t>1:19.32</t>
  </si>
  <si>
    <t>33.22</t>
  </si>
  <si>
    <t>36.71</t>
  </si>
  <si>
    <t>7.90</t>
  </si>
  <si>
    <t>5897</t>
  </si>
  <si>
    <t>1:20.48</t>
  </si>
  <si>
    <t>39.98</t>
  </si>
  <si>
    <t>2:20.80</t>
  </si>
  <si>
    <t>50.63</t>
  </si>
  <si>
    <t>17.42</t>
  </si>
  <si>
    <t>14.78</t>
  </si>
  <si>
    <t>2:04.98</t>
  </si>
  <si>
    <t>29.36</t>
  </si>
  <si>
    <t>53.84</t>
  </si>
  <si>
    <t>11.32</t>
  </si>
  <si>
    <t>1:31.06</t>
  </si>
  <si>
    <t>35.68</t>
  </si>
  <si>
    <t>22.85</t>
  </si>
  <si>
    <t>52.41</t>
  </si>
  <si>
    <t>24.15</t>
  </si>
  <si>
    <t>2:23.83</t>
  </si>
  <si>
    <t>2:23.36</t>
  </si>
  <si>
    <t>4:22.00</t>
  </si>
  <si>
    <t>1:35.36</t>
  </si>
  <si>
    <t>30.81</t>
  </si>
  <si>
    <t>31.01</t>
  </si>
  <si>
    <t>1:05.69</t>
  </si>
  <si>
    <t>1:50.47</t>
  </si>
  <si>
    <t>2:14.22</t>
  </si>
  <si>
    <t>38.73</t>
  </si>
  <si>
    <t>1:37.19</t>
  </si>
  <si>
    <t>22.33</t>
  </si>
  <si>
    <t>19.23</t>
  </si>
  <si>
    <t>29.13</t>
  </si>
  <si>
    <t>5807</t>
  </si>
  <si>
    <t>40.32</t>
  </si>
  <si>
    <t>50.94</t>
  </si>
  <si>
    <t>2:03.95</t>
  </si>
  <si>
    <t>52.60</t>
  </si>
  <si>
    <t>17.44</t>
  </si>
  <si>
    <t>45.71</t>
  </si>
  <si>
    <t>47.37</t>
  </si>
  <si>
    <t>1:55.33</t>
  </si>
  <si>
    <t>1:13.15</t>
  </si>
  <si>
    <t>27.39</t>
  </si>
  <si>
    <t>51.63</t>
  </si>
  <si>
    <t>35.65</t>
  </si>
  <si>
    <t>1:31.42</t>
  </si>
  <si>
    <t>1:07.93</t>
  </si>
  <si>
    <t>1:25.14</t>
  </si>
  <si>
    <t>54.29</t>
  </si>
  <si>
    <t>35.49</t>
  </si>
  <si>
    <t>22.80</t>
  </si>
  <si>
    <t>2:29.11</t>
  </si>
  <si>
    <t>2:21.93</t>
  </si>
  <si>
    <t>22.34</t>
  </si>
  <si>
    <t>4:24.01</t>
  </si>
  <si>
    <t>1:59.42</t>
  </si>
  <si>
    <t>55.09</t>
  </si>
  <si>
    <t>1:34.07</t>
  </si>
  <si>
    <t>16.20</t>
  </si>
  <si>
    <t>54.80</t>
  </si>
  <si>
    <t>2:14.89</t>
  </si>
  <si>
    <t>1:21.25</t>
  </si>
  <si>
    <t>26.09</t>
  </si>
  <si>
    <t>24.40</t>
  </si>
  <si>
    <t>5644</t>
  </si>
  <si>
    <t>38.14</t>
  </si>
  <si>
    <t>1:10.45</t>
  </si>
  <si>
    <t>1:03.56</t>
  </si>
  <si>
    <t>2:47.23</t>
  </si>
  <si>
    <t>56.91</t>
  </si>
  <si>
    <t>1:36.35</t>
  </si>
  <si>
    <t>1:33.21</t>
  </si>
  <si>
    <t>56.34</t>
  </si>
  <si>
    <t>1:53.94</t>
  </si>
  <si>
    <t>10.68</t>
  </si>
  <si>
    <t>33.09</t>
  </si>
  <si>
    <t>29.01</t>
  </si>
  <si>
    <t>36.85</t>
  </si>
  <si>
    <t>41.82</t>
  </si>
  <si>
    <t>1:37.05</t>
  </si>
  <si>
    <t>1:37.03</t>
  </si>
  <si>
    <t>51.36</t>
  </si>
  <si>
    <t>2:20.34</t>
  </si>
  <si>
    <t>23.87</t>
  </si>
  <si>
    <t>4:23.50</t>
  </si>
  <si>
    <t>1:06.62</t>
  </si>
  <si>
    <t>54.88</t>
  </si>
  <si>
    <t>36.34</t>
  </si>
  <si>
    <t>1:37.69</t>
  </si>
  <si>
    <t>13.74</t>
  </si>
  <si>
    <t>54.86</t>
  </si>
  <si>
    <t>1:07.19</t>
  </si>
  <si>
    <t>2:15.10</t>
  </si>
  <si>
    <t>57.31</t>
  </si>
  <si>
    <t>2:12.79</t>
  </si>
  <si>
    <t>18.86</t>
  </si>
  <si>
    <t>40.43</t>
  </si>
  <si>
    <t>22.78</t>
  </si>
  <si>
    <t>21.33</t>
  </si>
  <si>
    <t>18.69</t>
  </si>
  <si>
    <t>18.16</t>
  </si>
  <si>
    <t>31.59</t>
  </si>
  <si>
    <t>12.37</t>
  </si>
  <si>
    <t>23.24</t>
  </si>
  <si>
    <t>33.45</t>
  </si>
  <si>
    <t>35.94</t>
  </si>
  <si>
    <t>7.37</t>
  </si>
  <si>
    <t>Anonymous 10</t>
  </si>
  <si>
    <t>5598</t>
  </si>
  <si>
    <t>1:19.58</t>
  </si>
  <si>
    <t>2:18.77</t>
  </si>
  <si>
    <t>1:10.17</t>
  </si>
  <si>
    <t>53.19</t>
  </si>
  <si>
    <t>44.92</t>
  </si>
  <si>
    <t>30.32</t>
  </si>
  <si>
    <t>56.41</t>
  </si>
  <si>
    <t>1:33.50</t>
  </si>
  <si>
    <t>44.69</t>
  </si>
  <si>
    <t>40.03</t>
  </si>
  <si>
    <t>42.28</t>
  </si>
  <si>
    <t>34.97</t>
  </si>
  <si>
    <t>23.66</t>
  </si>
  <si>
    <t>2:18.29</t>
  </si>
  <si>
    <t>2:27.34</t>
  </si>
  <si>
    <t>2:20.97</t>
  </si>
  <si>
    <t>54.83</t>
  </si>
  <si>
    <t>1:39.18</t>
  </si>
  <si>
    <t>1:07.02</t>
  </si>
  <si>
    <t>46.45</t>
  </si>
  <si>
    <t>2:18.13</t>
  </si>
  <si>
    <t>18.52</t>
  </si>
  <si>
    <t>24.83</t>
  </si>
  <si>
    <t>7.43</t>
  </si>
  <si>
    <t>5569</t>
  </si>
  <si>
    <t>1:19.85</t>
  </si>
  <si>
    <t>37.17</t>
  </si>
  <si>
    <t>42.78</t>
  </si>
  <si>
    <t>2:16.67</t>
  </si>
  <si>
    <t>1:10.93</t>
  </si>
  <si>
    <t>49.65</t>
  </si>
  <si>
    <t>29.83</t>
  </si>
  <si>
    <t>56.18</t>
  </si>
  <si>
    <t>27.07</t>
  </si>
  <si>
    <t>42.09</t>
  </si>
  <si>
    <t>32.66</t>
  </si>
  <si>
    <t>25.68</t>
  </si>
  <si>
    <t>1:32.16</t>
  </si>
  <si>
    <t>2:22.26</t>
  </si>
  <si>
    <t>32.57</t>
  </si>
  <si>
    <t>41.03</t>
  </si>
  <si>
    <t>51.69</t>
  </si>
  <si>
    <t>2:17.49</t>
  </si>
  <si>
    <t>5568</t>
  </si>
  <si>
    <t>37.66</t>
  </si>
  <si>
    <t>43.17</t>
  </si>
  <si>
    <t>2:17.60</t>
  </si>
  <si>
    <t>1:12.47</t>
  </si>
  <si>
    <t>17.18</t>
  </si>
  <si>
    <t>14.86</t>
  </si>
  <si>
    <t>57.00</t>
  </si>
  <si>
    <t>1:33.28</t>
  </si>
  <si>
    <t>16.70</t>
  </si>
  <si>
    <t>41.08</t>
  </si>
  <si>
    <t>19.93</t>
  </si>
  <si>
    <t>1:54.57</t>
  </si>
  <si>
    <t>1:16.65</t>
  </si>
  <si>
    <t>57.40</t>
  </si>
  <si>
    <t>28.39</t>
  </si>
  <si>
    <t>31.55</t>
  </si>
  <si>
    <t>53.14</t>
  </si>
  <si>
    <t>28.85</t>
  </si>
  <si>
    <t>1:21.16</t>
  </si>
  <si>
    <t>12.77</t>
  </si>
  <si>
    <t>23.55</t>
  </si>
  <si>
    <t>52.69</t>
  </si>
  <si>
    <t>2:19.28</t>
  </si>
  <si>
    <t>2:31.32</t>
  </si>
  <si>
    <t>4:21.23</t>
  </si>
  <si>
    <t>1:08.58</t>
  </si>
  <si>
    <t>35.57</t>
  </si>
  <si>
    <t>1:35.91</t>
  </si>
  <si>
    <t>14.85</t>
  </si>
  <si>
    <t>52.65</t>
  </si>
  <si>
    <t>1:07.05</t>
  </si>
  <si>
    <t>46.23</t>
  </si>
  <si>
    <t>13.98</t>
  </si>
  <si>
    <t>45.73</t>
  </si>
  <si>
    <t>1:27.51</t>
  </si>
  <si>
    <t>15.67</t>
  </si>
  <si>
    <t>22.58</t>
  </si>
  <si>
    <t>21.89</t>
  </si>
  <si>
    <t>19.66</t>
  </si>
  <si>
    <t>19.83</t>
  </si>
  <si>
    <t>1:19.19</t>
  </si>
  <si>
    <t>55.22</t>
  </si>
  <si>
    <t>28.37</t>
  </si>
  <si>
    <t>27.14</t>
  </si>
  <si>
    <t>23.35</t>
  </si>
  <si>
    <t>6.94</t>
  </si>
  <si>
    <t>5527</t>
  </si>
  <si>
    <t>2:16.18</t>
  </si>
  <si>
    <t>40.53</t>
  </si>
  <si>
    <t>16.049</t>
  </si>
  <si>
    <t>1:18.85</t>
  </si>
  <si>
    <t>2:33.81</t>
  </si>
  <si>
    <t>17.45</t>
  </si>
  <si>
    <t>45.06</t>
  </si>
  <si>
    <t>2:19.65</t>
  </si>
  <si>
    <t>19.44</t>
  </si>
  <si>
    <t>1:47.55</t>
  </si>
  <si>
    <t>10.14</t>
  </si>
  <si>
    <t>2:50.403</t>
  </si>
  <si>
    <t>35.51</t>
  </si>
  <si>
    <t>24.07</t>
  </si>
  <si>
    <t>2:10.90</t>
  </si>
  <si>
    <t>2:26.03</t>
  </si>
  <si>
    <t>4:14.96</t>
  </si>
  <si>
    <t>40.52</t>
  </si>
  <si>
    <t>29.57</t>
  </si>
  <si>
    <t>35.58</t>
  </si>
  <si>
    <t>1:34.43</t>
  </si>
  <si>
    <t>15.64</t>
  </si>
  <si>
    <t>1:15.50</t>
  </si>
  <si>
    <t>1:49.48</t>
  </si>
  <si>
    <t>47.30</t>
  </si>
  <si>
    <t>13.21</t>
  </si>
  <si>
    <t>46.69</t>
  </si>
  <si>
    <t>1:03.60</t>
  </si>
  <si>
    <t>1:01.14</t>
  </si>
  <si>
    <t>1:38.34</t>
  </si>
  <si>
    <t>44.22</t>
  </si>
  <si>
    <t>22.81</t>
  </si>
  <si>
    <t>1:28.88</t>
  </si>
  <si>
    <t>34.31</t>
  </si>
  <si>
    <t>14.614</t>
  </si>
  <si>
    <t>27.81</t>
  </si>
  <si>
    <t>35.23</t>
  </si>
  <si>
    <t>29.94</t>
  </si>
  <si>
    <t>6.83</t>
  </si>
  <si>
    <t>Luco</t>
  </si>
  <si>
    <t>5510</t>
  </si>
  <si>
    <t>51.24</t>
  </si>
  <si>
    <t>1:19.41</t>
  </si>
  <si>
    <t>2:16.36</t>
  </si>
  <si>
    <t>1:03.38</t>
  </si>
  <si>
    <t>2:39.96</t>
  </si>
  <si>
    <t>53.76</t>
  </si>
  <si>
    <t>17.72</t>
  </si>
  <si>
    <t>1:38.27</t>
  </si>
  <si>
    <t>1:33.11</t>
  </si>
  <si>
    <t>15.14</t>
  </si>
  <si>
    <t>2:13.88</t>
  </si>
  <si>
    <t>18.60</t>
  </si>
  <si>
    <t>9.14</t>
  </si>
  <si>
    <t>2:36.81</t>
  </si>
  <si>
    <t>53.43</t>
  </si>
  <si>
    <t>43.04</t>
  </si>
  <si>
    <t>13.20</t>
  </si>
  <si>
    <t>1:37.31</t>
  </si>
  <si>
    <t>35.39</t>
  </si>
  <si>
    <t>52.62</t>
  </si>
  <si>
    <t>2:28.00</t>
  </si>
  <si>
    <t>2:20.66</t>
  </si>
  <si>
    <t>28.76</t>
  </si>
  <si>
    <t>13.08</t>
  </si>
  <si>
    <t>54.79</t>
  </si>
  <si>
    <t>45.53</t>
  </si>
  <si>
    <t>Maosfx</t>
  </si>
  <si>
    <t>5339</t>
  </si>
  <si>
    <t>37.21</t>
  </si>
  <si>
    <t>1:12.10</t>
  </si>
  <si>
    <t>40.78</t>
  </si>
  <si>
    <t>16.10</t>
  </si>
  <si>
    <t>17.02</t>
  </si>
  <si>
    <t>44.96</t>
  </si>
  <si>
    <t>35.33</t>
  </si>
  <si>
    <t>55.84</t>
  </si>
  <si>
    <t>21.83</t>
  </si>
  <si>
    <t>2:19.86</t>
  </si>
  <si>
    <t>2:20.09</t>
  </si>
  <si>
    <t>57.16</t>
  </si>
  <si>
    <t>35.95</t>
  </si>
  <si>
    <t>1:36.63</t>
  </si>
  <si>
    <t>12.38</t>
  </si>
  <si>
    <t>46.44</t>
  </si>
  <si>
    <t>32.21</t>
  </si>
  <si>
    <t>22.76</t>
  </si>
  <si>
    <t>6.33</t>
  </si>
  <si>
    <t>Elijah</t>
  </si>
  <si>
    <t>5246</t>
  </si>
  <si>
    <t>51.85</t>
  </si>
  <si>
    <t>1:22.21</t>
  </si>
  <si>
    <t>37.49</t>
  </si>
  <si>
    <t>13.89</t>
  </si>
  <si>
    <t>2:17.93</t>
  </si>
  <si>
    <t>1:10.67</t>
  </si>
  <si>
    <t>40.18</t>
  </si>
  <si>
    <t>35.38</t>
  </si>
  <si>
    <t>48.36</t>
  </si>
  <si>
    <t>44.58</t>
  </si>
  <si>
    <t>30.35</t>
  </si>
  <si>
    <t>55.47</t>
  </si>
  <si>
    <t>42.88</t>
  </si>
  <si>
    <t>19.88</t>
  </si>
  <si>
    <t>38.56</t>
  </si>
  <si>
    <t>51.83</t>
  </si>
  <si>
    <t>34.78</t>
  </si>
  <si>
    <t>2:26.46</t>
  </si>
  <si>
    <t>2:22.40</t>
  </si>
  <si>
    <t>23.93</t>
  </si>
  <si>
    <t>57.73</t>
  </si>
  <si>
    <t>2:14.39</t>
  </si>
  <si>
    <t>18.47</t>
  </si>
  <si>
    <t>43.03</t>
  </si>
  <si>
    <t>19.16</t>
  </si>
  <si>
    <t>5192</t>
  </si>
  <si>
    <t>1:18.56</t>
  </si>
  <si>
    <t>36.84</t>
  </si>
  <si>
    <t>1:11.82</t>
  </si>
  <si>
    <t>40.00</t>
  </si>
  <si>
    <t>1:01.44</t>
  </si>
  <si>
    <t>30.21</t>
  </si>
  <si>
    <t>56.04</t>
  </si>
  <si>
    <t>1:33.63</t>
  </si>
  <si>
    <t>28.66</t>
  </si>
  <si>
    <t>52.37</t>
  </si>
  <si>
    <t>52.55</t>
  </si>
  <si>
    <t>23.19</t>
  </si>
  <si>
    <t>52.77</t>
  </si>
  <si>
    <t>2:25.27</t>
  </si>
  <si>
    <t>34.36</t>
  </si>
  <si>
    <t>1:32.96</t>
  </si>
  <si>
    <t>53.85</t>
  </si>
  <si>
    <t>5126</t>
  </si>
  <si>
    <t>81</t>
  </si>
  <si>
    <t>52.00</t>
  </si>
  <si>
    <t>1:21.56</t>
  </si>
  <si>
    <t>37.88</t>
  </si>
  <si>
    <t>2:22.66</t>
  </si>
  <si>
    <t>1:01.01</t>
  </si>
  <si>
    <t>2:29.41</t>
  </si>
  <si>
    <t>17.55</t>
  </si>
  <si>
    <t>45.17</t>
  </si>
  <si>
    <t>56.44</t>
  </si>
  <si>
    <t>1:33.26</t>
  </si>
  <si>
    <t>51.48</t>
  </si>
  <si>
    <t>2:20.40</t>
  </si>
  <si>
    <t>34.53</t>
  </si>
  <si>
    <t>2:42.32</t>
  </si>
  <si>
    <t>42.33</t>
  </si>
  <si>
    <t>45.94</t>
  </si>
  <si>
    <t>13.02</t>
  </si>
  <si>
    <t>1:34.17</t>
  </si>
  <si>
    <t>1:40.05</t>
  </si>
  <si>
    <t>35.11</t>
  </si>
  <si>
    <t>21.71</t>
  </si>
  <si>
    <t>2:17.53</t>
  </si>
  <si>
    <t>2:21.19</t>
  </si>
  <si>
    <t>23.95</t>
  </si>
  <si>
    <t>56.19</t>
  </si>
  <si>
    <t>30.84</t>
  </si>
  <si>
    <t>1:52.51</t>
  </si>
  <si>
    <t>13.58</t>
  </si>
  <si>
    <t>1:01.29</t>
  </si>
  <si>
    <t>2:15.53</t>
  </si>
  <si>
    <t>40.60</t>
  </si>
  <si>
    <t>1:40.48</t>
  </si>
  <si>
    <t>33.19</t>
  </si>
  <si>
    <t>RebornFrog</t>
  </si>
  <si>
    <t>5118</t>
  </si>
  <si>
    <t>14.09</t>
  </si>
  <si>
    <t>2:15.58</t>
  </si>
  <si>
    <t>1:11.71</t>
  </si>
  <si>
    <t>2:27.67</t>
  </si>
  <si>
    <t>44.98</t>
  </si>
  <si>
    <t>1:37.38</t>
  </si>
  <si>
    <t>40.71</t>
  </si>
  <si>
    <t>19.87</t>
  </si>
  <si>
    <t>55.73</t>
  </si>
  <si>
    <t>34.73</t>
  </si>
  <si>
    <t>57.12</t>
  </si>
  <si>
    <t>51.04</t>
  </si>
  <si>
    <t>56.74</t>
  </si>
  <si>
    <t>35.30</t>
  </si>
  <si>
    <t>2:24.50</t>
  </si>
  <si>
    <t>24.11</t>
  </si>
  <si>
    <t>4:23.07</t>
  </si>
  <si>
    <t>2:28.96</t>
  </si>
  <si>
    <t>1:38.23</t>
  </si>
  <si>
    <t>2:15.36</t>
  </si>
  <si>
    <t>froidtofu</t>
  </si>
  <si>
    <t>5070</t>
  </si>
  <si>
    <t>37.41</t>
  </si>
  <si>
    <t>38.79</t>
  </si>
  <si>
    <t>30.31</t>
  </si>
  <si>
    <t>56.56</t>
  </si>
  <si>
    <t>19.86</t>
  </si>
  <si>
    <t>1:43.58</t>
  </si>
  <si>
    <t>51.75</t>
  </si>
  <si>
    <t>53.53</t>
  </si>
  <si>
    <t>24.48</t>
  </si>
  <si>
    <t>45.08</t>
  </si>
  <si>
    <t>14.04</t>
  </si>
  <si>
    <t>31.89</t>
  </si>
  <si>
    <t>2:15.63</t>
  </si>
  <si>
    <t>43.07</t>
  </si>
  <si>
    <t>1:17.67</t>
  </si>
  <si>
    <t>32.52</t>
  </si>
  <si>
    <t>31.48</t>
  </si>
  <si>
    <t>otake</t>
  </si>
  <si>
    <t>5068</t>
  </si>
  <si>
    <t>14.13</t>
  </si>
  <si>
    <t>2:19.40</t>
  </si>
  <si>
    <t>1:01.66</t>
  </si>
  <si>
    <t>35.93</t>
  </si>
  <si>
    <r>
      <rPr>
        <color rgb="FF000000"/>
        <sz val="9.0"/>
        <u/>
      </rPr>
      <t>51.</t>
    </r>
    <r>
      <rPr>
        <color rgb="FF000000"/>
        <sz val="9.0"/>
        <u/>
      </rPr>
      <t>35</t>
    </r>
  </si>
  <si>
    <t>17.31</t>
  </si>
  <si>
    <t>45.40</t>
  </si>
  <si>
    <t>57.61</t>
  </si>
  <si>
    <t>44.70</t>
  </si>
  <si>
    <t>18.31</t>
  </si>
  <si>
    <t>29.37</t>
  </si>
  <si>
    <t>55.06</t>
  </si>
  <si>
    <t>44.21</t>
  </si>
  <si>
    <t>28.43</t>
  </si>
  <si>
    <t>1:57.13</t>
  </si>
  <si>
    <t>1:39.89</t>
  </si>
  <si>
    <t>2:24.11</t>
  </si>
  <si>
    <t>4:16.96</t>
  </si>
  <si>
    <t>1:04.42</t>
  </si>
  <si>
    <t>31.25</t>
  </si>
  <si>
    <t>45.89</t>
  </si>
  <si>
    <t>1:00.09</t>
  </si>
  <si>
    <t>2:13.02</t>
  </si>
  <si>
    <t>1:40.37</t>
  </si>
  <si>
    <t>44.29</t>
  </si>
  <si>
    <t>21.36</t>
  </si>
  <si>
    <t>33.77</t>
  </si>
  <si>
    <t>32.62</t>
  </si>
  <si>
    <t>23.47</t>
  </si>
  <si>
    <t>5047</t>
  </si>
  <si>
    <t>96</t>
  </si>
  <si>
    <t>37.38</t>
  </si>
  <si>
    <t>1:11.29</t>
  </si>
  <si>
    <t>16.06</t>
  </si>
  <si>
    <t>50.00</t>
  </si>
  <si>
    <t>51.32</t>
  </si>
  <si>
    <t>15.19</t>
  </si>
  <si>
    <t>1:16.45</t>
  </si>
  <si>
    <t>55.96</t>
  </si>
  <si>
    <t>1:10.38</t>
  </si>
  <si>
    <t>1:34.61</t>
  </si>
  <si>
    <t>54.40</t>
  </si>
  <si>
    <t>36.43</t>
  </si>
  <si>
    <t>54.67</t>
  </si>
  <si>
    <t>2:18.97</t>
  </si>
  <si>
    <t>2:18.24</t>
  </si>
  <si>
    <t>2:20.96</t>
  </si>
  <si>
    <t>24.13</t>
  </si>
  <si>
    <t>4:18.50</t>
  </si>
  <si>
    <t>44.59</t>
  </si>
  <si>
    <t>54.72</t>
  </si>
  <si>
    <t>31.14</t>
  </si>
  <si>
    <t>32.41</t>
  </si>
  <si>
    <t>1:06.18</t>
  </si>
  <si>
    <t>55.19</t>
  </si>
  <si>
    <t>2:12.42</t>
  </si>
  <si>
    <t>20.83</t>
  </si>
  <si>
    <t>33.13</t>
  </si>
  <si>
    <t>34.63</t>
  </si>
  <si>
    <t>32.37</t>
  </si>
  <si>
    <t>25.72</t>
  </si>
  <si>
    <t>6.93</t>
  </si>
  <si>
    <t>5031</t>
  </si>
  <si>
    <t>52.39</t>
  </si>
  <si>
    <t>38.33</t>
  </si>
  <si>
    <t>2:16.20</t>
  </si>
  <si>
    <t>38.37</t>
  </si>
  <si>
    <t>16.11</t>
  </si>
  <si>
    <t>1:14.50</t>
  </si>
  <si>
    <t>3:19.88</t>
  </si>
  <si>
    <t>3:01.48</t>
  </si>
  <si>
    <t>20.81</t>
  </si>
  <si>
    <t>11.71</t>
  </si>
  <si>
    <t>4:24.69</t>
  </si>
  <si>
    <t>35.28</t>
  </si>
  <si>
    <t>1:45.17</t>
  </si>
  <si>
    <t>23.76</t>
  </si>
  <si>
    <t>2:26.83</t>
  </si>
  <si>
    <t>4:15.79</t>
  </si>
  <si>
    <t>3:26.65</t>
  </si>
  <si>
    <t>1:45.40</t>
  </si>
  <si>
    <t>1:00.64</t>
  </si>
  <si>
    <t>2:12.95</t>
  </si>
  <si>
    <t>16.98</t>
  </si>
  <si>
    <t>29.64</t>
  </si>
  <si>
    <t>27.43</t>
  </si>
  <si>
    <t>7.10</t>
  </si>
  <si>
    <t>jeffcompass</t>
  </si>
  <si>
    <t>5014</t>
  </si>
  <si>
    <t>53.74</t>
  </si>
  <si>
    <t>37.91</t>
  </si>
  <si>
    <t>2:22.98</t>
  </si>
  <si>
    <t>1:12.48</t>
  </si>
  <si>
    <t>1:03.62</t>
  </si>
  <si>
    <t>35.92</t>
  </si>
  <si>
    <t>35.62</t>
  </si>
  <si>
    <t>2:22.07</t>
  </si>
  <si>
    <t>52.82</t>
  </si>
  <si>
    <t>17.62</t>
  </si>
  <si>
    <t>15.27</t>
  </si>
  <si>
    <t>31.23</t>
  </si>
  <si>
    <t>1:54.00</t>
  </si>
  <si>
    <t>1:03.84</t>
  </si>
  <si>
    <t>37.29</t>
  </si>
  <si>
    <t>11.84</t>
  </si>
  <si>
    <t>19.97</t>
  </si>
  <si>
    <t>30.43</t>
  </si>
  <si>
    <t>2:43.62</t>
  </si>
  <si>
    <t>39.80</t>
  </si>
  <si>
    <t>54.90</t>
  </si>
  <si>
    <t>59.53</t>
  </si>
  <si>
    <t>1:28.02</t>
  </si>
  <si>
    <t>13.59</t>
  </si>
  <si>
    <t>35.36</t>
  </si>
  <si>
    <t>23.78</t>
  </si>
  <si>
    <t>2:28.67</t>
  </si>
  <si>
    <t>23.43</t>
  </si>
  <si>
    <t>2:25.45</t>
  </si>
  <si>
    <t>13.85</t>
  </si>
  <si>
    <t>1:05.78</t>
  </si>
  <si>
    <t>45.87</t>
  </si>
  <si>
    <t>32.92</t>
  </si>
  <si>
    <t>1:39.69</t>
  </si>
  <si>
    <t>43.62</t>
  </si>
  <si>
    <t>1:14.66</t>
  </si>
  <si>
    <t>1:03.92</t>
  </si>
  <si>
    <t>23.75</t>
  </si>
  <si>
    <t>17.59</t>
  </si>
  <si>
    <t>38.00</t>
  </si>
  <si>
    <t>22.48</t>
  </si>
  <si>
    <t>7.93</t>
  </si>
  <si>
    <t>4863</t>
  </si>
  <si>
    <t>108</t>
  </si>
  <si>
    <t>38.24</t>
  </si>
  <si>
    <t>2:16.26</t>
  </si>
  <si>
    <t>1:12.93</t>
  </si>
  <si>
    <t>45.79</t>
  </si>
  <si>
    <r>
      <rPr>
        <color rgb="FF000000"/>
        <sz val="9.0"/>
      </rPr>
      <t>30.</t>
    </r>
    <r>
      <rPr>
        <color rgb="FF000000"/>
        <sz val="9.0"/>
      </rPr>
      <t>65</t>
    </r>
  </si>
  <si>
    <t>15.23</t>
  </si>
  <si>
    <t>53.71</t>
  </si>
  <si>
    <t>2:01.74</t>
  </si>
  <si>
    <t>1:15.24</t>
  </si>
  <si>
    <t>1:07.24</t>
  </si>
  <si>
    <t>19.90</t>
  </si>
  <si>
    <t>3:52.33</t>
  </si>
  <si>
    <t>50.71</t>
  </si>
  <si>
    <t>36.52</t>
  </si>
  <si>
    <t>55.63</t>
  </si>
  <si>
    <t>1:25.99</t>
  </si>
  <si>
    <t>24.49</t>
  </si>
  <si>
    <t>54.97</t>
  </si>
  <si>
    <t>23.64</t>
  </si>
  <si>
    <t>2:11.84</t>
  </si>
  <si>
    <t>4:13.60</t>
  </si>
  <si>
    <t>1:06.42</t>
  </si>
  <si>
    <t>41.49</t>
  </si>
  <si>
    <t>3:11.70</t>
  </si>
  <si>
    <t>37.71</t>
  </si>
  <si>
    <t>1:22.549</t>
  </si>
  <si>
    <t>13.34</t>
  </si>
  <si>
    <t>54.43</t>
  </si>
  <si>
    <t>1:03.35</t>
  </si>
  <si>
    <t>58.31</t>
  </si>
  <si>
    <t>2:14.63</t>
  </si>
  <si>
    <t>1:41.98</t>
  </si>
  <si>
    <t>39.83</t>
  </si>
  <si>
    <t>21.16</t>
  </si>
  <si>
    <t>18.39</t>
  </si>
  <si>
    <t>34.21</t>
  </si>
  <si>
    <t>35.48</t>
  </si>
  <si>
    <t>31.66</t>
  </si>
  <si>
    <t>7.89</t>
  </si>
  <si>
    <t>Paperario</t>
  </si>
  <si>
    <t>4721</t>
  </si>
  <si>
    <t>1:19.98</t>
  </si>
  <si>
    <t>2:17.77</t>
  </si>
  <si>
    <t>1:13.16</t>
  </si>
  <si>
    <t>2:22.23</t>
  </si>
  <si>
    <t>16.85</t>
  </si>
  <si>
    <t>1:45.21</t>
  </si>
  <si>
    <t>33.73</t>
  </si>
  <si>
    <t>22.82</t>
  </si>
  <si>
    <t>4:22.40</t>
  </si>
  <si>
    <t>54.85</t>
  </si>
  <si>
    <t>53.54</t>
  </si>
  <si>
    <t>31.36</t>
  </si>
  <si>
    <t>1:22.77</t>
  </si>
  <si>
    <t>31.91</t>
  </si>
  <si>
    <t>21.50</t>
  </si>
  <si>
    <t>Metacor</t>
  </si>
  <si>
    <t>4582</t>
  </si>
  <si>
    <t>1:22.67</t>
  </si>
  <si>
    <t>2:17.99</t>
  </si>
  <si>
    <t>17.35</t>
  </si>
  <si>
    <t>45.21</t>
  </si>
  <si>
    <t>1:33.85</t>
  </si>
  <si>
    <t>15.09</t>
  </si>
  <si>
    <t>40.98</t>
  </si>
  <si>
    <t>53.17</t>
  </si>
  <si>
    <t>1:19.34</t>
  </si>
  <si>
    <t>2:10.49</t>
  </si>
  <si>
    <t>2:25.23</t>
  </si>
  <si>
    <t>46.67</t>
  </si>
  <si>
    <t>31.31</t>
  </si>
  <si>
    <t>44.76</t>
  </si>
  <si>
    <t>53.72</t>
  </si>
  <si>
    <t>29.87</t>
  </si>
  <si>
    <t>2:14.69</t>
  </si>
  <si>
    <t>43.18</t>
  </si>
  <si>
    <t>4565</t>
  </si>
  <si>
    <t>38.34</t>
  </si>
  <si>
    <t>40.88</t>
  </si>
  <si>
    <t>1:43.67</t>
  </si>
  <si>
    <r>
      <rPr>
        <color rgb="FF000000"/>
        <sz val="9.0"/>
      </rPr>
      <t>37.7</t>
    </r>
    <r>
      <rPr>
        <color rgb="FF000000"/>
        <sz val="9.0"/>
      </rPr>
      <t>8</t>
    </r>
  </si>
  <si>
    <t>18.08</t>
  </si>
  <si>
    <t>46.28</t>
  </si>
  <si>
    <t>31.42</t>
  </si>
  <si>
    <t>1:01.04</t>
  </si>
  <si>
    <t>2:29.30</t>
  </si>
  <si>
    <t>20.05</t>
  </si>
  <si>
    <t>1:57.78</t>
  </si>
  <si>
    <t>33.71</t>
  </si>
  <si>
    <t>31.11</t>
  </si>
  <si>
    <t>36.51</t>
  </si>
  <si>
    <t>3:40.84</t>
  </si>
  <si>
    <t>42.84</t>
  </si>
  <si>
    <t>48.14</t>
  </si>
  <si>
    <t>59.56</t>
  </si>
  <si>
    <t>13.17</t>
  </si>
  <si>
    <t>1:15.68</t>
  </si>
  <si>
    <t>1:54.02</t>
  </si>
  <si>
    <t>1:45.62</t>
  </si>
  <si>
    <t>53.45</t>
  </si>
  <si>
    <t>2:15.90</t>
  </si>
  <si>
    <t>2:27.03</t>
  </si>
  <si>
    <t>24.06</t>
  </si>
  <si>
    <t>4:13.69</t>
  </si>
  <si>
    <t>39.48</t>
  </si>
  <si>
    <t>2:44.49</t>
  </si>
  <si>
    <t>37.32</t>
  </si>
  <si>
    <t>55.56</t>
  </si>
  <si>
    <t>35.82</t>
  </si>
  <si>
    <t>59.91</t>
  </si>
  <si>
    <t>2:12.22</t>
  </si>
  <si>
    <t>1:03.43</t>
  </si>
  <si>
    <t>2:10.79</t>
  </si>
  <si>
    <t>1:35.22</t>
  </si>
  <si>
    <t>16.09</t>
  </si>
  <si>
    <t>19.59</t>
  </si>
  <si>
    <t>18.36</t>
  </si>
  <si>
    <t>23.37</t>
  </si>
  <si>
    <t>33.56</t>
  </si>
  <si>
    <t>26.55</t>
  </si>
  <si>
    <t>6.86</t>
  </si>
  <si>
    <t>4563</t>
  </si>
  <si>
    <t>1:19.48</t>
  </si>
  <si>
    <t>2:29.68</t>
  </si>
  <si>
    <t>17.38</t>
  </si>
  <si>
    <t>16.76</t>
  </si>
  <si>
    <t>19.61</t>
  </si>
  <si>
    <t>42.68</t>
  </si>
  <si>
    <t>33.86</t>
  </si>
  <si>
    <t>1:32.13</t>
  </si>
  <si>
    <t>25.90</t>
  </si>
  <si>
    <t>2:23.33</t>
  </si>
  <si>
    <t>4:15.63</t>
  </si>
  <si>
    <t>56.16</t>
  </si>
  <si>
    <t>35.47</t>
  </si>
  <si>
    <t>1:44.70</t>
  </si>
  <si>
    <t>30.36</t>
  </si>
  <si>
    <t>45.74</t>
  </si>
  <si>
    <t>1:21.03</t>
  </si>
  <si>
    <t>58.95</t>
  </si>
  <si>
    <t>27.93</t>
  </si>
  <si>
    <t>6.79</t>
  </si>
  <si>
    <t>4553</t>
  </si>
  <si>
    <t>52.48</t>
  </si>
  <si>
    <t>14.03</t>
  </si>
  <si>
    <t>2:17.58</t>
  </si>
  <si>
    <t>40.06</t>
  </si>
  <si>
    <t>1:15.96</t>
  </si>
  <si>
    <t>32.88</t>
  </si>
  <si>
    <t>3:02.86</t>
  </si>
  <si>
    <t>54.13</t>
  </si>
  <si>
    <t>58.64</t>
  </si>
  <si>
    <t>2:52.21</t>
  </si>
  <si>
    <t>1:56.51</t>
  </si>
  <si>
    <t>1:15.62</t>
  </si>
  <si>
    <t>1:06.71</t>
  </si>
  <si>
    <t>12.91</t>
  </si>
  <si>
    <t>1:11.56</t>
  </si>
  <si>
    <t>3:42.77</t>
  </si>
  <si>
    <t>54.66</t>
  </si>
  <si>
    <t>28.49</t>
  </si>
  <si>
    <t>1:25.42</t>
  </si>
  <si>
    <t>1:53.63</t>
  </si>
  <si>
    <t>1:28.17</t>
  </si>
  <si>
    <t>35.34</t>
  </si>
  <si>
    <t>2:20.41</t>
  </si>
  <si>
    <t>3:51.34</t>
  </si>
  <si>
    <t>3:02.81</t>
  </si>
  <si>
    <t>1:38.92</t>
  </si>
  <si>
    <t>15.01</t>
  </si>
  <si>
    <t>14.48</t>
  </si>
  <si>
    <t>58.86</t>
  </si>
  <si>
    <t>32.26</t>
  </si>
  <si>
    <t>2:14.26</t>
  </si>
  <si>
    <t>18.68</t>
  </si>
  <si>
    <t>1:39.66</t>
  </si>
  <si>
    <t>20.93</t>
  </si>
  <si>
    <t>17.86</t>
  </si>
  <si>
    <t>33.62</t>
  </si>
  <si>
    <t>33.99</t>
  </si>
  <si>
    <t>36.49</t>
  </si>
  <si>
    <t>7.13</t>
  </si>
  <si>
    <t>4530</t>
  </si>
  <si>
    <t>105</t>
  </si>
  <si>
    <t>54.04</t>
  </si>
  <si>
    <t>2:24.94</t>
  </si>
  <si>
    <t>40.86</t>
  </si>
  <si>
    <t>2:54.16</t>
  </si>
  <si>
    <t>53.65</t>
  </si>
  <si>
    <t>1:32.61</t>
  </si>
  <si>
    <t>2:01.37</t>
  </si>
  <si>
    <t>39.05</t>
  </si>
  <si>
    <t>3:01.78</t>
  </si>
  <si>
    <t>1:45.73</t>
  </si>
  <si>
    <t>35.29</t>
  </si>
  <si>
    <t>2:25.66</t>
  </si>
  <si>
    <t>2:18.19</t>
  </si>
  <si>
    <t>4:20.53</t>
  </si>
  <si>
    <t>37.67</t>
  </si>
  <si>
    <t>1:38.63</t>
  </si>
  <si>
    <t>53.42</t>
  </si>
  <si>
    <t>16.43</t>
  </si>
  <si>
    <t>1:05.08</t>
  </si>
  <si>
    <t>1:59.54</t>
  </si>
  <si>
    <t>15.44</t>
  </si>
  <si>
    <t>45.32</t>
  </si>
  <si>
    <t>30.04</t>
  </si>
  <si>
    <t>2:13.49</t>
  </si>
  <si>
    <t>1:43.19</t>
  </si>
  <si>
    <t>1:41.92</t>
  </si>
  <si>
    <t>43.75</t>
  </si>
  <si>
    <t>24.19</t>
  </si>
  <si>
    <t>1:04.09</t>
  </si>
  <si>
    <t>Rossyroo</t>
  </si>
  <si>
    <t>4498</t>
  </si>
  <si>
    <t>47</t>
  </si>
  <si>
    <t>1:19.62</t>
  </si>
  <si>
    <t>37.42</t>
  </si>
  <si>
    <t>43.60</t>
  </si>
  <si>
    <t>16.61</t>
  </si>
  <si>
    <t>44.05</t>
  </si>
  <si>
    <t>1:45.71</t>
  </si>
  <si>
    <t>Anonymous 1</t>
  </si>
  <si>
    <t>4251</t>
  </si>
  <si>
    <t>50.97</t>
  </si>
  <si>
    <t>2:21.86</t>
  </si>
  <si>
    <t>1:12.81</t>
  </si>
  <si>
    <t>40.29</t>
  </si>
  <si>
    <t>17.25</t>
  </si>
  <si>
    <t>40.34</t>
  </si>
  <si>
    <t>9.71</t>
  </si>
  <si>
    <t>27.46</t>
  </si>
  <si>
    <t>50.14</t>
  </si>
  <si>
    <t>1:27.86</t>
  </si>
  <si>
    <t>54.89</t>
  </si>
  <si>
    <t>17.99</t>
  </si>
  <si>
    <t>sIime</t>
  </si>
  <si>
    <t>4238</t>
  </si>
  <si>
    <t>1:08.77</t>
  </si>
  <si>
    <t>43.55</t>
  </si>
  <si>
    <t>39.37</t>
  </si>
  <si>
    <t>25.95</t>
  </si>
  <si>
    <t>2:17.23</t>
  </si>
  <si>
    <t>4195</t>
  </si>
  <si>
    <t>1:24.62</t>
  </si>
  <si>
    <t>2:15.07</t>
  </si>
  <si>
    <t>15.40</t>
  </si>
  <si>
    <t>46.18</t>
  </si>
  <si>
    <t>1:33.34</t>
  </si>
  <si>
    <t>54.30</t>
  </si>
  <si>
    <t>56.94</t>
  </si>
  <si>
    <t>53.82</t>
  </si>
  <si>
    <t>2:25.93</t>
  </si>
  <si>
    <t>39.62</t>
  </si>
  <si>
    <t>29.79</t>
  </si>
  <si>
    <t>1:36.69</t>
  </si>
  <si>
    <t>33.49</t>
  </si>
  <si>
    <t>2:12.86</t>
  </si>
  <si>
    <t>19.21</t>
  </si>
  <si>
    <t>14.96</t>
  </si>
  <si>
    <t>1:04.12</t>
  </si>
  <si>
    <t>38.89</t>
  </si>
  <si>
    <t>27.44</t>
  </si>
  <si>
    <t>8.72</t>
  </si>
  <si>
    <t>Arceus2319</t>
  </si>
  <si>
    <t>4165</t>
  </si>
  <si>
    <t>95</t>
  </si>
  <si>
    <t>1:20.20</t>
  </si>
  <si>
    <t>39.56</t>
  </si>
  <si>
    <t>16.15</t>
  </si>
  <si>
    <t>1:20.35</t>
  </si>
  <si>
    <t>35.74</t>
  </si>
  <si>
    <t>2:23.02</t>
  </si>
  <si>
    <t>46.78</t>
  </si>
  <si>
    <t>30.48</t>
  </si>
  <si>
    <t>1:55.21</t>
  </si>
  <si>
    <t>32.45</t>
  </si>
  <si>
    <t>3:25.39</t>
  </si>
  <si>
    <t>47.32</t>
  </si>
  <si>
    <t>55.23</t>
  </si>
  <si>
    <t>28.45</t>
  </si>
  <si>
    <t>34.94</t>
  </si>
  <si>
    <t>24.02</t>
  </si>
  <si>
    <t>58.98</t>
  </si>
  <si>
    <t>2:25.21</t>
  </si>
  <si>
    <t>2:20.12</t>
  </si>
  <si>
    <t>4:20.13</t>
  </si>
  <si>
    <t>29.43</t>
  </si>
  <si>
    <t>1:45.23</t>
  </si>
  <si>
    <t>1:22.54</t>
  </si>
  <si>
    <t>13.71</t>
  </si>
  <si>
    <t>32.99</t>
  </si>
  <si>
    <t>59.78</t>
  </si>
  <si>
    <t>31.87</t>
  </si>
  <si>
    <t>2:15.49</t>
  </si>
  <si>
    <t>18.02</t>
  </si>
  <si>
    <t>35.01</t>
  </si>
  <si>
    <t>33.32</t>
  </si>
  <si>
    <t>32.49</t>
  </si>
  <si>
    <t>26.10</t>
  </si>
  <si>
    <t>7.46</t>
  </si>
  <si>
    <t>4034</t>
  </si>
  <si>
    <t>1:41.62</t>
  </si>
  <si>
    <t>58.65</t>
  </si>
  <si>
    <t>23.56</t>
  </si>
  <si>
    <t>1:56.72</t>
  </si>
  <si>
    <t>21.58</t>
  </si>
  <si>
    <t>24.87</t>
  </si>
  <si>
    <t>4007</t>
  </si>
  <si>
    <t>1:21.36</t>
  </si>
  <si>
    <t>1:12.24</t>
  </si>
  <si>
    <t>17.48</t>
  </si>
  <si>
    <t>45.35</t>
  </si>
  <si>
    <t>19.58</t>
  </si>
  <si>
    <t>36.92</t>
  </si>
  <si>
    <t>35.61</t>
  </si>
  <si>
    <t>22.44</t>
  </si>
  <si>
    <t>4:21.54</t>
  </si>
  <si>
    <t>45.20</t>
  </si>
  <si>
    <t>46.06</t>
  </si>
  <si>
    <t>Briguy</t>
  </si>
  <si>
    <t>3921</t>
  </si>
  <si>
    <t>38.87</t>
  </si>
  <si>
    <t>14.49</t>
  </si>
  <si>
    <t>45.90</t>
  </si>
  <si>
    <t>2:28.24</t>
  </si>
  <si>
    <t>1:11.91</t>
  </si>
  <si>
    <t>37.82</t>
  </si>
  <si>
    <t>18.05</t>
  </si>
  <si>
    <t>1:32.90</t>
  </si>
  <si>
    <t>48.97</t>
  </si>
  <si>
    <t>57.51</t>
  </si>
  <si>
    <t>2:22.43</t>
  </si>
  <si>
    <t>20.34</t>
  </si>
  <si>
    <t>1:49.57</t>
  </si>
  <si>
    <t>53.03</t>
  </si>
  <si>
    <t>1:04.32</t>
  </si>
  <si>
    <t>31.63</t>
  </si>
  <si>
    <t>3:00.38</t>
  </si>
  <si>
    <t>1:31.10</t>
  </si>
  <si>
    <t>54.47</t>
  </si>
  <si>
    <t>36.76</t>
  </si>
  <si>
    <t>25.03</t>
  </si>
  <si>
    <t>55.10</t>
  </si>
  <si>
    <t>24.01</t>
  </si>
  <si>
    <t>2:16.32</t>
  </si>
  <si>
    <t>25.36</t>
  </si>
  <si>
    <t>4:22.30</t>
  </si>
  <si>
    <t>1:07.15</t>
  </si>
  <si>
    <t>2:36.22</t>
  </si>
  <si>
    <t>31.05</t>
  </si>
  <si>
    <t>37.40</t>
  </si>
  <si>
    <t>1:37.64</t>
  </si>
  <si>
    <t>33.23</t>
  </si>
  <si>
    <t>1:01.70</t>
  </si>
  <si>
    <t>32.56</t>
  </si>
  <si>
    <t>2:09.05</t>
  </si>
  <si>
    <t>56.77</t>
  </si>
  <si>
    <t>1:42.08</t>
  </si>
  <si>
    <t>23.41</t>
  </si>
  <si>
    <t>20.41</t>
  </si>
  <si>
    <t>1:22.80</t>
  </si>
  <si>
    <t>33.43</t>
  </si>
  <si>
    <t>23.01</t>
  </si>
  <si>
    <t>3891</t>
  </si>
  <si>
    <t>43.52</t>
  </si>
  <si>
    <t>1:13.75</t>
  </si>
  <si>
    <t>54.99</t>
  </si>
  <si>
    <t>17.75</t>
  </si>
  <si>
    <t>20.17</t>
  </si>
  <si>
    <t>57.82</t>
  </si>
  <si>
    <t>33.96</t>
  </si>
  <si>
    <t>27.47</t>
  </si>
  <si>
    <t>1:48.81</t>
  </si>
  <si>
    <t>2:20.68</t>
  </si>
  <si>
    <t>4:20.84</t>
  </si>
  <si>
    <t>1:08.19</t>
  </si>
  <si>
    <t>1:20.58</t>
  </si>
  <si>
    <t>Taggo</t>
  </si>
  <si>
    <t>3874</t>
  </si>
  <si>
    <t>1:22.61</t>
  </si>
  <si>
    <t>2:21.01</t>
  </si>
  <si>
    <t>17.06</t>
  </si>
  <si>
    <t>18.25</t>
  </si>
  <si>
    <t>42.41</t>
  </si>
  <si>
    <t>40.73</t>
  </si>
  <si>
    <t>56.63</t>
  </si>
  <si>
    <t>1:26.39</t>
  </si>
  <si>
    <t>1:36.17</t>
  </si>
  <si>
    <t>1:39.22</t>
  </si>
  <si>
    <t>53.55</t>
  </si>
  <si>
    <t>24.34</t>
  </si>
  <si>
    <t>2:08.49</t>
  </si>
  <si>
    <t>2:26.87</t>
  </si>
  <si>
    <t>2:18.58</t>
  </si>
  <si>
    <t>1:35.31</t>
  </si>
  <si>
    <t>14.08</t>
  </si>
  <si>
    <t>30.07</t>
  </si>
  <si>
    <t>2:13.59</t>
  </si>
  <si>
    <t>19.07</t>
  </si>
  <si>
    <t>Antislycer</t>
  </si>
  <si>
    <t>3716</t>
  </si>
  <si>
    <t>1:13.87</t>
  </si>
  <si>
    <t>40.56</t>
  </si>
  <si>
    <t>41.53</t>
  </si>
  <si>
    <t>53.92</t>
  </si>
  <si>
    <t>17.98</t>
  </si>
  <si>
    <t>45.05</t>
  </si>
  <si>
    <t>1:11.98</t>
  </si>
  <si>
    <t>41.46</t>
  </si>
  <si>
    <t>1:14.86</t>
  </si>
  <si>
    <t>1:51.69</t>
  </si>
  <si>
    <t>36.22</t>
  </si>
  <si>
    <t>24.71</t>
  </si>
  <si>
    <t>2:01.70</t>
  </si>
  <si>
    <t>25.91</t>
  </si>
  <si>
    <t>40.51</t>
  </si>
  <si>
    <t>1:36.66</t>
  </si>
  <si>
    <t>53.58</t>
  </si>
  <si>
    <t>2:16.09</t>
  </si>
  <si>
    <t>34.25</t>
  </si>
  <si>
    <t>7.73</t>
  </si>
  <si>
    <t>3681</t>
  </si>
  <si>
    <t>2:26.73</t>
  </si>
  <si>
    <t>2:28.07</t>
  </si>
  <si>
    <t>51.70</t>
  </si>
  <si>
    <t>31.29</t>
  </si>
  <si>
    <t>15.31</t>
  </si>
  <si>
    <t>2:12.19</t>
  </si>
  <si>
    <t>1:17.76</t>
  </si>
  <si>
    <t>31.53</t>
  </si>
  <si>
    <t>2:35.48</t>
  </si>
  <si>
    <t>54.37</t>
  </si>
  <si>
    <t>42.58</t>
  </si>
  <si>
    <t>37.93</t>
  </si>
  <si>
    <t>48.55</t>
  </si>
  <si>
    <t>1:52.89</t>
  </si>
  <si>
    <t>1:39.57</t>
  </si>
  <si>
    <t>1:38.28</t>
  </si>
  <si>
    <t>37.05</t>
  </si>
  <si>
    <t>26.06</t>
  </si>
  <si>
    <t>4:10.46</t>
  </si>
  <si>
    <t>1:06.05</t>
  </si>
  <si>
    <t>2:29.49</t>
  </si>
  <si>
    <t>1:01.57</t>
  </si>
  <si>
    <t>39.04</t>
  </si>
  <si>
    <t>1:36.85</t>
  </si>
  <si>
    <t>38.16</t>
  </si>
  <si>
    <t>2:12.06</t>
  </si>
  <si>
    <t>19.46</t>
  </si>
  <si>
    <t>1:33.82</t>
  </si>
  <si>
    <t>1:39.75</t>
  </si>
  <si>
    <t>17.12</t>
  </si>
  <si>
    <t>25.10</t>
  </si>
  <si>
    <t>35.50</t>
  </si>
  <si>
    <t>29.16</t>
  </si>
  <si>
    <t>34.44</t>
  </si>
  <si>
    <t>Techstrobe</t>
  </si>
  <si>
    <t>3621</t>
  </si>
  <si>
    <t>41.16</t>
  </si>
  <si>
    <t>54.10</t>
  </si>
  <si>
    <t>1:30.50</t>
  </si>
  <si>
    <t>1:40.31</t>
  </si>
  <si>
    <t>53.99</t>
  </si>
  <si>
    <t>35.66</t>
  </si>
  <si>
    <t>24.82</t>
  </si>
  <si>
    <t>52.92</t>
  </si>
  <si>
    <t>2:04.46</t>
  </si>
  <si>
    <t>2:18.09</t>
  </si>
  <si>
    <t>1:43.31</t>
  </si>
  <si>
    <t>13.39</t>
  </si>
  <si>
    <t>15.71</t>
  </si>
  <si>
    <t>13.41</t>
  </si>
  <si>
    <t>2:12.02</t>
  </si>
  <si>
    <t>43.37</t>
  </si>
  <si>
    <t>3605</t>
  </si>
  <si>
    <t>1:19.84</t>
  </si>
  <si>
    <t>13.97</t>
  </si>
  <si>
    <t>41.02</t>
  </si>
  <si>
    <t>1:56.01</t>
  </si>
  <si>
    <t>1:25.80</t>
  </si>
  <si>
    <t>1:39.31</t>
  </si>
  <si>
    <t>2:29.07</t>
  </si>
  <si>
    <t>45.55</t>
  </si>
  <si>
    <t>3492</t>
  </si>
  <si>
    <t>53.16</t>
  </si>
  <si>
    <t>14.24</t>
  </si>
  <si>
    <t>2:32.91</t>
  </si>
  <si>
    <t>1:15.01</t>
  </si>
  <si>
    <t>41.09</t>
  </si>
  <si>
    <t>1:19.54</t>
  </si>
  <si>
    <t>3:44.18</t>
  </si>
  <si>
    <t>1:07.56</t>
  </si>
  <si>
    <t>2:59.03</t>
  </si>
  <si>
    <t>20.85</t>
  </si>
  <si>
    <t>3:39.97</t>
  </si>
  <si>
    <t>29.02</t>
  </si>
  <si>
    <t>58.20</t>
  </si>
  <si>
    <t>47.23</t>
  </si>
  <si>
    <t>1:01.23</t>
  </si>
  <si>
    <t>13.43</t>
  </si>
  <si>
    <t>1:24.94</t>
  </si>
  <si>
    <t>2:19.06</t>
  </si>
  <si>
    <t>2:19.96</t>
  </si>
  <si>
    <t>4:20.83</t>
  </si>
  <si>
    <t>3:06.68</t>
  </si>
  <si>
    <t>1:01.62</t>
  </si>
  <si>
    <t>39.53</t>
  </si>
  <si>
    <t>1:26.56</t>
  </si>
  <si>
    <t>1:03.41</t>
  </si>
  <si>
    <t>2:03.22</t>
  </si>
  <si>
    <t>1:58.61</t>
  </si>
  <si>
    <t>2:07.62</t>
  </si>
  <si>
    <t>45.49</t>
  </si>
  <si>
    <t>1:27.07</t>
  </si>
  <si>
    <t>25.53</t>
  </si>
  <si>
    <t>21.12</t>
  </si>
  <si>
    <t>1:02.09</t>
  </si>
  <si>
    <t>7.16</t>
  </si>
  <si>
    <t>TomDollars</t>
  </si>
  <si>
    <t>3390</t>
  </si>
  <si>
    <t>38.21</t>
  </si>
  <si>
    <t>14.10</t>
  </si>
  <si>
    <t>2:18.90</t>
  </si>
  <si>
    <t>45.45</t>
  </si>
  <si>
    <t>16.26</t>
  </si>
  <si>
    <t>2:33.30</t>
  </si>
  <si>
    <t>34.45</t>
  </si>
  <si>
    <t>1:40.08</t>
  </si>
  <si>
    <t>2:27.25</t>
  </si>
  <si>
    <t>24.43</t>
  </si>
  <si>
    <t>2:57.99</t>
  </si>
  <si>
    <t>31.67</t>
  </si>
  <si>
    <t>34.04</t>
  </si>
  <si>
    <t>1:35.99</t>
  </si>
  <si>
    <t>2:04.41</t>
  </si>
  <si>
    <t>1:44.23</t>
  </si>
  <si>
    <t>43.59</t>
  </si>
  <si>
    <t>Vallu</t>
  </si>
  <si>
    <t>3373</t>
  </si>
  <si>
    <t>44.51</t>
  </si>
  <si>
    <t>1:28.93</t>
  </si>
  <si>
    <t>34.50</t>
  </si>
  <si>
    <t>44.46</t>
  </si>
  <si>
    <t>56.82</t>
  </si>
  <si>
    <t>3252</t>
  </si>
  <si>
    <t>51.42</t>
  </si>
  <si>
    <t>55.91</t>
  </si>
  <si>
    <t>3221</t>
  </si>
  <si>
    <t>38.04</t>
  </si>
  <si>
    <t>16.16</t>
  </si>
  <si>
    <t>15.94</t>
  </si>
  <si>
    <t>1:17.69</t>
  </si>
  <si>
    <t>38.98</t>
  </si>
  <si>
    <t>1:21.95</t>
  </si>
  <si>
    <t>1:44.89</t>
  </si>
  <si>
    <t>24.47</t>
  </si>
  <si>
    <t>2:17.61</t>
  </si>
  <si>
    <t>1:45.84</t>
  </si>
  <si>
    <t>55.20</t>
  </si>
  <si>
    <t>1:05.22</t>
  </si>
  <si>
    <t>19.04</t>
  </si>
  <si>
    <t>14.68</t>
  </si>
  <si>
    <t>23.31</t>
  </si>
  <si>
    <t>28.87</t>
  </si>
  <si>
    <t>3207</t>
  </si>
  <si>
    <t>37.50</t>
  </si>
  <si>
    <t>2:16.80</t>
  </si>
  <si>
    <t>1:04.01</t>
  </si>
  <si>
    <t>2:47.12</t>
  </si>
  <si>
    <t>1:35.55</t>
  </si>
  <si>
    <t>39.71</t>
  </si>
  <si>
    <t>45.61</t>
  </si>
  <si>
    <t>1:16.95</t>
  </si>
  <si>
    <t>10.34</t>
  </si>
  <si>
    <t>32.64</t>
  </si>
  <si>
    <t>2:27.70</t>
  </si>
  <si>
    <t>1:07.17</t>
  </si>
  <si>
    <t>1:12.16</t>
  </si>
  <si>
    <t>1:30.21</t>
  </si>
  <si>
    <t>58.68</t>
  </si>
  <si>
    <t>30.63</t>
  </si>
  <si>
    <t>Fizz</t>
  </si>
  <si>
    <t>3202</t>
  </si>
  <si>
    <t>54.75</t>
  </si>
  <si>
    <t>2:30.37</t>
  </si>
  <si>
    <t>1:17.42</t>
  </si>
  <si>
    <t>17.81</t>
  </si>
  <si>
    <t>36.68</t>
  </si>
  <si>
    <t>54.32</t>
  </si>
  <si>
    <t>14.97</t>
  </si>
  <si>
    <t>51.13</t>
  </si>
  <si>
    <t>1:04.73</t>
  </si>
  <si>
    <t>1:56.56</t>
  </si>
  <si>
    <t>1:17.73</t>
  </si>
  <si>
    <t>50.76</t>
  </si>
  <si>
    <t>2:22.29</t>
  </si>
  <si>
    <t>4:18.70</t>
  </si>
  <si>
    <t>1:47.48</t>
  </si>
  <si>
    <t>1:09.37</t>
  </si>
  <si>
    <t>1:04.65</t>
  </si>
  <si>
    <t>15.88</t>
  </si>
  <si>
    <t>1:24.16</t>
  </si>
  <si>
    <t>2:08.52</t>
  </si>
  <si>
    <t>39.23</t>
  </si>
  <si>
    <t>1:05.26</t>
  </si>
  <si>
    <t>mwolfe11</t>
  </si>
  <si>
    <t>3184</t>
  </si>
  <si>
    <t>1:26.19</t>
  </si>
  <si>
    <t>39.17</t>
  </si>
  <si>
    <t>2:27.16</t>
  </si>
  <si>
    <t>1:14.71</t>
  </si>
  <si>
    <t>16.86</t>
  </si>
  <si>
    <t>19.42</t>
  </si>
  <si>
    <t>59.47</t>
  </si>
  <si>
    <t>1:28.97</t>
  </si>
  <si>
    <t>2:15.38</t>
  </si>
  <si>
    <t>1:48.62</t>
  </si>
  <si>
    <t>1:02.17</t>
  </si>
  <si>
    <t>3:15.25</t>
  </si>
  <si>
    <t>42.54</t>
  </si>
  <si>
    <t>1:01.74</t>
  </si>
  <si>
    <t>1:56.45</t>
  </si>
  <si>
    <t>38.90</t>
  </si>
  <si>
    <t>2:21.35</t>
  </si>
  <si>
    <t>2:13.36</t>
  </si>
  <si>
    <t>24.05</t>
  </si>
  <si>
    <t>1:04.40</t>
  </si>
  <si>
    <t>1:09.28</t>
  </si>
  <si>
    <t>50.46</t>
  </si>
  <si>
    <t>2:05.42</t>
  </si>
  <si>
    <t>1:28.77</t>
  </si>
  <si>
    <t>16.32</t>
  </si>
  <si>
    <t>21.80</t>
  </si>
  <si>
    <t>20.26</t>
  </si>
  <si>
    <t>1:34.56</t>
  </si>
  <si>
    <t>31.82</t>
  </si>
  <si>
    <t>34.08</t>
  </si>
  <si>
    <t>6.65</t>
  </si>
  <si>
    <t>iusu</t>
  </si>
  <si>
    <t>3171</t>
  </si>
  <si>
    <t>38.18</t>
  </si>
  <si>
    <t>1:33.08</t>
  </si>
  <si>
    <t>46.46</t>
  </si>
  <si>
    <t>2:30.52</t>
  </si>
  <si>
    <t>2:25.16</t>
  </si>
  <si>
    <t>4:23.04</t>
  </si>
  <si>
    <t>1:09.52</t>
  </si>
  <si>
    <t>quarters</t>
  </si>
  <si>
    <t>3155</t>
  </si>
  <si>
    <t>2:17.08</t>
  </si>
  <si>
    <t>54.65</t>
  </si>
  <si>
    <t>43.35</t>
  </si>
  <si>
    <t>25.56</t>
  </si>
  <si>
    <t>2:18.14</t>
  </si>
  <si>
    <t>2:16.46</t>
  </si>
  <si>
    <t>1:43.75</t>
  </si>
  <si>
    <t>48.64</t>
  </si>
  <si>
    <t>Basten</t>
  </si>
  <si>
    <t>1:18.88</t>
  </si>
  <si>
    <r>
      <rPr>
        <color rgb="FF000000"/>
        <sz val="9.0"/>
        <u/>
      </rPr>
      <t>30.</t>
    </r>
    <r>
      <rPr>
        <color rgb="FF000000"/>
        <sz val="9.0"/>
      </rPr>
      <t>43</t>
    </r>
  </si>
  <si>
    <t>55.36</t>
  </si>
  <si>
    <t>26.83</t>
  </si>
  <si>
    <t>53.79</t>
  </si>
  <si>
    <t>1:21.58</t>
  </si>
  <si>
    <r>
      <rPr>
        <color rgb="FF000000"/>
        <sz val="9.0"/>
        <u/>
      </rPr>
      <t>1:27</t>
    </r>
    <r>
      <rPr>
        <color rgb="FF000000"/>
        <sz val="9.0"/>
        <u/>
      </rPr>
      <t>.49</t>
    </r>
  </si>
  <si>
    <t>35.55</t>
  </si>
  <si>
    <t>24.41</t>
  </si>
  <si>
    <t>28.53</t>
  </si>
  <si>
    <t>1:43.47</t>
  </si>
  <si>
    <t>46.09</t>
  </si>
  <si>
    <t>44.02</t>
  </si>
  <si>
    <t>3080</t>
  </si>
  <si>
    <t>1:23.88</t>
  </si>
  <si>
    <t>17.37</t>
  </si>
  <si>
    <t>2:53.89</t>
  </si>
  <si>
    <t>54.03</t>
  </si>
  <si>
    <t>17.92</t>
  </si>
  <si>
    <t>46.27</t>
  </si>
  <si>
    <t>31.72</t>
  </si>
  <si>
    <t>54.57</t>
  </si>
  <si>
    <t>2:22.63</t>
  </si>
  <si>
    <t>1:56.67</t>
  </si>
  <si>
    <t>1:09.82</t>
  </si>
  <si>
    <t>34.05</t>
  </si>
  <si>
    <t>2:53.81</t>
  </si>
  <si>
    <t>57.74</t>
  </si>
  <si>
    <t>1:41.94</t>
  </si>
  <si>
    <t>13.31</t>
  </si>
  <si>
    <t>1:51.86</t>
  </si>
  <si>
    <t>36.99</t>
  </si>
  <si>
    <t>2:22.83</t>
  </si>
  <si>
    <t>4:16.76</t>
  </si>
  <si>
    <t>2:42.13</t>
  </si>
  <si>
    <t>1:02.38</t>
  </si>
  <si>
    <t>34.68</t>
  </si>
  <si>
    <t>1:44.30</t>
  </si>
  <si>
    <t>1:00.99</t>
  </si>
  <si>
    <t>11.61</t>
  </si>
  <si>
    <t>58.92</t>
  </si>
  <si>
    <t>26.79</t>
  </si>
  <si>
    <t>6.96</t>
  </si>
  <si>
    <t>hiyoko</t>
  </si>
  <si>
    <t>3037</t>
  </si>
  <si>
    <t>38.44</t>
  </si>
  <si>
    <t>2:24.53</t>
  </si>
  <si>
    <t>2:56.10</t>
  </si>
  <si>
    <t>52.49</t>
  </si>
  <si>
    <t>2:36.53</t>
  </si>
  <si>
    <t>3:36.07</t>
  </si>
  <si>
    <t>54.06</t>
  </si>
  <si>
    <t>4:14.76</t>
  </si>
  <si>
    <t>3:04.85</t>
  </si>
  <si>
    <t>1:52.75</t>
  </si>
  <si>
    <t>1:58.78</t>
  </si>
  <si>
    <t>35.09</t>
  </si>
  <si>
    <t>24.51</t>
  </si>
  <si>
    <t>7.92</t>
  </si>
  <si>
    <t>linky628</t>
  </si>
  <si>
    <t>2897</t>
  </si>
  <si>
    <t>1:17.96</t>
  </si>
  <si>
    <t>2:58.01</t>
  </si>
  <si>
    <t>45.88</t>
  </si>
  <si>
    <t>16.74</t>
  </si>
  <si>
    <t>44.34</t>
  </si>
  <si>
    <t>1:17.63</t>
  </si>
  <si>
    <t>36.69</t>
  </si>
  <si>
    <t>2:23.03</t>
  </si>
  <si>
    <t>25.32</t>
  </si>
  <si>
    <t>4:17.43</t>
  </si>
  <si>
    <t>1:01.56</t>
  </si>
  <si>
    <t>35.54</t>
  </si>
  <si>
    <t>18.32</t>
  </si>
  <si>
    <t>33.48</t>
  </si>
  <si>
    <t>2:11.22</t>
  </si>
  <si>
    <t>53.68</t>
  </si>
  <si>
    <t>46.66</t>
  </si>
  <si>
    <t>16.36</t>
  </si>
  <si>
    <t>2896</t>
  </si>
  <si>
    <t>37.604</t>
  </si>
  <si>
    <t>13.980</t>
  </si>
  <si>
    <t>47.380</t>
  </si>
  <si>
    <t>2:27.413</t>
  </si>
  <si>
    <t>1:12.939</t>
  </si>
  <si>
    <t>41.808</t>
  </si>
  <si>
    <t>3:31.61</t>
  </si>
  <si>
    <t>19.35</t>
  </si>
  <si>
    <t>31.74</t>
  </si>
  <si>
    <t>16.73</t>
  </si>
  <si>
    <t>1:10.07</t>
  </si>
  <si>
    <t>36.50</t>
  </si>
  <si>
    <t>34.72</t>
  </si>
  <si>
    <t>42.18</t>
  </si>
  <si>
    <t>51.53</t>
  </si>
  <si>
    <t>1:53.08</t>
  </si>
  <si>
    <t>2:14.67</t>
  </si>
  <si>
    <t>1:55.69</t>
  </si>
  <si>
    <t>1:01.32</t>
  </si>
  <si>
    <t>36.75</t>
  </si>
  <si>
    <t>26.13</t>
  </si>
  <si>
    <t>2:19.00</t>
  </si>
  <si>
    <t>24.26</t>
  </si>
  <si>
    <t>4:10.89</t>
  </si>
  <si>
    <t>1:04.45</t>
  </si>
  <si>
    <t>2:15.13</t>
  </si>
  <si>
    <t>14.41</t>
  </si>
  <si>
    <t>1:15.88</t>
  </si>
  <si>
    <t>2:19.19</t>
  </si>
  <si>
    <t>1:09.17</t>
  </si>
  <si>
    <t>2:06.05</t>
  </si>
  <si>
    <t>2865</t>
  </si>
  <si>
    <t>60</t>
  </si>
  <si>
    <t>38.471</t>
  </si>
  <si>
    <t>45.979</t>
  </si>
  <si>
    <t>2:20.20</t>
  </si>
  <si>
    <t>1:12.705</t>
  </si>
  <si>
    <t>39.806</t>
  </si>
  <si>
    <t>16.516</t>
  </si>
  <si>
    <t>37.09</t>
  </si>
  <si>
    <t>16.416</t>
  </si>
  <si>
    <r>
      <rPr>
        <color rgb="FF000000"/>
        <sz val="9.0"/>
      </rPr>
      <t>31.</t>
    </r>
    <r>
      <rPr>
        <color rgb="FF000000"/>
        <sz val="9.0"/>
      </rPr>
      <t>064</t>
    </r>
  </si>
  <si>
    <t>37.57</t>
  </si>
  <si>
    <t>42.342</t>
  </si>
  <si>
    <t>28.995</t>
  </si>
  <si>
    <t>46.413</t>
  </si>
  <si>
    <t>56.890</t>
  </si>
  <si>
    <t>28.194</t>
  </si>
  <si>
    <t>1:27.821</t>
  </si>
  <si>
    <t>13.013</t>
  </si>
  <si>
    <t>1:51.845</t>
  </si>
  <si>
    <t>53.586</t>
  </si>
  <si>
    <t>24.257</t>
  </si>
  <si>
    <t>24.424</t>
  </si>
  <si>
    <t>1:05.95</t>
  </si>
  <si>
    <t>58.992</t>
  </si>
  <si>
    <t>29.896</t>
  </si>
  <si>
    <t>39.13</t>
  </si>
  <si>
    <t>1:37.130</t>
  </si>
  <si>
    <t>30.964</t>
  </si>
  <si>
    <t>35.435</t>
  </si>
  <si>
    <t>1:03.08</t>
  </si>
  <si>
    <t>45.812</t>
  </si>
  <si>
    <t>32.799</t>
  </si>
  <si>
    <t>1:01.967</t>
  </si>
  <si>
    <t>32.399</t>
  </si>
  <si>
    <t>43.743</t>
  </si>
  <si>
    <t>1:30.490</t>
  </si>
  <si>
    <t>38.30</t>
  </si>
  <si>
    <t>51.751</t>
  </si>
  <si>
    <t>28.928</t>
  </si>
  <si>
    <t>28.094</t>
  </si>
  <si>
    <t>2821</t>
  </si>
  <si>
    <t>1:28.01</t>
  </si>
  <si>
    <t>38.64</t>
  </si>
  <si>
    <t>1:42.25</t>
  </si>
  <si>
    <t>1:25.16</t>
  </si>
  <si>
    <t>1:39.63</t>
  </si>
  <si>
    <t>24.63</t>
  </si>
  <si>
    <t>24.93</t>
  </si>
  <si>
    <t>2:25.20</t>
  </si>
  <si>
    <t>14.38</t>
  </si>
  <si>
    <t>31.99</t>
  </si>
  <si>
    <t>1:22.97</t>
  </si>
  <si>
    <t>23.05</t>
  </si>
  <si>
    <t>Snide</t>
  </si>
  <si>
    <t>2660</t>
  </si>
  <si>
    <t>1:10.92</t>
  </si>
  <si>
    <t>14.67</t>
  </si>
  <si>
    <t>30.01</t>
  </si>
  <si>
    <t>27.97</t>
  </si>
  <si>
    <t>yungrick</t>
  </si>
  <si>
    <t>2601</t>
  </si>
  <si>
    <r>
      <rPr>
        <color rgb="FF000000"/>
        <sz val="9.0"/>
      </rPr>
      <t>13.9</t>
    </r>
    <r>
      <rPr>
        <color rgb="FF000000"/>
        <sz val="9.0"/>
      </rPr>
      <t>7</t>
    </r>
  </si>
  <si>
    <t>46.86</t>
  </si>
  <si>
    <t>16.22</t>
  </si>
  <si>
    <t>46.42</t>
  </si>
  <si>
    <t>43.61</t>
  </si>
  <si>
    <t>13.32</t>
  </si>
  <si>
    <t>1:49.03</t>
  </si>
  <si>
    <t>38.28</t>
  </si>
  <si>
    <t>14.05</t>
  </si>
  <si>
    <t>1:16.60</t>
  </si>
  <si>
    <t>34.28</t>
  </si>
  <si>
    <t>1:30.26</t>
  </si>
  <si>
    <t>Nimzo</t>
  </si>
  <si>
    <t>2586</t>
  </si>
  <si>
    <r>
      <rPr>
        <color rgb="FF000000"/>
        <sz val="9.0"/>
      </rPr>
      <t>43.</t>
    </r>
    <r>
      <rPr>
        <color rgb="FF000000"/>
        <sz val="9.0"/>
      </rPr>
      <t>03</t>
    </r>
  </si>
  <si>
    <t>40.48</t>
  </si>
  <si>
    <t>53.86</t>
  </si>
  <si>
    <t>14.98</t>
  </si>
  <si>
    <t>58.23</t>
  </si>
  <si>
    <t>35.42</t>
  </si>
  <si>
    <t>52.38</t>
  </si>
  <si>
    <t>2:21.66</t>
  </si>
  <si>
    <t>2:16.02</t>
  </si>
  <si>
    <t>xein</t>
  </si>
  <si>
    <t>2577</t>
  </si>
  <si>
    <t>46.91</t>
  </si>
  <si>
    <t>1:33.18</t>
  </si>
  <si>
    <t>15.36</t>
  </si>
  <si>
    <t>33.12</t>
  </si>
  <si>
    <t>42.85</t>
  </si>
  <si>
    <t>1:51.56</t>
  </si>
  <si>
    <t>2:18.22</t>
  </si>
  <si>
    <t>24.32</t>
  </si>
  <si>
    <t>2:05.51</t>
  </si>
  <si>
    <t>Harusrl</t>
  </si>
  <si>
    <t>2501</t>
  </si>
  <si>
    <t>37.80</t>
  </si>
  <si>
    <t>14.00</t>
  </si>
  <si>
    <t>2:25.72</t>
  </si>
  <si>
    <t>39.69</t>
  </si>
  <si>
    <t>3:48.00</t>
  </si>
  <si>
    <t>1:03.99</t>
  </si>
  <si>
    <t>43.01</t>
  </si>
  <si>
    <t>36.58</t>
  </si>
  <si>
    <t>1:04.48</t>
  </si>
  <si>
    <t>1:00.19</t>
  </si>
  <si>
    <t>14.45</t>
  </si>
  <si>
    <t>1:07.55</t>
  </si>
  <si>
    <t>31.80</t>
  </si>
  <si>
    <t>2:10.85</t>
  </si>
  <si>
    <t>17.39</t>
  </si>
  <si>
    <t>24.78</t>
  </si>
  <si>
    <t>1:04.98</t>
  </si>
  <si>
    <t>2445</t>
  </si>
  <si>
    <t>94</t>
  </si>
  <si>
    <t>53.36</t>
  </si>
  <si>
    <t>2:31.48</t>
  </si>
  <si>
    <t>1:17.27</t>
  </si>
  <si>
    <t>2:44.27</t>
  </si>
  <si>
    <t>17.36</t>
  </si>
  <si>
    <t>2:23.10</t>
  </si>
  <si>
    <t>20.48</t>
  </si>
  <si>
    <t>1:07.99</t>
  </si>
  <si>
    <t>2:57.62</t>
  </si>
  <si>
    <t>43.45</t>
  </si>
  <si>
    <t>1:59.03</t>
  </si>
  <si>
    <t>1:47.72</t>
  </si>
  <si>
    <t>1:54.27</t>
  </si>
  <si>
    <t>1:06.95</t>
  </si>
  <si>
    <t>2:42.26</t>
  </si>
  <si>
    <t>1:47.65</t>
  </si>
  <si>
    <t>1:22.19</t>
  </si>
  <si>
    <t>37.43</t>
  </si>
  <si>
    <t>1:03.75</t>
  </si>
  <si>
    <t>33.35</t>
  </si>
  <si>
    <t>2:10.72</t>
  </si>
  <si>
    <t>1:35.66</t>
  </si>
  <si>
    <t>1:49.16</t>
  </si>
  <si>
    <t>24.27</t>
  </si>
  <si>
    <t>18.43</t>
  </si>
  <si>
    <t>33.69</t>
  </si>
  <si>
    <t>39.46</t>
  </si>
  <si>
    <t>7.57</t>
  </si>
  <si>
    <t>2409</t>
  </si>
  <si>
    <t>39.25</t>
  </si>
  <si>
    <t>55.98</t>
  </si>
  <si>
    <t>13.46</t>
  </si>
  <si>
    <t>36.09</t>
  </si>
  <si>
    <t>4:12.52</t>
  </si>
  <si>
    <t>17.17</t>
  </si>
  <si>
    <t>2:12.45</t>
  </si>
  <si>
    <t>HowToCantaloupe</t>
  </si>
  <si>
    <t>2396</t>
  </si>
  <si>
    <t>39.43</t>
  </si>
  <si>
    <t>45.77</t>
  </si>
  <si>
    <t>2:20.31</t>
  </si>
  <si>
    <t>1:15.22</t>
  </si>
  <si>
    <t>41.05</t>
  </si>
  <si>
    <t>39.00</t>
  </si>
  <si>
    <t>35.52</t>
  </si>
  <si>
    <t>28.13</t>
  </si>
  <si>
    <t>33.29</t>
  </si>
  <si>
    <t>46.70</t>
  </si>
  <si>
    <t>2:12.25</t>
  </si>
  <si>
    <t>1:24.47</t>
  </si>
  <si>
    <t>2383</t>
  </si>
  <si>
    <t>38.55</t>
  </si>
  <si>
    <t>16.54</t>
  </si>
  <si>
    <t>31.17</t>
  </si>
  <si>
    <t>29.17</t>
  </si>
  <si>
    <t>35.89</t>
  </si>
  <si>
    <t>26.38</t>
  </si>
  <si>
    <t>23.84</t>
  </si>
  <si>
    <t>1:44.82</t>
  </si>
  <si>
    <t>54.25</t>
  </si>
  <si>
    <t>2:14.49</t>
  </si>
  <si>
    <t>dapperpenguino</t>
  </si>
  <si>
    <t>2319</t>
  </si>
  <si>
    <t>52.88</t>
  </si>
  <si>
    <t>37.69</t>
  </si>
  <si>
    <t>44.40</t>
  </si>
  <si>
    <t>1:15.34</t>
  </si>
  <si>
    <t>3:09.95</t>
  </si>
  <si>
    <t>40.68</t>
  </si>
  <si>
    <t>29.27</t>
  </si>
  <si>
    <t>41.56</t>
  </si>
  <si>
    <t>31.00</t>
  </si>
  <si>
    <t>18.89</t>
  </si>
  <si>
    <t>Vipa_51</t>
  </si>
  <si>
    <t>2279</t>
  </si>
  <si>
    <t>38.60</t>
  </si>
  <si>
    <t>59.11</t>
  </si>
  <si>
    <t>1:29.06</t>
  </si>
  <si>
    <t>1:50.11</t>
  </si>
  <si>
    <t>25.24</t>
  </si>
  <si>
    <t>24.28</t>
  </si>
  <si>
    <t>2:25.57</t>
  </si>
  <si>
    <t>20.49</t>
  </si>
  <si>
    <t>33.26</t>
  </si>
  <si>
    <t>1:10.50</t>
  </si>
  <si>
    <t>2:11.73</t>
  </si>
  <si>
    <t>19.50</t>
  </si>
  <si>
    <t>2194</t>
  </si>
  <si>
    <t>75</t>
  </si>
  <si>
    <t>53.07</t>
  </si>
  <si>
    <t>43.50</t>
  </si>
  <si>
    <t>1:05.10</t>
  </si>
  <si>
    <t>36.83</t>
  </si>
  <si>
    <t>36.42</t>
  </si>
  <si>
    <t>37.58</t>
  </si>
  <si>
    <t>1:50.84</t>
  </si>
  <si>
    <t>2:03.54</t>
  </si>
  <si>
    <t>37.704</t>
  </si>
  <si>
    <t>26.96</t>
  </si>
  <si>
    <t>1:06.02</t>
  </si>
  <si>
    <t>24.97</t>
  </si>
  <si>
    <t>27.27</t>
  </si>
  <si>
    <t>4:11.32</t>
  </si>
  <si>
    <t>1:03.78</t>
  </si>
  <si>
    <t>40.42</t>
  </si>
  <si>
    <t>1:03.72</t>
  </si>
  <si>
    <t>39.77</t>
  </si>
  <si>
    <t>2:28.98</t>
  </si>
  <si>
    <t>14.95</t>
  </si>
  <si>
    <t>33.42</t>
  </si>
  <si>
    <t>51.084</t>
  </si>
  <si>
    <t>2:05.91</t>
  </si>
  <si>
    <t>44.75</t>
  </si>
  <si>
    <t>22.16</t>
  </si>
  <si>
    <t>16.42</t>
  </si>
  <si>
    <t>Carpenter</t>
  </si>
  <si>
    <t>2178</t>
  </si>
  <si>
    <t>46.03</t>
  </si>
  <si>
    <t>2147</t>
  </si>
  <si>
    <t>38.07</t>
  </si>
  <si>
    <t>46.32</t>
  </si>
  <si>
    <t>34.60</t>
  </si>
  <si>
    <t>1:32.24</t>
  </si>
  <si>
    <t>38.43</t>
  </si>
  <si>
    <t>24.68</t>
  </si>
  <si>
    <t>24.72</t>
  </si>
  <si>
    <t>scatter</t>
  </si>
  <si>
    <t>2139</t>
  </si>
  <si>
    <t>1:26.06</t>
  </si>
  <si>
    <t>38.58</t>
  </si>
  <si>
    <t>1:44.87</t>
  </si>
  <si>
    <t>37.16</t>
  </si>
  <si>
    <t>24.18</t>
  </si>
  <si>
    <t>1:28.39</t>
  </si>
  <si>
    <t>2:11.92</t>
  </si>
  <si>
    <t>Anonymous 7</t>
  </si>
  <si>
    <t>2125</t>
  </si>
  <si>
    <t>39.01</t>
  </si>
  <si>
    <t>32.55</t>
  </si>
  <si>
    <t>1:02.67</t>
  </si>
  <si>
    <t>1:04.29</t>
  </si>
  <si>
    <t>2084</t>
  </si>
  <si>
    <t>38.11</t>
  </si>
  <si>
    <t>14.07</t>
  </si>
  <si>
    <t>59.30</t>
  </si>
  <si>
    <t>3:04.34</t>
  </si>
  <si>
    <t>2:16.39</t>
  </si>
  <si>
    <t>34.96</t>
  </si>
  <si>
    <t>35.41</t>
  </si>
  <si>
    <t>1:05.31</t>
  </si>
  <si>
    <t>1:35.94</t>
  </si>
  <si>
    <t>13.29</t>
  </si>
  <si>
    <t>58.36</t>
  </si>
  <si>
    <t>2:40.03</t>
  </si>
  <si>
    <t>2:21.91</t>
  </si>
  <si>
    <t>36.59</t>
  </si>
  <si>
    <t>1:19.51</t>
  </si>
  <si>
    <t>2:11.72</t>
  </si>
  <si>
    <t>19.43</t>
  </si>
  <si>
    <t>25.99</t>
  </si>
  <si>
    <t>18.46</t>
  </si>
  <si>
    <t>2044</t>
  </si>
  <si>
    <t>40.41</t>
  </si>
  <si>
    <t>43.89</t>
  </si>
  <si>
    <t>59.35</t>
  </si>
  <si>
    <t>2:30.67</t>
  </si>
  <si>
    <t>1:10.30</t>
  </si>
  <si>
    <t>12.21</t>
  </si>
  <si>
    <t>1:19.45</t>
  </si>
  <si>
    <t>39.67</t>
  </si>
  <si>
    <t>36.19</t>
  </si>
  <si>
    <t>3:10.41</t>
  </si>
  <si>
    <t>43.85</t>
  </si>
  <si>
    <t>31.75</t>
  </si>
  <si>
    <t>2:13.84</t>
  </si>
  <si>
    <t>56.57</t>
  </si>
  <si>
    <t>25.51</t>
  </si>
  <si>
    <t>4:16.80</t>
  </si>
  <si>
    <t>1:03.45</t>
  </si>
  <si>
    <t>1:49.24</t>
  </si>
  <si>
    <t>1:05.36</t>
  </si>
  <si>
    <t>36.03</t>
  </si>
  <si>
    <t>1:50.49</t>
  </si>
  <si>
    <t>47.14</t>
  </si>
  <si>
    <t>1:55.87</t>
  </si>
  <si>
    <t>1:22.00</t>
  </si>
  <si>
    <t>20.36</t>
  </si>
  <si>
    <t>37.06</t>
  </si>
  <si>
    <t>8.14</t>
  </si>
  <si>
    <t>Cdch61112</t>
  </si>
  <si>
    <t>2032</t>
  </si>
  <si>
    <t>2:30.14</t>
  </si>
  <si>
    <t>55.15</t>
  </si>
  <si>
    <t>31.46</t>
  </si>
  <si>
    <t>58.85</t>
  </si>
  <si>
    <t>20.27</t>
  </si>
  <si>
    <t>36.66</t>
  </si>
  <si>
    <t>1:05.76</t>
  </si>
  <si>
    <t>43.24</t>
  </si>
  <si>
    <t>58.17</t>
  </si>
  <si>
    <t>13.57</t>
  </si>
  <si>
    <t>58.76</t>
  </si>
  <si>
    <t>2:14.74</t>
  </si>
  <si>
    <t>2:02.96</t>
  </si>
  <si>
    <t>26.26</t>
  </si>
  <si>
    <t>1:48.75</t>
  </si>
  <si>
    <t>58.80</t>
  </si>
  <si>
    <t>52.58</t>
  </si>
  <si>
    <t>15.85</t>
  </si>
  <si>
    <t>1:06.10</t>
  </si>
  <si>
    <t>2:07.19</t>
  </si>
  <si>
    <t>GrinchSMB</t>
  </si>
  <si>
    <t>2000</t>
  </si>
  <si>
    <t>2:23.70</t>
  </si>
  <si>
    <t>54.33</t>
  </si>
  <si>
    <t>1:32.64</t>
  </si>
  <si>
    <t>35.21</t>
  </si>
  <si>
    <t>1:03.95</t>
  </si>
  <si>
    <t>1:41.78</t>
  </si>
  <si>
    <t>1:38.58</t>
  </si>
  <si>
    <t>2:25.11</t>
  </si>
  <si>
    <t>2:17.39</t>
  </si>
  <si>
    <t>33.21</t>
  </si>
  <si>
    <t>1:46.41</t>
  </si>
  <si>
    <t>1:04.37</t>
  </si>
  <si>
    <t>1972</t>
  </si>
  <si>
    <t>80</t>
  </si>
  <si>
    <t>54.55</t>
  </si>
  <si>
    <t>14.46</t>
  </si>
  <si>
    <t>1:27.22</t>
  </si>
  <si>
    <t>31.41</t>
  </si>
  <si>
    <t>1:01.17</t>
  </si>
  <si>
    <t>13.54</t>
  </si>
  <si>
    <t>28.75</t>
  </si>
  <si>
    <t>52.13</t>
  </si>
  <si>
    <t>1:40.97</t>
  </si>
  <si>
    <t>13.30</t>
  </si>
  <si>
    <t>1:56.88</t>
  </si>
  <si>
    <t>34.03</t>
  </si>
  <si>
    <t>24.85</t>
  </si>
  <si>
    <t>2:02.74</t>
  </si>
  <si>
    <t>28.63</t>
  </si>
  <si>
    <t>1:06.75</t>
  </si>
  <si>
    <t>1:47.68</t>
  </si>
  <si>
    <t>1:16.75</t>
  </si>
  <si>
    <t>37.76</t>
  </si>
  <si>
    <t>38.06</t>
  </si>
  <si>
    <t>15.15</t>
  </si>
  <si>
    <t>1:06.51</t>
  </si>
  <si>
    <t>17.82</t>
  </si>
  <si>
    <t>16.35</t>
  </si>
  <si>
    <t>16.25</t>
  </si>
  <si>
    <t>8.03</t>
  </si>
  <si>
    <t>FirstTryDampe</t>
  </si>
  <si>
    <t>1849</t>
  </si>
  <si>
    <t>39.03</t>
  </si>
  <si>
    <t>2:23.79</t>
  </si>
  <si>
    <t>1:45.50</t>
  </si>
  <si>
    <t>53.98</t>
  </si>
  <si>
    <t>33.72</t>
  </si>
  <si>
    <t>1:01.42</t>
  </si>
  <si>
    <t>12.11</t>
  </si>
  <si>
    <t>55.30</t>
  </si>
  <si>
    <t>1:12.76</t>
  </si>
  <si>
    <t>33.59</t>
  </si>
  <si>
    <t>2:13.28</t>
  </si>
  <si>
    <t>26.80</t>
  </si>
  <si>
    <t>2:16.73</t>
  </si>
  <si>
    <t>2:11.37</t>
  </si>
  <si>
    <t>29.53</t>
  </si>
  <si>
    <t>1:09.24</t>
  </si>
  <si>
    <t>33.83</t>
  </si>
  <si>
    <t>36.97</t>
  </si>
  <si>
    <t>1:04.44</t>
  </si>
  <si>
    <t>2:09.88</t>
  </si>
  <si>
    <t>2:23.49</t>
  </si>
  <si>
    <t>25.67</t>
  </si>
  <si>
    <t>1:30.22</t>
  </si>
  <si>
    <t>8.34</t>
  </si>
  <si>
    <t>1802</t>
  </si>
  <si>
    <t>1:27.89</t>
  </si>
  <si>
    <t>48.31</t>
  </si>
  <si>
    <t>17.67</t>
  </si>
  <si>
    <t>56.14</t>
  </si>
  <si>
    <t>17.85</t>
  </si>
  <si>
    <t>19.94</t>
  </si>
  <si>
    <t>36.38</t>
  </si>
  <si>
    <t>57.71</t>
  </si>
  <si>
    <t>1:56.06</t>
  </si>
  <si>
    <t>1:55.57</t>
  </si>
  <si>
    <t>55.13</t>
  </si>
  <si>
    <t>36.67</t>
  </si>
  <si>
    <t>26.12</t>
  </si>
  <si>
    <t>2:19.43</t>
  </si>
  <si>
    <t>2:10.88</t>
  </si>
  <si>
    <t>16.45</t>
  </si>
  <si>
    <t>1:20.81</t>
  </si>
  <si>
    <t>31.43</t>
  </si>
  <si>
    <t>16.75</t>
  </si>
  <si>
    <t>1:43.28</t>
  </si>
  <si>
    <t>35.10</t>
  </si>
  <si>
    <t>7.80</t>
  </si>
  <si>
    <t>Dobby</t>
  </si>
  <si>
    <t>1768</t>
  </si>
  <si>
    <t>1759</t>
  </si>
  <si>
    <t>1:24.83</t>
  </si>
  <si>
    <t>1:00.42</t>
  </si>
  <si>
    <t>1:30.13</t>
  </si>
  <si>
    <t>17.04</t>
  </si>
  <si>
    <t>43.21</t>
  </si>
  <si>
    <t>1:50.97</t>
  </si>
  <si>
    <t>26.89</t>
  </si>
  <si>
    <t>1:57.20</t>
  </si>
  <si>
    <t>2:08.01</t>
  </si>
  <si>
    <t>1:10.46</t>
  </si>
  <si>
    <t>2:00.63</t>
  </si>
  <si>
    <t>1:02.64</t>
  </si>
  <si>
    <t>1:20.12</t>
  </si>
  <si>
    <t>33.64</t>
  </si>
  <si>
    <t>19.27</t>
  </si>
  <si>
    <t>1:32.69</t>
  </si>
  <si>
    <t>WhicheverMirror</t>
  </si>
  <si>
    <t>1716</t>
  </si>
  <si>
    <t>1:26.98</t>
  </si>
  <si>
    <t>2:34.04</t>
  </si>
  <si>
    <t>1:15.98</t>
  </si>
  <si>
    <t>17.27</t>
  </si>
  <si>
    <t>1:04.16</t>
  </si>
  <si>
    <t>2:21.75</t>
  </si>
  <si>
    <t>26.60</t>
  </si>
  <si>
    <t>58.06</t>
  </si>
  <si>
    <t>2:37.99</t>
  </si>
  <si>
    <t>2:04.71</t>
  </si>
  <si>
    <t>26.28</t>
  </si>
  <si>
    <t>1:09.08</t>
  </si>
  <si>
    <t>1:48.36</t>
  </si>
  <si>
    <t>15.95</t>
  </si>
  <si>
    <t>1:04.36</t>
  </si>
  <si>
    <t>2:01.56</t>
  </si>
  <si>
    <t>46.50</t>
  </si>
  <si>
    <t>119Mars</t>
  </si>
  <si>
    <t>1686</t>
  </si>
  <si>
    <t>17.78</t>
  </si>
  <si>
    <t>2:24.87</t>
  </si>
  <si>
    <t>13.37</t>
  </si>
  <si>
    <t>25.55</t>
  </si>
  <si>
    <t>38.84</t>
  </si>
  <si>
    <t>2:20.24</t>
  </si>
  <si>
    <t>1:08.91</t>
  </si>
  <si>
    <t>33.24</t>
  </si>
  <si>
    <t>32.58</t>
  </si>
  <si>
    <t>56.79</t>
  </si>
  <si>
    <t>34.15</t>
  </si>
  <si>
    <t>34.89</t>
  </si>
  <si>
    <t>7.39</t>
  </si>
  <si>
    <t>TheAzack9</t>
  </si>
  <si>
    <t>1543</t>
  </si>
  <si>
    <t>39.81</t>
  </si>
  <si>
    <t>25.07</t>
  </si>
  <si>
    <t>1:07.00</t>
  </si>
  <si>
    <t>1:09.30</t>
  </si>
  <si>
    <t>1:43.00</t>
  </si>
  <si>
    <t>43.00</t>
  </si>
  <si>
    <t>emuyia</t>
  </si>
  <si>
    <t>1528</t>
  </si>
  <si>
    <t>1:27.45</t>
  </si>
  <si>
    <t>17.29</t>
  </si>
  <si>
    <t>53.56</t>
  </si>
  <si>
    <t>1:32.18</t>
  </si>
  <si>
    <t>53.88</t>
  </si>
  <si>
    <t>2:08.83</t>
  </si>
  <si>
    <t>13.27</t>
  </si>
  <si>
    <t>2:00.64</t>
  </si>
  <si>
    <t>1:04.30</t>
  </si>
  <si>
    <t>41.31</t>
  </si>
  <si>
    <t>2:20.84</t>
  </si>
  <si>
    <t>2:02.88</t>
  </si>
  <si>
    <t>26.63</t>
  </si>
  <si>
    <t>1:12.31</t>
  </si>
  <si>
    <t>41.67</t>
  </si>
  <si>
    <t>2:14.81</t>
  </si>
  <si>
    <t>50.01</t>
  </si>
  <si>
    <t>15.38</t>
  </si>
  <si>
    <t>35.14</t>
  </si>
  <si>
    <t>35.77</t>
  </si>
  <si>
    <t>1:37.81</t>
  </si>
  <si>
    <t>35.86</t>
  </si>
  <si>
    <t>PKT_S</t>
  </si>
  <si>
    <t>1517</t>
  </si>
  <si>
    <t>2:27.93</t>
  </si>
  <si>
    <t>46.13</t>
  </si>
  <si>
    <t>20.22</t>
  </si>
  <si>
    <t>1:31.11</t>
  </si>
  <si>
    <t>1:04.70</t>
  </si>
  <si>
    <t>1:07.69</t>
  </si>
  <si>
    <t>1:51.81</t>
  </si>
  <si>
    <t>13.47</t>
  </si>
  <si>
    <t>2:04.13</t>
  </si>
  <si>
    <t>57.29</t>
  </si>
  <si>
    <t>25.30</t>
  </si>
  <si>
    <t>2:29.65</t>
  </si>
  <si>
    <t>2:15.72</t>
  </si>
  <si>
    <t>25.59</t>
  </si>
  <si>
    <t>1:06.69</t>
  </si>
  <si>
    <t>16.58</t>
  </si>
  <si>
    <t>2:00.08</t>
  </si>
  <si>
    <t>36.56</t>
  </si>
  <si>
    <r>
      <rPr>
        <b/>
        <color rgb="FF999999"/>
        <sz val="9.0"/>
      </rPr>
      <t>B</t>
    </r>
    <r>
      <rPr>
        <b/>
        <color rgb="FFF5A9B8"/>
        <sz val="9.0"/>
      </rPr>
      <t>ur</t>
    </r>
    <r>
      <rPr>
        <b/>
        <color rgb="FFCCCCCC"/>
        <sz val="9.0"/>
      </rPr>
      <t>ch</t>
    </r>
    <r>
      <rPr>
        <b/>
        <color rgb="FFF5A9B8"/>
        <sz val="9.0"/>
      </rPr>
      <t>as</t>
    </r>
    <r>
      <rPr>
        <b/>
        <color rgb="FF999999"/>
        <sz val="9.0"/>
      </rPr>
      <t>e</t>
    </r>
  </si>
  <si>
    <t>1448</t>
  </si>
  <si>
    <t>38.71</t>
  </si>
  <si>
    <t>1:42.17</t>
  </si>
  <si>
    <t>1:33.17</t>
  </si>
  <si>
    <t>1:02.89</t>
  </si>
  <si>
    <t>1:48.60</t>
  </si>
  <si>
    <t>9080ff</t>
  </si>
  <si>
    <t>1318</t>
  </si>
  <si>
    <t>41.63</t>
  </si>
  <si>
    <t>56.46</t>
  </si>
  <si>
    <t>21.43</t>
  </si>
  <si>
    <t>33.98</t>
  </si>
  <si>
    <t>2:15.00</t>
  </si>
  <si>
    <t>1315</t>
  </si>
  <si>
    <t>55.03</t>
  </si>
  <si>
    <t>39.30</t>
  </si>
  <si>
    <t>2:40.68</t>
  </si>
  <si>
    <t>1:31.04</t>
  </si>
  <si>
    <t>1:46.78</t>
  </si>
  <si>
    <t>3:38.45</t>
  </si>
  <si>
    <t>1:14.12</t>
  </si>
  <si>
    <t>5:02.40</t>
  </si>
  <si>
    <t>1:06.28</t>
  </si>
  <si>
    <t>29.93</t>
  </si>
  <si>
    <t>1:06.21</t>
  </si>
  <si>
    <t>1:13.35</t>
  </si>
  <si>
    <t>2:07.36</t>
  </si>
  <si>
    <t>2:30.96</t>
  </si>
  <si>
    <t>1:52.83</t>
  </si>
  <si>
    <t>1:11.84</t>
  </si>
  <si>
    <t>2:19.27</t>
  </si>
  <si>
    <t>1:56.90</t>
  </si>
  <si>
    <t>26.69</t>
  </si>
  <si>
    <t>3:40.80</t>
  </si>
  <si>
    <t>3:38.49</t>
  </si>
  <si>
    <t>2:26.59</t>
  </si>
  <si>
    <t>1:57.23</t>
  </si>
  <si>
    <t>17.95</t>
  </si>
  <si>
    <t>3:38.07</t>
  </si>
  <si>
    <t>15.18</t>
  </si>
  <si>
    <t>35.87</t>
  </si>
  <si>
    <t>2:03.41</t>
  </si>
  <si>
    <t>2:11.29</t>
  </si>
  <si>
    <t>1:05.54</t>
  </si>
  <si>
    <t>19.76</t>
  </si>
  <si>
    <t>17.79</t>
  </si>
  <si>
    <t>18.56</t>
  </si>
  <si>
    <t>1:58.60</t>
  </si>
  <si>
    <t>8.50</t>
  </si>
  <si>
    <t>OptimisticEmo</t>
  </si>
  <si>
    <t>1299</t>
  </si>
  <si>
    <t>2:29.57</t>
  </si>
  <si>
    <t>1:51.20</t>
  </si>
  <si>
    <t>2:11.02</t>
  </si>
  <si>
    <t>Angry_Max</t>
  </si>
  <si>
    <t>1260</t>
  </si>
  <si>
    <t>52.43</t>
  </si>
  <si>
    <t>2:25.96</t>
  </si>
  <si>
    <t>22.60</t>
  </si>
  <si>
    <t>Anonymous 8</t>
  </si>
  <si>
    <t>1256</t>
  </si>
  <si>
    <t>54.28</t>
  </si>
  <si>
    <t>2:26.14</t>
  </si>
  <si>
    <t>40.93</t>
  </si>
  <si>
    <t>43.28</t>
  </si>
  <si>
    <t>1:02.45</t>
  </si>
  <si>
    <t>15.75</t>
  </si>
  <si>
    <t>2:10.52</t>
  </si>
  <si>
    <t>1:35.62</t>
  </si>
  <si>
    <t>VyralGalaxy</t>
  </si>
  <si>
    <t>1239</t>
  </si>
  <si>
    <t>1:34.96</t>
  </si>
  <si>
    <t>1:42.77</t>
  </si>
  <si>
    <t>57.63</t>
  </si>
  <si>
    <t>59.80</t>
  </si>
  <si>
    <t>26.84</t>
  </si>
  <si>
    <t>1:10.99</t>
  </si>
  <si>
    <t>16.28</t>
  </si>
  <si>
    <t>45.59</t>
  </si>
  <si>
    <t>9.32</t>
  </si>
  <si>
    <t>PK</t>
  </si>
  <si>
    <t>1223</t>
  </si>
  <si>
    <t>1:29.20</t>
  </si>
  <si>
    <t>47.73</t>
  </si>
  <si>
    <t>1:01.50</t>
  </si>
  <si>
    <t>4:11.59</t>
  </si>
  <si>
    <t>1:06.17</t>
  </si>
  <si>
    <t>2:04.24</t>
  </si>
  <si>
    <t>48.59</t>
  </si>
  <si>
    <t>1:04.71</t>
  </si>
  <si>
    <t>2:11.19</t>
  </si>
  <si>
    <t>31.54</t>
  </si>
  <si>
    <t>1204</t>
  </si>
  <si>
    <t>2:36.90</t>
  </si>
  <si>
    <t>1:29.63</t>
  </si>
  <si>
    <t>3:36.58</t>
  </si>
  <si>
    <t>1:32.70</t>
  </si>
  <si>
    <t>2:03.18</t>
  </si>
  <si>
    <t>1:06.16</t>
  </si>
  <si>
    <t>10.54</t>
  </si>
  <si>
    <t>1:17.19</t>
  </si>
  <si>
    <t>1:07.44</t>
  </si>
  <si>
    <t>59.49</t>
  </si>
  <si>
    <t>13.38</t>
  </si>
  <si>
    <t>1:51.02</t>
  </si>
  <si>
    <t>1:09.98</t>
  </si>
  <si>
    <t>2:08.38</t>
  </si>
  <si>
    <t>1:21.19</t>
  </si>
  <si>
    <t>54.91</t>
  </si>
  <si>
    <t>14.32</t>
  </si>
  <si>
    <t>37.55</t>
  </si>
  <si>
    <t>1:55.48</t>
  </si>
  <si>
    <t>45.68</t>
  </si>
  <si>
    <t>1189</t>
  </si>
  <si>
    <t>50.64</t>
  </si>
  <si>
    <t>1158</t>
  </si>
  <si>
    <t>42.43</t>
  </si>
  <si>
    <t>21.08</t>
  </si>
  <si>
    <t>1:00.16</t>
  </si>
  <si>
    <t>1:10.57</t>
  </si>
  <si>
    <r>
      <rPr>
        <color rgb="FF000000"/>
        <sz val="9.0"/>
        <u/>
      </rPr>
      <t>43.</t>
    </r>
    <r>
      <rPr>
        <color rgb="FF000000"/>
        <sz val="9.0"/>
      </rPr>
      <t>12</t>
    </r>
  </si>
  <si>
    <t>1:34.70</t>
  </si>
  <si>
    <t>1:12.03</t>
  </si>
  <si>
    <t>1:12.39</t>
  </si>
  <si>
    <t>25.92</t>
  </si>
  <si>
    <t>1:04.59</t>
  </si>
  <si>
    <t>35.99</t>
  </si>
  <si>
    <t>1:05.89</t>
  </si>
  <si>
    <t>1:41.26</t>
  </si>
  <si>
    <t>1:05.29</t>
  </si>
  <si>
    <t>38.23</t>
  </si>
  <si>
    <t>1157</t>
  </si>
  <si>
    <t>56.23</t>
  </si>
  <si>
    <t>40.50</t>
  </si>
  <si>
    <t>1:47.82</t>
  </si>
  <si>
    <t>26.22</t>
  </si>
  <si>
    <t>1:00.05</t>
  </si>
  <si>
    <t>27.16</t>
  </si>
  <si>
    <t>1:04.55</t>
  </si>
  <si>
    <t>2:10.33</t>
  </si>
  <si>
    <t>15.91</t>
  </si>
  <si>
    <t>1:08.31</t>
  </si>
  <si>
    <t>54.07</t>
  </si>
  <si>
    <t>1:11.78</t>
  </si>
  <si>
    <t>34.84</t>
  </si>
  <si>
    <t>8.59</t>
  </si>
  <si>
    <t>hector</t>
  </si>
  <si>
    <t>1:43.37</t>
  </si>
  <si>
    <t>2:49.72</t>
  </si>
  <si>
    <t>1:02.35</t>
  </si>
  <si>
    <t>1:54.07</t>
  </si>
  <si>
    <t>1:07.86</t>
  </si>
  <si>
    <t>27.78</t>
  </si>
  <si>
    <t>2:28.95</t>
  </si>
  <si>
    <t>25.34</t>
  </si>
  <si>
    <t>1:02.52</t>
  </si>
  <si>
    <t>33.92</t>
  </si>
  <si>
    <t>3:37.30</t>
  </si>
  <si>
    <t>51.54</t>
  </si>
  <si>
    <t>1:52.14</t>
  </si>
  <si>
    <t>38.67</t>
  </si>
  <si>
    <t>The Island</t>
  </si>
  <si>
    <t>1142</t>
  </si>
  <si>
    <t>1:24.34</t>
  </si>
  <si>
    <t>1:12.57</t>
  </si>
  <si>
    <t>41.30</t>
  </si>
  <si>
    <t>54.50</t>
  </si>
  <si>
    <t>36.87</t>
  </si>
  <si>
    <t>1:22.18</t>
  </si>
  <si>
    <t>1125</t>
  </si>
  <si>
    <t>54.35</t>
  </si>
  <si>
    <t>41.15</t>
  </si>
  <si>
    <t>2:33.70</t>
  </si>
  <si>
    <t>1:18.35</t>
  </si>
  <si>
    <t>3:19.38</t>
  </si>
  <si>
    <t>29.03</t>
  </si>
  <si>
    <t>4:00.92</t>
  </si>
  <si>
    <t>3:17.34</t>
  </si>
  <si>
    <t>1:02.27</t>
  </si>
  <si>
    <t>2:07.38</t>
  </si>
  <si>
    <t>SukeSJ</t>
  </si>
  <si>
    <t>1078</t>
  </si>
  <si>
    <t>2:46.52</t>
  </si>
  <si>
    <t>16.99</t>
  </si>
  <si>
    <t>3:38.26</t>
  </si>
  <si>
    <t>24.70</t>
  </si>
  <si>
    <t>2:03.74</t>
  </si>
  <si>
    <t>16.40</t>
  </si>
  <si>
    <t>998</t>
  </si>
  <si>
    <t>42.37</t>
  </si>
  <si>
    <t>2:08.98</t>
  </si>
  <si>
    <t>1:10.05</t>
  </si>
  <si>
    <t>33.80</t>
  </si>
  <si>
    <t>1:36.64</t>
  </si>
  <si>
    <t>2:17.69</t>
  </si>
  <si>
    <t>949</t>
  </si>
  <si>
    <t>39.51</t>
  </si>
  <si>
    <t>16.30</t>
  </si>
  <si>
    <t>14.77</t>
  </si>
  <si>
    <t>1:06.01</t>
  </si>
  <si>
    <t>1:59.06</t>
  </si>
  <si>
    <t>icedbee</t>
  </si>
  <si>
    <t>939</t>
  </si>
  <si>
    <t>16.18</t>
  </si>
  <si>
    <t>28.90</t>
  </si>
  <si>
    <t>1:43.62</t>
  </si>
  <si>
    <t>14.28</t>
  </si>
  <si>
    <t>Source</t>
  </si>
  <si>
    <t>934</t>
  </si>
  <si>
    <t>1:43.96</t>
  </si>
  <si>
    <t>36.65</t>
  </si>
  <si>
    <t>4:07.60</t>
  </si>
  <si>
    <t>1:03.73</t>
  </si>
  <si>
    <t>1:08.00</t>
  </si>
  <si>
    <t>17.69</t>
  </si>
  <si>
    <t>4:01.69</t>
  </si>
  <si>
    <t>49.70</t>
  </si>
  <si>
    <t>2:13.43</t>
  </si>
  <si>
    <t>1:41.02</t>
  </si>
  <si>
    <t>11.48</t>
  </si>
  <si>
    <t>1:25.63</t>
  </si>
  <si>
    <t>26.67</t>
  </si>
  <si>
    <t>4:01.57</t>
  </si>
  <si>
    <t>1:08.45</t>
  </si>
  <si>
    <t>43.51</t>
  </si>
  <si>
    <t>1:04.74</t>
  </si>
  <si>
    <t>1:12.41</t>
  </si>
  <si>
    <t>41.74</t>
  </si>
  <si>
    <t>1:57.47</t>
  </si>
  <si>
    <t>2:18.72</t>
  </si>
  <si>
    <t>1:08.16</t>
  </si>
  <si>
    <t>29.07</t>
  </si>
  <si>
    <t>27.63</t>
  </si>
  <si>
    <t>4:07.15</t>
  </si>
  <si>
    <t>3:21.53</t>
  </si>
  <si>
    <t>1:16.16</t>
  </si>
  <si>
    <t>2:16.89</t>
  </si>
  <si>
    <t>2:51.82</t>
  </si>
  <si>
    <t>15.35</t>
  </si>
  <si>
    <t>1:55.10</t>
  </si>
  <si>
    <t>25.08</t>
  </si>
  <si>
    <t>2:01.13</t>
  </si>
  <si>
    <t>2:39.71</t>
  </si>
  <si>
    <t>1:57.70</t>
  </si>
  <si>
    <t>1:13.27</t>
  </si>
  <si>
    <t>33.06</t>
  </si>
  <si>
    <t>Dingle</t>
  </si>
  <si>
    <t>906</t>
  </si>
  <si>
    <t>53.00</t>
  </si>
  <si>
    <t>1:02.23</t>
  </si>
  <si>
    <t>34.83</t>
  </si>
  <si>
    <t>9.39</t>
  </si>
  <si>
    <t>836</t>
  </si>
  <si>
    <t>49.26</t>
  </si>
  <si>
    <t>1:08.97</t>
  </si>
  <si>
    <t>50.36</t>
  </si>
  <si>
    <t>25.35</t>
  </si>
  <si>
    <t>1:06.23</t>
  </si>
  <si>
    <t>2:22.45</t>
  </si>
  <si>
    <t>1:18.23</t>
  </si>
  <si>
    <t>1:05.30</t>
  </si>
  <si>
    <t>2:00.14</t>
  </si>
  <si>
    <t>25.02</t>
  </si>
  <si>
    <t>34.76</t>
  </si>
  <si>
    <t>1:46.73</t>
  </si>
  <si>
    <t>20.15</t>
  </si>
  <si>
    <t>PKSMG2</t>
  </si>
  <si>
    <t>806</t>
  </si>
  <si>
    <t>39.11</t>
  </si>
  <si>
    <t>2:37.70</t>
  </si>
  <si>
    <t>45.42</t>
  </si>
  <si>
    <t>1:31.53</t>
  </si>
  <si>
    <t>1:15.03</t>
  </si>
  <si>
    <t>2:21.65</t>
  </si>
  <si>
    <t>54.96</t>
  </si>
  <si>
    <t>1:02.36</t>
  </si>
  <si>
    <t>803</t>
  </si>
  <si>
    <t>37.87</t>
  </si>
  <si>
    <t>16.56</t>
  </si>
  <si>
    <t>43.95</t>
  </si>
  <si>
    <t>Kalas</t>
  </si>
  <si>
    <t>770</t>
  </si>
  <si>
    <t>41.17</t>
  </si>
  <si>
    <t>19.40</t>
  </si>
  <si>
    <t>38.86</t>
  </si>
  <si>
    <t>1:31.54</t>
  </si>
  <si>
    <t>17.57</t>
  </si>
  <si>
    <t>1:07.58</t>
  </si>
  <si>
    <t>1:57.46</t>
  </si>
  <si>
    <t>2:05.85</t>
  </si>
  <si>
    <t>28.10</t>
  </si>
  <si>
    <t>1:06.52</t>
  </si>
  <si>
    <t>2:13.45</t>
  </si>
  <si>
    <t>1:07.91</t>
  </si>
  <si>
    <t>54.41</t>
  </si>
  <si>
    <t>20.51</t>
  </si>
  <si>
    <t>Podz</t>
  </si>
  <si>
    <t>758</t>
  </si>
  <si>
    <t>52.34</t>
  </si>
  <si>
    <t>2:36.48</t>
  </si>
  <si>
    <t>1:01.33</t>
  </si>
  <si>
    <t>20.28</t>
  </si>
  <si>
    <t>53.04</t>
  </si>
  <si>
    <t>32.51</t>
  </si>
  <si>
    <t>2:19.99</t>
  </si>
  <si>
    <t>26.70</t>
  </si>
  <si>
    <t>36.24</t>
  </si>
  <si>
    <t>1:50.03</t>
  </si>
  <si>
    <t>36.13</t>
  </si>
  <si>
    <t>25.43</t>
  </si>
  <si>
    <t>Evan44</t>
  </si>
  <si>
    <t>684</t>
  </si>
  <si>
    <t>2:42.88</t>
  </si>
  <si>
    <t>35.18</t>
  </si>
  <si>
    <t>53.37</t>
  </si>
  <si>
    <t>35.72</t>
  </si>
  <si>
    <t>45.12</t>
  </si>
  <si>
    <t>11.65</t>
  </si>
  <si>
    <t>1:01.51</t>
  </si>
  <si>
    <t>Kydi</t>
  </si>
  <si>
    <t>677</t>
  </si>
  <si>
    <t>1:51.39</t>
  </si>
  <si>
    <t>26.76</t>
  </si>
  <si>
    <t>1:03.68</t>
  </si>
  <si>
    <t>17.49</t>
  </si>
  <si>
    <t>1:42.00</t>
  </si>
  <si>
    <t>45.24</t>
  </si>
  <si>
    <t>32.00</t>
  </si>
  <si>
    <t>Trobbin</t>
  </si>
  <si>
    <t>666</t>
  </si>
  <si>
    <r>
      <rPr>
        <color rgb="FF000000"/>
        <sz val="9.0"/>
      </rPr>
      <t>22.</t>
    </r>
    <r>
      <rPr>
        <color rgb="FF000000"/>
        <sz val="9.0"/>
      </rPr>
      <t>04</t>
    </r>
  </si>
  <si>
    <t>31.24</t>
  </si>
  <si>
    <t>Psychonauter</t>
  </si>
  <si>
    <t>658</t>
  </si>
  <si>
    <t>54.78</t>
  </si>
  <si>
    <t>34.79</t>
  </si>
  <si>
    <t>1:02.85</t>
  </si>
  <si>
    <t>38.93</t>
  </si>
  <si>
    <t>zezerecco</t>
  </si>
  <si>
    <t>629</t>
  </si>
  <si>
    <t>1:08.53</t>
  </si>
  <si>
    <t>1:09.54</t>
  </si>
  <si>
    <t>13.42</t>
  </si>
  <si>
    <t>23.30</t>
  </si>
  <si>
    <t>21.26</t>
  </si>
  <si>
    <t>36.07</t>
  </si>
  <si>
    <t>yotsugii</t>
  </si>
  <si>
    <t>622</t>
  </si>
  <si>
    <t>615</t>
  </si>
  <si>
    <t>48.04</t>
  </si>
  <si>
    <t>1:06.98</t>
  </si>
  <si>
    <t>59.76</t>
  </si>
  <si>
    <t>22.39</t>
  </si>
  <si>
    <t>2:09.70</t>
  </si>
  <si>
    <t>1:07.54</t>
  </si>
  <si>
    <t>pierre</t>
  </si>
  <si>
    <t>56.53</t>
  </si>
  <si>
    <t>16.50</t>
  </si>
  <si>
    <t>1:13.33</t>
  </si>
  <si>
    <t>613</t>
  </si>
  <si>
    <t>1:37.58</t>
  </si>
  <si>
    <t>2:07.08</t>
  </si>
  <si>
    <t>Wilko</t>
  </si>
  <si>
    <t>608</t>
  </si>
  <si>
    <t>607</t>
  </si>
  <si>
    <t>1:32.14</t>
  </si>
  <si>
    <t>3:27.53</t>
  </si>
  <si>
    <t>13.23</t>
  </si>
  <si>
    <t>28.44</t>
  </si>
  <si>
    <t>fleedle_deedle</t>
  </si>
  <si>
    <t>580</t>
  </si>
  <si>
    <t>57.44</t>
  </si>
  <si>
    <t>2:41.81</t>
  </si>
  <si>
    <t>57.66</t>
  </si>
  <si>
    <t>53.23</t>
  </si>
  <si>
    <t>35.70</t>
  </si>
  <si>
    <t>17.53</t>
  </si>
  <si>
    <t>38.83</t>
  </si>
  <si>
    <t>43.32</t>
  </si>
  <si>
    <t>1:13.86</t>
  </si>
  <si>
    <t>48.09</t>
  </si>
  <si>
    <t>2:15.22</t>
  </si>
  <si>
    <t>1:15.92</t>
  </si>
  <si>
    <t>21.92</t>
  </si>
  <si>
    <t>1:48.77</t>
  </si>
  <si>
    <t>1:58.41</t>
  </si>
  <si>
    <t>34.67</t>
  </si>
  <si>
    <t>Celerat</t>
  </si>
  <si>
    <t>552</t>
  </si>
  <si>
    <t>1:31.97</t>
  </si>
  <si>
    <t>2:43.68</t>
  </si>
  <si>
    <t>15.84</t>
  </si>
  <si>
    <t>2:04.15</t>
  </si>
  <si>
    <t>Shigbe</t>
  </si>
  <si>
    <t>551</t>
  </si>
  <si>
    <t>1:34.86</t>
  </si>
  <si>
    <t>Sophi</t>
  </si>
  <si>
    <t>507</t>
  </si>
  <si>
    <t>20.68</t>
  </si>
  <si>
    <t>15.05</t>
  </si>
  <si>
    <t>dtran14</t>
  </si>
  <si>
    <t>500</t>
  </si>
  <si>
    <t>Arle Nadja</t>
  </si>
  <si>
    <t>495</t>
  </si>
  <si>
    <t>45.00</t>
  </si>
  <si>
    <t>1:04.22</t>
  </si>
  <si>
    <t>474</t>
  </si>
  <si>
    <t>nullscythe</t>
  </si>
  <si>
    <t>466</t>
  </si>
  <si>
    <t>1:47.67</t>
  </si>
  <si>
    <t>2:47.69</t>
  </si>
  <si>
    <t>1:09.43</t>
  </si>
  <si>
    <t>35.13</t>
  </si>
  <si>
    <t>2:19.55</t>
  </si>
  <si>
    <t>1:10.72</t>
  </si>
  <si>
    <t>37.54</t>
  </si>
  <si>
    <t>Hansel_Panda</t>
  </si>
  <si>
    <t>445</t>
  </si>
  <si>
    <t>45.91</t>
  </si>
  <si>
    <t>1:49.13</t>
  </si>
  <si>
    <t>59.85</t>
  </si>
  <si>
    <t>1:07.21</t>
  </si>
  <si>
    <t>47.19</t>
  </si>
  <si>
    <t>2:06.18</t>
  </si>
  <si>
    <t>Syrup</t>
  </si>
  <si>
    <t>441</t>
  </si>
  <si>
    <t>440</t>
  </si>
  <si>
    <t>1:27.50</t>
  </si>
  <si>
    <r>
      <rPr>
        <b/>
        <color rgb="FF757575"/>
        <sz val="9.0"/>
      </rPr>
      <t>Cru</t>
    </r>
    <r>
      <rPr>
        <b/>
        <color rgb="FF808080"/>
        <sz val="9.0"/>
      </rPr>
      <t>m</t>
    </r>
    <r>
      <rPr>
        <b/>
        <color rgb="FF9E9E9E"/>
        <sz val="9.0"/>
      </rPr>
      <t>bl</t>
    </r>
    <r>
      <rPr>
        <b/>
        <color rgb="FFA6A6A6"/>
        <sz val="9.0"/>
      </rPr>
      <t>in</t>
    </r>
    <r>
      <rPr>
        <b/>
        <color rgb="FFB5B5B5"/>
        <sz val="9.0"/>
      </rPr>
      <t>g</t>
    </r>
  </si>
  <si>
    <t>437</t>
  </si>
  <si>
    <t>54.23</t>
  </si>
  <si>
    <t>15.30</t>
  </si>
  <si>
    <t>Dyl</t>
  </si>
  <si>
    <t>416</t>
  </si>
  <si>
    <t>10.97</t>
  </si>
  <si>
    <t>Tiinncho0</t>
  </si>
  <si>
    <t>398</t>
  </si>
  <si>
    <t>1:38.30</t>
  </si>
  <si>
    <t>2:52.22</t>
  </si>
  <si>
    <t>40.66</t>
  </si>
  <si>
    <t>1:27.47</t>
  </si>
  <si>
    <t>33.76</t>
  </si>
  <si>
    <t>1:48.54</t>
  </si>
  <si>
    <t>47.86</t>
  </si>
  <si>
    <t>15.25</t>
  </si>
  <si>
    <t>1:45.80</t>
  </si>
  <si>
    <t>395</t>
  </si>
  <si>
    <t>Kars</t>
  </si>
  <si>
    <t>391</t>
  </si>
  <si>
    <t>43.56</t>
  </si>
  <si>
    <t>21.22</t>
  </si>
  <si>
    <t>1:03.93</t>
  </si>
  <si>
    <t>39.90</t>
  </si>
  <si>
    <t>1:01.84</t>
  </si>
  <si>
    <t>1:11.89</t>
  </si>
  <si>
    <t>33.30</t>
  </si>
  <si>
    <t>22.38</t>
  </si>
  <si>
    <t>2:00.74</t>
  </si>
  <si>
    <t>362</t>
  </si>
  <si>
    <t>1:51.11</t>
  </si>
  <si>
    <t>1:11.94</t>
  </si>
  <si>
    <t>358</t>
  </si>
  <si>
    <t>1:45.47</t>
  </si>
  <si>
    <t>3:02.63</t>
  </si>
  <si>
    <t>1:49.06</t>
  </si>
  <si>
    <t>58.52</t>
  </si>
  <si>
    <t>1:09.90</t>
  </si>
  <si>
    <t>1:31.84</t>
  </si>
  <si>
    <t>21.17</t>
  </si>
  <si>
    <t>1:11.38</t>
  </si>
  <si>
    <t>1:22.42</t>
  </si>
  <si>
    <t>1:03.30</t>
  </si>
  <si>
    <t>1:43.93</t>
  </si>
  <si>
    <t>Cannalyst</t>
  </si>
  <si>
    <t>354</t>
  </si>
  <si>
    <t>1:44.77</t>
  </si>
  <si>
    <t>2:43.86</t>
  </si>
  <si>
    <t>36.33</t>
  </si>
  <si>
    <t>2:06.10</t>
  </si>
  <si>
    <t>2:02.06</t>
  </si>
  <si>
    <t>1:52.40</t>
  </si>
  <si>
    <t>1:09.60</t>
  </si>
  <si>
    <t>1:40.60</t>
  </si>
  <si>
    <t>Plasmello</t>
  </si>
  <si>
    <t>336</t>
  </si>
  <si>
    <t>59.92</t>
  </si>
  <si>
    <t>1:52.64</t>
  </si>
  <si>
    <t>1:03.87</t>
  </si>
  <si>
    <t>322</t>
  </si>
  <si>
    <t>GiBoss</t>
  </si>
  <si>
    <t>291</t>
  </si>
  <si>
    <t>8.51</t>
  </si>
  <si>
    <t>Skeltan</t>
  </si>
  <si>
    <t>272</t>
  </si>
  <si>
    <t>1:30.68</t>
  </si>
  <si>
    <t>1:06.90</t>
  </si>
  <si>
    <t>romster</t>
  </si>
  <si>
    <t>255</t>
  </si>
  <si>
    <t>1:19.59</t>
  </si>
  <si>
    <t>melch</t>
  </si>
  <si>
    <t>250</t>
  </si>
  <si>
    <t>249</t>
  </si>
  <si>
    <t>59.86</t>
  </si>
  <si>
    <t>24.79</t>
  </si>
  <si>
    <t>Kwaniza</t>
  </si>
  <si>
    <t>1:26.87</t>
  </si>
  <si>
    <t>Caprisuhn</t>
  </si>
  <si>
    <t>223</t>
  </si>
  <si>
    <t>1:29.01</t>
  </si>
  <si>
    <t>1:06.81</t>
  </si>
  <si>
    <t>Minibeast</t>
  </si>
  <si>
    <t>220</t>
  </si>
  <si>
    <t>1:47.41</t>
  </si>
  <si>
    <t>58.35</t>
  </si>
  <si>
    <t>9.21</t>
  </si>
  <si>
    <t>yourgirlhazel</t>
  </si>
  <si>
    <t>213</t>
  </si>
  <si>
    <t>23.89</t>
  </si>
  <si>
    <t>32.31</t>
  </si>
  <si>
    <t>1:43.03</t>
  </si>
  <si>
    <t>WynnterCoat</t>
  </si>
  <si>
    <t>203</t>
  </si>
  <si>
    <t>WhyMoon</t>
  </si>
  <si>
    <t>185</t>
  </si>
  <si>
    <t>HoneyNuTz</t>
  </si>
  <si>
    <t>152</t>
  </si>
  <si>
    <t>24.58</t>
  </si>
  <si>
    <t>16.65</t>
  </si>
  <si>
    <t>SayMyNameTF2</t>
  </si>
  <si>
    <t>150</t>
  </si>
  <si>
    <t>14.87</t>
  </si>
  <si>
    <t>1:11.54</t>
  </si>
  <si>
    <t>3:51.49</t>
  </si>
  <si>
    <t>2:16.97</t>
  </si>
  <si>
    <t>36.47</t>
  </si>
  <si>
    <t>23.17</t>
  </si>
  <si>
    <t>1:49.98</t>
  </si>
  <si>
    <t>1:23.26</t>
  </si>
  <si>
    <t>2:37.85</t>
  </si>
  <si>
    <t>26.51</t>
  </si>
  <si>
    <t>2:43.77</t>
  </si>
  <si>
    <t>1:10.26</t>
  </si>
  <si>
    <t>2:16.52</t>
  </si>
  <si>
    <t>58.13</t>
  </si>
  <si>
    <t>4:03.70</t>
  </si>
  <si>
    <t>1:23.00</t>
  </si>
  <si>
    <t>1:16.49</t>
  </si>
  <si>
    <t>1:48.41</t>
  </si>
  <si>
    <t>1:30.69</t>
  </si>
  <si>
    <t>19.22</t>
  </si>
  <si>
    <t>4:02.48</t>
  </si>
  <si>
    <t>25.71</t>
  </si>
  <si>
    <t>32.59</t>
  </si>
  <si>
    <t>2:18.44</t>
  </si>
  <si>
    <t>1:21.59</t>
  </si>
  <si>
    <t>1:56.17</t>
  </si>
  <si>
    <t>4:02.55</t>
  </si>
  <si>
    <t>16.39</t>
  </si>
  <si>
    <t>Heyzeus</t>
  </si>
  <si>
    <t>140</t>
  </si>
  <si>
    <t>1:49.85</t>
  </si>
  <si>
    <t>1:01.98</t>
  </si>
  <si>
    <t>3:00.34</t>
  </si>
  <si>
    <t>24.91</t>
  </si>
  <si>
    <t>daiden47</t>
  </si>
  <si>
    <t>138</t>
  </si>
  <si>
    <t>2:26.77</t>
  </si>
  <si>
    <t>1:02.04</t>
  </si>
  <si>
    <t>4:40.49</t>
  </si>
  <si>
    <t>2:18.62</t>
  </si>
  <si>
    <t>1:06.14</t>
  </si>
  <si>
    <t>1:47.06</t>
  </si>
  <si>
    <t>2:23.13</t>
  </si>
  <si>
    <t>1:20.54</t>
  </si>
  <si>
    <t>2:16.08</t>
  </si>
  <si>
    <t>3:17.97</t>
  </si>
  <si>
    <t>34.64</t>
  </si>
  <si>
    <t>1:37.44</t>
  </si>
  <si>
    <t>1:49.96</t>
  </si>
  <si>
    <t>2:12.83</t>
  </si>
  <si>
    <t>2:08.00</t>
  </si>
  <si>
    <t>1:09.38</t>
  </si>
  <si>
    <t>3:17.72</t>
  </si>
  <si>
    <t>1:37.94</t>
  </si>
  <si>
    <t>58.77</t>
  </si>
  <si>
    <t>4:12.09</t>
  </si>
  <si>
    <t>2:48.28</t>
  </si>
  <si>
    <t>17.15</t>
  </si>
  <si>
    <t>2:17.50</t>
  </si>
  <si>
    <t>1:07.74</t>
  </si>
  <si>
    <t>4:00.39</t>
  </si>
  <si>
    <t>xNirox</t>
  </si>
  <si>
    <t>125</t>
  </si>
  <si>
    <t>1:00.45</t>
  </si>
  <si>
    <t>2:59.16</t>
  </si>
  <si>
    <t>1:46.37</t>
  </si>
  <si>
    <t>1:06.09</t>
  </si>
  <si>
    <t>1:23.81</t>
  </si>
  <si>
    <t>2:30.01</t>
  </si>
  <si>
    <t>1:43.73</t>
  </si>
  <si>
    <t>44.49</t>
  </si>
  <si>
    <t>Zarcos</t>
  </si>
  <si>
    <t>Feli_Heli</t>
  </si>
  <si>
    <t>39.973</t>
  </si>
  <si>
    <t>14.447</t>
  </si>
  <si>
    <t>rusticmeerkat</t>
  </si>
  <si>
    <t>1:48.44</t>
  </si>
  <si>
    <t>1:24.27</t>
  </si>
  <si>
    <t>rosa</t>
  </si>
  <si>
    <t>14.35</t>
  </si>
  <si>
    <t>1:06.82</t>
  </si>
  <si>
    <t>Galapagos</t>
  </si>
  <si>
    <t>74</t>
  </si>
  <si>
    <t>Repetition</t>
  </si>
  <si>
    <t>59.97</t>
  </si>
  <si>
    <t>1:17.60</t>
  </si>
  <si>
    <t>1:19.91</t>
  </si>
  <si>
    <t>26.17</t>
  </si>
  <si>
    <t>15.32</t>
  </si>
  <si>
    <t>osumnall</t>
  </si>
  <si>
    <t>1:42.41</t>
  </si>
  <si>
    <t>labmemb3r009</t>
  </si>
  <si>
    <t>saksdal</t>
  </si>
  <si>
    <t>1:05.93</t>
  </si>
  <si>
    <t>Elementari</t>
  </si>
  <si>
    <t>1:38.32</t>
  </si>
  <si>
    <t>23.45</t>
  </si>
  <si>
    <t>FreddyBoi45566</t>
  </si>
  <si>
    <t>Zophos</t>
  </si>
  <si>
    <t>heythere</t>
  </si>
  <si>
    <t>AGA</t>
  </si>
  <si>
    <t>59.44</t>
  </si>
  <si>
    <t>34.54</t>
  </si>
  <si>
    <t>emberavenge</t>
  </si>
  <si>
    <t>Nido</t>
  </si>
  <si>
    <t>Yoshi_1612</t>
  </si>
  <si>
    <t>Warspyking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</si>
</sst>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h]&quot;:&quot;mm&quot;:&quot;ss"/>
    <numFmt numFmtId="166" formatCode="mm:ss.00"/>
    <numFmt numFmtId="167" formatCode="yyyy-mm-dd"/>
  </numFmts>
  <fonts count="694">
    <font>
      <sz val="10.0"/>
      <color rgb="FF000000"/>
      <name val="Arial"/>
    </font>
    <font>
      <b/>
      <sz val="20.0"/>
      <color rgb="FFFFFFFF"/>
    </font>
    <font>
      <b/>
      <sz val="20.0"/>
      <color rgb="FFFFFFFF"/>
      <name val="Arial"/>
    </font>
    <font>
      <b/>
      <sz val="14.0"/>
      <color rgb="FFFFFFFF"/>
    </font>
    <font>
      <b/>
      <sz val="14.0"/>
      <color rgb="FFFFFFFF"/>
      <name val="Arial"/>
    </font>
    <font>
      <sz val="10.0"/>
    </font>
    <font>
      <name val="Arial"/>
    </font>
    <font>
      <b/>
      <sz val="11.0"/>
      <color rgb="FF0000FF"/>
    </font>
    <font>
      <b/>
      <sz val="11.0"/>
      <color rgb="FF0000FF"/>
      <name val="Arial"/>
    </font>
    <font>
      <b/>
      <u/>
      <sz val="11.0"/>
      <color rgb="FF1155CC"/>
    </font>
    <font/>
    <font>
      <b/>
      <color rgb="FF990000"/>
    </font>
    <font>
      <b/>
      <u/>
      <sz val="11.0"/>
      <color rgb="FF0000FF"/>
    </font>
    <font>
      <b/>
      <sz val="10.0"/>
      <color rgb="FFFFFFFF"/>
      <name val="Arial"/>
    </font>
    <font>
      <b/>
      <u/>
      <color rgb="FF1155CC"/>
      <name val="Arial"/>
    </font>
    <font>
      <b/>
      <sz val="10.0"/>
      <color rgb="FFFFFFFF"/>
    </font>
    <font>
      <b/>
      <sz val="10.0"/>
      <color rgb="FF000000"/>
    </font>
    <font>
      <b/>
      <sz val="9.0"/>
      <color rgb="FFFFFFFF"/>
    </font>
    <font>
      <b/>
      <sz val="10.0"/>
      <color rgb="FF000000"/>
      <name val="Arial"/>
    </font>
    <font>
      <b/>
      <sz val="8.0"/>
      <color rgb="FFFFFFFF"/>
    </font>
    <font>
      <b/>
      <sz val="10.0"/>
      <name val="Arial"/>
    </font>
    <font>
      <b/>
      <sz val="9.0"/>
      <color rgb="FFFFFFFF"/>
      <name val="Arial"/>
    </font>
    <font>
      <b/>
      <sz val="9.0"/>
      <name val="Arial"/>
    </font>
    <font>
      <b/>
      <sz val="9.0"/>
      <color rgb="FF000000"/>
    </font>
    <font>
      <b/>
      <sz val="9.0"/>
      <color rgb="FF000000"/>
      <name val="Arial"/>
    </font>
    <font>
      <b/>
      <i/>
      <sz val="9.0"/>
      <color rgb="FF000000"/>
      <name val="Arial"/>
    </font>
    <font>
      <b/>
      <sz val="9.0"/>
      <color rgb="FFEEF7E3"/>
    </font>
    <font>
      <sz val="9.0"/>
    </font>
    <font>
      <b/>
      <sz val="9.0"/>
      <color rgb="FF0080FF"/>
      <name val="Arial"/>
    </font>
    <font>
      <b/>
      <sz val="9.0"/>
      <color rgb="FFE8B600"/>
      <name val="Arial"/>
    </font>
    <font>
      <b/>
      <sz val="9.0"/>
      <color rgb="FF999999"/>
      <name val="Arial"/>
    </font>
    <font>
      <b/>
      <sz val="9.0"/>
      <color rgb="FFB35C00"/>
      <name val="Arial"/>
    </font>
    <font>
      <i/>
      <sz val="9.0"/>
      <color rgb="FF000000"/>
      <name val="Arial"/>
    </font>
    <font>
      <sz val="9.0"/>
      <color rgb="FF000000"/>
    </font>
    <font>
      <b/>
      <u/>
      <sz val="9.0"/>
      <color rgb="FFB35C00"/>
    </font>
    <font>
      <b/>
      <u/>
      <sz val="9.0"/>
      <color rgb="FF999999"/>
    </font>
    <font>
      <b/>
      <u/>
      <sz val="9.0"/>
      <color rgb="FFE8B600"/>
    </font>
    <font>
      <u/>
      <sz val="9.0"/>
      <color rgb="FF1155CC"/>
    </font>
    <font>
      <u/>
      <sz val="9.0"/>
      <color rgb="FF000000"/>
    </font>
    <font>
      <color rgb="FF000000"/>
    </font>
    <font>
      <b/>
      <u/>
      <color rgb="FF0000FF"/>
      <name val="Arial"/>
    </font>
    <font>
      <b/>
      <u/>
      <sz val="9.0"/>
      <color rgb="FFB35C00"/>
    </font>
    <font>
      <b/>
      <u/>
      <sz val="9.0"/>
      <color rgb="FF999999"/>
    </font>
    <font>
      <sz val="9.0"/>
      <color rgb="FF000000"/>
      <name val="Arial"/>
    </font>
    <font>
      <b/>
      <u/>
      <sz val="9.0"/>
      <color rgb="FFE8B600"/>
    </font>
    <font>
      <u/>
      <sz val="9.0"/>
      <color rgb="FF1155CC"/>
    </font>
    <font>
      <b/>
      <sz val="18.0"/>
      <color rgb="FF000000"/>
      <name val="Arial"/>
    </font>
    <font>
      <sz val="9.0"/>
      <name val="Arial"/>
    </font>
    <font>
      <sz val="18.0"/>
      <color rgb="FF000000"/>
      <name val="Arial"/>
    </font>
    <font>
      <sz val="18.0"/>
      <name val="Arial"/>
    </font>
    <font>
      <b/>
      <u/>
      <sz val="9.0"/>
      <color rgb="FF0000FF"/>
      <name val="Arial"/>
    </font>
    <font>
      <u/>
      <sz val="9.0"/>
      <color rgb="FF000000"/>
    </font>
    <font>
      <u/>
      <sz val="9.0"/>
      <color rgb="FF0000FF"/>
      <name val="Arial"/>
    </font>
    <font>
      <u/>
      <sz val="9.0"/>
      <color rgb="FF0000FF"/>
      <name val="Arial"/>
    </font>
    <font>
      <u/>
      <sz val="9.0"/>
      <color rgb="FF0000FF"/>
      <name val="Arial"/>
    </font>
    <font>
      <u/>
      <sz val="9.0"/>
      <color rgb="FF0000FF"/>
      <name val="Arial"/>
    </font>
    <font>
      <u/>
      <sz val="9.0"/>
      <color rgb="FF1155CC"/>
    </font>
    <font>
      <b/>
      <sz val="9.0"/>
      <color rgb="FFFF0000"/>
      <name val="Arial"/>
    </font>
    <font>
      <u/>
      <sz val="9.0"/>
      <color rgb="FF1155CC"/>
      <name val="Arial"/>
    </font>
    <font>
      <b/>
      <u/>
      <sz val="9.0"/>
      <color rgb="FFE8B600"/>
      <name val="Arial"/>
    </font>
    <font>
      <u/>
      <sz val="9.0"/>
      <color rgb="FF000000"/>
    </font>
    <font>
      <b/>
      <u/>
      <sz val="9.0"/>
      <color rgb="FF999999"/>
      <name val="Arial"/>
    </font>
    <font>
      <sz val="9.0"/>
      <color rgb="FFFFFFFF"/>
    </font>
    <font>
      <u/>
      <sz val="9.0"/>
      <color rgb="FF1155CC"/>
      <name val="Arial"/>
    </font>
    <font>
      <b/>
      <u/>
      <sz val="9.0"/>
      <color rgb="FFB35C00"/>
      <name val="Arial"/>
    </font>
    <font>
      <b/>
      <u/>
      <sz val="9.0"/>
      <color rgb="FFE8B600"/>
      <name val="Arial"/>
    </font>
    <font>
      <u/>
      <sz val="9.0"/>
      <color rgb="FF0000FF"/>
      <name val="Arial"/>
    </font>
    <font>
      <b/>
      <u/>
      <sz val="9.0"/>
      <color rgb="FF999999"/>
      <name val="Arial"/>
    </font>
    <font>
      <b/>
      <u/>
      <sz val="9.0"/>
      <color rgb="FFE8B600"/>
      <name val="Arial"/>
    </font>
    <font>
      <b/>
      <u/>
      <sz val="10.0"/>
      <color rgb="FF1155CC"/>
      <name val="Arial"/>
    </font>
    <font>
      <b/>
      <i/>
      <sz val="10.0"/>
      <color rgb="FFFFFFFF"/>
      <name val="Arial"/>
    </font>
    <font>
      <b/>
      <i/>
      <sz val="9.0"/>
      <color rgb="FFFFFFFF"/>
    </font>
    <font>
      <b/>
      <i/>
      <sz val="9.0"/>
      <color rgb="FF000000"/>
    </font>
    <font>
      <u/>
      <sz val="9.0"/>
      <color rgb="FF0000FF"/>
      <name val="Arial"/>
    </font>
    <font>
      <u/>
      <sz val="9.0"/>
      <color rgb="FF000000"/>
    </font>
    <font>
      <b/>
      <u/>
      <sz val="9.0"/>
      <color rgb="FF0000FF"/>
      <name val="Arial"/>
    </font>
    <font>
      <u/>
      <sz val="9.0"/>
      <color rgb="FF1155CC"/>
      <name val="Arial"/>
    </font>
    <font>
      <b/>
      <i/>
      <sz val="9.0"/>
      <color rgb="FF6200BA"/>
      <name val="Arial"/>
    </font>
    <font>
      <b/>
      <sz val="9.0"/>
      <color rgb="FF0000FF"/>
      <name val="Arial"/>
    </font>
    <font>
      <b/>
      <u/>
      <sz val="9.0"/>
      <color rgb="FFE8B600"/>
    </font>
    <font>
      <u/>
      <sz val="9.0"/>
      <color rgb="FF1155CC"/>
    </font>
    <font>
      <b/>
      <u/>
      <sz val="9.0"/>
      <color rgb="FF999999"/>
      <name val="Arial"/>
    </font>
    <font>
      <u/>
      <sz val="9.0"/>
      <color rgb="FF0000FF"/>
      <name val="Arial"/>
    </font>
    <font>
      <b/>
      <u/>
      <sz val="9.0"/>
      <color rgb="FFE8B600"/>
      <name val="Arial"/>
    </font>
    <font>
      <b/>
      <u/>
      <sz val="9.0"/>
      <color rgb="FFB35C00"/>
    </font>
    <font>
      <b/>
      <u/>
      <sz val="9.0"/>
      <color rgb="FF999999"/>
    </font>
    <font>
      <b/>
      <u/>
      <sz val="9.0"/>
      <color rgb="FFE8B600"/>
      <name val="Arial"/>
    </font>
    <font>
      <b/>
      <u/>
      <sz val="9.0"/>
      <color rgb="FFB35C00"/>
    </font>
    <font>
      <b/>
      <u/>
      <sz val="9.0"/>
      <color rgb="FFE8B600"/>
      <name val="Arial"/>
    </font>
    <font>
      <u/>
      <sz val="9.0"/>
      <color rgb="FF1155CC"/>
      <name val="Arial"/>
    </font>
    <font>
      <u/>
      <sz val="9.0"/>
      <color rgb="FF1155CC"/>
      <name val="Arial"/>
    </font>
    <font>
      <u/>
      <sz val="9.0"/>
      <color rgb="FF0000FF"/>
      <name val="Arial"/>
    </font>
    <font>
      <b/>
      <u/>
      <sz val="9.0"/>
      <color rgb="FFB35C00"/>
      <name val="Arial"/>
    </font>
    <font>
      <b/>
      <u/>
      <sz val="9.0"/>
      <color rgb="FFE8B600"/>
      <name val="Arial"/>
    </font>
    <font>
      <b/>
      <u/>
      <sz val="9.0"/>
      <color rgb="FF0000FF"/>
      <name val="Arial"/>
    </font>
    <font>
      <u/>
      <sz val="9.0"/>
      <color rgb="FF000000"/>
      <name val="Arial"/>
    </font>
    <font>
      <u/>
      <sz val="9.0"/>
      <color rgb="FF000000"/>
      <name val="Arial"/>
    </font>
    <font>
      <b/>
      <u/>
      <sz val="9.0"/>
      <color rgb="FF999999"/>
      <name val="Arial"/>
    </font>
    <font>
      <b/>
      <u/>
      <sz val="9.0"/>
      <color rgb="FFE8B600"/>
      <name val="Arial"/>
    </font>
    <font>
      <u/>
      <sz val="9.0"/>
      <color rgb="FF000000"/>
    </font>
    <font>
      <u/>
      <sz val="9.0"/>
      <color rgb="FF1155CC"/>
      <name val="Arial"/>
    </font>
    <font>
      <b/>
      <u/>
      <sz val="9.0"/>
      <color rgb="FFE8B600"/>
    </font>
    <font>
      <b/>
      <u/>
      <sz val="9.0"/>
      <color rgb="FFE8B600"/>
      <name val="Arial"/>
    </font>
    <font>
      <b/>
      <u/>
      <sz val="9.0"/>
      <color rgb="FF0000FF"/>
      <name val="Arial"/>
    </font>
    <font>
      <u/>
      <sz val="9.0"/>
      <color rgb="FF1155CC"/>
      <name val="Arial"/>
    </font>
    <font>
      <b/>
      <u/>
      <sz val="9.0"/>
      <color rgb="FFE8B600"/>
      <name val="Arial"/>
    </font>
    <font>
      <u/>
      <sz val="9.0"/>
      <color rgb="FF1155CC"/>
      <name val="Arial"/>
    </font>
    <font>
      <u/>
      <sz val="9.0"/>
      <color rgb="FF1155CC"/>
      <name val="Arial"/>
    </font>
    <font>
      <u/>
      <sz val="9.0"/>
      <color rgb="FF000000"/>
      <name val="Arial"/>
    </font>
    <font>
      <u/>
      <sz val="9.0"/>
      <color rgb="FF000000"/>
      <name val="Arial"/>
    </font>
    <font>
      <b/>
      <u/>
      <sz val="9.0"/>
      <color rgb="FFE8B600"/>
      <name val="Arial"/>
    </font>
    <font>
      <u/>
      <sz val="9.0"/>
      <color rgb="FF000000"/>
      <name val="Arial"/>
    </font>
    <font>
      <b/>
      <u/>
      <sz val="9.0"/>
      <color rgb="FFE8B600"/>
      <name val="Arial"/>
    </font>
    <font>
      <u/>
      <sz val="9.0"/>
      <color rgb="FF1155CC"/>
      <name val="Arial"/>
    </font>
    <font>
      <u/>
      <sz val="9.0"/>
      <color rgb="FF1155CC"/>
      <name val="Arial"/>
    </font>
    <font>
      <b/>
      <u/>
      <sz val="9.0"/>
      <color rgb="FF999999"/>
      <name val="Arial"/>
    </font>
    <font>
      <u/>
      <sz val="9.0"/>
      <color rgb="FF1155CC"/>
    </font>
    <font>
      <b/>
      <u/>
      <sz val="9.0"/>
      <color rgb="FFE8B600"/>
      <name val="Arial"/>
    </font>
    <font>
      <b/>
      <u/>
      <sz val="9.0"/>
      <color rgb="FFE8B600"/>
      <name val="Arial"/>
    </font>
    <font>
      <u/>
      <sz val="9.0"/>
      <color rgb="FF1155CC"/>
      <name val="Arial"/>
    </font>
    <font>
      <b/>
      <u/>
      <sz val="9.0"/>
      <color rgb="FFB35C00"/>
      <name val="Arial"/>
    </font>
    <font>
      <b/>
      <u/>
      <sz val="9.0"/>
      <color rgb="FFE8B600"/>
      <name val="Arial"/>
    </font>
    <font>
      <b/>
      <u/>
      <sz val="9.0"/>
      <color rgb="FF999999"/>
    </font>
    <font>
      <u/>
      <sz val="9.0"/>
      <color rgb="FF1155CC"/>
      <name val="Arial"/>
    </font>
    <font>
      <b/>
      <u/>
      <sz val="9.0"/>
      <color rgb="FF999999"/>
      <name val="Arial"/>
    </font>
    <font>
      <b/>
      <u/>
      <sz val="9.0"/>
      <color rgb="FFE8B600"/>
      <name val="Arial"/>
    </font>
    <font>
      <b/>
      <u/>
      <sz val="9.0"/>
      <color rgb="FF999999"/>
      <name val="Arial"/>
    </font>
    <font>
      <b/>
      <u/>
      <sz val="9.0"/>
      <color rgb="FF999999"/>
      <name val="Arial"/>
    </font>
    <font>
      <b/>
      <u/>
      <sz val="9.0"/>
      <color rgb="FFE8B600"/>
      <name val="Arial"/>
    </font>
    <font>
      <u/>
      <sz val="9.0"/>
      <color rgb="FF000000"/>
      <name val="Arial"/>
    </font>
    <font>
      <b/>
      <u/>
      <sz val="9.0"/>
      <color rgb="FFB35C00"/>
      <name val="Arial"/>
    </font>
    <font>
      <u/>
      <sz val="9.0"/>
      <color rgb="FF000000"/>
    </font>
    <font>
      <b/>
      <u/>
      <sz val="9.0"/>
      <color rgb="FFE8B600"/>
      <name val="Arial"/>
    </font>
    <font>
      <u/>
      <sz val="9.0"/>
      <color rgb="FF1155CC"/>
      <name val="Arial"/>
    </font>
    <font>
      <b/>
      <u/>
      <sz val="9.0"/>
      <color rgb="FF999999"/>
      <name val="Arial"/>
    </font>
    <font>
      <b/>
      <u/>
      <sz val="9.0"/>
      <color rgb="FFE8B600"/>
      <name val="Arial"/>
    </font>
    <font>
      <b/>
      <u/>
      <sz val="9.0"/>
      <color rgb="FFB35C00"/>
      <name val="Arial"/>
    </font>
    <font>
      <b/>
      <u/>
      <sz val="9.0"/>
      <color rgb="FFE8B600"/>
      <name val="Arial"/>
    </font>
    <font>
      <u/>
      <sz val="9.0"/>
      <color rgb="FF000000"/>
      <name val="Arial"/>
    </font>
    <font>
      <b/>
    </font>
    <font>
      <b/>
      <color rgb="FFFFFFFF"/>
    </font>
    <font>
      <b/>
      <u/>
      <sz val="9.0"/>
      <color rgb="FF0000FF"/>
    </font>
    <font>
      <u/>
      <sz val="9.0"/>
      <color rgb="FF1155CC"/>
      <name val="Arial"/>
    </font>
    <font>
      <b/>
      <sz val="9.0"/>
    </font>
    <font>
      <u/>
      <sz val="9.0"/>
      <color rgb="FF0000FF"/>
    </font>
    <font>
      <u/>
      <sz val="9.0"/>
      <color rgb="FF1155CC"/>
      <name val="Arial"/>
    </font>
    <font>
      <b/>
      <u/>
      <sz val="9.0"/>
      <color rgb="FF999999"/>
      <name val="Arial"/>
    </font>
    <font>
      <u/>
      <sz val="9.0"/>
      <color rgb="FF0000FF"/>
      <name val="Arial"/>
    </font>
    <font>
      <u/>
      <sz val="9.0"/>
      <color rgb="FF1155CC"/>
      <name val="Arial"/>
    </font>
    <font>
      <b/>
      <u/>
      <sz val="9.0"/>
      <color rgb="FF999999"/>
    </font>
    <font>
      <b/>
      <u/>
      <sz val="9.0"/>
      <color rgb="FFB35C00"/>
    </font>
    <font>
      <b/>
      <u/>
      <sz val="9.0"/>
      <color rgb="FFB35C00"/>
      <name val="Arial"/>
    </font>
    <font>
      <u/>
      <sz val="9.0"/>
      <color rgb="FF1155CC"/>
    </font>
    <font>
      <b/>
      <u/>
      <sz val="9.0"/>
      <color rgb="FF999999"/>
      <name val="Arial"/>
    </font>
    <font>
      <u/>
      <sz val="9.0"/>
      <color rgb="FF1155CC"/>
    </font>
    <font>
      <b/>
      <u/>
      <sz val="9.0"/>
      <color rgb="FFB35C00"/>
      <name val="Arial"/>
    </font>
    <font>
      <u/>
      <sz val="9.0"/>
      <color rgb="FF1155CC"/>
    </font>
    <font>
      <u/>
      <sz val="9.0"/>
      <color rgb="FF000000"/>
    </font>
    <font>
      <u/>
      <sz val="9.0"/>
      <color rgb="FF1155CC"/>
    </font>
    <font>
      <u/>
      <sz val="9.0"/>
      <color rgb="FF000000"/>
    </font>
    <font>
      <b/>
      <u/>
      <sz val="9.0"/>
      <color rgb="FF999999"/>
    </font>
    <font>
      <b/>
      <u/>
      <sz val="9.0"/>
      <color rgb="FF999999"/>
    </font>
    <font>
      <b/>
      <u/>
      <sz val="9.0"/>
      <color rgb="FFB35C00"/>
    </font>
    <font>
      <u/>
      <sz val="9.0"/>
      <color rgb="FF1155CC"/>
    </font>
    <font>
      <u/>
      <sz val="9.0"/>
      <color rgb="FF1155CC"/>
      <name val="Arial"/>
    </font>
    <font>
      <u/>
      <sz val="9.0"/>
      <color rgb="FF1155CC"/>
    </font>
    <font>
      <b/>
      <sz val="9.0"/>
      <color rgb="FF4A86E8"/>
      <name val="Arial"/>
    </font>
    <font>
      <u/>
      <sz val="9.0"/>
      <color rgb="FF1155CC"/>
      <name val="Arial"/>
    </font>
    <font>
      <b/>
      <u/>
      <sz val="9.0"/>
      <color rgb="FF999999"/>
    </font>
    <font>
      <b/>
      <u/>
      <sz val="9.0"/>
      <color rgb="FF999999"/>
      <name val="Arial"/>
    </font>
    <font>
      <u/>
      <sz val="9.0"/>
      <color rgb="FF000000"/>
    </font>
    <font>
      <u/>
      <sz val="9.0"/>
      <color rgb="FF1155CC"/>
    </font>
    <font>
      <u/>
      <sz val="9.0"/>
      <color rgb="FF1155CC"/>
      <name val="Arial"/>
    </font>
    <font>
      <b/>
      <u/>
      <sz val="9.0"/>
      <color rgb="FFE8B600"/>
    </font>
    <font>
      <u/>
      <sz val="9.0"/>
      <color rgb="FF1155CC"/>
    </font>
    <font>
      <u/>
      <sz val="9.0"/>
      <color rgb="FF000000"/>
      <name val="Arial"/>
    </font>
    <font>
      <u/>
      <sz val="9.0"/>
      <color rgb="FF1155CC"/>
      <name val="Arial"/>
    </font>
    <font>
      <b/>
      <u/>
      <sz val="9.0"/>
      <color rgb="FF999999"/>
    </font>
    <font>
      <u/>
      <sz val="9.0"/>
      <color rgb="FF1155CC"/>
    </font>
    <font>
      <u/>
      <sz val="9.0"/>
      <color rgb="FF1155CC"/>
    </font>
    <font>
      <u/>
      <sz val="9.0"/>
      <color rgb="FF1155CC"/>
      <name val="Arial"/>
    </font>
    <font>
      <u/>
      <sz val="9.0"/>
      <color rgb="FF000000"/>
      <name val="Arial"/>
    </font>
    <font>
      <u/>
      <sz val="9.0"/>
      <color rgb="FF000000"/>
    </font>
    <font>
      <u/>
      <sz val="9.0"/>
      <color rgb="FF1155CC"/>
    </font>
    <font>
      <u/>
      <sz val="9.0"/>
      <color rgb="FF1155CC"/>
      <name val="Arial"/>
    </font>
    <font>
      <b/>
      <u/>
      <sz val="9.0"/>
      <color rgb="FF999999"/>
    </font>
    <font>
      <u/>
      <sz val="9.0"/>
      <color rgb="FF000000"/>
    </font>
    <font>
      <b/>
      <u/>
      <sz val="9.0"/>
      <color rgb="FFB35C00"/>
    </font>
    <font>
      <u/>
      <sz val="9.0"/>
      <color rgb="FF1155CC"/>
    </font>
    <font>
      <u/>
      <sz val="9.0"/>
      <color rgb="FF000000"/>
    </font>
    <font>
      <u/>
      <sz val="9.0"/>
      <color rgb="FF1155CC"/>
    </font>
    <font>
      <b/>
      <u/>
      <sz val="9.0"/>
      <color rgb="FF999999"/>
    </font>
    <font>
      <b/>
      <u/>
      <sz val="9.0"/>
      <color rgb="FFE8B600"/>
      <name val="Arial"/>
    </font>
    <font>
      <b/>
      <u/>
      <sz val="9.0"/>
      <color rgb="FFE8B600"/>
    </font>
    <font>
      <u/>
      <sz val="9.0"/>
      <color rgb="FF1155CC"/>
    </font>
    <font>
      <b/>
      <u/>
      <sz val="9.0"/>
      <color rgb="FFE8B600"/>
    </font>
    <font>
      <b/>
      <u/>
      <sz val="9.0"/>
      <color rgb="FFB35C00"/>
      <name val="Arial"/>
    </font>
    <font>
      <u/>
      <sz val="9.0"/>
      <color rgb="FF000000"/>
    </font>
    <font>
      <b/>
      <u/>
      <sz val="9.0"/>
      <color rgb="FFE8B600"/>
    </font>
    <font>
      <b/>
      <u/>
      <sz val="9.0"/>
      <color rgb="FF999999"/>
      <name val="Arial"/>
    </font>
    <font>
      <b/>
      <u/>
      <sz val="9.0"/>
      <color rgb="FF999999"/>
    </font>
    <font>
      <u/>
      <sz val="9.0"/>
      <color rgb="FF000000"/>
      <name val="Arial"/>
    </font>
    <font>
      <u/>
      <sz val="9.0"/>
      <color rgb="FF1155CC"/>
    </font>
    <font>
      <u/>
      <sz val="9.0"/>
      <color rgb="FF000000"/>
      <name val="Arial"/>
    </font>
    <font>
      <b/>
      <u/>
      <sz val="9.0"/>
      <color rgb="FFB35C00"/>
    </font>
    <font>
      <u/>
      <sz val="9.0"/>
      <color rgb="FF000000"/>
    </font>
    <font>
      <b/>
      <u/>
      <sz val="9.0"/>
      <color rgb="FF999999"/>
    </font>
    <font>
      <u/>
      <sz val="9.0"/>
      <color rgb="FF1155CC"/>
    </font>
    <font>
      <b/>
      <u/>
      <sz val="9.0"/>
      <color rgb="FFE8B600"/>
    </font>
    <font>
      <b/>
      <u/>
      <sz val="9.0"/>
      <color rgb="FFB35C00"/>
    </font>
    <font>
      <b/>
      <u/>
      <sz val="9.0"/>
      <color rgb="FF999999"/>
      <name val="Arial"/>
    </font>
    <font>
      <u/>
      <sz val="9.0"/>
      <color rgb="FF1155CC"/>
      <name val="Arial"/>
    </font>
    <font>
      <b/>
      <u/>
      <sz val="9.0"/>
      <color rgb="FF999999"/>
      <name val="Arial"/>
    </font>
    <font>
      <u/>
      <sz val="9.0"/>
      <color rgb="FF1155CC"/>
      <name val="Arial"/>
    </font>
    <font>
      <b/>
      <u/>
      <sz val="9.0"/>
      <color rgb="FFE8B600"/>
      <name val="Arial"/>
    </font>
    <font>
      <u/>
      <sz val="9.0"/>
      <color rgb="FF000000"/>
      <name val="Arial"/>
    </font>
    <font>
      <b/>
      <u/>
      <sz val="9.0"/>
      <color rgb="FFB35C00"/>
      <name val="Arial"/>
    </font>
    <font>
      <b/>
      <u/>
      <sz val="9.0"/>
      <color rgb="FFB35C00"/>
      <name val="Arial"/>
    </font>
    <font>
      <u/>
      <sz val="9.0"/>
      <color rgb="FF000000"/>
      <name val="Arial"/>
    </font>
    <font>
      <u/>
      <sz val="9.0"/>
      <color rgb="FF1155CC"/>
      <name val="Arial"/>
    </font>
    <font>
      <b/>
      <u/>
      <sz val="9.0"/>
      <color rgb="FF999999"/>
      <name val="Arial"/>
    </font>
    <font>
      <u/>
      <sz val="9.0"/>
      <color rgb="FF1155CC"/>
      <name val="Arial"/>
    </font>
    <font>
      <b/>
      <u/>
      <sz val="9.0"/>
      <color rgb="FFB35C00"/>
      <name val="Arial"/>
    </font>
    <font>
      <u/>
      <sz val="9.0"/>
      <color rgb="FF000000"/>
      <name val="Arial"/>
    </font>
    <font>
      <b/>
      <u/>
      <sz val="9.0"/>
      <color rgb="FFB35C00"/>
      <name val="Arial"/>
    </font>
    <font>
      <u/>
      <sz val="9.0"/>
      <color rgb="FF0000FF"/>
    </font>
    <font>
      <sz val="9.0"/>
      <color rgb="FF0000FF"/>
      <name val="Arial"/>
    </font>
    <font>
      <sz val="9.0"/>
      <color rgb="FF1155CC"/>
    </font>
    <font>
      <u/>
      <sz val="9.0"/>
      <color rgb="FF1155CC"/>
      <name val="Arial"/>
    </font>
    <font>
      <u/>
      <sz val="9.0"/>
      <color rgb="FF000000"/>
      <name val="Arial"/>
    </font>
    <font>
      <b/>
      <u/>
      <sz val="9.0"/>
      <color rgb="FFB35C00"/>
    </font>
    <font>
      <b/>
      <sz val="18.0"/>
      <name val="Arial"/>
    </font>
    <font>
      <u/>
      <sz val="9.0"/>
      <name val="Arial"/>
    </font>
    <font>
      <b/>
      <u/>
      <sz val="9.0"/>
      <color rgb="FF0000FF"/>
    </font>
    <font>
      <u/>
      <sz val="9.0"/>
      <color rgb="FF0000FF"/>
      <name val="Arial"/>
    </font>
    <font>
      <u/>
      <sz val="9.0"/>
      <color rgb="FF000000"/>
      <name val="Arial"/>
    </font>
    <font>
      <u/>
      <sz val="9.0"/>
      <color rgb="FF0B5394"/>
      <name val="Arial"/>
    </font>
    <font>
      <b/>
      <u/>
      <sz val="9.0"/>
      <color rgb="FF999999"/>
      <name val="Arial"/>
    </font>
    <font>
      <b/>
      <u/>
      <sz val="9.0"/>
      <color rgb="FFB35C00"/>
      <name val="Arial"/>
    </font>
    <font>
      <b/>
      <u/>
      <sz val="9.0"/>
      <color rgb="FFB35C00"/>
    </font>
    <font>
      <b/>
      <u/>
      <sz val="9.0"/>
      <color rgb="FFE8B600"/>
    </font>
    <font>
      <b/>
      <sz val="9.0"/>
      <color rgb="FF274E13"/>
      <name val="Arial"/>
    </font>
    <font>
      <u/>
      <sz val="9.0"/>
      <color rgb="FF000000"/>
      <name val="Arial"/>
    </font>
    <font>
      <u/>
      <sz val="9.0"/>
      <color rgb="FF000000"/>
      <name val="Arial"/>
    </font>
    <font>
      <b/>
      <u/>
      <sz val="9.0"/>
      <color rgb="FF0000FF"/>
      <name val="Arial"/>
    </font>
    <font>
      <u/>
      <sz val="9.0"/>
      <color rgb="FF1155CC"/>
    </font>
    <font>
      <b/>
      <u/>
      <sz val="9.0"/>
      <color rgb="FF0000FF"/>
      <name val="Arial"/>
    </font>
    <font>
      <u/>
      <sz val="9.0"/>
      <color rgb="FF1155CC"/>
      <name val="Arial"/>
    </font>
    <font>
      <b/>
      <u/>
      <sz val="9.0"/>
      <color rgb="FFB35C00"/>
    </font>
    <font>
      <u/>
      <sz val="9.0"/>
      <color rgb="FF1155CC"/>
      <name val="Arial"/>
    </font>
    <font>
      <u/>
      <sz val="9.0"/>
      <color rgb="FF0000FF"/>
      <name val="Arial"/>
    </font>
    <font>
      <b/>
      <u/>
      <sz val="9.0"/>
      <color rgb="FF999999"/>
    </font>
    <font>
      <u/>
      <sz val="9.0"/>
      <color rgb="FF0000FF"/>
      <name val="Arial"/>
    </font>
    <font>
      <u/>
      <sz val="9.0"/>
      <color rgb="FF000000"/>
      <name val="Arial"/>
    </font>
    <font>
      <b/>
      <u/>
      <sz val="9.0"/>
      <color rgb="FFB35C00"/>
    </font>
    <font>
      <u/>
      <sz val="9.0"/>
      <color rgb="FF1155CC"/>
    </font>
    <font>
      <b/>
      <sz val="9.0"/>
      <color rgb="FFA64D79"/>
    </font>
    <font>
      <u/>
      <sz val="9.0"/>
      <color rgb="FF1155CC"/>
      <name val="Arial"/>
    </font>
    <font>
      <b/>
      <u/>
      <sz val="9.0"/>
      <color rgb="FFB35C00"/>
      <name val="Arial"/>
    </font>
    <font>
      <b/>
      <u/>
      <sz val="9.0"/>
      <color rgb="FFE8B600"/>
      <name val="Arial"/>
    </font>
    <font>
      <b/>
      <u/>
      <sz val="9.0"/>
      <color rgb="FFE8B600"/>
      <name val="Arial"/>
    </font>
    <font>
      <b/>
      <u/>
      <sz val="9.0"/>
      <color rgb="FFE8B600"/>
      <name val="Arial"/>
    </font>
    <font>
      <b/>
      <u/>
      <sz val="9.0"/>
      <color rgb="FF999999"/>
      <name val="Arial"/>
    </font>
    <font>
      <u/>
      <sz val="9.0"/>
      <color rgb="FF000000"/>
      <name val="Arial"/>
    </font>
    <font>
      <color rgb="FF000000"/>
      <name val="Arial"/>
    </font>
    <font>
      <u/>
      <sz val="9.0"/>
      <color rgb="FF1155CC"/>
      <name val="Arial"/>
    </font>
    <font>
      <b/>
      <u/>
      <sz val="9.0"/>
      <color rgb="FFB35C00"/>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b/>
      <sz val="9.0"/>
      <color rgb="FFFFFF00"/>
      <name val="Arial"/>
    </font>
    <font>
      <u/>
      <sz val="9.0"/>
      <color rgb="FF000000"/>
      <name val="Arial"/>
    </font>
    <font>
      <b/>
      <u/>
      <sz val="9.0"/>
      <color rgb="FFB35C00"/>
      <name val="Arial"/>
    </font>
    <font>
      <b/>
      <u/>
      <sz val="9.0"/>
      <color rgb="FFB35C00"/>
      <name val="Arial"/>
    </font>
    <font>
      <u/>
      <sz val="9.0"/>
      <color rgb="FF000000"/>
      <name val="Arial"/>
    </font>
    <font>
      <u/>
      <sz val="9.0"/>
      <color rgb="FF000000"/>
      <name val="Arial"/>
    </font>
    <font>
      <u/>
      <sz val="9.0"/>
      <color rgb="FF1155CC"/>
      <name val="Arial"/>
    </font>
    <font>
      <u/>
      <sz val="9.0"/>
      <color rgb="FF1155CC"/>
      <name val="Arial"/>
    </font>
    <font>
      <u/>
      <sz val="9.0"/>
      <color rgb="FF1155CC"/>
    </font>
    <font>
      <b/>
      <u/>
      <sz val="9.0"/>
      <color rgb="FFE8B600"/>
      <name val="Arial"/>
    </font>
    <font>
      <u/>
      <sz val="9.0"/>
      <color rgb="FF1155CC"/>
    </font>
    <font>
      <b/>
      <u/>
      <sz val="9.0"/>
      <color rgb="FFB35C00"/>
    </font>
    <font>
      <u/>
      <sz val="9.0"/>
      <color rgb="FF1155CC"/>
    </font>
    <font>
      <b/>
      <u/>
      <sz val="9.0"/>
      <color rgb="FF999999"/>
    </font>
    <font>
      <u/>
      <sz val="9.0"/>
      <color rgb="FF000000"/>
      <name val="Arial"/>
    </font>
    <font>
      <sz val="9.0"/>
      <color rgb="FF1155CC"/>
      <name val="Arial"/>
    </font>
    <font>
      <b/>
      <u/>
      <sz val="9.0"/>
      <color rgb="FF999999"/>
    </font>
    <font>
      <u/>
      <sz val="9.0"/>
      <color rgb="FF1155CC"/>
    </font>
    <font>
      <b/>
      <u/>
      <sz val="9.0"/>
      <color rgb="FF999999"/>
    </font>
    <font>
      <b/>
      <u/>
      <sz val="9.0"/>
      <color rgb="FF999999"/>
    </font>
    <font>
      <b/>
      <u/>
      <sz val="9.0"/>
      <color rgb="FF999999"/>
      <name val="Arial"/>
    </font>
    <font>
      <b/>
      <sz val="9.0"/>
      <color rgb="FF3C78D8"/>
      <name val="Arial"/>
    </font>
    <font>
      <b/>
      <u/>
      <sz val="9.0"/>
      <color rgb="FFE8B600"/>
      <name val="Arial"/>
    </font>
    <font>
      <b/>
      <u/>
      <sz val="9.0"/>
      <color rgb="FF1155CC"/>
      <name val="Arial"/>
    </font>
    <font>
      <u/>
      <sz val="9.0"/>
      <color rgb="FF1155CC"/>
      <name val="Arial"/>
    </font>
    <font>
      <u/>
      <sz val="9.0"/>
      <color rgb="FF1155CC"/>
      <name val="Arial"/>
    </font>
    <font>
      <b/>
      <u/>
      <sz val="9.0"/>
      <color rgb="FFE8B600"/>
    </font>
    <font>
      <b/>
      <i/>
      <sz val="9.0"/>
      <name val="Arial"/>
    </font>
    <font>
      <u/>
      <sz val="9.0"/>
      <color rgb="FF000000"/>
    </font>
    <font>
      <u/>
      <sz val="9.0"/>
      <color rgb="FF000000"/>
    </font>
    <font>
      <b/>
      <sz val="9.0"/>
      <color rgb="FF6495ED"/>
      <name val="Arial"/>
    </font>
    <font>
      <b/>
      <sz val="9.0"/>
      <color rgb="FFA30000"/>
    </font>
    <font>
      <u/>
      <sz val="9.0"/>
      <color rgb="FF1155CC"/>
      <name val="Arial"/>
    </font>
    <font>
      <u/>
      <sz val="9.0"/>
      <color rgb="FF1155CC"/>
      <name val="Arial"/>
    </font>
    <font>
      <b/>
      <u/>
      <sz val="9.0"/>
      <color rgb="FFB35C00"/>
      <name val="Arial"/>
    </font>
    <font>
      <b/>
      <u/>
      <sz val="9.0"/>
      <color rgb="FF999999"/>
      <name val="Arial"/>
    </font>
    <font>
      <b/>
      <sz val="9.0"/>
      <color rgb="FFCC0000"/>
      <name val="Arial"/>
    </font>
    <font>
      <b/>
      <u/>
      <sz val="9.0"/>
      <color rgb="FF1155CC"/>
      <name val="Arial"/>
    </font>
    <font>
      <u/>
      <sz val="9.0"/>
      <color rgb="FF1155CC"/>
      <name val="Arial"/>
    </font>
    <font>
      <b/>
      <u/>
      <sz val="9.0"/>
      <color rgb="FF1155CC"/>
      <name val="Arial"/>
    </font>
    <font>
      <u/>
      <sz val="9.0"/>
      <color rgb="FF1155CC"/>
      <name val="Arial"/>
    </font>
    <font>
      <b/>
      <sz val="9.0"/>
      <color rgb="FFEE9696"/>
      <name val="Arial"/>
    </font>
    <font>
      <u/>
      <sz val="9.0"/>
      <color rgb="FF0000FF"/>
    </font>
    <font>
      <u/>
      <sz val="9.0"/>
      <color rgb="FF1155CC"/>
      <name val="Arial"/>
    </font>
    <font>
      <b/>
      <u/>
      <sz val="9.0"/>
      <color rgb="FFE8B600"/>
      <name val="Arial"/>
    </font>
    <font>
      <b/>
      <sz val="9.0"/>
      <color rgb="FF38761D"/>
    </font>
    <font>
      <b/>
      <u/>
      <sz val="9.0"/>
      <color rgb="FF999999"/>
      <name val="Arial"/>
    </font>
    <font>
      <b/>
      <u/>
      <sz val="9.0"/>
      <color rgb="FFE8B600"/>
      <name val="Arial"/>
    </font>
    <font>
      <u/>
      <sz val="9.0"/>
      <color rgb="FF1155CC"/>
      <name val="Arial"/>
    </font>
    <font>
      <b/>
      <sz val="9.0"/>
      <color rgb="FF00CBCB"/>
    </font>
    <font>
      <u/>
      <sz val="9.0"/>
      <color rgb="FF0000FF"/>
      <name val="Arial"/>
    </font>
    <font>
      <b/>
      <sz val="9.0"/>
      <color rgb="FFD9EAD3"/>
      <name val="Arial"/>
    </font>
    <font>
      <u/>
      <sz val="9.0"/>
      <color rgb="FF1155CC"/>
      <name val="Arial"/>
    </font>
    <font>
      <b/>
      <u/>
      <sz val="9.0"/>
      <color rgb="FF0000FF"/>
      <name val="Arial"/>
    </font>
    <font>
      <b/>
      <u/>
      <sz val="9.0"/>
      <color rgb="FF999999"/>
    </font>
    <font>
      <u/>
      <sz val="9.0"/>
      <color rgb="FF000000"/>
    </font>
    <font>
      <u/>
      <sz val="9.0"/>
      <color rgb="FF0000FF"/>
      <name val="Arial"/>
    </font>
    <font>
      <b/>
      <sz val="9.0"/>
      <color rgb="FFD8B400"/>
      <name val="Arial"/>
    </font>
    <font>
      <b/>
      <u/>
      <sz val="9.0"/>
      <color rgb="FFB35C00"/>
    </font>
    <font>
      <u/>
      <sz val="9.0"/>
      <color rgb="FF000000"/>
    </font>
    <font>
      <b/>
      <u/>
      <sz val="9.0"/>
      <color rgb="FFB35C00"/>
    </font>
    <font>
      <b/>
      <sz val="9.0"/>
      <color rgb="FFC27BA0"/>
      <name val="Arial"/>
    </font>
    <font>
      <b/>
      <u/>
      <sz val="9.0"/>
      <color rgb="FFE8B600"/>
    </font>
    <font>
      <b/>
      <u/>
      <sz val="9.0"/>
      <color rgb="FF999999"/>
    </font>
    <font>
      <b/>
      <u/>
      <sz val="9.0"/>
      <color rgb="FF999999"/>
    </font>
    <font>
      <b/>
      <u/>
      <sz val="9.0"/>
      <color rgb="FFB35C00"/>
    </font>
    <font>
      <u/>
      <sz val="9.0"/>
      <color rgb="FF000000"/>
    </font>
    <font>
      <u/>
      <sz val="9.0"/>
      <color rgb="FF0000FF"/>
      <name val="Arial"/>
    </font>
    <font>
      <u/>
      <sz val="9.0"/>
      <color rgb="FF0000FF"/>
      <name val="Arial"/>
    </font>
    <font>
      <u/>
      <sz val="9.0"/>
      <color rgb="FF000000"/>
      <name val="Arial"/>
    </font>
    <font>
      <b/>
      <sz val="9.0"/>
      <color rgb="FF7C1FD0"/>
    </font>
    <font>
      <u/>
      <sz val="9.0"/>
      <color rgb="FF1155CC"/>
      <name val="Arial"/>
    </font>
    <font>
      <b/>
      <u/>
      <sz val="9.0"/>
      <color rgb="FFE8B600"/>
    </font>
    <font>
      <b/>
      <u/>
      <sz val="9.0"/>
      <color rgb="FF999999"/>
    </font>
    <font>
      <b/>
      <u/>
      <sz val="9.0"/>
      <color rgb="FF1155CC"/>
      <name val="Arial"/>
    </font>
    <font>
      <b/>
      <u/>
      <sz val="9.0"/>
      <color rgb="FFE8B600"/>
    </font>
    <font>
      <b/>
      <u/>
      <sz val="9.0"/>
      <color rgb="FF999999"/>
    </font>
    <font>
      <u/>
      <sz val="9.0"/>
      <color rgb="FF0000FF"/>
      <name val="Arial"/>
    </font>
    <font>
      <b/>
      <sz val="9.0"/>
      <color rgb="FFFF7800"/>
    </font>
    <font>
      <b/>
      <u/>
      <sz val="9.0"/>
      <color rgb="FF0000FF"/>
      <name val="Arial"/>
    </font>
    <font>
      <u/>
      <sz val="9.0"/>
      <color rgb="FF0000FF"/>
      <name val="Arial"/>
    </font>
    <font>
      <u/>
      <sz val="9.0"/>
      <color rgb="FF0000FF"/>
      <name val="Arial"/>
    </font>
    <font>
      <b/>
      <u/>
      <sz val="9.0"/>
      <color rgb="FFB35C00"/>
    </font>
    <font>
      <b/>
      <u/>
      <sz val="9.0"/>
      <color rgb="FF0000FF"/>
      <name val="Arial"/>
    </font>
    <font>
      <b/>
      <u/>
      <sz val="9.0"/>
      <color rgb="FFE8B600"/>
    </font>
    <font>
      <b/>
      <sz val="9.0"/>
      <color rgb="FFFF9900"/>
    </font>
    <font>
      <u/>
      <sz val="9.0"/>
      <color rgb="FF1155CC"/>
      <name val="Arial"/>
    </font>
    <font>
      <u/>
      <sz val="9.0"/>
      <color rgb="FF1155CC"/>
      <name val="Arial"/>
    </font>
    <font>
      <b/>
      <name val="Arial"/>
    </font>
    <font>
      <b/>
      <u/>
      <sz val="9.0"/>
      <color rgb="FF0000FF"/>
      <name val="Arial"/>
    </font>
    <font>
      <b/>
      <sz val="9.0"/>
      <color rgb="FF044DAA"/>
    </font>
    <font>
      <b/>
      <sz val="18.0"/>
      <color rgb="FFFFFFFF"/>
      <name val="Arial"/>
    </font>
    <font>
      <b/>
      <u/>
      <sz val="9.0"/>
      <color rgb="FFB35C00"/>
    </font>
    <font>
      <sz val="9.0"/>
      <color rgb="FFFFFFFF"/>
      <name val="Arial"/>
    </font>
    <font>
      <b/>
      <u/>
      <sz val="9.0"/>
      <color rgb="FFE8B600"/>
    </font>
    <font>
      <u/>
      <sz val="9.0"/>
      <color rgb="FF0000FF"/>
      <name val="Arial"/>
    </font>
    <font>
      <u/>
      <sz val="9.0"/>
      <color rgb="FF0000FF"/>
      <name val="Arial"/>
    </font>
    <font>
      <b/>
      <u/>
      <sz val="9.0"/>
      <color rgb="FF0000FF"/>
    </font>
    <font>
      <u/>
      <sz val="9.0"/>
      <color rgb="FF0000FF"/>
    </font>
    <font>
      <u/>
      <sz val="9.0"/>
      <color rgb="FF0000FF"/>
    </font>
    <font>
      <b/>
      <u/>
      <sz val="9.0"/>
      <color rgb="FFE8B600"/>
    </font>
    <font>
      <b/>
      <u/>
      <sz val="9.0"/>
      <color rgb="FF0000FF"/>
      <name val="Arial"/>
    </font>
    <font>
      <b/>
      <u/>
      <sz val="9.0"/>
      <color rgb="FF1155CC"/>
      <name val="Arial"/>
    </font>
    <font>
      <u/>
      <sz val="9.0"/>
      <color rgb="FF1155CC"/>
      <name val="Arial"/>
    </font>
    <font>
      <b/>
      <u/>
      <sz val="9.0"/>
      <color rgb="FF999999"/>
    </font>
    <font>
      <b/>
      <sz val="9.0"/>
      <color rgb="FFFF0000"/>
    </font>
    <font>
      <u/>
      <sz val="9.0"/>
      <color rgb="FF0000FF"/>
      <name val="Arial"/>
    </font>
    <font>
      <u/>
      <sz val="9.0"/>
      <color rgb="FF0000FF"/>
      <name val="Arial"/>
    </font>
    <font>
      <b/>
      <sz val="9.0"/>
      <color rgb="FF6AA84F"/>
    </font>
    <font>
      <u/>
      <sz val="9.0"/>
      <color rgb="FF1155CC"/>
    </font>
    <font>
      <b/>
      <u/>
      <sz val="9.0"/>
      <color rgb="FFB35C00"/>
    </font>
    <font>
      <u/>
      <sz val="9.0"/>
      <color rgb="FF0000FF"/>
      <name val="Arial"/>
    </font>
    <font>
      <b/>
      <sz val="9.0"/>
      <color rgb="FF6F702E"/>
    </font>
    <font>
      <u/>
      <sz val="9.0"/>
      <color rgb="FF1155CC"/>
      <name val="Arial"/>
    </font>
    <font>
      <u/>
      <sz val="9.0"/>
      <color rgb="FF1155CC"/>
      <name val="Arial"/>
    </font>
    <font>
      <u/>
      <sz val="9.0"/>
      <color rgb="FF1155CC"/>
      <name val="Arial"/>
    </font>
    <font>
      <b/>
      <u/>
      <sz val="9.0"/>
      <color rgb="FFB35C00"/>
      <name val="Arial"/>
    </font>
    <font>
      <u/>
      <sz val="9.0"/>
      <color rgb="FF1155CC"/>
    </font>
    <font>
      <b/>
      <sz val="9.0"/>
      <color rgb="FFF3F3F3"/>
      <name val="Arial"/>
    </font>
    <font>
      <b/>
      <sz val="9.0"/>
      <color rgb="FF990000"/>
      <name val="Arial"/>
    </font>
    <font>
      <b/>
      <sz val="9.0"/>
      <color rgb="FF1155CC"/>
      <name val="Arial"/>
    </font>
    <font>
      <b/>
      <sz val="9.0"/>
      <color rgb="FF38761D"/>
      <name val="Arial"/>
    </font>
    <font>
      <b/>
      <sz val="9.0"/>
      <color rgb="FF980000"/>
      <name val="Arial"/>
    </font>
    <font>
      <b/>
      <u/>
      <sz val="9.0"/>
      <color rgb="FF990000"/>
    </font>
    <font>
      <u/>
      <sz val="9.0"/>
      <color rgb="FF000000"/>
      <name val="Arial"/>
    </font>
    <font>
      <b/>
      <u/>
      <sz val="9.0"/>
      <color rgb="FF990000"/>
      <name val="Arial"/>
    </font>
    <font>
      <b/>
      <u/>
      <sz val="9.0"/>
      <color rgb="FF990000"/>
      <name val="Arial"/>
    </font>
    <font>
      <u/>
      <sz val="9.0"/>
      <color rgb="FF000000"/>
    </font>
    <font>
      <b/>
      <u/>
      <sz val="9.0"/>
      <color rgb="FF990000"/>
    </font>
    <font>
      <u/>
      <sz val="9.0"/>
      <color rgb="FF000000"/>
      <name val="Arial"/>
    </font>
    <font>
      <b/>
      <sz val="18.0"/>
      <color rgb="FFF3F3F3"/>
      <name val="Arial"/>
    </font>
    <font>
      <u/>
      <sz val="9.0"/>
      <color rgb="FF000000"/>
      <name val="Arial"/>
    </font>
    <font>
      <u/>
      <sz val="9.0"/>
      <color rgb="FF0000FF"/>
      <name val="Arial"/>
    </font>
    <font>
      <u/>
      <sz val="9.0"/>
      <color rgb="FF0000FF"/>
      <name val="Arial"/>
    </font>
    <font>
      <u/>
      <sz val="9.0"/>
      <color rgb="FF000000"/>
      <name val="Arial"/>
    </font>
    <font>
      <u/>
      <sz val="9.0"/>
      <color rgb="FF0000FF"/>
      <name val="Arial"/>
    </font>
    <font>
      <u/>
      <sz val="9.0"/>
      <color rgb="FF000000"/>
      <name val="Arial"/>
    </font>
    <font>
      <u/>
      <sz val="9.0"/>
      <color rgb="FF0000FF"/>
      <name val="Arial"/>
    </font>
    <font>
      <u/>
      <sz val="9.0"/>
      <color rgb="FF000000"/>
      <name val="Arial"/>
    </font>
    <font>
      <u/>
      <sz val="9.0"/>
      <color rgb="FF0000FF"/>
      <name val="Arial"/>
    </font>
    <font>
      <u/>
      <sz val="9.0"/>
      <color rgb="FF0000FF"/>
      <name val="Arial"/>
    </font>
    <font>
      <u/>
      <sz val="9.0"/>
      <color rgb="FF0000FF"/>
      <name val="Arial"/>
    </font>
    <font>
      <u/>
      <sz val="9.0"/>
      <color rgb="FF000000"/>
      <name val="Arial"/>
    </font>
    <font>
      <u/>
      <sz val="9.0"/>
      <color rgb="FF0000FF"/>
      <name val="Arial"/>
    </font>
    <font>
      <u/>
      <sz val="9.0"/>
      <color rgb="FF000000"/>
      <name val="Arial"/>
    </font>
    <font>
      <u/>
      <sz val="9.0"/>
      <color rgb="FF0000FF"/>
      <name val="Arial"/>
    </font>
    <font>
      <u/>
      <sz val="9.0"/>
      <color rgb="FF0000FF"/>
      <name val="Arial"/>
    </font>
    <font>
      <u/>
      <sz val="9.0"/>
      <color rgb="FF000000"/>
      <name val="Arial"/>
    </font>
    <font>
      <u/>
      <sz val="9.0"/>
      <color rgb="FF000000"/>
      <name val="Arial"/>
    </font>
    <font>
      <u/>
      <sz val="9.0"/>
      <color rgb="FF000000"/>
      <name val="Arial"/>
    </font>
    <font>
      <u/>
      <sz val="9.0"/>
      <color rgb="FF000000"/>
      <name val="Arial"/>
    </font>
    <font>
      <u/>
      <sz val="9.0"/>
      <color rgb="FF0000FF"/>
      <name val="Arial"/>
    </font>
    <font>
      <b/>
      <u/>
      <sz val="9.0"/>
      <color rgb="FF990000"/>
      <name val="Arial"/>
    </font>
    <font>
      <u/>
      <sz val="9.0"/>
      <color rgb="FF1155CC"/>
      <name val="Arial"/>
    </font>
    <font>
      <u/>
      <sz val="9.0"/>
      <color rgb="FF1155CC"/>
      <name val="Arial"/>
    </font>
    <font>
      <b/>
      <u/>
      <sz val="9.0"/>
      <color rgb="FF990000"/>
      <name val="Arial"/>
    </font>
    <font>
      <u/>
      <sz val="9.0"/>
      <color rgb="FF000000"/>
      <name val="Arial"/>
    </font>
    <font>
      <u/>
      <sz val="9.0"/>
      <color rgb="FF000000"/>
      <name val="Arial"/>
    </font>
    <font>
      <b/>
      <u/>
      <sz val="9.0"/>
      <color rgb="FF990000"/>
      <name val="Arial"/>
    </font>
    <font>
      <u/>
      <sz val="9.0"/>
      <color rgb="FF000000"/>
      <name val="Arial"/>
    </font>
    <font>
      <u/>
      <sz val="9.0"/>
      <color rgb="FF000000"/>
      <name val="Arial"/>
    </font>
    <font>
      <b/>
      <u/>
      <sz val="9.0"/>
      <color rgb="FF1155CC"/>
      <name val="Arial"/>
    </font>
    <font>
      <b/>
      <sz val="9.0"/>
      <color rgb="FF1155CC"/>
    </font>
    <font>
      <b/>
      <u/>
      <sz val="9.0"/>
      <color rgb="FF1155CC"/>
    </font>
    <font>
      <b/>
      <u/>
      <sz val="9.0"/>
      <color rgb="FF1155CC"/>
      <name val="Arial"/>
    </font>
    <font>
      <b/>
      <u/>
      <sz val="9.0"/>
      <color rgb="FF1155CC"/>
      <name val="Arial"/>
    </font>
    <font>
      <b/>
      <u/>
      <sz val="9.0"/>
      <color rgb="FF1155CC"/>
    </font>
    <font>
      <b/>
      <u/>
      <sz val="9.0"/>
      <color rgb="FF1155CC"/>
      <name val="Arial"/>
    </font>
    <font>
      <b/>
      <u/>
      <sz val="9.0"/>
      <color rgb="FF1155CC"/>
      <name val="Arial"/>
    </font>
    <font>
      <u/>
      <sz val="9.0"/>
      <color rgb="FF000000"/>
      <name val="Arial"/>
    </font>
    <font>
      <u/>
      <sz val="9.0"/>
      <color rgb="FF1155CC"/>
      <name val="Arial"/>
    </font>
    <font>
      <b/>
      <u/>
      <sz val="9.0"/>
      <color rgb="FFB35C00"/>
    </font>
    <font>
      <u/>
      <sz val="9.0"/>
      <color rgb="FF0000FF"/>
      <name val="Arial"/>
    </font>
    <font>
      <b/>
      <u/>
      <sz val="9.0"/>
      <color rgb="FFB35C00"/>
    </font>
    <font>
      <b/>
      <u/>
      <sz val="9.0"/>
      <color rgb="FF1155CC"/>
      <name val="Arial"/>
    </font>
    <font>
      <u/>
      <sz val="9.0"/>
      <color rgb="FF000000"/>
      <name val="Arial"/>
    </font>
    <font>
      <u/>
      <sz val="9.0"/>
      <color rgb="FF000000"/>
      <name val="Arial"/>
    </font>
    <font>
      <u/>
      <sz val="9.0"/>
      <color rgb="FF000000"/>
      <name val="Arial"/>
    </font>
    <font>
      <b/>
      <u/>
      <sz val="9.0"/>
      <color rgb="FF1155CC"/>
      <name val="Arial"/>
    </font>
    <font>
      <b/>
      <u/>
      <sz val="9.0"/>
      <color rgb="FF1155CC"/>
      <name val="Arial"/>
    </font>
    <font>
      <b/>
      <u/>
      <sz val="9.0"/>
      <color rgb="FF1155CC"/>
      <name val="Arial"/>
    </font>
    <font>
      <u/>
      <sz val="9.0"/>
      <color rgb="FF000000"/>
      <name val="Arial"/>
    </font>
    <font>
      <u/>
      <sz val="9.0"/>
      <color rgb="FF0000FF"/>
      <name val="Arial"/>
    </font>
    <font>
      <b/>
      <u/>
      <sz val="9.0"/>
      <color rgb="FF0000FF"/>
      <name val="Arial"/>
    </font>
    <font>
      <b/>
      <sz val="9.0"/>
      <color rgb="FF414C9B"/>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name val="Arial"/>
    </font>
    <font>
      <u/>
      <sz val="9.0"/>
      <color rgb="FF1155CC"/>
      <name val="Arial"/>
    </font>
    <font>
      <u/>
      <sz val="9.0"/>
      <color rgb="FF1155CC"/>
      <name val="Arial"/>
    </font>
    <font>
      <u/>
      <sz val="9.0"/>
      <color rgb="FF1155CC"/>
      <name val="Arial"/>
    </font>
    <font>
      <b/>
      <u/>
      <sz val="9.0"/>
      <color rgb="FFB35C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b/>
      <u/>
      <sz val="9.0"/>
      <color rgb="FF990000"/>
      <name val="Arial"/>
    </font>
    <font>
      <b/>
      <u/>
      <sz val="9.0"/>
      <color rgb="FF0000FF"/>
      <name val="Arial"/>
    </font>
    <font>
      <u/>
      <sz val="9.0"/>
      <color rgb="FF1155CC"/>
      <name val="Arial"/>
    </font>
    <font>
      <u/>
      <sz val="9.0"/>
      <color rgb="FF0000FF"/>
    </font>
    <font>
      <u/>
      <sz val="9.0"/>
      <color rgb="FF0000FF"/>
      <name val="Arial"/>
    </font>
    <font>
      <u/>
      <sz val="9.0"/>
      <color rgb="FF0000FF"/>
      <name val="Arial"/>
    </font>
    <font>
      <u/>
      <sz val="9.0"/>
      <color rgb="FF0000FF"/>
      <name val="Arial"/>
    </font>
    <font>
      <b/>
      <u/>
      <sz val="9.0"/>
      <color rgb="FF990000"/>
      <name val="Arial"/>
    </font>
    <font>
      <b/>
      <u/>
      <sz val="9.0"/>
      <color rgb="FF1155CC"/>
      <name val="Arial"/>
    </font>
    <font>
      <u/>
      <sz val="9.0"/>
      <color rgb="FF1155CC"/>
    </font>
    <font>
      <u/>
      <sz val="9.0"/>
      <color rgb="FF0000FF"/>
      <name val="Arial"/>
    </font>
    <font>
      <b/>
      <u/>
      <sz val="9.0"/>
      <color rgb="FF0000FF"/>
      <name val="Arial"/>
    </font>
    <font>
      <u/>
      <sz val="9.0"/>
      <color rgb="FF000000"/>
      <name val="Arial"/>
    </font>
    <font>
      <u/>
      <sz val="9.0"/>
      <color rgb="FF0000FF"/>
      <name val="Arial"/>
    </font>
    <font>
      <b/>
      <sz val="9.0"/>
      <color rgb="FF9010C3"/>
    </font>
    <font>
      <u/>
      <sz val="9.0"/>
      <color rgb="FF000000"/>
      <name val="Arial"/>
    </font>
    <font>
      <u/>
      <sz val="9.0"/>
      <color rgb="FF1155CC"/>
      <name val="Arial"/>
    </font>
    <font>
      <b/>
      <sz val="9.0"/>
      <color rgb="FFBF9000"/>
      <name val="Arial"/>
    </font>
    <font>
      <b/>
      <u/>
      <sz val="9.0"/>
      <color rgb="FF999999"/>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9999"/>
      <name val="Arial"/>
    </font>
    <font>
      <b/>
      <u/>
      <sz val="9.0"/>
      <color rgb="FF990000"/>
      <name val="Arial"/>
    </font>
    <font>
      <b/>
      <u/>
      <sz val="9.0"/>
      <color rgb="FF38761D"/>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0000FF"/>
    </font>
    <font>
      <u/>
      <sz val="9.0"/>
      <color rgb="FF1155CC"/>
      <name val="Arial"/>
    </font>
    <font>
      <b/>
      <u/>
      <sz val="9.0"/>
      <color rgb="FF999999"/>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sz val="9.0"/>
      <color rgb="FFBF9000"/>
    </font>
    <font>
      <b/>
      <sz val="9.0"/>
      <color rgb="FF562757"/>
    </font>
    <font>
      <b/>
      <sz val="18.0"/>
    </font>
    <font>
      <b/>
      <sz val="14.0"/>
      <color rgb="FFFFFFFF"/>
      <name val="Corsiva"/>
    </font>
    <font>
      <b/>
      <sz val="18.0"/>
      <name val="Comic Sans MS"/>
    </font>
    <font>
      <b/>
      <u/>
      <sz val="10.0"/>
      <color rgb="FF1155CC"/>
      <name val="Arial"/>
    </font>
    <font>
      <b/>
      <sz val="14.0"/>
      <name val="Comic Sans MS"/>
    </font>
    <font>
      <i/>
      <color rgb="FF000000"/>
    </font>
    <font>
      <b/>
      <u/>
      <sz val="9.0"/>
      <color rgb="FF38761D"/>
    </font>
    <font>
      <b/>
      <u/>
      <sz val="10.0"/>
      <color rgb="FF1155CC"/>
      <name val="Arial"/>
    </font>
    <font>
      <b/>
      <sz val="12.0"/>
      <name val="Comic Sans MS"/>
    </font>
    <font>
      <i/>
    </font>
    <font>
      <b/>
      <u/>
      <sz val="10.0"/>
      <color rgb="FF0000FF"/>
      <name val="Arial"/>
    </font>
    <font>
      <b/>
      <u/>
      <sz val="9.0"/>
      <color rgb="FF38761D"/>
    </font>
    <font>
      <b/>
      <sz val="9.0"/>
      <color rgb="FF00AEFF"/>
    </font>
    <font>
      <b/>
      <u/>
      <color rgb="FF1155CC"/>
    </font>
    <font>
      <sz val="9.0"/>
      <color rgb="FF000000"/>
      <name val="&quot;Arial&quot;"/>
    </font>
    <font>
      <b/>
      <u/>
      <color rgb="FF1155CC"/>
    </font>
    <font>
      <b/>
      <u/>
      <sz val="10.0"/>
      <color rgb="FF1155CC"/>
      <name val="Arial"/>
    </font>
    <font>
      <sz val="10.0"/>
      <name val="Arial"/>
    </font>
    <font>
      <u/>
      <color rgb="FF1155CC"/>
      <name val="Arial"/>
    </font>
    <font>
      <b/>
      <u/>
      <color rgb="FF1155CC"/>
    </font>
    <font>
      <b/>
      <u/>
      <color rgb="FF0000FF"/>
    </font>
    <font>
      <b/>
      <u/>
      <color rgb="FF1155CC"/>
    </font>
    <font>
      <u/>
      <sz val="9.0"/>
      <color rgb="FF000000"/>
    </font>
    <font>
      <u/>
      <sz val="9.0"/>
      <color rgb="FF1155CC"/>
    </font>
    <font>
      <b/>
      <sz val="9.0"/>
      <color rgb="FF3C78D8"/>
    </font>
    <font>
      <b/>
      <u/>
      <sz val="9.0"/>
      <color rgb="FFE8B600"/>
    </font>
    <font>
      <u/>
      <sz val="9.0"/>
      <color rgb="FF000000"/>
    </font>
    <font>
      <u/>
      <sz val="9.0"/>
      <color rgb="FF1155CC"/>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color rgb="FF0000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font>
    <font>
      <u/>
      <sz val="9.0"/>
      <color rgb="FF000000"/>
      <name val="Arial"/>
    </font>
    <font>
      <b/>
      <sz val="9.0"/>
      <color rgb="FF0DAB00"/>
      <name val="Arial"/>
    </font>
    <font>
      <u/>
      <sz val="9.0"/>
      <color rgb="FF000000"/>
      <name val="Arial"/>
    </font>
    <font>
      <b/>
      <sz val="9.0"/>
      <color rgb="FF10CBA9"/>
    </font>
    <font>
      <b/>
      <sz val="9.0"/>
      <color rgb="FFCC7E7E"/>
    </font>
    <font>
      <u/>
      <sz val="9.0"/>
      <color rgb="FF000000"/>
    </font>
    <font>
      <b/>
      <sz val="9.0"/>
      <color rgb="FF00CBC7"/>
    </font>
    <font>
      <u/>
      <sz val="9.0"/>
      <color rgb="FF1155CC"/>
    </font>
    <font>
      <b/>
      <sz val="9.0"/>
      <color rgb="FFEE9696"/>
    </font>
    <font>
      <u/>
      <sz val="9.0"/>
      <color rgb="FF1155CC"/>
    </font>
    <font>
      <u/>
      <sz val="9.0"/>
      <color rgb="FF1155CC"/>
    </font>
    <font>
      <b/>
      <sz val="9.0"/>
      <color rgb="FF9900FF"/>
    </font>
    <font>
      <b/>
      <sz val="9.0"/>
      <color rgb="FFEA8BD5"/>
    </font>
    <font>
      <b/>
      <sz val="9.0"/>
      <color rgb="FFF1C232"/>
    </font>
    <font>
      <u/>
      <sz val="9.0"/>
      <color rgb="FF000000"/>
      <name val="&quot;Arial&quot;"/>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B35C00"/>
      <name val="Arial"/>
    </font>
    <font>
      <u/>
      <sz val="9.0"/>
      <color rgb="FF000000"/>
      <name val="Arial"/>
    </font>
    <font>
      <u/>
      <sz val="9.0"/>
      <color rgb="FF1155CC"/>
      <name val="Arial"/>
    </font>
    <font>
      <b/>
      <u/>
      <sz val="9.0"/>
      <color rgb="FF999999"/>
    </font>
    <font>
      <b/>
      <u/>
      <sz val="9.0"/>
      <color rgb="FFB35C00"/>
    </font>
    <font>
      <b/>
      <u/>
      <sz val="9.0"/>
      <color rgb="FFE8B600"/>
    </font>
    <font>
      <u/>
      <sz val="9.0"/>
      <color rgb="FF1155CC"/>
    </font>
    <font>
      <b/>
      <sz val="9.0"/>
      <color rgb="FFCC0000"/>
    </font>
    <font>
      <b/>
      <sz val="9.0"/>
      <color rgb="FF0080FF"/>
    </font>
    <font>
      <u/>
      <sz val="9.0"/>
      <color rgb="FF1155CC"/>
    </font>
    <font>
      <u/>
      <sz val="9.0"/>
      <color rgb="FF1155CC"/>
    </font>
    <font>
      <u/>
      <sz val="9.0"/>
      <color rgb="FF000000"/>
    </font>
    <font>
      <u/>
      <sz val="9.0"/>
      <color rgb="FF000000"/>
    </font>
    <font>
      <b/>
      <sz val="9.0"/>
      <color rgb="FFFF00FF"/>
      <name val="Arial"/>
    </font>
    <font>
      <u/>
      <sz val="9.0"/>
      <color rgb="FF1155CC"/>
    </font>
    <font>
      <u/>
      <sz val="9.0"/>
      <color rgb="FF1155CC"/>
    </font>
    <font>
      <u/>
      <sz val="9.0"/>
      <color rgb="FF1155CC"/>
    </font>
    <font>
      <u/>
      <sz val="9.0"/>
      <color rgb="FF1155CC"/>
    </font>
    <font>
      <u/>
      <sz val="9.0"/>
      <color rgb="FF1155CC"/>
    </font>
    <font>
      <u/>
      <sz val="9.0"/>
      <color rgb="FF000000"/>
    </font>
    <font>
      <u/>
      <sz val="9.0"/>
      <color rgb="FF1155CC"/>
    </font>
    <font>
      <u/>
      <sz val="9.0"/>
      <color rgb="FF1155CC"/>
    </font>
    <font>
      <u/>
      <sz val="9.0"/>
      <color rgb="FF1155CC"/>
    </font>
    <font>
      <u/>
      <sz val="9.0"/>
      <color rgb="FF1155CC"/>
    </font>
    <font>
      <u/>
      <sz val="9.0"/>
      <color rgb="FF1155CC"/>
    </font>
    <font>
      <u/>
      <sz val="9.0"/>
      <color rgb="FF1155CC"/>
    </font>
    <font>
      <u/>
      <sz val="9.0"/>
      <color rgb="FF1155CC"/>
    </font>
    <font>
      <u/>
      <sz val="9.0"/>
      <color rgb="FF000000"/>
    </font>
    <font>
      <u/>
      <sz val="9.0"/>
    </font>
    <font>
      <u/>
      <sz val="9.0"/>
      <color rgb="FF000000"/>
    </font>
    <font>
      <b/>
      <sz val="9.0"/>
      <color rgb="FFA61C00"/>
    </font>
    <font>
      <b/>
      <sz val="9.0"/>
      <color rgb="FFE4AE0E"/>
    </font>
    <font>
      <b/>
      <sz val="9.0"/>
      <color rgb="FF119119"/>
    </font>
    <font>
      <b/>
      <sz val="9.0"/>
      <color rgb="FF2863C3"/>
    </font>
    <font>
      <b/>
      <sz val="9.0"/>
      <color rgb="FFC3A2C8"/>
    </font>
    <font>
      <b/>
      <sz val="9.0"/>
      <color rgb="FF6FA8DC"/>
      <name val="Arial"/>
    </font>
    <font>
      <u/>
      <sz val="9.0"/>
      <color rgb="FF000000"/>
      <name val="Arial"/>
    </font>
    <font>
      <u/>
      <sz val="9.0"/>
      <color rgb="FF1155CC"/>
      <name val="Arial"/>
    </font>
    <font>
      <u/>
      <sz val="9.0"/>
      <color rgb="FF1155CC"/>
      <name val="Arial"/>
    </font>
    <font>
      <u/>
      <sz val="9.0"/>
      <color rgb="FF1155CC"/>
      <name val="Arial"/>
    </font>
    <font>
      <u/>
      <sz val="9.0"/>
      <color rgb="FF1155CC"/>
      <name val="Arial"/>
    </font>
    <font>
      <b/>
      <sz val="9.0"/>
      <color rgb="FF4C1130"/>
    </font>
    <font>
      <b/>
      <sz val="9.0"/>
      <color rgb="FF008080"/>
    </font>
    <font>
      <u/>
      <sz val="9.0"/>
      <color rgb="FF1155CC"/>
    </font>
    <font>
      <u/>
      <sz val="9.0"/>
      <color rgb="FF000000"/>
    </font>
    <font>
      <sz val="9.0"/>
      <color rgb="FFE8B600"/>
      <name val="Arial"/>
    </font>
    <font>
      <sz val="9.0"/>
      <color rgb="FF999999"/>
      <name val="Arial"/>
    </font>
    <font>
      <sz val="9.0"/>
      <color rgb="FFB35C00"/>
      <name val="Arial"/>
    </font>
    <font>
      <u/>
      <sz val="9.0"/>
      <color rgb="FF1155CC"/>
    </font>
    <font>
      <u/>
      <sz val="9.0"/>
      <color rgb="FF1155CC"/>
    </font>
    <font>
      <u/>
      <sz val="9.0"/>
      <color rgb="FF1155CC"/>
    </font>
    <font>
      <u/>
      <sz val="10.0"/>
      <color rgb="FF1155CC"/>
    </font>
    <font>
      <b/>
      <sz val="9.0"/>
      <color rgb="FF2ECC70"/>
    </font>
    <font>
      <b/>
      <sz val="9.0"/>
      <color rgb="FF696DB8"/>
    </font>
    <font>
      <u/>
      <sz val="9.0"/>
      <color rgb="FF000000"/>
    </font>
    <font>
      <b/>
      <sz val="9.0"/>
      <color rgb="FF6200BA"/>
      <name val="Arial"/>
    </font>
    <font>
      <b/>
      <sz val="9.0"/>
      <color rgb="FF00C6E0"/>
    </font>
    <font>
      <b/>
      <sz val="9.0"/>
      <color rgb="FF990000"/>
    </font>
    <font>
      <b/>
      <sz val="9.0"/>
      <color rgb="FF0000FF"/>
    </font>
    <font>
      <b/>
      <sz val="9.0"/>
      <color rgb="FF0B5394"/>
      <name val="Arial"/>
    </font>
    <font>
      <u/>
      <sz val="9.0"/>
      <color rgb="FF000000"/>
    </font>
    <font>
      <u/>
      <sz val="9.0"/>
      <color rgb="FF000000"/>
    </font>
    <font>
      <u/>
      <sz val="9.0"/>
      <color rgb="FF000000"/>
    </font>
    <font>
      <u/>
      <sz val="9.0"/>
      <color rgb="FF000000"/>
    </font>
    <font>
      <u/>
      <sz val="9.0"/>
      <color rgb="FF000000"/>
    </font>
    <font>
      <u/>
      <sz val="9.0"/>
      <color rgb="FF000000"/>
    </font>
    <font>
      <u/>
      <sz val="9.0"/>
      <color rgb="FF000000"/>
    </font>
    <font>
      <b/>
      <sz val="9.0"/>
      <color rgb="FFDB9D0A"/>
    </font>
    <font>
      <b/>
      <sz val="9.0"/>
      <color rgb="FF45818E"/>
    </font>
    <font>
      <b/>
      <sz val="9.0"/>
      <color rgb="FF2E6FE1"/>
    </font>
    <font>
      <u/>
      <sz val="9.0"/>
      <color rgb="FF1155CC"/>
    </font>
    <font>
      <u/>
      <sz val="9.0"/>
      <color rgb="FF1155CC"/>
    </font>
    <font>
      <b/>
      <sz val="9.0"/>
      <color rgb="FFD8B400"/>
    </font>
    <font>
      <u/>
      <sz val="9.0"/>
      <color rgb="FF000000"/>
      <name val="Arial"/>
    </font>
    <font>
      <u/>
      <sz val="9.0"/>
      <color rgb="FF1155CC"/>
      <name val="Arial"/>
    </font>
    <font>
      <u/>
      <sz val="9.0"/>
      <color rgb="FF1155CC"/>
    </font>
    <font>
      <b/>
      <u/>
      <sz val="9.0"/>
      <color rgb="FFE8B600"/>
    </font>
    <font>
      <u/>
      <sz val="9.0"/>
      <color rgb="FF1155CC"/>
    </font>
    <font>
      <u/>
      <sz val="9.0"/>
      <color rgb="FF1155CC"/>
    </font>
    <font>
      <b/>
      <u/>
      <sz val="9.0"/>
      <color rgb="FF999999"/>
    </font>
    <font>
      <b/>
      <sz val="9.0"/>
      <color rgb="FF674EA7"/>
    </font>
    <font>
      <b/>
      <u/>
      <sz val="9.0"/>
      <color rgb="FFE8B600"/>
      <name val="Arial"/>
    </font>
    <font>
      <b/>
      <sz val="9.0"/>
      <color rgb="FFD60000"/>
    </font>
    <font>
      <b/>
      <u/>
      <sz val="9.0"/>
      <color rgb="FFB35C00"/>
    </font>
    <font>
      <b/>
      <sz val="9.0"/>
      <color rgb="FF3DA9C9"/>
    </font>
    <font>
      <b/>
      <sz val="9.0"/>
      <color rgb="FF0095A7"/>
    </font>
    <font>
      <b/>
      <sz val="9.0"/>
      <color rgb="FF00AEFF"/>
      <name val="Arial"/>
    </font>
    <font>
      <b/>
      <sz val="9.0"/>
      <color rgb="FF7E7E7E"/>
    </font>
    <font>
      <b/>
      <sz val="9.0"/>
      <color rgb="FFF288F2"/>
    </font>
    <font>
      <b/>
      <sz val="9.0"/>
      <color rgb="FFF42069"/>
    </font>
    <font>
      <u/>
      <sz val="9.0"/>
      <color rgb="FF1155CC"/>
    </font>
    <font>
      <b/>
      <sz val="9.0"/>
      <color rgb="FFFF00FF"/>
    </font>
    <font>
      <u/>
      <sz val="9.0"/>
      <color rgb="FF1155CC"/>
    </font>
    <font>
      <u/>
      <sz val="9.0"/>
      <color rgb="FF1155CC"/>
    </font>
    <font>
      <u/>
      <sz val="9.0"/>
      <color rgb="FF1155CC"/>
    </font>
    <font>
      <u/>
      <sz val="9.0"/>
      <color rgb="FF1155CC"/>
    </font>
  </fonts>
  <fills count="89">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EFEFEF"/>
        <bgColor rgb="FFEFEFEF"/>
      </patternFill>
    </fill>
    <fill>
      <patternFill patternType="solid">
        <fgColor rgb="FF6AA84F"/>
        <bgColor rgb="FF6AA84F"/>
      </patternFill>
    </fill>
    <fill>
      <patternFill patternType="solid">
        <fgColor rgb="FF3C78D8"/>
        <bgColor rgb="FF3C78D8"/>
      </patternFill>
    </fill>
    <fill>
      <patternFill patternType="solid">
        <fgColor rgb="FFF1C232"/>
        <bgColor rgb="FFF1C232"/>
      </patternFill>
    </fill>
    <fill>
      <patternFill patternType="solid">
        <fgColor rgb="FFD576AA"/>
        <bgColor rgb="FFD576AA"/>
      </patternFill>
    </fill>
    <fill>
      <patternFill patternType="solid">
        <fgColor rgb="FFE69138"/>
        <bgColor rgb="FFE69138"/>
      </patternFill>
    </fill>
    <fill>
      <patternFill patternType="solid">
        <fgColor rgb="FF674EA7"/>
        <bgColor rgb="FF674EA7"/>
      </patternFill>
    </fill>
    <fill>
      <patternFill patternType="solid">
        <fgColor rgb="FFCC0000"/>
        <bgColor rgb="FFCC0000"/>
      </patternFill>
    </fill>
    <fill>
      <patternFill patternType="solid">
        <fgColor rgb="FF2256AA"/>
        <bgColor rgb="FF2256AA"/>
      </patternFill>
    </fill>
    <fill>
      <patternFill patternType="solid">
        <fgColor rgb="FFB7B7B7"/>
        <bgColor rgb="FFB7B7B7"/>
      </patternFill>
    </fill>
    <fill>
      <patternFill patternType="solid">
        <fgColor rgb="FFD9D9D9"/>
        <bgColor rgb="FFD9D9D9"/>
      </patternFill>
    </fill>
    <fill>
      <patternFill patternType="solid">
        <fgColor rgb="FF93C47D"/>
        <bgColor rgb="FF93C47D"/>
      </patternFill>
    </fill>
    <fill>
      <patternFill patternType="solid">
        <fgColor rgb="FF6D9EEB"/>
        <bgColor rgb="FF6D9EEB"/>
      </patternFill>
    </fill>
    <fill>
      <patternFill patternType="solid">
        <fgColor rgb="FFFFD966"/>
        <bgColor rgb="FFFFD966"/>
      </patternFill>
    </fill>
    <fill>
      <patternFill patternType="solid">
        <fgColor rgb="FFEA8BD5"/>
        <bgColor rgb="FFEA8BD5"/>
      </patternFill>
    </fill>
    <fill>
      <patternFill patternType="solid">
        <fgColor rgb="FFF6B26B"/>
        <bgColor rgb="FFF6B26B"/>
      </patternFill>
    </fill>
    <fill>
      <patternFill patternType="solid">
        <fgColor rgb="FF8E7CC3"/>
        <bgColor rgb="FF8E7CC3"/>
      </patternFill>
    </fill>
    <fill>
      <patternFill patternType="solid">
        <fgColor rgb="FFE06666"/>
        <bgColor rgb="FFE06666"/>
      </patternFill>
    </fill>
    <fill>
      <patternFill patternType="solid">
        <fgColor rgb="FF4979C9"/>
        <bgColor rgb="FF4979C9"/>
      </patternFill>
    </fill>
    <fill>
      <patternFill patternType="solid">
        <fgColor rgb="FFDADFE8"/>
        <bgColor rgb="FFDADFE8"/>
      </patternFill>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ECBAE1"/>
        <bgColor rgb="FFECBAE1"/>
      </patternFill>
    </fill>
    <fill>
      <patternFill patternType="solid">
        <fgColor rgb="FFEEF7E3"/>
        <bgColor rgb="FFEEF7E3"/>
      </patternFill>
    </fill>
    <fill>
      <patternFill patternType="solid">
        <fgColor rgb="FFB4A7D6"/>
        <bgColor rgb="FFB4A7D6"/>
      </patternFill>
    </fill>
    <fill>
      <patternFill patternType="solid">
        <fgColor rgb="FFEA9999"/>
        <bgColor rgb="FFEA9999"/>
      </patternFill>
    </fill>
    <fill>
      <patternFill patternType="solid">
        <fgColor rgb="FFA4C2F4"/>
        <bgColor rgb="FFA4C2F4"/>
      </patternFill>
    </fill>
    <fill>
      <patternFill patternType="solid">
        <fgColor rgb="FFFFF0FA"/>
        <bgColor rgb="FFFFF0FA"/>
      </patternFill>
    </fill>
    <fill>
      <patternFill patternType="solid">
        <fgColor rgb="FFD9EAD3"/>
        <bgColor rgb="FFD9EAD3"/>
      </patternFill>
    </fill>
    <fill>
      <patternFill patternType="solid">
        <fgColor rgb="FFF9CB9C"/>
        <bgColor rgb="FFF9CB9C"/>
      </patternFill>
    </fill>
    <fill>
      <patternFill patternType="solid">
        <fgColor rgb="FF799EDA"/>
        <bgColor rgb="FF799EDA"/>
      </patternFill>
    </fill>
    <fill>
      <patternFill patternType="solid">
        <fgColor rgb="FFFFE8E8"/>
        <bgColor rgb="FFFFE8E8"/>
      </patternFill>
    </fill>
    <fill>
      <patternFill patternType="solid">
        <fgColor rgb="FFE8F0FE"/>
        <bgColor rgb="FFE8F0FE"/>
      </patternFill>
    </fill>
    <fill>
      <patternFill patternType="solid">
        <fgColor rgb="FFFEF8E3"/>
        <bgColor rgb="FFFEF8E3"/>
      </patternFill>
    </fill>
    <fill>
      <patternFill patternType="solid">
        <fgColor rgb="FFFCF0E1"/>
        <bgColor rgb="FFFCF0E1"/>
      </patternFill>
    </fill>
    <fill>
      <patternFill patternType="solid">
        <fgColor rgb="FFEDE5FF"/>
        <bgColor rgb="FFEDE5FF"/>
      </patternFill>
    </fill>
    <fill>
      <patternFill patternType="solid">
        <fgColor rgb="FFFFE6DD"/>
        <bgColor rgb="FFFFE6DD"/>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E6CFA6"/>
        <bgColor rgb="FFE6CFA6"/>
      </patternFill>
    </fill>
    <fill>
      <patternFill patternType="solid">
        <fgColor rgb="FF83CBA9"/>
        <bgColor rgb="FF83CBA9"/>
      </patternFill>
    </fill>
    <fill>
      <patternFill patternType="solid">
        <fgColor rgb="FFE5AAD8"/>
        <bgColor rgb="FFE5AAD8"/>
      </patternFill>
    </fill>
    <fill>
      <patternFill patternType="solid">
        <fgColor rgb="FFCC4125"/>
        <bgColor rgb="FFCC4125"/>
      </patternFill>
    </fill>
    <fill>
      <patternFill patternType="solid">
        <fgColor rgb="FFBFEDD7"/>
        <bgColor rgb="FFBFEDD7"/>
      </patternFill>
    </fill>
    <fill>
      <patternFill patternType="solid">
        <fgColor rgb="FFF1D0EA"/>
        <bgColor rgb="FFF1D0EA"/>
      </patternFill>
    </fill>
    <fill>
      <patternFill patternType="solid">
        <fgColor rgb="FFF2D1D1"/>
        <bgColor rgb="FFF2D1D1"/>
      </patternFill>
    </fill>
    <fill>
      <patternFill patternType="solid">
        <fgColor rgb="FFFFF2CC"/>
        <bgColor rgb="FFFFF2CC"/>
      </patternFill>
    </fill>
    <fill>
      <patternFill patternType="solid">
        <fgColor rgb="FFDD7E6B"/>
        <bgColor rgb="FFDD7E6B"/>
      </patternFill>
    </fill>
    <fill>
      <patternFill patternType="solid">
        <fgColor rgb="FFFF7979"/>
        <bgColor rgb="FFFF7979"/>
      </patternFill>
    </fill>
    <fill>
      <patternFill patternType="solid">
        <fgColor rgb="FFF7E4F3"/>
        <bgColor rgb="FFF7E4F3"/>
      </patternFill>
    </fill>
    <fill>
      <patternFill patternType="solid">
        <fgColor rgb="FFE8EAFF"/>
        <bgColor rgb="FFE8EAFF"/>
      </patternFill>
    </fill>
    <fill>
      <patternFill patternType="solid">
        <fgColor rgb="FF00FFFF"/>
        <bgColor rgb="FF00FFFF"/>
      </patternFill>
    </fill>
    <fill>
      <patternFill patternType="solid">
        <fgColor rgb="FF4A86E8"/>
        <bgColor rgb="FF4A86E8"/>
      </patternFill>
    </fill>
    <fill>
      <patternFill patternType="solid">
        <fgColor rgb="FFEE9696"/>
        <bgColor rgb="FFEE9696"/>
      </patternFill>
    </fill>
    <fill>
      <patternFill patternType="solid">
        <fgColor rgb="FF5F32D3"/>
        <bgColor rgb="FF5F32D3"/>
      </patternFill>
    </fill>
    <fill>
      <patternFill patternType="solid">
        <fgColor rgb="FF000000"/>
        <bgColor rgb="FF000000"/>
      </patternFill>
    </fill>
    <fill>
      <patternFill patternType="solid">
        <fgColor rgb="FFFFF3CA"/>
        <bgColor rgb="FFFFF3CA"/>
      </patternFill>
    </fill>
    <fill>
      <patternFill patternType="solid">
        <fgColor rgb="FFD390FF"/>
        <bgColor rgb="FFD390FF"/>
      </patternFill>
    </fill>
    <fill>
      <patternFill patternType="solid">
        <fgColor rgb="FF9FC5E8"/>
        <bgColor rgb="FF9FC5E8"/>
      </patternFill>
    </fill>
    <fill>
      <patternFill patternType="solid">
        <fgColor rgb="FFFFD9F2"/>
        <bgColor rgb="FFFFD9F2"/>
      </patternFill>
    </fill>
    <fill>
      <patternFill patternType="solid">
        <fgColor rgb="FFFC6BDC"/>
        <bgColor rgb="FFFC6BDC"/>
      </patternFill>
    </fill>
    <fill>
      <patternFill patternType="solid">
        <fgColor rgb="FF3DA9C9"/>
        <bgColor rgb="FF3DA9C9"/>
      </patternFill>
    </fill>
    <fill>
      <patternFill patternType="solid">
        <fgColor rgb="FFFFFF00"/>
        <bgColor rgb="FFFFFF00"/>
      </patternFill>
    </fill>
    <fill>
      <patternFill patternType="solid">
        <fgColor rgb="FFFDE3F5"/>
        <bgColor rgb="FFFDE3F5"/>
      </patternFill>
    </fill>
    <fill>
      <patternFill patternType="solid">
        <fgColor rgb="FFC3A2C8"/>
        <bgColor rgb="FFC3A2C8"/>
      </patternFill>
    </fill>
    <fill>
      <patternFill patternType="solid">
        <fgColor rgb="FF76A5AF"/>
        <bgColor rgb="FF76A5AF"/>
      </patternFill>
    </fill>
    <fill>
      <patternFill patternType="solid">
        <fgColor rgb="FFFEDBDB"/>
        <bgColor rgb="FFFEDBDB"/>
      </patternFill>
    </fill>
    <fill>
      <patternFill patternType="solid">
        <fgColor rgb="FFCCCCCC"/>
        <bgColor rgb="FFCCCCCC"/>
      </patternFill>
    </fill>
    <fill>
      <patternFill patternType="solid">
        <fgColor rgb="FF0DAB00"/>
        <bgColor rgb="FF0DAB00"/>
      </patternFill>
    </fill>
    <fill>
      <patternFill patternType="solid">
        <fgColor rgb="FFFF0000"/>
        <bgColor rgb="FFFF0000"/>
      </patternFill>
    </fill>
    <fill>
      <patternFill patternType="solid">
        <fgColor rgb="FF0080FF"/>
        <bgColor rgb="FF0080FF"/>
      </patternFill>
    </fill>
    <fill>
      <patternFill patternType="solid">
        <fgColor rgb="FF980000"/>
        <bgColor rgb="FF980000"/>
      </patternFill>
    </fill>
    <fill>
      <patternFill patternType="solid">
        <fgColor rgb="FFE1F3CA"/>
        <bgColor rgb="FFE1F3CA"/>
      </patternFill>
    </fill>
    <fill>
      <patternFill patternType="solid">
        <fgColor rgb="FFD5E4FF"/>
        <bgColor rgb="FFD5E4FF"/>
      </patternFill>
    </fill>
    <fill>
      <patternFill patternType="solid">
        <fgColor rgb="FFE3D9FC"/>
        <bgColor rgb="FFE3D9FC"/>
      </patternFill>
    </fill>
    <fill>
      <patternFill patternType="solid">
        <fgColor rgb="FFFFFFF1"/>
        <bgColor rgb="FFFFFFF1"/>
      </patternFill>
    </fill>
    <fill>
      <patternFill patternType="solid">
        <fgColor rgb="FF1155CC"/>
        <bgColor rgb="FF1155CC"/>
      </patternFill>
    </fill>
    <fill>
      <patternFill patternType="solid">
        <fgColor rgb="FFFFCFCF"/>
        <bgColor rgb="FFFFCFCF"/>
      </patternFill>
    </fill>
    <fill>
      <patternFill patternType="solid">
        <fgColor rgb="FFFFD4D4"/>
        <bgColor rgb="FFFFD4D4"/>
      </patternFill>
    </fill>
    <fill>
      <patternFill patternType="solid">
        <fgColor rgb="FFB45F06"/>
        <bgColor rgb="FFB45F06"/>
      </patternFill>
    </fill>
  </fills>
  <borders count="21">
    <border/>
    <border>
      <left style="thin">
        <color rgb="FF000000"/>
      </lef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right style="thin">
        <color rgb="FF000000"/>
      </right>
    </border>
    <border>
      <bottom style="dotted">
        <color rgb="FF666666"/>
      </bottom>
    </border>
    <border>
      <bottom style="medium">
        <color rgb="FF000000"/>
      </bottom>
    </border>
    <border>
      <top style="dotted">
        <color rgb="FF666666"/>
      </top>
    </border>
    <border>
      <right style="thin">
        <color rgb="FFD9D9D9"/>
      </right>
    </border>
    <border>
      <right style="thin">
        <color rgb="FFD9D9D9"/>
      </right>
      <bottom style="medium">
        <color rgb="FF000000"/>
      </bottom>
    </border>
    <border>
      <bottom style="medium">
        <color rgb="FF990000"/>
      </bottom>
    </border>
    <border>
      <bottom style="medium">
        <color rgb="FF1155CC"/>
      </bottom>
    </border>
    <border>
      <bottom style="medium">
        <color rgb="FF38761D"/>
      </bottom>
    </border>
    <border>
      <bottom style="medium">
        <color rgb="FFBF9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2" numFmtId="0" xfId="0" applyAlignment="1" applyBorder="1" applyFill="1" applyFont="1">
      <alignment horizontal="center" readingOrder="0" shrinkToFit="0" vertical="bottom" wrapText="1"/>
    </xf>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3" fillId="4" fontId="5" numFmtId="0" xfId="0" applyAlignment="1" applyBorder="1" applyFill="1" applyFont="1">
      <alignment horizontal="center" readingOrder="0" shrinkToFit="0" textRotation="0" vertical="center" wrapText="1"/>
    </xf>
    <xf borderId="3" fillId="4" fontId="6" numFmtId="0" xfId="0" applyAlignment="1" applyBorder="1" applyFill="1" applyFont="1">
      <alignment horizontal="center" shrinkToFit="0" vertical="bottom" wrapText="1"/>
    </xf>
    <xf borderId="3" fillId="5" fontId="7" numFmtId="0" xfId="0" applyAlignment="1" applyBorder="1" applyFill="1" applyFont="1">
      <alignment horizontal="center" readingOrder="0" vertical="center"/>
    </xf>
    <xf borderId="3" fillId="5" fontId="8" numFmtId="0" xfId="0" applyAlignment="1" applyBorder="1" applyFill="1" applyFont="1">
      <alignment horizontal="center" readingOrder="0" shrinkToFit="0" vertical="bottom" wrapText="1"/>
    </xf>
    <xf borderId="3" fillId="5" fontId="9" numFmtId="0" xfId="0" applyAlignment="1" applyBorder="1" applyFill="1" applyFont="1">
      <alignment horizontal="center" readingOrder="0" vertical="center"/>
    </xf>
    <xf borderId="3" fillId="5" fontId="6" numFmtId="49" xfId="0" applyAlignment="1" applyBorder="1" applyFill="1" applyFont="1" applyNumberFormat="1">
      <alignment shrinkToFit="0" vertical="bottom" wrapText="1"/>
    </xf>
    <xf borderId="3" fillId="5" fontId="10" numFmtId="0" xfId="0" applyAlignment="1" applyBorder="1" applyFill="1" applyFont="1">
      <alignment horizontal="center" readingOrder="0" shrinkToFit="0" vertical="center" wrapText="1"/>
    </xf>
    <xf borderId="3" fillId="5" fontId="6" numFmtId="0" xfId="0" applyAlignment="1" applyBorder="1" applyFill="1" applyFont="1">
      <alignment readingOrder="0" shrinkToFit="0" vertical="bottom" wrapText="1"/>
    </xf>
    <xf borderId="3" fillId="5" fontId="6" numFmtId="0" xfId="0" applyAlignment="1" applyBorder="1" applyFill="1" applyFont="1">
      <alignment shrinkToFit="0" vertical="bottom" wrapText="1"/>
    </xf>
    <xf borderId="3" fillId="5" fontId="10" numFmtId="0" xfId="0" applyAlignment="1" applyBorder="1" applyFill="1" applyFont="1">
      <alignment horizontal="center" readingOrder="0" vertical="center"/>
    </xf>
    <xf borderId="3" fillId="5" fontId="6" numFmtId="0" xfId="0" applyAlignment="1" applyBorder="1" applyFill="1" applyFont="1">
      <alignment horizontal="center" shrinkToFit="0" vertical="bottom" wrapText="1"/>
    </xf>
    <xf borderId="1" fillId="3" fontId="3" numFmtId="0" xfId="0" applyAlignment="1" applyBorder="1" applyFill="1" applyFont="1">
      <alignment horizontal="center" readingOrder="0" vertical="center"/>
    </xf>
    <xf borderId="3" fillId="5" fontId="10" numFmtId="0" xfId="0" applyAlignment="1" applyBorder="1" applyFill="1" applyFont="1">
      <alignment horizontal="center" readingOrder="0" shrinkToFit="0" vertical="center" wrapText="1"/>
    </xf>
    <xf borderId="3" fillId="5" fontId="11" numFmtId="0" xfId="0" applyAlignment="1" applyBorder="1" applyFill="1" applyFont="1">
      <alignment horizontal="center" readingOrder="0" shrinkToFit="0" vertical="center" wrapText="1"/>
    </xf>
    <xf borderId="4" fillId="5" fontId="10" numFmtId="0" xfId="0" applyAlignment="1" applyBorder="1" applyFill="1" applyFont="1">
      <alignment horizontal="center" readingOrder="0" shrinkToFit="0" vertical="center" wrapText="1"/>
    </xf>
    <xf borderId="0" fillId="5" fontId="6" numFmtId="0" xfId="0" applyAlignment="1" applyFill="1" applyFont="1">
      <alignment shrinkToFit="0" vertical="bottom" wrapText="1"/>
    </xf>
    <xf borderId="5" fillId="5" fontId="12" numFmtId="0" xfId="0" applyAlignment="1" applyBorder="1" applyFill="1" applyFont="1">
      <alignment horizontal="center" readingOrder="0" vertical="center"/>
    </xf>
    <xf borderId="0" fillId="3" fontId="13" numFmtId="49" xfId="0" applyAlignment="1" applyFill="1" applyFont="1" applyNumberFormat="1">
      <alignment horizontal="center" readingOrder="0" vertical="center"/>
    </xf>
    <xf borderId="0" fillId="3" fontId="14" numFmtId="49" xfId="0" applyAlignment="1" applyFill="1" applyFont="1" applyNumberFormat="1">
      <alignment horizontal="center" vertical="center"/>
    </xf>
    <xf borderId="0" fillId="6" fontId="15" numFmtId="49" xfId="0" applyAlignment="1" applyFill="1" applyFont="1" applyNumberFormat="1">
      <alignment horizontal="center" readingOrder="0" vertical="center"/>
    </xf>
    <xf borderId="0" fillId="7" fontId="15" numFmtId="49" xfId="0" applyAlignment="1" applyFill="1" applyFont="1" applyNumberFormat="1">
      <alignment horizontal="center" readingOrder="0" vertical="center"/>
    </xf>
    <xf borderId="0" fillId="8" fontId="16" numFmtId="49" xfId="0" applyAlignment="1" applyFill="1" applyFont="1" applyNumberFormat="1">
      <alignment horizontal="center" readingOrder="0" vertical="center"/>
    </xf>
    <xf borderId="0" fillId="9" fontId="15" numFmtId="49" xfId="0" applyAlignment="1" applyFill="1" applyFont="1" applyNumberFormat="1">
      <alignment horizontal="center" readingOrder="0" vertical="center"/>
    </xf>
    <xf borderId="0" fillId="10" fontId="15" numFmtId="49" xfId="0" applyAlignment="1" applyFill="1" applyFont="1" applyNumberFormat="1">
      <alignment horizontal="center" readingOrder="0" vertical="center"/>
    </xf>
    <xf borderId="0" fillId="11" fontId="15" numFmtId="49" xfId="0" applyAlignment="1" applyFill="1" applyFont="1" applyNumberFormat="1">
      <alignment horizontal="center" readingOrder="0" vertical="center"/>
    </xf>
    <xf borderId="0" fillId="12" fontId="15" numFmtId="49" xfId="0" applyAlignment="1" applyFill="1" applyFont="1" applyNumberFormat="1">
      <alignment horizontal="center" readingOrder="0" vertical="center"/>
    </xf>
    <xf borderId="0" fillId="13" fontId="15" numFmtId="49" xfId="0" applyAlignment="1" applyFill="1" applyFont="1" applyNumberFormat="1">
      <alignment horizontal="center" readingOrder="0" vertical="center"/>
    </xf>
    <xf borderId="0" fillId="0" fontId="17" numFmtId="49" xfId="0" applyAlignment="1" applyFont="1" applyNumberFormat="1">
      <alignment horizontal="center" readingOrder="0" vertical="center"/>
    </xf>
    <xf borderId="0" fillId="14" fontId="15" numFmtId="49" xfId="0" applyAlignment="1" applyFill="1" applyFont="1" applyNumberFormat="1">
      <alignment horizontal="right" readingOrder="0" vertical="center"/>
    </xf>
    <xf borderId="0" fillId="14" fontId="13" numFmtId="49" xfId="0" applyAlignment="1" applyFill="1" applyFont="1" applyNumberFormat="1">
      <alignment horizontal="center" readingOrder="0" vertical="center"/>
    </xf>
    <xf borderId="6" fillId="15" fontId="18" numFmtId="49" xfId="0" applyAlignment="1" applyBorder="1" applyFill="1" applyFont="1" applyNumberFormat="1">
      <alignment horizontal="center" readingOrder="0" vertical="center"/>
    </xf>
    <xf borderId="0" fillId="16" fontId="19" numFmtId="49" xfId="0" applyAlignment="1" applyFill="1" applyFont="1" applyNumberFormat="1">
      <alignment horizontal="center" readingOrder="0" shrinkToFit="0" textRotation="0" vertical="center" wrapText="1"/>
    </xf>
    <xf borderId="6" fillId="0" fontId="10" numFmtId="0" xfId="0" applyBorder="1" applyFont="1"/>
    <xf borderId="0" fillId="16" fontId="17" numFmtId="49" xfId="0" applyAlignment="1" applyFill="1" applyFont="1" applyNumberFormat="1">
      <alignment horizontal="center" readingOrder="0" shrinkToFit="0" textRotation="0" vertical="center" wrapText="1"/>
    </xf>
    <xf borderId="0" fillId="17" fontId="17" numFmtId="49" xfId="0" applyAlignment="1" applyFill="1" applyFont="1" applyNumberFormat="1">
      <alignment horizontal="center" readingOrder="0" shrinkToFit="0" vertical="center" wrapText="1"/>
    </xf>
    <xf borderId="6" fillId="15" fontId="20" numFmtId="49" xfId="0" applyAlignment="1" applyBorder="1" applyFill="1" applyFont="1" applyNumberFormat="1">
      <alignment horizontal="center" readingOrder="0" vertical="center"/>
    </xf>
    <xf borderId="0" fillId="17" fontId="21" numFmtId="49" xfId="0" applyAlignment="1" applyFill="1" applyFont="1" applyNumberFormat="1">
      <alignment horizontal="center" readingOrder="0" shrinkToFit="0" vertical="center" wrapText="1"/>
    </xf>
    <xf borderId="0" fillId="15" fontId="22" numFmtId="49" xfId="0" applyAlignment="1" applyFill="1" applyFont="1" applyNumberFormat="1">
      <alignment horizontal="center" vertical="center"/>
    </xf>
    <xf borderId="0" fillId="18" fontId="23" numFmtId="49" xfId="0" applyAlignment="1" applyFill="1" applyFont="1" applyNumberFormat="1">
      <alignment horizontal="center" readingOrder="0" shrinkToFit="0" vertical="center" wrapText="1"/>
    </xf>
    <xf borderId="0" fillId="15" fontId="24" numFmtId="49" xfId="0" applyAlignment="1" applyFill="1" applyFont="1" applyNumberFormat="1">
      <alignment horizontal="center" readingOrder="0" vertical="center"/>
    </xf>
    <xf borderId="0" fillId="19" fontId="17" numFmtId="49" xfId="0" applyAlignment="1" applyFill="1" applyFont="1" applyNumberFormat="1">
      <alignment horizontal="center" readingOrder="0" vertical="center"/>
    </xf>
    <xf borderId="0" fillId="20" fontId="17" numFmtId="49" xfId="0" applyAlignment="1" applyFill="1" applyFont="1" applyNumberFormat="1">
      <alignment horizontal="center" readingOrder="0" vertical="center"/>
    </xf>
    <xf borderId="0" fillId="15" fontId="25" numFmtId="49" xfId="0" applyAlignment="1" applyFill="1" applyFont="1" applyNumberFormat="1">
      <alignment horizontal="center" readingOrder="0" vertical="center"/>
    </xf>
    <xf borderId="0" fillId="21" fontId="17" numFmtId="49" xfId="0" applyAlignment="1" applyFill="1" applyFont="1" applyNumberFormat="1">
      <alignment horizontal="center" readingOrder="0" vertical="center"/>
    </xf>
    <xf borderId="0" fillId="22" fontId="17" numFmtId="49" xfId="0" applyAlignment="1" applyFill="1" applyFont="1" applyNumberFormat="1">
      <alignment horizontal="center" readingOrder="0" vertical="center"/>
    </xf>
    <xf borderId="0" fillId="22" fontId="26" numFmtId="49" xfId="0" applyAlignment="1" applyFill="1" applyFont="1" applyNumberFormat="1">
      <alignment horizontal="center" readingOrder="0" vertical="center"/>
    </xf>
    <xf borderId="0" fillId="23" fontId="17" numFmtId="49" xfId="0" applyAlignment="1" applyFill="1" applyFont="1" applyNumberFormat="1">
      <alignment horizontal="center" readingOrder="0" shrinkToFit="0" textRotation="0" vertical="center" wrapText="1"/>
    </xf>
    <xf borderId="0" fillId="0" fontId="27" numFmtId="49" xfId="0" applyFont="1" applyNumberFormat="1"/>
    <xf borderId="0" fillId="0" fontId="28" numFmtId="49" xfId="0" applyAlignment="1" applyFont="1" applyNumberFormat="1">
      <alignment horizontal="right" readingOrder="0" vertical="center"/>
    </xf>
    <xf borderId="0" fillId="0" fontId="24" numFmtId="49" xfId="0" applyAlignment="1" applyFont="1" applyNumberFormat="1">
      <alignment horizontal="center" readingOrder="0" vertical="center"/>
    </xf>
    <xf borderId="0" fillId="15" fontId="22" numFmtId="49" xfId="0" applyAlignment="1" applyFill="1" applyFont="1" applyNumberFormat="1">
      <alignment horizontal="center" readingOrder="0" vertical="center"/>
    </xf>
    <xf borderId="0" fillId="0" fontId="29" numFmtId="49" xfId="0" applyAlignment="1" applyFont="1" applyNumberFormat="1">
      <alignment horizontal="center" readingOrder="0" vertical="center"/>
    </xf>
    <xf borderId="0" fillId="0" fontId="30" numFmtId="49" xfId="0" applyAlignment="1" applyFont="1" applyNumberFormat="1">
      <alignment horizontal="center" readingOrder="0" vertical="center"/>
    </xf>
    <xf borderId="0" fillId="0" fontId="31" numFmtId="49" xfId="0" applyAlignment="1" applyFont="1" applyNumberFormat="1">
      <alignment horizontal="center" readingOrder="0" vertical="center"/>
    </xf>
    <xf borderId="0" fillId="0" fontId="32" numFmtId="49" xfId="0" applyAlignment="1" applyFont="1" applyNumberFormat="1">
      <alignment horizontal="center" readingOrder="0" vertical="center"/>
    </xf>
    <xf borderId="0" fillId="0" fontId="33" numFmtId="49" xfId="0" applyAlignment="1" applyFont="1" applyNumberFormat="1">
      <alignment horizontal="center" vertical="center"/>
    </xf>
    <xf borderId="0" fillId="0" fontId="33" numFmtId="49" xfId="0" applyAlignment="1" applyFont="1" applyNumberFormat="1">
      <alignment horizontal="center" vertical="center"/>
    </xf>
    <xf borderId="0" fillId="0" fontId="33" numFmtId="49" xfId="0" applyAlignment="1" applyFont="1" applyNumberFormat="1">
      <alignment horizontal="center" vertical="center"/>
    </xf>
    <xf borderId="0" fillId="0" fontId="33" numFmtId="49" xfId="0" applyAlignment="1" applyFont="1" applyNumberFormat="1">
      <alignment horizontal="center" readingOrder="0" vertical="center"/>
    </xf>
    <xf borderId="0" fillId="15" fontId="22" numFmtId="49" xfId="0" applyAlignment="1" applyFill="1" applyFont="1" applyNumberFormat="1">
      <alignment horizontal="center" readingOrder="0" vertical="center"/>
    </xf>
    <xf borderId="0" fillId="15" fontId="22" numFmtId="49" xfId="0" applyAlignment="1" applyFill="1" applyFont="1" applyNumberFormat="1">
      <alignment horizontal="center" readingOrder="0" vertical="center"/>
    </xf>
    <xf borderId="0" fillId="0" fontId="34"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0" fontId="33" numFmtId="49" xfId="0" applyAlignment="1" applyFont="1" applyNumberFormat="1">
      <alignment horizontal="center" vertical="center"/>
    </xf>
    <xf borderId="7" fillId="0" fontId="36" numFmtId="49" xfId="0" applyAlignment="1" applyBorder="1" applyFont="1" applyNumberFormat="1">
      <alignment horizontal="center" readingOrder="0" vertical="center"/>
    </xf>
    <xf borderId="0" fillId="0" fontId="37" numFmtId="49" xfId="0" applyAlignment="1" applyFont="1" applyNumberFormat="1">
      <alignment horizontal="center" readingOrder="0" vertical="center"/>
    </xf>
    <xf borderId="0" fillId="0" fontId="33" numFmtId="49" xfId="0" applyAlignment="1" applyFont="1" applyNumberFormat="1">
      <alignment vertical="center"/>
    </xf>
    <xf borderId="0" fillId="15" fontId="5" numFmtId="49" xfId="0" applyAlignment="1" applyFill="1" applyFont="1" applyNumberFormat="1">
      <alignment horizontal="center" vertical="center"/>
    </xf>
    <xf borderId="0" fillId="0" fontId="24" numFmtId="49" xfId="0" applyAlignment="1" applyFont="1" applyNumberFormat="1">
      <alignment horizontal="right" readingOrder="0" vertical="center"/>
    </xf>
    <xf borderId="0" fillId="0" fontId="38" numFmtId="49" xfId="0" applyAlignment="1" applyFont="1" applyNumberFormat="1">
      <alignment horizontal="center" readingOrder="0" vertical="center"/>
    </xf>
    <xf borderId="0" fillId="0" fontId="39" numFmtId="49" xfId="0" applyAlignment="1" applyFont="1" applyNumberFormat="1">
      <alignment horizontal="center" vertical="center"/>
    </xf>
    <xf borderId="0" fillId="0" fontId="39" numFmtId="49" xfId="0" applyAlignment="1" applyFont="1" applyNumberFormat="1">
      <alignment horizontal="center" vertical="center"/>
    </xf>
    <xf borderId="0" fillId="0" fontId="39" numFmtId="49" xfId="0" applyAlignment="1" applyFont="1" applyNumberFormat="1">
      <alignment horizontal="center" vertical="center"/>
    </xf>
    <xf borderId="0" fillId="15" fontId="15" numFmtId="49" xfId="0" applyAlignment="1" applyFill="1" applyFont="1" applyNumberFormat="1">
      <alignment horizontal="center" readingOrder="0" vertical="center"/>
    </xf>
    <xf borderId="0" fillId="3" fontId="40" numFmtId="49" xfId="0" applyAlignment="1" applyFill="1" applyFont="1" applyNumberFormat="1">
      <alignment horizontal="center" readingOrder="0" vertical="center"/>
    </xf>
    <xf borderId="0" fillId="0" fontId="41" numFmtId="49" xfId="0" applyAlignment="1" applyFont="1" applyNumberFormat="1">
      <alignment horizontal="center" readingOrder="0" vertical="center"/>
    </xf>
    <xf borderId="0" fillId="15" fontId="22" numFmtId="49" xfId="0" applyAlignment="1" applyFill="1" applyFont="1" applyNumberFormat="1">
      <alignment horizontal="center" vertical="center"/>
    </xf>
    <xf borderId="0" fillId="24" fontId="15" numFmtId="49" xfId="0" applyAlignment="1" applyFill="1" applyFont="1" applyNumberFormat="1">
      <alignment horizontal="center" readingOrder="0" vertical="center"/>
    </xf>
    <xf borderId="0" fillId="5" fontId="18" numFmtId="49" xfId="0" applyAlignment="1" applyFill="1" applyFont="1" applyNumberFormat="1">
      <alignment horizontal="center" readingOrder="0" vertical="center"/>
    </xf>
    <xf borderId="0" fillId="6" fontId="13" numFmtId="49" xfId="0" applyAlignment="1" applyFill="1" applyFont="1" applyNumberFormat="1">
      <alignment horizontal="center" readingOrder="0" vertical="center"/>
    </xf>
    <xf borderId="0" fillId="5" fontId="18" numFmtId="49" xfId="0" applyAlignment="1" applyFill="1" applyFont="1" applyNumberFormat="1">
      <alignment horizontal="center" vertical="center"/>
    </xf>
    <xf borderId="0" fillId="24" fontId="13" numFmtId="49" xfId="0" applyAlignment="1" applyFill="1" applyFont="1" applyNumberFormat="1">
      <alignment horizontal="center" vertical="center"/>
    </xf>
    <xf borderId="0" fillId="7" fontId="13" numFmtId="49" xfId="0" applyAlignment="1" applyFill="1" applyFont="1" applyNumberFormat="1">
      <alignment horizontal="center" readingOrder="0" vertical="center"/>
    </xf>
    <xf borderId="0" fillId="0" fontId="42" numFmtId="49" xfId="0" applyAlignment="1" applyFont="1" applyNumberFormat="1">
      <alignment horizontal="center" readingOrder="0" vertical="center"/>
    </xf>
    <xf borderId="8" fillId="4" fontId="43" numFmtId="49" xfId="0" applyAlignment="1" applyBorder="1" applyFill="1" applyFont="1" applyNumberFormat="1">
      <alignment horizontal="center" readingOrder="0" vertical="center"/>
    </xf>
    <xf borderId="0" fillId="10" fontId="13" numFmtId="49" xfId="0" applyAlignment="1" applyFill="1" applyFont="1" applyNumberFormat="1">
      <alignment horizontal="center" readingOrder="0" vertical="center"/>
    </xf>
    <xf borderId="0" fillId="24" fontId="13"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13" fontId="13" numFmtId="49" xfId="0" applyAlignment="1" applyFill="1" applyFont="1" applyNumberFormat="1">
      <alignment horizontal="center" readingOrder="0" vertical="center"/>
    </xf>
    <xf borderId="0" fillId="16" fontId="17"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16" fontId="21" numFmtId="49" xfId="0" applyAlignment="1" applyFill="1" applyFont="1" applyNumberFormat="1">
      <alignment horizontal="center" readingOrder="0" vertical="center"/>
    </xf>
    <xf borderId="0" fillId="15" fontId="27" numFmtId="49" xfId="0" applyAlignment="1" applyFill="1" applyFont="1" applyNumberFormat="1">
      <alignment horizontal="center" vertical="center"/>
    </xf>
    <xf borderId="0" fillId="17" fontId="17" numFmtId="49" xfId="0" applyAlignment="1" applyFill="1" applyFont="1" applyNumberFormat="1">
      <alignment horizontal="center" readingOrder="0" vertical="center"/>
    </xf>
    <xf borderId="0" fillId="24" fontId="21" numFmtId="49" xfId="0" applyAlignment="1" applyFill="1" applyFont="1" applyNumberFormat="1">
      <alignment horizontal="center" vertical="center"/>
    </xf>
    <xf borderId="0" fillId="17" fontId="21" numFmtId="49" xfId="0" applyAlignment="1" applyFill="1" applyFont="1" applyNumberFormat="1">
      <alignment horizontal="center" readingOrder="0" vertical="center"/>
    </xf>
    <xf borderId="7" fillId="0" fontId="44" numFmtId="49" xfId="0" applyAlignment="1" applyBorder="1" applyFont="1" applyNumberFormat="1">
      <alignment horizontal="center" readingOrder="0" vertical="center"/>
    </xf>
    <xf borderId="0" fillId="18" fontId="24" numFmtId="49" xfId="0" applyAlignment="1" applyFill="1" applyFont="1" applyNumberFormat="1">
      <alignment horizontal="center" readingOrder="0" vertical="center"/>
    </xf>
    <xf borderId="0" fillId="18" fontId="23" numFmtId="49" xfId="0" applyAlignment="1" applyFill="1" applyFont="1" applyNumberFormat="1">
      <alignment horizontal="center" readingOrder="0" vertical="center"/>
    </xf>
    <xf borderId="0" fillId="0" fontId="45" numFmtId="49" xfId="0" applyAlignment="1" applyFont="1" applyNumberFormat="1">
      <alignment horizontal="center" readingOrder="0" vertical="center"/>
    </xf>
    <xf borderId="0" fillId="6" fontId="46" numFmtId="49" xfId="0" applyAlignment="1" applyFill="1" applyFont="1" applyNumberFormat="1">
      <alignment vertical="center"/>
    </xf>
    <xf borderId="0" fillId="6" fontId="47" numFmtId="49" xfId="0" applyAlignment="1" applyFill="1" applyFont="1" applyNumberFormat="1">
      <alignment horizontal="center" vertical="center"/>
    </xf>
    <xf borderId="0" fillId="19" fontId="21" numFmtId="49" xfId="0" applyAlignment="1" applyFill="1" applyFont="1" applyNumberFormat="1">
      <alignment horizontal="center" readingOrder="0" vertical="center"/>
    </xf>
    <xf borderId="0" fillId="6" fontId="48" numFmtId="49" xfId="0" applyAlignment="1" applyFill="1" applyFont="1" applyNumberFormat="1">
      <alignment vertical="center"/>
    </xf>
    <xf borderId="0" fillId="6" fontId="47" numFmtId="49" xfId="0" applyAlignment="1" applyFill="1" applyFont="1" applyNumberFormat="1">
      <alignment vertical="center"/>
    </xf>
    <xf borderId="0" fillId="6" fontId="49" numFmtId="49" xfId="0" applyAlignment="1" applyFill="1" applyFont="1" applyNumberFormat="1">
      <alignment vertical="center"/>
    </xf>
    <xf borderId="0" fillId="6" fontId="6" numFmtId="49" xfId="0" applyAlignment="1" applyFill="1" applyFont="1" applyNumberFormat="1">
      <alignment vertical="center"/>
    </xf>
    <xf borderId="0" fillId="15" fontId="23" numFmtId="49" xfId="0" applyAlignment="1" applyFill="1" applyFont="1" applyNumberFormat="1">
      <alignment horizontal="center" readingOrder="0" vertical="center"/>
    </xf>
    <xf borderId="0" fillId="24" fontId="21" numFmtId="49" xfId="0" applyAlignment="1" applyFill="1" applyFont="1" applyNumberFormat="1">
      <alignment horizontal="center" readingOrder="0" vertical="center"/>
    </xf>
    <xf borderId="0" fillId="20" fontId="21" numFmtId="49" xfId="0" applyAlignment="1" applyFill="1" applyFont="1" applyNumberFormat="1">
      <alignment horizontal="center" readingOrder="0" vertical="center"/>
    </xf>
    <xf borderId="0" fillId="21" fontId="21" numFmtId="49" xfId="0" applyAlignment="1" applyFill="1" applyFont="1" applyNumberFormat="1">
      <alignment horizontal="center" readingOrder="0" vertical="center"/>
    </xf>
    <xf borderId="0" fillId="16" fontId="24" numFmtId="49" xfId="0" applyAlignment="1" applyFill="1" applyFont="1" applyNumberFormat="1">
      <alignment readingOrder="0" vertical="center"/>
    </xf>
    <xf borderId="0" fillId="16" fontId="43" numFmtId="49" xfId="0" applyAlignment="1" applyFill="1" applyFont="1" applyNumberFormat="1">
      <alignment readingOrder="0" shrinkToFit="0" vertical="center" wrapText="0"/>
    </xf>
    <xf borderId="0" fillId="22" fontId="21" numFmtId="49" xfId="0" applyAlignment="1" applyFill="1" applyFont="1" applyNumberFormat="1">
      <alignment horizontal="center" readingOrder="0" vertical="center"/>
    </xf>
    <xf borderId="0" fillId="25" fontId="50" numFmtId="49" xfId="0" applyAlignment="1" applyFill="1" applyFont="1" applyNumberFormat="1">
      <alignment horizontal="center" readingOrder="0" vertical="center"/>
    </xf>
    <xf borderId="0" fillId="23" fontId="21" numFmtId="49" xfId="0" applyAlignment="1" applyFill="1" applyFont="1" applyNumberFormat="1">
      <alignment horizontal="center" readingOrder="0" shrinkToFit="0" vertical="center" wrapText="1"/>
    </xf>
    <xf borderId="0" fillId="0" fontId="51" numFmtId="49" xfId="0" applyAlignment="1" applyFont="1" applyNumberFormat="1">
      <alignment horizontal="center" readingOrder="0" vertical="center"/>
    </xf>
    <xf borderId="0" fillId="23" fontId="21" numFmtId="49" xfId="0" applyAlignment="1" applyFill="1" applyFont="1" applyNumberFormat="1">
      <alignment horizontal="center" shrinkToFit="0" vertical="center" wrapText="1"/>
    </xf>
    <xf borderId="0" fillId="15" fontId="17" numFmtId="49" xfId="0" applyAlignment="1" applyFill="1" applyFont="1" applyNumberFormat="1">
      <alignment horizontal="center" readingOrder="0" vertical="center"/>
    </xf>
    <xf borderId="0" fillId="25" fontId="52"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0" fontId="53" numFmtId="49" xfId="0" applyAlignment="1" applyFont="1" applyNumberFormat="1">
      <alignment horizontal="center" readingOrder="0" vertical="center"/>
    </xf>
    <xf borderId="0" fillId="23" fontId="21" numFmtId="49" xfId="0" applyAlignment="1" applyFill="1" applyFont="1" applyNumberFormat="1">
      <alignment horizontal="center" readingOrder="0" shrinkToFit="0" vertical="center" wrapText="0"/>
    </xf>
    <xf borderId="0" fillId="26" fontId="21" numFmtId="49" xfId="0" applyAlignment="1" applyFill="1" applyFont="1" applyNumberFormat="1">
      <alignment horizontal="center" readingOrder="0" shrinkToFit="0" vertical="center" wrapText="1"/>
    </xf>
    <xf borderId="0" fillId="0" fontId="54" numFmtId="49" xfId="0" applyAlignment="1" applyFont="1" applyNumberFormat="1">
      <alignment horizontal="center" readingOrder="0" vertical="center"/>
    </xf>
    <xf borderId="0" fillId="0" fontId="23" numFmtId="49" xfId="0" applyAlignment="1" applyFont="1" applyNumberFormat="1">
      <alignment horizontal="right" readingOrder="0" vertical="center"/>
    </xf>
    <xf borderId="0" fillId="26" fontId="21" numFmtId="49" xfId="0" applyAlignment="1" applyFill="1" applyFont="1" applyNumberFormat="1">
      <alignment horizontal="center" readingOrder="0" vertical="center"/>
    </xf>
    <xf borderId="0" fillId="25" fontId="55" numFmtId="49" xfId="0" applyAlignment="1" applyFill="1" applyFont="1" applyNumberFormat="1">
      <alignment horizontal="center" readingOrder="0" vertical="center"/>
    </xf>
    <xf borderId="0" fillId="0" fontId="47" numFmtId="49" xfId="0" applyAlignment="1" applyFont="1" applyNumberFormat="1">
      <alignment horizontal="center" readingOrder="0" vertical="center"/>
    </xf>
    <xf borderId="0" fillId="0" fontId="39" numFmtId="49" xfId="0" applyAlignment="1" applyFont="1" applyNumberFormat="1">
      <alignment horizontal="center" readingOrder="0" vertical="center"/>
    </xf>
    <xf borderId="0" fillId="27" fontId="24" numFmtId="49" xfId="0" applyAlignment="1" applyFill="1" applyFont="1" applyNumberFormat="1">
      <alignment horizontal="center" readingOrder="0" vertical="center"/>
    </xf>
    <xf borderId="0" fillId="27" fontId="24" numFmtId="49" xfId="0" applyAlignment="1" applyFill="1" applyFont="1" applyNumberFormat="1">
      <alignment horizontal="center" readingOrder="0" shrinkToFit="0" vertical="center" wrapText="1"/>
    </xf>
    <xf borderId="9" fillId="27" fontId="24" numFmtId="49" xfId="0" applyAlignment="1" applyBorder="1" applyFill="1" applyFont="1" applyNumberFormat="1">
      <alignment horizontal="center" readingOrder="0" vertical="center"/>
    </xf>
    <xf borderId="0" fillId="28" fontId="21" numFmtId="49" xfId="0" applyAlignment="1" applyFill="1" applyFont="1" applyNumberFormat="1">
      <alignment horizontal="center" readingOrder="0" shrinkToFit="0" vertical="center" wrapText="1"/>
    </xf>
    <xf borderId="0" fillId="0" fontId="47" numFmtId="49" xfId="0" applyAlignment="1" applyFont="1" applyNumberFormat="1">
      <alignment horizontal="center" readingOrder="0" vertical="center"/>
    </xf>
    <xf borderId="0" fillId="29" fontId="47" numFmtId="49" xfId="0" applyAlignment="1" applyFill="1" applyFont="1" applyNumberFormat="1">
      <alignment horizontal="center" readingOrder="0" vertical="center"/>
    </xf>
    <xf borderId="0" fillId="28" fontId="21" numFmtId="49" xfId="0" applyAlignment="1" applyFill="1" applyFont="1" applyNumberFormat="1">
      <alignment horizontal="center" readingOrder="0" vertical="center"/>
    </xf>
    <xf borderId="0" fillId="0" fontId="56" numFmtId="49" xfId="0" applyAlignment="1" applyFont="1" applyNumberFormat="1">
      <alignment horizontal="center" readingOrder="0" vertical="center"/>
    </xf>
    <xf borderId="0" fillId="24" fontId="27" numFmtId="49" xfId="0" applyAlignment="1" applyFill="1" applyFont="1" applyNumberFormat="1">
      <alignment horizontal="center" vertical="center"/>
    </xf>
    <xf borderId="0" fillId="28" fontId="21" numFmtId="49" xfId="0" applyAlignment="1" applyFill="1" applyFont="1" applyNumberFormat="1">
      <alignment horizontal="center" readingOrder="0" shrinkToFit="0" textRotation="0" vertical="center" wrapText="1"/>
    </xf>
    <xf borderId="0" fillId="0" fontId="39" numFmtId="49" xfId="0" applyAlignment="1" applyFont="1" applyNumberFormat="1">
      <alignment horizontal="center" readingOrder="0" vertical="center"/>
    </xf>
    <xf borderId="0" fillId="24" fontId="21" numFmtId="49" xfId="0" applyAlignment="1" applyFill="1" applyFont="1" applyNumberFormat="1">
      <alignment horizontal="center" readingOrder="0" shrinkToFit="0" vertical="center" wrapText="1"/>
    </xf>
    <xf borderId="0" fillId="30" fontId="21" numFmtId="49" xfId="0" applyAlignment="1" applyFill="1" applyFont="1" applyNumberFormat="1">
      <alignment horizontal="center" readingOrder="0" shrinkToFit="0" vertical="center" wrapText="1"/>
    </xf>
    <xf borderId="0" fillId="31" fontId="21" numFmtId="49" xfId="0" applyAlignment="1" applyFill="1" applyFont="1" applyNumberFormat="1">
      <alignment horizontal="center" readingOrder="0" vertical="center"/>
    </xf>
    <xf borderId="0" fillId="0" fontId="39" numFmtId="49" xfId="0" applyAlignment="1" applyFont="1" applyNumberFormat="1">
      <alignment readingOrder="0" vertical="center"/>
    </xf>
    <xf borderId="0" fillId="32" fontId="21" numFmtId="49" xfId="0" applyAlignment="1" applyFill="1" applyFont="1" applyNumberFormat="1">
      <alignment horizontal="center" readingOrder="0" shrinkToFit="0" vertical="center" wrapText="1"/>
    </xf>
    <xf borderId="0" fillId="23" fontId="17" numFmtId="49" xfId="0" applyAlignment="1" applyFill="1" applyFont="1" applyNumberFormat="1">
      <alignment horizontal="center" readingOrder="0" shrinkToFit="0" vertical="center" wrapText="1"/>
    </xf>
    <xf borderId="0" fillId="0" fontId="57" numFmtId="49" xfId="0" applyAlignment="1" applyFont="1" applyNumberFormat="1">
      <alignment horizontal="right" readingOrder="0" vertical="center"/>
    </xf>
    <xf borderId="0" fillId="23" fontId="17" numFmtId="49" xfId="0" applyAlignment="1" applyFill="1" applyFont="1" applyNumberFormat="1">
      <alignment horizontal="center" readingOrder="0" shrinkToFit="0" vertical="center" wrapText="0"/>
    </xf>
    <xf borderId="0" fillId="29" fontId="47" numFmtId="49" xfId="0" applyAlignment="1" applyFill="1" applyFont="1" applyNumberFormat="1">
      <alignment horizontal="center" vertical="center"/>
    </xf>
    <xf borderId="0" fillId="0" fontId="39" numFmtId="0" xfId="0" applyFont="1"/>
    <xf borderId="0" fillId="0" fontId="58" numFmtId="49" xfId="0" applyAlignment="1" applyFont="1" applyNumberFormat="1">
      <alignment horizontal="center" readingOrder="0" vertical="center"/>
    </xf>
    <xf borderId="0" fillId="0" fontId="43" numFmtId="49" xfId="0" applyAlignment="1" applyFont="1" applyNumberFormat="1">
      <alignment horizontal="center" readingOrder="0" vertical="center"/>
    </xf>
    <xf borderId="0" fillId="0" fontId="25" numFmtId="49" xfId="0" applyAlignment="1" applyFont="1" applyNumberFormat="1">
      <alignment horizontal="right" readingOrder="0" vertical="center"/>
    </xf>
    <xf borderId="0" fillId="33" fontId="33" numFmtId="49" xfId="0" applyAlignment="1" applyFill="1" applyFont="1" applyNumberFormat="1">
      <alignment horizontal="center" vertical="center"/>
    </xf>
    <xf borderId="7" fillId="0" fontId="59" numFmtId="49" xfId="0" applyAlignment="1" applyBorder="1" applyFont="1" applyNumberFormat="1">
      <alignment horizontal="center" readingOrder="0" vertical="center"/>
    </xf>
    <xf borderId="0" fillId="33" fontId="33" numFmtId="49" xfId="0" applyAlignment="1" applyFill="1" applyFont="1" applyNumberFormat="1">
      <alignment horizontal="center" vertical="center"/>
    </xf>
    <xf borderId="0" fillId="0" fontId="43" numFmtId="49" xfId="0" applyAlignment="1" applyFont="1" applyNumberFormat="1">
      <alignment horizontal="center" readingOrder="0" vertical="center"/>
    </xf>
    <xf borderId="0" fillId="0" fontId="60" numFmtId="49" xfId="0" applyAlignment="1" applyFont="1" applyNumberFormat="1">
      <alignment horizontal="center" readingOrder="0" vertical="center"/>
    </xf>
    <xf borderId="0" fillId="0" fontId="43" numFmtId="49" xfId="0" applyAlignment="1" applyFont="1" applyNumberFormat="1">
      <alignment horizontal="center" vertical="center"/>
    </xf>
    <xf borderId="0" fillId="34" fontId="24" numFmtId="49" xfId="0" applyAlignment="1" applyFill="1" applyFont="1" applyNumberFormat="1">
      <alignment vertical="center"/>
    </xf>
    <xf borderId="0" fillId="26" fontId="17" numFmtId="49" xfId="0" applyAlignment="1" applyFill="1" applyFont="1" applyNumberFormat="1">
      <alignment horizontal="center" readingOrder="0" shrinkToFit="0" vertical="center" wrapText="1"/>
    </xf>
    <xf borderId="0" fillId="34" fontId="43" numFmtId="49" xfId="0" applyAlignment="1" applyFill="1" applyFont="1" applyNumberFormat="1">
      <alignment horizontal="left" readingOrder="0" shrinkToFit="0" vertical="center" wrapText="0"/>
    </xf>
    <xf borderId="0" fillId="0" fontId="61" numFmtId="49" xfId="0" applyAlignment="1" applyFont="1" applyNumberFormat="1">
      <alignment horizontal="center" readingOrder="0" vertical="center"/>
    </xf>
    <xf borderId="0" fillId="0" fontId="43" numFmtId="49" xfId="0" applyAlignment="1" applyFont="1" applyNumberFormat="1">
      <alignment horizontal="center" vertical="center"/>
    </xf>
    <xf borderId="0" fillId="15" fontId="62" numFmtId="49" xfId="0" applyAlignment="1" applyFill="1" applyFont="1" applyNumberFormat="1">
      <alignment horizontal="center" shrinkToFit="0" vertical="center" wrapText="1"/>
    </xf>
    <xf borderId="0" fillId="32" fontId="17" numFmtId="49" xfId="0" applyAlignment="1" applyFill="1" applyFont="1" applyNumberFormat="1">
      <alignment horizontal="center" readingOrder="0" vertical="center"/>
    </xf>
    <xf borderId="0" fillId="29" fontId="47" numFmtId="49" xfId="0" applyAlignment="1" applyFill="1" applyFont="1" applyNumberFormat="1">
      <alignment horizontal="center" vertical="center"/>
    </xf>
    <xf borderId="0" fillId="32" fontId="17" numFmtId="49" xfId="0" applyAlignment="1" applyFill="1" applyFont="1" applyNumberFormat="1">
      <alignment horizontal="center" readingOrder="0" shrinkToFit="0" vertical="center" wrapText="1"/>
    </xf>
    <xf borderId="0" fillId="0" fontId="63" numFmtId="49" xfId="0" applyAlignment="1" applyFont="1" applyNumberFormat="1">
      <alignment horizontal="center" readingOrder="0" vertical="center"/>
    </xf>
    <xf borderId="0" fillId="0" fontId="64" numFmtId="49" xfId="0" applyAlignment="1" applyFont="1" applyNumberFormat="1">
      <alignment horizontal="center" readingOrder="0" vertical="center"/>
    </xf>
    <xf borderId="0" fillId="0" fontId="43" numFmtId="49" xfId="0" applyAlignment="1" applyFont="1" applyNumberFormat="1">
      <alignment horizontal="center" readingOrder="0" vertical="center"/>
    </xf>
    <xf borderId="0" fillId="0" fontId="43" numFmtId="49" xfId="0" applyAlignment="1" applyFont="1" applyNumberFormat="1">
      <alignment horizontal="center" vertical="center"/>
    </xf>
    <xf borderId="0" fillId="27" fontId="23" numFmtId="49" xfId="0" applyAlignment="1" applyFill="1" applyFont="1" applyNumberFormat="1">
      <alignment horizontal="center" readingOrder="0" shrinkToFit="0" vertical="center" wrapText="1"/>
    </xf>
    <xf borderId="7" fillId="0" fontId="65" numFmtId="49" xfId="0" applyAlignment="1" applyBorder="1" applyFont="1" applyNumberFormat="1">
      <alignment horizontal="center" readingOrder="0" vertical="center"/>
    </xf>
    <xf borderId="0" fillId="15" fontId="23" numFmtId="49" xfId="0" applyAlignment="1" applyFill="1" applyFont="1" applyNumberFormat="1">
      <alignment horizontal="center" readingOrder="0" shrinkToFit="0" vertical="center" wrapText="1"/>
    </xf>
    <xf borderId="0" fillId="28" fontId="17" numFmtId="49" xfId="0" applyAlignment="1" applyFill="1" applyFont="1" applyNumberFormat="1">
      <alignment horizontal="center" readingOrder="0" shrinkToFit="0" vertical="center" wrapText="1"/>
    </xf>
    <xf borderId="0" fillId="25" fontId="66" numFmtId="49" xfId="0" applyAlignment="1" applyFill="1" applyFont="1" applyNumberFormat="1">
      <alignment horizontal="center" readingOrder="0" vertical="center"/>
    </xf>
    <xf borderId="0" fillId="0" fontId="67" numFmtId="49" xfId="0" applyAlignment="1" applyFont="1" applyNumberFormat="1">
      <alignment horizontal="center" readingOrder="0" vertical="center"/>
    </xf>
    <xf borderId="0" fillId="15" fontId="17" numFmtId="49" xfId="0" applyAlignment="1" applyFill="1" applyFont="1" applyNumberFormat="1">
      <alignment horizontal="center" readingOrder="0" shrinkToFit="0" vertical="center" wrapText="1"/>
    </xf>
    <xf borderId="0" fillId="35" fontId="17" numFmtId="49" xfId="0" applyAlignment="1" applyFill="1" applyFont="1" applyNumberFormat="1">
      <alignment horizontal="center" readingOrder="0" shrinkToFit="0" vertical="center" wrapText="1"/>
    </xf>
    <xf borderId="0" fillId="25" fontId="47" numFmtId="49" xfId="0" applyAlignment="1" applyFill="1" applyFont="1" applyNumberFormat="1">
      <alignment horizontal="center" vertical="center"/>
    </xf>
    <xf borderId="0" fillId="25" fontId="17" numFmtId="49" xfId="0" applyAlignment="1" applyFill="1" applyFont="1" applyNumberFormat="1">
      <alignment horizontal="center" readingOrder="0" shrinkToFit="0" vertical="center" wrapText="1"/>
    </xf>
    <xf borderId="0" fillId="25" fontId="47" numFmtId="49" xfId="0" applyAlignment="1" applyFill="1" applyFont="1" applyNumberFormat="1">
      <alignment horizontal="center" readingOrder="0" vertical="center"/>
    </xf>
    <xf borderId="0" fillId="30" fontId="17" numFmtId="49" xfId="0" applyAlignment="1" applyFill="1" applyFont="1" applyNumberFormat="1">
      <alignment horizontal="center" readingOrder="0" shrinkToFit="0" vertical="center" wrapText="1"/>
    </xf>
    <xf borderId="10" fillId="0" fontId="68" numFmtId="49" xfId="0" applyAlignment="1" applyBorder="1" applyFont="1" applyNumberFormat="1">
      <alignment horizontal="center" readingOrder="0" vertical="center"/>
    </xf>
    <xf borderId="0" fillId="24" fontId="62" numFmtId="49" xfId="0" applyAlignment="1" applyFill="1" applyFont="1" applyNumberFormat="1">
      <alignment horizontal="center" shrinkToFit="0" vertical="center" wrapText="1"/>
    </xf>
    <xf borderId="0" fillId="31" fontId="17" numFmtId="49" xfId="0" applyAlignment="1" applyFill="1" applyFont="1" applyNumberFormat="1">
      <alignment horizontal="center" readingOrder="0" shrinkToFit="0" vertical="center" wrapText="1"/>
    </xf>
    <xf borderId="0" fillId="36" fontId="17" numFmtId="49" xfId="0" applyAlignment="1" applyFill="1" applyFont="1" applyNumberFormat="1">
      <alignment horizontal="center" readingOrder="0" shrinkToFit="0" vertical="center" wrapText="1"/>
    </xf>
    <xf borderId="0" fillId="16" fontId="24" numFmtId="49" xfId="0" applyAlignment="1" applyFill="1" applyFont="1" applyNumberFormat="1">
      <alignment vertical="center"/>
    </xf>
    <xf borderId="0" fillId="16" fontId="43" numFmtId="49" xfId="0" applyAlignment="1" applyFill="1" applyFont="1" applyNumberFormat="1">
      <alignment horizontal="left" readingOrder="0" shrinkToFit="0" vertical="center" wrapText="0"/>
    </xf>
    <xf borderId="0" fillId="36" fontId="17" numFmtId="49" xfId="0" applyAlignment="1" applyFill="1" applyFont="1" applyNumberFormat="1">
      <alignment horizontal="center" readingOrder="0" shrinkToFit="0" vertical="center" wrapText="0"/>
    </xf>
    <xf borderId="0" fillId="14" fontId="69" numFmtId="49" xfId="0" applyAlignment="1" applyFill="1" applyFont="1" applyNumberFormat="1">
      <alignment horizontal="center" readingOrder="0" vertical="center"/>
    </xf>
    <xf borderId="0" fillId="14" fontId="70" numFmtId="49" xfId="0" applyAlignment="1" applyFill="1" applyFont="1" applyNumberFormat="1">
      <alignment horizontal="center" readingOrder="0" shrinkToFit="0" vertical="center" wrapText="0"/>
    </xf>
    <xf borderId="0" fillId="26" fontId="71" numFmtId="49" xfId="0" applyAlignment="1" applyFill="1" applyFont="1" applyNumberFormat="1">
      <alignment horizontal="center" readingOrder="0" shrinkToFit="0" vertical="center" wrapText="0"/>
    </xf>
    <xf borderId="0" fillId="0" fontId="39" numFmtId="49" xfId="0" applyAlignment="1" applyFont="1" applyNumberFormat="1">
      <alignment horizontal="center" vertical="center"/>
    </xf>
    <xf borderId="0" fillId="0" fontId="10" numFmtId="49" xfId="0" applyAlignment="1" applyFont="1" applyNumberFormat="1">
      <alignment readingOrder="0" vertical="center"/>
    </xf>
    <xf borderId="0" fillId="0" fontId="39" numFmtId="49" xfId="0" applyAlignment="1" applyFont="1" applyNumberFormat="1">
      <alignment vertical="center"/>
    </xf>
    <xf borderId="0" fillId="0" fontId="43" numFmtId="49" xfId="0" applyAlignment="1" applyFont="1" applyNumberFormat="1">
      <alignment horizontal="center" readingOrder="0" vertical="center"/>
    </xf>
    <xf borderId="0" fillId="15" fontId="71" numFmtId="49" xfId="0" applyAlignment="1" applyFill="1" applyFont="1" applyNumberFormat="1">
      <alignment horizontal="center" readingOrder="0" shrinkToFit="0" vertical="center" wrapText="0"/>
    </xf>
    <xf borderId="0" fillId="32" fontId="71" numFmtId="49" xfId="0" applyAlignment="1" applyFill="1" applyFont="1" applyNumberFormat="1">
      <alignment horizontal="center" readingOrder="0" shrinkToFit="0" vertical="center" wrapText="0"/>
    </xf>
    <xf borderId="0" fillId="15" fontId="71" numFmtId="49" xfId="0" applyAlignment="1" applyFill="1" applyFont="1" applyNumberFormat="1">
      <alignment horizontal="center" shrinkToFit="0" vertical="center" wrapText="0"/>
    </xf>
    <xf borderId="0" fillId="27" fontId="72" numFmtId="49" xfId="0" applyAlignment="1" applyFill="1" applyFont="1" applyNumberFormat="1">
      <alignment horizontal="center" readingOrder="0" shrinkToFit="0" vertical="center" wrapText="0"/>
    </xf>
    <xf borderId="0" fillId="29" fontId="73" numFmtId="49" xfId="0" applyAlignment="1" applyFill="1" applyFont="1" applyNumberFormat="1">
      <alignment horizontal="center" readingOrder="0" vertical="center"/>
    </xf>
    <xf borderId="0" fillId="15" fontId="71" numFmtId="49" xfId="0" applyAlignment="1" applyFill="1" applyFont="1" applyNumberFormat="1">
      <alignment horizontal="center" readingOrder="0" shrinkToFit="0" vertical="center" wrapText="0"/>
    </xf>
    <xf borderId="0" fillId="28" fontId="71" numFmtId="49" xfId="0" applyAlignment="1" applyFill="1" applyFont="1" applyNumberFormat="1">
      <alignment horizontal="center" readingOrder="0" shrinkToFit="0" vertical="center" wrapText="0"/>
    </xf>
    <xf borderId="0" fillId="35" fontId="71" numFmtId="49" xfId="0" applyAlignment="1" applyFill="1" applyFont="1" applyNumberFormat="1">
      <alignment horizontal="center" readingOrder="0" shrinkToFit="0" vertical="center" wrapText="0"/>
    </xf>
    <xf borderId="0" fillId="14" fontId="71" numFmtId="49" xfId="0" applyAlignment="1" applyFill="1" applyFont="1" applyNumberFormat="1">
      <alignment horizontal="center" readingOrder="0" shrinkToFit="0" vertical="center" wrapText="0"/>
    </xf>
    <xf borderId="0" fillId="30" fontId="71" numFmtId="49" xfId="0" applyAlignment="1" applyFill="1" applyFont="1" applyNumberFormat="1">
      <alignment horizontal="center" readingOrder="0" shrinkToFit="0" vertical="center" wrapText="0"/>
    </xf>
    <xf borderId="0" fillId="26" fontId="24" numFmtId="49" xfId="0" applyAlignment="1" applyFill="1" applyFont="1" applyNumberFormat="1">
      <alignment readingOrder="0" vertical="center"/>
    </xf>
    <xf borderId="0" fillId="26" fontId="43" numFmtId="49" xfId="0" applyAlignment="1" applyFill="1" applyFont="1" applyNumberFormat="1">
      <alignment readingOrder="0" shrinkToFit="0" vertical="center" wrapText="0"/>
    </xf>
    <xf borderId="0" fillId="0" fontId="74" numFmtId="49" xfId="0" applyAlignment="1" applyFont="1" applyNumberFormat="1">
      <alignment horizontal="center" readingOrder="0" vertical="center"/>
    </xf>
    <xf borderId="0" fillId="0" fontId="75" numFmtId="49" xfId="0" applyAlignment="1" applyFont="1" applyNumberFormat="1">
      <alignment horizontal="center" readingOrder="0" vertical="center"/>
    </xf>
    <xf borderId="0" fillId="14" fontId="71" numFmtId="49" xfId="0" applyAlignment="1" applyFill="1" applyFont="1" applyNumberFormat="1">
      <alignment horizontal="center" readingOrder="0" shrinkToFit="0" vertical="center" wrapText="0"/>
    </xf>
    <xf borderId="0" fillId="25" fontId="47" numFmtId="49" xfId="0" applyAlignment="1" applyFill="1" applyFont="1" applyNumberFormat="1">
      <alignment horizontal="center" vertical="center"/>
    </xf>
    <xf borderId="0" fillId="31" fontId="71" numFmtId="49" xfId="0" applyAlignment="1" applyFill="1" applyFont="1" applyNumberFormat="1">
      <alignment horizontal="center" readingOrder="0" shrinkToFit="0" vertical="center" wrapText="0"/>
    </xf>
    <xf borderId="0" fillId="0" fontId="47" numFmtId="49" xfId="0" applyAlignment="1" applyFont="1" applyNumberFormat="1">
      <alignment horizontal="center" readingOrder="0" vertical="center"/>
    </xf>
    <xf borderId="0" fillId="25" fontId="47" numFmtId="49" xfId="0" applyAlignment="1" applyFill="1" applyFont="1" applyNumberFormat="1">
      <alignment horizontal="center" readingOrder="0" vertical="center"/>
    </xf>
    <xf borderId="0" fillId="37" fontId="71" numFmtId="49" xfId="0" applyAlignment="1" applyFill="1" applyFont="1" applyNumberFormat="1">
      <alignment horizontal="center" readingOrder="0" shrinkToFit="0" vertical="center" wrapText="0"/>
    </xf>
    <xf borderId="0" fillId="36" fontId="71" numFmtId="49" xfId="0" applyAlignment="1" applyFill="1" applyFont="1" applyNumberFormat="1">
      <alignment horizontal="center" readingOrder="0" shrinkToFit="0" vertical="center" wrapText="0"/>
    </xf>
    <xf borderId="0" fillId="29" fontId="76" numFmtId="49" xfId="0" applyAlignment="1" applyFill="1" applyFont="1" applyNumberFormat="1">
      <alignment horizontal="center" readingOrder="0" vertical="center"/>
    </xf>
    <xf borderId="0" fillId="0" fontId="77" numFmtId="49" xfId="0" applyAlignment="1" applyFont="1" applyNumberFormat="1">
      <alignment horizontal="right" readingOrder="0" vertical="center"/>
    </xf>
    <xf borderId="0" fillId="0" fontId="78" numFmtId="49" xfId="0" applyAlignment="1" applyFont="1" applyNumberFormat="1">
      <alignment horizontal="right" readingOrder="0" vertical="center"/>
    </xf>
    <xf borderId="0" fillId="25" fontId="23" numFmtId="49" xfId="0" applyAlignment="1" applyFill="1" applyFont="1" applyNumberFormat="1">
      <alignment horizontal="right" readingOrder="0" vertical="center"/>
    </xf>
    <xf borderId="0" fillId="25" fontId="24" numFmtId="49" xfId="0" applyAlignment="1" applyFill="1" applyFont="1" applyNumberFormat="1">
      <alignment horizontal="center" readingOrder="0" vertical="center"/>
    </xf>
    <xf borderId="0" fillId="25" fontId="29" numFmtId="49" xfId="0" applyAlignment="1" applyFill="1" applyFont="1" applyNumberFormat="1">
      <alignment horizontal="center" readingOrder="0" vertical="center"/>
    </xf>
    <xf borderId="0" fillId="25" fontId="30" numFmtId="49" xfId="0" applyAlignment="1" applyFill="1" applyFont="1" applyNumberFormat="1">
      <alignment horizontal="center" readingOrder="0" vertical="center"/>
    </xf>
    <xf borderId="0" fillId="25" fontId="31" numFmtId="49" xfId="0" applyAlignment="1" applyFill="1" applyFont="1" applyNumberFormat="1">
      <alignment horizontal="center" readingOrder="0" vertical="center"/>
    </xf>
    <xf borderId="0" fillId="25" fontId="32" numFmtId="49" xfId="0" applyAlignment="1" applyFill="1" applyFont="1" applyNumberFormat="1">
      <alignment horizontal="center" readingOrder="0" vertical="center"/>
    </xf>
    <xf borderId="0" fillId="5" fontId="24" numFmtId="49" xfId="0" applyAlignment="1" applyFill="1" applyFont="1" applyNumberFormat="1">
      <alignment horizontal="right" readingOrder="0" vertical="center"/>
    </xf>
    <xf borderId="0" fillId="5" fontId="24" numFmtId="49" xfId="0" applyAlignment="1" applyFill="1" applyFont="1" applyNumberFormat="1">
      <alignment horizontal="center" readingOrder="0" vertical="center"/>
    </xf>
    <xf borderId="7" fillId="25" fontId="79" numFmtId="49" xfId="0" applyAlignment="1" applyBorder="1" applyFill="1" applyFont="1" applyNumberFormat="1">
      <alignment horizontal="center" readingOrder="0" vertical="center"/>
    </xf>
    <xf borderId="0" fillId="2" fontId="29" numFmtId="49" xfId="0" applyAlignment="1" applyFill="1" applyFont="1" applyNumberFormat="1">
      <alignment horizontal="center" readingOrder="0" vertical="center"/>
    </xf>
    <xf borderId="0" fillId="2" fontId="30" numFmtId="49" xfId="0" applyAlignment="1" applyFill="1" applyFont="1" applyNumberFormat="1">
      <alignment horizontal="center" readingOrder="0" vertical="center"/>
    </xf>
    <xf borderId="0" fillId="2" fontId="31" numFmtId="49" xfId="0" applyAlignment="1" applyFill="1" applyFont="1" applyNumberFormat="1">
      <alignment horizontal="center" readingOrder="0" vertical="center"/>
    </xf>
    <xf borderId="0" fillId="2" fontId="32" numFmtId="49" xfId="0" applyAlignment="1" applyFill="1" applyFont="1" applyNumberFormat="1">
      <alignment horizontal="center" readingOrder="0" vertical="center"/>
    </xf>
    <xf borderId="0" fillId="2" fontId="24" numFmtId="49" xfId="0" applyAlignment="1" applyFill="1" applyFont="1" applyNumberFormat="1">
      <alignment horizontal="center" readingOrder="0" vertical="center"/>
    </xf>
    <xf borderId="0" fillId="25" fontId="80" numFmtId="49" xfId="0" applyAlignment="1" applyFill="1" applyFont="1" applyNumberFormat="1">
      <alignment horizontal="center" readingOrder="0" vertical="center"/>
    </xf>
    <xf borderId="0" fillId="29" fontId="81" numFmtId="49" xfId="0" applyAlignment="1" applyFill="1" applyFont="1" applyNumberFormat="1">
      <alignment horizontal="center" readingOrder="0" vertical="center"/>
    </xf>
    <xf borderId="0" fillId="29" fontId="43" numFmtId="49" xfId="0" applyAlignment="1" applyFill="1" applyFont="1" applyNumberFormat="1">
      <alignment horizontal="center" vertical="center"/>
    </xf>
    <xf borderId="0" fillId="25" fontId="82" numFmtId="49" xfId="0" applyAlignment="1" applyFill="1" applyFont="1" applyNumberFormat="1">
      <alignment horizontal="center" readingOrder="0" vertical="center"/>
    </xf>
    <xf borderId="7" fillId="29" fontId="83" numFmtId="49" xfId="0" applyAlignment="1" applyBorder="1" applyFill="1" applyFont="1" applyNumberFormat="1">
      <alignment horizontal="center" readingOrder="0" vertical="center"/>
    </xf>
    <xf borderId="0" fillId="25" fontId="84" numFmtId="49" xfId="0" applyAlignment="1" applyFill="1" applyFont="1" applyNumberFormat="1">
      <alignment horizontal="center" readingOrder="0" vertical="center"/>
    </xf>
    <xf borderId="0" fillId="25" fontId="85" numFmtId="49"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7" fillId="29" fontId="86" numFmtId="49" xfId="0" applyAlignment="1" applyBorder="1" applyFill="1" applyFont="1" applyNumberFormat="1">
      <alignment horizontal="center" readingOrder="0" vertical="center"/>
    </xf>
    <xf borderId="0" fillId="24" fontId="43" numFmtId="49" xfId="0" applyAlignment="1" applyFill="1" applyFont="1" applyNumberFormat="1">
      <alignment horizontal="center" vertical="center"/>
    </xf>
    <xf borderId="0" fillId="25" fontId="87" numFmtId="49" xfId="0" applyAlignment="1" applyFill="1" applyFont="1" applyNumberFormat="1">
      <alignment horizontal="center" readingOrder="0" vertical="center"/>
    </xf>
    <xf borderId="7" fillId="38" fontId="88" numFmtId="49" xfId="0" applyAlignment="1" applyBorder="1" applyFill="1" applyFont="1" applyNumberFormat="1">
      <alignment horizontal="center" readingOrder="0" vertical="center"/>
    </xf>
    <xf borderId="0" fillId="38" fontId="89"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24" fontId="43" numFmtId="49" xfId="0" applyAlignment="1" applyFill="1" applyFont="1" applyNumberFormat="1">
      <alignment horizontal="center" vertical="center"/>
    </xf>
    <xf borderId="0" fillId="39" fontId="90" numFmtId="49" xfId="0" applyAlignment="1" applyFill="1" applyFont="1" applyNumberFormat="1">
      <alignment horizontal="center" readingOrder="0" vertical="center"/>
    </xf>
    <xf borderId="0" fillId="29" fontId="91" numFmtId="49" xfId="0" applyAlignment="1" applyFill="1" applyFont="1" applyNumberFormat="1">
      <alignment horizontal="center" readingOrder="0" vertical="center"/>
    </xf>
    <xf borderId="0" fillId="39" fontId="92" numFmtId="49" xfId="0" applyAlignment="1" applyFill="1" applyFont="1" applyNumberFormat="1">
      <alignment horizontal="center" readingOrder="0" vertical="center"/>
    </xf>
    <xf borderId="7" fillId="39" fontId="93" numFmtId="49" xfId="0" applyAlignment="1" applyBorder="1" applyFill="1" applyFont="1" applyNumberFormat="1">
      <alignment horizontal="center" readingOrder="0" vertical="center"/>
    </xf>
    <xf borderId="0" fillId="25" fontId="94" numFmtId="49" xfId="0" applyAlignment="1" applyFill="1" applyFont="1" applyNumberFormat="1">
      <alignment horizontal="center" readingOrder="0" vertical="center"/>
    </xf>
    <xf borderId="0" fillId="29" fontId="47" numFmtId="49" xfId="0" applyAlignment="1" applyFill="1" applyFont="1" applyNumberFormat="1">
      <alignment horizontal="center" readingOrder="0" vertical="center"/>
    </xf>
    <xf borderId="0" fillId="25" fontId="33" numFmtId="49" xfId="0" applyAlignment="1" applyFill="1" applyFont="1" applyNumberFormat="1">
      <alignment horizontal="center" readingOrder="0" vertical="center"/>
    </xf>
    <xf borderId="0" fillId="39" fontId="95" numFmtId="49" xfId="0" applyAlignment="1" applyFill="1" applyFont="1" applyNumberFormat="1">
      <alignment horizontal="center" readingOrder="0" vertical="center"/>
    </xf>
    <xf borderId="0" fillId="29" fontId="24" numFmtId="49" xfId="0" applyAlignment="1" applyFill="1" applyFont="1" applyNumberFormat="1">
      <alignment vertical="center"/>
    </xf>
    <xf borderId="0" fillId="29" fontId="43" numFmtId="49" xfId="0" applyAlignment="1" applyFill="1" applyFont="1" applyNumberFormat="1">
      <alignment horizontal="left" readingOrder="0" shrinkToFit="0" vertical="center" wrapText="0"/>
    </xf>
    <xf borderId="9" fillId="39" fontId="43" numFmtId="49" xfId="0" applyAlignment="1" applyBorder="1" applyFill="1" applyFont="1" applyNumberFormat="1">
      <alignment horizontal="center" vertical="center"/>
    </xf>
    <xf borderId="0" fillId="24" fontId="96" numFmtId="49" xfId="0" applyAlignment="1" applyFill="1" applyFont="1" applyNumberFormat="1">
      <alignment horizontal="center" vertical="center"/>
    </xf>
    <xf borderId="0" fillId="33" fontId="43" numFmtId="49" xfId="0" applyAlignment="1" applyFill="1" applyFont="1" applyNumberFormat="1">
      <alignment horizontal="center" readingOrder="0" vertical="center"/>
    </xf>
    <xf borderId="0" fillId="33" fontId="43" numFmtId="49" xfId="0" applyAlignment="1" applyFill="1" applyFont="1" applyNumberFormat="1">
      <alignment horizontal="center" vertical="center"/>
    </xf>
    <xf borderId="0" fillId="33" fontId="97" numFmtId="49" xfId="0" applyAlignment="1" applyFill="1" applyFont="1" applyNumberFormat="1">
      <alignment horizontal="center" readingOrder="0" vertical="center"/>
    </xf>
    <xf borderId="7" fillId="33" fontId="98" numFmtId="49" xfId="0" applyAlignment="1" applyBorder="1" applyFill="1" applyFont="1" applyNumberFormat="1">
      <alignment horizontal="center" readingOrder="0" vertical="center"/>
    </xf>
    <xf borderId="0" fillId="25" fontId="33" numFmtId="49" xfId="0" applyAlignment="1" applyFill="1" applyFont="1" applyNumberFormat="1">
      <alignment horizontal="center" readingOrder="0" vertical="center"/>
    </xf>
    <xf borderId="0" fillId="25" fontId="99" numFmtId="49" xfId="0" applyAlignment="1" applyFill="1" applyFont="1" applyNumberFormat="1">
      <alignment horizontal="center" readingOrder="0" vertical="center"/>
    </xf>
    <xf borderId="0" fillId="33" fontId="100" numFmtId="49" xfId="0" applyAlignment="1" applyFill="1" applyFont="1" applyNumberFormat="1">
      <alignment horizontal="center" readingOrder="0" vertical="center"/>
    </xf>
    <xf borderId="7" fillId="25" fontId="101" numFmtId="49" xfId="0" applyAlignment="1" applyBorder="1" applyFill="1" applyFont="1" applyNumberFormat="1">
      <alignment horizontal="center" readingOrder="0" vertical="center"/>
    </xf>
    <xf borderId="0" fillId="24" fontId="43" numFmtId="49" xfId="0" applyAlignment="1" applyFill="1" applyFont="1" applyNumberFormat="1">
      <alignment horizontal="center" vertical="center"/>
    </xf>
    <xf borderId="7" fillId="40" fontId="102" numFmtId="49" xfId="0" applyAlignment="1" applyBorder="1" applyFill="1" applyFont="1" applyNumberFormat="1">
      <alignment horizontal="center" readingOrder="0" vertical="center"/>
    </xf>
    <xf borderId="0" fillId="25" fontId="103" numFmtId="49" xfId="0" applyAlignment="1" applyFill="1" applyFont="1" applyNumberFormat="1">
      <alignment horizontal="center" readingOrder="0" vertical="center"/>
    </xf>
    <xf borderId="0" fillId="40" fontId="104" numFmtId="49" xfId="0" applyAlignment="1" applyFill="1" applyFont="1" applyNumberFormat="1">
      <alignment horizontal="center" readingOrder="0" vertical="center"/>
    </xf>
    <xf borderId="0" fillId="40" fontId="43" numFmtId="49" xfId="0" applyAlignment="1" applyFill="1" applyFont="1" applyNumberFormat="1">
      <alignment horizontal="center" readingOrder="0" vertical="center"/>
    </xf>
    <xf borderId="7" fillId="41" fontId="105" numFmtId="49" xfId="0" applyAlignment="1" applyBorder="1" applyFill="1" applyFont="1" applyNumberFormat="1">
      <alignment horizontal="center" readingOrder="0" vertical="center"/>
    </xf>
    <xf borderId="0" fillId="41" fontId="106" numFmtId="49" xfId="0" applyAlignment="1" applyFill="1" applyFont="1" applyNumberFormat="1">
      <alignment horizontal="center" readingOrder="0" vertical="center"/>
    </xf>
    <xf borderId="0" fillId="41" fontId="107" numFmtId="49" xfId="0" applyAlignment="1" applyFill="1" applyFont="1" applyNumberFormat="1">
      <alignment horizontal="center" readingOrder="0" vertical="center"/>
    </xf>
    <xf borderId="0" fillId="41" fontId="108" numFmtId="49" xfId="0" applyAlignment="1" applyFill="1" applyFont="1" applyNumberFormat="1">
      <alignment horizontal="center" readingOrder="0" vertical="center"/>
    </xf>
    <xf borderId="0" fillId="34" fontId="43" numFmtId="49" xfId="0" applyAlignment="1" applyFill="1" applyFont="1" applyNumberFormat="1">
      <alignment readingOrder="0" shrinkToFit="0" vertical="center" wrapText="0"/>
    </xf>
    <xf borderId="0" fillId="41" fontId="109" numFmtId="49" xfId="0" applyAlignment="1" applyFill="1" applyFont="1" applyNumberFormat="1">
      <alignment horizontal="center" readingOrder="0" vertical="center"/>
    </xf>
    <xf borderId="0" fillId="41" fontId="43" numFmtId="49" xfId="0" applyAlignment="1" applyFill="1" applyFont="1" applyNumberFormat="1">
      <alignment horizontal="center" vertical="center"/>
    </xf>
    <xf borderId="7" fillId="41" fontId="110" numFmtId="49" xfId="0" applyAlignment="1" applyBorder="1" applyFill="1" applyFont="1" applyNumberFormat="1">
      <alignment horizontal="center" readingOrder="0" vertical="center"/>
    </xf>
    <xf borderId="0" fillId="24" fontId="111" numFmtId="49" xfId="0" applyAlignment="1" applyFill="1" applyFont="1" applyNumberFormat="1">
      <alignment horizontal="center" vertical="center"/>
    </xf>
    <xf borderId="7" fillId="42" fontId="112" numFmtId="49" xfId="0" applyAlignment="1" applyBorder="1" applyFill="1" applyFont="1" applyNumberFormat="1">
      <alignment horizontal="center" readingOrder="0" vertical="center"/>
    </xf>
    <xf borderId="0" fillId="25" fontId="113" numFmtId="49" xfId="0" applyAlignment="1" applyFill="1" applyFont="1" applyNumberFormat="1">
      <alignment horizontal="center" readingOrder="0" vertical="center"/>
    </xf>
    <xf borderId="0" fillId="42" fontId="43" numFmtId="49" xfId="0" applyAlignment="1" applyFill="1" applyFont="1" applyNumberFormat="1">
      <alignment horizontal="center" vertical="center"/>
    </xf>
    <xf borderId="0" fillId="42" fontId="114" numFmtId="49" xfId="0" applyAlignment="1" applyFill="1" applyFont="1" applyNumberFormat="1">
      <alignment horizontal="center" readingOrder="0" vertical="center"/>
    </xf>
    <xf borderId="0" fillId="42" fontId="43" numFmtId="49" xfId="0" applyAlignment="1" applyFill="1" applyFont="1" applyNumberFormat="1">
      <alignment horizontal="center" vertical="center"/>
    </xf>
    <xf borderId="0" fillId="42" fontId="43" numFmtId="49" xfId="0" applyAlignment="1" applyFill="1" applyFont="1" applyNumberFormat="1">
      <alignment horizontal="center" readingOrder="0" vertical="center"/>
    </xf>
    <xf borderId="0" fillId="38" fontId="115"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38" fontId="43" numFmtId="49" xfId="0" applyAlignment="1" applyFill="1" applyFont="1" applyNumberFormat="1">
      <alignment horizontal="center" vertical="center"/>
    </xf>
    <xf borderId="0" fillId="38" fontId="43" numFmtId="49" xfId="0" applyAlignment="1" applyFill="1" applyFont="1" applyNumberFormat="1">
      <alignment horizontal="center" readingOrder="0" vertical="center"/>
    </xf>
    <xf borderId="0" fillId="25" fontId="116" numFmtId="49" xfId="0" applyAlignment="1" applyFill="1" applyFont="1" applyNumberFormat="1">
      <alignment horizontal="center" readingOrder="0" vertical="center"/>
    </xf>
    <xf borderId="7" fillId="38" fontId="117" numFmtId="49" xfId="0" applyAlignment="1" applyBorder="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25" fontId="33" numFmtId="49" xfId="0" applyAlignment="1" applyFill="1" applyFont="1" applyNumberFormat="1">
      <alignment horizontal="center" vertical="center"/>
    </xf>
    <xf borderId="0" fillId="0" fontId="24" numFmtId="49" xfId="0" applyAlignment="1" applyFont="1" applyNumberFormat="1">
      <alignment horizontal="right" readingOrder="0" vertical="center"/>
    </xf>
    <xf borderId="0" fillId="26" fontId="43" numFmtId="49" xfId="0" applyAlignment="1" applyFill="1" applyFont="1" applyNumberFormat="1">
      <alignment shrinkToFit="0" vertical="center" wrapText="0"/>
    </xf>
    <xf borderId="7" fillId="34" fontId="118" numFmtId="49" xfId="0" applyAlignment="1" applyBorder="1" applyFill="1" applyFont="1" applyNumberFormat="1">
      <alignment horizontal="center" readingOrder="0" vertical="center"/>
    </xf>
    <xf borderId="0" fillId="34" fontId="43" numFmtId="49" xfId="0" applyAlignment="1" applyFill="1" applyFont="1" applyNumberFormat="1">
      <alignment horizontal="center" vertical="center"/>
    </xf>
    <xf borderId="0" fillId="34" fontId="119" numFmtId="49" xfId="0" applyAlignment="1" applyFill="1" applyFont="1" applyNumberFormat="1">
      <alignment horizontal="center" readingOrder="0" vertical="center"/>
    </xf>
    <xf borderId="0" fillId="34" fontId="120" numFmtId="49" xfId="0" applyAlignment="1" applyFill="1" applyFont="1" applyNumberFormat="1">
      <alignment horizontal="center" readingOrder="0" vertical="center"/>
    </xf>
    <xf borderId="0" fillId="0" fontId="47" numFmtId="49" xfId="0" applyAlignment="1" applyFont="1" applyNumberFormat="1">
      <alignment horizontal="center" readingOrder="0" vertical="center"/>
    </xf>
    <xf borderId="0" fillId="25" fontId="33" numFmtId="49" xfId="0" applyAlignment="1" applyFill="1" applyFont="1" applyNumberFormat="1">
      <alignment horizontal="center" readingOrder="0" vertical="center"/>
    </xf>
    <xf borderId="0" fillId="43" fontId="43" numFmtId="49" xfId="0" applyAlignment="1" applyFill="1" applyFont="1" applyNumberFormat="1">
      <alignment horizontal="center" readingOrder="0" vertical="center"/>
    </xf>
    <xf borderId="7" fillId="43" fontId="121" numFmtId="49" xfId="0" applyAlignment="1" applyBorder="1" applyFill="1" applyFont="1" applyNumberFormat="1">
      <alignment horizontal="center" readingOrder="0" vertical="center"/>
    </xf>
    <xf borderId="0" fillId="25" fontId="122" numFmtId="49" xfId="0" applyAlignment="1" applyFill="1" applyFont="1" applyNumberFormat="1">
      <alignment horizontal="center" readingOrder="0" vertical="center"/>
    </xf>
    <xf borderId="0" fillId="43" fontId="12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39" fontId="43" numFmtId="49" xfId="0" applyAlignment="1" applyFill="1" applyFont="1" applyNumberFormat="1">
      <alignment horizontal="center" vertical="center"/>
    </xf>
    <xf borderId="0" fillId="29" fontId="47" numFmtId="49" xfId="0" applyAlignment="1" applyFill="1" applyFont="1" applyNumberFormat="1">
      <alignment horizontal="center" readingOrder="0" vertical="center"/>
    </xf>
    <xf borderId="0" fillId="0" fontId="47" numFmtId="49" xfId="0" applyAlignment="1" applyFont="1" applyNumberFormat="1">
      <alignment horizontal="center" vertical="center"/>
    </xf>
    <xf borderId="0" fillId="39" fontId="124"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44" fontId="43" numFmtId="49" xfId="0" applyAlignment="1" applyFill="1" applyFont="1" applyNumberFormat="1">
      <alignment horizontal="center" vertical="center"/>
    </xf>
    <xf borderId="7" fillId="44" fontId="125" numFmtId="49" xfId="0" applyAlignment="1" applyBorder="1" applyFill="1" applyFont="1" applyNumberFormat="1">
      <alignment horizontal="center" readingOrder="0" vertical="center"/>
    </xf>
    <xf borderId="0" fillId="44" fontId="126" numFmtId="49" xfId="0" applyAlignment="1" applyFill="1" applyFont="1" applyNumberFormat="1">
      <alignment horizontal="center" readingOrder="0" vertical="center"/>
    </xf>
    <xf borderId="0" fillId="45" fontId="43" numFmtId="49" xfId="0" applyAlignment="1" applyFill="1" applyFont="1" applyNumberFormat="1">
      <alignment horizontal="center" vertical="center"/>
    </xf>
    <xf borderId="0" fillId="45" fontId="127" numFmtId="49" xfId="0" applyAlignment="1" applyFill="1" applyFont="1" applyNumberFormat="1">
      <alignment horizontal="center" readingOrder="0" vertical="center"/>
    </xf>
    <xf borderId="0" fillId="26" fontId="43" numFmtId="49" xfId="0" applyAlignment="1" applyFill="1" applyFont="1" applyNumberFormat="1">
      <alignment readingOrder="0" vertical="center"/>
    </xf>
    <xf borderId="7" fillId="45" fontId="128" numFmtId="49" xfId="0" applyAlignment="1" applyBorder="1" applyFill="1" applyFont="1" applyNumberFormat="1">
      <alignment horizontal="center" readingOrder="0" vertical="center"/>
    </xf>
    <xf borderId="0" fillId="45" fontId="129" numFmtId="49" xfId="0" applyAlignment="1" applyFill="1" applyFont="1" applyNumberFormat="1">
      <alignment horizontal="center" readingOrder="0" vertical="center"/>
    </xf>
    <xf borderId="0" fillId="45" fontId="130" numFmtId="49" xfId="0" applyAlignment="1" applyFill="1" applyFont="1" applyNumberFormat="1">
      <alignment horizontal="center" readingOrder="0" vertical="center"/>
    </xf>
    <xf borderId="0" fillId="46" fontId="43" numFmtId="49" xfId="0" applyAlignment="1" applyFill="1" applyFont="1" applyNumberFormat="1">
      <alignment horizontal="center" vertical="center"/>
    </xf>
    <xf borderId="0" fillId="25" fontId="131" numFmtId="49" xfId="0" applyAlignment="1" applyFill="1" applyFont="1" applyNumberFormat="1">
      <alignment horizontal="center" readingOrder="0" vertical="center"/>
    </xf>
    <xf borderId="7" fillId="46" fontId="132" numFmtId="49" xfId="0" applyAlignment="1" applyBorder="1" applyFill="1" applyFont="1" applyNumberFormat="1">
      <alignment horizontal="center" readingOrder="0" vertical="center"/>
    </xf>
    <xf borderId="0" fillId="46" fontId="133" numFmtId="49" xfId="0" applyAlignment="1" applyFill="1" applyFont="1" applyNumberFormat="1">
      <alignment horizontal="center" readingOrder="0" vertical="center"/>
    </xf>
    <xf borderId="0" fillId="47" fontId="134" numFmtId="49" xfId="0" applyAlignment="1" applyFill="1" applyFont="1" applyNumberFormat="1">
      <alignment horizontal="center" readingOrder="0" vertical="center"/>
    </xf>
    <xf borderId="0" fillId="47" fontId="43" numFmtId="49" xfId="0" applyAlignment="1" applyFill="1" applyFont="1" applyNumberFormat="1">
      <alignment horizontal="center" vertical="center"/>
    </xf>
    <xf borderId="7" fillId="47" fontId="135" numFmtId="49" xfId="0" applyAlignment="1" applyBorder="1" applyFill="1" applyFont="1" applyNumberFormat="1">
      <alignment horizontal="center" readingOrder="0" vertical="center"/>
    </xf>
    <xf borderId="0" fillId="47" fontId="43" numFmtId="49" xfId="0" applyAlignment="1" applyFill="1" applyFont="1" applyNumberFormat="1">
      <alignment horizontal="center" readingOrder="0" vertical="center"/>
    </xf>
    <xf borderId="0" fillId="47" fontId="43" numFmtId="49" xfId="0" applyAlignment="1" applyFill="1" applyFont="1" applyNumberFormat="1">
      <alignment horizontal="center" vertical="center"/>
    </xf>
    <xf borderId="0" fillId="47" fontId="43" numFmtId="49" xfId="0" applyAlignment="1" applyFill="1" applyFont="1" applyNumberFormat="1">
      <alignment horizontal="center" readingOrder="0" vertical="center"/>
    </xf>
    <xf borderId="0" fillId="47" fontId="136" numFmtId="49" xfId="0" applyAlignment="1" applyFill="1" applyFont="1" applyNumberFormat="1">
      <alignment horizontal="center" readingOrder="0" vertical="center"/>
    </xf>
    <xf borderId="0" fillId="48" fontId="43" numFmtId="49" xfId="0" applyAlignment="1" applyFill="1" applyFont="1" applyNumberFormat="1">
      <alignment horizontal="center" readingOrder="0" vertical="center"/>
    </xf>
    <xf borderId="7" fillId="48" fontId="137" numFmtId="49" xfId="0" applyAlignment="1" applyBorder="1" applyFill="1" applyFont="1" applyNumberFormat="1">
      <alignment horizontal="center" readingOrder="0" vertical="center"/>
    </xf>
    <xf borderId="0" fillId="48" fontId="43" numFmtId="49" xfId="0" applyAlignment="1" applyFill="1" applyFont="1" applyNumberFormat="1">
      <alignment horizontal="center" vertical="center"/>
    </xf>
    <xf borderId="0" fillId="48" fontId="43" numFmtId="49" xfId="0" applyAlignment="1" applyFill="1" applyFont="1" applyNumberFormat="1">
      <alignment horizontal="center" vertical="center"/>
    </xf>
    <xf borderId="0" fillId="2" fontId="24" numFmtId="49" xfId="0" applyAlignment="1" applyFill="1" applyFont="1" applyNumberFormat="1">
      <alignment horizontal="right" readingOrder="0" vertical="center"/>
    </xf>
    <xf borderId="0" fillId="34" fontId="43" numFmtId="49" xfId="0" applyAlignment="1" applyFill="1" applyFont="1" applyNumberFormat="1">
      <alignment horizontal="center" readingOrder="0" vertical="center"/>
    </xf>
    <xf borderId="0" fillId="29" fontId="43" numFmtId="49" xfId="0" applyAlignment="1" applyFill="1" applyFont="1" applyNumberFormat="1">
      <alignment readingOrder="0" shrinkToFit="0" vertical="center" wrapText="0"/>
    </xf>
    <xf borderId="0" fillId="34" fontId="43" numFmtId="49" xfId="0" applyAlignment="1" applyFill="1" applyFont="1" applyNumberFormat="1">
      <alignment horizontal="center" readingOrder="0" vertical="center"/>
    </xf>
    <xf borderId="0" fillId="24" fontId="43" numFmtId="49" xfId="0" applyAlignment="1" applyFill="1" applyFont="1" applyNumberFormat="1">
      <alignment horizontal="center" vertical="center"/>
    </xf>
    <xf borderId="0" fillId="43" fontId="43" numFmtId="49" xfId="0" applyAlignment="1" applyFill="1" applyFont="1" applyNumberFormat="1">
      <alignment horizontal="center" readingOrder="0" vertical="center"/>
    </xf>
    <xf borderId="0" fillId="43" fontId="43" numFmtId="49" xfId="0" applyAlignment="1" applyFill="1" applyFont="1" applyNumberFormat="1">
      <alignment horizontal="center" vertical="center"/>
    </xf>
    <xf borderId="0" fillId="43" fontId="138" numFmtId="49" xfId="0" applyAlignment="1" applyFill="1" applyFont="1" applyNumberFormat="1">
      <alignment horizontal="center" readingOrder="0" vertical="center"/>
    </xf>
    <xf borderId="0" fillId="25" fontId="47" numFmtId="49" xfId="0" applyAlignment="1" applyFill="1" applyFont="1" applyNumberFormat="1">
      <alignment horizontal="center" readingOrder="0" vertical="center"/>
    </xf>
    <xf borderId="0" fillId="18" fontId="139" numFmtId="49" xfId="0" applyAlignment="1" applyFill="1" applyFont="1" applyNumberFormat="1">
      <alignment horizontal="center" readingOrder="0" vertical="center"/>
    </xf>
    <xf borderId="0" fillId="49" fontId="139"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32" fontId="139" numFmtId="49" xfId="0" applyAlignment="1" applyFill="1" applyFont="1" applyNumberFormat="1">
      <alignment horizontal="center" readingOrder="0" vertical="center"/>
    </xf>
    <xf borderId="0" fillId="10" fontId="139" numFmtId="49" xfId="0" applyAlignment="1" applyFill="1" applyFont="1" applyNumberFormat="1">
      <alignment horizontal="center" readingOrder="0" vertical="center"/>
    </xf>
    <xf borderId="0" fillId="50" fontId="139" numFmtId="49" xfId="0" applyAlignment="1" applyFill="1" applyFont="1" applyNumberFormat="1">
      <alignment horizontal="center" readingOrder="0" vertical="center"/>
    </xf>
    <xf borderId="0" fillId="31" fontId="139"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14" fontId="139"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7" fontId="140" numFmtId="49" xfId="0" applyAlignment="1" applyFill="1" applyFont="1" applyNumberFormat="1">
      <alignment horizontal="center" readingOrder="0" vertical="center"/>
    </xf>
    <xf borderId="0" fillId="51" fontId="17" numFmtId="49" xfId="0" applyAlignment="1" applyFill="1" applyFont="1" applyNumberFormat="1">
      <alignment horizontal="center" readingOrder="0" vertical="center"/>
    </xf>
    <xf borderId="0" fillId="11" fontId="21" numFmtId="49" xfId="0" applyAlignment="1" applyFill="1" applyFont="1" applyNumberFormat="1">
      <alignment horizontal="center" vertical="center"/>
    </xf>
    <xf borderId="0" fillId="14" fontId="13" numFmtId="49" xfId="0" applyAlignment="1" applyFill="1" applyFont="1" applyNumberFormat="1">
      <alignment horizontal="right" readingOrder="0" vertical="center"/>
    </xf>
    <xf borderId="0" fillId="0" fontId="141" numFmtId="49" xfId="0" applyAlignment="1" applyFont="1" applyNumberFormat="1">
      <alignment horizontal="center" readingOrder="0" vertical="center"/>
    </xf>
    <xf borderId="0" fillId="44" fontId="142" numFmtId="49" xfId="0" applyAlignment="1" applyFill="1" applyFont="1" applyNumberFormat="1">
      <alignment horizontal="center" readingOrder="0" vertical="center"/>
    </xf>
    <xf borderId="0" fillId="0" fontId="27" numFmtId="49" xfId="0" applyAlignment="1" applyFont="1" applyNumberFormat="1">
      <alignment horizontal="center" readingOrder="0" vertical="center"/>
    </xf>
    <xf borderId="0" fillId="27" fontId="143" numFmtId="49" xfId="0" applyAlignment="1" applyFill="1" applyFont="1" applyNumberFormat="1">
      <alignment horizontal="center" readingOrder="0" shrinkToFit="0" vertical="center" wrapText="1"/>
    </xf>
    <xf borderId="0" fillId="0" fontId="144" numFmtId="49" xfId="0" applyAlignment="1" applyFont="1" applyNumberFormat="1">
      <alignment horizontal="center" readingOrder="0" vertical="center"/>
    </xf>
    <xf borderId="0" fillId="45" fontId="145" numFmtId="49" xfId="0" applyAlignment="1" applyFill="1" applyFont="1" applyNumberFormat="1">
      <alignment horizontal="center" readingOrder="0" vertical="center"/>
    </xf>
    <xf borderId="0" fillId="0" fontId="27" numFmtId="49" xfId="0" applyAlignment="1" applyFont="1" applyNumberFormat="1">
      <alignment horizontal="center" readingOrder="0" vertical="center"/>
    </xf>
    <xf borderId="0" fillId="52" fontId="143" numFmtId="49" xfId="0" applyAlignment="1" applyFill="1" applyFont="1" applyNumberFormat="1">
      <alignment horizontal="center" readingOrder="0" shrinkToFit="0" vertical="center" wrapText="1"/>
    </xf>
    <xf borderId="0" fillId="46" fontId="43" numFmtId="49" xfId="0" applyAlignment="1" applyFill="1" applyFont="1" applyNumberFormat="1">
      <alignment horizontal="center" readingOrder="0" vertical="center"/>
    </xf>
    <xf borderId="0" fillId="4" fontId="25" numFmtId="49" xfId="0" applyAlignment="1" applyFill="1" applyFont="1" applyNumberFormat="1">
      <alignment horizontal="right" readingOrder="0" vertical="center"/>
    </xf>
    <xf borderId="0" fillId="43" fontId="143" numFmtId="49" xfId="0" applyAlignment="1" applyFill="1" applyFont="1" applyNumberFormat="1">
      <alignment horizontal="center" readingOrder="0" shrinkToFit="0" vertical="center" wrapText="1"/>
    </xf>
    <xf borderId="0" fillId="4" fontId="24" numFmtId="49" xfId="0" applyAlignment="1" applyFill="1" applyFont="1" applyNumberFormat="1">
      <alignment horizontal="center" readingOrder="0" vertical="center"/>
    </xf>
    <xf borderId="0" fillId="46" fontId="146" numFmtId="49" xfId="0" applyAlignment="1" applyFill="1" applyFont="1" applyNumberFormat="1">
      <alignment horizontal="center" readingOrder="0" vertical="center"/>
    </xf>
    <xf borderId="0" fillId="47" fontId="43" numFmtId="49" xfId="0" applyAlignment="1" applyFill="1" applyFont="1" applyNumberFormat="1">
      <alignment horizontal="center" readingOrder="0" vertical="center"/>
    </xf>
    <xf borderId="0" fillId="4" fontId="29" numFmtId="49" xfId="0" applyAlignment="1" applyFill="1" applyFont="1" applyNumberFormat="1">
      <alignment horizontal="center" readingOrder="0" vertical="center"/>
    </xf>
    <xf borderId="0" fillId="25" fontId="147" numFmtId="49" xfId="0" applyAlignment="1" applyFill="1" applyFont="1" applyNumberFormat="1">
      <alignment horizontal="center" readingOrder="0" vertical="center"/>
    </xf>
    <xf borderId="0" fillId="4" fontId="30" numFmtId="49" xfId="0" applyAlignment="1" applyFill="1" applyFont="1" applyNumberFormat="1">
      <alignment horizontal="center" readingOrder="0" vertical="center"/>
    </xf>
    <xf borderId="0" fillId="35" fontId="143" numFmtId="49" xfId="0" applyAlignment="1" applyFill="1" applyFont="1" applyNumberFormat="1">
      <alignment horizontal="center" readingOrder="0" shrinkToFit="0" vertical="center" wrapText="1"/>
    </xf>
    <xf borderId="0" fillId="47" fontId="148"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53" fontId="143" numFmtId="49" xfId="0" applyAlignment="1" applyFill="1" applyFont="1" applyNumberFormat="1">
      <alignment horizontal="center" readingOrder="0" shrinkToFit="0" vertical="center" wrapText="1"/>
    </xf>
    <xf borderId="0" fillId="54" fontId="143" numFmtId="49" xfId="0" applyAlignment="1" applyFill="1" applyFont="1" applyNumberFormat="1">
      <alignment horizontal="center" readingOrder="0" shrinkToFit="0" vertical="center" wrapText="1"/>
    </xf>
    <xf borderId="0" fillId="55" fontId="143" numFmtId="49" xfId="0" applyAlignment="1" applyFill="1" applyFont="1" applyNumberFormat="1">
      <alignment horizontal="center" readingOrder="0" shrinkToFit="0" vertical="center" wrapText="1"/>
    </xf>
    <xf borderId="0" fillId="29" fontId="149" numFmtId="49" xfId="0" applyAlignment="1" applyFill="1" applyFont="1" applyNumberFormat="1">
      <alignment horizontal="center" readingOrder="0" vertical="center"/>
    </xf>
    <xf borderId="0" fillId="15" fontId="143" numFmtId="49" xfId="0" applyAlignment="1" applyFill="1" applyFont="1" applyNumberFormat="1">
      <alignment horizontal="center" readingOrder="0" shrinkToFit="0" vertical="center" wrapText="1"/>
    </xf>
    <xf borderId="0" fillId="48" fontId="43" numFmtId="49" xfId="0" applyAlignment="1" applyFill="1" applyFont="1" applyNumberFormat="1">
      <alignment horizontal="center" readingOrder="0" vertical="center"/>
    </xf>
    <xf borderId="0" fillId="56" fontId="17" numFmtId="49" xfId="0" applyAlignment="1" applyFill="1" applyFont="1" applyNumberFormat="1">
      <alignment horizontal="center" readingOrder="0" shrinkToFit="0" vertical="center" wrapText="1"/>
    </xf>
    <xf borderId="0" fillId="21" fontId="21" numFmtId="49" xfId="0" applyAlignment="1" applyFill="1" applyFont="1" applyNumberFormat="1">
      <alignment horizontal="center" shrinkToFit="0" vertical="center" wrapText="1"/>
    </xf>
    <xf borderId="0" fillId="29" fontId="150" numFmtId="49" xfId="0" applyAlignment="1" applyFill="1" applyFont="1" applyNumberFormat="1">
      <alignment horizontal="center" readingOrder="0" vertical="center"/>
    </xf>
    <xf borderId="0" fillId="17" fontId="24" numFmtId="49" xfId="0" applyAlignment="1" applyFill="1" applyFont="1" applyNumberFormat="1">
      <alignment horizontal="right" readingOrder="0" vertical="center"/>
    </xf>
    <xf borderId="0" fillId="48" fontId="151" numFmtId="49" xfId="0" applyAlignment="1" applyFill="1" applyFont="1" applyNumberFormat="1">
      <alignment horizontal="center" readingOrder="0" vertical="center"/>
    </xf>
    <xf borderId="0" fillId="29" fontId="152" numFmtId="49" xfId="0" applyAlignment="1" applyFill="1" applyFont="1" applyNumberFormat="1">
      <alignment horizontal="center" readingOrder="0" vertical="center"/>
    </xf>
    <xf borderId="0" fillId="34" fontId="43" numFmtId="49" xfId="0" applyAlignment="1" applyFill="1" applyFont="1" applyNumberFormat="1">
      <alignment horizontal="center" readingOrder="0" vertical="center"/>
    </xf>
    <xf borderId="0" fillId="43" fontId="153" numFmtId="49" xfId="0" applyAlignment="1" applyFill="1" applyFont="1" applyNumberFormat="1">
      <alignment horizontal="center" readingOrder="0" vertical="center"/>
    </xf>
    <xf borderId="0" fillId="43" fontId="43" numFmtId="49" xfId="0" applyAlignment="1" applyFill="1" applyFont="1" applyNumberFormat="1">
      <alignment horizontal="center" readingOrder="0" vertical="center"/>
    </xf>
    <xf borderId="0" fillId="29" fontId="154"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44" fontId="43" numFmtId="49" xfId="0" applyAlignment="1" applyFill="1" applyFont="1" applyNumberFormat="1">
      <alignment horizontal="center" vertical="center"/>
    </xf>
    <xf borderId="0" fillId="0" fontId="33" numFmtId="49" xfId="0" applyAlignment="1" applyFont="1" applyNumberFormat="1">
      <alignment horizontal="center" readingOrder="0" vertical="center"/>
    </xf>
    <xf borderId="0" fillId="44" fontId="155" numFmtId="49" xfId="0" applyAlignment="1" applyFill="1" applyFont="1" applyNumberFormat="1">
      <alignment horizontal="center" readingOrder="0" vertical="center"/>
    </xf>
    <xf borderId="0" fillId="38" fontId="156" numFmtId="49" xfId="0" applyAlignment="1" applyFill="1" applyFont="1" applyNumberFormat="1">
      <alignment horizontal="center" readingOrder="0" vertical="center"/>
    </xf>
    <xf borderId="0" fillId="38" fontId="157" numFmtId="49" xfId="0" applyAlignment="1" applyFill="1" applyFont="1" applyNumberFormat="1">
      <alignment horizontal="center" readingOrder="0" vertical="center"/>
    </xf>
    <xf borderId="0" fillId="34" fontId="24" numFmtId="49" xfId="0" applyAlignment="1" applyFill="1" applyFont="1" applyNumberFormat="1">
      <alignment readingOrder="0" vertical="center"/>
    </xf>
    <xf borderId="0" fillId="45" fontId="43" numFmtId="49" xfId="0" applyAlignment="1" applyFill="1" applyFont="1" applyNumberFormat="1">
      <alignment horizontal="center" readingOrder="0" vertical="center"/>
    </xf>
    <xf borderId="0" fillId="45" fontId="43" numFmtId="49" xfId="0" applyAlignment="1" applyFill="1" applyFont="1" applyNumberFormat="1">
      <alignment horizontal="center" readingOrder="0" vertical="center"/>
    </xf>
    <xf borderId="0" fillId="38" fontId="158" numFmtId="49" xfId="0" applyAlignment="1" applyFill="1" applyFont="1" applyNumberFormat="1">
      <alignment horizontal="center" readingOrder="0" vertical="center"/>
    </xf>
    <xf borderId="0" fillId="29" fontId="24" numFmtId="49" xfId="0" applyAlignment="1" applyFill="1" applyFont="1" applyNumberFormat="1">
      <alignment readingOrder="0" vertical="center"/>
    </xf>
    <xf borderId="0" fillId="46" fontId="43" numFmtId="49" xfId="0" applyAlignment="1" applyFill="1" applyFont="1" applyNumberFormat="1">
      <alignment horizontal="center" readingOrder="0" vertical="center"/>
    </xf>
    <xf borderId="0" fillId="46" fontId="43" numFmtId="49" xfId="0" applyAlignment="1" applyFill="1" applyFont="1" applyNumberFormat="1">
      <alignment horizontal="center" readingOrder="0" vertical="center"/>
    </xf>
    <xf borderId="0" fillId="38" fontId="159" numFmtId="49" xfId="0" applyAlignment="1" applyFill="1" applyFont="1" applyNumberFormat="1">
      <alignment horizontal="center" readingOrder="0" vertical="center"/>
    </xf>
    <xf borderId="0" fillId="0" fontId="160" numFmtId="49" xfId="0" applyAlignment="1" applyFont="1" applyNumberFormat="1">
      <alignment horizontal="center" readingOrder="0" vertical="center"/>
    </xf>
    <xf borderId="0" fillId="38" fontId="161" numFmtId="49" xfId="0" applyAlignment="1" applyFill="1" applyFont="1" applyNumberFormat="1">
      <alignment horizontal="center" readingOrder="0" vertical="center"/>
    </xf>
    <xf borderId="0" fillId="39" fontId="162" numFmtId="49" xfId="0" applyAlignment="1" applyFill="1" applyFont="1" applyNumberFormat="1">
      <alignment horizontal="center" readingOrder="0" vertical="center"/>
    </xf>
    <xf borderId="0" fillId="39" fontId="163" numFmtId="49" xfId="0" applyAlignment="1" applyFill="1" applyFont="1" applyNumberFormat="1">
      <alignment horizontal="center" readingOrder="0" vertical="center"/>
    </xf>
    <xf borderId="0" fillId="48" fontId="164" numFmtId="49" xfId="0" applyAlignment="1" applyFill="1" applyFont="1" applyNumberFormat="1">
      <alignment horizontal="center" readingOrder="0" vertical="center"/>
    </xf>
    <xf borderId="0" fillId="39" fontId="165" numFmtId="49" xfId="0" applyAlignment="1" applyFill="1" applyFont="1" applyNumberFormat="1">
      <alignment horizontal="center" readingOrder="0" vertical="center"/>
    </xf>
    <xf borderId="0" fillId="2" fontId="166" numFmtId="49" xfId="0" applyAlignment="1" applyFill="1" applyFont="1" applyNumberFormat="1">
      <alignment horizontal="right" readingOrder="0" vertical="center"/>
    </xf>
    <xf borderId="0" fillId="0" fontId="24" numFmtId="49" xfId="0" applyAlignment="1" applyFont="1" applyNumberFormat="1">
      <alignment horizontal="center" readingOrder="0" vertical="center"/>
    </xf>
    <xf borderId="0" fillId="39" fontId="167" numFmtId="49" xfId="0" applyAlignment="1" applyFill="1" applyFont="1" applyNumberFormat="1">
      <alignment horizontal="center" readingOrder="0" vertical="center"/>
    </xf>
    <xf borderId="0" fillId="34" fontId="43" numFmtId="49" xfId="0" applyAlignment="1" applyFill="1" applyFont="1" applyNumberFormat="1">
      <alignment horizontal="center" readingOrder="0" vertical="center"/>
    </xf>
    <xf borderId="0" fillId="39" fontId="168" numFmtId="49" xfId="0" applyAlignment="1" applyFill="1" applyFont="1" applyNumberFormat="1">
      <alignment horizontal="center" readingOrder="0" vertical="center"/>
    </xf>
    <xf borderId="0" fillId="0" fontId="169" numFmtId="49" xfId="0" applyAlignment="1" applyFont="1" applyNumberFormat="1">
      <alignment horizontal="center" readingOrder="0" vertical="center"/>
    </xf>
    <xf borderId="0" fillId="0" fontId="43" numFmtId="49" xfId="0" applyAlignment="1" applyFont="1" applyNumberFormat="1">
      <alignment horizontal="center" readingOrder="0" vertical="center"/>
    </xf>
    <xf borderId="0" fillId="39" fontId="170" numFmtId="49" xfId="0" applyAlignment="1" applyFill="1" applyFont="1" applyNumberFormat="1">
      <alignment horizontal="center" readingOrder="0" vertical="center"/>
    </xf>
    <xf borderId="0" fillId="33" fontId="171" numFmtId="49" xfId="0" applyAlignment="1" applyFill="1" applyFont="1" applyNumberFormat="1">
      <alignment horizontal="center" readingOrder="0" vertical="center"/>
    </xf>
    <xf borderId="0" fillId="39" fontId="172" numFmtId="49" xfId="0" applyAlignment="1" applyFill="1" applyFont="1" applyNumberFormat="1">
      <alignment horizontal="center" readingOrder="0" vertical="center"/>
    </xf>
    <xf borderId="7" fillId="0" fontId="173" numFmtId="0" xfId="0" applyAlignment="1" applyBorder="1" applyFont="1">
      <alignment horizontal="center" readingOrder="0" vertical="center"/>
    </xf>
    <xf borderId="0" fillId="33" fontId="174" numFmtId="49" xfId="0" applyAlignment="1" applyFill="1" applyFont="1" applyNumberFormat="1">
      <alignment horizontal="center" readingOrder="0" vertical="center"/>
    </xf>
    <xf borderId="0" fillId="29" fontId="25" numFmtId="49" xfId="0" applyAlignment="1" applyFill="1" applyFont="1" applyNumberFormat="1">
      <alignment readingOrder="0" vertical="center"/>
    </xf>
    <xf borderId="9" fillId="39" fontId="43" numFmtId="49" xfId="0" applyAlignment="1" applyBorder="1" applyFill="1" applyFont="1" applyNumberFormat="1">
      <alignment horizontal="center" vertical="center"/>
    </xf>
    <xf borderId="0" fillId="44" fontId="175" numFmtId="49" xfId="0" applyAlignment="1" applyFill="1" applyFont="1" applyNumberFormat="1">
      <alignment horizontal="center" readingOrder="0" vertical="center"/>
    </xf>
    <xf borderId="0" fillId="25" fontId="176" numFmtId="49" xfId="0" applyAlignment="1" applyFill="1" applyFont="1" applyNumberFormat="1">
      <alignment horizontal="center" vertical="center"/>
    </xf>
    <xf borderId="0" fillId="34" fontId="25" numFmtId="49" xfId="0" applyAlignment="1" applyFill="1" applyFont="1" applyNumberFormat="1">
      <alignment readingOrder="0" vertical="center"/>
    </xf>
    <xf borderId="0" fillId="33" fontId="177" numFmtId="49" xfId="0" applyAlignment="1" applyFill="1" applyFont="1" applyNumberFormat="1">
      <alignment horizontal="center" readingOrder="0" vertical="center"/>
    </xf>
    <xf borderId="0" fillId="57" fontId="22" numFmtId="49" xfId="0" applyAlignment="1" applyFill="1" applyFont="1" applyNumberFormat="1">
      <alignment horizontal="right" vertical="center"/>
    </xf>
    <xf borderId="0" fillId="40" fontId="178" numFmtId="49" xfId="0" applyAlignment="1" applyFill="1" applyFont="1" applyNumberFormat="1">
      <alignment horizontal="center" readingOrder="0" vertical="center"/>
    </xf>
    <xf borderId="0" fillId="40" fontId="179" numFmtId="49" xfId="0" applyAlignment="1" applyFill="1" applyFont="1" applyNumberFormat="1">
      <alignment horizontal="center" readingOrder="0" vertical="center"/>
    </xf>
    <xf borderId="0" fillId="45" fontId="180" numFmtId="49" xfId="0" applyAlignment="1" applyFill="1" applyFont="1" applyNumberFormat="1">
      <alignment horizontal="center" readingOrder="0" vertical="center"/>
    </xf>
    <xf borderId="0" fillId="45" fontId="181" numFmtId="49" xfId="0" applyAlignment="1" applyFill="1" applyFont="1" applyNumberFormat="1">
      <alignment horizontal="center" readingOrder="0" vertical="center"/>
    </xf>
    <xf borderId="0" fillId="40" fontId="182" numFmtId="49" xfId="0" applyAlignment="1" applyFill="1" applyFont="1" applyNumberFormat="1">
      <alignment horizontal="center" readingOrder="0" vertical="center"/>
    </xf>
    <xf borderId="0" fillId="41" fontId="183" numFmtId="49" xfId="0" applyAlignment="1" applyFill="1" applyFont="1" applyNumberFormat="1">
      <alignment horizontal="center" readingOrder="0" vertical="center"/>
    </xf>
    <xf borderId="0" fillId="46" fontId="184"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46" fontId="43" numFmtId="49" xfId="0" applyAlignment="1" applyFill="1" applyFont="1" applyNumberFormat="1">
      <alignment horizontal="center" readingOrder="0" vertical="center"/>
    </xf>
    <xf borderId="0" fillId="41" fontId="185" numFmtId="49" xfId="0" applyAlignment="1" applyFill="1" applyFont="1" applyNumberFormat="1">
      <alignment horizontal="center" readingOrder="0" vertical="center"/>
    </xf>
    <xf borderId="0" fillId="41" fontId="186" numFmtId="49" xfId="0" applyAlignment="1" applyFill="1" applyFont="1" applyNumberFormat="1">
      <alignment horizontal="center" readingOrder="0" vertical="center"/>
    </xf>
    <xf borderId="0" fillId="41" fontId="187" numFmtId="49" xfId="0" applyAlignment="1" applyFill="1" applyFont="1" applyNumberFormat="1">
      <alignment horizontal="center" readingOrder="0" vertical="center"/>
    </xf>
    <xf borderId="0" fillId="41" fontId="188" numFmtId="49" xfId="0" applyAlignment="1" applyFill="1" applyFont="1" applyNumberFormat="1">
      <alignment horizontal="center" readingOrder="0" vertical="center"/>
    </xf>
    <xf borderId="0" fillId="41" fontId="189" numFmtId="49" xfId="0" applyAlignment="1" applyFill="1" applyFont="1" applyNumberFormat="1">
      <alignment horizontal="center" readingOrder="0" vertical="center"/>
    </xf>
    <xf borderId="0" fillId="37" fontId="190" numFmtId="49" xfId="0" applyAlignment="1" applyFill="1" applyFont="1" applyNumberFormat="1">
      <alignment horizontal="center" readingOrder="0" vertical="center"/>
    </xf>
    <xf borderId="0" fillId="37" fontId="191" numFmtId="49" xfId="0" applyAlignment="1" applyFill="1" applyFont="1" applyNumberFormat="1">
      <alignment horizontal="center" readingOrder="0" vertical="center"/>
    </xf>
    <xf borderId="7" fillId="45" fontId="192" numFmtId="49" xfId="0" applyAlignment="1" applyBorder="1" applyFill="1" applyFont="1" applyNumberFormat="1">
      <alignment horizontal="center" vertical="center"/>
    </xf>
    <xf borderId="7" fillId="37" fontId="193" numFmtId="49" xfId="0" applyAlignment="1" applyBorder="1" applyFill="1" applyFont="1" applyNumberFormat="1">
      <alignment horizontal="center" readingOrder="0" vertical="center"/>
    </xf>
    <xf borderId="0" fillId="58" fontId="33" numFmtId="49" xfId="0" applyAlignment="1" applyFill="1" applyFont="1" applyNumberFormat="1">
      <alignment horizontal="center" vertical="center"/>
    </xf>
    <xf borderId="0" fillId="37" fontId="194" numFmtId="49" xfId="0" applyAlignment="1" applyFill="1" applyFont="1" applyNumberFormat="1">
      <alignment horizontal="center" readingOrder="0" vertical="center"/>
    </xf>
    <xf borderId="7" fillId="55" fontId="195" numFmtId="49" xfId="0" applyAlignment="1" applyBorder="1" applyFill="1" applyFont="1" applyNumberFormat="1">
      <alignment horizontal="center" readingOrder="0" vertical="center"/>
    </xf>
    <xf borderId="0" fillId="55" fontId="33" numFmtId="49" xfId="0" applyAlignment="1" applyFill="1" applyFont="1" applyNumberFormat="1">
      <alignment horizontal="center" vertical="center"/>
    </xf>
    <xf borderId="0" fillId="48" fontId="196" numFmtId="49" xfId="0" applyAlignment="1" applyFill="1" applyFont="1" applyNumberFormat="1">
      <alignment horizontal="center" readingOrder="0" vertical="center"/>
    </xf>
    <xf borderId="0" fillId="37" fontId="197" numFmtId="49" xfId="0" applyAlignment="1" applyFill="1" applyFont="1" applyNumberFormat="1">
      <alignment horizontal="center" readingOrder="0" vertical="center"/>
    </xf>
    <xf borderId="7" fillId="59" fontId="198" numFmtId="49" xfId="0" applyAlignment="1" applyBorder="1" applyFill="1" applyFont="1" applyNumberFormat="1">
      <alignment horizontal="center" readingOrder="0" vertical="center"/>
    </xf>
    <xf borderId="0" fillId="48" fontId="199" numFmtId="49" xfId="0" applyAlignment="1" applyFill="1" applyFont="1" applyNumberFormat="1">
      <alignment horizontal="center" readingOrder="0" vertical="center"/>
    </xf>
    <xf borderId="0" fillId="55" fontId="200" numFmtId="49" xfId="0" applyAlignment="1" applyFill="1" applyFont="1" applyNumberFormat="1">
      <alignment horizontal="center" readingOrder="0" vertical="center"/>
    </xf>
    <xf borderId="0" fillId="48" fontId="201" numFmtId="49" xfId="0" applyAlignment="1" applyFill="1" applyFont="1" applyNumberFormat="1">
      <alignment horizontal="center" readingOrder="0" vertical="center"/>
    </xf>
    <xf borderId="0" fillId="59" fontId="202" numFmtId="49" xfId="0" applyAlignment="1" applyFill="1" applyFont="1" applyNumberFormat="1">
      <alignment horizontal="center" readingOrder="0" vertical="center"/>
    </xf>
    <xf borderId="0" fillId="48" fontId="203" numFmtId="49" xfId="0" applyAlignment="1" applyFill="1" applyFont="1" applyNumberFormat="1">
      <alignment horizontal="center" readingOrder="0" vertical="center"/>
    </xf>
    <xf borderId="0" fillId="55" fontId="204" numFmtId="49" xfId="0" applyAlignment="1" applyFill="1" applyFont="1" applyNumberFormat="1">
      <alignment horizontal="center" readingOrder="0" vertical="center"/>
    </xf>
    <xf borderId="0" fillId="55" fontId="33" numFmtId="49" xfId="0" applyAlignment="1" applyFill="1" applyFont="1" applyNumberFormat="1">
      <alignment horizontal="center" readingOrder="0" vertical="center"/>
    </xf>
    <xf borderId="0" fillId="59" fontId="205" numFmtId="49" xfId="0" applyAlignment="1" applyFill="1" applyFont="1" applyNumberFormat="1">
      <alignment horizontal="center" readingOrder="0" vertical="center"/>
    </xf>
    <xf borderId="0" fillId="48" fontId="47" numFmtId="49" xfId="0" applyAlignment="1" applyFill="1" applyFont="1" applyNumberFormat="1">
      <alignment horizontal="center" readingOrder="0" vertical="center"/>
    </xf>
    <xf borderId="0" fillId="59" fontId="206" numFmtId="49" xfId="0" applyAlignment="1" applyFill="1" applyFont="1" applyNumberFormat="1">
      <alignment horizontal="center" readingOrder="0" vertical="center"/>
    </xf>
    <xf borderId="0" fillId="19" fontId="22" numFmtId="49" xfId="0" applyAlignment="1" applyFill="1" applyFont="1" applyNumberFormat="1">
      <alignment horizontal="right" readingOrder="0" vertical="center"/>
    </xf>
    <xf borderId="0" fillId="59" fontId="207" numFmtId="49" xfId="0" applyAlignment="1" applyFill="1" applyFont="1" applyNumberFormat="1">
      <alignment horizontal="center" readingOrder="0" vertical="center"/>
    </xf>
    <xf borderId="7" fillId="59" fontId="208" numFmtId="49" xfId="0" applyAlignment="1" applyBorder="1" applyFill="1" applyFont="1" applyNumberFormat="1">
      <alignment horizontal="center" readingOrder="0" vertical="center"/>
    </xf>
    <xf borderId="0" fillId="59" fontId="209" numFmtId="49" xfId="0" applyAlignment="1" applyFill="1" applyFont="1" applyNumberFormat="1">
      <alignment horizontal="center" readingOrder="0" vertical="center"/>
    </xf>
    <xf borderId="0" fillId="34" fontId="210" numFmtId="49" xfId="0" applyAlignment="1" applyFill="1" applyFont="1" applyNumberFormat="1">
      <alignment horizontal="center" readingOrder="0" vertical="center"/>
    </xf>
    <xf borderId="0" fillId="34" fontId="43" numFmtId="49" xfId="0" applyAlignment="1" applyFill="1" applyFont="1" applyNumberFormat="1">
      <alignment horizontal="center" readingOrder="0" vertical="center"/>
    </xf>
    <xf borderId="0" fillId="43" fontId="43" numFmtId="49" xfId="0" applyAlignment="1" applyFill="1" applyFont="1" applyNumberFormat="1">
      <alignment horizontal="center" vertical="center"/>
    </xf>
    <xf borderId="0" fillId="43" fontId="43" numFmtId="49" xfId="0" applyAlignment="1" applyFill="1" applyFont="1" applyNumberFormat="1">
      <alignment horizontal="center" readingOrder="0" vertical="center"/>
    </xf>
    <xf borderId="0" fillId="34" fontId="24" numFmtId="49" xfId="0" applyAlignment="1" applyFill="1" applyFont="1" applyNumberFormat="1">
      <alignment horizontal="left" readingOrder="0" vertical="center"/>
    </xf>
    <xf borderId="0" fillId="39" fontId="43" numFmtId="49" xfId="0" applyAlignment="1" applyFill="1" applyFont="1" applyNumberFormat="1">
      <alignment horizontal="center" vertical="center"/>
    </xf>
    <xf borderId="0" fillId="25" fontId="25" numFmtId="49" xfId="0" applyAlignment="1" applyFill="1" applyFont="1" applyNumberFormat="1">
      <alignment horizontal="right" readingOrder="0" vertical="center"/>
    </xf>
    <xf borderId="0" fillId="39" fontId="43" numFmtId="49" xfId="0" applyAlignment="1" applyFill="1" applyFont="1" applyNumberFormat="1">
      <alignment horizontal="center" readingOrder="0" vertical="center"/>
    </xf>
    <xf borderId="0" fillId="25" fontId="211" numFmtId="49" xfId="0" applyAlignment="1" applyFill="1" applyFont="1" applyNumberFormat="1">
      <alignment horizontal="center" readingOrder="0" vertical="center"/>
    </xf>
    <xf borderId="0" fillId="0" fontId="47" numFmtId="0" xfId="0" applyFont="1"/>
    <xf borderId="9" fillId="39" fontId="212" numFmtId="49" xfId="0" applyAlignment="1" applyBorder="1" applyFill="1" applyFont="1" applyNumberFormat="1">
      <alignment horizontal="center" readingOrder="0" vertical="center"/>
    </xf>
    <xf borderId="0" fillId="25" fontId="213" numFmtId="49" xfId="0" applyAlignment="1" applyFill="1" applyFont="1" applyNumberFormat="1">
      <alignment horizontal="center" readingOrder="0" vertical="center"/>
    </xf>
    <xf borderId="7" fillId="25" fontId="214" numFmtId="49" xfId="0" applyAlignment="1" applyBorder="1" applyFill="1" applyFont="1" applyNumberFormat="1">
      <alignment horizontal="center" readingOrder="0" vertical="center"/>
    </xf>
    <xf borderId="0" fillId="44" fontId="215" numFmtId="49" xfId="0" applyAlignment="1" applyFill="1" applyFont="1" applyNumberFormat="1">
      <alignment horizontal="center" vertical="center"/>
    </xf>
    <xf borderId="0" fillId="25" fontId="216" numFmtId="49" xfId="0" applyAlignment="1" applyFill="1" applyFont="1" applyNumberFormat="1">
      <alignment horizontal="center" readingOrder="0" vertical="center"/>
    </xf>
    <xf borderId="0" fillId="44" fontId="217"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0" fontId="43" numFmtId="49" xfId="0" applyAlignment="1" applyFont="1" applyNumberFormat="1">
      <alignment horizontal="center" vertical="center"/>
    </xf>
    <xf borderId="0" fillId="45" fontId="43" numFmtId="49" xfId="0" applyAlignment="1" applyFill="1" applyFont="1" applyNumberFormat="1">
      <alignment horizontal="center" vertical="center"/>
    </xf>
    <xf borderId="0" fillId="25" fontId="218" numFmtId="49" xfId="0" applyAlignment="1" applyFill="1" applyFont="1" applyNumberFormat="1">
      <alignment horizontal="center" readingOrder="0" vertical="center"/>
    </xf>
    <xf borderId="0" fillId="25" fontId="219"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46" fontId="43" numFmtId="49" xfId="0" applyAlignment="1" applyFill="1" applyFont="1" applyNumberFormat="1">
      <alignment horizontal="center" readingOrder="0" vertical="center"/>
    </xf>
    <xf borderId="0" fillId="25" fontId="220" numFmtId="49" xfId="0" applyAlignment="1" applyFill="1" applyFont="1" applyNumberFormat="1">
      <alignment horizontal="center" readingOrder="0" vertical="center"/>
    </xf>
    <xf borderId="0" fillId="46" fontId="221" numFmtId="49" xfId="0" applyAlignment="1" applyFill="1" applyFont="1" applyNumberFormat="1">
      <alignment horizontal="center" vertical="center"/>
    </xf>
    <xf borderId="0" fillId="0" fontId="43" numFmtId="49" xfId="0" applyAlignment="1" applyFont="1" applyNumberFormat="1">
      <alignment horizontal="center" vertical="center"/>
    </xf>
    <xf borderId="0" fillId="60" fontId="22" numFmtId="49" xfId="0" applyAlignment="1" applyFill="1" applyFont="1" applyNumberFormat="1">
      <alignment horizontal="right" vertical="center"/>
    </xf>
    <xf borderId="0" fillId="48" fontId="43" numFmtId="49" xfId="0" applyAlignment="1" applyFill="1" applyFont="1" applyNumberFormat="1">
      <alignment horizontal="center" readingOrder="0" vertical="center"/>
    </xf>
    <xf borderId="0" fillId="48" fontId="43" numFmtId="49" xfId="0" applyAlignment="1" applyFill="1" applyFont="1" applyNumberFormat="1">
      <alignment horizontal="center" readingOrder="0" vertical="center"/>
    </xf>
    <xf borderId="0" fillId="0" fontId="43" numFmtId="49" xfId="0" applyAlignment="1" applyFont="1" applyNumberFormat="1">
      <alignment horizontal="center" readingOrder="0" vertical="center"/>
    </xf>
    <xf borderId="0" fillId="2" fontId="24" numFmtId="49" xfId="0" applyAlignment="1" applyFill="1" applyFont="1" applyNumberFormat="1">
      <alignment horizontal="right" readingOrder="0" vertical="center"/>
    </xf>
    <xf borderId="0" fillId="25" fontId="222" numFmtId="49" xfId="0" applyAlignment="1" applyFill="1" applyFont="1" applyNumberFormat="1">
      <alignment horizontal="center" readingOrder="0" vertical="center"/>
    </xf>
    <xf borderId="0" fillId="25" fontId="223" numFmtId="49" xfId="0" applyAlignment="1" applyFill="1" applyFont="1" applyNumberFormat="1">
      <alignment horizontal="center" readingOrder="0" vertical="center"/>
    </xf>
    <xf borderId="0" fillId="43" fontId="224" numFmtId="49" xfId="0" applyAlignment="1" applyFill="1" applyFont="1" applyNumberFormat="1">
      <alignment horizontal="center" readingOrder="0" vertical="center"/>
    </xf>
    <xf borderId="0" fillId="0" fontId="27" numFmtId="49" xfId="0" applyAlignment="1" applyFont="1" applyNumberFormat="1">
      <alignment horizontal="center" readingOrder="0" vertical="center"/>
    </xf>
    <xf borderId="0" fillId="25" fontId="33" numFmtId="49" xfId="0" applyAlignment="1" applyFill="1" applyFont="1" applyNumberFormat="1">
      <alignment horizontal="center" readingOrder="0" vertical="center"/>
    </xf>
    <xf borderId="0" fillId="29" fontId="24" numFmtId="49" xfId="0" applyAlignment="1" applyFill="1" applyFont="1" applyNumberFormat="1">
      <alignment horizontal="left" readingOrder="0" vertical="center"/>
    </xf>
    <xf borderId="0" fillId="0" fontId="225" numFmtId="49" xfId="0" applyAlignment="1" applyFont="1" applyNumberFormat="1">
      <alignment horizontal="center" readingOrder="0" vertical="center"/>
    </xf>
    <xf borderId="0" fillId="0" fontId="226" numFmtId="49" xfId="0" applyAlignment="1" applyFont="1" applyNumberFormat="1">
      <alignment horizontal="center" readingOrder="0" vertical="center"/>
    </xf>
    <xf borderId="0" fillId="25" fontId="43" numFmtId="49" xfId="0" applyAlignment="1" applyFill="1" applyFont="1" applyNumberFormat="1">
      <alignment horizontal="center" vertical="center"/>
    </xf>
    <xf borderId="0" fillId="29" fontId="43" numFmtId="49" xfId="0" applyAlignment="1" applyFill="1" applyFont="1" applyNumberFormat="1">
      <alignment horizontal="left" readingOrder="0" vertical="center"/>
    </xf>
    <xf borderId="0" fillId="0" fontId="22" numFmtId="49" xfId="0" applyAlignment="1" applyFont="1" applyNumberFormat="1">
      <alignment horizontal="right" vertical="center"/>
    </xf>
    <xf borderId="0" fillId="0" fontId="227" numFmtId="49" xfId="0" applyAlignment="1" applyFont="1" applyNumberFormat="1">
      <alignment horizontal="center" readingOrder="0" vertical="center"/>
    </xf>
    <xf borderId="0" fillId="2" fontId="228"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34" fontId="43" numFmtId="49" xfId="0" applyAlignment="1" applyFill="1" applyFont="1" applyNumberFormat="1">
      <alignment horizontal="left" readingOrder="0" vertical="center"/>
    </xf>
    <xf borderId="0" fillId="25" fontId="229"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0" fontId="230" numFmtId="49" xfId="0" applyAlignment="1" applyFont="1" applyNumberFormat="1">
      <alignment horizontal="center" readingOrder="0" vertical="center"/>
    </xf>
    <xf borderId="0" fillId="61" fontId="231" numFmtId="49" xfId="0" applyAlignment="1" applyFill="1" applyFont="1" applyNumberFormat="1">
      <alignment vertical="center"/>
    </xf>
    <xf borderId="0" fillId="61" fontId="47" numFmtId="49" xfId="0" applyAlignment="1" applyFill="1" applyFont="1" applyNumberFormat="1">
      <alignment horizontal="center" vertical="center"/>
    </xf>
    <xf borderId="0" fillId="61" fontId="232" numFmtId="49" xfId="0" applyAlignment="1" applyFill="1" applyFont="1" applyNumberFormat="1">
      <alignment horizontal="center" readingOrder="0" vertical="center"/>
    </xf>
    <xf borderId="0" fillId="61" fontId="47" numFmtId="49" xfId="0" applyAlignment="1" applyFill="1" applyFont="1" applyNumberFormat="1">
      <alignment horizontal="center" readingOrder="0" vertical="center"/>
    </xf>
    <xf borderId="0" fillId="61" fontId="47" numFmtId="49" xfId="0" applyAlignment="1" applyFill="1" applyFont="1" applyNumberFormat="1">
      <alignment horizontal="center" readingOrder="0" vertical="center"/>
    </xf>
    <xf borderId="0" fillId="61" fontId="47" numFmtId="49" xfId="0" applyAlignment="1" applyFill="1" applyFont="1" applyNumberFormat="1">
      <alignment horizontal="center" vertical="center"/>
    </xf>
    <xf borderId="0" fillId="17" fontId="24" numFmtId="49" xfId="0" applyAlignment="1" applyFill="1" applyFont="1" applyNumberFormat="1">
      <alignment readingOrder="0" vertical="center"/>
    </xf>
    <xf borderId="0" fillId="17" fontId="43" numFmtId="49" xfId="0" applyAlignment="1" applyFill="1" applyFont="1" applyNumberFormat="1">
      <alignment readingOrder="0" shrinkToFit="0" vertical="center" wrapText="0"/>
    </xf>
    <xf borderId="0" fillId="0" fontId="233" numFmtId="49" xfId="0" applyAlignment="1" applyFont="1" applyNumberFormat="1">
      <alignment horizontal="center" readingOrder="0" vertical="center"/>
    </xf>
    <xf borderId="0" fillId="4" fontId="23" numFmtId="49" xfId="0" applyAlignment="1" applyFill="1" applyFont="1" applyNumberFormat="1">
      <alignment horizontal="right" readingOrder="0" vertical="center"/>
    </xf>
    <xf borderId="0" fillId="0" fontId="43" numFmtId="49" xfId="0" applyAlignment="1" applyFont="1" applyNumberFormat="1">
      <alignment horizontal="center" vertical="center"/>
    </xf>
    <xf borderId="0" fillId="29" fontId="33" numFmtId="49" xfId="0" applyAlignment="1" applyFill="1" applyFont="1" applyNumberFormat="1">
      <alignment horizontal="center" readingOrder="0" vertical="center"/>
    </xf>
    <xf borderId="0" fillId="38" fontId="234" numFmtId="49" xfId="0" applyAlignment="1" applyFill="1" applyFont="1" applyNumberFormat="1">
      <alignment horizontal="center" readingOrder="0" vertical="center"/>
    </xf>
    <xf borderId="0" fillId="38" fontId="47" numFmtId="49" xfId="0" applyAlignment="1" applyFill="1" applyFont="1" applyNumberFormat="1">
      <alignment horizontal="center" vertical="center"/>
    </xf>
    <xf borderId="0" fillId="43" fontId="24" numFmtId="49" xfId="0" applyAlignment="1" applyFill="1" applyFont="1" applyNumberFormat="1">
      <alignment vertical="center"/>
    </xf>
    <xf borderId="0" fillId="43" fontId="43" numFmtId="49" xfId="0" applyAlignment="1" applyFill="1" applyFont="1" applyNumberFormat="1">
      <alignment readingOrder="0" shrinkToFit="0" vertical="center" wrapText="0"/>
    </xf>
    <xf borderId="0" fillId="38" fontId="47" numFmtId="49" xfId="0" applyAlignment="1" applyFill="1" applyFont="1" applyNumberFormat="1">
      <alignment horizontal="center" vertical="center"/>
    </xf>
    <xf borderId="0" fillId="34" fontId="43" numFmtId="49" xfId="0" applyAlignment="1" applyFill="1" applyFont="1" applyNumberFormat="1">
      <alignment horizontal="center" readingOrder="0" vertical="center"/>
    </xf>
    <xf borderId="0" fillId="38" fontId="24" numFmtId="49" xfId="0" applyAlignment="1" applyFill="1" applyFont="1" applyNumberFormat="1">
      <alignment vertical="center"/>
    </xf>
    <xf borderId="0" fillId="38" fontId="43" numFmtId="49" xfId="0" applyAlignment="1" applyFill="1" applyFont="1" applyNumberFormat="1">
      <alignment readingOrder="0" shrinkToFit="0" vertical="center" wrapText="0"/>
    </xf>
    <xf borderId="0" fillId="0" fontId="235" numFmtId="49" xfId="0" applyAlignment="1" applyFont="1" applyNumberFormat="1">
      <alignment horizontal="center" readingOrder="0" vertical="center"/>
    </xf>
    <xf borderId="0" fillId="0" fontId="236" numFmtId="49" xfId="0" applyAlignment="1" applyFont="1" applyNumberFormat="1">
      <alignment horizontal="center" readingOrder="0" vertical="center"/>
    </xf>
    <xf borderId="0" fillId="34" fontId="43" numFmtId="49" xfId="0" applyAlignment="1" applyFill="1" applyFont="1" applyNumberFormat="1">
      <alignment horizontal="center" vertical="center"/>
    </xf>
    <xf borderId="0" fillId="17" fontId="22" numFmtId="49" xfId="0" applyAlignment="1" applyFill="1" applyFont="1" applyNumberFormat="1">
      <alignment horizontal="right" readingOrder="0" textRotation="0" vertical="center"/>
    </xf>
    <xf borderId="0" fillId="2" fontId="43" numFmtId="49" xfId="0" applyAlignment="1" applyFill="1" applyFont="1" applyNumberFormat="1">
      <alignment horizontal="center" readingOrder="0" vertical="center"/>
    </xf>
    <xf borderId="0" fillId="38" fontId="43" numFmtId="49" xfId="0" applyAlignment="1" applyFill="1" applyFont="1" applyNumberFormat="1">
      <alignment readingOrder="0" vertical="center"/>
    </xf>
    <xf borderId="0" fillId="0" fontId="43" numFmtId="49" xfId="0" applyAlignment="1" applyFont="1" applyNumberFormat="1">
      <alignment horizontal="center" readingOrder="0" vertical="center"/>
    </xf>
    <xf borderId="0" fillId="44" fontId="43" numFmtId="49" xfId="0" applyAlignment="1" applyFill="1" applyFont="1" applyNumberFormat="1">
      <alignment horizontal="center" readingOrder="0" vertical="center"/>
    </xf>
    <xf borderId="0" fillId="32" fontId="24" numFmtId="49" xfId="0" applyAlignment="1" applyFill="1" applyFont="1" applyNumberFormat="1">
      <alignment readingOrder="0" vertical="center"/>
    </xf>
    <xf borderId="0" fillId="32" fontId="43" numFmtId="49" xfId="0" applyAlignment="1" applyFill="1" applyFont="1" applyNumberFormat="1">
      <alignment readingOrder="0" shrinkToFit="0" vertical="center" wrapText="0"/>
    </xf>
    <xf borderId="0" fillId="44" fontId="237"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44" fontId="43" numFmtId="49" xfId="0" applyAlignment="1" applyFill="1" applyFont="1" applyNumberFormat="1">
      <alignment horizontal="center" readingOrder="0" vertical="center"/>
    </xf>
    <xf borderId="0" fillId="25" fontId="47" numFmtId="49" xfId="0" applyAlignment="1" applyFill="1" applyFont="1" applyNumberFormat="1">
      <alignment horizontal="center" readingOrder="0" vertical="center"/>
    </xf>
    <xf borderId="0" fillId="46" fontId="238" numFmtId="49" xfId="0" applyAlignment="1" applyFill="1" applyFont="1" applyNumberFormat="1">
      <alignment horizontal="center" readingOrder="0" vertical="center"/>
    </xf>
    <xf borderId="0" fillId="39" fontId="33" numFmtId="49" xfId="0" applyAlignment="1" applyFill="1" applyFont="1" applyNumberFormat="1">
      <alignment horizontal="center" readingOrder="0" vertical="center"/>
    </xf>
    <xf borderId="0" fillId="46" fontId="43" numFmtId="49" xfId="0" applyAlignment="1" applyFill="1" applyFont="1" applyNumberFormat="1">
      <alignment horizontal="center" readingOrder="0" vertical="center"/>
    </xf>
    <xf borderId="0" fillId="39" fontId="239" numFmtId="49" xfId="0" applyAlignment="1" applyFill="1" applyFont="1" applyNumberFormat="1">
      <alignment horizontal="center" readingOrder="0" vertical="center"/>
    </xf>
    <xf borderId="0" fillId="39" fontId="33" numFmtId="49" xfId="0" applyAlignment="1" applyFill="1" applyFont="1" applyNumberFormat="1">
      <alignment horizontal="center" readingOrder="0" vertical="center"/>
    </xf>
    <xf borderId="0" fillId="47" fontId="43" numFmtId="49" xfId="0" applyAlignment="1" applyFill="1" applyFont="1" applyNumberFormat="1">
      <alignment horizontal="center" readingOrder="0" vertical="center"/>
    </xf>
    <xf borderId="7" fillId="39" fontId="240" numFmtId="49" xfId="0" applyAlignment="1" applyBorder="1" applyFill="1" applyFont="1" applyNumberFormat="1">
      <alignment horizontal="center" readingOrder="0" vertical="center"/>
    </xf>
    <xf borderId="0" fillId="0" fontId="241" numFmtId="49" xfId="0" applyAlignment="1" applyFont="1" applyNumberFormat="1">
      <alignment horizontal="right" readingOrder="0" vertical="center"/>
    </xf>
    <xf borderId="0" fillId="34" fontId="242" numFmtId="49" xfId="0" applyAlignment="1" applyFill="1" applyFont="1" applyNumberFormat="1">
      <alignment horizontal="center" readingOrder="0" vertical="center"/>
    </xf>
    <xf borderId="0" fillId="32" fontId="24" numFmtId="49" xfId="0" applyAlignment="1" applyFill="1" applyFont="1" applyNumberFormat="1">
      <alignment vertical="center"/>
    </xf>
    <xf borderId="0" fillId="32" fontId="43" numFmtId="49" xfId="0" applyAlignment="1" applyFill="1" applyFont="1" applyNumberFormat="1">
      <alignment readingOrder="0" shrinkToFit="0" vertical="center" wrapText="0"/>
    </xf>
    <xf borderId="0" fillId="39" fontId="4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25" fontId="47" numFmtId="49" xfId="0" applyAlignment="1" applyFill="1" applyFont="1" applyNumberFormat="1">
      <alignment horizontal="center" vertical="center"/>
    </xf>
    <xf borderId="9" fillId="39" fontId="43" numFmtId="49" xfId="0" applyAlignment="1" applyBorder="1" applyFill="1" applyFont="1" applyNumberFormat="1">
      <alignment horizontal="center" readingOrder="0" vertical="center"/>
    </xf>
    <xf borderId="0" fillId="46" fontId="4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33" fontId="33" numFmtId="49" xfId="0" applyAlignment="1" applyFill="1" applyFont="1" applyNumberFormat="1">
      <alignment horizontal="center" vertical="center"/>
    </xf>
    <xf borderId="0" fillId="47" fontId="4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47" fontId="243" numFmtId="49" xfId="0" applyAlignment="1" applyFill="1" applyFont="1" applyNumberFormat="1">
      <alignment horizontal="center" readingOrder="0" vertical="center"/>
    </xf>
    <xf borderId="0" fillId="38" fontId="244" numFmtId="49" xfId="0" applyAlignment="1" applyFill="1" applyFont="1" applyNumberFormat="1">
      <alignment horizontal="center" readingOrder="0" vertical="center"/>
    </xf>
    <xf borderId="0" fillId="55" fontId="245" numFmtId="49" xfId="0" applyAlignment="1" applyFill="1" applyFont="1" applyNumberFormat="1">
      <alignment horizontal="center" readingOrder="0" vertical="center"/>
    </xf>
    <xf borderId="0" fillId="17" fontId="22" numFmtId="49" xfId="0" applyAlignment="1" applyFill="1" applyFont="1" applyNumberFormat="1">
      <alignment horizontal="right" vertical="center"/>
    </xf>
    <xf borderId="0" fillId="40" fontId="33"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43" fontId="24" numFmtId="49" xfId="0" applyAlignment="1" applyFill="1" applyFont="1" applyNumberFormat="1">
      <alignment readingOrder="0" vertical="center"/>
    </xf>
    <xf borderId="0" fillId="38" fontId="246" numFmtId="49" xfId="0" applyAlignment="1" applyFill="1" applyFont="1" applyNumberFormat="1">
      <alignment horizontal="center" readingOrder="0" vertical="center"/>
    </xf>
    <xf borderId="0" fillId="38" fontId="247" numFmtId="49" xfId="0" applyAlignment="1" applyFill="1" applyFont="1" applyNumberFormat="1">
      <alignment horizontal="center" vertical="center"/>
    </xf>
    <xf borderId="0" fillId="0" fontId="47" numFmtId="49" xfId="0" applyAlignment="1" applyFont="1" applyNumberFormat="1">
      <alignment horizontal="center" vertical="center"/>
    </xf>
    <xf borderId="0" fillId="0" fontId="143" numFmtId="49" xfId="0" applyAlignment="1" applyFont="1" applyNumberFormat="1">
      <alignment horizontal="center" readingOrder="0" vertical="center"/>
    </xf>
    <xf borderId="0" fillId="40" fontId="248"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38" fontId="24" numFmtId="49" xfId="0" applyAlignment="1" applyFill="1" applyFont="1" applyNumberFormat="1">
      <alignment readingOrder="0" vertical="center"/>
    </xf>
    <xf borderId="0" fillId="0" fontId="33" numFmtId="49" xfId="0" applyAlignment="1" applyFont="1" applyNumberFormat="1">
      <alignment horizontal="center" readingOrder="0" vertical="center"/>
    </xf>
    <xf borderId="0" fillId="0" fontId="47" numFmtId="49" xfId="0" applyAlignment="1" applyFont="1" applyNumberFormat="1">
      <alignment horizontal="center" readingOrder="0" vertical="center"/>
    </xf>
    <xf borderId="0" fillId="41" fontId="33" numFmtId="49" xfId="0" applyAlignment="1" applyFill="1" applyFont="1" applyNumberFormat="1">
      <alignment horizontal="center" readingOrder="0" vertical="center"/>
    </xf>
    <xf borderId="0" fillId="0" fontId="249" numFmtId="49" xfId="0" applyAlignment="1" applyFont="1" applyNumberFormat="1">
      <alignment horizontal="center" vertical="center"/>
    </xf>
    <xf borderId="0" fillId="55" fontId="33" numFmtId="49" xfId="0" applyAlignment="1" applyFill="1" applyFont="1" applyNumberFormat="1">
      <alignment horizontal="center" readingOrder="0" vertical="center"/>
    </xf>
    <xf borderId="0" fillId="26" fontId="22" numFmtId="49" xfId="0" applyAlignment="1" applyFill="1" applyFont="1" applyNumberFormat="1">
      <alignment horizontal="right" readingOrder="0" vertical="center"/>
    </xf>
    <xf borderId="0" fillId="38" fontId="250" numFmtId="49" xfId="0" applyAlignment="1" applyFill="1" applyFont="1" applyNumberFormat="1">
      <alignment horizontal="center" readingOrder="0" vertical="center"/>
    </xf>
    <xf borderId="0" fillId="0" fontId="43" numFmtId="49" xfId="0" applyAlignment="1" applyFont="1" applyNumberFormat="1">
      <alignment horizontal="center" readingOrder="0" vertical="center"/>
    </xf>
    <xf borderId="0" fillId="59" fontId="251"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9" fillId="0" fontId="33" numFmtId="49" xfId="0" applyAlignment="1" applyBorder="1" applyFont="1" applyNumberFormat="1">
      <alignment horizontal="center" readingOrder="0" vertical="center"/>
    </xf>
    <xf borderId="0" fillId="45" fontId="43" numFmtId="49" xfId="0" applyAlignment="1" applyFill="1" applyFont="1" applyNumberFormat="1">
      <alignment horizontal="center" readingOrder="0" vertical="center"/>
    </xf>
    <xf borderId="0" fillId="0" fontId="252" numFmtId="164" xfId="0" applyAlignment="1" applyFont="1" applyNumberFormat="1">
      <alignment horizontal="center" readingOrder="0"/>
    </xf>
    <xf borderId="0" fillId="39" fontId="253" numFmtId="49" xfId="0" applyAlignment="1" applyFill="1" applyFont="1" applyNumberFormat="1">
      <alignment horizontal="center" vertical="center"/>
    </xf>
    <xf borderId="0" fillId="59" fontId="254" numFmtId="49" xfId="0" applyAlignment="1" applyFill="1" applyFont="1" applyNumberFormat="1">
      <alignment horizontal="center" readingOrder="0" vertical="center"/>
    </xf>
    <xf borderId="0" fillId="45" fontId="255" numFmtId="49" xfId="0" applyAlignment="1" applyFill="1" applyFont="1" applyNumberFormat="1">
      <alignment horizontal="center" readingOrder="0" vertical="center"/>
    </xf>
    <xf borderId="0" fillId="45" fontId="33" numFmtId="49" xfId="0" applyAlignment="1" applyFill="1" applyFont="1" applyNumberFormat="1">
      <alignment horizontal="center" vertical="center"/>
    </xf>
    <xf borderId="0" fillId="35" fontId="22" numFmtId="49" xfId="0" applyAlignment="1" applyFill="1" applyFont="1" applyNumberFormat="1">
      <alignment horizontal="right" vertical="center"/>
    </xf>
    <xf borderId="0" fillId="43" fontId="43" numFmtId="49" xfId="0" applyAlignment="1" applyFill="1" applyFont="1" applyNumberFormat="1">
      <alignment horizontal="center" readingOrder="0" vertical="center"/>
    </xf>
    <xf borderId="0" fillId="43" fontId="43" numFmtId="49" xfId="0" applyAlignment="1" applyFill="1" applyFont="1" applyNumberFormat="1">
      <alignment horizontal="center" readingOrder="0" vertical="center"/>
    </xf>
    <xf borderId="0" fillId="25" fontId="256" numFmtId="49" xfId="0" applyAlignment="1" applyFill="1" applyFont="1" applyNumberFormat="1">
      <alignment horizontal="right" readingOrder="0" vertical="center"/>
    </xf>
    <xf borderId="0" fillId="39" fontId="47" numFmtId="49" xfId="0" applyAlignment="1" applyFill="1" applyFont="1" applyNumberFormat="1">
      <alignment horizontal="center" readingOrder="0" vertical="center"/>
    </xf>
    <xf borderId="0" fillId="25" fontId="257" numFmtId="49" xfId="0" applyAlignment="1" applyFill="1" applyFont="1" applyNumberFormat="1">
      <alignment horizontal="center" readingOrder="0"/>
    </xf>
    <xf borderId="9" fillId="39" fontId="258" numFmtId="49" xfId="0" applyAlignment="1" applyBorder="1" applyFill="1" applyFont="1" applyNumberFormat="1">
      <alignment horizontal="center" readingOrder="0" vertical="center"/>
    </xf>
    <xf borderId="7" fillId="25" fontId="259" numFmtId="49" xfId="0" applyAlignment="1" applyBorder="1" applyFill="1" applyFont="1" applyNumberFormat="1">
      <alignment horizontal="center" readingOrder="0"/>
    </xf>
    <xf borderId="7" fillId="25" fontId="260" numFmtId="49" xfId="0" applyAlignment="1" applyBorder="1" applyFill="1" applyFont="1" applyNumberFormat="1">
      <alignment horizontal="center" readingOrder="0" vertical="center"/>
    </xf>
    <xf borderId="7" fillId="25" fontId="261" numFmtId="49" xfId="0" applyAlignment="1" applyBorder="1" applyFill="1" applyFont="1" applyNumberFormat="1">
      <alignment horizontal="center"/>
    </xf>
    <xf borderId="0" fillId="25" fontId="262" numFmtId="49" xfId="0" applyAlignment="1" applyFill="1" applyFont="1" applyNumberFormat="1">
      <alignment horizontal="center" readingOrder="0"/>
    </xf>
    <xf borderId="0" fillId="0" fontId="43" numFmtId="49" xfId="0" applyAlignment="1" applyFont="1" applyNumberFormat="1">
      <alignment horizontal="center" readingOrder="0" vertical="center"/>
    </xf>
    <xf borderId="0" fillId="62" fontId="24" numFmtId="49" xfId="0" applyAlignment="1" applyFill="1" applyFont="1" applyNumberFormat="1">
      <alignment horizontal="right" readingOrder="0" vertical="center"/>
    </xf>
    <xf borderId="0" fillId="25" fontId="24" numFmtId="49" xfId="0" applyAlignment="1" applyFill="1" applyFont="1" applyNumberFormat="1">
      <alignment horizontal="right" readingOrder="0" vertical="center"/>
    </xf>
    <xf borderId="0" fillId="39" fontId="263" numFmtId="49" xfId="0" applyAlignment="1" applyFill="1" applyFont="1" applyNumberFormat="1">
      <alignment horizontal="center" readingOrder="0" vertical="center"/>
    </xf>
    <xf borderId="0" fillId="0" fontId="264" numFmtId="49" xfId="0" applyFont="1" applyNumberFormat="1"/>
    <xf borderId="9" fillId="39" fontId="265" numFmtId="49" xfId="0" applyAlignment="1" applyBorder="1" applyFill="1" applyFont="1" applyNumberFormat="1">
      <alignment horizontal="center" readingOrder="0" vertical="center"/>
    </xf>
    <xf borderId="0" fillId="25" fontId="43" numFmtId="49" xfId="0" applyAlignment="1" applyFill="1" applyFont="1" applyNumberFormat="1">
      <alignment horizontal="center" readingOrder="0"/>
    </xf>
    <xf borderId="0" fillId="25" fontId="266" numFmtId="49" xfId="0" applyAlignment="1" applyFill="1" applyFont="1" applyNumberFormat="1">
      <alignment horizontal="center" readingOrder="0"/>
    </xf>
    <xf borderId="0" fillId="45" fontId="43" numFmtId="49" xfId="0" applyAlignment="1" applyFill="1" applyFont="1" applyNumberFormat="1">
      <alignment horizontal="center" readingOrder="0" vertical="center"/>
    </xf>
    <xf borderId="9" fillId="39" fontId="43" numFmtId="49" xfId="0" applyAlignment="1" applyBorder="1" applyFill="1" applyFont="1" applyNumberFormat="1">
      <alignment horizontal="center" readingOrder="0" vertical="center"/>
    </xf>
    <xf borderId="0" fillId="0" fontId="6" numFmtId="49" xfId="0" applyFont="1" applyNumberFormat="1"/>
    <xf borderId="0" fillId="48" fontId="43" numFmtId="49" xfId="0" applyAlignment="1" applyFill="1" applyFont="1" applyNumberFormat="1">
      <alignment horizontal="center" readingOrder="0" vertical="center"/>
    </xf>
    <xf borderId="0" fillId="25" fontId="267" numFmtId="49" xfId="0" applyAlignment="1" applyFill="1" applyFont="1" applyNumberFormat="1">
      <alignment horizontal="center"/>
    </xf>
    <xf borderId="0" fillId="25" fontId="47" numFmtId="49" xfId="0" applyAlignment="1" applyFill="1" applyFont="1" applyNumberFormat="1">
      <alignment horizontal="center" readingOrder="0" vertical="center"/>
    </xf>
    <xf borderId="0" fillId="43" fontId="43" numFmtId="49" xfId="0" applyAlignment="1" applyFill="1" applyFont="1" applyNumberFormat="1">
      <alignment vertical="center"/>
    </xf>
    <xf borderId="0" fillId="39" fontId="268" numFmtId="49" xfId="0" applyAlignment="1" applyFill="1" applyFont="1" applyNumberFormat="1">
      <alignment horizontal="center" vertical="center"/>
    </xf>
    <xf borderId="0" fillId="44" fontId="269" numFmtId="49" xfId="0" applyAlignment="1" applyFill="1" applyFont="1" applyNumberFormat="1">
      <alignment horizontal="center" vertical="center"/>
    </xf>
    <xf borderId="0" fillId="25" fontId="264" numFmtId="49" xfId="0" applyFill="1" applyFont="1" applyNumberFormat="1"/>
    <xf borderId="0" fillId="47" fontId="270" numFmtId="49" xfId="0" applyAlignment="1" applyFill="1" applyFont="1" applyNumberFormat="1">
      <alignment horizontal="center" vertical="center"/>
    </xf>
    <xf borderId="0" fillId="2" fontId="25" numFmtId="49" xfId="0" applyAlignment="1" applyFill="1" applyFont="1" applyNumberFormat="1">
      <alignment horizontal="right" readingOrder="0" vertical="center"/>
    </xf>
    <xf borderId="0" fillId="25" fontId="6" numFmtId="49" xfId="0" applyFill="1" applyFont="1" applyNumberFormat="1"/>
    <xf borderId="0" fillId="34" fontId="271" numFmtId="49" xfId="0" applyAlignment="1" applyFill="1" applyFont="1" applyNumberFormat="1">
      <alignment horizontal="center" readingOrder="0" vertical="center"/>
    </xf>
    <xf borderId="0" fillId="63" fontId="272" numFmtId="49" xfId="0" applyAlignment="1" applyFill="1" applyFont="1" applyNumberFormat="1">
      <alignment horizontal="right" shrinkToFit="0" textRotation="0" vertical="center" wrapText="0"/>
    </xf>
    <xf borderId="0" fillId="39" fontId="273" numFmtId="49" xfId="0" applyAlignment="1" applyFill="1" applyFont="1" applyNumberFormat="1">
      <alignment horizontal="center" readingOrder="0" vertical="center"/>
    </xf>
    <xf borderId="0" fillId="2" fontId="274" numFmtId="49" xfId="0" applyAlignment="1" applyFill="1" applyFont="1" applyNumberFormat="1">
      <alignment horizontal="center" readingOrder="0" vertical="center"/>
    </xf>
    <xf borderId="0" fillId="38" fontId="47" numFmtId="49" xfId="0" applyAlignment="1" applyFill="1" applyFont="1" applyNumberFormat="1">
      <alignment horizontal="center" readingOrder="0" vertical="center"/>
    </xf>
    <xf borderId="0" fillId="34" fontId="275" numFmtId="49" xfId="0" applyAlignment="1" applyFill="1" applyFont="1" applyNumberFormat="1">
      <alignment horizontal="center" vertical="center"/>
    </xf>
    <xf borderId="0" fillId="34" fontId="276" numFmtId="49" xfId="0" applyAlignment="1" applyFill="1" applyFont="1" applyNumberFormat="1">
      <alignment horizontal="center" vertical="center"/>
    </xf>
    <xf borderId="0" fillId="43" fontId="277" numFmtId="49" xfId="0" applyAlignment="1" applyFill="1" applyFont="1" applyNumberFormat="1">
      <alignment horizontal="center" vertical="center"/>
    </xf>
    <xf borderId="0" fillId="64" fontId="21" numFmtId="49" xfId="0" applyAlignment="1" applyFill="1" applyFont="1" applyNumberFormat="1">
      <alignment horizontal="right" vertical="center"/>
    </xf>
    <xf borderId="0" fillId="2" fontId="278" numFmtId="49" xfId="0" applyAlignment="1" applyFill="1" applyFont="1" applyNumberFormat="1">
      <alignment horizontal="center" readingOrder="0" vertical="center"/>
    </xf>
    <xf borderId="0" fillId="0" fontId="279" numFmtId="49" xfId="0" applyAlignment="1" applyFont="1" applyNumberFormat="1">
      <alignment horizontal="center" readingOrder="0" vertical="center"/>
    </xf>
    <xf borderId="0" fillId="0" fontId="280" numFmtId="49" xfId="0" applyAlignment="1" applyFont="1" applyNumberFormat="1">
      <alignment horizontal="center" readingOrder="0" vertical="center"/>
    </xf>
    <xf borderId="7" fillId="25" fontId="281" numFmtId="49" xfId="0" applyAlignment="1" applyBorder="1" applyFill="1" applyFont="1" applyNumberFormat="1">
      <alignment horizontal="center" readingOrder="0"/>
    </xf>
    <xf borderId="0" fillId="0" fontId="282" numFmtId="49" xfId="0" applyAlignment="1" applyFont="1" applyNumberFormat="1">
      <alignment horizontal="center" vertical="center"/>
    </xf>
    <xf borderId="0" fillId="0" fontId="283" numFmtId="49" xfId="0" applyAlignment="1" applyFont="1" applyNumberFormat="1">
      <alignment horizontal="center" readingOrder="0" vertical="center"/>
    </xf>
    <xf borderId="0" fillId="4" fontId="24" numFmtId="49" xfId="0" applyAlignment="1" applyFill="1" applyFont="1" applyNumberFormat="1">
      <alignment horizontal="right" readingOrder="0" shrinkToFit="0" textRotation="0" vertical="center" wrapText="0"/>
    </xf>
    <xf borderId="0" fillId="55" fontId="284" numFmtId="49" xfId="0" applyAlignment="1" applyFill="1" applyFont="1" applyNumberFormat="1">
      <alignment horizontal="center" vertical="center"/>
    </xf>
    <xf borderId="0" fillId="55" fontId="285" numFmtId="49" xfId="0" applyAlignment="1" applyFill="1" applyFont="1" applyNumberFormat="1">
      <alignment horizontal="center" vertical="center"/>
    </xf>
    <xf borderId="0" fillId="48" fontId="286" numFmtId="49" xfId="0" applyAlignment="1" applyFill="1" applyFont="1" applyNumberFormat="1">
      <alignment horizontal="center" readingOrder="0" vertical="center"/>
    </xf>
    <xf borderId="0" fillId="0" fontId="287" numFmtId="49" xfId="0" applyAlignment="1" applyFont="1" applyNumberFormat="1">
      <alignment horizontal="center" readingOrder="0" vertical="center"/>
    </xf>
    <xf borderId="0" fillId="29" fontId="33" numFmtId="49" xfId="0" applyAlignment="1" applyFill="1" applyFont="1" applyNumberFormat="1">
      <alignment horizontal="center" readingOrder="0" vertical="center"/>
    </xf>
    <xf borderId="0" fillId="0" fontId="288" numFmtId="49" xfId="0" applyAlignment="1" applyFont="1" applyNumberFormat="1">
      <alignment horizontal="center" readingOrder="0" vertical="center"/>
    </xf>
    <xf borderId="0" fillId="25" fontId="289" numFmtId="49" xfId="0" applyAlignment="1" applyFill="1" applyFont="1" applyNumberFormat="1">
      <alignment horizontal="center" vertical="center"/>
    </xf>
    <xf borderId="0" fillId="25" fontId="33" numFmtId="49" xfId="0" applyAlignment="1" applyFill="1" applyFont="1" applyNumberFormat="1">
      <alignment horizontal="center" vertical="center"/>
    </xf>
    <xf borderId="0" fillId="25" fontId="290" numFmtId="49" xfId="0" applyAlignment="1" applyFill="1" applyFont="1" applyNumberFormat="1">
      <alignment horizontal="center" vertical="center"/>
    </xf>
    <xf borderId="0" fillId="0" fontId="291" numFmtId="49" xfId="0" applyAlignment="1" applyFont="1" applyNumberFormat="1">
      <alignment horizontal="center" vertical="center"/>
    </xf>
    <xf borderId="0" fillId="2" fontId="292" numFmtId="49" xfId="0" applyAlignment="1" applyFill="1" applyFont="1" applyNumberFormat="1">
      <alignment horizontal="center" readingOrder="0" vertical="center"/>
    </xf>
    <xf borderId="0" fillId="38" fontId="33" numFmtId="49" xfId="0" applyAlignment="1" applyFill="1" applyFont="1" applyNumberFormat="1">
      <alignment horizontal="center" readingOrder="0" vertical="center"/>
    </xf>
    <xf borderId="0" fillId="0" fontId="33" numFmtId="0" xfId="0" applyAlignment="1" applyFont="1">
      <alignment horizontal="center" readingOrder="0" vertical="center"/>
    </xf>
    <xf borderId="0" fillId="2" fontId="293" numFmtId="49" xfId="0" applyAlignment="1" applyFill="1" applyFont="1" applyNumberFormat="1">
      <alignment horizontal="right" readingOrder="0" vertical="center"/>
    </xf>
    <xf borderId="0" fillId="38" fontId="33" numFmtId="49" xfId="0" applyAlignment="1" applyFill="1" applyFont="1" applyNumberFormat="1">
      <alignment horizontal="center" readingOrder="0" vertical="center"/>
    </xf>
    <xf borderId="0" fillId="25" fontId="22" numFmtId="49" xfId="0" applyAlignment="1" applyFill="1" applyFont="1" applyNumberFormat="1">
      <alignment horizontal="right" readingOrder="0" vertical="center"/>
    </xf>
    <xf borderId="0" fillId="39" fontId="33" numFmtId="49" xfId="0" applyAlignment="1" applyFill="1" applyFont="1" applyNumberFormat="1">
      <alignment horizontal="center" readingOrder="0" vertical="center"/>
    </xf>
    <xf borderId="7" fillId="2" fontId="294" numFmtId="49" xfId="0" applyAlignment="1" applyBorder="1" applyFill="1" applyFont="1" applyNumberFormat="1">
      <alignment horizontal="center" readingOrder="0" vertical="center"/>
    </xf>
    <xf borderId="0" fillId="38" fontId="6" numFmtId="49" xfId="0" applyFill="1" applyFont="1" applyNumberFormat="1"/>
    <xf borderId="0" fillId="38" fontId="43" numFmtId="49" xfId="0" applyAlignment="1" applyFill="1" applyFont="1" applyNumberFormat="1">
      <alignment readingOrder="0" shrinkToFit="0" wrapText="0"/>
    </xf>
    <xf borderId="0" fillId="25" fontId="295" numFmtId="49" xfId="0" applyAlignment="1" applyFill="1" applyFont="1" applyNumberFormat="1">
      <alignment horizontal="center"/>
    </xf>
    <xf borderId="0" fillId="25" fontId="296" numFmtId="49" xfId="0" applyAlignment="1" applyFill="1" applyFont="1" applyNumberFormat="1">
      <alignment horizontal="center"/>
    </xf>
    <xf borderId="0" fillId="25" fontId="43" numFmtId="49" xfId="0" applyAlignment="1" applyFill="1" applyFont="1" applyNumberFormat="1">
      <alignment horizontal="center"/>
    </xf>
    <xf borderId="0" fillId="25" fontId="6" numFmtId="49" xfId="0" applyFill="1" applyFont="1" applyNumberFormat="1"/>
    <xf borderId="0" fillId="0" fontId="22" numFmtId="49" xfId="0" applyAlignment="1" applyFont="1" applyNumberFormat="1">
      <alignment horizontal="right" readingOrder="0" vertical="center"/>
    </xf>
    <xf borderId="0" fillId="47" fontId="297"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32" fontId="24" numFmtId="49" xfId="0" applyAlignment="1" applyFill="1" applyFont="1" applyNumberFormat="1">
      <alignment readingOrder="0" vertical="center"/>
    </xf>
    <xf borderId="7" fillId="33" fontId="298" numFmtId="49" xfId="0" applyAlignment="1" applyBorder="1" applyFill="1" applyFont="1" applyNumberFormat="1">
      <alignment horizontal="center" readingOrder="0" vertical="center"/>
    </xf>
    <xf borderId="0" fillId="26" fontId="22" numFmtId="49" xfId="0" applyAlignment="1" applyFill="1" applyFont="1" applyNumberFormat="1">
      <alignment horizontal="right" vertical="center"/>
    </xf>
    <xf borderId="0" fillId="21" fontId="24" numFmtId="49" xfId="0" applyAlignment="1" applyFill="1" applyFont="1" applyNumberFormat="1">
      <alignment horizontal="right" vertical="center"/>
    </xf>
    <xf borderId="0" fillId="0" fontId="299" numFmtId="49" xfId="0" applyAlignment="1" applyFont="1" applyNumberFormat="1">
      <alignment horizontal="right" readingOrder="0" vertical="center"/>
    </xf>
    <xf borderId="0" fillId="2" fontId="28" numFmtId="49" xfId="0" applyAlignment="1" applyFill="1" applyFont="1" applyNumberFormat="1">
      <alignment horizontal="right" readingOrder="0" vertical="center"/>
    </xf>
    <xf borderId="0" fillId="0" fontId="43" numFmtId="49" xfId="0" applyAlignment="1" applyFont="1" applyNumberFormat="1">
      <alignment horizontal="center" vertical="center"/>
    </xf>
    <xf borderId="0" fillId="37" fontId="3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65" fontId="33" numFmtId="49" xfId="0" applyAlignment="1" applyFill="1" applyFont="1" applyNumberFormat="1">
      <alignment horizontal="center" vertical="center"/>
    </xf>
    <xf borderId="0" fillId="59" fontId="33" numFmtId="49" xfId="0" applyAlignment="1" applyFill="1" applyFont="1" applyNumberFormat="1">
      <alignment horizontal="center" readingOrder="0" vertical="center"/>
    </xf>
    <xf borderId="0" fillId="17" fontId="22" numFmtId="49" xfId="0" applyAlignment="1" applyFill="1" applyFont="1" applyNumberFormat="1">
      <alignment horizontal="right" readingOrder="0" vertical="center"/>
    </xf>
    <xf borderId="0" fillId="59" fontId="300" numFmtId="49" xfId="0" applyAlignment="1" applyFill="1" applyFont="1" applyNumberFormat="1">
      <alignment horizontal="center" readingOrder="0" vertical="center"/>
    </xf>
    <xf borderId="0" fillId="59" fontId="33" numFmtId="49" xfId="0" applyAlignment="1" applyFill="1" applyFont="1" applyNumberFormat="1">
      <alignment horizontal="center" readingOrder="0" vertical="center"/>
    </xf>
    <xf borderId="0" fillId="0" fontId="301" numFmtId="49" xfId="0" applyAlignment="1" applyFont="1" applyNumberFormat="1">
      <alignment horizontal="center" readingOrder="0" vertical="center"/>
    </xf>
    <xf borderId="0" fillId="66" fontId="22" numFmtId="49" xfId="0" applyAlignment="1" applyFill="1" applyFont="1" applyNumberFormat="1">
      <alignment horizontal="right" vertical="center"/>
    </xf>
    <xf borderId="0" fillId="25" fontId="302" numFmtId="49" xfId="0" applyAlignment="1" applyFill="1" applyFont="1" applyNumberFormat="1">
      <alignment horizontal="right" readingOrder="0" vertical="center"/>
    </xf>
    <xf borderId="0" fillId="25" fontId="24" numFmtId="49" xfId="0" applyAlignment="1" applyFill="1" applyFont="1" applyNumberFormat="1">
      <alignment horizontal="center" readingOrder="0" vertical="center"/>
    </xf>
    <xf borderId="0" fillId="25" fontId="29" numFmtId="49" xfId="0" applyAlignment="1" applyFill="1" applyFont="1" applyNumberFormat="1">
      <alignment horizontal="center" readingOrder="0" vertical="center"/>
    </xf>
    <xf borderId="0" fillId="25" fontId="30" numFmtId="49" xfId="0" applyAlignment="1" applyFill="1" applyFont="1" applyNumberFormat="1">
      <alignment horizontal="center" readingOrder="0" vertical="center"/>
    </xf>
    <xf borderId="0" fillId="25" fontId="31" numFmtId="49" xfId="0" applyAlignment="1" applyFill="1" applyFont="1" applyNumberFormat="1">
      <alignment horizontal="center" readingOrder="0" vertical="center"/>
    </xf>
    <xf borderId="0" fillId="25" fontId="32" numFmtId="49" xfId="0" applyAlignment="1" applyFill="1" applyFont="1" applyNumberFormat="1">
      <alignment horizontal="center" readingOrder="0" vertical="center"/>
    </xf>
    <xf borderId="0" fillId="0" fontId="303" numFmtId="49" xfId="0" applyAlignment="1" applyFont="1" applyNumberFormat="1">
      <alignment horizontal="right" readingOrder="0" vertical="center"/>
    </xf>
    <xf borderId="0" fillId="25" fontId="304" numFmtId="49" xfId="0" applyAlignment="1" applyFill="1" applyFont="1" applyNumberFormat="1">
      <alignment horizontal="center" readingOrder="0" vertical="center"/>
    </xf>
    <xf borderId="0" fillId="45" fontId="305" numFmtId="49" xfId="0" applyAlignment="1" applyFill="1" applyFont="1" applyNumberFormat="1">
      <alignment horizontal="center" vertical="center"/>
    </xf>
    <xf borderId="0" fillId="25" fontId="306" numFmtId="49" xfId="0" applyAlignment="1" applyFill="1" applyFont="1" applyNumberFormat="1">
      <alignment horizontal="center" readingOrder="0" vertical="center"/>
    </xf>
    <xf borderId="0" fillId="0" fontId="43" numFmtId="49" xfId="0" applyAlignment="1" applyFont="1" applyNumberFormat="1">
      <alignment horizontal="center" vertical="center"/>
    </xf>
    <xf borderId="0" fillId="25" fontId="307" numFmtId="49" xfId="0" applyAlignment="1" applyFill="1" applyFont="1" applyNumberFormat="1">
      <alignment horizontal="center" readingOrder="0" vertical="center"/>
    </xf>
    <xf borderId="0" fillId="0" fontId="299" numFmtId="49" xfId="0" applyAlignment="1" applyFont="1" applyNumberFormat="1">
      <alignment horizontal="right" vertical="center"/>
    </xf>
    <xf borderId="0" fillId="25" fontId="264" numFmtId="49" xfId="0" applyAlignment="1" applyFill="1" applyFont="1" applyNumberFormat="1">
      <alignment horizontal="center" vertical="center"/>
    </xf>
    <xf borderId="0" fillId="0" fontId="308" numFmtId="49" xfId="0" applyAlignment="1" applyFont="1" applyNumberFormat="1">
      <alignment horizontal="right" readingOrder="0"/>
    </xf>
    <xf borderId="0" fillId="0" fontId="264" numFmtId="49" xfId="0" applyAlignment="1" applyFont="1" applyNumberFormat="1">
      <alignment horizontal="center" vertical="center"/>
    </xf>
    <xf borderId="0" fillId="25" fontId="43" numFmtId="49" xfId="0" applyAlignment="1" applyFill="1" applyFont="1" applyNumberFormat="1">
      <alignment horizontal="center" readingOrder="0" vertical="center"/>
    </xf>
    <xf borderId="0" fillId="0" fontId="309" numFmtId="49" xfId="0" applyAlignment="1" applyFont="1" applyNumberFormat="1">
      <alignment horizontal="center" readingOrder="0" vertical="center"/>
    </xf>
    <xf borderId="0" fillId="0" fontId="6" numFmtId="49" xfId="0" applyAlignment="1" applyFont="1" applyNumberFormat="1">
      <alignment horizontal="center" vertical="center"/>
    </xf>
    <xf borderId="0" fillId="8" fontId="46" numFmtId="49" xfId="0" applyAlignment="1" applyFill="1" applyFont="1" applyNumberFormat="1">
      <alignment vertical="center"/>
    </xf>
    <xf borderId="0" fillId="8" fontId="47" numFmtId="49" xfId="0" applyAlignment="1" applyFill="1" applyFont="1" applyNumberFormat="1">
      <alignment horizontal="center" vertical="center"/>
    </xf>
    <xf borderId="0" fillId="8" fontId="310" numFmtId="49" xfId="0" applyAlignment="1" applyFill="1" applyFont="1" applyNumberFormat="1">
      <alignment horizontal="center" readingOrder="0" vertical="center"/>
    </xf>
    <xf borderId="0" fillId="8" fontId="47" numFmtId="49" xfId="0" applyAlignment="1" applyFill="1" applyFont="1" applyNumberFormat="1">
      <alignment horizontal="center" readingOrder="0" vertical="center"/>
    </xf>
    <xf borderId="0" fillId="8" fontId="47" numFmtId="49" xfId="0" applyAlignment="1" applyFill="1" applyFont="1" applyNumberFormat="1">
      <alignment horizontal="center" readingOrder="0" vertical="center"/>
    </xf>
    <xf borderId="0" fillId="8" fontId="47" numFmtId="49" xfId="0" applyAlignment="1" applyFill="1" applyFont="1" applyNumberFormat="1">
      <alignment horizontal="center" vertical="center"/>
    </xf>
    <xf borderId="0" fillId="2" fontId="43" numFmtId="49" xfId="0" applyAlignment="1" applyFill="1" applyFont="1" applyNumberFormat="1">
      <alignment horizontal="center" vertical="center"/>
    </xf>
    <xf borderId="0" fillId="18" fontId="24" numFmtId="49" xfId="0" applyAlignment="1" applyFill="1" applyFont="1" applyNumberFormat="1">
      <alignment readingOrder="0" vertical="center"/>
    </xf>
    <xf borderId="0" fillId="18" fontId="24" numFmtId="49" xfId="0" applyAlignment="1" applyFill="1" applyFont="1" applyNumberFormat="1">
      <alignment shrinkToFit="0" vertical="center" wrapText="0"/>
    </xf>
    <xf borderId="0" fillId="25" fontId="311" numFmtId="49" xfId="0" applyAlignment="1" applyFill="1" applyFont="1" applyNumberFormat="1">
      <alignment horizontal="center" readingOrder="0" vertical="center"/>
    </xf>
    <xf borderId="0" fillId="25" fontId="312" numFmtId="49" xfId="0" applyAlignment="1" applyFill="1" applyFont="1" applyNumberFormat="1">
      <alignment horizontal="center" readingOrder="0" vertical="center"/>
    </xf>
    <xf borderId="0" fillId="2" fontId="313" numFmtId="49" xfId="0" applyAlignment="1" applyFill="1" applyFont="1" applyNumberFormat="1">
      <alignment horizontal="right" readingOrder="0" vertical="center"/>
    </xf>
    <xf borderId="0" fillId="25" fontId="43" numFmtId="49" xfId="0" applyAlignment="1" applyFill="1" applyFont="1" applyNumberFormat="1">
      <alignment horizontal="center" readingOrder="0" vertical="center"/>
    </xf>
    <xf borderId="0" fillId="39" fontId="47" numFmtId="49" xfId="0" applyAlignment="1" applyFill="1" applyFont="1" applyNumberFormat="1">
      <alignment horizontal="center" vertical="center"/>
    </xf>
    <xf borderId="0" fillId="25" fontId="47" numFmtId="49" xfId="0" applyAlignment="1" applyFill="1" applyFont="1" applyNumberFormat="1">
      <alignment horizontal="center" readingOrder="0" vertical="center"/>
    </xf>
    <xf borderId="0" fillId="39" fontId="47" numFmtId="49" xfId="0" applyAlignment="1" applyFill="1" applyFont="1" applyNumberFormat="1">
      <alignment horizontal="center" vertical="center"/>
    </xf>
    <xf borderId="0" fillId="25" fontId="43" numFmtId="49" xfId="0" applyAlignment="1" applyFill="1" applyFont="1" applyNumberFormat="1">
      <alignment horizontal="center" vertical="center"/>
    </xf>
    <xf borderId="0" fillId="27" fontId="24" numFmtId="49" xfId="0" applyAlignment="1" applyFill="1" applyFont="1" applyNumberFormat="1">
      <alignment readingOrder="0" vertical="center"/>
    </xf>
    <xf borderId="0" fillId="27" fontId="43" numFmtId="49" xfId="0" applyAlignment="1" applyFill="1" applyFont="1" applyNumberFormat="1">
      <alignment readingOrder="0" shrinkToFit="0" vertical="center" wrapText="0"/>
    </xf>
    <xf borderId="0" fillId="0" fontId="314" numFmtId="49" xfId="0" applyAlignment="1" applyFont="1" applyNumberFormat="1">
      <alignment horizontal="center" readingOrder="0" vertical="center"/>
    </xf>
    <xf borderId="0" fillId="25" fontId="43" numFmtId="49" xfId="0" applyAlignment="1" applyFill="1" applyFont="1" applyNumberFormat="1">
      <alignment horizontal="center" vertical="center"/>
    </xf>
    <xf borderId="0" fillId="25" fontId="47" numFmtId="49" xfId="0" applyAlignment="1" applyFill="1" applyFont="1" applyNumberFormat="1">
      <alignment horizontal="center" vertical="center"/>
    </xf>
    <xf borderId="0" fillId="25" fontId="6" numFmtId="49" xfId="0" applyAlignment="1" applyFill="1" applyFont="1" applyNumberFormat="1">
      <alignment horizontal="center" vertical="center"/>
    </xf>
    <xf borderId="0" fillId="25" fontId="299" numFmtId="49" xfId="0" applyAlignment="1" applyFill="1" applyFont="1" applyNumberFormat="1">
      <alignment horizontal="right" readingOrder="0" vertical="center"/>
    </xf>
    <xf borderId="0" fillId="27" fontId="24" numFmtId="49" xfId="0" applyAlignment="1" applyFill="1" applyFont="1" applyNumberFormat="1">
      <alignment shrinkToFit="0" vertical="center" wrapText="0"/>
    </xf>
    <xf borderId="0" fillId="25" fontId="43" numFmtId="49" xfId="0" applyAlignment="1" applyFill="1" applyFont="1" applyNumberFormat="1">
      <alignment horizontal="center" readingOrder="0" vertical="center"/>
    </xf>
    <xf borderId="0" fillId="18" fontId="43" numFmtId="49" xfId="0" applyAlignment="1" applyFill="1" applyFont="1" applyNumberFormat="1">
      <alignment readingOrder="0" shrinkToFit="0" vertical="center" wrapText="0"/>
    </xf>
    <xf borderId="0" fillId="43" fontId="315" numFmtId="49" xfId="0" applyAlignment="1" applyFill="1" applyFont="1" applyNumberFormat="1">
      <alignment horizontal="center" vertical="center"/>
    </xf>
    <xf borderId="7" fillId="43" fontId="316" numFmtId="49" xfId="0" applyAlignment="1" applyBorder="1" applyFill="1" applyFont="1" applyNumberFormat="1">
      <alignment horizontal="center" vertical="center"/>
    </xf>
    <xf borderId="0" fillId="0" fontId="33" numFmtId="49" xfId="0" applyAlignment="1" applyFont="1" applyNumberFormat="1">
      <alignment vertical="center"/>
    </xf>
    <xf borderId="0" fillId="55" fontId="24" numFmtId="49" xfId="0" applyAlignment="1" applyFill="1" applyFont="1" applyNumberFormat="1">
      <alignment readingOrder="0" vertical="center"/>
    </xf>
    <xf borderId="0" fillId="55" fontId="43" numFmtId="49" xfId="0" applyAlignment="1" applyFill="1" applyFont="1" applyNumberFormat="1">
      <alignment readingOrder="0" shrinkToFit="0" vertical="center" wrapText="0"/>
    </xf>
    <xf borderId="0" fillId="15" fontId="33" numFmtId="49" xfId="0" applyAlignment="1" applyFill="1" applyFont="1" applyNumberFormat="1">
      <alignment horizontal="center" vertical="center"/>
    </xf>
    <xf borderId="0" fillId="67" fontId="22" numFmtId="49" xfId="0" applyAlignment="1" applyFill="1" applyFont="1" applyNumberFormat="1">
      <alignment horizontal="right" vertical="center"/>
    </xf>
    <xf borderId="0" fillId="0" fontId="317" numFmtId="49" xfId="0" applyAlignment="1" applyFont="1" applyNumberFormat="1">
      <alignment horizontal="right" readingOrder="0" vertical="center"/>
    </xf>
    <xf borderId="0" fillId="68" fontId="22" numFmtId="49" xfId="0" applyAlignment="1" applyFill="1" applyFont="1" applyNumberFormat="1">
      <alignment horizontal="right" readingOrder="0" vertical="center"/>
    </xf>
    <xf borderId="0" fillId="25" fontId="39" numFmtId="49" xfId="0" applyAlignment="1" applyFill="1" applyFont="1" applyNumberFormat="1">
      <alignment vertical="center"/>
    </xf>
    <xf borderId="0" fillId="27" fontId="43" numFmtId="49" xfId="0" applyAlignment="1" applyFill="1" applyFont="1" applyNumberFormat="1">
      <alignment shrinkToFit="0" vertical="center" wrapText="0"/>
    </xf>
    <xf borderId="0" fillId="18" fontId="43" numFmtId="49" xfId="0" applyAlignment="1" applyFill="1" applyFont="1" applyNumberFormat="1">
      <alignment readingOrder="0" shrinkToFit="0" vertical="center" wrapText="0"/>
    </xf>
    <xf borderId="0" fillId="25" fontId="318" numFmtId="49" xfId="0" applyAlignment="1" applyFill="1" applyFont="1" applyNumberFormat="1">
      <alignment horizontal="center" readingOrder="0" vertical="center"/>
    </xf>
    <xf borderId="7" fillId="25" fontId="319" numFmtId="49" xfId="0" applyAlignment="1" applyBorder="1" applyFill="1" applyFont="1" applyNumberFormat="1">
      <alignment horizontal="center" readingOrder="0" vertical="center"/>
    </xf>
    <xf borderId="0" fillId="0" fontId="33" numFmtId="49" xfId="0" applyAlignment="1" applyFont="1" applyNumberFormat="1">
      <alignment horizontal="center" readingOrder="0" vertical="center"/>
    </xf>
    <xf borderId="0" fillId="0" fontId="39" numFmtId="0" xfId="0" applyAlignment="1" applyFont="1">
      <alignment readingOrder="0"/>
    </xf>
    <xf borderId="0" fillId="55" fontId="24" numFmtId="49" xfId="0" applyAlignment="1" applyFill="1" applyFont="1" applyNumberFormat="1">
      <alignment vertical="center"/>
    </xf>
    <xf borderId="0" fillId="25" fontId="320" numFmtId="49" xfId="0" applyAlignment="1" applyFill="1" applyFont="1" applyNumberFormat="1">
      <alignment horizontal="center" readingOrder="0" shrinkToFit="0" vertical="center" wrapText="0"/>
    </xf>
    <xf borderId="0" fillId="0" fontId="321" numFmtId="49" xfId="0" applyAlignment="1" applyFont="1" applyNumberFormat="1">
      <alignment horizontal="right" readingOrder="0" vertical="center"/>
    </xf>
    <xf borderId="0" fillId="34" fontId="57" numFmtId="49" xfId="0" applyAlignment="1" applyFill="1" applyFont="1" applyNumberFormat="1">
      <alignment horizontal="center" vertical="center"/>
    </xf>
    <xf borderId="0" fillId="39" fontId="322" numFmtId="49" xfId="0" applyAlignment="1" applyFill="1" applyFont="1" applyNumberFormat="1">
      <alignment horizontal="center" readingOrder="0" vertical="center"/>
    </xf>
    <xf borderId="0" fillId="69" fontId="323" numFmtId="49" xfId="0" applyAlignment="1" applyFill="1" applyFont="1" applyNumberFormat="1">
      <alignment horizontal="right" readingOrder="0" vertical="center"/>
    </xf>
    <xf borderId="0" fillId="39" fontId="47" numFmtId="49" xfId="0" applyAlignment="1" applyFill="1" applyFont="1" applyNumberFormat="1">
      <alignment horizontal="center" readingOrder="0" vertical="center"/>
    </xf>
    <xf borderId="0" fillId="39" fontId="324" numFmtId="49" xfId="0" applyAlignment="1" applyFill="1" applyFont="1" applyNumberFormat="1">
      <alignment horizontal="center" readingOrder="0" vertical="center"/>
    </xf>
    <xf borderId="0" fillId="39" fontId="325" numFmtId="49" xfId="0" applyAlignment="1" applyFill="1" applyFont="1" applyNumberFormat="1">
      <alignment horizontal="center" readingOrder="0" vertical="center"/>
    </xf>
    <xf borderId="0" fillId="70" fontId="22" numFmtId="49" xfId="0" applyAlignment="1" applyFill="1" applyFont="1" applyNumberFormat="1">
      <alignment horizontal="right" readingOrder="0" vertical="center"/>
    </xf>
    <xf borderId="0" fillId="25" fontId="24" numFmtId="49" xfId="0" applyAlignment="1" applyFill="1" applyFont="1" applyNumberFormat="1">
      <alignment vertical="center"/>
    </xf>
    <xf borderId="0" fillId="25" fontId="43" numFmtId="49" xfId="0" applyAlignment="1" applyFill="1" applyFont="1" applyNumberFormat="1">
      <alignment readingOrder="0" shrinkToFit="0" vertical="center" wrapText="0"/>
    </xf>
    <xf borderId="0" fillId="29" fontId="33" numFmtId="49"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25" fontId="43" numFmtId="49" xfId="0" applyAlignment="1" applyFill="1" applyFont="1" applyNumberFormat="1">
      <alignment horizontal="center" vertical="center"/>
    </xf>
    <xf borderId="0" fillId="38" fontId="326" numFmtId="49" xfId="0" applyAlignment="1" applyFill="1" applyFont="1" applyNumberFormat="1">
      <alignment horizontal="center" readingOrder="0" vertical="center"/>
    </xf>
    <xf borderId="0" fillId="55" fontId="327" numFmtId="49" xfId="0" applyAlignment="1" applyFill="1" applyFont="1" applyNumberFormat="1">
      <alignment horizontal="center" readingOrder="0" vertical="center"/>
    </xf>
    <xf borderId="0" fillId="27" fontId="22" numFmtId="49" xfId="0" applyAlignment="1" applyFill="1" applyFont="1" applyNumberFormat="1">
      <alignment horizontal="right" vertical="center"/>
    </xf>
    <xf borderId="0" fillId="16" fontId="22" numFmtId="49" xfId="0" applyAlignment="1" applyFill="1" applyFont="1" applyNumberFormat="1">
      <alignment horizontal="right" readingOrder="0" vertical="center"/>
    </xf>
    <xf borderId="7" fillId="0" fontId="23" numFmtId="49" xfId="0" applyAlignment="1" applyBorder="1" applyFont="1" applyNumberFormat="1">
      <alignment horizontal="center" readingOrder="0" vertical="center"/>
    </xf>
    <xf borderId="0" fillId="39" fontId="328" numFmtId="49" xfId="0" applyAlignment="1" applyFill="1" applyFont="1" applyNumberFormat="1">
      <alignment horizontal="center" readingOrder="0" vertical="center"/>
    </xf>
    <xf borderId="0" fillId="71" fontId="22" numFmtId="49" xfId="0" applyAlignment="1" applyFill="1" applyFont="1" applyNumberFormat="1">
      <alignment horizontal="right" readingOrder="0" vertical="center"/>
    </xf>
    <xf borderId="0" fillId="0" fontId="329" numFmtId="49" xfId="0" applyAlignment="1" applyFont="1" applyNumberFormat="1">
      <alignment horizontal="right" readingOrder="0" vertical="center"/>
    </xf>
    <xf borderId="0" fillId="33" fontId="330" numFmtId="49" xfId="0" applyAlignment="1" applyFill="1" applyFont="1" applyNumberFormat="1">
      <alignment horizontal="center" readingOrder="0" vertical="center"/>
    </xf>
    <xf borderId="0" fillId="69" fontId="46" numFmtId="49" xfId="0" applyAlignment="1" applyFill="1" applyFont="1" applyNumberFormat="1">
      <alignment vertical="center"/>
    </xf>
    <xf borderId="0" fillId="69" fontId="47" numFmtId="49" xfId="0" applyAlignment="1" applyFill="1" applyFont="1" applyNumberFormat="1">
      <alignment horizontal="center" vertical="center"/>
    </xf>
    <xf borderId="0" fillId="69" fontId="43" numFmtId="49" xfId="0" applyAlignment="1" applyFill="1" applyFont="1" applyNumberFormat="1">
      <alignment horizontal="center" vertical="center"/>
    </xf>
    <xf borderId="0" fillId="69" fontId="47" numFmtId="49" xfId="0" applyAlignment="1" applyFill="1" applyFont="1" applyNumberFormat="1">
      <alignment horizontal="center" readingOrder="0" vertical="center"/>
    </xf>
    <xf borderId="0" fillId="69" fontId="47" numFmtId="49" xfId="0" applyAlignment="1" applyFill="1" applyFont="1" applyNumberFormat="1">
      <alignment horizontal="center" vertical="center"/>
    </xf>
    <xf borderId="0" fillId="69" fontId="47" numFmtId="49" xfId="0" applyAlignment="1" applyFill="1" applyFont="1" applyNumberFormat="1">
      <alignment horizontal="center" vertical="center"/>
    </xf>
    <xf borderId="0" fillId="19" fontId="24" numFmtId="49" xfId="0" applyAlignment="1" applyFill="1" applyFont="1" applyNumberFormat="1">
      <alignment readingOrder="0" vertical="center"/>
    </xf>
    <xf borderId="0" fillId="19" fontId="24" numFmtId="49" xfId="0" applyAlignment="1" applyFill="1" applyFont="1" applyNumberFormat="1">
      <alignment shrinkToFit="0" vertical="center" wrapText="0"/>
    </xf>
    <xf borderId="0" fillId="40" fontId="331" numFmtId="49" xfId="0" applyAlignment="1" applyFill="1" applyFont="1" applyNumberFormat="1">
      <alignment horizontal="center" readingOrder="0" vertical="center"/>
    </xf>
    <xf borderId="0" fillId="33" fontId="47" numFmtId="49" xfId="0" applyAlignment="1" applyFill="1" applyFont="1" applyNumberFormat="1">
      <alignment horizontal="center" vertical="center"/>
    </xf>
    <xf borderId="0" fillId="33" fontId="47" numFmtId="49" xfId="0" applyAlignment="1" applyFill="1" applyFont="1" applyNumberFormat="1">
      <alignment horizontal="center" vertical="center"/>
    </xf>
    <xf borderId="0" fillId="19" fontId="43" numFmtId="49" xfId="0" applyAlignment="1" applyFill="1" applyFont="1" applyNumberFormat="1">
      <alignment readingOrder="0" shrinkToFit="0" vertical="center" wrapText="0"/>
    </xf>
    <xf borderId="0" fillId="41" fontId="332" numFmtId="49" xfId="0" applyAlignment="1" applyFill="1" applyFont="1" applyNumberFormat="1">
      <alignment horizontal="center" readingOrder="0" vertical="center"/>
    </xf>
    <xf borderId="0" fillId="72" fontId="24" numFmtId="49" xfId="0" applyAlignment="1" applyFill="1" applyFont="1" applyNumberFormat="1">
      <alignment vertical="center"/>
    </xf>
    <xf borderId="0" fillId="72" fontId="43" numFmtId="49" xfId="0" applyAlignment="1" applyFill="1" applyFont="1" applyNumberFormat="1">
      <alignment readingOrder="0" shrinkToFit="0" vertical="center" wrapText="0"/>
    </xf>
    <xf borderId="0" fillId="33" fontId="47" numFmtId="49" xfId="0" applyAlignment="1" applyFill="1" applyFont="1" applyNumberFormat="1">
      <alignment horizontal="center" readingOrder="0" vertical="center"/>
    </xf>
    <xf borderId="0" fillId="2" fontId="333" numFmtId="49" xfId="0" applyAlignment="1" applyFill="1" applyFont="1" applyNumberFormat="1">
      <alignment horizontal="right" readingOrder="0" vertical="center"/>
    </xf>
    <xf borderId="0" fillId="33" fontId="24" numFmtId="49" xfId="0" applyAlignment="1" applyFill="1" applyFont="1" applyNumberFormat="1">
      <alignment vertical="center"/>
    </xf>
    <xf borderId="0" fillId="33" fontId="43" numFmtId="49" xfId="0" applyAlignment="1" applyFill="1" applyFont="1" applyNumberFormat="1">
      <alignment readingOrder="0" shrinkToFit="0" vertical="center" wrapText="0"/>
    </xf>
    <xf borderId="7" fillId="41" fontId="334" numFmtId="49" xfId="0" applyAlignment="1" applyBorder="1" applyFill="1" applyFont="1" applyNumberFormat="1">
      <alignment horizontal="center" readingOrder="0" vertical="center"/>
    </xf>
    <xf borderId="0" fillId="73" fontId="22" numFmtId="49" xfId="0" applyAlignment="1" applyFill="1" applyFont="1" applyNumberFormat="1">
      <alignment horizontal="right" vertical="center"/>
    </xf>
    <xf borderId="0" fillId="41" fontId="335" numFmtId="49" xfId="0" applyAlignment="1" applyFill="1" applyFont="1" applyNumberFormat="1">
      <alignment horizontal="center" readingOrder="0" vertical="center"/>
    </xf>
    <xf borderId="0" fillId="2" fontId="24" numFmtId="49" xfId="0" applyAlignment="1" applyFill="1" applyFont="1" applyNumberFormat="1">
      <alignment horizontal="right" vertical="center"/>
    </xf>
    <xf borderId="0" fillId="37" fontId="336"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73" fontId="24" numFmtId="49" xfId="0" applyAlignment="1" applyFill="1" applyFont="1" applyNumberFormat="1">
      <alignment horizontal="right" vertical="center"/>
    </xf>
    <xf borderId="0" fillId="37" fontId="337" numFmtId="49" xfId="0" applyAlignment="1" applyFill="1" applyFont="1" applyNumberFormat="1">
      <alignment horizontal="center" readingOrder="0" vertical="center"/>
    </xf>
    <xf borderId="0" fillId="28" fontId="24" numFmtId="49" xfId="0" applyAlignment="1" applyFill="1" applyFont="1" applyNumberFormat="1">
      <alignment vertical="center"/>
    </xf>
    <xf borderId="0" fillId="28" fontId="43" numFmtId="49" xfId="0" applyAlignment="1" applyFill="1" applyFont="1" applyNumberFormat="1">
      <alignment shrinkToFit="0" vertical="center" wrapText="0"/>
    </xf>
    <xf borderId="0" fillId="37" fontId="338" numFmtId="49" xfId="0" applyAlignment="1" applyFill="1" applyFont="1" applyNumberFormat="1">
      <alignment horizontal="center" readingOrder="0" vertical="center"/>
    </xf>
    <xf borderId="0" fillId="33" fontId="339" numFmtId="49" xfId="0" applyAlignment="1" applyFill="1" applyFont="1" applyNumberFormat="1">
      <alignment horizontal="center" readingOrder="0" vertical="center"/>
    </xf>
    <xf borderId="0" fillId="25" fontId="47" numFmtId="49" xfId="0" applyAlignment="1" applyFill="1" applyFont="1" applyNumberFormat="1">
      <alignment horizontal="center" vertical="center"/>
    </xf>
    <xf borderId="0" fillId="28" fontId="24" numFmtId="49" xfId="0" applyAlignment="1" applyFill="1" applyFont="1" applyNumberFormat="1">
      <alignment readingOrder="0" vertical="center"/>
    </xf>
    <xf borderId="0" fillId="28" fontId="43" numFmtId="49" xfId="0" applyAlignment="1" applyFill="1" applyFont="1" applyNumberFormat="1">
      <alignment readingOrder="0" shrinkToFit="0" vertical="center" wrapText="0"/>
    </xf>
    <xf borderId="0" fillId="33" fontId="340" numFmtId="49" xfId="0" applyAlignment="1" applyFill="1" applyFont="1" applyNumberFormat="1">
      <alignment horizontal="center" readingOrder="0" vertical="center"/>
    </xf>
    <xf borderId="0" fillId="67" fontId="22" numFmtId="49" xfId="0" applyAlignment="1" applyFill="1" applyFont="1" applyNumberFormat="1">
      <alignment horizontal="right" readingOrder="0" vertical="center"/>
    </xf>
    <xf borderId="0" fillId="74" fontId="22" numFmtId="49" xfId="0" applyAlignment="1" applyFill="1" applyFont="1" applyNumberFormat="1">
      <alignment horizontal="right" vertical="center"/>
    </xf>
    <xf borderId="0" fillId="12" fontId="22" numFmtId="49" xfId="0" applyAlignment="1" applyFill="1" applyFont="1" applyNumberFormat="1">
      <alignment horizontal="right" vertical="center"/>
    </xf>
    <xf borderId="0" fillId="25" fontId="143" numFmtId="49" xfId="0" applyAlignment="1" applyFill="1" applyFont="1" applyNumberFormat="1">
      <alignment horizontal="right" readingOrder="0" vertical="center"/>
    </xf>
    <xf borderId="0" fillId="25" fontId="33" numFmtId="49" xfId="0" applyAlignment="1" applyFill="1" applyFont="1" applyNumberFormat="1">
      <alignment horizontal="center" readingOrder="0" vertical="center"/>
    </xf>
    <xf borderId="0" fillId="25" fontId="341"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33" numFmtId="49" xfId="0" applyAlignment="1" applyFill="1" applyFont="1" applyNumberFormat="1">
      <alignment horizontal="center" vertical="center"/>
    </xf>
    <xf borderId="0" fillId="33" fontId="47" numFmtId="49" xfId="0" applyAlignment="1" applyFill="1" applyFont="1" applyNumberFormat="1">
      <alignment horizontal="center" readingOrder="0" vertical="center"/>
    </xf>
    <xf borderId="0" fillId="4" fontId="342" numFmtId="49" xfId="0" applyAlignment="1" applyFill="1" applyFont="1" applyNumberFormat="1">
      <alignment horizontal="right" readingOrder="0" vertical="center"/>
    </xf>
    <xf borderId="0" fillId="25" fontId="343" numFmtId="49" xfId="0" applyAlignment="1" applyFill="1" applyFont="1" applyNumberFormat="1">
      <alignment horizontal="center" readingOrder="0" vertical="center"/>
    </xf>
    <xf borderId="0" fillId="29" fontId="33" numFmtId="49" xfId="0" applyAlignment="1" applyFill="1" applyFont="1" applyNumberFormat="1">
      <alignment horizontal="center" readingOrder="0" vertical="center"/>
    </xf>
    <xf borderId="7" fillId="29" fontId="344" numFmtId="49" xfId="0" applyAlignment="1" applyBorder="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9" fontId="345" numFmtId="49" xfId="0" applyAlignment="1" applyFill="1" applyFont="1" applyNumberFormat="1">
      <alignment horizontal="center" readingOrder="0" vertical="center"/>
    </xf>
    <xf borderId="0" fillId="29" fontId="33" numFmtId="49" xfId="0" applyAlignment="1" applyFill="1" applyFont="1" applyNumberFormat="1">
      <alignment horizontal="center" vertical="center"/>
    </xf>
    <xf borderId="0" fillId="29" fontId="39" numFmtId="49" xfId="0" applyAlignment="1" applyFill="1" applyFont="1" applyNumberFormat="1">
      <alignment vertical="center"/>
    </xf>
    <xf borderId="0" fillId="25" fontId="346" numFmtId="49" xfId="0" applyAlignment="1" applyFill="1" applyFont="1" applyNumberFormat="1">
      <alignment horizontal="center" vertical="center"/>
    </xf>
    <xf borderId="0" fillId="38" fontId="33" numFmtId="49" xfId="0" applyAlignment="1" applyFill="1" applyFont="1" applyNumberFormat="1">
      <alignment horizontal="center" vertical="center"/>
    </xf>
    <xf borderId="0" fillId="72" fontId="6" numFmtId="49" xfId="0" applyFill="1" applyFont="1" applyNumberFormat="1"/>
    <xf borderId="0" fillId="72" fontId="43" numFmtId="49" xfId="0" applyAlignment="1" applyFill="1" applyFont="1" applyNumberFormat="1">
      <alignment shrinkToFit="0" wrapText="0"/>
    </xf>
    <xf borderId="0" fillId="39" fontId="33" numFmtId="49" xfId="0" applyAlignment="1" applyFill="1" applyFont="1" applyNumberFormat="1">
      <alignment horizontal="center" vertical="center"/>
    </xf>
    <xf borderId="7" fillId="33" fontId="347" numFmtId="49" xfId="0" applyAlignment="1" applyBorder="1" applyFill="1" applyFont="1" applyNumberFormat="1">
      <alignment horizontal="center" readingOrder="0" vertical="center"/>
    </xf>
    <xf borderId="0" fillId="33" fontId="33" numFmtId="49" xfId="0" applyAlignment="1" applyFill="1" applyFont="1" applyNumberFormat="1">
      <alignment horizontal="center" vertical="center"/>
    </xf>
    <xf borderId="0" fillId="40" fontId="348" numFmtId="49" xfId="0" applyAlignment="1" applyFill="1" applyFont="1" applyNumberFormat="1">
      <alignment horizontal="center" readingOrder="0" vertical="center"/>
    </xf>
    <xf borderId="0" fillId="40" fontId="33" numFmtId="49" xfId="0" applyAlignment="1" applyFill="1" applyFont="1" applyNumberFormat="1">
      <alignment horizontal="center" vertical="center"/>
    </xf>
    <xf borderId="0" fillId="40" fontId="39" numFmtId="49" xfId="0" applyAlignment="1" applyFill="1" applyFont="1" applyNumberFormat="1">
      <alignment vertical="center"/>
    </xf>
    <xf borderId="0" fillId="40" fontId="33" numFmtId="49" xfId="0" applyAlignment="1" applyFill="1" applyFont="1" applyNumberFormat="1">
      <alignment horizontal="center" vertical="center"/>
    </xf>
    <xf borderId="0" fillId="19" fontId="43" numFmtId="49" xfId="0" applyAlignment="1" applyFill="1" applyFont="1" applyNumberFormat="1">
      <alignment readingOrder="0" shrinkToFit="0" vertical="center" wrapText="0"/>
    </xf>
    <xf borderId="0" fillId="41" fontId="33" numFmtId="49" xfId="0" applyAlignment="1" applyFill="1" applyFont="1" applyNumberFormat="1">
      <alignment horizontal="center" vertical="center"/>
    </xf>
    <xf borderId="0" fillId="37" fontId="33" numFmtId="49" xfId="0" applyAlignment="1" applyFill="1" applyFont="1" applyNumberFormat="1">
      <alignment horizontal="center" vertical="center"/>
    </xf>
    <xf borderId="0" fillId="37" fontId="39" numFmtId="49" xfId="0" applyAlignment="1" applyFill="1" applyFont="1" applyNumberFormat="1">
      <alignment vertical="center"/>
    </xf>
    <xf borderId="0" fillId="59" fontId="33" numFmtId="49" xfId="0" applyAlignment="1" applyFill="1" applyFont="1" applyNumberFormat="1">
      <alignment horizontal="center" vertical="center"/>
    </xf>
    <xf borderId="0" fillId="59" fontId="39" numFmtId="49" xfId="0" applyAlignment="1" applyFill="1" applyFont="1" applyNumberFormat="1">
      <alignment horizontal="center" vertical="center"/>
    </xf>
    <xf borderId="0" fillId="33" fontId="349" numFmtId="49" xfId="0" applyAlignment="1" applyFill="1" applyFont="1" applyNumberFormat="1">
      <alignment horizontal="center" readingOrder="0" vertical="center"/>
    </xf>
    <xf borderId="0" fillId="25" fontId="350" numFmtId="49" xfId="0" applyAlignment="1" applyFill="1" applyFont="1" applyNumberFormat="1">
      <alignment horizontal="right" readingOrder="0" vertical="center"/>
    </xf>
    <xf borderId="0" fillId="33" fontId="351" numFmtId="49" xfId="0" applyAlignment="1" applyFill="1" applyFont="1" applyNumberFormat="1">
      <alignment horizontal="center" readingOrder="0" vertical="center"/>
    </xf>
    <xf borderId="0" fillId="25" fontId="24" numFmtId="49" xfId="0" applyAlignment="1" applyFill="1" applyFont="1" applyNumberFormat="1">
      <alignment horizontal="center" vertical="center"/>
    </xf>
    <xf borderId="0" fillId="10" fontId="46" numFmtId="49" xfId="0" applyAlignment="1" applyFill="1" applyFont="1" applyNumberFormat="1">
      <alignment vertical="center"/>
    </xf>
    <xf borderId="0" fillId="10" fontId="47" numFmtId="49" xfId="0" applyAlignment="1" applyFill="1" applyFont="1" applyNumberFormat="1">
      <alignment horizontal="center" vertical="center"/>
    </xf>
    <xf borderId="0" fillId="10" fontId="43" numFmtId="49" xfId="0" applyAlignment="1" applyFill="1" applyFont="1" applyNumberFormat="1">
      <alignment horizontal="center" vertical="center"/>
    </xf>
    <xf borderId="0" fillId="10" fontId="47" numFmtId="49" xfId="0" applyAlignment="1" applyFill="1" applyFont="1" applyNumberFormat="1">
      <alignment horizontal="center" readingOrder="0" vertical="center"/>
    </xf>
    <xf borderId="0" fillId="10" fontId="47" numFmtId="49" xfId="0" applyAlignment="1" applyFill="1" applyFont="1" applyNumberFormat="1">
      <alignment horizontal="center" vertical="center"/>
    </xf>
    <xf borderId="0" fillId="10" fontId="47" numFmtId="49" xfId="0" applyAlignment="1" applyFill="1" applyFont="1" applyNumberFormat="1">
      <alignment horizontal="center" vertical="center"/>
    </xf>
    <xf borderId="0" fillId="20" fontId="24" numFmtId="49" xfId="0" applyAlignment="1" applyFill="1" applyFont="1" applyNumberFormat="1">
      <alignment readingOrder="0" vertical="center"/>
    </xf>
    <xf borderId="0" fillId="20" fontId="43" numFmtId="49" xfId="0" applyAlignment="1" applyFill="1" applyFont="1" applyNumberFormat="1">
      <alignment readingOrder="0" shrinkToFit="0" vertical="center" wrapText="0"/>
    </xf>
    <xf borderId="0" fillId="40" fontId="47" numFmtId="49" xfId="0" applyAlignment="1" applyFill="1" applyFont="1" applyNumberFormat="1">
      <alignment horizontal="center" vertical="center"/>
    </xf>
    <xf borderId="0" fillId="40" fontId="352" numFmtId="49" xfId="0" applyAlignment="1" applyFill="1" applyFont="1" applyNumberFormat="1">
      <alignment horizontal="center" readingOrder="0" vertical="center"/>
    </xf>
    <xf borderId="0" fillId="40" fontId="47" numFmtId="49" xfId="0" applyAlignment="1" applyFill="1" applyFont="1" applyNumberFormat="1">
      <alignment horizontal="center" vertical="center"/>
    </xf>
    <xf borderId="0" fillId="45" fontId="24" numFmtId="49" xfId="0" applyAlignment="1" applyFill="1" applyFont="1" applyNumberFormat="1">
      <alignment vertical="center"/>
    </xf>
    <xf borderId="0" fillId="45" fontId="43" numFmtId="49" xfId="0" applyAlignment="1" applyFill="1" applyFont="1" applyNumberFormat="1">
      <alignment readingOrder="0" shrinkToFit="0" vertical="center" wrapText="0"/>
    </xf>
    <xf borderId="0" fillId="25" fontId="33" numFmtId="49" xfId="0" applyAlignment="1" applyFill="1" applyFont="1" applyNumberFormat="1">
      <alignment horizontal="center" readingOrder="0" vertical="center"/>
    </xf>
    <xf borderId="0" fillId="35" fontId="24" numFmtId="49" xfId="0" applyAlignment="1" applyFill="1" applyFont="1" applyNumberFormat="1">
      <alignment readingOrder="0" vertical="center"/>
    </xf>
    <xf borderId="0" fillId="35" fontId="43" numFmtId="49" xfId="0" applyAlignment="1" applyFill="1" applyFont="1" applyNumberFormat="1">
      <alignment readingOrder="0" shrinkToFit="0" vertical="center" wrapText="0"/>
    </xf>
    <xf borderId="0" fillId="40" fontId="353" numFmtId="49" xfId="0" applyAlignment="1" applyFill="1" applyFont="1" applyNumberFormat="1">
      <alignment horizontal="center" readingOrder="0" vertical="center"/>
    </xf>
    <xf borderId="0" fillId="20" fontId="43" numFmtId="49" xfId="0" applyAlignment="1" applyFill="1" applyFont="1" applyNumberFormat="1">
      <alignment readingOrder="0" shrinkToFit="0" vertical="center" wrapText="0"/>
    </xf>
    <xf borderId="0" fillId="0" fontId="43" numFmtId="49" xfId="0" applyAlignment="1" applyFont="1" applyNumberFormat="1">
      <alignment horizontal="center" vertical="center"/>
    </xf>
    <xf borderId="0" fillId="35" fontId="43" numFmtId="49" xfId="0" applyAlignment="1" applyFill="1" applyFont="1" applyNumberFormat="1">
      <alignment readingOrder="0" shrinkToFit="0" vertical="center" wrapText="0"/>
    </xf>
    <xf borderId="0" fillId="29" fontId="354" numFmtId="49" xfId="0" applyAlignment="1" applyFill="1" applyFont="1" applyNumberFormat="1">
      <alignment horizontal="center" readingOrder="0" vertical="center"/>
    </xf>
    <xf borderId="0" fillId="40" fontId="24" numFmtId="49" xfId="0" applyAlignment="1" applyFill="1" applyFont="1" applyNumberFormat="1">
      <alignment vertical="center"/>
    </xf>
    <xf borderId="0" fillId="40" fontId="43" numFmtId="49" xfId="0" applyAlignment="1" applyFill="1" applyFont="1" applyNumberFormat="1">
      <alignment readingOrder="0" shrinkToFit="0" vertical="center" wrapText="0"/>
    </xf>
    <xf borderId="0" fillId="40" fontId="355" numFmtId="49" xfId="0" applyAlignment="1" applyFill="1" applyFont="1" applyNumberFormat="1">
      <alignment horizontal="center" readingOrder="0" vertical="center"/>
    </xf>
    <xf borderId="0" fillId="0" fontId="287" numFmtId="49" xfId="0" applyAlignment="1" applyFont="1" applyNumberFormat="1">
      <alignment horizontal="center" readingOrder="0" vertical="center"/>
    </xf>
    <xf borderId="0" fillId="39" fontId="39" numFmtId="49" xfId="0" applyAlignment="1" applyFill="1" applyFont="1" applyNumberFormat="1">
      <alignment vertical="center"/>
    </xf>
    <xf borderId="0" fillId="40" fontId="47" numFmtId="49" xfId="0" applyAlignment="1" applyFill="1" applyFont="1" applyNumberFormat="1">
      <alignment horizontal="center" readingOrder="0" vertical="center"/>
    </xf>
    <xf borderId="0" fillId="45" fontId="22" numFmtId="49" xfId="0" applyAlignment="1" applyFill="1" applyFont="1" applyNumberFormat="1">
      <alignment vertical="center"/>
    </xf>
    <xf borderId="0" fillId="45" fontId="47" numFmtId="49" xfId="0" applyAlignment="1" applyFill="1" applyFont="1" applyNumberFormat="1">
      <alignment readingOrder="0" shrinkToFit="0" vertical="center" wrapText="0"/>
    </xf>
    <xf borderId="0" fillId="40" fontId="22" numFmtId="49" xfId="0" applyAlignment="1" applyFill="1" applyFont="1" applyNumberFormat="1">
      <alignment vertical="center"/>
    </xf>
    <xf borderId="0" fillId="40" fontId="47" numFmtId="49" xfId="0" applyAlignment="1" applyFill="1" applyFont="1" applyNumberFormat="1">
      <alignment readingOrder="0" shrinkToFit="0" vertical="center" wrapText="0"/>
    </xf>
    <xf borderId="7" fillId="40" fontId="356" numFmtId="49" xfId="0" applyAlignment="1" applyBorder="1" applyFill="1" applyFont="1" applyNumberFormat="1">
      <alignment horizontal="center" readingOrder="0" vertical="center"/>
    </xf>
    <xf borderId="0" fillId="41" fontId="33" numFmtId="49" xfId="0" applyAlignment="1" applyFill="1" applyFont="1" applyNumberFormat="1">
      <alignment horizontal="center" readingOrder="0" vertical="center"/>
    </xf>
    <xf borderId="0" fillId="59" fontId="39" numFmtId="49" xfId="0" applyAlignment="1" applyFill="1" applyFont="1" applyNumberFormat="1">
      <alignment vertical="center"/>
    </xf>
    <xf borderId="0" fillId="25" fontId="357" numFmtId="49" xfId="0" applyAlignment="1" applyFill="1" applyFont="1" applyNumberFormat="1">
      <alignment horizontal="right" readingOrder="0" vertical="center"/>
    </xf>
    <xf borderId="0" fillId="20" fontId="43" numFmtId="49" xfId="0" applyAlignment="1" applyFill="1" applyFont="1" applyNumberFormat="1">
      <alignment horizontal="left" readingOrder="0" shrinkToFit="0" vertical="center" wrapText="0"/>
    </xf>
    <xf borderId="0" fillId="25" fontId="33" numFmtId="49" xfId="0" applyAlignment="1" applyFill="1" applyFont="1" applyNumberFormat="1">
      <alignment horizontal="center" readingOrder="0" vertical="center"/>
    </xf>
    <xf borderId="0" fillId="40" fontId="358" numFmtId="49" xfId="0" applyAlignment="1" applyFill="1" applyFont="1" applyNumberFormat="1">
      <alignment horizontal="center" vertical="center"/>
    </xf>
    <xf borderId="0" fillId="40" fontId="47" numFmtId="49" xfId="0" applyAlignment="1" applyFill="1" applyFont="1" applyNumberFormat="1">
      <alignment horizontal="center" readingOrder="0" vertical="center"/>
    </xf>
    <xf borderId="0" fillId="25" fontId="359" numFmtId="49" xfId="0" applyAlignment="1" applyFill="1" applyFont="1" applyNumberFormat="1">
      <alignment horizontal="center" vertical="center"/>
    </xf>
    <xf borderId="0" fillId="25" fontId="264" numFmtId="49" xfId="0" applyAlignment="1" applyFill="1" applyFont="1" applyNumberFormat="1">
      <alignment vertical="center"/>
    </xf>
    <xf borderId="0" fillId="40" fontId="360" numFmtId="49" xfId="0" applyAlignment="1" applyFill="1" applyFont="1" applyNumberFormat="1">
      <alignment vertical="center"/>
    </xf>
    <xf borderId="0" fillId="40" fontId="43" numFmtId="49" xfId="0" applyAlignment="1" applyFill="1" applyFont="1" applyNumberFormat="1">
      <alignment readingOrder="0" shrinkToFit="0" vertical="center" wrapText="0"/>
    </xf>
    <xf borderId="0" fillId="40" fontId="361" numFmtId="49" xfId="0" applyAlignment="1" applyFill="1" applyFont="1" applyNumberFormat="1">
      <alignment horizontal="center" readingOrder="0" vertical="center"/>
    </xf>
    <xf borderId="0" fillId="4" fontId="362" numFmtId="49" xfId="0" applyAlignment="1" applyFill="1" applyFont="1" applyNumberFormat="1">
      <alignment horizontal="right" readingOrder="0" vertical="center"/>
    </xf>
    <xf borderId="0" fillId="45" fontId="43" numFmtId="49" xfId="0" applyAlignment="1" applyFill="1" applyFont="1" applyNumberFormat="1">
      <alignment readingOrder="0" vertical="center"/>
    </xf>
    <xf borderId="0" fillId="40" fontId="47" numFmtId="49" xfId="0" applyAlignment="1" applyFill="1" applyFont="1" applyNumberFormat="1">
      <alignment horizontal="center" readingOrder="0" vertical="center"/>
    </xf>
    <xf borderId="0" fillId="38" fontId="33" numFmtId="49" xfId="0" applyAlignment="1" applyFill="1" applyFont="1" applyNumberFormat="1">
      <alignment horizontal="center" readingOrder="0" vertical="center"/>
    </xf>
    <xf borderId="0" fillId="0" fontId="43" numFmtId="49" xfId="0" applyAlignment="1" applyFont="1" applyNumberFormat="1">
      <alignment horizontal="center" readingOrder="0" vertical="center"/>
    </xf>
    <xf borderId="0" fillId="11" fontId="363" numFmtId="49" xfId="0" applyAlignment="1" applyFill="1" applyFont="1" applyNumberFormat="1">
      <alignment vertical="center"/>
    </xf>
    <xf borderId="0" fillId="11" fontId="47" numFmtId="49" xfId="0" applyAlignment="1" applyFill="1" applyFont="1" applyNumberFormat="1">
      <alignment horizontal="center" vertical="center"/>
    </xf>
    <xf borderId="0" fillId="11" fontId="43" numFmtId="49" xfId="0" applyAlignment="1" applyFill="1" applyFont="1" applyNumberFormat="1">
      <alignment horizontal="center" vertical="center"/>
    </xf>
    <xf borderId="0" fillId="11" fontId="47" numFmtId="49" xfId="0" applyAlignment="1" applyFill="1" applyFont="1" applyNumberFormat="1">
      <alignment horizontal="center" readingOrder="0" vertical="center"/>
    </xf>
    <xf borderId="0" fillId="11" fontId="47" numFmtId="49" xfId="0" applyAlignment="1" applyFill="1" applyFont="1" applyNumberFormat="1">
      <alignment horizontal="center" vertical="center"/>
    </xf>
    <xf borderId="0" fillId="11" fontId="47" numFmtId="49" xfId="0" applyAlignment="1" applyFill="1" applyFont="1" applyNumberFormat="1">
      <alignment horizontal="center" vertical="center"/>
    </xf>
    <xf borderId="0" fillId="41" fontId="364" numFmtId="49" xfId="0" applyAlignment="1" applyFill="1" applyFont="1" applyNumberFormat="1">
      <alignment horizontal="center" readingOrder="0" vertical="center"/>
    </xf>
    <xf borderId="0" fillId="21" fontId="21" numFmtId="49" xfId="0" applyAlignment="1" applyFill="1" applyFont="1" applyNumberFormat="1">
      <alignment readingOrder="0" vertical="center"/>
    </xf>
    <xf borderId="0" fillId="21" fontId="365" numFmtId="49" xfId="0" applyAlignment="1" applyFill="1" applyFont="1" applyNumberFormat="1">
      <alignment readingOrder="0" shrinkToFit="0" vertical="center" wrapText="0"/>
    </xf>
    <xf borderId="0" fillId="41" fontId="47" numFmtId="49" xfId="0" applyAlignment="1" applyFill="1" applyFont="1" applyNumberFormat="1">
      <alignment horizontal="center" readingOrder="0" vertical="center"/>
    </xf>
    <xf borderId="0" fillId="41" fontId="47" numFmtId="49" xfId="0" applyAlignment="1" applyFill="1" applyFont="1" applyNumberFormat="1">
      <alignment horizontal="center" vertical="center"/>
    </xf>
    <xf borderId="0" fillId="41" fontId="47" numFmtId="49" xfId="0" applyAlignment="1" applyFill="1" applyFont="1" applyNumberFormat="1">
      <alignment horizontal="center" readingOrder="0" vertical="center"/>
    </xf>
    <xf borderId="7" fillId="37" fontId="366" numFmtId="49" xfId="0" applyAlignment="1" applyBorder="1" applyFill="1" applyFont="1" applyNumberFormat="1">
      <alignment horizontal="center" readingOrder="0" vertical="center"/>
    </xf>
    <xf borderId="0" fillId="46" fontId="24" numFmtId="49" xfId="0" applyAlignment="1" applyFill="1" applyFont="1" applyNumberFormat="1">
      <alignment readingOrder="0" vertical="center"/>
    </xf>
    <xf borderId="0" fillId="46" fontId="43" numFmtId="49" xfId="0" applyAlignment="1" applyFill="1" applyFont="1" applyNumberFormat="1">
      <alignment readingOrder="0" shrinkToFit="0" vertical="center" wrapText="0"/>
    </xf>
    <xf borderId="0" fillId="41" fontId="367" numFmtId="49" xfId="0" applyAlignment="1" applyFill="1" applyFont="1" applyNumberFormat="1">
      <alignment horizontal="center" readingOrder="0" vertical="center"/>
    </xf>
    <xf borderId="0" fillId="41" fontId="368" numFmtId="49" xfId="0" applyAlignment="1" applyFill="1" applyFont="1" applyNumberFormat="1">
      <alignment horizontal="center" readingOrder="0" vertical="center"/>
    </xf>
    <xf borderId="0" fillId="41" fontId="47" numFmtId="49" xfId="0" applyAlignment="1" applyFill="1" applyFont="1" applyNumberFormat="1">
      <alignment horizontal="center" vertical="center"/>
    </xf>
    <xf borderId="0" fillId="41" fontId="24" numFmtId="49" xfId="0" applyAlignment="1" applyFill="1" applyFont="1" applyNumberFormat="1">
      <alignment readingOrder="0" vertical="center"/>
    </xf>
    <xf borderId="0" fillId="41" fontId="43" numFmtId="49" xfId="0" applyAlignment="1" applyFill="1" applyFont="1" applyNumberFormat="1">
      <alignment readingOrder="0" shrinkToFit="0" vertical="center" wrapText="0"/>
    </xf>
    <xf borderId="0" fillId="46" fontId="43" numFmtId="49" xfId="0" applyAlignment="1" applyFill="1" applyFont="1" applyNumberFormat="1">
      <alignment readingOrder="0" shrinkToFit="0" vertical="center" wrapText="0"/>
    </xf>
    <xf borderId="0" fillId="30" fontId="24" numFmtId="49" xfId="0" applyAlignment="1" applyFill="1" applyFont="1" applyNumberFormat="1">
      <alignment readingOrder="0" vertical="center"/>
    </xf>
    <xf borderId="0" fillId="30" fontId="43" numFmtId="49" xfId="0" applyAlignment="1" applyFill="1" applyFont="1" applyNumberFormat="1">
      <alignment readingOrder="0" shrinkToFit="0" vertical="center" wrapText="0"/>
    </xf>
    <xf borderId="0" fillId="25" fontId="33" numFmtId="49" xfId="0" applyAlignment="1" applyFill="1" applyFont="1" applyNumberFormat="1">
      <alignment horizontal="center" readingOrder="0" vertical="center"/>
    </xf>
    <xf borderId="0" fillId="0" fontId="27" numFmtId="0" xfId="0" applyAlignment="1" applyFont="1">
      <alignment horizontal="center" vertical="center"/>
    </xf>
    <xf borderId="0" fillId="0" fontId="27" numFmtId="0" xfId="0" applyAlignment="1" applyFont="1">
      <alignment horizontal="center" vertical="center"/>
    </xf>
    <xf borderId="0" fillId="0" fontId="369" numFmtId="0" xfId="0" applyAlignment="1" applyFont="1">
      <alignment horizontal="center" readingOrder="0" vertical="center"/>
    </xf>
    <xf borderId="0" fillId="0" fontId="370" numFmtId="0" xfId="0" applyAlignment="1" applyFont="1">
      <alignment horizontal="center" readingOrder="0" vertical="center"/>
    </xf>
    <xf borderId="0" fillId="0" fontId="27" numFmtId="0" xfId="0" applyAlignment="1" applyFont="1">
      <alignment horizontal="center" readingOrder="0" vertical="center"/>
    </xf>
    <xf borderId="0" fillId="25" fontId="43" numFmtId="49" xfId="0" applyAlignment="1" applyFill="1" applyFont="1" applyNumberFormat="1">
      <alignment horizontal="center" readingOrder="0" vertical="center"/>
    </xf>
    <xf borderId="0" fillId="0" fontId="371" numFmtId="0" xfId="0" applyAlignment="1" applyFont="1">
      <alignment horizontal="center" vertical="center"/>
    </xf>
    <xf borderId="0" fillId="25" fontId="372" numFmtId="49" xfId="0" applyAlignment="1" applyFill="1" applyFont="1" applyNumberFormat="1">
      <alignment horizontal="center" readingOrder="0" vertical="center"/>
    </xf>
    <xf borderId="0" fillId="41" fontId="373" numFmtId="49" xfId="0" applyAlignment="1" applyFill="1" applyFont="1" applyNumberFormat="1">
      <alignment horizontal="center" readingOrder="0" vertical="center"/>
    </xf>
    <xf borderId="0" fillId="30" fontId="24" numFmtId="49" xfId="0" applyAlignment="1" applyFill="1" applyFont="1" applyNumberFormat="1">
      <alignment readingOrder="0" vertical="center"/>
    </xf>
    <xf borderId="0" fillId="30" fontId="43" numFmtId="49" xfId="0" applyAlignment="1" applyFill="1" applyFont="1" applyNumberFormat="1">
      <alignment shrinkToFit="0" vertical="center" wrapText="0"/>
    </xf>
    <xf borderId="0" fillId="46" fontId="24" numFmtId="49" xfId="0" applyAlignment="1" applyFill="1" applyFont="1" applyNumberFormat="1">
      <alignment vertical="center"/>
    </xf>
    <xf borderId="0" fillId="25" fontId="374" numFmtId="49" xfId="0" applyAlignment="1" applyFill="1" applyFont="1" applyNumberFormat="1">
      <alignment horizontal="center" readingOrder="0" vertical="center"/>
    </xf>
    <xf borderId="0" fillId="30" fontId="43" numFmtId="49" xfId="0" applyAlignment="1" applyFill="1" applyFont="1" applyNumberFormat="1">
      <alignment readingOrder="0" shrinkToFit="0" vertical="center" wrapText="0"/>
    </xf>
    <xf borderId="0" fillId="4" fontId="22" numFmtId="49" xfId="0" applyAlignment="1" applyFill="1" applyFont="1" applyNumberFormat="1">
      <alignment horizontal="right" readingOrder="0"/>
    </xf>
    <xf borderId="0" fillId="25" fontId="43" numFmtId="49" xfId="0" applyAlignment="1" applyFill="1" applyFont="1" applyNumberFormat="1">
      <alignment horizontal="center" readingOrder="0" vertical="center"/>
    </xf>
    <xf borderId="0" fillId="41" fontId="24" numFmtId="49" xfId="0" applyAlignment="1" applyFill="1" applyFont="1" applyNumberFormat="1">
      <alignment vertical="center"/>
    </xf>
    <xf borderId="0" fillId="29" fontId="33" numFmtId="49" xfId="0" applyAlignment="1" applyFill="1" applyFont="1" applyNumberFormat="1">
      <alignment horizontal="center" readingOrder="0" vertical="center"/>
    </xf>
    <xf borderId="0" fillId="29" fontId="33" numFmtId="49" xfId="0" applyAlignment="1" applyFill="1" applyFont="1" applyNumberFormat="1">
      <alignment vertical="center"/>
    </xf>
    <xf borderId="0" fillId="39" fontId="375" numFmtId="49" xfId="0" applyAlignment="1" applyFill="1" applyFont="1" applyNumberFormat="1">
      <alignment horizontal="center" readingOrder="0" vertical="center"/>
    </xf>
    <xf borderId="0" fillId="39" fontId="33" numFmtId="49" xfId="0" applyAlignment="1" applyFill="1" applyFont="1" applyNumberFormat="1">
      <alignment horizontal="center" readingOrder="0" vertical="center"/>
    </xf>
    <xf borderId="0" fillId="39" fontId="33" numFmtId="49" xfId="0" applyAlignment="1" applyFill="1" applyFont="1" applyNumberFormat="1">
      <alignment horizontal="center" readingOrder="0" vertical="center"/>
    </xf>
    <xf borderId="0" fillId="25" fontId="287"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40" fontId="376" numFmtId="49" xfId="0" applyAlignment="1" applyFill="1" applyFont="1" applyNumberFormat="1">
      <alignment horizontal="center" readingOrder="0" vertical="center"/>
    </xf>
    <xf borderId="0" fillId="41"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59" fontId="33" numFmtId="49" xfId="0" applyAlignment="1" applyFill="1" applyFont="1" applyNumberFormat="1">
      <alignment horizontal="center" readingOrder="0" vertical="center"/>
    </xf>
    <xf borderId="0" fillId="59" fontId="33" numFmtId="49" xfId="0" applyAlignment="1" applyFill="1" applyFont="1" applyNumberFormat="1">
      <alignment horizontal="center" readingOrder="0" vertical="center"/>
    </xf>
    <xf borderId="0" fillId="25" fontId="377" numFmtId="49" xfId="0" applyAlignment="1" applyFill="1" applyFont="1" applyNumberFormat="1">
      <alignment horizontal="right" readingOrder="0" vertical="center"/>
    </xf>
    <xf borderId="0" fillId="25" fontId="47"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41" fontId="378" numFmtId="49" xfId="0" applyAlignment="1" applyFill="1" applyFont="1" applyNumberFormat="1">
      <alignment horizontal="center" readingOrder="0" vertical="center"/>
    </xf>
    <xf borderId="0" fillId="30" fontId="43" numFmtId="49" xfId="0" applyAlignment="1" applyFill="1" applyFont="1" applyNumberFormat="1">
      <alignment shrinkToFit="0" vertical="center" wrapText="0"/>
    </xf>
    <xf borderId="0" fillId="46" fontId="43" numFmtId="49" xfId="0" applyAlignment="1" applyFill="1" applyFont="1" applyNumberFormat="1">
      <alignment horizontal="center" vertical="center"/>
    </xf>
    <xf borderId="0" fillId="25" fontId="24" numFmtId="49" xfId="0" applyAlignment="1" applyFill="1" applyFont="1" applyNumberFormat="1">
      <alignment horizontal="center"/>
    </xf>
    <xf borderId="0" fillId="25" fontId="29" numFmtId="49" xfId="0" applyAlignment="1" applyFill="1" applyFont="1" applyNumberFormat="1">
      <alignment horizontal="center"/>
    </xf>
    <xf borderId="0" fillId="25" fontId="30" numFmtId="49" xfId="0" applyAlignment="1" applyFill="1" applyFont="1" applyNumberFormat="1">
      <alignment horizontal="center"/>
    </xf>
    <xf borderId="0" fillId="25" fontId="31" numFmtId="49" xfId="0" applyAlignment="1" applyFill="1" applyFont="1" applyNumberFormat="1">
      <alignment horizontal="center"/>
    </xf>
    <xf borderId="0" fillId="25" fontId="32" numFmtId="49" xfId="0" applyAlignment="1" applyFill="1" applyFont="1" applyNumberFormat="1">
      <alignment horizontal="center"/>
    </xf>
    <xf borderId="0" fillId="25" fontId="287" numFmtId="49" xfId="0" applyAlignment="1" applyFill="1" applyFont="1" applyNumberFormat="1">
      <alignment horizontal="center" readingOrder="0" vertical="center"/>
    </xf>
    <xf borderId="0" fillId="12" fontId="363" numFmtId="49" xfId="0" applyAlignment="1" applyFill="1" applyFont="1" applyNumberFormat="1">
      <alignment vertical="center"/>
    </xf>
    <xf borderId="0" fillId="12" fontId="47" numFmtId="49" xfId="0" applyAlignment="1" applyFill="1" applyFont="1" applyNumberFormat="1">
      <alignment horizontal="center" vertical="center"/>
    </xf>
    <xf borderId="0" fillId="12" fontId="43" numFmtId="49" xfId="0" applyAlignment="1" applyFill="1" applyFont="1" applyNumberFormat="1">
      <alignment horizontal="center" vertical="center"/>
    </xf>
    <xf borderId="0" fillId="12" fontId="47" numFmtId="49" xfId="0" applyAlignment="1" applyFill="1" applyFont="1" applyNumberFormat="1">
      <alignment horizontal="center" readingOrder="0" vertical="center"/>
    </xf>
    <xf borderId="0" fillId="12" fontId="47" numFmtId="49" xfId="0" applyAlignment="1" applyFill="1" applyFont="1" applyNumberFormat="1">
      <alignment horizontal="center" vertical="center"/>
    </xf>
    <xf borderId="0" fillId="12" fontId="47" numFmtId="49" xfId="0" applyAlignment="1" applyFill="1" applyFont="1" applyNumberFormat="1">
      <alignment horizontal="center" vertical="center"/>
    </xf>
    <xf borderId="0" fillId="22" fontId="24" numFmtId="49" xfId="0" applyAlignment="1" applyFill="1" applyFont="1" applyNumberFormat="1">
      <alignment readingOrder="0" vertical="center"/>
    </xf>
    <xf borderId="0" fillId="22" fontId="43" numFmtId="49" xfId="0" applyAlignment="1" applyFill="1" applyFont="1" applyNumberFormat="1">
      <alignment readingOrder="0" shrinkToFit="0" vertical="center" wrapText="0"/>
    </xf>
    <xf borderId="0" fillId="37" fontId="379" numFmtId="49" xfId="0" applyAlignment="1" applyFill="1" applyFont="1" applyNumberFormat="1">
      <alignment horizontal="center" readingOrder="0" vertical="center"/>
    </xf>
    <xf borderId="0" fillId="37" fontId="47" numFmtId="49" xfId="0" applyAlignment="1" applyFill="1" applyFont="1" applyNumberFormat="1">
      <alignment horizontal="center" vertical="center"/>
    </xf>
    <xf borderId="0" fillId="47" fontId="24" numFmtId="49" xfId="0" applyAlignment="1" applyFill="1" applyFont="1" applyNumberFormat="1">
      <alignment vertical="center"/>
    </xf>
    <xf borderId="0" fillId="47" fontId="43" numFmtId="49" xfId="0" applyAlignment="1" applyFill="1" applyFont="1" applyNumberFormat="1">
      <alignment readingOrder="0" shrinkToFit="0" vertical="center" wrapText="0"/>
    </xf>
    <xf borderId="0" fillId="4" fontId="380" numFmtId="49" xfId="0" applyAlignment="1" applyFill="1" applyFont="1" applyNumberFormat="1">
      <alignment horizontal="right" readingOrder="0" vertical="center"/>
    </xf>
    <xf borderId="0" fillId="75" fontId="24" numFmtId="49" xfId="0" applyAlignment="1" applyFill="1" applyFont="1" applyNumberFormat="1">
      <alignment vertical="center"/>
    </xf>
    <xf borderId="0" fillId="75" fontId="43" numFmtId="49" xfId="0" applyAlignment="1" applyFill="1" applyFont="1" applyNumberFormat="1">
      <alignment readingOrder="0" shrinkToFit="0" vertical="center" wrapText="0"/>
    </xf>
    <xf borderId="0" fillId="29" fontId="33" numFmtId="49" xfId="0" applyAlignment="1" applyFill="1" applyFont="1" applyNumberFormat="1">
      <alignment horizontal="center" readingOrder="0" vertical="center"/>
    </xf>
    <xf borderId="0" fillId="29" fontId="381" numFmtId="49" xfId="0" applyAlignment="1" applyFill="1" applyFont="1" applyNumberFormat="1">
      <alignment horizontal="center" readingOrder="0" textRotation="0" vertical="center"/>
    </xf>
    <xf borderId="0" fillId="37" fontId="47" numFmtId="49" xfId="0" applyAlignment="1" applyFill="1" applyFont="1" applyNumberFormat="1">
      <alignment horizontal="center" vertical="center"/>
    </xf>
    <xf borderId="0" fillId="38" fontId="382" numFmtId="49" xfId="0" applyAlignment="1" applyFill="1" applyFont="1" applyNumberFormat="1">
      <alignment horizontal="center" readingOrder="0" vertical="center"/>
    </xf>
    <xf borderId="0" fillId="38" fontId="33" numFmtId="49" xfId="0" applyAlignment="1" applyFill="1" applyFont="1" applyNumberFormat="1">
      <alignment horizontal="center" readingOrder="0" vertical="center"/>
    </xf>
    <xf borderId="0" fillId="37" fontId="38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41"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37" fontId="43" numFmtId="49" xfId="0" applyAlignment="1" applyFill="1" applyFont="1" applyNumberFormat="1">
      <alignment horizontal="center" readingOrder="0" vertical="center"/>
    </xf>
    <xf borderId="0" fillId="25" fontId="384" numFmtId="49" xfId="0" applyAlignment="1" applyFill="1" applyFont="1" applyNumberFormat="1">
      <alignment horizontal="right" readingOrder="0" vertical="center"/>
    </xf>
    <xf borderId="0" fillId="25" fontId="385" numFmtId="49" xfId="0" applyAlignment="1" applyFill="1" applyFont="1" applyNumberFormat="1">
      <alignment horizontal="center" readingOrder="0" vertical="center"/>
    </xf>
    <xf borderId="0" fillId="25" fontId="43" numFmtId="49" xfId="0" applyAlignment="1" applyFill="1" applyFont="1" applyNumberFormat="1">
      <alignment horizontal="center" vertical="center"/>
    </xf>
    <xf borderId="0" fillId="15" fontId="43" numFmtId="49" xfId="0" applyAlignment="1" applyFill="1" applyFont="1" applyNumberFormat="1">
      <alignment horizontal="center" vertical="center"/>
    </xf>
    <xf borderId="0" fillId="25" fontId="386" numFmtId="49" xfId="0" applyAlignment="1" applyFill="1" applyFont="1" applyNumberFormat="1">
      <alignment horizontal="center" vertical="center"/>
    </xf>
    <xf borderId="0" fillId="0" fontId="387" numFmtId="49" xfId="0" applyAlignment="1" applyFont="1" applyNumberFormat="1">
      <alignment horizontal="center" readingOrder="0"/>
    </xf>
    <xf borderId="0" fillId="15" fontId="47" numFmtId="49" xfId="0" applyAlignment="1" applyFill="1" applyFont="1" applyNumberFormat="1">
      <alignment horizontal="center" vertical="center"/>
    </xf>
    <xf borderId="0" fillId="25" fontId="388" numFmtId="49" xfId="0" applyAlignment="1" applyFill="1" applyFont="1" applyNumberFormat="1">
      <alignment horizontal="center" readingOrder="0" vertical="center"/>
    </xf>
    <xf borderId="0" fillId="25" fontId="47" numFmtId="49" xfId="0" applyAlignment="1" applyFill="1" applyFont="1" applyNumberFormat="1">
      <alignment horizontal="center" vertical="center"/>
    </xf>
    <xf borderId="0" fillId="22" fontId="24" numFmtId="49" xfId="0" applyAlignment="1" applyFill="1" applyFont="1" applyNumberFormat="1">
      <alignment vertical="center"/>
    </xf>
    <xf borderId="0" fillId="22" fontId="43" numFmtId="49" xfId="0" applyAlignment="1" applyFill="1" applyFont="1" applyNumberFormat="1">
      <alignment vertical="center"/>
    </xf>
    <xf borderId="0" fillId="0" fontId="389" numFmtId="49" xfId="0" applyAlignment="1" applyFont="1" applyNumberFormat="1">
      <alignment horizontal="center" readingOrder="0" vertical="center"/>
    </xf>
    <xf borderId="0" fillId="0" fontId="27" numFmtId="49" xfId="0" applyAlignment="1" applyFont="1" applyNumberFormat="1">
      <alignment horizontal="center" readingOrder="0" vertical="center"/>
    </xf>
    <xf borderId="0" fillId="31" fontId="24" numFmtId="49" xfId="0" applyAlignment="1" applyFill="1" applyFont="1" applyNumberFormat="1">
      <alignment vertical="center"/>
    </xf>
    <xf borderId="0" fillId="31" fontId="43" numFmtId="49" xfId="0" applyAlignment="1" applyFill="1" applyFont="1" applyNumberFormat="1">
      <alignment vertical="center"/>
    </xf>
    <xf borderId="0" fillId="31" fontId="24" numFmtId="49" xfId="0" applyAlignment="1" applyFill="1" applyFont="1" applyNumberFormat="1">
      <alignment readingOrder="0" vertical="center"/>
    </xf>
    <xf borderId="0" fillId="31" fontId="43" numFmtId="49" xfId="0" applyAlignment="1" applyFill="1" applyFont="1" applyNumberFormat="1">
      <alignment readingOrder="0" vertical="center"/>
    </xf>
    <xf borderId="0" fillId="22" fontId="43" numFmtId="49" xfId="0" applyAlignment="1" applyFill="1" applyFont="1" applyNumberFormat="1">
      <alignment horizontal="left" readingOrder="0" shrinkToFit="0" vertical="center" wrapText="0"/>
    </xf>
    <xf borderId="0" fillId="31" fontId="24" numFmtId="49" xfId="0" applyAlignment="1" applyFill="1" applyFont="1" applyNumberFormat="1">
      <alignment readingOrder="0" vertical="center"/>
    </xf>
    <xf borderId="0" fillId="25" fontId="47" numFmtId="49" xfId="0" applyAlignment="1" applyFill="1" applyFont="1" applyNumberFormat="1">
      <alignment horizontal="center" readingOrder="0" vertical="center"/>
    </xf>
    <xf borderId="0" fillId="37" fontId="47" numFmtId="49" xfId="0" applyAlignment="1" applyFill="1" applyFont="1" applyNumberFormat="1">
      <alignment horizontal="center" readingOrder="0" vertical="center"/>
    </xf>
    <xf borderId="0" fillId="76" fontId="24" numFmtId="49" xfId="0" applyAlignment="1" applyFill="1" applyFont="1" applyNumberFormat="1">
      <alignment horizontal="right" readingOrder="0" vertical="center"/>
    </xf>
    <xf borderId="0" fillId="76" fontId="24" numFmtId="49" xfId="0" applyAlignment="1" applyFill="1" applyFont="1" applyNumberFormat="1">
      <alignment horizontal="center" vertical="center"/>
    </xf>
    <xf borderId="0" fillId="76" fontId="24" numFmtId="0" xfId="0" applyAlignment="1" applyFill="1" applyFont="1">
      <alignment horizontal="center" readingOrder="0" shrinkToFit="0" vertical="center" wrapText="1"/>
    </xf>
    <xf borderId="0" fillId="77" fontId="390" numFmtId="49" xfId="0" applyAlignment="1" applyFill="1" applyFont="1" applyNumberFormat="1">
      <alignment horizontal="center" vertical="center"/>
    </xf>
    <xf borderId="0" fillId="33" fontId="33" numFmtId="49" xfId="0" applyAlignment="1" applyFill="1" applyFont="1" applyNumberFormat="1">
      <alignment horizontal="center" readingOrder="0" vertical="center"/>
    </xf>
    <xf borderId="0" fillId="71" fontId="24" numFmtId="49" xfId="0" applyAlignment="1" applyFill="1" applyFont="1" applyNumberFormat="1">
      <alignment horizontal="center" vertical="center"/>
    </xf>
    <xf borderId="0" fillId="78" fontId="390" numFmtId="49" xfId="0" applyAlignment="1" applyFill="1" applyFont="1" applyNumberFormat="1">
      <alignment horizontal="center" vertical="center"/>
    </xf>
    <xf borderId="0" fillId="69" fontId="390" numFmtId="49" xfId="0" applyAlignment="1" applyFill="1" applyFont="1" applyNumberFormat="1">
      <alignment horizontal="center" vertical="center"/>
    </xf>
    <xf borderId="0" fillId="79" fontId="390" numFmtId="49" xfId="0" applyAlignment="1" applyFill="1" applyFont="1" applyNumberFormat="1">
      <alignment horizontal="center" vertical="center"/>
    </xf>
    <xf borderId="0" fillId="40" fontId="33" numFmtId="49" xfId="0" applyAlignment="1" applyFill="1" applyFont="1" applyNumberFormat="1">
      <alignment horizontal="center" readingOrder="0" vertical="center"/>
    </xf>
    <xf borderId="0" fillId="10" fontId="390" numFmtId="49" xfId="0" applyAlignment="1" applyFill="1" applyFont="1" applyNumberFormat="1">
      <alignment horizontal="center" vertical="center"/>
    </xf>
    <xf borderId="0" fillId="21" fontId="390" numFmtId="49" xfId="0" applyAlignment="1" applyFill="1" applyFont="1" applyNumberFormat="1">
      <alignment horizontal="center" vertical="center"/>
    </xf>
    <xf borderId="0" fillId="80" fontId="390" numFmtId="49" xfId="0" applyAlignment="1" applyFill="1" applyFont="1" applyNumberFormat="1">
      <alignment horizontal="center" vertical="center"/>
    </xf>
    <xf borderId="0" fillId="76" fontId="24" numFmtId="49" xfId="0" applyAlignment="1" applyFill="1" applyFont="1" applyNumberFormat="1">
      <alignment horizontal="center" readingOrder="0" vertical="center"/>
    </xf>
    <xf borderId="0" fillId="76" fontId="24" numFmtId="49" xfId="0" applyAlignment="1" applyFill="1" applyFont="1" applyNumberFormat="1">
      <alignment horizontal="center" readingOrder="0" vertical="center"/>
    </xf>
    <xf borderId="0" fillId="76" fontId="24" numFmtId="49" xfId="0" applyAlignment="1" applyFill="1" applyFont="1" applyNumberFormat="1">
      <alignment readingOrder="0" vertical="center"/>
    </xf>
    <xf borderId="0" fillId="47" fontId="24" numFmtId="49" xfId="0" applyAlignment="1" applyFill="1" applyFont="1" applyNumberFormat="1">
      <alignment horizontal="right" vertical="center"/>
    </xf>
    <xf borderId="0" fillId="47" fontId="24" numFmtId="49" xfId="0" applyAlignment="1" applyFill="1" applyFont="1" applyNumberFormat="1">
      <alignment horizontal="center" readingOrder="0" vertical="center"/>
    </xf>
    <xf borderId="0" fillId="5" fontId="391" numFmtId="46" xfId="0" applyAlignment="1" applyFill="1" applyFont="1" applyNumberFormat="1">
      <alignment horizontal="center" readingOrder="0" vertical="center"/>
    </xf>
    <xf borderId="0" fillId="81" fontId="391" numFmtId="49" xfId="0" applyAlignment="1" applyFill="1" applyFont="1" applyNumberFormat="1">
      <alignment horizontal="center" readingOrder="0" vertical="center"/>
    </xf>
    <xf borderId="0" fillId="81" fontId="391" numFmtId="49" xfId="0" applyAlignment="1" applyFill="1" applyFont="1" applyNumberFormat="1">
      <alignment horizontal="center" readingOrder="0" vertical="center"/>
    </xf>
    <xf borderId="0" fillId="55" fontId="391" numFmtId="49" xfId="0" applyAlignment="1" applyFill="1" applyFont="1" applyNumberFormat="1">
      <alignment horizontal="center" readingOrder="0" vertical="center"/>
    </xf>
    <xf borderId="0" fillId="75" fontId="391" numFmtId="49" xfId="0" applyAlignment="1" applyFill="1" applyFont="1" applyNumberFormat="1">
      <alignment horizontal="center" readingOrder="0" vertical="center"/>
    </xf>
    <xf borderId="0" fillId="75" fontId="391" numFmtId="49" xfId="0" applyAlignment="1" applyFill="1" applyFont="1" applyNumberFormat="1">
      <alignment horizontal="center" readingOrder="0" vertical="center"/>
    </xf>
    <xf borderId="0" fillId="68" fontId="391" numFmtId="49" xfId="0" applyAlignment="1" applyFill="1" applyFont="1" applyNumberFormat="1">
      <alignment horizontal="center" readingOrder="0" vertical="center"/>
    </xf>
    <xf borderId="0" fillId="68" fontId="391" numFmtId="49" xfId="0" applyAlignment="1" applyFill="1" applyFont="1" applyNumberFormat="1">
      <alignment horizontal="center" readingOrder="0" vertical="center"/>
    </xf>
    <xf borderId="0" fillId="82" fontId="391" numFmtId="49" xfId="0" applyAlignment="1" applyFill="1" applyFont="1" applyNumberFormat="1">
      <alignment horizontal="center" readingOrder="0" vertical="center"/>
    </xf>
    <xf borderId="0" fillId="82" fontId="391" numFmtId="49" xfId="0" applyAlignment="1" applyFill="1" applyFont="1" applyNumberFormat="1">
      <alignment horizontal="center" readingOrder="0" vertical="center"/>
    </xf>
    <xf borderId="0" fillId="82" fontId="391" numFmtId="49" xfId="0" applyAlignment="1" applyFill="1" applyFont="1" applyNumberFormat="1">
      <alignment horizontal="center" readingOrder="0" vertical="center"/>
    </xf>
    <xf borderId="0" fillId="34" fontId="391" numFmtId="49" xfId="0" applyAlignment="1" applyFill="1" applyFont="1" applyNumberFormat="1">
      <alignment horizontal="center" readingOrder="0" vertical="center"/>
    </xf>
    <xf borderId="0" fillId="34" fontId="391" numFmtId="49" xfId="0" applyAlignment="1" applyFill="1" applyFont="1" applyNumberFormat="1">
      <alignment horizontal="center" readingOrder="0" vertical="center"/>
    </xf>
    <xf borderId="0" fillId="45" fontId="391" numFmtId="49" xfId="0" applyAlignment="1" applyFill="1" applyFont="1" applyNumberFormat="1">
      <alignment horizontal="center" readingOrder="0" vertical="center"/>
    </xf>
    <xf borderId="0" fillId="45" fontId="391" numFmtId="49" xfId="0" applyAlignment="1" applyFill="1" applyFont="1" applyNumberFormat="1">
      <alignment horizontal="center" readingOrder="0" vertical="center"/>
    </xf>
    <xf borderId="0" fillId="83" fontId="391" numFmtId="49" xfId="0" applyAlignment="1" applyFill="1" applyFont="1" applyNumberFormat="1">
      <alignment horizontal="center" readingOrder="0" vertical="center"/>
    </xf>
    <xf borderId="0" fillId="83" fontId="391" numFmtId="49" xfId="0" applyAlignment="1" applyFill="1" applyFont="1" applyNumberFormat="1">
      <alignment horizontal="center" readingOrder="0" vertical="center"/>
    </xf>
    <xf borderId="0" fillId="83" fontId="391" numFmtId="49" xfId="0" applyAlignment="1" applyFill="1" applyFont="1" applyNumberFormat="1">
      <alignment horizontal="center" readingOrder="0" vertical="center"/>
    </xf>
    <xf borderId="0" fillId="47" fontId="391" numFmtId="49" xfId="0" applyAlignment="1" applyFill="1" applyFont="1" applyNumberFormat="1">
      <alignment horizontal="center" readingOrder="0" vertical="center"/>
    </xf>
    <xf borderId="0" fillId="5" fontId="391" numFmtId="49" xfId="0" applyAlignment="1" applyFill="1" applyFont="1" applyNumberFormat="1">
      <alignment horizontal="center" readingOrder="0" vertical="center"/>
    </xf>
    <xf borderId="0" fillId="5" fontId="391" numFmtId="49" xfId="0" applyAlignment="1" applyFill="1" applyFont="1" applyNumberFormat="1">
      <alignment vertical="center"/>
    </xf>
    <xf borderId="0" fillId="43" fontId="24" numFmtId="49" xfId="0" applyAlignment="1" applyFill="1" applyFont="1" applyNumberFormat="1">
      <alignment horizontal="right" vertical="center"/>
    </xf>
    <xf borderId="0" fillId="43" fontId="24" numFmtId="49" xfId="0" applyAlignment="1" applyFill="1" applyFont="1" applyNumberFormat="1">
      <alignment horizontal="center" readingOrder="0" vertical="center"/>
    </xf>
    <xf borderId="0" fillId="25" fontId="392" numFmtId="46" xfId="0" applyAlignment="1" applyFill="1" applyFont="1" applyNumberFormat="1">
      <alignment horizontal="center" readingOrder="0" vertical="center"/>
    </xf>
    <xf borderId="0" fillId="29" fontId="392" numFmtId="49" xfId="0" applyAlignment="1" applyFill="1" applyFont="1" applyNumberFormat="1">
      <alignment horizontal="center" readingOrder="0" vertical="center"/>
    </xf>
    <xf borderId="0" fillId="84" fontId="392" numFmtId="49" xfId="0" applyAlignment="1" applyFill="1" applyFont="1" applyNumberFormat="1">
      <alignment horizontal="center" readingOrder="0" vertical="center"/>
    </xf>
    <xf borderId="0" fillId="37" fontId="392" numFmtId="49" xfId="0" applyAlignment="1" applyFill="1" applyFont="1" applyNumberFormat="1">
      <alignment horizontal="center" readingOrder="0" vertical="center"/>
    </xf>
    <xf borderId="0" fillId="33" fontId="392" numFmtId="49" xfId="0" applyAlignment="1" applyFill="1" applyFont="1" applyNumberFormat="1">
      <alignment horizontal="center" readingOrder="0" vertical="center"/>
    </xf>
    <xf borderId="0" fillId="33" fontId="392" numFmtId="49" xfId="0" applyAlignment="1" applyFill="1" applyFont="1" applyNumberFormat="1">
      <alignment horizontal="center" readingOrder="0" vertical="center"/>
    </xf>
    <xf borderId="0" fillId="38" fontId="392" numFmtId="49" xfId="0" applyAlignment="1" applyFill="1" applyFont="1" applyNumberFormat="1">
      <alignment horizontal="center" readingOrder="0" vertical="center"/>
    </xf>
    <xf borderId="0" fillId="38" fontId="392" numFmtId="49" xfId="0" applyAlignment="1" applyFill="1" applyFont="1" applyNumberFormat="1">
      <alignment horizontal="center" readingOrder="0" vertical="center"/>
    </xf>
    <xf borderId="0" fillId="39" fontId="392" numFmtId="49" xfId="0" applyAlignment="1" applyFill="1" applyFont="1" applyNumberFormat="1">
      <alignment horizontal="center" readingOrder="0" vertical="center"/>
    </xf>
    <xf borderId="0" fillId="39" fontId="392" numFmtId="49" xfId="0" applyAlignment="1" applyFill="1" applyFont="1" applyNumberFormat="1">
      <alignment horizontal="center" readingOrder="0" vertical="center"/>
    </xf>
    <xf borderId="0" fillId="41" fontId="392" numFmtId="49" xfId="0" applyAlignment="1" applyFill="1" applyFont="1" applyNumberFormat="1">
      <alignment horizontal="center" readingOrder="0" vertical="center"/>
    </xf>
    <xf borderId="0" fillId="41" fontId="392" numFmtId="49" xfId="0" applyAlignment="1" applyFill="1" applyFont="1" applyNumberFormat="1">
      <alignment horizontal="center" readingOrder="0" vertical="center"/>
    </xf>
    <xf borderId="0" fillId="25" fontId="392" numFmtId="49" xfId="0" applyAlignment="1" applyFill="1" applyFont="1" applyNumberFormat="1">
      <alignment horizontal="center" readingOrder="0" vertical="center"/>
    </xf>
    <xf borderId="0" fillId="25" fontId="391" numFmtId="49" xfId="0" applyAlignment="1" applyFill="1" applyFont="1" applyNumberFormat="1">
      <alignment vertical="center"/>
    </xf>
    <xf borderId="0" fillId="34" fontId="24" numFmtId="49" xfId="0" applyAlignment="1" applyFill="1" applyFont="1" applyNumberFormat="1">
      <alignment horizontal="right" vertical="center"/>
    </xf>
    <xf borderId="0" fillId="34" fontId="24" numFmtId="49" xfId="0" applyAlignment="1" applyFill="1" applyFont="1" applyNumberFormat="1">
      <alignment horizontal="center" readingOrder="0" vertical="center"/>
    </xf>
    <xf borderId="0" fillId="5" fontId="393" numFmtId="46" xfId="0" applyAlignment="1" applyFill="1" applyFont="1" applyNumberFormat="1">
      <alignment horizontal="center" readingOrder="0" vertical="center"/>
    </xf>
    <xf borderId="0" fillId="81" fontId="393" numFmtId="49" xfId="0" applyAlignment="1" applyFill="1" applyFont="1" applyNumberFormat="1">
      <alignment horizontal="center" readingOrder="0" vertical="center"/>
    </xf>
    <xf borderId="0" fillId="55" fontId="393" numFmtId="49" xfId="0" applyAlignment="1" applyFill="1" applyFont="1" applyNumberFormat="1">
      <alignment horizontal="center" readingOrder="0" vertical="center"/>
    </xf>
    <xf borderId="0" fillId="75" fontId="393" numFmtId="49" xfId="0" applyAlignment="1" applyFill="1" applyFont="1" applyNumberFormat="1">
      <alignment horizontal="center" readingOrder="0" vertical="center"/>
    </xf>
    <xf borderId="0" fillId="68" fontId="393" numFmtId="49" xfId="0" applyAlignment="1" applyFill="1" applyFont="1" applyNumberFormat="1">
      <alignment horizontal="center" readingOrder="0" vertical="center"/>
    </xf>
    <xf borderId="0" fillId="82" fontId="393" numFmtId="49" xfId="0" applyAlignment="1" applyFill="1" applyFont="1" applyNumberFormat="1">
      <alignment horizontal="center" readingOrder="0" vertical="center"/>
    </xf>
    <xf borderId="0" fillId="34" fontId="393" numFmtId="49" xfId="0" applyAlignment="1" applyFill="1" applyFont="1" applyNumberFormat="1">
      <alignment horizontal="center" readingOrder="0" vertical="center"/>
    </xf>
    <xf borderId="0" fillId="34" fontId="393" numFmtId="49" xfId="0" applyAlignment="1" applyFill="1" applyFont="1" applyNumberFormat="1">
      <alignment horizontal="center" readingOrder="0" vertical="center"/>
    </xf>
    <xf borderId="0" fillId="45" fontId="393" numFmtId="49" xfId="0" applyAlignment="1" applyFill="1" applyFont="1" applyNumberFormat="1">
      <alignment horizontal="center" readingOrder="0" vertical="center"/>
    </xf>
    <xf borderId="0" fillId="83" fontId="393" numFmtId="49" xfId="0" applyAlignment="1" applyFill="1" applyFont="1" applyNumberFormat="1">
      <alignment horizontal="center" readingOrder="0" vertical="center"/>
    </xf>
    <xf borderId="0" fillId="83" fontId="393" numFmtId="49" xfId="0" applyAlignment="1" applyFill="1" applyFont="1" applyNumberFormat="1">
      <alignment horizontal="center" readingOrder="0" vertical="center"/>
    </xf>
    <xf borderId="0" fillId="47" fontId="393" numFmtId="49" xfId="0" applyAlignment="1" applyFill="1" applyFont="1" applyNumberFormat="1">
      <alignment horizontal="center" readingOrder="0" vertical="center"/>
    </xf>
    <xf borderId="0" fillId="5" fontId="393" numFmtId="49" xfId="0" applyAlignment="1" applyFill="1" applyFont="1" applyNumberFormat="1">
      <alignment horizontal="center" readingOrder="0" vertical="center"/>
    </xf>
    <xf borderId="0" fillId="5" fontId="393" numFmtId="49" xfId="0" applyAlignment="1" applyFill="1" applyFont="1" applyNumberFormat="1">
      <alignment horizontal="center" vertical="center"/>
    </xf>
    <xf borderId="0" fillId="0" fontId="24" numFmtId="49" xfId="0" applyAlignment="1" applyFont="1" applyNumberFormat="1">
      <alignment horizontal="right" vertical="center"/>
    </xf>
    <xf borderId="0" fillId="47" fontId="24" numFmtId="49" xfId="0" applyAlignment="1" applyFill="1" applyFont="1" applyNumberFormat="1">
      <alignment horizontal="center" vertical="center"/>
    </xf>
    <xf borderId="0" fillId="0" fontId="394" numFmtId="165" xfId="0" applyAlignment="1" applyFont="1" applyNumberFormat="1">
      <alignment horizontal="center" readingOrder="0" vertical="center"/>
    </xf>
    <xf borderId="11" fillId="0" fontId="395" numFmtId="49" xfId="0" applyAlignment="1" applyBorder="1" applyFont="1" applyNumberFormat="1">
      <alignment horizontal="center" readingOrder="0" vertical="center"/>
    </xf>
    <xf borderId="0" fillId="37" fontId="396" numFmtId="49" xfId="0" applyAlignment="1" applyFill="1" applyFont="1" applyNumberFormat="1">
      <alignment horizontal="center" readingOrder="0" vertical="center"/>
    </xf>
    <xf borderId="11" fillId="37" fontId="397" numFmtId="49" xfId="0" applyAlignment="1" applyBorder="1" applyFill="1" applyFont="1" applyNumberFormat="1">
      <alignment horizontal="center" readingOrder="0" vertical="center"/>
    </xf>
    <xf borderId="11" fillId="25" fontId="398" numFmtId="49" xfId="0" applyAlignment="1" applyBorder="1" applyFill="1" applyFont="1" applyNumberFormat="1">
      <alignment horizontal="center" readingOrder="0" vertical="center"/>
    </xf>
    <xf borderId="0" fillId="59" fontId="399" numFmtId="49" xfId="0" applyAlignment="1" applyFill="1" applyFont="1" applyNumberFormat="1">
      <alignment horizontal="center" readingOrder="0" vertical="center"/>
    </xf>
    <xf borderId="0" fillId="25" fontId="23" numFmtId="49" xfId="0" applyAlignment="1" applyFill="1" applyFont="1" applyNumberFormat="1">
      <alignment horizontal="right" readingOrder="0" vertical="center"/>
    </xf>
    <xf borderId="11" fillId="0" fontId="400" numFmtId="49" xfId="0" applyAlignment="1" applyBorder="1" applyFont="1" applyNumberFormat="1">
      <alignment horizontal="center" readingOrder="0"/>
    </xf>
    <xf borderId="0" fillId="22" fontId="43" numFmtId="49" xfId="0" applyAlignment="1" applyFill="1" applyFont="1" applyNumberFormat="1">
      <alignment readingOrder="0" shrinkToFit="0" vertical="center" wrapText="0"/>
    </xf>
    <xf borderId="0" fillId="25" fontId="401" numFmtId="49" xfId="0" applyAlignment="1" applyFill="1" applyFont="1" applyNumberFormat="1">
      <alignment horizontal="center" readingOrder="0" vertical="center"/>
    </xf>
    <xf borderId="0" fillId="85" fontId="402" numFmtId="49" xfId="0" applyAlignment="1" applyFill="1" applyFont="1" applyNumberFormat="1">
      <alignment readingOrder="0" vertical="center"/>
    </xf>
    <xf borderId="0" fillId="85" fontId="47" numFmtId="49" xfId="0" applyAlignment="1" applyFill="1" applyFont="1" applyNumberFormat="1">
      <alignment horizontal="center" vertical="center"/>
    </xf>
    <xf borderId="0" fillId="85" fontId="43" numFmtId="49" xfId="0" applyAlignment="1" applyFill="1" applyFont="1" applyNumberFormat="1">
      <alignment horizontal="center" vertical="center"/>
    </xf>
    <xf borderId="0" fillId="85" fontId="47" numFmtId="49" xfId="0" applyAlignment="1" applyFill="1" applyFont="1" applyNumberFormat="1">
      <alignment horizontal="center" readingOrder="0" vertical="center"/>
    </xf>
    <xf borderId="0" fillId="85" fontId="47" numFmtId="49" xfId="0" applyAlignment="1" applyFill="1" applyFont="1" applyNumberFormat="1">
      <alignment horizontal="center" vertical="center"/>
    </xf>
    <xf borderId="0" fillId="85" fontId="47" numFmtId="49" xfId="0" applyAlignment="1" applyFill="1" applyFont="1" applyNumberFormat="1">
      <alignment horizontal="center" vertical="center"/>
    </xf>
    <xf borderId="0" fillId="17" fontId="22" numFmtId="49" xfId="0" applyAlignment="1" applyFill="1" applyFont="1" applyNumberFormat="1">
      <alignment readingOrder="0" vertical="center"/>
    </xf>
    <xf borderId="0" fillId="17" fontId="47" numFmtId="49" xfId="0" applyAlignment="1" applyFill="1" applyFont="1" applyNumberFormat="1">
      <alignment readingOrder="0" vertical="center"/>
    </xf>
    <xf borderId="0" fillId="59" fontId="47" numFmtId="49" xfId="0" applyAlignment="1" applyFill="1" applyFont="1" applyNumberFormat="1">
      <alignment horizontal="center" vertical="center"/>
    </xf>
    <xf borderId="0" fillId="37" fontId="403" numFmtId="49" xfId="0" applyAlignment="1" applyFill="1" applyFont="1" applyNumberFormat="1">
      <alignment horizontal="center" vertical="center"/>
    </xf>
    <xf borderId="0" fillId="59" fontId="47" numFmtId="49" xfId="0" applyAlignment="1" applyFill="1" applyFont="1" applyNumberFormat="1">
      <alignment horizontal="center" vertical="center"/>
    </xf>
    <xf borderId="0" fillId="37" fontId="43" numFmtId="49" xfId="0" applyAlignment="1" applyFill="1" applyFont="1" applyNumberFormat="1">
      <alignment horizontal="center" readingOrder="0" vertical="center"/>
    </xf>
    <xf borderId="0" fillId="25" fontId="43" numFmtId="49" xfId="0" applyAlignment="1" applyFill="1" applyFont="1" applyNumberFormat="1">
      <alignment readingOrder="0" vertical="center"/>
    </xf>
    <xf borderId="0" fillId="4" fontId="22" numFmtId="49" xfId="0" applyAlignment="1" applyFill="1" applyFont="1" applyNumberFormat="1">
      <alignment horizontal="right" vertical="bottom"/>
    </xf>
    <xf borderId="0" fillId="47" fontId="22" numFmtId="49" xfId="0" applyAlignment="1" applyFill="1" applyFont="1" applyNumberFormat="1">
      <alignment horizontal="center" vertical="bottom"/>
    </xf>
    <xf borderId="0" fillId="4" fontId="43" numFmtId="165" xfId="0" applyAlignment="1" applyFill="1" applyFont="1" applyNumberFormat="1">
      <alignment horizontal="center" readingOrder="0" vertical="bottom"/>
    </xf>
    <xf borderId="0" fillId="29" fontId="404" numFmtId="49" xfId="0" applyAlignment="1" applyFill="1" applyFont="1" applyNumberFormat="1">
      <alignment horizontal="center" vertical="bottom"/>
    </xf>
    <xf borderId="0" fillId="29" fontId="405" numFmtId="49" xfId="0" applyAlignment="1" applyFill="1" applyFont="1" applyNumberFormat="1">
      <alignment horizontal="center" readingOrder="0" vertical="bottom"/>
    </xf>
    <xf borderId="0" fillId="29" fontId="406" numFmtId="49" xfId="0" applyAlignment="1" applyFill="1" applyFont="1" applyNumberFormat="1">
      <alignment horizontal="center" vertical="bottom"/>
    </xf>
    <xf borderId="0" fillId="29" fontId="407" numFmtId="49" xfId="0" applyAlignment="1" applyFill="1" applyFont="1" applyNumberFormat="1">
      <alignment horizontal="center" vertical="bottom"/>
    </xf>
    <xf borderId="0" fillId="39" fontId="408" numFmtId="49" xfId="0" applyAlignment="1" applyFill="1" applyFont="1" applyNumberFormat="1">
      <alignment horizontal="center" readingOrder="0" vertical="bottom"/>
    </xf>
    <xf borderId="0" fillId="39" fontId="409" numFmtId="49" xfId="0" applyAlignment="1" applyFill="1" applyFont="1" applyNumberFormat="1">
      <alignment horizontal="center" vertical="bottom"/>
    </xf>
    <xf borderId="0" fillId="37" fontId="410" numFmtId="49" xfId="0" applyAlignment="1" applyFill="1" applyFont="1" applyNumberFormat="1">
      <alignment horizontal="center" vertical="bottom"/>
    </xf>
    <xf borderId="0" fillId="37" fontId="411" numFmtId="49" xfId="0" applyAlignment="1" applyFill="1" applyFont="1" applyNumberFormat="1">
      <alignment horizontal="center" readingOrder="0" vertical="bottom"/>
    </xf>
    <xf borderId="0" fillId="37" fontId="412" numFmtId="49" xfId="0" applyAlignment="1" applyFill="1" applyFont="1" applyNumberFormat="1">
      <alignment horizontal="center" vertical="bottom"/>
    </xf>
    <xf borderId="0" fillId="32" fontId="22" numFmtId="49" xfId="0" applyAlignment="1" applyFill="1" applyFont="1" applyNumberFormat="1">
      <alignment readingOrder="0" vertical="center"/>
    </xf>
    <xf borderId="0" fillId="32" fontId="47" numFmtId="49" xfId="0" applyAlignment="1" applyFill="1" applyFont="1" applyNumberFormat="1">
      <alignment readingOrder="0" vertical="center"/>
    </xf>
    <xf borderId="0" fillId="33" fontId="413" numFmtId="49" xfId="0" applyAlignment="1" applyFill="1" applyFont="1" applyNumberFormat="1">
      <alignment horizontal="center" readingOrder="0" vertical="bottom"/>
    </xf>
    <xf borderId="0" fillId="33" fontId="414" numFmtId="49" xfId="0" applyAlignment="1" applyFill="1" applyFont="1" applyNumberFormat="1">
      <alignment horizontal="center" vertical="bottom"/>
    </xf>
    <xf borderId="0" fillId="33" fontId="415" numFmtId="49" xfId="0" applyAlignment="1" applyFill="1" applyFont="1" applyNumberFormat="1">
      <alignment horizontal="center" vertical="bottom"/>
    </xf>
    <xf borderId="0" fillId="43" fontId="43" numFmtId="49" xfId="0" applyAlignment="1" applyFill="1" applyFont="1" applyNumberFormat="1">
      <alignment readingOrder="0" vertical="center"/>
    </xf>
    <xf borderId="0" fillId="38" fontId="416" numFmtId="49" xfId="0" applyAlignment="1" applyFill="1" applyFont="1" applyNumberFormat="1">
      <alignment horizontal="center" vertical="bottom"/>
    </xf>
    <xf borderId="0" fillId="38" fontId="417" numFmtId="49" xfId="0" applyAlignment="1" applyFill="1" applyFont="1" applyNumberFormat="1">
      <alignment horizontal="center" vertical="bottom"/>
    </xf>
    <xf borderId="0" fillId="25" fontId="287" numFmtId="49" xfId="0" applyAlignment="1" applyFill="1" applyFont="1" applyNumberFormat="1">
      <alignment horizontal="center" readingOrder="0" vertical="center"/>
    </xf>
    <xf borderId="0" fillId="40" fontId="418" numFmtId="49" xfId="0" applyAlignment="1" applyFill="1" applyFont="1" applyNumberFormat="1">
      <alignment horizontal="center" vertical="bottom"/>
    </xf>
    <xf borderId="0" fillId="40" fontId="419" numFmtId="49" xfId="0" applyAlignment="1" applyFill="1" applyFont="1" applyNumberFormat="1">
      <alignment horizontal="center" vertical="bottom"/>
    </xf>
    <xf borderId="0" fillId="40" fontId="420" numFmtId="49" xfId="0" applyAlignment="1" applyFill="1" applyFont="1" applyNumberFormat="1">
      <alignment horizontal="center" readingOrder="0" vertical="bottom"/>
    </xf>
    <xf borderId="0" fillId="41" fontId="421" numFmtId="49" xfId="0" applyAlignment="1" applyFill="1" applyFont="1" applyNumberFormat="1">
      <alignment horizontal="center" vertical="bottom"/>
    </xf>
    <xf borderId="0" fillId="32" fontId="47" numFmtId="49" xfId="0" applyAlignment="1" applyFill="1" applyFont="1" applyNumberFormat="1">
      <alignment readingOrder="0" shrinkToFit="0" vertical="center" wrapText="0"/>
    </xf>
    <xf borderId="0" fillId="41" fontId="422" numFmtId="49" xfId="0" applyAlignment="1" applyFill="1" applyFont="1" applyNumberFormat="1">
      <alignment horizontal="center" readingOrder="0" vertical="bottom"/>
    </xf>
    <xf borderId="0" fillId="25" fontId="287" numFmtId="49" xfId="0" applyAlignment="1" applyFill="1" applyFont="1" applyNumberFormat="1">
      <alignment horizontal="center" readingOrder="0" vertical="center"/>
    </xf>
    <xf borderId="0" fillId="41" fontId="423" numFmtId="49" xfId="0" applyAlignment="1" applyFill="1" applyFont="1" applyNumberFormat="1">
      <alignment horizontal="center" vertical="bottom"/>
    </xf>
    <xf borderId="11" fillId="41" fontId="424" numFmtId="49" xfId="0" applyAlignment="1" applyBorder="1" applyFill="1" applyFont="1" applyNumberFormat="1">
      <alignment horizontal="center" readingOrder="0" vertical="bottom"/>
    </xf>
    <xf borderId="0" fillId="4" fontId="43" numFmtId="49" xfId="0" applyAlignment="1" applyFill="1" applyFont="1" applyNumberFormat="1">
      <alignment horizontal="center" readingOrder="0" vertical="bottom"/>
    </xf>
    <xf borderId="0" fillId="4" fontId="43" numFmtId="49" xfId="0" applyAlignment="1" applyFill="1" applyFont="1" applyNumberFormat="1">
      <alignment horizontal="center" vertical="bottom"/>
    </xf>
    <xf borderId="0" fillId="4" fontId="6" numFmtId="49" xfId="0" applyAlignment="1" applyFill="1" applyFont="1" applyNumberFormat="1">
      <alignment vertical="bottom"/>
    </xf>
    <xf borderId="0" fillId="0" fontId="25" numFmtId="49" xfId="0" applyAlignment="1" applyFont="1" applyNumberFormat="1">
      <alignment horizontal="right" readingOrder="0" vertical="center"/>
    </xf>
    <xf borderId="0" fillId="0" fontId="43" numFmtId="165" xfId="0" applyAlignment="1" applyFont="1" applyNumberFormat="1">
      <alignment horizontal="center" readingOrder="0" vertical="center"/>
    </xf>
    <xf borderId="0" fillId="0" fontId="43" numFmtId="49" xfId="0" applyAlignment="1" applyFont="1" applyNumberFormat="1">
      <alignment horizontal="center" readingOrder="0" vertical="center"/>
    </xf>
    <xf borderId="0" fillId="0" fontId="43" numFmtId="49" xfId="0" applyAlignment="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0" fontId="43" numFmtId="49" xfId="0" applyAlignment="1" applyFont="1" applyNumberFormat="1">
      <alignment horizontal="center" readingOrder="0" vertical="center"/>
    </xf>
    <xf borderId="0" fillId="0" fontId="43" numFmtId="49" xfId="0" applyAlignment="1" applyFont="1" applyNumberFormat="1">
      <alignment horizontal="center" vertical="center"/>
    </xf>
    <xf borderId="11" fillId="0" fontId="391" numFmtId="49" xfId="0" applyAlignment="1" applyBorder="1" applyFont="1" applyNumberFormat="1">
      <alignment horizontal="center" readingOrder="0" vertical="center"/>
    </xf>
    <xf borderId="11" fillId="0" fontId="391" numFmtId="49" xfId="0" applyAlignment="1" applyBorder="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3" numFmtId="0" xfId="0" applyAlignment="1" applyFill="1" applyFont="1">
      <alignment horizontal="center" readingOrder="0" vertical="center"/>
    </xf>
    <xf borderId="0" fillId="0" fontId="43" numFmtId="49" xfId="0" applyAlignment="1" applyFont="1" applyNumberFormat="1">
      <alignment horizontal="center" vertical="bottom"/>
    </xf>
    <xf borderId="0" fillId="25" fontId="425" numFmtId="49" xfId="0" applyAlignment="1" applyFill="1" applyFont="1" applyNumberFormat="1">
      <alignment horizontal="center" readingOrder="0" vertical="center"/>
    </xf>
    <xf borderId="0" fillId="17" fontId="47" numFmtId="49" xfId="0" applyAlignment="1" applyFill="1" applyFont="1" applyNumberFormat="1">
      <alignment readingOrder="0" shrinkToFit="0" vertical="center" wrapText="0"/>
    </xf>
    <xf borderId="0" fillId="25" fontId="426" numFmtId="49" xfId="0" applyAlignment="1" applyFill="1" applyFont="1" applyNumberFormat="1">
      <alignment horizontal="center" vertical="center"/>
    </xf>
    <xf borderId="0" fillId="25" fontId="43" numFmtId="49" xfId="0" applyAlignment="1" applyFill="1" applyFont="1" applyNumberFormat="1">
      <alignment vertical="center"/>
    </xf>
    <xf borderId="0" fillId="0" fontId="43" numFmtId="49" xfId="0" applyAlignment="1" applyFont="1" applyNumberFormat="1">
      <alignment horizontal="center" readingOrder="0" vertical="bottom"/>
    </xf>
    <xf borderId="11" fillId="0" fontId="427" numFmtId="49" xfId="0" applyAlignment="1" applyBorder="1" applyFont="1" applyNumberFormat="1">
      <alignment horizontal="center" readingOrder="0" vertical="center"/>
    </xf>
    <xf borderId="0" fillId="0" fontId="43" numFmtId="0" xfId="0" applyAlignment="1" applyFont="1">
      <alignment horizontal="center" vertical="bottom"/>
    </xf>
    <xf borderId="0" fillId="0" fontId="428" numFmtId="49" xfId="0" applyAlignment="1" applyFont="1" applyNumberFormat="1">
      <alignment horizontal="center" readingOrder="0" vertical="bottom"/>
    </xf>
    <xf borderId="0" fillId="25" fontId="429" numFmtId="49" xfId="0" applyAlignment="1" applyFill="1" applyFont="1" applyNumberFormat="1">
      <alignment horizontal="center" readingOrder="0" vertical="bottom"/>
    </xf>
    <xf borderId="11" fillId="0" fontId="430" numFmtId="49" xfId="0" applyAlignment="1" applyBorder="1" applyFont="1" applyNumberFormat="1">
      <alignment horizontal="center" readingOrder="0" vertical="bottom"/>
    </xf>
    <xf borderId="0" fillId="0" fontId="24" numFmtId="49" xfId="0" applyAlignment="1" applyFont="1" applyNumberFormat="1">
      <alignment horizontal="right" readingOrder="0" vertical="center"/>
    </xf>
    <xf borderId="0" fillId="4" fontId="22" numFmtId="49" xfId="0" applyAlignment="1" applyFill="1" applyFont="1" applyNumberFormat="1">
      <alignment horizontal="center" readingOrder="0" vertical="center"/>
    </xf>
    <xf borderId="0" fillId="17" fontId="22" numFmtId="49" xfId="0" applyAlignment="1" applyFill="1" applyFont="1" applyNumberFormat="1">
      <alignment shrinkToFit="0" vertical="center" wrapText="0"/>
    </xf>
    <xf borderId="0" fillId="0" fontId="431" numFmtId="49" xfId="0" applyAlignment="1" applyFont="1" applyNumberFormat="1">
      <alignment horizontal="center" readingOrder="0" vertical="center"/>
    </xf>
    <xf borderId="0" fillId="5" fontId="43" numFmtId="49" xfId="0" applyAlignment="1" applyFill="1" applyFont="1" applyNumberFormat="1">
      <alignment horizontal="center" readingOrder="0" vertical="center"/>
    </xf>
    <xf borderId="0" fillId="5" fontId="47" numFmtId="49" xfId="0" applyAlignment="1" applyFill="1" applyFont="1" applyNumberFormat="1">
      <alignment readingOrder="0" vertical="center"/>
    </xf>
    <xf borderId="0" fillId="29" fontId="43" numFmtId="49" xfId="0" applyAlignment="1" applyFill="1" applyFont="1" applyNumberFormat="1">
      <alignment horizontal="center" readingOrder="0" vertical="center"/>
    </xf>
    <xf borderId="11" fillId="29" fontId="391" numFmtId="49" xfId="0" applyAlignment="1" applyBorder="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0" fontId="43" numFmtId="0" xfId="0" applyAlignment="1" applyFont="1">
      <alignment horizontal="center" readingOrder="0" vertical="center"/>
    </xf>
    <xf borderId="0" fillId="37" fontId="43" numFmtId="49" xfId="0" applyAlignment="1" applyFill="1" applyFont="1" applyNumberFormat="1">
      <alignment horizontal="center" readingOrder="0" vertical="center"/>
    </xf>
    <xf borderId="0" fillId="5" fontId="43" numFmtId="49" xfId="0" applyAlignment="1" applyFill="1" applyFont="1" applyNumberFormat="1">
      <alignment readingOrder="0" vertical="center"/>
    </xf>
    <xf borderId="0" fillId="25" fontId="22" numFmtId="49" xfId="0" applyAlignment="1" applyFill="1" applyFont="1" applyNumberFormat="1">
      <alignment horizontal="center" readingOrder="0" vertical="center"/>
    </xf>
    <xf borderId="0" fillId="25" fontId="47" numFmtId="49" xfId="0" applyAlignment="1" applyFill="1" applyFont="1" applyNumberFormat="1">
      <alignment readingOrder="0" vertical="center"/>
    </xf>
    <xf borderId="0" fillId="0" fontId="24" numFmtId="49" xfId="0" applyAlignment="1" applyFont="1" applyNumberFormat="1">
      <alignment horizontal="right" readingOrder="0" vertical="center"/>
    </xf>
    <xf borderId="0" fillId="47" fontId="24" numFmtId="49" xfId="0" applyAlignment="1" applyFill="1" applyFont="1" applyNumberFormat="1">
      <alignment horizontal="center" readingOrder="0" vertical="center"/>
    </xf>
    <xf borderId="0" fillId="29" fontId="432" numFmtId="49" xfId="0" applyAlignment="1" applyFill="1" applyFont="1" applyNumberFormat="1">
      <alignment horizontal="center" readingOrder="0" vertical="center"/>
    </xf>
    <xf borderId="12" fillId="39" fontId="433" numFmtId="49" xfId="0" applyAlignment="1" applyBorder="1" applyFill="1" applyFont="1" applyNumberFormat="1">
      <alignment horizontal="center" readingOrder="0" vertical="center"/>
    </xf>
    <xf borderId="12" fillId="0" fontId="434" numFmtId="49" xfId="0" applyAlignment="1" applyBorder="1" applyFont="1" applyNumberFormat="1">
      <alignment horizontal="center" readingOrder="0" vertical="center"/>
    </xf>
    <xf borderId="12" fillId="0" fontId="435" numFmtId="49" xfId="0" applyAlignment="1" applyBorder="1" applyFont="1" applyNumberFormat="1">
      <alignment horizontal="center" readingOrder="0" vertical="center"/>
    </xf>
    <xf borderId="0" fillId="37" fontId="43" numFmtId="49" xfId="0" applyAlignment="1" applyFill="1" applyFont="1" applyNumberFormat="1">
      <alignment horizontal="center" readingOrder="0" vertical="center"/>
    </xf>
    <xf borderId="12" fillId="0" fontId="434" numFmtId="49" xfId="0" applyAlignment="1" applyBorder="1" applyFont="1" applyNumberFormat="1">
      <alignment horizontal="center" readingOrder="0" vertical="center"/>
    </xf>
    <xf borderId="12" fillId="37" fontId="392" numFmtId="49" xfId="0" applyAlignment="1" applyBorder="1" applyFill="1" applyFont="1" applyNumberFormat="1">
      <alignment horizontal="center" readingOrder="0" vertical="center"/>
    </xf>
    <xf borderId="12" fillId="0" fontId="434" numFmtId="49" xfId="0" applyAlignment="1" applyBorder="1" applyFont="1" applyNumberFormat="1">
      <alignment horizontal="center" readingOrder="0" vertical="center"/>
    </xf>
    <xf borderId="0" fillId="85" fontId="47" numFmtId="49" xfId="0" applyAlignment="1" applyFill="1" applyFont="1" applyNumberFormat="1">
      <alignment horizontal="center" vertical="center"/>
    </xf>
    <xf borderId="0" fillId="17" fontId="43" numFmtId="49" xfId="0" applyAlignment="1" applyFill="1" applyFont="1" applyNumberFormat="1">
      <alignment readingOrder="0" vertical="center"/>
    </xf>
    <xf borderId="12" fillId="38" fontId="436" numFmtId="49" xfId="0" applyAlignment="1" applyBorder="1" applyFill="1" applyFont="1" applyNumberFormat="1">
      <alignment horizontal="center" readingOrder="0" vertical="center"/>
    </xf>
    <xf borderId="12" fillId="29" fontId="392" numFmtId="49" xfId="0" applyAlignment="1" applyBorder="1" applyFill="1" applyFont="1" applyNumberFormat="1">
      <alignment horizontal="center" readingOrder="0" vertical="center"/>
    </xf>
    <xf borderId="0" fillId="25" fontId="47" numFmtId="49" xfId="0" applyAlignment="1" applyFill="1" applyFont="1" applyNumberFormat="1">
      <alignment horizontal="center" readingOrder="0" vertical="center"/>
    </xf>
    <xf borderId="12" fillId="40" fontId="437" numFmtId="49" xfId="0" applyAlignment="1" applyBorder="1" applyFill="1" applyFont="1" applyNumberFormat="1">
      <alignment horizontal="center" readingOrder="0" vertical="center"/>
    </xf>
    <xf borderId="0" fillId="38" fontId="33" numFmtId="49" xfId="0" applyAlignment="1" applyFill="1" applyFont="1" applyNumberFormat="1">
      <alignment horizontal="center" readingOrder="0" vertical="center"/>
    </xf>
    <xf borderId="12" fillId="41" fontId="392" numFmtId="49" xfId="0" applyAlignment="1" applyBorder="1" applyFill="1" applyFont="1" applyNumberFormat="1">
      <alignment horizontal="center" readingOrder="0" vertical="center"/>
    </xf>
    <xf borderId="12" fillId="0" fontId="438" numFmtId="49" xfId="0" applyAlignment="1" applyBorder="1" applyFont="1" applyNumberFormat="1">
      <alignment horizontal="center" readingOrder="0" vertical="center"/>
    </xf>
    <xf borderId="12" fillId="41" fontId="439" numFmtId="49" xfId="0" applyAlignment="1" applyBorder="1" applyFill="1" applyFont="1" applyNumberFormat="1">
      <alignment horizontal="center" readingOrder="0" vertical="center"/>
    </xf>
    <xf borderId="0" fillId="33" fontId="33" numFmtId="49" xfId="0" applyAlignment="1" applyFill="1" applyFont="1" applyNumberFormat="1">
      <alignment horizontal="center" readingOrder="0" vertical="center"/>
    </xf>
    <xf borderId="12" fillId="41" fontId="440" numFmtId="49" xfId="0" applyAlignment="1" applyBorder="1" applyFill="1" applyFont="1" applyNumberFormat="1">
      <alignment horizontal="center" readingOrder="0" vertical="center"/>
    </xf>
    <xf borderId="0" fillId="0" fontId="43" numFmtId="21" xfId="0" applyAlignment="1" applyFont="1" applyNumberFormat="1">
      <alignment horizontal="center" readingOrder="0" vertical="center"/>
    </xf>
    <xf borderId="0" fillId="40" fontId="33" numFmtId="49" xfId="0" applyAlignment="1" applyFill="1" applyFont="1" applyNumberFormat="1">
      <alignment horizontal="center" readingOrder="0" vertical="center"/>
    </xf>
    <xf borderId="0" fillId="37" fontId="441" numFmtId="49" xfId="0" applyAlignment="1" applyFill="1" applyFont="1" applyNumberFormat="1">
      <alignment horizontal="center" readingOrder="0" vertical="center"/>
    </xf>
    <xf borderId="0" fillId="25" fontId="47" numFmtId="49" xfId="0" applyAlignment="1" applyFill="1" applyFont="1" applyNumberFormat="1">
      <alignment vertical="center"/>
    </xf>
    <xf borderId="0" fillId="0" fontId="33" numFmtId="0" xfId="0" applyAlignment="1" applyFont="1">
      <alignment horizontal="center" readingOrder="0" vertical="center"/>
    </xf>
    <xf borderId="0" fillId="0" fontId="22" numFmtId="49" xfId="0" applyAlignment="1" applyFont="1" applyNumberFormat="1">
      <alignment horizontal="right" textRotation="0" vertical="center"/>
    </xf>
    <xf borderId="0" fillId="0" fontId="33" numFmtId="165" xfId="0" applyAlignment="1" applyFont="1" applyNumberFormat="1">
      <alignment horizontal="center" readingOrder="0" vertical="center"/>
    </xf>
    <xf borderId="0" fillId="29" fontId="43" numFmtId="49" xfId="0" applyAlignment="1" applyFill="1" applyFont="1" applyNumberFormat="1">
      <alignment horizontal="center" readingOrder="0" vertical="center"/>
    </xf>
    <xf borderId="0" fillId="37" fontId="442" numFmtId="49" xfId="0" applyAlignment="1" applyFill="1" applyFont="1" applyNumberFormat="1">
      <alignment horizontal="center" readingOrder="0" vertical="center"/>
    </xf>
    <xf borderId="0" fillId="37" fontId="443" numFmtId="49" xfId="0" applyAlignment="1" applyFill="1" applyFont="1" applyNumberFormat="1">
      <alignment horizontal="center" readingOrder="0" vertical="center"/>
    </xf>
    <xf borderId="0" fillId="40" fontId="43"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25" fontId="43" numFmtId="49" xfId="0" applyAlignment="1" applyFill="1" applyFont="1" applyNumberFormat="1">
      <alignment horizontal="left" readingOrder="0" vertical="center"/>
    </xf>
    <xf borderId="0" fillId="43" fontId="24" numFmtId="49" xfId="0" applyAlignment="1" applyFill="1" applyFont="1" applyNumberFormat="1">
      <alignment horizontal="center" vertical="center"/>
    </xf>
    <xf borderId="0" fillId="25" fontId="47" numFmtId="49" xfId="0" applyAlignment="1" applyFill="1" applyFont="1" applyNumberFormat="1">
      <alignment horizontal="left" readingOrder="0" vertical="center"/>
    </xf>
    <xf borderId="0" fillId="4" fontId="24" numFmtId="49" xfId="0" applyAlignment="1" applyFill="1" applyFont="1" applyNumberFormat="1">
      <alignment horizontal="right" readingOrder="0" vertical="center"/>
    </xf>
    <xf borderId="0" fillId="4" fontId="43" numFmtId="165" xfId="0" applyAlignment="1" applyFill="1" applyFont="1" applyNumberFormat="1">
      <alignment horizontal="center" readingOrder="0" vertical="center"/>
    </xf>
    <xf borderId="0" fillId="59" fontId="444" numFmtId="49" xfId="0" applyAlignment="1" applyFill="1" applyFont="1" applyNumberFormat="1">
      <alignment horizontal="center" readingOrder="0" vertical="center"/>
    </xf>
    <xf borderId="0" fillId="25" fontId="445" numFmtId="49" xfId="0" applyAlignment="1" applyFill="1" applyFont="1" applyNumberFormat="1">
      <alignment horizontal="center" vertical="center"/>
    </xf>
    <xf borderId="12" fillId="37" fontId="446" numFmtId="49" xfId="0" applyAlignment="1" applyBorder="1" applyFill="1" applyFont="1" applyNumberFormat="1">
      <alignment horizontal="center" readingOrder="0" vertical="center"/>
    </xf>
    <xf borderId="0" fillId="37" fontId="447" numFmtId="49" xfId="0" applyAlignment="1" applyFill="1" applyFont="1" applyNumberFormat="1">
      <alignment horizontal="center" readingOrder="0" vertical="center"/>
    </xf>
    <xf borderId="0" fillId="33" fontId="448" numFmtId="49" xfId="0" applyAlignment="1" applyFill="1" applyFont="1" applyNumberFormat="1">
      <alignment horizontal="center" readingOrder="0" vertical="center"/>
    </xf>
    <xf borderId="0" fillId="25" fontId="33" numFmtId="49" xfId="0" applyAlignment="1" applyFill="1" applyFont="1" applyNumberFormat="1">
      <alignment horizontal="center" readingOrder="0" vertical="center"/>
    </xf>
    <xf borderId="0" fillId="38" fontId="449" numFmtId="49" xfId="0" applyAlignment="1" applyFill="1" applyFont="1" applyNumberFormat="1">
      <alignment horizontal="center" readingOrder="0" vertical="center"/>
    </xf>
    <xf borderId="12" fillId="38" fontId="450" numFmtId="49" xfId="0" applyAlignment="1" applyBorder="1" applyFill="1" applyFont="1" applyNumberFormat="1">
      <alignment horizontal="center" readingOrder="0" vertical="center"/>
    </xf>
    <xf borderId="12" fillId="25" fontId="451" numFmtId="49" xfId="0" applyAlignment="1" applyBorder="1" applyFill="1" applyFont="1" applyNumberFormat="1">
      <alignment horizontal="center" readingOrder="0" vertical="center"/>
    </xf>
    <xf borderId="12" fillId="29" fontId="452" numFmtId="49" xfId="0" applyAlignment="1" applyBorder="1" applyFill="1" applyFont="1" applyNumberFormat="1">
      <alignment horizontal="center" readingOrder="0" vertical="center"/>
    </xf>
    <xf borderId="0" fillId="40" fontId="453" numFmtId="49" xfId="0" applyAlignment="1" applyFill="1" applyFont="1" applyNumberFormat="1">
      <alignment horizontal="center" readingOrder="0" vertical="center"/>
    </xf>
    <xf borderId="0" fillId="41" fontId="454" numFmtId="49" xfId="0" applyAlignment="1" applyFill="1" applyFont="1" applyNumberFormat="1">
      <alignment horizontal="center" readingOrder="0" vertical="center"/>
    </xf>
    <xf borderId="0" fillId="59" fontId="455" numFmtId="49" xfId="0" applyAlignment="1" applyFill="1" applyFont="1" applyNumberFormat="1">
      <alignment horizontal="center" readingOrder="0" vertical="center"/>
    </xf>
    <xf borderId="0" fillId="38" fontId="47" numFmtId="49" xfId="0" applyAlignment="1" applyFill="1" applyFont="1" applyNumberFormat="1">
      <alignment horizontal="center" readingOrder="0" vertical="center"/>
    </xf>
    <xf borderId="0" fillId="5" fontId="43" numFmtId="49" xfId="0" applyAlignment="1" applyFill="1" applyFont="1" applyNumberFormat="1">
      <alignment horizontal="center" vertical="center"/>
    </xf>
    <xf borderId="0" fillId="5" fontId="47" numFmtId="49" xfId="0" applyAlignment="1" applyFill="1" applyFont="1" applyNumberFormat="1">
      <alignment vertical="center"/>
    </xf>
    <xf borderId="0" fillId="37" fontId="43" numFmtId="49" xfId="0" applyAlignment="1" applyFill="1" applyFont="1" applyNumberFormat="1">
      <alignment horizontal="center" vertical="center"/>
    </xf>
    <xf borderId="0" fillId="38" fontId="43" numFmtId="49" xfId="0" applyAlignment="1" applyFill="1" applyFont="1" applyNumberFormat="1">
      <alignment horizontal="center" vertical="center"/>
    </xf>
    <xf borderId="0" fillId="40" fontId="43" numFmtId="49" xfId="0" applyAlignment="1" applyFill="1" applyFont="1" applyNumberFormat="1">
      <alignment horizontal="center" vertical="center"/>
    </xf>
    <xf borderId="0" fillId="0" fontId="43" numFmtId="0" xfId="0" applyAlignment="1" applyFont="1">
      <alignment horizontal="center" vertical="bottom"/>
    </xf>
    <xf borderId="0" fillId="0" fontId="43" numFmtId="49" xfId="0" applyAlignment="1" applyFont="1" applyNumberFormat="1">
      <alignment horizontal="center" vertical="bottom"/>
    </xf>
    <xf borderId="0" fillId="4" fontId="456" numFmtId="49" xfId="0" applyAlignment="1" applyFill="1" applyFont="1" applyNumberFormat="1">
      <alignment horizontal="right" readingOrder="0" vertical="center"/>
    </xf>
    <xf borderId="0" fillId="0" fontId="43" numFmtId="49" xfId="0" applyAlignment="1" applyFont="1" applyNumberFormat="1">
      <alignment horizontal="center" readingOrder="0" vertical="bottom"/>
    </xf>
    <xf borderId="0" fillId="0" fontId="33" numFmtId="21" xfId="0" applyAlignment="1" applyFont="1" applyNumberFormat="1">
      <alignment horizontal="center" readingOrder="0"/>
    </xf>
    <xf borderId="0" fillId="0" fontId="33" numFmtId="49" xfId="0" applyAlignment="1" applyFont="1" applyNumberFormat="1">
      <alignment horizontal="center" readingOrder="0"/>
    </xf>
    <xf borderId="0" fillId="29" fontId="457" numFmtId="49" xfId="0" applyAlignment="1" applyFill="1" applyFont="1" applyNumberFormat="1">
      <alignment horizontal="center" vertical="center"/>
    </xf>
    <xf borderId="0" fillId="0" fontId="33" numFmtId="0" xfId="0" applyAlignment="1" applyFont="1">
      <alignment horizontal="center" readingOrder="0"/>
    </xf>
    <xf borderId="0" fillId="29" fontId="458" numFmtId="49" xfId="0" applyAlignment="1" applyFill="1" applyFont="1" applyNumberFormat="1">
      <alignment horizontal="center" readingOrder="0" vertical="center"/>
    </xf>
    <xf borderId="0" fillId="29" fontId="43" numFmtId="49" xfId="0" applyAlignment="1" applyFill="1" applyFont="1" applyNumberFormat="1">
      <alignment horizontal="center" vertical="center"/>
    </xf>
    <xf borderId="0" fillId="25" fontId="43" numFmtId="49" xfId="0" applyAlignment="1" applyFill="1" applyFont="1" applyNumberFormat="1">
      <alignment horizontal="center" readingOrder="0" vertical="center"/>
    </xf>
    <xf borderId="0" fillId="29" fontId="459"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38" fontId="43" numFmtId="49" xfId="0" applyAlignment="1" applyFill="1" applyFont="1" applyNumberFormat="1">
      <alignment horizontal="center" vertical="center"/>
    </xf>
    <xf borderId="0" fillId="38" fontId="460" numFmtId="49" xfId="0" applyAlignment="1" applyFill="1" applyFont="1" applyNumberFormat="1">
      <alignment horizontal="center" readingOrder="0" vertical="center"/>
    </xf>
    <xf borderId="0" fillId="25" fontId="22" numFmtId="49" xfId="0" applyAlignment="1" applyFill="1" applyFont="1" applyNumberFormat="1">
      <alignment horizontal="center" readingOrder="0" vertical="center"/>
    </xf>
    <xf borderId="0" fillId="38" fontId="461" numFmtId="49" xfId="0" applyAlignment="1" applyFill="1" applyFont="1" applyNumberFormat="1">
      <alignment horizontal="center" vertical="center"/>
    </xf>
    <xf borderId="0" fillId="0" fontId="25" numFmtId="49" xfId="0" applyAlignment="1" applyFont="1" applyNumberFormat="1">
      <alignment horizontal="right" vertical="center"/>
    </xf>
    <xf borderId="0" fillId="25" fontId="47" numFmtId="49" xfId="0" applyAlignment="1" applyFill="1" applyFont="1" applyNumberFormat="1">
      <alignment horizontal="center" readingOrder="0" vertical="center"/>
    </xf>
    <xf borderId="11" fillId="25" fontId="391" numFmtId="49" xfId="0" applyAlignment="1" applyBorder="1" applyFill="1" applyFont="1" applyNumberFormat="1">
      <alignment horizontal="center" vertical="center"/>
    </xf>
    <xf borderId="0" fillId="25" fontId="462" numFmtId="49" xfId="0" applyAlignment="1" applyFill="1" applyFont="1" applyNumberFormat="1">
      <alignment horizontal="center" readingOrder="0" vertical="center"/>
    </xf>
    <xf borderId="0" fillId="5" fontId="47" numFmtId="49" xfId="0" applyAlignment="1" applyFill="1" applyFont="1" applyNumberFormat="1">
      <alignment horizontal="left" readingOrder="0" vertical="center"/>
    </xf>
    <xf borderId="0" fillId="0" fontId="47" numFmtId="49" xfId="0" applyAlignment="1" applyFont="1" applyNumberFormat="1">
      <alignment horizontal="center" vertical="center"/>
    </xf>
    <xf borderId="12" fillId="25" fontId="392" numFmtId="49" xfId="0" applyAlignment="1" applyBorder="1" applyFill="1" applyFont="1" applyNumberFormat="1">
      <alignment horizontal="center" readingOrder="0" vertical="center"/>
    </xf>
    <xf borderId="0" fillId="39" fontId="463" numFmtId="49" xfId="0" applyAlignment="1" applyFill="1" applyFont="1" applyNumberFormat="1">
      <alignment horizontal="center" readingOrder="0" vertical="center"/>
    </xf>
    <xf borderId="0" fillId="39" fontId="43" numFmtId="49" xfId="0" applyAlignment="1" applyFill="1" applyFont="1" applyNumberFormat="1">
      <alignment horizontal="center" vertical="center"/>
    </xf>
    <xf borderId="0" fillId="39" fontId="464" numFmtId="49" xfId="0" applyAlignment="1" applyFill="1" applyFont="1" applyNumberFormat="1">
      <alignment horizontal="center" vertical="center"/>
    </xf>
    <xf borderId="0" fillId="37" fontId="465" numFmtId="49" xfId="0" applyAlignment="1" applyFill="1" applyFont="1" applyNumberFormat="1">
      <alignment horizontal="center" vertical="center"/>
    </xf>
    <xf borderId="0" fillId="39" fontId="466" numFmtId="49" xfId="0" applyAlignment="1" applyFill="1" applyFont="1" applyNumberFormat="1">
      <alignment horizontal="center" readingOrder="0" vertical="center"/>
    </xf>
    <xf borderId="0" fillId="33" fontId="467" numFmtId="49" xfId="0" applyAlignment="1" applyFill="1" applyFont="1" applyNumberFormat="1">
      <alignment horizontal="center" vertical="center"/>
    </xf>
    <xf borderId="0" fillId="33" fontId="468" numFmtId="49" xfId="0" applyAlignment="1" applyFill="1" applyFont="1" applyNumberFormat="1">
      <alignment horizontal="center" vertical="center"/>
    </xf>
    <xf borderId="0" fillId="38" fontId="469" numFmtId="49" xfId="0" applyAlignment="1" applyFill="1" applyFont="1" applyNumberFormat="1">
      <alignment horizontal="center" vertical="center"/>
    </xf>
    <xf borderId="0" fillId="29" fontId="470" numFmtId="49" xfId="0" applyAlignment="1" applyFill="1" applyFont="1" applyNumberFormat="1">
      <alignment horizontal="center" vertical="center"/>
    </xf>
    <xf borderId="0" fillId="33" fontId="471" numFmtId="49" xfId="0" applyAlignment="1" applyFill="1" applyFont="1" applyNumberFormat="1">
      <alignment horizontal="center" vertical="center"/>
    </xf>
    <xf borderId="0" fillId="33" fontId="472" numFmtId="49" xfId="0" applyAlignment="1" applyFill="1" applyFont="1" applyNumberFormat="1">
      <alignment horizontal="center" readingOrder="0" vertical="center"/>
    </xf>
    <xf borderId="0" fillId="33" fontId="43" numFmtId="49" xfId="0" applyAlignment="1" applyFill="1" applyFont="1" applyNumberFormat="1">
      <alignment horizontal="center" vertical="center"/>
    </xf>
    <xf borderId="0" fillId="78" fontId="24" numFmtId="49" xfId="0" applyAlignment="1" applyFill="1" applyFont="1" applyNumberFormat="1">
      <alignment horizontal="center" readingOrder="0" vertical="center"/>
    </xf>
    <xf borderId="0" fillId="33" fontId="47" numFmtId="49" xfId="0" applyAlignment="1" applyFill="1" applyFont="1" applyNumberFormat="1">
      <alignment horizontal="center" vertical="center"/>
    </xf>
    <xf borderId="0" fillId="40" fontId="43" numFmtId="49" xfId="0" applyAlignment="1" applyFill="1" applyFont="1" applyNumberFormat="1">
      <alignment horizontal="center" vertical="center"/>
    </xf>
    <xf borderId="0" fillId="0" fontId="43" numFmtId="165" xfId="0" applyAlignment="1" applyFont="1" applyNumberFormat="1">
      <alignment horizontal="center" vertical="center"/>
    </xf>
    <xf borderId="0" fillId="40" fontId="473" numFmtId="49" xfId="0" applyAlignment="1" applyFill="1" applyFont="1" applyNumberFormat="1">
      <alignment horizontal="center" vertical="center"/>
    </xf>
    <xf borderId="0" fillId="40" fontId="474" numFmtId="49" xfId="0" applyAlignment="1" applyFill="1" applyFont="1" applyNumberFormat="1">
      <alignment horizontal="center" readingOrder="0" vertical="center"/>
    </xf>
    <xf borderId="0" fillId="25" fontId="226" numFmtId="49" xfId="0" applyAlignment="1" applyFill="1" applyFont="1" applyNumberFormat="1">
      <alignment horizontal="center" readingOrder="0" vertical="center"/>
    </xf>
    <xf borderId="0" fillId="39" fontId="475" numFmtId="49" xfId="0" applyAlignment="1" applyFill="1" applyFont="1" applyNumberFormat="1">
      <alignment horizontal="center" vertical="center"/>
    </xf>
    <xf borderId="0" fillId="77" fontId="390" numFmtId="49" xfId="0" applyAlignment="1" applyFill="1" applyFont="1" applyNumberFormat="1">
      <alignment horizontal="center" readingOrder="0" vertical="center"/>
    </xf>
    <xf borderId="0" fillId="40" fontId="47" numFmtId="49" xfId="0" applyAlignment="1" applyFill="1" applyFont="1" applyNumberFormat="1">
      <alignment horizontal="center" vertical="center"/>
    </xf>
    <xf borderId="0" fillId="71" fontId="24" numFmtId="166" xfId="0" applyAlignment="1" applyFill="1" applyFont="1" applyNumberFormat="1">
      <alignment horizontal="center" readingOrder="0" vertical="center"/>
    </xf>
    <xf borderId="0" fillId="78" fontId="390" numFmtId="49" xfId="0" applyAlignment="1" applyFill="1" applyFont="1" applyNumberFormat="1">
      <alignment horizontal="center" readingOrder="0" vertical="center"/>
    </xf>
    <xf borderId="0" fillId="69" fontId="390" numFmtId="49" xfId="0" applyAlignment="1" applyFill="1" applyFont="1" applyNumberFormat="1">
      <alignment horizontal="center" readingOrder="0" vertical="center"/>
    </xf>
    <xf borderId="0" fillId="41" fontId="476" numFmtId="49" xfId="0" applyAlignment="1" applyFill="1" applyFont="1" applyNumberFormat="1">
      <alignment horizontal="center" readingOrder="0" vertical="center"/>
    </xf>
    <xf borderId="0" fillId="79" fontId="390" numFmtId="49" xfId="0" applyAlignment="1" applyFill="1" applyFont="1" applyNumberFormat="1">
      <alignment horizontal="center" readingOrder="0" vertical="center"/>
    </xf>
    <xf borderId="0" fillId="10" fontId="390" numFmtId="49" xfId="0" applyAlignment="1" applyFill="1" applyFont="1" applyNumberFormat="1">
      <alignment horizontal="center" readingOrder="0" vertical="center"/>
    </xf>
    <xf borderId="0" fillId="21" fontId="390" numFmtId="49" xfId="0" applyAlignment="1" applyFill="1" applyFont="1" applyNumberFormat="1">
      <alignment horizontal="center" readingOrder="0" vertical="center"/>
    </xf>
    <xf borderId="0" fillId="76" fontId="24" numFmtId="46" xfId="0" applyAlignment="1" applyFill="1" applyFont="1" applyNumberFormat="1">
      <alignment horizontal="center" readingOrder="0" vertical="center"/>
    </xf>
    <xf borderId="0" fillId="76" fontId="24" numFmtId="49" xfId="0" applyAlignment="1" applyFill="1" applyFont="1" applyNumberFormat="1">
      <alignment horizontal="left" readingOrder="0" vertical="center"/>
    </xf>
    <xf borderId="0" fillId="47" fontId="24" numFmtId="49" xfId="0" applyAlignment="1" applyFill="1" applyFont="1" applyNumberFormat="1">
      <alignment horizontal="right" vertical="center"/>
    </xf>
    <xf borderId="0" fillId="47" fontId="24" numFmtId="49" xfId="0" applyAlignment="1" applyFill="1" applyFont="1" applyNumberFormat="1">
      <alignment horizontal="center" vertical="center"/>
    </xf>
    <xf borderId="0" fillId="5" fontId="391" numFmtId="46" xfId="0" applyAlignment="1" applyFill="1" applyFont="1" applyNumberFormat="1">
      <alignment horizontal="center" readingOrder="0" vertical="center"/>
    </xf>
    <xf borderId="0" fillId="40" fontId="477" numFmtId="49" xfId="0" applyAlignment="1" applyFill="1" applyFont="1" applyNumberFormat="1">
      <alignment horizontal="center" vertical="center"/>
    </xf>
    <xf borderId="0" fillId="41" fontId="478" numFmtId="49" xfId="0" applyAlignment="1" applyFill="1" applyFont="1" applyNumberFormat="1">
      <alignment horizontal="center" vertical="center"/>
    </xf>
    <xf borderId="0" fillId="41" fontId="479" numFmtId="49" xfId="0" applyAlignment="1" applyFill="1" applyFont="1" applyNumberFormat="1">
      <alignment horizontal="center" vertical="center"/>
    </xf>
    <xf borderId="0" fillId="65" fontId="391" numFmtId="4" xfId="0" applyAlignment="1" applyFill="1" applyFont="1" applyNumberFormat="1">
      <alignment horizontal="center" readingOrder="0" vertical="center"/>
    </xf>
    <xf borderId="0" fillId="75" fontId="391" numFmtId="49" xfId="0" applyAlignment="1" applyFill="1" applyFont="1" applyNumberFormat="1">
      <alignment horizontal="center" readingOrder="0" vertical="center"/>
    </xf>
    <xf borderId="0" fillId="41" fontId="480" numFmtId="49" xfId="0" applyAlignment="1" applyFill="1" applyFont="1" applyNumberFormat="1">
      <alignment horizontal="center" vertical="center"/>
    </xf>
    <xf borderId="0" fillId="5" fontId="43" numFmtId="49" xfId="0" applyAlignment="1" applyFill="1" applyFont="1" applyNumberFormat="1">
      <alignment vertical="center"/>
    </xf>
    <xf borderId="0" fillId="68" fontId="391" numFmtId="4" xfId="0" applyAlignment="1" applyFill="1" applyFont="1" applyNumberFormat="1">
      <alignment horizontal="center" readingOrder="0" vertical="center"/>
    </xf>
    <xf borderId="0" fillId="41" fontId="43" numFmtId="49" xfId="0" applyAlignment="1" applyFill="1" applyFont="1" applyNumberFormat="1">
      <alignment horizontal="center" vertical="center"/>
    </xf>
    <xf borderId="0" fillId="0" fontId="43" numFmtId="49" xfId="0" applyAlignment="1" applyFont="1" applyNumberFormat="1">
      <alignment horizontal="center" readingOrder="0"/>
    </xf>
    <xf borderId="0" fillId="37" fontId="43" numFmtId="49" xfId="0" applyAlignment="1" applyFill="1" applyFont="1" applyNumberFormat="1">
      <alignment horizontal="center" readingOrder="0" vertical="center"/>
    </xf>
    <xf borderId="0" fillId="37" fontId="481" numFmtId="49" xfId="0" applyAlignment="1" applyFill="1" applyFont="1" applyNumberFormat="1">
      <alignment horizontal="center" vertical="center"/>
    </xf>
    <xf borderId="0" fillId="81" fontId="391" numFmtId="4" xfId="0" applyAlignment="1" applyFill="1" applyFont="1" applyNumberFormat="1">
      <alignment horizontal="center" readingOrder="0" vertical="center"/>
    </xf>
    <xf borderId="0" fillId="45" fontId="391" numFmtId="4" xfId="0" applyAlignment="1" applyFill="1" applyFont="1" applyNumberFormat="1">
      <alignment horizontal="center" readingOrder="0" vertical="center"/>
    </xf>
    <xf borderId="0" fillId="37" fontId="482" numFmtId="49" xfId="0" applyAlignment="1" applyFill="1" applyFont="1" applyNumberFormat="1">
      <alignment horizontal="center" readingOrder="0" vertical="center"/>
    </xf>
    <xf borderId="0" fillId="83" fontId="391" numFmtId="49" xfId="0" applyAlignment="1" applyFill="1" applyFont="1" applyNumberFormat="1">
      <alignment horizontal="center" readingOrder="0" vertical="center"/>
    </xf>
    <xf borderId="0" fillId="37" fontId="43" numFmtId="49" xfId="0" applyAlignment="1" applyFill="1" applyFont="1" applyNumberFormat="1">
      <alignment horizontal="center" vertical="center"/>
    </xf>
    <xf borderId="0" fillId="86" fontId="391" numFmtId="49" xfId="0" applyAlignment="1" applyFill="1" applyFont="1" applyNumberFormat="1">
      <alignment horizontal="center" readingOrder="0" vertical="center"/>
    </xf>
    <xf borderId="0" fillId="5" fontId="391" numFmtId="46" xfId="0" applyAlignment="1" applyFill="1" applyFont="1" applyNumberFormat="1">
      <alignment horizontal="center" vertical="center"/>
    </xf>
    <xf borderId="0" fillId="5" fontId="391" numFmtId="49" xfId="0" applyAlignment="1" applyFill="1" applyFont="1" applyNumberFormat="1">
      <alignment horizontal="left" vertical="center"/>
    </xf>
    <xf borderId="0" fillId="43" fontId="24" numFmtId="49" xfId="0" applyAlignment="1" applyFill="1" applyFont="1" applyNumberFormat="1">
      <alignment horizontal="right" vertical="center"/>
    </xf>
    <xf borderId="0" fillId="43" fontId="24" numFmtId="49" xfId="0" applyAlignment="1" applyFill="1" applyFont="1" applyNumberFormat="1">
      <alignment horizontal="center" vertical="center"/>
    </xf>
    <xf borderId="0" fillId="25" fontId="392" numFmtId="46" xfId="0" applyAlignment="1" applyFill="1" applyFont="1" applyNumberFormat="1">
      <alignment horizontal="center" readingOrder="0" vertical="center"/>
    </xf>
    <xf borderId="0" fillId="59" fontId="43" numFmtId="49" xfId="0" applyAlignment="1" applyFill="1" applyFont="1" applyNumberFormat="1">
      <alignment horizontal="center" vertical="center"/>
    </xf>
    <xf borderId="0" fillId="25" fontId="392" numFmtId="46" xfId="0" applyAlignment="1" applyFill="1" applyFont="1" applyNumberFormat="1">
      <alignment horizontal="center" vertical="center"/>
    </xf>
    <xf borderId="0" fillId="25" fontId="391" numFmtId="49" xfId="0" applyAlignment="1" applyFill="1" applyFont="1" applyNumberFormat="1">
      <alignment horizontal="left" vertical="center"/>
    </xf>
    <xf borderId="0" fillId="34" fontId="24" numFmtId="49" xfId="0" applyAlignment="1" applyFill="1" applyFont="1" applyNumberFormat="1">
      <alignment horizontal="right" vertical="center"/>
    </xf>
    <xf borderId="0" fillId="34" fontId="24" numFmtId="49" xfId="0" applyAlignment="1" applyFill="1" applyFont="1" applyNumberFormat="1">
      <alignment horizontal="center" vertical="center"/>
    </xf>
    <xf borderId="0" fillId="59" fontId="483" numFmtId="49" xfId="0" applyAlignment="1" applyFill="1" applyFont="1" applyNumberFormat="1">
      <alignment horizontal="center" vertical="center"/>
    </xf>
    <xf borderId="0" fillId="5" fontId="393" numFmtId="46" xfId="0" applyAlignment="1" applyFill="1" applyFont="1" applyNumberFormat="1">
      <alignment horizontal="center" readingOrder="0" vertical="center"/>
    </xf>
    <xf borderId="0" fillId="81" fontId="393" numFmtId="49" xfId="0" applyAlignment="1" applyFill="1" applyFont="1" applyNumberFormat="1">
      <alignment horizontal="center" readingOrder="0" vertical="center"/>
    </xf>
    <xf borderId="0" fillId="65" fontId="393" numFmtId="166" xfId="0" applyAlignment="1" applyFill="1" applyFont="1" applyNumberFormat="1">
      <alignment horizontal="center" readingOrder="0" vertical="center"/>
    </xf>
    <xf borderId="0" fillId="75" fontId="393" numFmtId="49" xfId="0" applyAlignment="1" applyFill="1" applyFont="1" applyNumberFormat="1">
      <alignment horizontal="center" readingOrder="0" vertical="center"/>
    </xf>
    <xf borderId="0" fillId="68" fontId="393" numFmtId="49" xfId="0" applyAlignment="1" applyFill="1" applyFont="1" applyNumberFormat="1">
      <alignment horizontal="center" readingOrder="0" vertical="center"/>
    </xf>
    <xf borderId="0" fillId="82" fontId="393" numFmtId="49" xfId="0" applyAlignment="1" applyFill="1" applyFont="1" applyNumberFormat="1">
      <alignment horizontal="center" readingOrder="0" vertical="center"/>
    </xf>
    <xf borderId="0" fillId="45" fontId="393" numFmtId="49" xfId="0" applyAlignment="1" applyFill="1" applyFont="1" applyNumberFormat="1">
      <alignment horizontal="center" readingOrder="0" vertical="center"/>
    </xf>
    <xf borderId="0" fillId="83" fontId="393" numFmtId="49" xfId="0" applyAlignment="1" applyFill="1" applyFont="1" applyNumberFormat="1">
      <alignment horizontal="center" readingOrder="0" vertical="center"/>
    </xf>
    <xf borderId="0" fillId="87" fontId="393" numFmtId="49" xfId="0" applyAlignment="1" applyFill="1" applyFont="1" applyNumberFormat="1">
      <alignment horizontal="center" readingOrder="0" vertical="center"/>
    </xf>
    <xf borderId="0" fillId="5" fontId="393" numFmtId="46" xfId="0" applyAlignment="1" applyFill="1" applyFont="1" applyNumberFormat="1">
      <alignment horizontal="center" vertical="center"/>
    </xf>
    <xf borderId="0" fillId="34" fontId="24" numFmtId="49" xfId="0" applyAlignment="1" applyFill="1" applyFont="1" applyNumberFormat="1">
      <alignment horizontal="center" readingOrder="0" vertical="center"/>
    </xf>
    <xf borderId="0" fillId="25" fontId="391" numFmtId="46" xfId="0" applyAlignment="1" applyFill="1" applyFont="1" applyNumberFormat="1">
      <alignment horizontal="center" readingOrder="0" vertical="center"/>
    </xf>
    <xf borderId="11" fillId="25" fontId="484" numFmtId="49" xfId="0" applyAlignment="1" applyBorder="1" applyFill="1" applyFont="1" applyNumberFormat="1">
      <alignment horizontal="center" readingOrder="0" vertical="center"/>
    </xf>
    <xf borderId="0" fillId="59" fontId="43" numFmtId="49" xfId="0" applyAlignment="1" applyFill="1" applyFont="1" applyNumberFormat="1">
      <alignment horizontal="center" readingOrder="0" vertical="center"/>
    </xf>
    <xf borderId="11" fillId="25" fontId="485" numFmtId="49" xfId="0" applyAlignment="1" applyBorder="1" applyFill="1" applyFont="1" applyNumberFormat="1">
      <alignment horizontal="center" readingOrder="0" vertical="center"/>
    </xf>
    <xf borderId="0" fillId="59" fontId="486" numFmtId="49" xfId="0" applyAlignment="1" applyFill="1" applyFont="1" applyNumberFormat="1">
      <alignment horizontal="center" readingOrder="0" vertical="center"/>
    </xf>
    <xf borderId="11" fillId="25" fontId="391" numFmtId="46" xfId="0" applyAlignment="1" applyBorder="1" applyFill="1" applyFont="1" applyNumberFormat="1">
      <alignment horizontal="center" readingOrder="0" vertical="center"/>
    </xf>
    <xf borderId="0" fillId="0" fontId="47" numFmtId="46" xfId="0" applyAlignment="1" applyFont="1" applyNumberFormat="1">
      <alignment horizontal="center" vertical="center"/>
    </xf>
    <xf borderId="0" fillId="4" fontId="22" numFmtId="0" xfId="0" applyAlignment="1" applyFill="1" applyFont="1">
      <alignment horizontal="right" readingOrder="0" vertical="center"/>
    </xf>
    <xf borderId="0" fillId="4" fontId="22" numFmtId="0" xfId="0" applyAlignment="1" applyFill="1" applyFont="1">
      <alignment horizontal="center" readingOrder="0" vertical="center"/>
    </xf>
    <xf borderId="0" fillId="4" fontId="43" numFmtId="46" xfId="0" applyAlignment="1" applyFill="1" applyFont="1" applyNumberFormat="1">
      <alignment horizontal="center" readingOrder="0" vertical="center"/>
    </xf>
    <xf borderId="0" fillId="0" fontId="487" numFmtId="49" xfId="0" applyAlignment="1" applyFont="1" applyNumberFormat="1">
      <alignment horizontal="center" readingOrder="0"/>
    </xf>
    <xf borderId="0" fillId="25" fontId="488" numFmtId="0" xfId="0" applyAlignment="1" applyFill="1" applyFont="1">
      <alignment horizontal="center" readingOrder="0" vertical="center"/>
    </xf>
    <xf borderId="0" fillId="25" fontId="489" numFmtId="49" xfId="0" applyAlignment="1" applyFill="1" applyFont="1" applyNumberFormat="1">
      <alignment horizontal="center" readingOrder="0" vertical="center"/>
    </xf>
    <xf borderId="0" fillId="25" fontId="226" numFmtId="49" xfId="0" applyAlignment="1" applyFill="1" applyFont="1" applyNumberFormat="1">
      <alignment horizontal="center" readingOrder="0" vertical="center"/>
    </xf>
    <xf borderId="0" fillId="0" fontId="43" numFmtId="49" xfId="0" applyAlignment="1" applyFont="1" applyNumberFormat="1">
      <alignment horizontal="center" readingOrder="0" vertical="center"/>
    </xf>
    <xf borderId="0" fillId="0" fontId="490" numFmtId="49" xfId="0" applyAlignment="1" applyFont="1" applyNumberFormat="1">
      <alignment horizontal="center" readingOrder="0" vertical="center"/>
    </xf>
    <xf borderId="0" fillId="25" fontId="43" numFmtId="46" xfId="0" applyAlignment="1" applyFill="1" applyFont="1" applyNumberFormat="1">
      <alignment horizontal="center" readingOrder="0" vertical="center"/>
    </xf>
    <xf borderId="0" fillId="25" fontId="24" numFmtId="49" xfId="0" applyAlignment="1" applyFill="1" applyFont="1" applyNumberFormat="1">
      <alignment horizontal="right" vertical="center"/>
    </xf>
    <xf borderId="0" fillId="25" fontId="43" numFmtId="46"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0" fontId="47" numFmtId="46" xfId="0" applyAlignment="1" applyFont="1" applyNumberFormat="1">
      <alignment horizontal="center" vertical="center"/>
    </xf>
    <xf borderId="11" fillId="41" fontId="491" numFmtId="49" xfId="0" applyAlignment="1" applyBorder="1" applyFill="1" applyFont="1" applyNumberFormat="1">
      <alignment horizontal="center" readingOrder="0" vertical="center"/>
    </xf>
    <xf borderId="0" fillId="25" fontId="25" numFmtId="49" xfId="0" applyAlignment="1" applyFill="1" applyFont="1" applyNumberFormat="1">
      <alignment horizontal="right" readingOrder="0" vertical="center"/>
    </xf>
    <xf borderId="11" fillId="25" fontId="391" numFmtId="49" xfId="0" applyAlignment="1" applyBorder="1" applyFill="1" applyFont="1" applyNumberFormat="1">
      <alignment horizontal="center" readingOrder="0" vertical="center"/>
    </xf>
    <xf borderId="0" fillId="25" fontId="22" numFmtId="0" xfId="0" applyAlignment="1" applyFill="1" applyFont="1">
      <alignment horizontal="right" readingOrder="0" vertical="center"/>
    </xf>
    <xf borderId="0" fillId="25" fontId="22" numFmtId="0" xfId="0" applyAlignment="1" applyFill="1" applyFont="1">
      <alignment horizontal="center" readingOrder="0" vertical="center"/>
    </xf>
    <xf borderId="0" fillId="43" fontId="24" numFmtId="49" xfId="0" applyAlignment="1" applyFill="1" applyFont="1" applyNumberFormat="1">
      <alignment horizontal="center" readingOrder="0" vertical="center"/>
    </xf>
    <xf borderId="0" fillId="0" fontId="393" numFmtId="165" xfId="0" applyAlignment="1" applyFont="1" applyNumberFormat="1">
      <alignment horizontal="center" readingOrder="0" vertical="center"/>
    </xf>
    <xf borderId="13" fillId="29" fontId="393" numFmtId="49" xfId="0" applyAlignment="1" applyBorder="1" applyFill="1" applyFont="1" applyNumberFormat="1">
      <alignment horizontal="center" readingOrder="0" vertical="center"/>
    </xf>
    <xf borderId="13" fillId="25" fontId="393" numFmtId="49" xfId="0" applyAlignment="1" applyBorder="1" applyFill="1" applyFont="1" applyNumberFormat="1">
      <alignment horizontal="center" readingOrder="0" vertical="center"/>
    </xf>
    <xf borderId="0" fillId="47" fontId="24"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7" numFmtId="49" xfId="0" applyAlignment="1" applyFill="1" applyFont="1" applyNumberFormat="1">
      <alignment horizontal="center" readingOrder="0" vertical="center"/>
    </xf>
    <xf borderId="0" fillId="4" fontId="24" numFmtId="49" xfId="0" applyAlignment="1" applyFill="1" applyFont="1" applyNumberFormat="1">
      <alignment horizontal="right" vertical="center"/>
    </xf>
    <xf borderId="0" fillId="25" fontId="43" numFmtId="166" xfId="0" applyAlignment="1" applyFill="1" applyFont="1" applyNumberFormat="1">
      <alignment horizontal="center" readingOrder="0" vertical="center"/>
    </xf>
    <xf borderId="12" fillId="33" fontId="492" numFmtId="49" xfId="0" applyAlignment="1" applyBorder="1" applyFill="1" applyFont="1" applyNumberFormat="1">
      <alignment horizontal="center" readingOrder="0" vertical="center"/>
    </xf>
    <xf borderId="0" fillId="25" fontId="493" numFmtId="49" xfId="0" applyAlignment="1" applyFill="1" applyFont="1" applyNumberFormat="1">
      <alignment horizontal="center" vertical="center"/>
    </xf>
    <xf borderId="0" fillId="25" fontId="392" numFmtId="46" xfId="0" applyAlignment="1" applyFill="1" applyFont="1" applyNumberFormat="1">
      <alignment horizontal="center" readingOrder="0" vertical="center"/>
    </xf>
    <xf borderId="0" fillId="25" fontId="494" numFmtId="49" xfId="0" applyAlignment="1" applyFill="1" applyFont="1" applyNumberFormat="1">
      <alignment horizontal="center" readingOrder="0" vertical="center"/>
    </xf>
    <xf borderId="12" fillId="25" fontId="495" numFmtId="49" xfId="0" applyAlignment="1" applyBorder="1" applyFill="1" applyFont="1" applyNumberFormat="1">
      <alignment horizontal="center" readingOrder="0" vertical="center"/>
    </xf>
    <xf borderId="0" fillId="0" fontId="496" numFmtId="49" xfId="0" applyAlignment="1" applyFont="1" applyNumberFormat="1">
      <alignment horizontal="center" readingOrder="0" vertical="center"/>
    </xf>
    <xf borderId="0" fillId="0" fontId="497" numFmtId="49" xfId="0" applyAlignment="1" applyFont="1" applyNumberFormat="1">
      <alignment horizontal="center" readingOrder="0" vertical="center"/>
    </xf>
    <xf borderId="0" fillId="0" fontId="47" numFmtId="46" xfId="0" applyAlignment="1" applyFont="1" applyNumberFormat="1">
      <alignment horizontal="center" readingOrder="0" vertical="center"/>
    </xf>
    <xf borderId="0" fillId="29" fontId="392" numFmtId="49" xfId="0" applyAlignment="1" applyFill="1" applyFont="1" applyNumberFormat="1">
      <alignment horizontal="center" readingOrder="0" vertical="center"/>
    </xf>
    <xf borderId="12" fillId="25" fontId="392" numFmtId="49" xfId="0" applyAlignment="1" applyBorder="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0" fontId="47" numFmtId="49" xfId="0" applyAlignment="1" applyFont="1" applyNumberFormat="1">
      <alignment horizontal="left" readingOrder="0" vertical="center"/>
    </xf>
    <xf borderId="12" fillId="37" fontId="392" numFmtId="49" xfId="0" applyAlignment="1" applyBorder="1" applyFill="1" applyFont="1" applyNumberFormat="1">
      <alignment horizontal="center" readingOrder="0" vertical="center"/>
    </xf>
    <xf borderId="0" fillId="4" fontId="24" numFmtId="49" xfId="0" applyAlignment="1" applyFill="1" applyFont="1" applyNumberFormat="1">
      <alignment horizontal="right" textRotation="0" vertical="center"/>
    </xf>
    <xf borderId="0" fillId="0" fontId="33" numFmtId="46" xfId="0" applyAlignment="1" applyFont="1" applyNumberFormat="1">
      <alignment horizontal="center" readingOrder="0" vertical="center"/>
    </xf>
    <xf borderId="0" fillId="4" fontId="498" numFmtId="49" xfId="0" applyAlignment="1" applyFill="1" applyFont="1" applyNumberFormat="1">
      <alignment horizontal="right" readingOrder="0" vertical="center"/>
    </xf>
    <xf borderId="0" fillId="33" fontId="499" numFmtId="49" xfId="0" applyAlignment="1" applyFill="1" applyFont="1" applyNumberFormat="1">
      <alignment horizontal="center" vertical="center"/>
    </xf>
    <xf borderId="12" fillId="25" fontId="392" numFmtId="46" xfId="0" applyAlignment="1" applyBorder="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4" fontId="393" numFmtId="46" xfId="0" applyAlignment="1" applyFill="1" applyFont="1" applyNumberFormat="1">
      <alignment horizontal="center" readingOrder="0" vertical="center"/>
    </xf>
    <xf borderId="13" fillId="25" fontId="393" numFmtId="49" xfId="0" applyAlignment="1" applyBorder="1" applyFill="1" applyFont="1" applyNumberFormat="1">
      <alignment horizontal="center" readingOrder="0" vertical="center"/>
    </xf>
    <xf borderId="13" fillId="25" fontId="393" numFmtId="166" xfId="0" applyAlignment="1" applyBorder="1" applyFill="1" applyFont="1" applyNumberFormat="1">
      <alignment horizontal="center" readingOrder="0" vertical="center"/>
    </xf>
    <xf borderId="13" fillId="25" fontId="393" numFmtId="46" xfId="0" applyAlignment="1" applyBorder="1" applyFill="1" applyFont="1" applyNumberFormat="1">
      <alignment horizontal="center" readingOrder="0" vertical="center"/>
    </xf>
    <xf borderId="0" fillId="25" fontId="22" numFmtId="49" xfId="0" applyAlignment="1" applyFill="1" applyFont="1" applyNumberFormat="1">
      <alignment horizontal="right" readingOrder="0" vertical="center"/>
    </xf>
    <xf borderId="0" fillId="25" fontId="43" numFmtId="49" xfId="0" applyAlignment="1" applyFill="1" applyFont="1" applyNumberFormat="1">
      <alignment horizontal="center" readingOrder="0" vertical="center"/>
    </xf>
    <xf borderId="0" fillId="29" fontId="500" numFmtId="49" xfId="0" applyAlignment="1" applyFill="1" applyFont="1" applyNumberFormat="1">
      <alignment horizontal="center" readingOrder="0" vertical="center"/>
    </xf>
    <xf borderId="0" fillId="25" fontId="43" numFmtId="166"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25" fontId="22" numFmtId="0" xfId="0" applyAlignment="1" applyFill="1" applyFont="1">
      <alignment horizontal="right" readingOrder="0" vertical="center"/>
    </xf>
    <xf borderId="0" fillId="55" fontId="24" numFmtId="49" xfId="0" applyAlignment="1" applyFill="1" applyFont="1" applyNumberFormat="1">
      <alignment horizontal="center" readingOrder="0" vertical="center"/>
    </xf>
    <xf borderId="0" fillId="25" fontId="501" numFmtId="46" xfId="0" applyAlignment="1" applyFill="1" applyFont="1" applyNumberFormat="1">
      <alignment horizontal="center" readingOrder="0" vertical="center"/>
    </xf>
    <xf borderId="14" fillId="25" fontId="501" numFmtId="49" xfId="0" applyAlignment="1" applyBorder="1" applyFill="1" applyFont="1" applyNumberFormat="1">
      <alignment horizontal="center" readingOrder="0" vertical="center"/>
    </xf>
    <xf borderId="14" fillId="25" fontId="501" numFmtId="49" xfId="0" applyAlignment="1" applyBorder="1" applyFill="1" applyFont="1" applyNumberFormat="1">
      <alignment horizontal="center" readingOrder="0" vertical="center"/>
    </xf>
    <xf borderId="14" fillId="25" fontId="501" numFmtId="46" xfId="0" applyAlignment="1" applyBorder="1" applyFill="1" applyFont="1" applyNumberFormat="1">
      <alignment horizontal="center" readingOrder="0" vertical="center"/>
    </xf>
    <xf borderId="0" fillId="4" fontId="43" numFmtId="46" xfId="0" applyAlignment="1" applyFill="1" applyFont="1" applyNumberFormat="1">
      <alignment horizontal="center" readingOrder="0" vertical="center"/>
    </xf>
    <xf borderId="0" fillId="0" fontId="10" numFmtId="0" xfId="0" applyAlignment="1" applyFont="1">
      <alignment horizontal="center" readingOrder="0"/>
    </xf>
    <xf borderId="0" fillId="0" fontId="10" numFmtId="0" xfId="0" applyAlignment="1" applyFont="1">
      <alignment readingOrder="0"/>
    </xf>
    <xf borderId="0" fillId="0" fontId="43" numFmtId="165" xfId="0" applyAlignment="1" applyFont="1" applyNumberFormat="1">
      <alignment horizontal="center" readingOrder="0" vertical="center"/>
    </xf>
    <xf borderId="0" fillId="4" fontId="24" numFmtId="46" xfId="0" applyAlignment="1" applyFill="1" applyFont="1" applyNumberFormat="1">
      <alignment horizontal="center" readingOrder="0" vertical="center"/>
    </xf>
    <xf borderId="0" fillId="37" fontId="43" numFmtId="49" xfId="0" applyAlignment="1" applyFill="1" applyFont="1" applyNumberFormat="1">
      <alignment horizontal="center" readingOrder="0" vertical="center"/>
    </xf>
    <xf borderId="0" fillId="34" fontId="24" numFmtId="49" xfId="0" applyAlignment="1" applyFill="1" applyFont="1" applyNumberFormat="1">
      <alignment horizontal="center" vertical="center"/>
    </xf>
    <xf borderId="0" fillId="4" fontId="24" numFmtId="46" xfId="0" applyAlignment="1" applyFill="1" applyFont="1" applyNumberFormat="1">
      <alignment horizontal="center" vertical="center"/>
    </xf>
    <xf borderId="0" fillId="38" fontId="502" numFmtId="49" xfId="0" applyAlignment="1" applyFill="1" applyFont="1" applyNumberFormat="1">
      <alignment horizontal="center" readingOrder="0" vertical="center"/>
    </xf>
    <xf borderId="0" fillId="25" fontId="22" numFmtId="46" xfId="0" applyAlignment="1" applyFill="1" applyFont="1" applyNumberFormat="1">
      <alignment horizontal="center" readingOrder="0" vertical="center"/>
    </xf>
    <xf borderId="0" fillId="25" fontId="24" numFmtId="46" xfId="0" applyAlignment="1" applyFill="1" applyFont="1" applyNumberFormat="1">
      <alignment horizontal="center" vertical="center"/>
    </xf>
    <xf borderId="0" fillId="41" fontId="43" numFmtId="49" xfId="0" applyAlignment="1" applyFill="1" applyFont="1" applyNumberFormat="1">
      <alignment horizontal="center" readingOrder="0" vertical="center"/>
    </xf>
    <xf borderId="13" fillId="25" fontId="393" numFmtId="49" xfId="0" applyAlignment="1" applyBorder="1" applyFill="1" applyFont="1" applyNumberFormat="1">
      <alignment horizontal="center" vertical="center"/>
    </xf>
    <xf borderId="0" fillId="25" fontId="24" numFmtId="46" xfId="0" applyAlignment="1" applyFill="1" applyFont="1" applyNumberFormat="1">
      <alignment horizontal="center" readingOrder="0" vertical="center"/>
    </xf>
    <xf borderId="0" fillId="4" fontId="22" numFmtId="0" xfId="0" applyAlignment="1" applyFill="1" applyFont="1">
      <alignment horizontal="right" vertical="center"/>
    </xf>
    <xf borderId="0" fillId="4" fontId="22" numFmtId="0" xfId="0" applyAlignment="1" applyFill="1" applyFont="1">
      <alignment horizontal="center" vertical="center"/>
    </xf>
    <xf borderId="0" fillId="4" fontId="22" numFmtId="46" xfId="0" applyAlignment="1" applyFill="1" applyFont="1" applyNumberFormat="1">
      <alignment horizontal="center" vertical="center"/>
    </xf>
    <xf borderId="0" fillId="0" fontId="43" numFmtId="0" xfId="0" applyAlignment="1" applyFont="1">
      <alignment horizontal="center" readingOrder="0" vertical="center"/>
    </xf>
    <xf borderId="0" fillId="39" fontId="47" numFmtId="166" xfId="0" applyAlignment="1" applyFill="1" applyFont="1" applyNumberFormat="1">
      <alignment horizontal="center" vertical="center"/>
    </xf>
    <xf borderId="0" fillId="37" fontId="47" numFmtId="0" xfId="0" applyAlignment="1" applyFill="1" applyFont="1">
      <alignment horizontal="center" vertical="center"/>
    </xf>
    <xf borderId="0" fillId="33" fontId="47" numFmtId="0" xfId="0" applyAlignment="1" applyFill="1" applyFont="1">
      <alignment horizontal="center" vertical="center"/>
    </xf>
    <xf borderId="0" fillId="38" fontId="47" numFmtId="0" xfId="0" applyAlignment="1" applyFill="1" applyFont="1">
      <alignment horizontal="center" vertical="center"/>
    </xf>
    <xf borderId="0" fillId="29" fontId="47" numFmtId="0" xfId="0" applyAlignment="1" applyFill="1" applyFont="1">
      <alignment horizontal="center" vertical="center"/>
    </xf>
    <xf borderId="0" fillId="40" fontId="47" numFmtId="0" xfId="0" applyAlignment="1" applyFill="1" applyFont="1">
      <alignment horizontal="center" vertical="center"/>
    </xf>
    <xf borderId="0" fillId="41" fontId="47" numFmtId="0" xfId="0" applyAlignment="1" applyFill="1" applyFont="1">
      <alignment horizontal="center" vertical="center"/>
    </xf>
    <xf borderId="0" fillId="5" fontId="47" numFmtId="49" xfId="0" applyAlignment="1" applyFill="1" applyFont="1" applyNumberFormat="1">
      <alignment horizontal="center" vertical="center"/>
    </xf>
    <xf borderId="0" fillId="5" fontId="47" numFmtId="46" xfId="0" applyAlignment="1" applyFill="1" applyFont="1" applyNumberFormat="1">
      <alignment horizontal="center" vertical="center"/>
    </xf>
    <xf borderId="0" fillId="5" fontId="47" numFmtId="0" xfId="0" applyAlignment="1" applyFill="1" applyFont="1">
      <alignment horizontal="left" vertical="center"/>
    </xf>
    <xf borderId="0" fillId="25" fontId="22" numFmtId="0" xfId="0" applyAlignment="1" applyFill="1" applyFont="1">
      <alignment horizontal="right" vertical="center"/>
    </xf>
    <xf borderId="0" fillId="25" fontId="22" numFmtId="0" xfId="0" applyAlignment="1" applyFill="1" applyFont="1">
      <alignment horizontal="center" vertical="center"/>
    </xf>
    <xf borderId="0" fillId="25" fontId="22" numFmtId="46" xfId="0" applyAlignment="1" applyFill="1" applyFont="1" applyNumberFormat="1">
      <alignment horizontal="center" vertical="center"/>
    </xf>
    <xf borderId="0" fillId="25" fontId="47" numFmtId="166" xfId="0" applyAlignment="1" applyFill="1" applyFont="1" applyNumberFormat="1">
      <alignment horizontal="center" vertical="center"/>
    </xf>
    <xf borderId="0" fillId="25" fontId="47" numFmtId="0" xfId="0" applyAlignment="1" applyFill="1" applyFont="1">
      <alignment horizontal="center" vertical="center"/>
    </xf>
    <xf borderId="0" fillId="25" fontId="47" numFmtId="46" xfId="0" applyAlignment="1" applyFill="1" applyFont="1" applyNumberFormat="1">
      <alignment horizontal="center" vertical="center"/>
    </xf>
    <xf borderId="0" fillId="25" fontId="47" numFmtId="0" xfId="0" applyAlignment="1" applyFill="1" applyFont="1">
      <alignment horizontal="left" vertical="center"/>
    </xf>
    <xf borderId="0" fillId="77" fontId="21" numFmtId="49" xfId="0" applyAlignment="1" applyFill="1" applyFont="1" applyNumberFormat="1">
      <alignment horizontal="center" readingOrder="0" vertical="center"/>
    </xf>
    <xf borderId="0" fillId="33" fontId="43" numFmtId="49" xfId="0" applyAlignment="1" applyFill="1" applyFont="1" applyNumberFormat="1">
      <alignment horizontal="center" readingOrder="0" vertical="center"/>
    </xf>
    <xf borderId="0" fillId="71" fontId="24" numFmtId="49" xfId="0" applyAlignment="1" applyFill="1" applyFont="1" applyNumberFormat="1">
      <alignment horizontal="center" readingOrder="0" vertical="center"/>
    </xf>
    <xf borderId="0" fillId="78" fontId="21" numFmtId="49" xfId="0" applyAlignment="1" applyFill="1" applyFont="1" applyNumberFormat="1">
      <alignment horizontal="center" readingOrder="0" vertical="center"/>
    </xf>
    <xf borderId="0" fillId="69" fontId="21" numFmtId="49" xfId="0" applyAlignment="1" applyFill="1" applyFont="1" applyNumberFormat="1">
      <alignment horizontal="center" readingOrder="0" vertical="center"/>
    </xf>
    <xf borderId="0" fillId="79" fontId="21" numFmtId="49" xfId="0" applyAlignment="1" applyFill="1" applyFont="1" applyNumberFormat="1">
      <alignment horizontal="center" readingOrder="0" vertical="center"/>
    </xf>
    <xf borderId="0" fillId="10" fontId="21" numFmtId="49" xfId="0" applyAlignment="1" applyFill="1" applyFont="1" applyNumberFormat="1">
      <alignment horizontal="center" readingOrder="0" vertical="center"/>
    </xf>
    <xf borderId="13" fillId="39" fontId="393" numFmtId="49" xfId="0" applyAlignment="1" applyBorder="1" applyFill="1" applyFont="1" applyNumberFormat="1">
      <alignment horizontal="center" readingOrder="0" vertical="center"/>
    </xf>
    <xf borderId="0" fillId="33" fontId="43" numFmtId="49" xfId="0" applyAlignment="1" applyFill="1" applyFont="1" applyNumberFormat="1">
      <alignment horizontal="center" readingOrder="0" vertical="center"/>
    </xf>
    <xf borderId="13" fillId="37" fontId="393" numFmtId="49" xfId="0" applyAlignment="1" applyBorder="1" applyFill="1" applyFont="1" applyNumberFormat="1">
      <alignment horizontal="center" vertical="center"/>
    </xf>
    <xf borderId="0" fillId="81" fontId="503" numFmtId="49" xfId="0" applyAlignment="1" applyFill="1" applyFont="1" applyNumberFormat="1">
      <alignment horizontal="center" readingOrder="0" vertical="center"/>
    </xf>
    <xf borderId="13" fillId="33" fontId="393" numFmtId="49" xfId="0" applyAlignment="1" applyBorder="1" applyFill="1" applyFont="1" applyNumberFormat="1">
      <alignment horizontal="center" vertical="center"/>
    </xf>
    <xf borderId="13" fillId="38" fontId="393" numFmtId="49" xfId="0" applyAlignment="1" applyBorder="1" applyFill="1" applyFont="1" applyNumberFormat="1">
      <alignment horizontal="center" vertical="center"/>
    </xf>
    <xf borderId="0" fillId="55" fontId="504" numFmtId="49" xfId="0" applyAlignment="1" applyFill="1" applyFont="1" applyNumberFormat="1">
      <alignment horizontal="center" readingOrder="0" vertical="center"/>
    </xf>
    <xf borderId="0" fillId="33" fontId="43" numFmtId="49" xfId="0" applyAlignment="1" applyFill="1" applyFont="1" applyNumberFormat="1">
      <alignment horizontal="center" vertical="center"/>
    </xf>
    <xf borderId="0" fillId="40" fontId="43" numFmtId="49" xfId="0" applyAlignment="1" applyFill="1" applyFont="1" applyNumberFormat="1">
      <alignment horizontal="center" readingOrder="0" vertical="center"/>
    </xf>
    <xf borderId="13" fillId="40" fontId="393" numFmtId="49" xfId="0" applyAlignment="1" applyBorder="1" applyFill="1" applyFont="1" applyNumberFormat="1">
      <alignment horizontal="center" vertical="center"/>
    </xf>
    <xf borderId="0" fillId="75" fontId="505" numFmtId="49" xfId="0" applyAlignment="1" applyFill="1" applyFont="1" applyNumberFormat="1">
      <alignment horizontal="center" readingOrder="0" vertical="center"/>
    </xf>
    <xf borderId="0" fillId="68" fontId="506" numFmtId="49" xfId="0" applyAlignment="1" applyFill="1" applyFont="1" applyNumberFormat="1">
      <alignment horizontal="center" readingOrder="0" vertical="center"/>
    </xf>
    <xf borderId="0" fillId="82" fontId="507" numFmtId="49" xfId="0" applyAlignment="1" applyFill="1" applyFont="1" applyNumberFormat="1">
      <alignment horizontal="center" readingOrder="0" vertical="center"/>
    </xf>
    <xf borderId="0" fillId="45" fontId="508" numFmtId="49" xfId="0" applyAlignment="1" applyFill="1" applyFont="1" applyNumberFormat="1">
      <alignment horizontal="center" readingOrder="0" vertical="center"/>
    </xf>
    <xf borderId="0" fillId="83" fontId="509" numFmtId="49" xfId="0" applyAlignment="1" applyFill="1" applyFont="1" applyNumberFormat="1">
      <alignment horizontal="center" readingOrder="0" vertical="center"/>
    </xf>
    <xf borderId="0" fillId="5" fontId="391" numFmtId="49" xfId="0" applyAlignment="1" applyFill="1" applyFont="1" applyNumberFormat="1">
      <alignment horizontal="center" readingOrder="0" vertical="center"/>
    </xf>
    <xf borderId="0" fillId="5" fontId="22" numFmtId="49" xfId="0" applyAlignment="1" applyFill="1" applyFont="1" applyNumberFormat="1">
      <alignment horizontal="left" vertical="center"/>
    </xf>
    <xf borderId="0" fillId="40" fontId="43" numFmtId="49" xfId="0" applyAlignment="1" applyFill="1" applyFont="1" applyNumberFormat="1">
      <alignment horizontal="center" readingOrder="0" vertical="center"/>
    </xf>
    <xf borderId="0" fillId="25" fontId="22" numFmtId="49" xfId="0" applyAlignment="1" applyFill="1" applyFont="1" applyNumberFormat="1">
      <alignment horizontal="left" vertical="center"/>
    </xf>
    <xf borderId="0" fillId="40" fontId="510" numFmtId="49" xfId="0" applyAlignment="1" applyFill="1" applyFont="1" applyNumberFormat="1">
      <alignment horizontal="center" readingOrder="0" vertical="center"/>
    </xf>
    <xf borderId="0" fillId="55" fontId="393" numFmtId="49" xfId="0" applyAlignment="1" applyFill="1" applyFont="1" applyNumberFormat="1">
      <alignment horizontal="center" readingOrder="0" vertical="center"/>
    </xf>
    <xf borderId="0" fillId="40" fontId="43" numFmtId="49" xfId="0" applyAlignment="1" applyFill="1" applyFont="1" applyNumberFormat="1">
      <alignment horizontal="center" vertical="center"/>
    </xf>
    <xf borderId="13" fillId="38" fontId="393" numFmtId="49" xfId="0" applyAlignment="1" applyBorder="1" applyFill="1" applyFont="1" applyNumberFormat="1">
      <alignment horizontal="center" readingOrder="0" vertical="center"/>
    </xf>
    <xf borderId="11" fillId="25" fontId="511" numFmtId="49" xfId="0" applyAlignment="1" applyBorder="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11" fillId="25" fontId="391" numFmtId="49" xfId="0" applyAlignment="1" applyBorder="1" applyFill="1" applyFont="1" applyNumberFormat="1">
      <alignment horizontal="center" readingOrder="0" vertical="center"/>
    </xf>
    <xf borderId="13" fillId="25" fontId="512" numFmtId="49" xfId="0" applyAlignment="1" applyBorder="1" applyFill="1" applyFont="1" applyNumberFormat="1">
      <alignment horizontal="center" readingOrder="0" vertical="center"/>
    </xf>
    <xf borderId="0" fillId="0" fontId="43" numFmtId="49" xfId="0" applyAlignment="1" applyFont="1" applyNumberFormat="1">
      <alignment horizontal="center" readingOrder="0" vertical="center"/>
    </xf>
    <xf borderId="0" fillId="38" fontId="513" numFmtId="49" xfId="0" applyAlignment="1" applyFill="1" applyFont="1" applyNumberFormat="1">
      <alignment horizontal="center" readingOrder="0" vertical="center"/>
    </xf>
    <xf borderId="0" fillId="29" fontId="514" numFmtId="49" xfId="0" applyAlignment="1" applyFill="1" applyFont="1" applyNumberFormat="1">
      <alignment horizontal="center" readingOrder="0" vertical="center"/>
    </xf>
    <xf borderId="0" fillId="40" fontId="515" numFmtId="49" xfId="0" applyAlignment="1" applyFill="1" applyFont="1" applyNumberFormat="1">
      <alignment horizontal="center" readingOrder="0" vertical="center"/>
    </xf>
    <xf borderId="0" fillId="41" fontId="516" numFmtId="49" xfId="0" applyAlignment="1" applyFill="1" applyFont="1" applyNumberFormat="1">
      <alignment horizontal="center" readingOrder="0" vertical="center"/>
    </xf>
    <xf borderId="0" fillId="25" fontId="24" numFmtId="49" xfId="0" applyAlignment="1" applyFill="1" applyFont="1" applyNumberFormat="1">
      <alignment horizontal="center" vertical="center"/>
    </xf>
    <xf borderId="0" fillId="0" fontId="27" numFmtId="49" xfId="0" applyAlignment="1" applyFont="1" applyNumberFormat="1">
      <alignment horizontal="center" readingOrder="0"/>
    </xf>
    <xf borderId="0" fillId="25" fontId="47" numFmtId="49" xfId="0" applyAlignment="1" applyFill="1" applyFont="1" applyNumberFormat="1">
      <alignment horizontal="center" readingOrder="0" vertical="center"/>
    </xf>
    <xf borderId="0" fillId="25" fontId="517" numFmtId="49" xfId="0" applyAlignment="1" applyFill="1" applyFont="1" applyNumberFormat="1">
      <alignment horizontal="center" readingOrder="0" vertical="center"/>
    </xf>
    <xf borderId="0" fillId="37" fontId="43" numFmtId="49" xfId="0" applyAlignment="1" applyFill="1" applyFont="1" applyNumberFormat="1">
      <alignment horizontal="center" readingOrder="0" vertical="center"/>
    </xf>
    <xf borderId="0" fillId="25" fontId="518" numFmtId="49" xfId="0" applyAlignment="1" applyFill="1" applyFont="1" applyNumberFormat="1">
      <alignment horizontal="center" readingOrder="0" vertical="center"/>
    </xf>
    <xf borderId="0" fillId="25" fontId="519" numFmtId="49" xfId="0" applyAlignment="1" applyFill="1" applyFont="1" applyNumberFormat="1">
      <alignment horizontal="center"/>
    </xf>
    <xf borderId="0" fillId="0" fontId="47" numFmtId="49" xfId="0" applyAlignment="1" applyFont="1" applyNumberFormat="1">
      <alignment readingOrder="0" vertical="center"/>
    </xf>
    <xf borderId="0" fillId="25" fontId="43" numFmtId="49" xfId="0" applyAlignment="1" applyFill="1" applyFont="1" applyNumberFormat="1">
      <alignment horizontal="center" readingOrder="0" vertical="center"/>
    </xf>
    <xf borderId="0" fillId="37" fontId="520" numFmtId="49" xfId="0" applyAlignment="1" applyFill="1" applyFont="1" applyNumberFormat="1">
      <alignment horizontal="center" readingOrder="0" vertical="center"/>
    </xf>
    <xf borderId="0" fillId="25" fontId="43" numFmtId="49" xfId="0" applyAlignment="1" applyFill="1" applyFont="1" applyNumberFormat="1">
      <alignment horizontal="left" readingOrder="0" vertical="center"/>
    </xf>
    <xf borderId="0" fillId="4" fontId="25" numFmtId="49" xfId="0" applyAlignment="1" applyFill="1" applyFont="1" applyNumberFormat="1">
      <alignment horizontal="right" readingOrder="0" vertical="center"/>
    </xf>
    <xf borderId="0" fillId="38" fontId="43" numFmtId="49"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37" fontId="521" numFmtId="49" xfId="0" applyAlignment="1" applyFill="1" applyFont="1" applyNumberFormat="1">
      <alignment horizontal="center" readingOrder="0" vertical="center"/>
    </xf>
    <xf borderId="0" fillId="40" fontId="43"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59" fontId="43" numFmtId="49" xfId="0" applyAlignment="1" applyFill="1" applyFont="1" applyNumberFormat="1">
      <alignment horizontal="center" readingOrder="0" vertical="center"/>
    </xf>
    <xf borderId="0" fillId="38" fontId="522" numFmtId="49" xfId="0" applyAlignment="1" applyFill="1" applyFont="1" applyNumberFormat="1">
      <alignment horizontal="center" readingOrder="0" vertical="center"/>
    </xf>
    <xf borderId="0" fillId="29" fontId="523" numFmtId="49" xfId="0" applyAlignment="1" applyFill="1" applyFont="1" applyNumberFormat="1">
      <alignment horizontal="center" readingOrder="0" vertical="center"/>
    </xf>
    <xf borderId="0" fillId="40" fontId="524" numFmtId="49" xfId="0" applyAlignment="1" applyFill="1" applyFont="1" applyNumberFormat="1">
      <alignment horizontal="center" readingOrder="0" vertical="center"/>
    </xf>
    <xf borderId="0" fillId="41" fontId="525" numFmtId="49" xfId="0" applyAlignment="1" applyFill="1" applyFont="1" applyNumberFormat="1">
      <alignment horizontal="center" readingOrder="0" vertical="center"/>
    </xf>
    <xf borderId="0" fillId="0" fontId="27" numFmtId="49" xfId="0" applyAlignment="1" applyFont="1" applyNumberFormat="1">
      <alignment horizontal="center" readingOrder="0"/>
    </xf>
    <xf borderId="0" fillId="40" fontId="43"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0" fontId="27" numFmtId="49" xfId="0" applyAlignment="1" applyFont="1" applyNumberFormat="1">
      <alignment horizontal="center" readingOrder="0"/>
    </xf>
    <xf borderId="0" fillId="59" fontId="526" numFmtId="49" xfId="0" applyAlignment="1" applyFill="1" applyFont="1" applyNumberFormat="1">
      <alignment horizontal="center" readingOrder="0" vertical="center"/>
    </xf>
    <xf borderId="0" fillId="25" fontId="434" numFmtId="49" xfId="0" applyAlignment="1" applyFill="1" applyFont="1" applyNumberFormat="1">
      <alignment horizontal="right" readingOrder="0" vertical="center"/>
    </xf>
    <xf borderId="0" fillId="0" fontId="527" numFmtId="49" xfId="0" applyAlignment="1" applyFont="1" applyNumberFormat="1">
      <alignment horizontal="center" vertical="center"/>
    </xf>
    <xf borderId="0" fillId="0" fontId="43" numFmtId="49" xfId="0" applyAlignment="1" applyFont="1" applyNumberFormat="1">
      <alignment vertical="center"/>
    </xf>
    <xf borderId="12" fillId="38" fontId="392" numFmtId="49" xfId="0" applyAlignment="1" applyBorder="1" applyFill="1" applyFont="1" applyNumberFormat="1">
      <alignment horizontal="center" readingOrder="0" vertical="center"/>
    </xf>
    <xf borderId="12" fillId="29" fontId="392" numFmtId="49" xfId="0" applyAlignment="1" applyBorder="1" applyFill="1" applyFont="1" applyNumberFormat="1">
      <alignment horizontal="center" readingOrder="0" vertical="center"/>
    </xf>
    <xf borderId="12" fillId="40" fontId="392" numFmtId="49" xfId="0" applyAlignment="1" applyBorder="1" applyFill="1" applyFont="1" applyNumberFormat="1">
      <alignment horizontal="center" readingOrder="0" vertical="center"/>
    </xf>
    <xf borderId="12" fillId="41" fontId="392" numFmtId="49" xfId="0" applyAlignment="1" applyBorder="1" applyFill="1" applyFont="1" applyNumberFormat="1">
      <alignment horizontal="center" readingOrder="0" vertical="center"/>
    </xf>
    <xf borderId="0" fillId="0" fontId="47" numFmtId="49" xfId="0" applyAlignment="1" applyFont="1" applyNumberFormat="1">
      <alignment vertical="center"/>
    </xf>
    <xf borderId="13" fillId="25" fontId="393" numFmtId="49" xfId="0" applyAlignment="1" applyBorder="1" applyFill="1" applyFont="1" applyNumberFormat="1">
      <alignment horizontal="center" readingOrder="0" vertical="center"/>
    </xf>
    <xf borderId="0" fillId="0" fontId="33" numFmtId="49" xfId="0" applyAlignment="1" applyFont="1" applyNumberFormat="1">
      <alignment readingOrder="0" vertical="center"/>
    </xf>
    <xf borderId="14" fillId="0" fontId="528" numFmtId="49" xfId="0" applyAlignment="1" applyBorder="1" applyFont="1" applyNumberFormat="1">
      <alignment horizontal="center" readingOrder="0"/>
    </xf>
    <xf borderId="13" fillId="0" fontId="393" numFmtId="49" xfId="0" applyAlignment="1" applyBorder="1" applyFont="1" applyNumberFormat="1">
      <alignment horizontal="center" vertical="center"/>
    </xf>
    <xf borderId="14" fillId="25" fontId="501" numFmtId="49" xfId="0" applyAlignment="1" applyBorder="1" applyFill="1" applyFont="1" applyNumberFormat="1">
      <alignment horizontal="center" readingOrder="0" vertical="center"/>
    </xf>
    <xf borderId="0" fillId="25" fontId="43" numFmtId="165" xfId="0" applyAlignment="1" applyFill="1" applyFont="1" applyNumberFormat="1">
      <alignment horizontal="center" readingOrder="0" vertical="center"/>
    </xf>
    <xf borderId="0" fillId="0" fontId="33" numFmtId="49" xfId="0" applyAlignment="1" applyFont="1" applyNumberFormat="1">
      <alignment horizontal="center" readingOrder="0" vertical="center"/>
    </xf>
    <xf borderId="0" fillId="38" fontId="43" numFmtId="49" xfId="0" applyAlignment="1" applyFill="1" applyFont="1" applyNumberFormat="1">
      <alignment horizontal="center" readingOrder="0" vertical="center"/>
    </xf>
    <xf borderId="0" fillId="0" fontId="27" numFmtId="49" xfId="0" applyAlignment="1" applyFont="1" applyNumberFormat="1">
      <alignment readingOrder="0"/>
    </xf>
    <xf borderId="0" fillId="4" fontId="24" numFmtId="49" xfId="0" applyAlignment="1" applyFill="1" applyFont="1" applyNumberFormat="1">
      <alignment horizontal="center" readingOrder="0" vertical="center"/>
    </xf>
    <xf borderId="0" fillId="4" fontId="529" numFmtId="49" xfId="0" applyAlignment="1" applyFill="1" applyFont="1" applyNumberFormat="1">
      <alignment horizontal="right" readingOrder="0" vertical="center"/>
    </xf>
    <xf borderId="0" fillId="29" fontId="33" numFmtId="49" xfId="0" applyAlignment="1" applyFill="1" applyFont="1" applyNumberFormat="1">
      <alignment horizontal="center" readingOrder="0" vertical="center"/>
    </xf>
    <xf borderId="0" fillId="25" fontId="43" numFmtId="0" xfId="0" applyAlignment="1" applyFill="1" applyFont="1">
      <alignment horizontal="center" readingOrder="0" vertical="center"/>
    </xf>
    <xf borderId="0" fillId="25" fontId="47" numFmtId="0" xfId="0" applyAlignment="1" applyFill="1" applyFont="1">
      <alignment horizontal="center" vertical="center"/>
    </xf>
    <xf borderId="0" fillId="39" fontId="47" numFmtId="0" xfId="0" applyAlignment="1" applyFill="1" applyFont="1">
      <alignment horizontal="center" vertical="center"/>
    </xf>
    <xf borderId="0" fillId="38" fontId="47" numFmtId="0" xfId="0" applyAlignment="1" applyFill="1" applyFont="1">
      <alignment horizontal="center" vertical="center"/>
    </xf>
    <xf borderId="0" fillId="29" fontId="47" numFmtId="0" xfId="0" applyAlignment="1" applyFill="1" applyFont="1">
      <alignment horizontal="center" vertical="center"/>
    </xf>
    <xf borderId="0" fillId="40" fontId="47" numFmtId="0" xfId="0" applyAlignment="1" applyFill="1" applyFont="1">
      <alignment horizontal="center" vertical="center"/>
    </xf>
    <xf borderId="0" fillId="41" fontId="47" numFmtId="0" xfId="0" applyAlignment="1" applyFill="1" applyFont="1">
      <alignment horizontal="center" vertical="center"/>
    </xf>
    <xf borderId="0" fillId="39" fontId="43" numFmtId="49" xfId="0" applyAlignment="1" applyFill="1" applyFont="1" applyNumberFormat="1">
      <alignment horizontal="center" readingOrder="0" vertical="center"/>
    </xf>
    <xf borderId="0" fillId="33" fontId="43" numFmtId="49" xfId="0" applyAlignment="1" applyFill="1" applyFont="1" applyNumberFormat="1">
      <alignment horizontal="center" readingOrder="0" vertical="center"/>
    </xf>
    <xf borderId="0" fillId="40" fontId="43" numFmtId="49" xfId="0" applyAlignment="1" applyFill="1" applyFont="1" applyNumberFormat="1">
      <alignment horizontal="center" readingOrder="0" vertical="center"/>
    </xf>
    <xf borderId="0" fillId="0" fontId="47" numFmtId="49" xfId="0" applyAlignment="1" applyFont="1" applyNumberFormat="1">
      <alignment horizontal="left" readingOrder="0" textRotation="0" vertical="center"/>
    </xf>
    <xf borderId="0" fillId="37" fontId="33" numFmtId="49" xfId="0" applyAlignment="1" applyFill="1" applyFont="1" applyNumberFormat="1">
      <alignment horizontal="center" readingOrder="0" vertical="center"/>
    </xf>
    <xf borderId="4" fillId="3" fontId="10" numFmtId="0" xfId="0" applyAlignment="1" applyBorder="1" applyFill="1" applyFont="1">
      <alignment horizontal="center" readingOrder="0"/>
    </xf>
    <xf borderId="5" fillId="3" fontId="530" numFmtId="0" xfId="0" applyAlignment="1" applyBorder="1" applyFill="1" applyFont="1">
      <alignment horizontal="center" readingOrder="0" shrinkToFit="0" vertical="center" wrapText="1"/>
    </xf>
    <xf borderId="5" fillId="3" fontId="530" numFmtId="49" xfId="0" applyAlignment="1" applyBorder="1" applyFill="1" applyFont="1" applyNumberFormat="1">
      <alignment horizontal="center" readingOrder="0" shrinkToFit="0" vertical="center" wrapText="1"/>
    </xf>
    <xf borderId="0" fillId="59" fontId="33" numFmtId="49" xfId="0" applyAlignment="1" applyFill="1" applyFont="1" applyNumberFormat="1">
      <alignment horizontal="center" readingOrder="0" vertical="center"/>
    </xf>
    <xf borderId="5" fillId="3" fontId="530" numFmtId="0" xfId="0" applyAlignment="1" applyBorder="1" applyFill="1" applyFont="1">
      <alignment horizontal="center" readingOrder="0" shrinkToFit="0" vertical="bottom" wrapText="1"/>
    </xf>
    <xf borderId="4" fillId="0" fontId="10" numFmtId="0" xfId="0" applyBorder="1" applyFont="1"/>
    <xf borderId="5" fillId="0" fontId="10" numFmtId="0" xfId="0" applyBorder="1" applyFont="1"/>
    <xf borderId="15" fillId="64" fontId="531" numFmtId="0" xfId="0" applyAlignment="1" applyBorder="1" applyFill="1" applyFont="1">
      <alignment horizontal="center" readingOrder="0" vertical="center"/>
    </xf>
    <xf borderId="2" fillId="61" fontId="532" numFmtId="0" xfId="0" applyAlignment="1" applyBorder="1" applyFill="1" applyFont="1">
      <alignment horizontal="center" readingOrder="0" vertical="center"/>
    </xf>
    <xf borderId="16" fillId="0" fontId="10" numFmtId="0" xfId="0" applyBorder="1" applyFont="1"/>
    <xf borderId="17" fillId="0" fontId="10" numFmtId="0" xfId="0" applyBorder="1" applyFont="1"/>
    <xf borderId="18" fillId="0" fontId="10" numFmtId="0" xfId="0" applyBorder="1" applyFont="1"/>
    <xf borderId="19" fillId="0" fontId="10" numFmtId="0" xfId="0" applyBorder="1" applyFont="1"/>
    <xf borderId="20" fillId="0" fontId="10" numFmtId="0" xfId="0" applyBorder="1" applyFont="1"/>
    <xf borderId="5" fillId="0" fontId="10" numFmtId="0" xfId="0" applyAlignment="1" applyBorder="1" applyFont="1">
      <alignment horizontal="center" readingOrder="0"/>
    </xf>
    <xf borderId="0" fillId="25" fontId="23" numFmtId="49" xfId="0" applyAlignment="1" applyFill="1" applyFont="1" applyNumberFormat="1">
      <alignment horizontal="right" readingOrder="0" vertical="center"/>
    </xf>
    <xf borderId="5" fillId="8" fontId="139" numFmtId="0" xfId="0" applyAlignment="1" applyBorder="1" applyFill="1" applyFont="1">
      <alignment horizontal="center" readingOrder="0"/>
    </xf>
    <xf borderId="5" fillId="15" fontId="10" numFmtId="0" xfId="0" applyAlignment="1" applyBorder="1" applyFill="1" applyFont="1">
      <alignment horizontal="center" readingOrder="0"/>
    </xf>
    <xf borderId="5" fillId="15" fontId="533" numFmtId="49" xfId="0" applyAlignment="1" applyBorder="1" applyFill="1" applyFont="1" applyNumberFormat="1">
      <alignment horizontal="center" readingOrder="0"/>
    </xf>
    <xf borderId="5" fillId="15" fontId="10" numFmtId="167" xfId="0" applyAlignment="1" applyBorder="1" applyFill="1" applyFont="1" applyNumberFormat="1">
      <alignment horizontal="center" readingOrder="0"/>
    </xf>
    <xf borderId="5" fillId="14" fontId="139" numFmtId="0" xfId="0" applyAlignment="1" applyBorder="1" applyFill="1" applyFont="1">
      <alignment horizontal="center" readingOrder="0"/>
    </xf>
    <xf borderId="5" fillId="88" fontId="139" numFmtId="0" xfId="0" applyAlignment="1" applyBorder="1" applyFill="1" applyFont="1">
      <alignment horizontal="center" readingOrder="0"/>
    </xf>
    <xf borderId="5" fillId="15" fontId="139" numFmtId="0" xfId="0" applyAlignment="1" applyBorder="1" applyFill="1" applyFont="1">
      <alignment horizontal="center" readingOrder="0"/>
    </xf>
    <xf borderId="5" fillId="15" fontId="10" numFmtId="0" xfId="0" applyAlignment="1" applyBorder="1" applyFill="1" applyFont="1">
      <alignment horizontal="center"/>
    </xf>
    <xf borderId="5" fillId="15" fontId="20" numFmtId="49" xfId="0" applyAlignment="1" applyBorder="1" applyFill="1" applyFont="1" applyNumberFormat="1">
      <alignment horizontal="center"/>
    </xf>
    <xf borderId="4" fillId="15" fontId="10" numFmtId="0" xfId="0" applyAlignment="1" applyBorder="1" applyFill="1" applyFont="1">
      <alignment horizontal="center" readingOrder="0"/>
    </xf>
    <xf borderId="2" fillId="32" fontId="534" numFmtId="0" xfId="0" applyAlignment="1" applyBorder="1" applyFill="1" applyFont="1">
      <alignment horizontal="center" readingOrder="0" vertical="center"/>
    </xf>
    <xf borderId="4" fillId="15" fontId="10" numFmtId="0" xfId="0" applyAlignment="1" applyBorder="1" applyFill="1" applyFont="1">
      <alignment horizontal="center"/>
    </xf>
    <xf borderId="5" fillId="15" fontId="535" numFmtId="0" xfId="0" applyAlignment="1" applyBorder="1" applyFill="1" applyFont="1">
      <alignment horizontal="center" readingOrder="0"/>
    </xf>
    <xf borderId="13" fillId="0" fontId="536" numFmtId="49" xfId="0" applyAlignment="1" applyBorder="1" applyFont="1" applyNumberFormat="1">
      <alignment horizontal="center" readingOrder="0"/>
    </xf>
    <xf borderId="13" fillId="33" fontId="393" numFmtId="49" xfId="0" applyAlignment="1" applyBorder="1" applyFill="1" applyFont="1" applyNumberFormat="1">
      <alignment horizontal="center" readingOrder="0" vertical="center"/>
    </xf>
    <xf borderId="5" fillId="15" fontId="20" numFmtId="0" xfId="0" applyAlignment="1" applyBorder="1" applyFill="1" applyFont="1">
      <alignment horizontal="center"/>
    </xf>
    <xf borderId="5" fillId="15" fontId="20" numFmtId="0" xfId="0" applyAlignment="1" applyBorder="1" applyFill="1" applyFont="1">
      <alignment horizontal="center" readingOrder="0"/>
    </xf>
    <xf borderId="13" fillId="0" fontId="317" numFmtId="49" xfId="0" applyAlignment="1" applyBorder="1" applyFont="1" applyNumberFormat="1">
      <alignment horizontal="center" readingOrder="0"/>
    </xf>
    <xf borderId="0" fillId="5" fontId="47" numFmtId="49" xfId="0" applyAlignment="1" applyFill="1" applyFont="1" applyNumberFormat="1">
      <alignment horizontal="center" readingOrder="0" vertical="center"/>
    </xf>
    <xf borderId="0" fillId="15" fontId="537" numFmtId="49" xfId="0" applyAlignment="1" applyFill="1" applyFont="1" applyNumberFormat="1">
      <alignment horizontal="center" readingOrder="0"/>
    </xf>
    <xf borderId="4" fillId="15" fontId="10" numFmtId="167" xfId="0" applyAlignment="1" applyBorder="1" applyFill="1" applyFont="1" applyNumberFormat="1">
      <alignment horizontal="center" readingOrder="0"/>
    </xf>
    <xf borderId="0" fillId="15" fontId="20" numFmtId="49" xfId="0" applyAlignment="1" applyFill="1" applyFont="1" applyNumberFormat="1">
      <alignment horizontal="center"/>
    </xf>
    <xf borderId="2" fillId="32" fontId="538" numFmtId="0" xfId="0" applyAlignment="1" applyBorder="1" applyFill="1" applyFont="1">
      <alignment horizontal="center" readingOrder="0" vertical="center"/>
    </xf>
    <xf borderId="5" fillId="15" fontId="539" numFmtId="0" xfId="0" applyAlignment="1" applyBorder="1" applyFill="1" applyFont="1">
      <alignment horizontal="center" readingOrder="0"/>
    </xf>
    <xf borderId="0" fillId="15" fontId="540" numFmtId="49" xfId="0" applyAlignment="1" applyFill="1" applyFont="1" applyNumberFormat="1">
      <alignment horizontal="center" readingOrder="0"/>
    </xf>
    <xf borderId="13" fillId="0" fontId="541" numFmtId="49" xfId="0" applyAlignment="1" applyBorder="1" applyFont="1" applyNumberFormat="1">
      <alignment horizontal="center" readingOrder="0" vertical="center"/>
    </xf>
    <xf borderId="0" fillId="0" fontId="33" numFmtId="49" xfId="0" applyAlignment="1" applyFont="1" applyNumberFormat="1">
      <alignment horizontal="center" readingOrder="0" vertical="center"/>
    </xf>
    <xf borderId="0" fillId="4" fontId="542" numFmtId="49" xfId="0" applyAlignment="1" applyFill="1" applyFont="1" applyNumberFormat="1">
      <alignment horizontal="right" readingOrder="0" vertical="center"/>
    </xf>
    <xf borderId="4" fillId="15" fontId="0" numFmtId="0" xfId="0" applyAlignment="1" applyBorder="1" applyFill="1" applyFont="1">
      <alignment horizontal="center" readingOrder="0"/>
    </xf>
    <xf borderId="0" fillId="41" fontId="33" numFmtId="49" xfId="0" applyAlignment="1" applyFill="1" applyFont="1" applyNumberFormat="1">
      <alignment horizontal="center" readingOrder="0" vertical="center"/>
    </xf>
    <xf borderId="5" fillId="15" fontId="543" numFmtId="21" xfId="0" applyAlignment="1" applyBorder="1" applyFill="1" applyFont="1" applyNumberFormat="1">
      <alignment horizontal="center" readingOrder="0"/>
    </xf>
    <xf borderId="0" fillId="0" fontId="544" numFmtId="0" xfId="0" applyAlignment="1" applyFont="1">
      <alignment horizontal="center" readingOrder="0" vertical="center"/>
    </xf>
    <xf borderId="0" fillId="0" fontId="544" numFmtId="49" xfId="0" applyAlignment="1" applyFont="1" applyNumberFormat="1">
      <alignment horizontal="center" readingOrder="0" vertical="center"/>
    </xf>
    <xf borderId="4" fillId="15" fontId="545" numFmtId="21" xfId="0" applyAlignment="1" applyBorder="1" applyFill="1" applyFont="1" applyNumberFormat="1">
      <alignment horizontal="center" readingOrder="0"/>
    </xf>
    <xf borderId="0" fillId="25" fontId="317" numFmtId="49" xfId="0" applyAlignment="1" applyFill="1" applyFont="1" applyNumberFormat="1">
      <alignment horizontal="right" readingOrder="0" vertical="center"/>
    </xf>
    <xf borderId="4" fillId="15" fontId="546" numFmtId="21" xfId="0" applyAlignment="1" applyBorder="1" applyFill="1" applyFont="1" applyNumberFormat="1">
      <alignment horizontal="center" readingOrder="0"/>
    </xf>
    <xf borderId="4" fillId="15" fontId="547" numFmtId="0" xfId="0" applyAlignment="1" applyBorder="1" applyFill="1" applyFont="1">
      <alignment horizontal="center" readingOrder="0"/>
    </xf>
    <xf borderId="0" fillId="0" fontId="47" numFmtId="49" xfId="0" applyAlignment="1" applyFont="1" applyNumberFormat="1">
      <alignment readingOrder="0" textRotation="0" vertical="center"/>
    </xf>
    <xf borderId="0" fillId="15" fontId="548" numFmtId="0" xfId="0" applyAlignment="1" applyFill="1" applyFont="1">
      <alignment readingOrder="0" vertical="bottom"/>
    </xf>
    <xf borderId="0" fillId="15" fontId="6" numFmtId="0" xfId="0" applyAlignment="1" applyFill="1" applyFont="1">
      <alignment readingOrder="0" vertical="bottom"/>
    </xf>
    <xf quotePrefix="1" borderId="5" fillId="15" fontId="549" numFmtId="0" xfId="0" applyAlignment="1" applyBorder="1" applyFill="1" applyFont="1">
      <alignment horizontal="center" readingOrder="0"/>
    </xf>
    <xf borderId="0" fillId="15" fontId="6" numFmtId="0" xfId="0" applyAlignment="1" applyFill="1" applyFont="1">
      <alignment readingOrder="0" vertical="bottom"/>
    </xf>
    <xf borderId="5" fillId="15" fontId="550" numFmtId="21" xfId="0" applyAlignment="1" applyBorder="1" applyFill="1" applyFont="1" applyNumberFormat="1">
      <alignment horizontal="center" readingOrder="0"/>
    </xf>
    <xf borderId="5" fillId="15" fontId="551" numFmtId="0" xfId="0" applyAlignment="1" applyBorder="1" applyFill="1" applyFont="1">
      <alignment horizontal="center" readingOrder="0"/>
    </xf>
    <xf borderId="0" fillId="55" fontId="22" numFmtId="49" xfId="0" applyAlignment="1" applyFill="1" applyFont="1" applyNumberFormat="1">
      <alignment horizontal="center" readingOrder="0" vertical="center"/>
    </xf>
    <xf borderId="0" fillId="25" fontId="47" numFmtId="165" xfId="0" applyAlignment="1" applyFill="1" applyFont="1" applyNumberFormat="1">
      <alignment horizontal="center" readingOrder="0" vertical="center"/>
    </xf>
    <xf borderId="0" fillId="0" fontId="27" numFmtId="49" xfId="0" applyAlignment="1" applyFont="1" applyNumberFormat="1">
      <alignment horizontal="center" readingOrder="0" vertical="center"/>
    </xf>
    <xf borderId="0" fillId="38" fontId="47" numFmtId="49" xfId="0" applyAlignment="1" applyFill="1" applyFont="1" applyNumberFormat="1">
      <alignment horizontal="center" readingOrder="0" vertical="center"/>
    </xf>
    <xf borderId="0" fillId="4" fontId="501" numFmtId="46" xfId="0" applyAlignment="1" applyFill="1" applyFont="1" applyNumberFormat="1">
      <alignment horizontal="center" readingOrder="0" vertical="center"/>
    </xf>
    <xf borderId="14" fillId="0" fontId="528" numFmtId="49" xfId="0" applyAlignment="1" applyBorder="1" applyFont="1" applyNumberFormat="1">
      <alignment horizontal="center" readingOrder="0" vertical="center"/>
    </xf>
    <xf borderId="14" fillId="29" fontId="501" numFmtId="49" xfId="0" applyAlignment="1" applyBorder="1" applyFill="1" applyFont="1" applyNumberFormat="1">
      <alignment horizontal="center" readingOrder="0" vertical="center"/>
    </xf>
    <xf borderId="14" fillId="39" fontId="501" numFmtId="49" xfId="0" applyAlignment="1" applyBorder="1" applyFill="1" applyFont="1" applyNumberFormat="1">
      <alignment horizontal="center" readingOrder="0" vertical="center"/>
    </xf>
    <xf borderId="14" fillId="37" fontId="501" numFmtId="49" xfId="0" applyAlignment="1" applyBorder="1" applyFill="1" applyFont="1" applyNumberFormat="1">
      <alignment horizontal="center" readingOrder="0" vertical="center"/>
    </xf>
    <xf borderId="14" fillId="33" fontId="501" numFmtId="49" xfId="0" applyAlignment="1" applyBorder="1" applyFill="1" applyFont="1" applyNumberFormat="1">
      <alignment horizontal="center" readingOrder="0" vertical="center"/>
    </xf>
    <xf borderId="14" fillId="38" fontId="501" numFmtId="49" xfId="0" applyAlignment="1" applyBorder="1" applyFill="1" applyFont="1" applyNumberFormat="1">
      <alignment horizontal="center" readingOrder="0" vertical="center"/>
    </xf>
    <xf borderId="14" fillId="40" fontId="501" numFmtId="49" xfId="0" applyAlignment="1" applyBorder="1" applyFill="1" applyFont="1" applyNumberFormat="1">
      <alignment horizontal="center" readingOrder="0" vertical="center"/>
    </xf>
    <xf borderId="14" fillId="41" fontId="501" numFmtId="49" xfId="0" applyAlignment="1" applyBorder="1" applyFill="1" applyFont="1" applyNumberFormat="1">
      <alignment horizontal="center" readingOrder="0" vertical="center"/>
    </xf>
    <xf borderId="14" fillId="5" fontId="501" numFmtId="49" xfId="0" applyAlignment="1" applyBorder="1" applyFill="1" applyFont="1" applyNumberFormat="1">
      <alignment horizontal="center" readingOrder="0" vertical="center"/>
    </xf>
    <xf borderId="0" fillId="25" fontId="22" numFmtId="49" xfId="0" applyAlignment="1" applyFill="1" applyFont="1" applyNumberFormat="1">
      <alignment horizontal="center" vertical="center"/>
    </xf>
    <xf borderId="0" fillId="25" fontId="22" numFmtId="165" xfId="0" applyAlignment="1" applyFill="1" applyFont="1" applyNumberFormat="1">
      <alignment horizontal="center" vertical="center"/>
    </xf>
    <xf borderId="0" fillId="0" fontId="27" numFmtId="49" xfId="0" applyAlignment="1" applyFont="1" applyNumberFormat="1">
      <alignment readingOrder="0" vertical="center"/>
    </xf>
    <xf borderId="0" fillId="25" fontId="552" numFmtId="49" xfId="0" applyAlignment="1" applyFill="1" applyFont="1" applyNumberFormat="1">
      <alignment horizontal="center" vertical="center"/>
    </xf>
    <xf borderId="0" fillId="4" fontId="22" numFmtId="49" xfId="0" applyAlignment="1" applyFill="1" applyFont="1" applyNumberFormat="1">
      <alignment horizontal="center" vertical="center"/>
    </xf>
    <xf borderId="0" fillId="4" fontId="22" numFmtId="165" xfId="0" applyAlignment="1" applyFill="1" applyFont="1" applyNumberFormat="1">
      <alignment horizontal="center" vertical="center"/>
    </xf>
    <xf borderId="0" fillId="25" fontId="553" numFmtId="49" xfId="0" applyAlignment="1" applyFill="1" applyFont="1" applyNumberFormat="1">
      <alignment horizontal="center" readingOrder="0" vertical="center"/>
    </xf>
    <xf borderId="0" fillId="4" fontId="554" numFmtId="49" xfId="0" applyAlignment="1" applyFill="1" applyFont="1" applyNumberFormat="1">
      <alignment horizontal="right" readingOrder="0" vertical="center"/>
    </xf>
    <xf borderId="7" fillId="38" fontId="555" numFmtId="49" xfId="0" applyAlignment="1" applyBorder="1" applyFill="1" applyFont="1" applyNumberFormat="1">
      <alignment horizontal="center" readingOrder="0" vertical="center"/>
    </xf>
    <xf borderId="0" fillId="33" fontId="556" numFmtId="49" xfId="0" applyAlignment="1" applyFill="1" applyFont="1" applyNumberFormat="1">
      <alignment horizontal="center" readingOrder="0" vertical="center"/>
    </xf>
    <xf borderId="0" fillId="37" fontId="557" numFmtId="49" xfId="0" applyAlignment="1" applyFill="1" applyFont="1" applyNumberFormat="1">
      <alignment horizontal="center" readingOrder="0" vertical="center"/>
    </xf>
    <xf borderId="0" fillId="25" fontId="308" numFmtId="49" xfId="0" applyAlignment="1" applyFill="1" applyFont="1" applyNumberFormat="1">
      <alignment horizontal="right" readingOrder="0"/>
    </xf>
    <xf borderId="0" fillId="25" fontId="22" numFmtId="49" xfId="0" applyAlignment="1" applyFill="1" applyFont="1" applyNumberFormat="1">
      <alignment horizontal="center" readingOrder="0"/>
    </xf>
    <xf borderId="0" fillId="25" fontId="558" numFmtId="49" xfId="0" applyAlignment="1" applyFill="1" applyFont="1" applyNumberFormat="1">
      <alignment horizontal="center" readingOrder="0"/>
    </xf>
    <xf borderId="0" fillId="25" fontId="33" numFmtId="49" xfId="0" applyAlignment="1" applyFill="1" applyFont="1" applyNumberFormat="1">
      <alignment horizontal="center" vertical="center"/>
    </xf>
    <xf borderId="0" fillId="25" fontId="559" numFmtId="49" xfId="0" applyAlignment="1" applyFill="1" applyFont="1" applyNumberFormat="1">
      <alignment horizontal="center"/>
    </xf>
    <xf borderId="0" fillId="25" fontId="43" numFmtId="49" xfId="0" applyAlignment="1" applyFill="1" applyFont="1" applyNumberFormat="1">
      <alignment horizontal="center" readingOrder="0"/>
    </xf>
    <xf borderId="0" fillId="4" fontId="24" numFmtId="49" xfId="0" applyAlignment="1" applyFill="1" applyFont="1" applyNumberFormat="1">
      <alignment horizontal="right" readingOrder="0"/>
    </xf>
    <xf borderId="0" fillId="4" fontId="22" numFmtId="49" xfId="0" applyAlignment="1" applyFill="1" applyFont="1" applyNumberFormat="1">
      <alignment horizontal="center" readingOrder="0"/>
    </xf>
    <xf borderId="0" fillId="29" fontId="43" numFmtId="49" xfId="0" applyAlignment="1" applyFill="1" applyFont="1" applyNumberFormat="1">
      <alignment horizontal="center" readingOrder="0"/>
    </xf>
    <xf borderId="0" fillId="29" fontId="560" numFmtId="49" xfId="0" applyAlignment="1" applyFill="1" applyFont="1" applyNumberFormat="1">
      <alignment horizontal="center" readingOrder="0"/>
    </xf>
    <xf borderId="0" fillId="29" fontId="33" numFmtId="49" xfId="0" applyAlignment="1" applyFill="1" applyFont="1" applyNumberFormat="1">
      <alignment horizontal="center" vertical="center"/>
    </xf>
    <xf borderId="0" fillId="38" fontId="561" numFmtId="49" xfId="0" applyAlignment="1" applyFill="1" applyFont="1" applyNumberFormat="1">
      <alignment horizontal="center" readingOrder="0"/>
    </xf>
    <xf borderId="0" fillId="38" fontId="43" numFmtId="49" xfId="0" applyAlignment="1" applyFill="1" applyFont="1" applyNumberFormat="1">
      <alignment horizontal="center" readingOrder="0"/>
    </xf>
    <xf borderId="0" fillId="38" fontId="562" numFmtId="49" xfId="0" applyAlignment="1" applyFill="1" applyFont="1" applyNumberFormat="1">
      <alignment horizontal="center"/>
    </xf>
    <xf borderId="0" fillId="38" fontId="33" numFmtId="49" xfId="0" applyAlignment="1" applyFill="1" applyFont="1" applyNumberFormat="1">
      <alignment horizontal="center" vertical="center"/>
    </xf>
    <xf borderId="0" fillId="39" fontId="563" numFmtId="49" xfId="0" applyAlignment="1" applyFill="1" applyFont="1" applyNumberFormat="1">
      <alignment horizontal="center" readingOrder="0"/>
    </xf>
    <xf borderId="0" fillId="39" fontId="564" numFmtId="49" xfId="0" applyAlignment="1" applyFill="1" applyFont="1" applyNumberFormat="1">
      <alignment horizontal="center"/>
    </xf>
    <xf borderId="0" fillId="39" fontId="33" numFmtId="49" xfId="0" applyAlignment="1" applyFill="1" applyFont="1" applyNumberFormat="1">
      <alignment horizontal="center" vertical="center"/>
    </xf>
    <xf borderId="0" fillId="39" fontId="264" numFmtId="49" xfId="0" applyFill="1" applyFont="1" applyNumberFormat="1"/>
    <xf borderId="0" fillId="33" fontId="565" numFmtId="49" xfId="0" applyAlignment="1" applyFill="1" applyFont="1" applyNumberFormat="1">
      <alignment horizontal="center" readingOrder="0"/>
    </xf>
    <xf borderId="0" fillId="33" fontId="33" numFmtId="49" xfId="0" applyAlignment="1" applyFill="1" applyFont="1" applyNumberFormat="1">
      <alignment horizontal="center" vertical="center"/>
    </xf>
    <xf borderId="0" fillId="33" fontId="227" numFmtId="49" xfId="0" applyAlignment="1" applyFill="1" applyFont="1" applyNumberFormat="1">
      <alignment horizontal="center" vertical="center"/>
    </xf>
    <xf borderId="0" fillId="33" fontId="43" numFmtId="49" xfId="0" applyAlignment="1" applyFill="1" applyFont="1" applyNumberFormat="1">
      <alignment horizontal="center" readingOrder="0"/>
    </xf>
    <xf borderId="0" fillId="33" fontId="566" numFmtId="49" xfId="0" applyAlignment="1" applyFill="1" applyFont="1" applyNumberFormat="1">
      <alignment horizontal="center"/>
    </xf>
    <xf borderId="0" fillId="33" fontId="6" numFmtId="49" xfId="0" applyFill="1" applyFont="1" applyNumberFormat="1"/>
    <xf borderId="0" fillId="40" fontId="567" numFmtId="49" xfId="0" applyAlignment="1" applyFill="1" applyFont="1" applyNumberFormat="1">
      <alignment horizontal="center" readingOrder="0"/>
    </xf>
    <xf borderId="0" fillId="40" fontId="43" numFmtId="49" xfId="0" applyAlignment="1" applyFill="1" applyFont="1" applyNumberFormat="1">
      <alignment horizontal="center" readingOrder="0"/>
    </xf>
    <xf borderId="0" fillId="40" fontId="568" numFmtId="49" xfId="0" applyFill="1" applyFont="1" applyNumberFormat="1"/>
    <xf borderId="0" fillId="40" fontId="287" numFmtId="49" xfId="0" applyAlignment="1" applyFill="1" applyFont="1" applyNumberFormat="1">
      <alignment horizontal="center" readingOrder="0"/>
    </xf>
    <xf borderId="0" fillId="40" fontId="6" numFmtId="49" xfId="0" applyFill="1" applyFont="1" applyNumberFormat="1"/>
    <xf borderId="0" fillId="41" fontId="569" numFmtId="49" xfId="0" applyAlignment="1" applyFill="1" applyFont="1" applyNumberFormat="1">
      <alignment horizontal="center" readingOrder="0"/>
    </xf>
    <xf borderId="0" fillId="41" fontId="43" numFmtId="49" xfId="0" applyAlignment="1" applyFill="1" applyFont="1" applyNumberFormat="1">
      <alignment horizontal="center" readingOrder="0"/>
    </xf>
    <xf borderId="0" fillId="41" fontId="287" numFmtId="49" xfId="0" applyAlignment="1" applyFill="1" applyFont="1" applyNumberFormat="1">
      <alignment horizontal="center" readingOrder="0"/>
    </xf>
    <xf borderId="0" fillId="41" fontId="33" numFmtId="49" xfId="0" applyAlignment="1" applyFill="1" applyFont="1" applyNumberFormat="1">
      <alignment horizontal="center" vertical="center"/>
    </xf>
    <xf borderId="0" fillId="37" fontId="570" numFmtId="49" xfId="0" applyAlignment="1" applyFill="1" applyFont="1" applyNumberFormat="1">
      <alignment horizontal="center" readingOrder="0"/>
    </xf>
    <xf borderId="0" fillId="37" fontId="43" numFmtId="49" xfId="0" applyAlignment="1" applyFill="1" applyFont="1" applyNumberFormat="1">
      <alignment horizontal="center" readingOrder="0"/>
    </xf>
    <xf borderId="0" fillId="37" fontId="43" numFmtId="49" xfId="0" applyAlignment="1" applyFill="1" applyFont="1" applyNumberFormat="1">
      <alignment horizontal="center" readingOrder="0"/>
    </xf>
    <xf borderId="0" fillId="37" fontId="264" numFmtId="49" xfId="0" applyFill="1" applyFont="1" applyNumberFormat="1"/>
    <xf borderId="0" fillId="59" fontId="43" numFmtId="49" xfId="0" applyAlignment="1" applyFill="1" applyFont="1" applyNumberFormat="1">
      <alignment horizontal="center" readingOrder="0"/>
    </xf>
    <xf borderId="0" fillId="59" fontId="33" numFmtId="49" xfId="0" applyAlignment="1" applyFill="1" applyFont="1" applyNumberFormat="1">
      <alignment horizontal="center" vertical="center"/>
    </xf>
    <xf borderId="0" fillId="59" fontId="571" numFmtId="49" xfId="0" applyAlignment="1" applyFill="1" applyFont="1" applyNumberFormat="1">
      <alignment horizontal="center"/>
    </xf>
    <xf borderId="0" fillId="59" fontId="227" numFmtId="49" xfId="0" applyAlignment="1" applyFill="1" applyFont="1" applyNumberFormat="1">
      <alignment horizontal="center" readingOrder="0" vertical="center"/>
    </xf>
    <xf borderId="0" fillId="59" fontId="572" numFmtId="49" xfId="0" applyAlignment="1" applyFill="1" applyFont="1" applyNumberFormat="1">
      <alignment horizontal="center" readingOrder="0"/>
    </xf>
    <xf borderId="0" fillId="59" fontId="287" numFmtId="49" xfId="0" applyAlignment="1" applyFill="1" applyFont="1" applyNumberFormat="1">
      <alignment horizontal="center" readingOrder="0"/>
    </xf>
    <xf borderId="0" fillId="4" fontId="377" numFmtId="49" xfId="0" applyAlignment="1" applyFill="1" applyFont="1" applyNumberFormat="1">
      <alignment horizontal="right" readingOrder="0" vertical="center"/>
    </xf>
    <xf borderId="0" fillId="40" fontId="33" numFmtId="49" xfId="0" applyAlignment="1" applyFill="1" applyFont="1" applyNumberFormat="1">
      <alignment horizontal="center" readingOrder="0" vertical="center"/>
    </xf>
    <xf borderId="0" fillId="25" fontId="24" numFmtId="49" xfId="0" applyAlignment="1" applyFill="1" applyFont="1" applyNumberFormat="1">
      <alignment horizontal="right" readingOrder="0" vertical="center"/>
    </xf>
    <xf borderId="0" fillId="25" fontId="573" numFmtId="49" xfId="0" applyAlignment="1" applyFill="1" applyFont="1" applyNumberFormat="1">
      <alignment horizontal="center" vertical="center"/>
    </xf>
    <xf borderId="0" fillId="25" fontId="574"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575" numFmtId="49" xfId="0" applyAlignment="1" applyFill="1" applyFont="1" applyNumberFormat="1">
      <alignment horizontal="center" vertical="center"/>
    </xf>
    <xf borderId="0" fillId="4" fontId="576" numFmtId="49" xfId="0" applyAlignment="1" applyFill="1" applyFont="1" applyNumberFormat="1">
      <alignment horizontal="right" readingOrder="0" vertical="center"/>
    </xf>
    <xf borderId="0" fillId="4" fontId="24" numFmtId="49" xfId="0" applyAlignment="1" applyFill="1" applyFont="1" applyNumberFormat="1">
      <alignment horizontal="right" readingOrder="0" vertical="center"/>
    </xf>
    <xf borderId="0" fillId="29" fontId="43" numFmtId="49"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39" fontId="43" numFmtId="49" xfId="0" applyAlignment="1" applyFill="1" applyFont="1" applyNumberFormat="1">
      <alignment horizontal="center" readingOrder="0" vertical="center"/>
    </xf>
    <xf borderId="0" fillId="41" fontId="33" numFmtId="49" xfId="0" applyAlignment="1" applyFill="1" applyFont="1" applyNumberFormat="1">
      <alignment horizontal="center" readingOrder="0" vertical="center"/>
    </xf>
    <xf borderId="0" fillId="25" fontId="25" numFmtId="49" xfId="0" applyAlignment="1" applyFill="1" applyFont="1" applyNumberFormat="1">
      <alignment horizontal="right" readingOrder="0" vertical="center"/>
    </xf>
    <xf borderId="0" fillId="25" fontId="577"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4" fontId="578" numFmtId="49" xfId="0" applyAlignment="1" applyFill="1" applyFont="1" applyNumberFormat="1">
      <alignment horizontal="right" readingOrder="0" vertical="center"/>
    </xf>
    <xf borderId="0" fillId="33" fontId="227"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4" fontId="579" numFmtId="49" xfId="0" applyAlignment="1" applyFill="1" applyFont="1" applyNumberFormat="1">
      <alignment horizontal="right" readingOrder="0" vertical="center"/>
    </xf>
    <xf borderId="0" fillId="29" fontId="580" numFmtId="49" xfId="0" applyAlignment="1" applyFill="1" applyFont="1" applyNumberFormat="1">
      <alignment horizontal="center" readingOrder="0" vertical="center"/>
    </xf>
    <xf borderId="0" fillId="59" fontId="33" numFmtId="49" xfId="0" applyAlignment="1" applyFill="1" applyFont="1" applyNumberFormat="1">
      <alignment horizontal="center" readingOrder="0" vertical="center"/>
    </xf>
    <xf borderId="0" fillId="25" fontId="581" numFmtId="49" xfId="0" applyAlignment="1" applyFill="1" applyFont="1" applyNumberFormat="1">
      <alignment horizontal="right" readingOrder="0" vertical="center"/>
    </xf>
    <xf borderId="0" fillId="41" fontId="582" numFmtId="49" xfId="0" applyAlignment="1" applyFill="1" applyFont="1" applyNumberFormat="1">
      <alignment horizontal="center" readingOrder="0" vertical="center"/>
    </xf>
    <xf borderId="0" fillId="29" fontId="3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25" fontId="583" numFmtId="49" xfId="0" applyAlignment="1" applyFill="1" applyFont="1" applyNumberFormat="1">
      <alignment horizontal="right" readingOrder="0" vertical="center"/>
    </xf>
    <xf borderId="0" fillId="25" fontId="377" numFmtId="49" xfId="0" applyAlignment="1" applyFill="1" applyFont="1" applyNumberFormat="1">
      <alignment horizontal="center" readingOrder="0" vertical="center"/>
    </xf>
    <xf borderId="0" fillId="4" fontId="317" numFmtId="49" xfId="0" applyAlignment="1" applyFill="1" applyFont="1" applyNumberFormat="1">
      <alignment horizontal="right" readingOrder="0" vertical="center"/>
    </xf>
    <xf borderId="0" fillId="29" fontId="584" numFmtId="49" xfId="0" applyAlignment="1" applyFill="1" applyFont="1" applyNumberFormat="1">
      <alignment horizontal="center" vertical="center"/>
    </xf>
    <xf borderId="0" fillId="59" fontId="585" numFmtId="49" xfId="0" applyAlignment="1" applyFill="1" applyFont="1" applyNumberFormat="1">
      <alignment horizontal="center" readingOrder="0" vertical="center"/>
    </xf>
    <xf borderId="0" fillId="25" fontId="586" numFmtId="49" xfId="0" applyAlignment="1" applyFill="1" applyFont="1" applyNumberFormat="1">
      <alignment horizontal="right" readingOrder="0" vertical="center"/>
    </xf>
    <xf borderId="0" fillId="4" fontId="587" numFmtId="49" xfId="0" applyAlignment="1" applyFill="1" applyFont="1" applyNumberFormat="1">
      <alignment horizontal="right" readingOrder="0" vertical="center"/>
    </xf>
    <xf borderId="0" fillId="39" fontId="33" numFmtId="49" xfId="0" applyAlignment="1" applyFill="1" applyFont="1" applyNumberFormat="1">
      <alignment horizontal="center" readingOrder="0" vertical="center"/>
    </xf>
    <xf borderId="0" fillId="40" fontId="39" numFmtId="49" xfId="0" applyAlignment="1" applyFill="1" applyFont="1" applyNumberFormat="1">
      <alignment horizontal="center" readingOrder="0"/>
    </xf>
    <xf borderId="0" fillId="25" fontId="43" numFmtId="49" xfId="0" applyAlignment="1" applyFill="1" applyFont="1" applyNumberFormat="1">
      <alignment horizontal="center" readingOrder="0" vertical="center"/>
    </xf>
    <xf borderId="0" fillId="25" fontId="27" numFmtId="49" xfId="0" applyAlignment="1" applyFill="1" applyFont="1" applyNumberFormat="1">
      <alignment horizontal="center" readingOrder="0" vertical="center"/>
    </xf>
    <xf borderId="0" fillId="4" fontId="576" numFmtId="49" xfId="0" applyAlignment="1" applyFill="1" applyFont="1" applyNumberFormat="1">
      <alignment horizontal="right" readingOrder="0" textRotation="0" vertical="center"/>
    </xf>
    <xf borderId="0" fillId="25" fontId="588" numFmtId="49" xfId="0" applyAlignment="1" applyFill="1" applyFont="1" applyNumberFormat="1">
      <alignment horizontal="right" readingOrder="0" vertical="center"/>
    </xf>
    <xf borderId="0" fillId="0" fontId="33" numFmtId="49" xfId="0" applyAlignment="1" applyFont="1" applyNumberFormat="1">
      <alignment horizontal="center" vertical="center"/>
    </xf>
    <xf borderId="0" fillId="38" fontId="33" numFmtId="49" xfId="0" applyAlignment="1" applyFill="1" applyFont="1" applyNumberFormat="1">
      <alignment horizontal="center" readingOrder="0" vertical="center"/>
    </xf>
    <xf borderId="0" fillId="38" fontId="33" numFmtId="49" xfId="0" applyAlignment="1" applyFill="1" applyFont="1" applyNumberFormat="1">
      <alignment horizontal="center" vertical="center"/>
    </xf>
    <xf borderId="0" fillId="0" fontId="33" numFmtId="49" xfId="0" applyAlignment="1" applyFont="1" applyNumberFormat="1">
      <alignment horizontal="center" vertical="center"/>
    </xf>
    <xf borderId="0" fillId="39" fontId="33" numFmtId="49" xfId="0" applyAlignment="1" applyFill="1" applyFont="1" applyNumberFormat="1">
      <alignment horizontal="center" vertical="center"/>
    </xf>
    <xf borderId="0" fillId="33" fontId="33" numFmtId="49" xfId="0" applyAlignment="1" applyFill="1" applyFont="1" applyNumberFormat="1">
      <alignment horizontal="center" vertical="center"/>
    </xf>
    <xf borderId="0" fillId="41" fontId="33" numFmtId="49" xfId="0" applyAlignment="1" applyFill="1" applyFont="1" applyNumberFormat="1">
      <alignment horizontal="center" vertical="center"/>
    </xf>
    <xf borderId="0" fillId="25" fontId="321" numFmtId="49" xfId="0" applyAlignment="1" applyFill="1" applyFont="1" applyNumberFormat="1">
      <alignment horizontal="right" readingOrder="0" vertical="center"/>
    </xf>
    <xf borderId="0" fillId="25" fontId="589" numFmtId="0" xfId="0" applyAlignment="1" applyFill="1" applyFont="1">
      <alignment horizontal="center" readingOrder="0"/>
    </xf>
    <xf borderId="0" fillId="25" fontId="544" numFmtId="49" xfId="0" applyAlignment="1" applyFill="1" applyFont="1" applyNumberFormat="1">
      <alignment horizontal="center" readingOrder="0"/>
    </xf>
    <xf borderId="0" fillId="25" fontId="24" numFmtId="49" xfId="0" applyAlignment="1" applyFill="1" applyFont="1" applyNumberFormat="1">
      <alignment horizontal="right" readingOrder="0" vertical="center"/>
    </xf>
    <xf borderId="0" fillId="25" fontId="24" numFmtId="49" xfId="0" applyAlignment="1" applyFill="1" applyFont="1" applyNumberFormat="1">
      <alignment horizontal="center" readingOrder="0" vertical="center"/>
    </xf>
    <xf borderId="0" fillId="25" fontId="29" numFmtId="49" xfId="0" applyAlignment="1" applyFill="1" applyFont="1" applyNumberFormat="1">
      <alignment horizontal="center" readingOrder="0" vertical="center"/>
    </xf>
    <xf borderId="0" fillId="25" fontId="30" numFmtId="49" xfId="0" applyAlignment="1" applyFill="1" applyFont="1" applyNumberFormat="1">
      <alignment horizontal="center" readingOrder="0" vertical="center"/>
    </xf>
    <xf borderId="0" fillId="25" fontId="31" numFmtId="49" xfId="0" applyAlignment="1" applyFill="1" applyFont="1" applyNumberFormat="1">
      <alignment horizontal="center" readingOrder="0" vertical="center"/>
    </xf>
    <xf borderId="0" fillId="25" fontId="32"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25" fontId="43" numFmtId="49" xfId="0" applyAlignment="1" applyFill="1" applyFont="1" applyNumberFormat="1">
      <alignment horizontal="center" readingOrder="0" vertical="center"/>
    </xf>
    <xf borderId="0" fillId="4" fontId="24" numFmtId="49" xfId="0" applyAlignment="1" applyFill="1" applyFont="1" applyNumberFormat="1">
      <alignment horizontal="center" readingOrder="0" vertical="center"/>
    </xf>
    <xf borderId="0" fillId="4" fontId="29" numFmtId="49" xfId="0" applyAlignment="1" applyFill="1" applyFont="1" applyNumberFormat="1">
      <alignment horizontal="center" readingOrder="0" vertical="center"/>
    </xf>
    <xf borderId="0" fillId="4" fontId="30"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29" fontId="590" numFmtId="49" xfId="0" applyAlignment="1" applyFill="1" applyFont="1" applyNumberFormat="1">
      <alignment horizontal="center" readingOrder="0" vertical="center"/>
    </xf>
    <xf borderId="0" fillId="29" fontId="43" numFmtId="49" xfId="0" applyAlignment="1" applyFill="1" applyFont="1" applyNumberFormat="1">
      <alignment horizontal="center" vertical="center"/>
    </xf>
    <xf borderId="0" fillId="38" fontId="591" numFmtId="49" xfId="0" applyAlignment="1" applyFill="1" applyFont="1" applyNumberFormat="1">
      <alignment horizontal="center" readingOrder="0" vertical="center"/>
    </xf>
    <xf borderId="0" fillId="38" fontId="592" numFmtId="49" xfId="0" applyAlignment="1" applyFill="1" applyFont="1" applyNumberFormat="1">
      <alignment horizontal="center" readingOrder="0" vertical="center"/>
    </xf>
    <xf borderId="0" fillId="38" fontId="43" numFmtId="49" xfId="0" applyAlignment="1" applyFill="1" applyFont="1" applyNumberFormat="1">
      <alignment horizontal="center" vertical="center"/>
    </xf>
    <xf borderId="0" fillId="39" fontId="43" numFmtId="49" xfId="0" applyAlignment="1" applyFill="1" applyFont="1" applyNumberFormat="1">
      <alignment horizontal="center" vertical="center"/>
    </xf>
    <xf borderId="0" fillId="39" fontId="593" numFmtId="49" xfId="0" applyAlignment="1" applyFill="1" applyFont="1" applyNumberFormat="1">
      <alignment horizontal="center" readingOrder="0" vertical="center"/>
    </xf>
    <xf borderId="0" fillId="39" fontId="43" numFmtId="49" xfId="0" applyAlignment="1" applyFill="1" applyFont="1" applyNumberFormat="1">
      <alignment horizontal="center" vertical="center"/>
    </xf>
    <xf borderId="0" fillId="33" fontId="594" numFmtId="49" xfId="0" applyAlignment="1" applyFill="1" applyFont="1" applyNumberFormat="1">
      <alignment horizontal="center" readingOrder="0" vertical="center"/>
    </xf>
    <xf borderId="0" fillId="33" fontId="43" numFmtId="49" xfId="0" applyAlignment="1" applyFill="1" applyFont="1" applyNumberFormat="1">
      <alignment horizontal="center" vertical="center"/>
    </xf>
    <xf borderId="0" fillId="40" fontId="43" numFmtId="49" xfId="0" applyAlignment="1" applyFill="1" applyFont="1" applyNumberFormat="1">
      <alignment horizontal="center" vertical="center"/>
    </xf>
    <xf borderId="0" fillId="40" fontId="595" numFmtId="49" xfId="0" applyAlignment="1" applyFill="1" applyFont="1" applyNumberFormat="1">
      <alignment horizontal="center" readingOrder="0" vertical="center"/>
    </xf>
    <xf borderId="0" fillId="41" fontId="596" numFmtId="49" xfId="0" applyAlignment="1" applyFill="1" applyFont="1" applyNumberFormat="1">
      <alignment horizontal="center" readingOrder="0" vertical="center"/>
    </xf>
    <xf borderId="0" fillId="41" fontId="43" numFmtId="49" xfId="0" applyAlignment="1" applyFill="1" applyFont="1" applyNumberFormat="1">
      <alignment horizontal="center" vertical="center"/>
    </xf>
    <xf borderId="0" fillId="37" fontId="43" numFmtId="49" xfId="0" applyAlignment="1" applyFill="1" applyFont="1" applyNumberFormat="1">
      <alignment horizontal="center" vertical="center"/>
    </xf>
    <xf borderId="0" fillId="37" fontId="597" numFmtId="49" xfId="0" applyAlignment="1" applyFill="1" applyFont="1" applyNumberFormat="1">
      <alignment horizontal="center" readingOrder="0" vertical="center"/>
    </xf>
    <xf borderId="0" fillId="59" fontId="598" numFmtId="49" xfId="0" applyAlignment="1" applyFill="1" applyFont="1" applyNumberFormat="1">
      <alignment horizontal="center" readingOrder="0" vertical="center"/>
    </xf>
    <xf borderId="0" fillId="59" fontId="43" numFmtId="49" xfId="0" applyAlignment="1" applyFill="1" applyFont="1" applyNumberFormat="1">
      <alignment horizontal="center" vertical="center"/>
    </xf>
    <xf borderId="0" fillId="59" fontId="599" numFmtId="49" xfId="0" applyAlignment="1" applyFill="1" applyFont="1" applyNumberFormat="1">
      <alignment horizontal="center" readingOrder="0" vertical="center"/>
    </xf>
    <xf borderId="0" fillId="59" fontId="600" numFmtId="49" xfId="0" applyAlignment="1" applyFill="1" applyFont="1" applyNumberFormat="1">
      <alignment horizontal="center" readingOrder="0" vertical="center"/>
    </xf>
    <xf borderId="0" fillId="25" fontId="601" numFmtId="49" xfId="0" applyAlignment="1" applyFill="1" applyFont="1" applyNumberFormat="1">
      <alignment horizontal="center" readingOrder="0" vertical="center"/>
    </xf>
    <xf borderId="0" fillId="25" fontId="602" numFmtId="49" xfId="0" applyAlignment="1" applyFill="1" applyFont="1" applyNumberFormat="1">
      <alignment horizontal="center" readingOrder="0" vertical="center"/>
    </xf>
    <xf borderId="7" fillId="25" fontId="603" numFmtId="49" xfId="0" applyAlignment="1" applyBorder="1" applyFill="1" applyFont="1" applyNumberFormat="1">
      <alignment horizontal="center" readingOrder="0" vertical="center"/>
    </xf>
    <xf borderId="0" fillId="25" fontId="604" numFmtId="49" xfId="0" applyAlignment="1" applyFill="1" applyFont="1" applyNumberFormat="1">
      <alignment horizontal="center" vertical="center"/>
    </xf>
    <xf borderId="0" fillId="41" fontId="27" numFmtId="49" xfId="0" applyAlignment="1" applyFill="1" applyFont="1" applyNumberFormat="1">
      <alignment horizontal="center" readingOrder="0" vertical="center"/>
    </xf>
    <xf borderId="0" fillId="25" fontId="605" numFmtId="49" xfId="0" applyAlignment="1" applyFill="1" applyFont="1" applyNumberFormat="1">
      <alignment horizontal="right" readingOrder="0" vertical="center"/>
    </xf>
    <xf borderId="0" fillId="25" fontId="606" numFmtId="49" xfId="0" applyAlignment="1" applyFill="1" applyFont="1" applyNumberFormat="1">
      <alignment horizontal="right" readingOrder="0" vertical="center"/>
    </xf>
    <xf borderId="0" fillId="25" fontId="24" numFmtId="49" xfId="0" applyAlignment="1" applyFill="1" applyFont="1" applyNumberFormat="1">
      <alignment horizontal="center" readingOrder="0" vertical="center"/>
    </xf>
    <xf borderId="0" fillId="25" fontId="29" numFmtId="49" xfId="0" applyAlignment="1" applyFill="1" applyFont="1" applyNumberFormat="1">
      <alignment horizontal="center" readingOrder="0" vertical="center"/>
    </xf>
    <xf borderId="0" fillId="25" fontId="30" numFmtId="49" xfId="0" applyAlignment="1" applyFill="1" applyFont="1" applyNumberFormat="1">
      <alignment horizontal="center" readingOrder="0" vertical="center"/>
    </xf>
    <xf borderId="0" fillId="25" fontId="31" numFmtId="49" xfId="0" applyAlignment="1" applyFill="1" applyFont="1" applyNumberFormat="1">
      <alignment horizontal="center" readingOrder="0" vertical="center"/>
    </xf>
    <xf borderId="0" fillId="25" fontId="32" numFmtId="49" xfId="0" applyAlignment="1" applyFill="1" applyFont="1" applyNumberFormat="1">
      <alignment horizontal="center" readingOrder="0" vertical="center"/>
    </xf>
    <xf borderId="0" fillId="0" fontId="33" numFmtId="49" xfId="0" applyAlignment="1" applyFont="1" applyNumberFormat="1">
      <alignment horizontal="center" vertical="center"/>
    </xf>
    <xf borderId="0" fillId="0" fontId="33" numFmtId="49" xfId="0" applyAlignment="1" applyFont="1" applyNumberFormat="1">
      <alignment horizontal="center" vertical="center"/>
    </xf>
    <xf borderId="0" fillId="25" fontId="33" numFmtId="49" xfId="0" applyAlignment="1" applyFill="1" applyFont="1" applyNumberFormat="1">
      <alignment horizontal="center" readingOrder="0" vertical="center"/>
    </xf>
    <xf borderId="0" fillId="25" fontId="33" numFmtId="49" xfId="0" applyAlignment="1" applyFill="1" applyFont="1" applyNumberFormat="1">
      <alignment horizontal="center" vertical="center"/>
    </xf>
    <xf borderId="0" fillId="25" fontId="39" numFmtId="49" xfId="0" applyAlignment="1" applyFill="1" applyFont="1" applyNumberFormat="1">
      <alignment vertical="center"/>
    </xf>
    <xf borderId="0" fillId="38" fontId="3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40" fontId="607" numFmtId="49" xfId="0" applyAlignment="1" applyFill="1" applyFont="1" applyNumberFormat="1">
      <alignment horizontal="center" vertical="center"/>
    </xf>
    <xf borderId="0" fillId="41" fontId="608" numFmtId="49" xfId="0" applyAlignment="1" applyFill="1" applyFont="1" applyNumberFormat="1">
      <alignment horizontal="center" vertical="center"/>
    </xf>
    <xf borderId="0" fillId="41" fontId="609" numFmtId="49" xfId="0" applyAlignment="1" applyFill="1" applyFont="1" applyNumberFormat="1">
      <alignment horizontal="center" vertical="center"/>
    </xf>
    <xf borderId="0" fillId="25" fontId="39" numFmtId="0" xfId="0" applyFill="1" applyFont="1"/>
    <xf borderId="0" fillId="4" fontId="583" numFmtId="49" xfId="0" applyAlignment="1" applyFill="1" applyFont="1" applyNumberFormat="1">
      <alignment horizontal="right" readingOrder="0" vertical="center"/>
    </xf>
    <xf borderId="0" fillId="29" fontId="610" numFmtId="49" xfId="0" applyAlignment="1" applyFill="1" applyFont="1" applyNumberFormat="1">
      <alignment horizontal="center" readingOrder="0" vertical="center"/>
    </xf>
    <xf borderId="0" fillId="41" fontId="39" numFmtId="49" xfId="0" applyAlignment="1" applyFill="1" applyFont="1" applyNumberFormat="1">
      <alignment vertical="center"/>
    </xf>
    <xf borderId="0" fillId="4" fontId="611" numFmtId="49" xfId="0" applyAlignment="1" applyFill="1" applyFont="1" applyNumberFormat="1">
      <alignment horizontal="right" readingOrder="0" shrinkToFit="0" textRotation="0" vertical="center" wrapText="0"/>
    </xf>
    <xf borderId="0" fillId="4" fontId="24" numFmtId="49" xfId="0" applyAlignment="1" applyFill="1" applyFont="1" applyNumberFormat="1">
      <alignment horizontal="center" readingOrder="0" textRotation="0" vertical="center"/>
    </xf>
    <xf borderId="0" fillId="4" fontId="29" numFmtId="49" xfId="0" applyAlignment="1" applyFill="1" applyFont="1" applyNumberFormat="1">
      <alignment horizontal="center" readingOrder="0" textRotation="0" vertical="center"/>
    </xf>
    <xf borderId="0" fillId="4" fontId="30" numFmtId="49" xfId="0" applyAlignment="1" applyFill="1" applyFont="1" applyNumberFormat="1">
      <alignment horizontal="center" readingOrder="0" textRotation="0" vertical="center"/>
    </xf>
    <xf borderId="0" fillId="4" fontId="31" numFmtId="49" xfId="0" applyAlignment="1" applyFill="1" applyFont="1" applyNumberFormat="1">
      <alignment horizontal="center" readingOrder="0" textRotation="0" vertical="center"/>
    </xf>
    <xf borderId="0" fillId="4" fontId="32" numFmtId="49" xfId="0" applyAlignment="1" applyFill="1" applyFont="1" applyNumberFormat="1">
      <alignment horizontal="center" readingOrder="0" textRotation="0" vertical="center"/>
    </xf>
    <xf borderId="0" fillId="29" fontId="33" numFmtId="49" xfId="0" applyAlignment="1" applyFill="1" applyFont="1" applyNumberFormat="1">
      <alignment horizontal="center" readingOrder="0" textRotation="0" vertical="center"/>
    </xf>
    <xf borderId="0" fillId="29" fontId="33" numFmtId="49" xfId="0" applyAlignment="1" applyFill="1" applyFont="1" applyNumberFormat="1">
      <alignment horizontal="center" readingOrder="0" textRotation="0" vertical="center"/>
    </xf>
    <xf borderId="0" fillId="29" fontId="612" numFmtId="49" xfId="0" applyAlignment="1" applyFill="1" applyFont="1" applyNumberFormat="1">
      <alignment horizontal="center" readingOrder="0" textRotation="0" vertical="center"/>
    </xf>
    <xf borderId="0" fillId="0" fontId="33" numFmtId="49" xfId="0" applyAlignment="1" applyFont="1" applyNumberFormat="1">
      <alignment horizontal="center" textRotation="0" vertical="center"/>
    </xf>
    <xf borderId="0" fillId="38" fontId="33" numFmtId="49" xfId="0" applyAlignment="1" applyFill="1" applyFont="1" applyNumberFormat="1">
      <alignment horizontal="center" readingOrder="0" textRotation="0" vertical="center"/>
    </xf>
    <xf borderId="0" fillId="38" fontId="33" numFmtId="49" xfId="0" applyAlignment="1" applyFill="1" applyFont="1" applyNumberFormat="1">
      <alignment horizontal="center" readingOrder="0" textRotation="0" vertical="center"/>
    </xf>
    <xf borderId="0" fillId="38" fontId="613" numFmtId="49" xfId="0" applyAlignment="1" applyFill="1" applyFont="1" applyNumberFormat="1">
      <alignment horizontal="center" readingOrder="0" textRotation="0" vertical="center"/>
    </xf>
    <xf borderId="0" fillId="38" fontId="614" numFmtId="49" xfId="0" applyAlignment="1" applyFill="1" applyFont="1" applyNumberFormat="1">
      <alignment horizontal="center" readingOrder="0" textRotation="0" vertical="center"/>
    </xf>
    <xf borderId="0" fillId="0" fontId="33" numFmtId="49" xfId="0" applyAlignment="1" applyFont="1" applyNumberFormat="1">
      <alignment horizontal="center" textRotation="0" vertical="center"/>
    </xf>
    <xf borderId="0" fillId="39" fontId="33" numFmtId="49" xfId="0" applyAlignment="1" applyFill="1" applyFont="1" applyNumberFormat="1">
      <alignment horizontal="center" readingOrder="0" textRotation="0" vertical="center"/>
    </xf>
    <xf borderId="0" fillId="39" fontId="615" numFmtId="49" xfId="0" applyAlignment="1" applyFill="1" applyFont="1" applyNumberFormat="1">
      <alignment horizontal="center" readingOrder="0" textRotation="0" vertical="center"/>
    </xf>
    <xf borderId="0" fillId="39" fontId="616" numFmtId="49" xfId="0" applyAlignment="1" applyFill="1" applyFont="1" applyNumberFormat="1">
      <alignment horizontal="center" readingOrder="0" textRotation="0" vertical="center"/>
    </xf>
    <xf borderId="0" fillId="39" fontId="617" numFmtId="49" xfId="0" applyAlignment="1" applyFill="1" applyFont="1" applyNumberFormat="1">
      <alignment horizontal="center" readingOrder="0" textRotation="0" vertical="center"/>
    </xf>
    <xf borderId="0" fillId="33" fontId="33" numFmtId="49" xfId="0" applyAlignment="1" applyFill="1" applyFont="1" applyNumberFormat="1">
      <alignment horizontal="center" readingOrder="0" textRotation="0" vertical="center"/>
    </xf>
    <xf borderId="0" fillId="33" fontId="618" numFmtId="49" xfId="0" applyAlignment="1" applyFill="1" applyFont="1" applyNumberFormat="1">
      <alignment horizontal="center" readingOrder="0" textRotation="0" vertical="center"/>
    </xf>
    <xf borderId="0" fillId="33" fontId="33" numFmtId="49" xfId="0" applyAlignment="1" applyFill="1" applyFont="1" applyNumberFormat="1">
      <alignment horizontal="center" readingOrder="0" textRotation="0" vertical="center"/>
    </xf>
    <xf borderId="0" fillId="33" fontId="33" numFmtId="49" xfId="0" applyAlignment="1" applyFill="1" applyFont="1" applyNumberFormat="1">
      <alignment horizontal="center" textRotation="0" vertical="center"/>
    </xf>
    <xf borderId="0" fillId="33" fontId="33" numFmtId="49" xfId="0" applyAlignment="1" applyFill="1" applyFont="1" applyNumberFormat="1">
      <alignment horizontal="center" textRotation="0" vertical="center"/>
    </xf>
    <xf borderId="0" fillId="40" fontId="33" numFmtId="49" xfId="0" applyAlignment="1" applyFill="1" applyFont="1" applyNumberFormat="1">
      <alignment horizontal="center" textRotation="0" vertical="center"/>
    </xf>
    <xf borderId="0" fillId="40" fontId="619" numFmtId="49" xfId="0" applyAlignment="1" applyFill="1" applyFont="1" applyNumberFormat="1">
      <alignment horizontal="center" readingOrder="0" textRotation="0" vertical="center"/>
    </xf>
    <xf borderId="0" fillId="40" fontId="33" numFmtId="49" xfId="0" applyAlignment="1" applyFill="1" applyFont="1" applyNumberFormat="1">
      <alignment horizontal="center" readingOrder="0" textRotation="0" vertical="center"/>
    </xf>
    <xf borderId="0" fillId="40" fontId="33" numFmtId="49" xfId="0" applyAlignment="1" applyFill="1" applyFont="1" applyNumberFormat="1">
      <alignment horizontal="center" readingOrder="0" textRotation="0" vertical="center"/>
    </xf>
    <xf borderId="0" fillId="40" fontId="620" numFmtId="49" xfId="0" applyAlignment="1" applyFill="1" applyFont="1" applyNumberFormat="1">
      <alignment horizontal="center" readingOrder="0" textRotation="0" vertical="center"/>
    </xf>
    <xf borderId="0" fillId="40" fontId="33" numFmtId="49" xfId="0" applyAlignment="1" applyFill="1" applyFont="1" applyNumberFormat="1">
      <alignment horizontal="center" textRotation="0" vertical="center"/>
    </xf>
    <xf borderId="0" fillId="41" fontId="33" numFmtId="49" xfId="0" applyAlignment="1" applyFill="1" applyFont="1" applyNumberFormat="1">
      <alignment horizontal="center" readingOrder="0" textRotation="0" vertical="center"/>
    </xf>
    <xf borderId="0" fillId="41" fontId="33" numFmtId="49" xfId="0" applyAlignment="1" applyFill="1" applyFont="1" applyNumberFormat="1">
      <alignment horizontal="center" readingOrder="0" textRotation="0" vertical="center"/>
    </xf>
    <xf borderId="0" fillId="41" fontId="621" numFmtId="49" xfId="0" applyAlignment="1" applyFill="1" applyFont="1" applyNumberFormat="1">
      <alignment horizontal="center" readingOrder="0" textRotation="0" vertical="center"/>
    </xf>
    <xf borderId="0" fillId="41" fontId="33" numFmtId="49" xfId="0" applyAlignment="1" applyFill="1" applyFont="1" applyNumberFormat="1">
      <alignment horizontal="center" textRotation="0" vertical="center"/>
    </xf>
    <xf borderId="0" fillId="37" fontId="33" numFmtId="49" xfId="0" applyAlignment="1" applyFill="1" applyFont="1" applyNumberFormat="1">
      <alignment horizontal="center" readingOrder="0" textRotation="0" vertical="center"/>
    </xf>
    <xf borderId="0" fillId="37" fontId="33" numFmtId="49" xfId="0" applyAlignment="1" applyFill="1" applyFont="1" applyNumberFormat="1">
      <alignment horizontal="center" readingOrder="0" textRotation="0" vertical="center"/>
    </xf>
    <xf borderId="0" fillId="37" fontId="622" numFmtId="49" xfId="0" applyAlignment="1" applyFill="1" applyFont="1" applyNumberFormat="1">
      <alignment horizontal="center" readingOrder="0" textRotation="0" vertical="center"/>
    </xf>
    <xf borderId="0" fillId="37" fontId="33" numFmtId="49" xfId="0" applyAlignment="1" applyFill="1" applyFont="1" applyNumberFormat="1">
      <alignment horizontal="center" readingOrder="0" textRotation="0" vertical="center"/>
    </xf>
    <xf borderId="0" fillId="37" fontId="623" numFmtId="49" xfId="0" applyAlignment="1" applyFill="1" applyFont="1" applyNumberFormat="1">
      <alignment horizontal="center" readingOrder="0" textRotation="0" vertical="center"/>
    </xf>
    <xf borderId="0" fillId="37" fontId="33" numFmtId="49" xfId="0" applyAlignment="1" applyFill="1" applyFont="1" applyNumberFormat="1">
      <alignment horizontal="center" textRotation="0" vertical="center"/>
    </xf>
    <xf borderId="0" fillId="59" fontId="33" numFmtId="49" xfId="0" applyAlignment="1" applyFill="1" applyFont="1" applyNumberFormat="1">
      <alignment horizontal="center" readingOrder="0" textRotation="0" vertical="center"/>
    </xf>
    <xf borderId="0" fillId="59" fontId="33" numFmtId="49" xfId="0" applyAlignment="1" applyFill="1" applyFont="1" applyNumberFormat="1">
      <alignment horizontal="center" textRotation="0" vertical="center"/>
    </xf>
    <xf borderId="0" fillId="59" fontId="33" numFmtId="49" xfId="0" applyAlignment="1" applyFill="1" applyFont="1" applyNumberFormat="1">
      <alignment horizontal="center" readingOrder="0" textRotation="0" vertical="center"/>
    </xf>
    <xf borderId="0" fillId="59" fontId="624" numFmtId="49" xfId="0" applyAlignment="1" applyFill="1" applyFont="1" applyNumberFormat="1">
      <alignment horizontal="center" readingOrder="0" textRotation="0" vertical="center"/>
    </xf>
    <xf borderId="0" fillId="59" fontId="625" numFmtId="49" xfId="0" applyAlignment="1" applyFill="1" applyFont="1" applyNumberFormat="1">
      <alignment horizontal="center" readingOrder="0" textRotation="0" vertical="center"/>
    </xf>
    <xf borderId="0" fillId="25" fontId="626" numFmtId="49" xfId="0" applyAlignment="1" applyFill="1" applyFont="1" applyNumberFormat="1">
      <alignment horizontal="center" readingOrder="0" vertical="center"/>
    </xf>
    <xf borderId="0" fillId="25" fontId="627" numFmtId="49" xfId="0" applyAlignment="1" applyFill="1" applyFont="1" applyNumberFormat="1">
      <alignment horizontal="center" readingOrder="0" vertical="center"/>
    </xf>
    <xf borderId="0" fillId="4" fontId="628" numFmtId="49" xfId="0" applyAlignment="1" applyFill="1" applyFont="1" applyNumberFormat="1">
      <alignment horizontal="right" readingOrder="0" vertical="center"/>
    </xf>
    <xf borderId="0" fillId="25" fontId="303" numFmtId="49" xfId="0" applyAlignment="1" applyFill="1" applyFont="1" applyNumberFormat="1">
      <alignment horizontal="right" readingOrder="0" vertical="center"/>
    </xf>
    <xf borderId="0" fillId="25" fontId="33" numFmtId="49" xfId="0" applyAlignment="1" applyFill="1" applyFont="1" applyNumberFormat="1">
      <alignment horizontal="center" readingOrder="0" vertical="center"/>
    </xf>
    <xf borderId="0" fillId="25" fontId="629" numFmtId="49" xfId="0" applyAlignment="1" applyFill="1" applyFont="1" applyNumberFormat="1">
      <alignment horizontal="right" readingOrder="0" vertical="center"/>
    </xf>
    <xf borderId="0" fillId="4" fontId="630" numFmtId="49" xfId="0" applyAlignment="1" applyFill="1" applyFont="1" applyNumberFormat="1">
      <alignment horizontal="right" readingOrder="0" vertical="center"/>
    </xf>
    <xf borderId="0" fillId="25" fontId="631" numFmtId="49" xfId="0" applyAlignment="1" applyFill="1" applyFont="1" applyNumberFormat="1">
      <alignment horizontal="right" readingOrder="0" vertical="center"/>
    </xf>
    <xf borderId="0" fillId="4" fontId="632" numFmtId="49" xfId="0" applyAlignment="1" applyFill="1" applyFont="1" applyNumberFormat="1">
      <alignment horizontal="right" readingOrder="0" vertical="center"/>
    </xf>
    <xf borderId="0" fillId="4" fontId="24" numFmtId="49" xfId="0" applyAlignment="1" applyFill="1" applyFont="1" applyNumberFormat="1">
      <alignment horizontal="center" readingOrder="0" vertical="center"/>
    </xf>
    <xf borderId="0" fillId="4" fontId="29" numFmtId="49" xfId="0" applyAlignment="1" applyFill="1" applyFont="1" applyNumberFormat="1">
      <alignment horizontal="center" readingOrder="0" vertical="center"/>
    </xf>
    <xf borderId="0" fillId="4" fontId="30"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29" fontId="33" numFmtId="49" xfId="0" applyAlignment="1" applyFill="1" applyFont="1" applyNumberFormat="1">
      <alignment horizontal="center" vertical="center"/>
    </xf>
    <xf borderId="0" fillId="0" fontId="33" numFmtId="49" xfId="0" applyAlignment="1" applyFont="1" applyNumberFormat="1">
      <alignment horizontal="center" vertical="center"/>
    </xf>
    <xf borderId="0" fillId="38" fontId="33" numFmtId="49" xfId="0" applyAlignment="1" applyFill="1" applyFont="1" applyNumberFormat="1">
      <alignment horizontal="center" readingOrder="0" vertical="center"/>
    </xf>
    <xf borderId="0" fillId="38" fontId="33" numFmtId="49" xfId="0" applyAlignment="1" applyFill="1" applyFont="1" applyNumberFormat="1">
      <alignment horizontal="center" vertical="center"/>
    </xf>
    <xf borderId="0" fillId="0" fontId="33" numFmtId="49" xfId="0" applyAlignment="1" applyFont="1" applyNumberFormat="1">
      <alignment horizontal="center" vertical="center"/>
    </xf>
    <xf borderId="0" fillId="39" fontId="33" numFmtId="49" xfId="0" applyAlignment="1" applyFill="1" applyFont="1" applyNumberFormat="1">
      <alignment horizontal="center" readingOrder="0" vertical="center"/>
    </xf>
    <xf borderId="0" fillId="39" fontId="33" numFmtId="49" xfId="0" applyAlignment="1" applyFill="1" applyFont="1" applyNumberFormat="1">
      <alignment horizontal="center" vertical="center"/>
    </xf>
    <xf borderId="0" fillId="33" fontId="33" numFmtId="49" xfId="0" applyAlignment="1" applyFill="1" applyFont="1" applyNumberFormat="1">
      <alignment horizontal="center" vertical="center"/>
    </xf>
    <xf borderId="0" fillId="33" fontId="33" numFmtId="49" xfId="0" applyAlignment="1" applyFill="1" applyFont="1" applyNumberFormat="1">
      <alignment horizontal="center" readingOrder="0" vertical="center"/>
    </xf>
    <xf borderId="0" fillId="33" fontId="33" numFmtId="49" xfId="0" applyAlignment="1" applyFill="1" applyFont="1" applyNumberFormat="1">
      <alignment horizontal="center" vertical="center"/>
    </xf>
    <xf borderId="0" fillId="40" fontId="33" numFmtId="49" xfId="0" applyAlignment="1" applyFill="1" applyFont="1" applyNumberFormat="1">
      <alignment horizontal="center" vertical="center"/>
    </xf>
    <xf borderId="0" fillId="40" fontId="33" numFmtId="49" xfId="0" applyAlignment="1" applyFill="1" applyFont="1" applyNumberFormat="1">
      <alignment horizontal="center" readingOrder="0" vertical="center"/>
    </xf>
    <xf borderId="0" fillId="40" fontId="33" numFmtId="49" xfId="0" applyAlignment="1" applyFill="1" applyFont="1" applyNumberFormat="1">
      <alignment horizontal="center" vertical="center"/>
    </xf>
    <xf borderId="0" fillId="41" fontId="33" numFmtId="2" xfId="0" applyAlignment="1" applyFill="1" applyFont="1" applyNumberFormat="1">
      <alignment horizontal="center" readingOrder="0" vertical="center"/>
    </xf>
    <xf borderId="0" fillId="41" fontId="39" numFmtId="49" xfId="0" applyAlignment="1" applyFill="1" applyFont="1" applyNumberFormat="1">
      <alignment vertical="center"/>
    </xf>
    <xf borderId="0" fillId="41" fontId="33" numFmtId="49" xfId="0" applyAlignment="1" applyFill="1" applyFont="1" applyNumberFormat="1">
      <alignment horizontal="center" readingOrder="0" vertical="center"/>
    </xf>
    <xf borderId="0" fillId="41" fontId="33" numFmtId="49" xfId="0" applyAlignment="1" applyFill="1" applyFont="1" applyNumberFormat="1">
      <alignment horizontal="center" vertical="center"/>
    </xf>
    <xf borderId="0" fillId="37" fontId="33" numFmtId="49" xfId="0" applyAlignment="1" applyFill="1" applyFont="1" applyNumberFormat="1">
      <alignment horizontal="center" vertical="center"/>
    </xf>
    <xf borderId="0" fillId="37" fontId="33" numFmtId="49" xfId="0" applyAlignment="1" applyFill="1" applyFont="1" applyNumberFormat="1">
      <alignment horizontal="center" readingOrder="0" vertical="center"/>
    </xf>
    <xf borderId="0" fillId="59" fontId="33" numFmtId="49" xfId="0" applyAlignment="1" applyFill="1" applyFont="1" applyNumberFormat="1">
      <alignment horizontal="center" vertical="center"/>
    </xf>
    <xf borderId="0" fillId="59" fontId="33" numFmtId="49" xfId="0" applyAlignment="1" applyFill="1" applyFont="1" applyNumberFormat="1">
      <alignment horizontal="center" readingOrder="0" vertical="center"/>
    </xf>
    <xf borderId="0" fillId="25" fontId="633" numFmtId="49" xfId="0" applyAlignment="1" applyFill="1" applyFont="1" applyNumberFormat="1">
      <alignment horizontal="right" readingOrder="0" textRotation="0" vertical="center"/>
    </xf>
    <xf borderId="0" fillId="4" fontId="24" numFmtId="49" xfId="0" applyAlignment="1" applyFill="1" applyFont="1" applyNumberFormat="1">
      <alignment horizontal="center" readingOrder="0" vertical="center"/>
    </xf>
    <xf borderId="0" fillId="4" fontId="29" numFmtId="49" xfId="0" applyAlignment="1" applyFill="1" applyFont="1" applyNumberFormat="1">
      <alignment horizontal="center" readingOrder="0" vertical="center"/>
    </xf>
    <xf borderId="0" fillId="4" fontId="30"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29" fontId="43" numFmtId="49" xfId="0" applyAlignment="1" applyFill="1" applyFont="1" applyNumberFormat="1">
      <alignment horizontal="center" readingOrder="0" vertical="center"/>
    </xf>
    <xf borderId="0" fillId="38" fontId="634" numFmtId="49" xfId="0" applyAlignment="1" applyFill="1" applyFont="1" applyNumberFormat="1">
      <alignment horizontal="center" readingOrder="0" vertical="center"/>
    </xf>
    <xf borderId="0" fillId="38" fontId="635"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38" fontId="43" numFmtId="49" xfId="0" applyAlignment="1" applyFill="1" applyFont="1" applyNumberFormat="1">
      <alignment horizontal="center" readingOrder="0" vertical="center"/>
    </xf>
    <xf borderId="0" fillId="33" fontId="43" numFmtId="49" xfId="0" applyAlignment="1" applyFill="1" applyFont="1" applyNumberFormat="1">
      <alignment horizontal="center" readingOrder="0" vertical="center"/>
    </xf>
    <xf borderId="0" fillId="33" fontId="636" numFmtId="49" xfId="0" applyAlignment="1" applyFill="1" applyFont="1" applyNumberFormat="1">
      <alignment horizontal="center" readingOrder="0" vertical="center"/>
    </xf>
    <xf borderId="0" fillId="40" fontId="637"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41" fontId="638" numFmtId="49" xfId="0" applyAlignment="1" applyFill="1" applyFont="1" applyNumberFormat="1">
      <alignment horizontal="center" readingOrder="0" vertical="center"/>
    </xf>
    <xf borderId="0" fillId="41" fontId="43" numFmtId="49" xfId="0" applyAlignment="1" applyFill="1" applyFont="1" applyNumberFormat="1">
      <alignment horizontal="center" readingOrder="0" vertical="center"/>
    </xf>
    <xf borderId="0" fillId="37" fontId="43" numFmtId="49" xfId="0" applyAlignment="1" applyFill="1" applyFont="1" applyNumberFormat="1">
      <alignment horizontal="center" readingOrder="0" vertical="center"/>
    </xf>
    <xf borderId="0" fillId="59" fontId="43" numFmtId="49" xfId="0" applyAlignment="1" applyFill="1" applyFont="1" applyNumberFormat="1">
      <alignment horizontal="center" readingOrder="0" vertical="center"/>
    </xf>
    <xf borderId="0" fillId="25" fontId="33" numFmtId="49" xfId="0" applyAlignment="1" applyFill="1" applyFont="1" applyNumberFormat="1">
      <alignment readingOrder="0" vertical="center"/>
    </xf>
    <xf borderId="0" fillId="25" fontId="639" numFmtId="49" xfId="0" applyAlignment="1" applyFill="1" applyFont="1" applyNumberFormat="1">
      <alignment horizontal="right" readingOrder="0" vertical="center"/>
    </xf>
    <xf borderId="0" fillId="25" fontId="33" numFmtId="49" xfId="0" applyAlignment="1" applyFill="1" applyFont="1" applyNumberFormat="1">
      <alignment horizontal="center" vertical="center"/>
    </xf>
    <xf borderId="0" fillId="25" fontId="33" numFmtId="49" xfId="0" applyAlignment="1" applyFill="1" applyFont="1" applyNumberFormat="1">
      <alignment horizontal="center" readingOrder="0" vertical="center"/>
    </xf>
    <xf borderId="0" fillId="25" fontId="33" numFmtId="49" xfId="0" applyAlignment="1" applyFill="1" applyFont="1" applyNumberFormat="1">
      <alignment horizontal="center" vertical="center"/>
    </xf>
    <xf borderId="0" fillId="25" fontId="33" numFmtId="49" xfId="0" applyAlignment="1" applyFill="1" applyFont="1" applyNumberFormat="1">
      <alignment horizontal="center" readingOrder="0" vertical="center"/>
    </xf>
    <xf borderId="0" fillId="25" fontId="39" numFmtId="49" xfId="0" applyAlignment="1" applyFill="1" applyFont="1" applyNumberFormat="1">
      <alignment vertical="center"/>
    </xf>
    <xf borderId="0" fillId="4" fontId="640" numFmtId="49" xfId="0" applyAlignment="1" applyFill="1" applyFont="1" applyNumberFormat="1">
      <alignment horizontal="right" readingOrder="0" vertical="center"/>
    </xf>
    <xf borderId="0" fillId="38" fontId="641" numFmtId="49" xfId="0" applyAlignment="1" applyFill="1" applyFont="1" applyNumberFormat="1">
      <alignment horizontal="center" vertical="center"/>
    </xf>
    <xf borderId="0" fillId="25" fontId="606" numFmtId="49" xfId="0" applyAlignment="1" applyFill="1" applyFont="1" applyNumberFormat="1">
      <alignment horizontal="right" readingOrder="0" vertical="center"/>
    </xf>
    <xf borderId="0" fillId="33" fontId="642" numFmtId="49" xfId="0" applyAlignment="1" applyFill="1" applyFont="1" applyNumberFormat="1">
      <alignment horizontal="center" readingOrder="0" vertical="center"/>
    </xf>
    <xf borderId="0" fillId="25" fontId="33" numFmtId="49" xfId="0" applyAlignment="1" applyFill="1" applyFont="1" applyNumberFormat="1">
      <alignment horizontal="center" readingOrder="0" vertical="center"/>
    </xf>
    <xf borderId="0" fillId="4" fontId="643" numFmtId="49" xfId="0" applyAlignment="1" applyFill="1" applyFont="1" applyNumberFormat="1">
      <alignment horizontal="center" readingOrder="0" vertical="center"/>
    </xf>
    <xf borderId="0" fillId="4" fontId="644" numFmtId="49" xfId="0" applyAlignment="1" applyFill="1" applyFont="1" applyNumberFormat="1">
      <alignment horizontal="center" readingOrder="0" vertical="center"/>
    </xf>
    <xf borderId="0" fillId="4" fontId="645" numFmtId="49" xfId="0" applyAlignment="1" applyFill="1" applyFont="1" applyNumberFormat="1">
      <alignment horizontal="center" readingOrder="0" vertical="center"/>
    </xf>
    <xf borderId="0" fillId="4" fontId="43" numFmtId="49" xfId="0" applyAlignment="1" applyFill="1" applyFont="1" applyNumberFormat="1">
      <alignment horizontal="center" readingOrder="0" vertical="center"/>
    </xf>
    <xf borderId="0" fillId="29" fontId="646" numFmtId="49" xfId="0" applyAlignment="1" applyFill="1" applyFont="1" applyNumberFormat="1">
      <alignment horizontal="center" readingOrder="0" vertical="center"/>
    </xf>
    <xf borderId="0" fillId="29" fontId="33" numFmtId="49" xfId="0" applyAlignment="1" applyFill="1" applyFont="1" applyNumberFormat="1">
      <alignment horizontal="center" readingOrder="0" vertical="center"/>
    </xf>
    <xf borderId="0" fillId="29" fontId="33" numFmtId="49" xfId="0" applyAlignment="1" applyFill="1" applyFont="1" applyNumberFormat="1">
      <alignment horizontal="center" readingOrder="0" vertical="center"/>
    </xf>
    <xf borderId="0" fillId="38" fontId="33" numFmtId="49" xfId="0" applyAlignment="1" applyFill="1" applyFont="1" applyNumberFormat="1">
      <alignment horizontal="center" readingOrder="0" vertical="center"/>
    </xf>
    <xf borderId="0" fillId="38" fontId="647" numFmtId="49" xfId="0" applyAlignment="1" applyFill="1" applyFont="1" applyNumberFormat="1">
      <alignment horizontal="center" readingOrder="0" vertical="center"/>
    </xf>
    <xf borderId="0" fillId="38" fontId="33" numFmtId="49" xfId="0" applyAlignment="1" applyFill="1" applyFont="1" applyNumberFormat="1">
      <alignment horizontal="center" readingOrder="0" vertical="center"/>
    </xf>
    <xf borderId="0" fillId="39" fontId="33" numFmtId="49" xfId="0" applyAlignment="1" applyFill="1" applyFont="1" applyNumberFormat="1">
      <alignment horizontal="center" readingOrder="0" vertical="center"/>
    </xf>
    <xf borderId="0" fillId="33" fontId="33" numFmtId="49" xfId="0" applyAlignment="1" applyFill="1" applyFont="1" applyNumberFormat="1">
      <alignment horizontal="center" readingOrder="0" vertical="center"/>
    </xf>
    <xf borderId="0" fillId="33" fontId="39" numFmtId="49" xfId="0" applyFill="1" applyFont="1" applyNumberFormat="1"/>
    <xf borderId="0" fillId="40" fontId="648" numFmtId="49" xfId="0" applyAlignment="1" applyFill="1" applyFont="1" applyNumberFormat="1">
      <alignment horizontal="center" readingOrder="0" vertical="center"/>
    </xf>
    <xf borderId="0" fillId="40" fontId="33" numFmtId="49" xfId="0" applyAlignment="1" applyFill="1" applyFont="1" applyNumberFormat="1">
      <alignment horizontal="center" readingOrder="0" vertical="center"/>
    </xf>
    <xf borderId="0" fillId="41"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37" fontId="33" numFmtId="49" xfId="0" applyAlignment="1" applyFill="1" applyFont="1" applyNumberFormat="1">
      <alignment horizontal="center" readingOrder="0" vertical="center"/>
    </xf>
    <xf borderId="0" fillId="59" fontId="33" numFmtId="49" xfId="0" applyAlignment="1" applyFill="1" applyFont="1" applyNumberFormat="1">
      <alignment horizontal="center" readingOrder="0" vertical="center"/>
    </xf>
    <xf borderId="0" fillId="59" fontId="649" numFmtId="49" xfId="0" applyAlignment="1" applyFill="1" applyFont="1" applyNumberFormat="1">
      <alignment horizontal="center" readingOrder="0" vertical="center"/>
    </xf>
    <xf borderId="0" fillId="4" fontId="24" numFmtId="49" xfId="0" applyAlignment="1" applyFill="1" applyFont="1" applyNumberFormat="1">
      <alignment horizontal="right" readingOrder="0" vertical="center"/>
    </xf>
    <xf borderId="0" fillId="59" fontId="33" numFmtId="49" xfId="0" applyAlignment="1" applyFill="1" applyFont="1" applyNumberFormat="1">
      <alignment horizontal="center" readingOrder="0" shrinkToFit="0" vertical="center" wrapText="0"/>
    </xf>
    <xf borderId="0" fillId="4" fontId="321" numFmtId="49" xfId="0" applyAlignment="1" applyFill="1" applyFont="1" applyNumberFormat="1">
      <alignment horizontal="right" readingOrder="0" vertical="center"/>
    </xf>
    <xf borderId="0" fillId="25" fontId="380" numFmtId="49" xfId="0" applyAlignment="1" applyFill="1" applyFont="1" applyNumberFormat="1">
      <alignment horizontal="right" readingOrder="0" vertical="center"/>
    </xf>
    <xf borderId="0" fillId="25" fontId="650" numFmtId="49" xfId="0" applyAlignment="1" applyFill="1" applyFont="1" applyNumberFormat="1">
      <alignment horizontal="right" readingOrder="0" vertical="center"/>
    </xf>
    <xf borderId="0" fillId="25" fontId="39" numFmtId="49" xfId="0" applyAlignment="1" applyFill="1" applyFont="1" applyNumberFormat="1">
      <alignment readingOrder="0" vertical="center"/>
    </xf>
    <xf borderId="0" fillId="4" fontId="651" numFmtId="49" xfId="0" applyAlignment="1" applyFill="1" applyFont="1" applyNumberFormat="1">
      <alignment horizontal="right" readingOrder="0" vertical="center"/>
    </xf>
    <xf borderId="0" fillId="59" fontId="652" numFmtId="49" xfId="0" applyAlignment="1" applyFill="1" applyFont="1" applyNumberFormat="1">
      <alignment horizontal="center" vertical="center"/>
    </xf>
    <xf borderId="0" fillId="4" fontId="605" numFmtId="49" xfId="0" applyAlignment="1" applyFill="1" applyFont="1" applyNumberFormat="1">
      <alignment horizontal="right" readingOrder="0" vertical="center"/>
    </xf>
    <xf borderId="0" fillId="25" fontId="653" numFmtId="49" xfId="0" applyAlignment="1" applyFill="1" applyFont="1" applyNumberFormat="1">
      <alignment horizontal="right" readingOrder="0" vertical="center"/>
    </xf>
    <xf borderId="0" fillId="4" fontId="654" numFmtId="49" xfId="0" applyAlignment="1" applyFill="1" applyFont="1" applyNumberFormat="1">
      <alignment horizontal="right" readingOrder="0" vertical="center"/>
    </xf>
    <xf borderId="0" fillId="29" fontId="43" numFmtId="49" xfId="0" applyAlignment="1" applyFill="1" applyFont="1" applyNumberFormat="1">
      <alignment horizontal="center" readingOrder="0"/>
    </xf>
    <xf borderId="0" fillId="37" fontId="33" numFmtId="49" xfId="0" applyAlignment="1" applyFill="1" applyFont="1" applyNumberFormat="1">
      <alignment horizontal="center" readingOrder="0" vertical="center"/>
    </xf>
    <xf borderId="0" fillId="4" fontId="655" numFmtId="49" xfId="0" applyAlignment="1" applyFill="1" applyFont="1" applyNumberFormat="1">
      <alignment horizontal="right" readingOrder="0" vertical="center"/>
    </xf>
    <xf borderId="0" fillId="25" fontId="22" numFmtId="49" xfId="0" applyAlignment="1" applyFill="1" applyFont="1" applyNumberFormat="1">
      <alignment horizontal="right" readingOrder="0" vertical="center"/>
    </xf>
    <xf borderId="0" fillId="25" fontId="43" numFmtId="49" xfId="0" applyAlignment="1" applyFill="1" applyFont="1" applyNumberFormat="1">
      <alignment horizontal="center" vertical="center"/>
    </xf>
    <xf borderId="0" fillId="25" fontId="43" numFmtId="49" xfId="0" applyAlignment="1" applyFill="1" applyFont="1" applyNumberFormat="1">
      <alignment horizontal="center" readingOrder="0" vertical="center"/>
    </xf>
    <xf borderId="0" fillId="0" fontId="47" numFmtId="49" xfId="0" applyAlignment="1" applyFont="1" applyNumberFormat="1">
      <alignment horizontal="center" vertical="center"/>
    </xf>
    <xf borderId="0" fillId="25" fontId="47" numFmtId="49" xfId="0" applyAlignment="1" applyFill="1" applyFont="1" applyNumberFormat="1">
      <alignment horizontal="center" vertical="center"/>
    </xf>
    <xf borderId="0" fillId="38" fontId="27" numFmtId="49" xfId="0" applyAlignment="1" applyFill="1" applyFont="1" applyNumberFormat="1">
      <alignment horizontal="center" readingOrder="0" vertical="center"/>
    </xf>
    <xf borderId="0" fillId="37" fontId="27" numFmtId="49" xfId="0" applyAlignment="1" applyFill="1" applyFont="1" applyNumberFormat="1">
      <alignment horizontal="center" readingOrder="0" vertical="center"/>
    </xf>
    <xf borderId="0" fillId="25" fontId="33" numFmtId="49" xfId="0" applyAlignment="1" applyFill="1" applyFont="1" applyNumberFormat="1">
      <alignment horizontal="center" vertical="center"/>
    </xf>
    <xf borderId="0" fillId="4" fontId="656" numFmtId="49" xfId="0" applyAlignment="1" applyFill="1" applyFont="1" applyNumberFormat="1">
      <alignment horizontal="right" readingOrder="0" vertical="center"/>
    </xf>
    <xf borderId="0" fillId="33" fontId="27" numFmtId="49" xfId="0" applyAlignment="1" applyFill="1" applyFont="1" applyNumberFormat="1">
      <alignment horizontal="center" readingOrder="0" vertical="center"/>
    </xf>
    <xf borderId="0" fillId="25" fontId="657" numFmtId="49" xfId="0" applyAlignment="1" applyFill="1" applyFont="1" applyNumberFormat="1">
      <alignment horizontal="right" readingOrder="0" vertical="center"/>
    </xf>
    <xf borderId="0" fillId="25" fontId="23" numFmtId="49" xfId="0" applyAlignment="1" applyFill="1" applyFont="1" applyNumberFormat="1">
      <alignment horizontal="right" readingOrder="0" vertical="center"/>
    </xf>
    <xf borderId="0" fillId="29" fontId="33" numFmtId="4" xfId="0" applyAlignment="1" applyFill="1" applyFont="1" applyNumberFormat="1">
      <alignment horizontal="center" vertical="center"/>
    </xf>
    <xf borderId="0" fillId="29" fontId="33" numFmtId="4" xfId="0" applyAlignment="1" applyFill="1" applyFont="1" applyNumberFormat="1">
      <alignment horizontal="center" readingOrder="0" vertical="center"/>
    </xf>
    <xf borderId="0" fillId="0" fontId="33" numFmtId="4" xfId="0" applyAlignment="1" applyFont="1" applyNumberFormat="1">
      <alignment horizontal="center" vertical="center"/>
    </xf>
    <xf borderId="0" fillId="38" fontId="658" numFmtId="4" xfId="0" applyAlignment="1" applyFill="1" applyFont="1" applyNumberFormat="1">
      <alignment horizontal="center" readingOrder="0" vertical="center"/>
    </xf>
    <xf borderId="0" fillId="38" fontId="33" numFmtId="4" xfId="0" applyAlignment="1" applyFill="1" applyFont="1" applyNumberFormat="1">
      <alignment horizontal="center" readingOrder="0" vertical="center"/>
    </xf>
    <xf borderId="0" fillId="38" fontId="33" numFmtId="4" xfId="0" applyAlignment="1" applyFill="1" applyFont="1" applyNumberFormat="1">
      <alignment horizontal="center" vertical="center"/>
    </xf>
    <xf borderId="0" fillId="0" fontId="33" numFmtId="4" xfId="0" applyAlignment="1" applyFont="1" applyNumberFormat="1">
      <alignment horizontal="center" vertical="center"/>
    </xf>
    <xf borderId="0" fillId="39" fontId="659" numFmtId="4" xfId="0" applyAlignment="1" applyFill="1" applyFont="1" applyNumberFormat="1">
      <alignment horizontal="center" readingOrder="0" vertical="center"/>
    </xf>
    <xf borderId="0" fillId="39" fontId="33" numFmtId="4" xfId="0" applyAlignment="1" applyFill="1" applyFont="1" applyNumberFormat="1">
      <alignment horizontal="center" vertical="center"/>
    </xf>
    <xf borderId="0" fillId="39" fontId="33" numFmtId="4" xfId="0" applyAlignment="1" applyFill="1" applyFont="1" applyNumberFormat="1">
      <alignment horizontal="center" readingOrder="0" vertical="center"/>
    </xf>
    <xf borderId="0" fillId="33" fontId="660" numFmtId="4" xfId="0" applyAlignment="1" applyFill="1" applyFont="1" applyNumberFormat="1">
      <alignment horizontal="center" readingOrder="0" vertical="center"/>
    </xf>
    <xf borderId="0" fillId="33" fontId="33" numFmtId="4" xfId="0" applyAlignment="1" applyFill="1" applyFont="1" applyNumberFormat="1">
      <alignment horizontal="center" vertical="center"/>
    </xf>
    <xf borderId="0" fillId="33" fontId="33" numFmtId="4" xfId="0" applyAlignment="1" applyFill="1" applyFont="1" applyNumberFormat="1">
      <alignment horizontal="center" readingOrder="0" vertical="center"/>
    </xf>
    <xf borderId="0" fillId="33" fontId="33" numFmtId="4" xfId="0" applyAlignment="1" applyFill="1" applyFont="1" applyNumberFormat="1">
      <alignment horizontal="center" vertical="center"/>
    </xf>
    <xf borderId="0" fillId="40" fontId="661" numFmtId="4" xfId="0" applyAlignment="1" applyFill="1" applyFont="1" applyNumberFormat="1">
      <alignment horizontal="center" readingOrder="0" vertical="center"/>
    </xf>
    <xf borderId="0" fillId="40" fontId="33" numFmtId="4" xfId="0" applyAlignment="1" applyFill="1" applyFont="1" applyNumberFormat="1">
      <alignment horizontal="center" vertical="center"/>
    </xf>
    <xf borderId="0" fillId="40" fontId="33" numFmtId="4" xfId="0" applyAlignment="1" applyFill="1" applyFont="1" applyNumberFormat="1">
      <alignment horizontal="center" readingOrder="0" vertical="center"/>
    </xf>
    <xf borderId="0" fillId="40" fontId="33" numFmtId="4" xfId="0" applyAlignment="1" applyFill="1" applyFont="1" applyNumberFormat="1">
      <alignment horizontal="center" vertical="center"/>
    </xf>
    <xf borderId="0" fillId="41" fontId="662" numFmtId="4" xfId="0" applyAlignment="1" applyFill="1" applyFont="1" applyNumberFormat="1">
      <alignment horizontal="center" readingOrder="0" vertical="center"/>
    </xf>
    <xf borderId="0" fillId="41" fontId="39" numFmtId="4" xfId="0" applyAlignment="1" applyFill="1" applyFont="1" applyNumberFormat="1">
      <alignment vertical="center"/>
    </xf>
    <xf borderId="0" fillId="41" fontId="33" numFmtId="4" xfId="0" applyAlignment="1" applyFill="1" applyFont="1" applyNumberFormat="1">
      <alignment horizontal="center" vertical="center"/>
    </xf>
    <xf borderId="0" fillId="41" fontId="33" numFmtId="4" xfId="0" applyAlignment="1" applyFill="1" applyFont="1" applyNumberFormat="1">
      <alignment horizontal="center" readingOrder="0" vertical="center"/>
    </xf>
    <xf borderId="0" fillId="37" fontId="663" numFmtId="4" xfId="0" applyAlignment="1" applyFill="1" applyFont="1" applyNumberFormat="1">
      <alignment horizontal="center" readingOrder="0" vertical="center"/>
    </xf>
    <xf borderId="0" fillId="37" fontId="33" numFmtId="4" xfId="0" applyAlignment="1" applyFill="1" applyFont="1" applyNumberFormat="1">
      <alignment horizontal="center" readingOrder="0" vertical="center"/>
    </xf>
    <xf borderId="0" fillId="37" fontId="33" numFmtId="4" xfId="0" applyAlignment="1" applyFill="1" applyFont="1" applyNumberFormat="1">
      <alignment horizontal="center" vertical="center"/>
    </xf>
    <xf borderId="0" fillId="59" fontId="664" numFmtId="4" xfId="0" applyAlignment="1" applyFill="1" applyFont="1" applyNumberFormat="1">
      <alignment horizontal="center" readingOrder="0" vertical="center"/>
    </xf>
    <xf borderId="0" fillId="59" fontId="33" numFmtId="4" xfId="0" applyAlignment="1" applyFill="1" applyFont="1" applyNumberFormat="1">
      <alignment horizontal="center" vertical="center"/>
    </xf>
    <xf borderId="0" fillId="59" fontId="33" numFmtId="4" xfId="0" applyAlignment="1" applyFill="1" applyFont="1" applyNumberFormat="1">
      <alignment horizontal="center" readingOrder="0" vertical="center"/>
    </xf>
    <xf borderId="0" fillId="25" fontId="587" numFmtId="49" xfId="0" applyAlignment="1" applyFill="1" applyFont="1" applyNumberFormat="1">
      <alignment horizontal="right" readingOrder="0" vertical="center"/>
    </xf>
    <xf borderId="0" fillId="25" fontId="43" numFmtId="49" xfId="0" applyAlignment="1" applyFill="1" applyFont="1" applyNumberFormat="1">
      <alignment horizontal="right"/>
    </xf>
    <xf borderId="0" fillId="25" fontId="656" numFmtId="49" xfId="0" applyAlignment="1" applyFill="1" applyFont="1" applyNumberFormat="1">
      <alignment horizontal="right" readingOrder="0" vertical="center"/>
    </xf>
    <xf borderId="0" fillId="4" fontId="665" numFmtId="49" xfId="0" applyAlignment="1" applyFill="1" applyFont="1" applyNumberFormat="1">
      <alignment horizontal="right" readingOrder="0" vertical="center"/>
    </xf>
    <xf borderId="0" fillId="25" fontId="666" numFmtId="49" xfId="0" applyAlignment="1" applyFill="1" applyFont="1" applyNumberFormat="1">
      <alignment horizontal="right" readingOrder="0" vertical="center"/>
    </xf>
    <xf borderId="0" fillId="4" fontId="667" numFmtId="49" xfId="0" applyAlignment="1" applyFill="1" applyFont="1" applyNumberFormat="1">
      <alignment horizontal="right" readingOrder="0" vertical="center"/>
    </xf>
    <xf borderId="0" fillId="39" fontId="27" numFmtId="49" xfId="0" applyAlignment="1" applyFill="1" applyFont="1" applyNumberFormat="1">
      <alignment horizontal="center" readingOrder="0" vertical="center"/>
    </xf>
    <xf borderId="0" fillId="37" fontId="27" numFmtId="49" xfId="0" applyAlignment="1" applyFill="1" applyFont="1" applyNumberFormat="1">
      <alignment horizontal="center" readingOrder="0" vertical="center"/>
    </xf>
    <xf borderId="0" fillId="29" fontId="668" numFmtId="49" xfId="0" applyAlignment="1" applyFill="1" applyFont="1" applyNumberFormat="1">
      <alignment horizontal="center" vertical="center"/>
    </xf>
    <xf borderId="0" fillId="38" fontId="669" numFmtId="49" xfId="0" applyAlignment="1" applyFill="1" applyFont="1" applyNumberFormat="1">
      <alignment horizontal="center" vertical="center"/>
    </xf>
    <xf borderId="0" fillId="25" fontId="24" numFmtId="49" xfId="0" applyAlignment="1" applyFill="1" applyFont="1" applyNumberFormat="1">
      <alignment horizontal="right" readingOrder="0" vertical="center"/>
    </xf>
    <xf borderId="0" fillId="25" fontId="670" numFmtId="49" xfId="0" applyAlignment="1" applyFill="1" applyFont="1" applyNumberFormat="1">
      <alignment horizontal="right" readingOrder="0" vertical="center"/>
    </xf>
    <xf borderId="0" fillId="25" fontId="43" numFmtId="49" xfId="0" applyAlignment="1" applyFill="1" applyFont="1" applyNumberFormat="1">
      <alignment horizontal="center"/>
    </xf>
    <xf borderId="0" fillId="25" fontId="671" numFmtId="49" xfId="0" applyAlignment="1" applyFill="1" applyFont="1" applyNumberFormat="1">
      <alignment horizontal="center" vertical="center"/>
    </xf>
    <xf borderId="0" fillId="29" fontId="43" numFmtId="49" xfId="0" applyAlignment="1" applyFill="1" applyFont="1" applyNumberFormat="1">
      <alignment horizontal="center"/>
    </xf>
    <xf borderId="0" fillId="25" fontId="672" numFmtId="49" xfId="0" applyAlignment="1" applyFill="1" applyFont="1" applyNumberFormat="1">
      <alignment horizontal="center" vertical="center"/>
    </xf>
    <xf borderId="0" fillId="38" fontId="673" numFmtId="49" xfId="0" applyAlignment="1" applyFill="1" applyFont="1" applyNumberFormat="1">
      <alignment horizontal="center" readingOrder="0" vertical="center"/>
    </xf>
    <xf borderId="7" fillId="39" fontId="674" numFmtId="49" xfId="0" applyAlignment="1" applyBorder="1" applyFill="1" applyFont="1" applyNumberFormat="1">
      <alignment horizontal="center" vertical="center"/>
    </xf>
    <xf borderId="0" fillId="41" fontId="675" numFmtId="49" xfId="0" applyAlignment="1" applyFill="1" applyFont="1" applyNumberFormat="1">
      <alignment horizontal="center" vertical="center"/>
    </xf>
    <xf borderId="0" fillId="37" fontId="676" numFmtId="49" xfId="0" applyAlignment="1" applyFill="1" applyFont="1" applyNumberFormat="1">
      <alignment horizontal="center" vertical="center"/>
    </xf>
    <xf borderId="0" fillId="59" fontId="677" numFmtId="49" xfId="0" applyAlignment="1" applyFill="1" applyFont="1" applyNumberFormat="1">
      <alignment horizontal="center" readingOrder="0" vertical="center"/>
    </xf>
    <xf borderId="0" fillId="25" fontId="678" numFmtId="49" xfId="0" applyAlignment="1" applyFill="1" applyFont="1" applyNumberFormat="1">
      <alignment horizontal="right" readingOrder="0" vertical="center"/>
    </xf>
    <xf borderId="0" fillId="29" fontId="264" numFmtId="49" xfId="0" applyFill="1" applyFont="1" applyNumberFormat="1"/>
    <xf borderId="0" fillId="0" fontId="264" numFmtId="49" xfId="0" applyFont="1" applyNumberFormat="1"/>
    <xf borderId="0" fillId="38" fontId="43" numFmtId="49" xfId="0" applyAlignment="1" applyFill="1" applyFont="1" applyNumberFormat="1">
      <alignment horizontal="center"/>
    </xf>
    <xf borderId="0" fillId="38" fontId="43" numFmtId="49" xfId="0" applyAlignment="1" applyFill="1" applyFont="1" applyNumberFormat="1">
      <alignment horizontal="center"/>
    </xf>
    <xf borderId="0" fillId="38" fontId="264" numFmtId="49" xfId="0" applyFill="1" applyFont="1" applyNumberFormat="1"/>
    <xf borderId="0" fillId="0" fontId="6" numFmtId="49" xfId="0" applyFont="1" applyNumberFormat="1"/>
    <xf borderId="0" fillId="39" fontId="264" numFmtId="49" xfId="0" applyFill="1" applyFont="1" applyNumberFormat="1"/>
    <xf borderId="0" fillId="39" fontId="43" numFmtId="49" xfId="0" applyAlignment="1" applyFill="1" applyFont="1" applyNumberFormat="1">
      <alignment horizontal="center"/>
    </xf>
    <xf borderId="0" fillId="33" fontId="264" numFmtId="49" xfId="0" applyFill="1" applyFont="1" applyNumberFormat="1"/>
    <xf borderId="0" fillId="33" fontId="43" numFmtId="49" xfId="0" applyAlignment="1" applyFill="1" applyFont="1" applyNumberFormat="1">
      <alignment horizontal="center"/>
    </xf>
    <xf borderId="0" fillId="33" fontId="6" numFmtId="49" xfId="0" applyFill="1" applyFont="1" applyNumberFormat="1"/>
    <xf borderId="0" fillId="40" fontId="264" numFmtId="49" xfId="0" applyFill="1" applyFont="1" applyNumberFormat="1"/>
    <xf borderId="0" fillId="40" fontId="43" numFmtId="49" xfId="0" applyAlignment="1" applyFill="1" applyFont="1" applyNumberFormat="1">
      <alignment horizontal="center"/>
    </xf>
    <xf borderId="0" fillId="40" fontId="43" numFmtId="49" xfId="0" applyAlignment="1" applyFill="1" applyFont="1" applyNumberFormat="1">
      <alignment horizontal="center"/>
    </xf>
    <xf borderId="0" fillId="40" fontId="6" numFmtId="49" xfId="0" applyFill="1" applyFont="1" applyNumberFormat="1"/>
    <xf borderId="0" fillId="41" fontId="264" numFmtId="49" xfId="0" applyFill="1" applyFont="1" applyNumberFormat="1"/>
    <xf borderId="0" fillId="41" fontId="43" numFmtId="49" xfId="0" applyAlignment="1" applyFill="1" applyFont="1" applyNumberFormat="1">
      <alignment horizontal="center"/>
    </xf>
    <xf borderId="0" fillId="0" fontId="264" numFmtId="49" xfId="0" applyFont="1" applyNumberFormat="1"/>
    <xf borderId="0" fillId="37" fontId="43" numFmtId="49" xfId="0" applyAlignment="1" applyFill="1" applyFont="1" applyNumberFormat="1">
      <alignment horizontal="center"/>
    </xf>
    <xf borderId="0" fillId="37" fontId="264" numFmtId="49" xfId="0" applyFill="1" applyFont="1" applyNumberFormat="1"/>
    <xf borderId="0" fillId="37" fontId="43" numFmtId="49" xfId="0" applyAlignment="1" applyFill="1" applyFont="1" applyNumberFormat="1">
      <alignment horizontal="center"/>
    </xf>
    <xf borderId="0" fillId="59" fontId="264" numFmtId="49" xfId="0" applyFill="1" applyFont="1" applyNumberFormat="1"/>
    <xf borderId="7" fillId="59" fontId="679" numFmtId="49" xfId="0" applyAlignment="1" applyBorder="1" applyFill="1" applyFont="1" applyNumberFormat="1">
      <alignment horizontal="center"/>
    </xf>
    <xf borderId="0" fillId="4" fontId="72" numFmtId="49" xfId="0" applyAlignment="1" applyFill="1" applyFont="1" applyNumberFormat="1">
      <alignment horizontal="right" readingOrder="0" vertical="center"/>
    </xf>
    <xf borderId="0" fillId="25" fontId="680" numFmtId="49" xfId="0" applyAlignment="1" applyFill="1" applyFont="1" applyNumberFormat="1">
      <alignment horizontal="right" readingOrder="0" vertical="center"/>
    </xf>
    <xf borderId="0" fillId="4" fontId="631" numFmtId="49" xfId="0" applyAlignment="1" applyFill="1" applyFont="1" applyNumberFormat="1">
      <alignment horizontal="right" readingOrder="0" vertical="center"/>
    </xf>
    <xf borderId="0" fillId="38" fontId="681" numFmtId="49" xfId="0" applyAlignment="1" applyFill="1" applyFont="1" applyNumberFormat="1">
      <alignment horizontal="center" readingOrder="0" vertical="center"/>
    </xf>
    <xf borderId="0" fillId="25" fontId="682" numFmtId="49" xfId="0" applyAlignment="1" applyFill="1" applyFont="1" applyNumberFormat="1">
      <alignment horizontal="right" readingOrder="0" vertical="center"/>
    </xf>
    <xf borderId="0" fillId="25" fontId="72" numFmtId="49" xfId="0" applyAlignment="1" applyFill="1" applyFont="1" applyNumberFormat="1">
      <alignment horizontal="right" readingOrder="0" vertical="center"/>
    </xf>
    <xf borderId="0" fillId="4" fontId="683" numFmtId="49" xfId="0" applyAlignment="1" applyFill="1" applyFont="1" applyNumberFormat="1">
      <alignment horizontal="right" readingOrder="0" vertical="center"/>
    </xf>
    <xf borderId="0" fillId="25" fontId="684" numFmtId="49" xfId="0" applyAlignment="1" applyFill="1" applyFont="1" applyNumberFormat="1">
      <alignment horizontal="right" readingOrder="0" textRotation="0" vertical="center"/>
    </xf>
    <xf borderId="0" fillId="25" fontId="685" numFmtId="49" xfId="0" applyAlignment="1" applyFill="1" applyFont="1" applyNumberFormat="1">
      <alignment horizontal="right" readingOrder="0" vertical="center"/>
    </xf>
    <xf borderId="0" fillId="25" fontId="686" numFmtId="49" xfId="0" applyAlignment="1" applyFill="1" applyFont="1" applyNumberFormat="1">
      <alignment horizontal="right" readingOrder="0" vertical="center"/>
    </xf>
    <xf borderId="0" fillId="4" fontId="687" numFmtId="49" xfId="0" applyAlignment="1" applyFill="1" applyFont="1" applyNumberFormat="1">
      <alignment horizontal="right" readingOrder="0" vertical="center"/>
    </xf>
    <xf borderId="0" fillId="33" fontId="688" numFmtId="49" xfId="0" applyAlignment="1" applyFill="1" applyFont="1" applyNumberFormat="1">
      <alignment horizontal="center" vertical="center"/>
    </xf>
    <xf borderId="0" fillId="4" fontId="333" numFmtId="49" xfId="0" applyAlignment="1" applyFill="1" applyFont="1" applyNumberFormat="1">
      <alignment horizontal="right" readingOrder="0" vertical="center"/>
    </xf>
    <xf borderId="0" fillId="25" fontId="24" numFmtId="49" xfId="0" applyAlignment="1" applyFill="1" applyFont="1" applyNumberFormat="1">
      <alignment horizontal="right" readingOrder="0" vertical="center"/>
    </xf>
    <xf borderId="0" fillId="25" fontId="27" numFmtId="49" xfId="0" applyAlignment="1" applyFill="1" applyFont="1" applyNumberFormat="1">
      <alignment horizontal="center" readingOrder="0" vertical="center"/>
    </xf>
    <xf borderId="0" fillId="4" fontId="689" numFmtId="49" xfId="0" applyAlignment="1" applyFill="1" applyFont="1" applyNumberFormat="1">
      <alignment horizontal="right" readingOrder="0" vertical="center"/>
    </xf>
    <xf borderId="0" fillId="4" fontId="586" numFmtId="49" xfId="0" applyAlignment="1" applyFill="1" applyFont="1" applyNumberFormat="1">
      <alignment horizontal="right" readingOrder="0" vertical="center"/>
    </xf>
    <xf borderId="0" fillId="29" fontId="690" numFmtId="49" xfId="0" applyAlignment="1" applyFill="1" applyFont="1" applyNumberFormat="1">
      <alignment horizontal="center" readingOrder="0" vertical="center"/>
    </xf>
    <xf borderId="0" fillId="39" fontId="691" numFmtId="49" xfId="0" applyAlignment="1" applyFill="1" applyFont="1" applyNumberFormat="1">
      <alignment horizontal="center" vertical="center"/>
    </xf>
    <xf borderId="0" fillId="59" fontId="692" numFmtId="49" xfId="0" applyAlignment="1" applyFill="1" applyFont="1" applyNumberFormat="1">
      <alignment horizontal="center" vertical="center"/>
    </xf>
    <xf borderId="0" fillId="59" fontId="693" numFmtId="49" xfId="0" applyAlignment="1" applyFill="1" applyFont="1" applyNumberFormat="1">
      <alignment horizontal="center" vertical="center"/>
    </xf>
    <xf borderId="0" fillId="4" fontId="23" numFmtId="49" xfId="0" applyAlignment="1" applyFill="1" applyFont="1" applyNumberFormat="1">
      <alignment horizontal="right" vertical="center"/>
    </xf>
    <xf borderId="0" fillId="25" fontId="23" numFmtId="49" xfId="0" applyAlignment="1" applyFill="1" applyFont="1" applyNumberFormat="1">
      <alignment horizontal="right" vertical="center"/>
    </xf>
    <xf borderId="0" fillId="37" fontId="33" numFmtId="49" xfId="0" applyAlignment="1" applyFill="1" applyFont="1" applyNumberFormat="1">
      <alignment horizontal="center" vertical="center"/>
    </xf>
    <xf borderId="0" fillId="25" fontId="6" numFmtId="49" xfId="0" applyFill="1" applyFont="1" applyNumberFormat="1"/>
    <xf borderId="0" fillId="0" fontId="6" numFmtId="49" xfId="0" applyFont="1" applyNumberFormat="1"/>
    <xf borderId="0" fillId="29" fontId="6" numFmtId="49" xfId="0" applyFill="1" applyFont="1" applyNumberFormat="1"/>
    <xf borderId="0" fillId="39" fontId="6" numFmtId="49" xfId="0" applyFill="1" applyFont="1" applyNumberFormat="1"/>
    <xf borderId="0" fillId="41" fontId="6" numFmtId="49" xfId="0" applyFill="1" applyFont="1" applyNumberFormat="1"/>
    <xf borderId="0" fillId="37" fontId="6" numFmtId="49" xfId="0" applyFill="1" applyFont="1" applyNumberFormat="1"/>
    <xf borderId="0" fillId="59" fontId="6" numFmtId="49" xfId="0" applyFill="1" applyFont="1" applyNumberFormat="1"/>
  </cellXfs>
  <cellStyles count="1">
    <cellStyle xfId="0" name="Normal" builtinId="0"/>
  </cellStyles>
  <dxfs count="26">
    <dxf>
      <font/>
      <fill>
        <patternFill patternType="none"/>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E8F0FE"/>
          <bgColor rgb="FFE8F0FE"/>
        </patternFill>
      </fill>
      <border/>
    </dxf>
    <dxf>
      <font/>
      <fill>
        <patternFill patternType="solid">
          <fgColor rgb="FFFEF8E3"/>
          <bgColor rgb="FFFEF8E3"/>
        </patternFill>
      </fill>
      <border/>
    </dxf>
    <dxf>
      <font/>
      <fill>
        <patternFill patternType="solid">
          <fgColor rgb="FFF3F3F3"/>
          <bgColor rgb="FFF3F3F3"/>
        </patternFill>
      </fill>
      <border/>
    </dxf>
    <dxf>
      <font/>
      <fill>
        <patternFill patternType="solid">
          <fgColor rgb="FFFFF0FA"/>
          <bgColor rgb="FFFFF0FA"/>
        </patternFill>
      </fill>
      <border/>
    </dxf>
    <dxf>
      <font/>
      <fill>
        <patternFill patternType="solid">
          <fgColor rgb="FFFCF0E1"/>
          <bgColor rgb="FFFCF0E1"/>
        </patternFill>
      </fill>
      <border/>
    </dxf>
    <dxf>
      <font/>
      <fill>
        <patternFill patternType="solid">
          <fgColor rgb="FFEDE5FF"/>
          <bgColor rgb="FFEDE5FF"/>
        </patternFill>
      </fill>
      <border/>
    </dxf>
    <dxf>
      <font/>
      <fill>
        <patternFill patternType="solid">
          <fgColor rgb="FFE8E7FC"/>
          <bgColor rgb="FFE8E7FC"/>
        </patternFill>
      </fill>
      <border/>
    </dxf>
    <dxf>
      <font/>
      <fill>
        <patternFill patternType="solid">
          <fgColor rgb="FFFFE6DD"/>
          <bgColor rgb="FFFFE6DD"/>
        </patternFill>
      </fill>
      <border/>
    </dxf>
    <dxf>
      <font/>
      <fill>
        <patternFill patternType="solid">
          <fgColor rgb="FFFFE8E8"/>
          <bgColor rgb="FFFFE8E8"/>
        </patternFill>
      </fill>
      <border/>
    </dxf>
    <dxf>
      <font/>
      <fill>
        <patternFill patternType="solid">
          <fgColor rgb="FFD9D9D9"/>
          <bgColor rgb="FFD9D9D9"/>
        </patternFill>
      </fill>
      <border/>
    </dxf>
    <dxf>
      <font>
        <color rgb="FF000000"/>
      </font>
      <fill>
        <patternFill patternType="solid">
          <fgColor rgb="FFB6D7A8"/>
          <bgColor rgb="FFB6D7A8"/>
        </patternFill>
      </fill>
      <border/>
    </dxf>
    <dxf>
      <font>
        <color rgb="FF6AA84F"/>
      </font>
      <fill>
        <patternFill patternType="none"/>
      </fill>
      <border/>
    </dxf>
    <dxf>
      <font/>
      <fill>
        <patternFill patternType="solid">
          <fgColor rgb="FFE7F9EF"/>
          <bgColor rgb="FFE7F9EF"/>
        </patternFill>
      </fill>
      <border/>
    </dxf>
    <dxf>
      <font/>
      <fill>
        <patternFill patternType="solid">
          <fgColor rgb="FFE3D9FC"/>
          <bgColor rgb="FFE3D9FC"/>
        </patternFill>
      </fill>
      <border/>
    </dxf>
    <dxf>
      <font/>
      <fill>
        <patternFill patternType="solid">
          <fgColor rgb="FFD9D9D9"/>
          <bgColor rgb="FFD9D9D9"/>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EFEFEF"/>
          <bgColor rgb="FFEFEFEF"/>
        </patternFill>
      </fill>
      <border/>
    </dxf>
    <dxf>
      <font>
        <color rgb="FF000000"/>
      </font>
      <fill>
        <patternFill patternType="solid">
          <fgColor rgb="FFF4CCCC"/>
          <bgColor rgb="FFF4CCCC"/>
        </patternFill>
      </fill>
      <border/>
    </dxf>
    <dxf>
      <font>
        <color rgb="FF000000"/>
      </font>
      <fill>
        <patternFill patternType="solid">
          <fgColor rgb="FFD9EAD3"/>
          <bgColor rgb="FFD9EAD3"/>
        </patternFill>
      </fill>
      <border/>
    </dxf>
    <dxf>
      <font>
        <color rgb="FF000000"/>
      </font>
      <fill>
        <patternFill patternType="solid">
          <fgColor rgb="FFC9DAF8"/>
          <bgColor rgb="FFC9DAF8"/>
        </patternFill>
      </fill>
      <border/>
    </dxf>
    <dxf>
      <font>
        <color rgb="FFFF9900"/>
      </font>
      <fill>
        <patternFill patternType="none"/>
      </fill>
      <border/>
    </dxf>
    <dxf>
      <font>
        <b/>
        <color rgb="FF000000"/>
      </font>
      <fill>
        <patternFill patternType="solid">
          <fgColor rgb="FFB6D7A8"/>
          <bgColor rgb="FFB6D7A8"/>
        </patternFill>
      </fill>
      <border/>
    </dxf>
  </dxfs>
  <tableStyles count="79">
    <tableStyle count="2" pivot="0" name="RTA Strat ILs-style">
      <tableStyleElement dxfId="1" type="firstRowStripe"/>
      <tableStyleElement dxfId="2" type="secondRowStripe"/>
    </tableStyle>
    <tableStyle count="2" pivot="0" name="RTA Strat ILs-style 2">
      <tableStyleElement dxfId="1" type="firstRowStripe"/>
      <tableStyleElement dxfId="3" type="secondRowStripe"/>
    </tableStyle>
    <tableStyle count="2" pivot="0" name="RTA Strat ILs-style 3">
      <tableStyleElement dxfId="1" type="firstRowStripe"/>
      <tableStyleElement dxfId="4" type="secondRowStripe"/>
    </tableStyle>
    <tableStyle count="2" pivot="0" name="Free ILs-style">
      <tableStyleElement dxfId="1" type="firstRowStripe"/>
      <tableStyleElement dxfId="5" type="secondRowStripe"/>
    </tableStyle>
    <tableStyle count="2" pivot="0" name="RTA Strat ILs-style 4">
      <tableStyleElement dxfId="1" type="firstRowStripe"/>
      <tableStyleElement dxfId="6" type="secondRowStripe"/>
    </tableStyle>
    <tableStyle count="2" pivot="0" name="Free ILs-style 2">
      <tableStyleElement dxfId="1" type="firstRowStripe"/>
      <tableStyleElement dxfId="2" type="secondRowStripe"/>
    </tableStyle>
    <tableStyle count="2" pivot="0" name="RTA Strat ILs-style 5">
      <tableStyleElement dxfId="1" type="firstRowStripe"/>
      <tableStyleElement dxfId="7" type="secondRowStripe"/>
    </tableStyle>
    <tableStyle count="2" pivot="0" name="Free ILs-style 3">
      <tableStyleElement dxfId="1" type="firstRowStripe"/>
      <tableStyleElement dxfId="3" type="secondRowStripe"/>
    </tableStyle>
    <tableStyle count="2" pivot="0" name="Free ILs-style 4">
      <tableStyleElement dxfId="1" type="firstRowStripe"/>
      <tableStyleElement dxfId="4" type="secondRowStripe"/>
    </tableStyle>
    <tableStyle count="2" pivot="0" name="Free ILs-style 5">
      <tableStyleElement dxfId="1" type="firstRowStripe"/>
      <tableStyleElement dxfId="6" type="secondRowStripe"/>
    </tableStyle>
    <tableStyle count="2" pivot="0" name="Free ILs-style 6">
      <tableStyleElement dxfId="1" type="firstRowStripe"/>
      <tableStyleElement dxfId="7" type="secondRowStripe"/>
    </tableStyle>
    <tableStyle count="2" pivot="0" name="RTA Strat ILs-style 6">
      <tableStyleElement dxfId="1" type="firstRowStripe"/>
      <tableStyleElement dxfId="8" type="secondRowStripe"/>
    </tableStyle>
    <tableStyle count="2" pivot="0" name="Free ILs-style 7">
      <tableStyleElement dxfId="1" type="firstRowStripe"/>
      <tableStyleElement dxfId="9" type="secondRowStripe"/>
    </tableStyle>
    <tableStyle count="2" pivot="0" name="Free ILs-style 8">
      <tableStyleElement dxfId="1" type="firstRowStripe"/>
      <tableStyleElement dxfId="10" type="secondRowStripe"/>
    </tableStyle>
    <tableStyle count="2" pivot="0" name="Free ILs-style 9">
      <tableStyleElement dxfId="1" type="firstRowStripe"/>
      <tableStyleElement dxfId="3" type="secondRowStripe"/>
    </tableStyle>
    <tableStyle count="2" pivot="0" name="RTA Strat ILs-style 7">
      <tableStyleElement dxfId="1" type="firstRowStripe"/>
      <tableStyleElement dxfId="11" type="secondRowStripe"/>
    </tableStyle>
    <tableStyle count="2" pivot="0" name="RTA Strat ILs-style 8">
      <tableStyleElement dxfId="1" type="firstRowStripe"/>
      <tableStyleElement dxfId="3" type="secondRowStripe"/>
    </tableStyle>
    <tableStyle count="2" pivot="0" name="RTA Strat ILs-style 9">
      <tableStyleElement dxfId="1" type="firstRowStripe"/>
      <tableStyleElement dxfId="3" type="secondRowStripe"/>
    </tableStyle>
    <tableStyle count="2" pivot="0" name="RTA Strat ILs-style 10">
      <tableStyleElement dxfId="1" type="firstRowStripe"/>
      <tableStyleElement dxfId="3" type="secondRowStripe"/>
    </tableStyle>
    <tableStyle count="2" pivot="0" name="120 ILs-style">
      <tableStyleElement dxfId="1" type="firstRowStripe"/>
      <tableStyleElement dxfId="5" type="secondRowStripe"/>
    </tableStyle>
    <tableStyle count="2" pivot="0" name="120 ILs-style 2">
      <tableStyleElement dxfId="1" type="firstRowStripe"/>
      <tableStyleElement dxfId="2" type="secondRowStripe"/>
    </tableStyle>
    <tableStyle count="2" pivot="0" name="ILs-style">
      <tableStyleElement dxfId="12" type="firstRowStripe"/>
      <tableStyleElement dxfId="12" type="secondRowStripe"/>
    </tableStyle>
    <tableStyle count="2" pivot="0" name="ILs-style 2">
      <tableStyleElement dxfId="12" type="firstRowStripe"/>
      <tableStyleElement dxfId="12" type="secondRowStripe"/>
    </tableStyle>
    <tableStyle count="2" pivot="0" name="120 ILs-style 3">
      <tableStyleElement dxfId="1" type="firstRowStripe"/>
      <tableStyleElement dxfId="3" type="secondRowStripe"/>
    </tableStyle>
    <tableStyle count="2" pivot="0" name="ILs-style 3">
      <tableStyleElement dxfId="11" type="firstRowStripe"/>
      <tableStyleElement dxfId="1" type="secondRowStripe"/>
    </tableStyle>
    <tableStyle count="2" pivot="0" name="120 ILs-style 4">
      <tableStyleElement dxfId="1" type="firstRowStripe"/>
      <tableStyleElement dxfId="4" type="secondRowStripe"/>
    </tableStyle>
    <tableStyle count="2" pivot="0" name="120 ILs-style 5">
      <tableStyleElement dxfId="1" type="firstRowStripe"/>
      <tableStyleElement dxfId="6" type="secondRowStripe"/>
    </tableStyle>
    <tableStyle count="2" pivot="0" name="120 ILs-style 6">
      <tableStyleElement dxfId="1" type="firstRowStripe"/>
      <tableStyleElement dxfId="7" type="secondRowStripe"/>
    </tableStyle>
    <tableStyle count="2" pivot="0" name="120 ILs-style 7">
      <tableStyleElement dxfId="1" type="firstRowStripe"/>
      <tableStyleElement dxfId="8" type="secondRowStripe"/>
    </tableStyle>
    <tableStyle count="2" pivot="0" name="120 ILs-style 8">
      <tableStyleElement dxfId="1" type="firstRowStripe"/>
      <tableStyleElement dxfId="10" type="secondRowStripe"/>
    </tableStyle>
    <tableStyle count="2" pivot="0" name="120 ILs-style 9">
      <tableStyleElement dxfId="1" type="firstRowStripe"/>
      <tableStyleElement dxfId="3" type="secondRowStripe"/>
    </tableStyle>
    <tableStyle count="2" pivot="0" name="Misc ILs-style">
      <tableStyleElement dxfId="1" type="firstRowStripe"/>
      <tableStyleElement dxfId="5" type="secondRowStripe"/>
    </tableStyle>
    <tableStyle count="2" pivot="0" name="Misc ILs-style 2">
      <tableStyleElement dxfId="1" type="firstRowStripe"/>
      <tableStyleElement dxfId="4" type="secondRowStripe"/>
    </tableStyle>
    <tableStyle count="2" pivot="0" name="Misc ILs-style 3">
      <tableStyleElement dxfId="1" type="firstRowStripe"/>
      <tableStyleElement dxfId="15" type="secondRowStripe"/>
    </tableStyle>
    <tableStyle count="2" pivot="0" name="Misc ILs-style 4">
      <tableStyleElement dxfId="1" type="firstRowStripe"/>
      <tableStyleElement dxfId="3" type="secondRowStripe"/>
    </tableStyle>
    <tableStyle count="2" pivot="0" name="Misc ILs-style 5">
      <tableStyleElement dxfId="1" type="firstRowStripe"/>
      <tableStyleElement dxfId="7" type="secondRowStripe"/>
    </tableStyle>
    <tableStyle count="2" pivot="0" name="Misc ILs-style 6">
      <tableStyleElement dxfId="1" type="firstRowStripe"/>
      <tableStyleElement dxfId="6" type="secondRowStripe"/>
    </tableStyle>
    <tableStyle count="2" pivot="0" name="Misc ILs-style 7">
      <tableStyleElement dxfId="1" type="firstRowStripe"/>
      <tableStyleElement dxfId="11" type="secondRowStripe"/>
    </tableStyle>
    <tableStyle count="2" pivot="0" name="Misc ILs-style 8">
      <tableStyleElement dxfId="1" type="firstRowStripe"/>
      <tableStyleElement dxfId="4" type="secondRowStripe"/>
    </tableStyle>
    <tableStyle count="2" pivot="0" name="Misc ILs-style 9">
      <tableStyleElement dxfId="1" type="firstRowStripe"/>
      <tableStyleElement dxfId="5" type="secondRowStripe"/>
    </tableStyle>
    <tableStyle count="2" pivot="0" name="Misc ILs-style 10">
      <tableStyleElement dxfId="1" type="firstRowStripe"/>
      <tableStyleElement dxfId="3" type="secondRowStripe"/>
    </tableStyle>
    <tableStyle count="2" pivot="0" name="Misc ILs-style 11">
      <tableStyleElement dxfId="1" type="firstRowStripe"/>
      <tableStyleElement dxfId="10" type="secondRowStripe"/>
    </tableStyle>
    <tableStyle count="2" pivot="0" name="Misc ILs-style 12">
      <tableStyleElement dxfId="1" type="firstRowStripe"/>
      <tableStyleElement dxfId="16" type="secondRowStripe"/>
    </tableStyle>
    <tableStyle count="2" pivot="0" name="Any% Best Segments-style">
      <tableStyleElement dxfId="1" type="firstRowStripe"/>
      <tableStyleElement dxfId="5" type="secondRowStripe"/>
    </tableStyle>
    <tableStyle count="2" pivot="0" name="Any% Best Segments-style 2">
      <tableStyleElement dxfId="1" type="firstRowStripe"/>
      <tableStyleElement dxfId="2" type="secondRowStripe"/>
    </tableStyle>
    <tableStyle count="2" pivot="0" name="Any% Best Segments-style 3">
      <tableStyleElement dxfId="1" type="firstRowStripe"/>
      <tableStyleElement dxfId="4" type="secondRowStripe"/>
    </tableStyle>
    <tableStyle count="2" pivot="0" name="Any% Best Segments-style 4">
      <tableStyleElement dxfId="1" type="firstRowStripe"/>
      <tableStyleElement dxfId="11" type="secondRowStripe"/>
    </tableStyle>
    <tableStyle count="2" pivot="0" name="Any% Best Segments-style 5">
      <tableStyleElement dxfId="1" type="firstRowStripe"/>
      <tableStyleElement dxfId="6" type="secondRowStripe"/>
    </tableStyle>
    <tableStyle count="2" pivot="0" name="Any% Best Segments-style 6">
      <tableStyleElement dxfId="1" type="firstRowStripe"/>
      <tableStyleElement dxfId="3" type="secondRowStripe"/>
    </tableStyle>
    <tableStyle count="2" pivot="0" name="Any% Best Segments-style 7">
      <tableStyleElement dxfId="1" type="firstRowStripe"/>
      <tableStyleElement dxfId="2" type="secondRowStripe"/>
    </tableStyle>
    <tableStyle count="2" pivot="0" name="Any% Best Segments-style 8">
      <tableStyleElement dxfId="1" type="firstRowStripe"/>
      <tableStyleElement dxfId="7" type="secondRowStripe"/>
    </tableStyle>
    <tableStyle count="2" pivot="0" name="Any% Best Segments-style 9">
      <tableStyleElement dxfId="1" type="firstRowStripe"/>
      <tableStyleElement dxfId="8" type="secondRowStripe"/>
    </tableStyle>
    <tableStyle count="2" pivot="0" name="Any% Best Segments-style 10">
      <tableStyleElement dxfId="1" type="firstRowStripe"/>
      <tableStyleElement dxfId="11" type="secondRowStripe"/>
    </tableStyle>
    <tableStyle count="2" pivot="0" name="Any% Best Segments-style 11">
      <tableStyleElement dxfId="1" type="firstRowStripe"/>
      <tableStyleElement dxfId="5" type="secondRowStripe"/>
    </tableStyle>
    <tableStyle count="2" pivot="0" name="Any% Best World Segments-style">
      <tableStyleElement dxfId="1" type="firstRowStripe"/>
      <tableStyleElement dxfId="5" type="secondRowStripe"/>
    </tableStyle>
    <tableStyle count="2" pivot="0" name="Any% Best World Segments-style 2">
      <tableStyleElement dxfId="1" type="firstRowStripe"/>
      <tableStyleElement dxfId="2" type="secondRowStripe"/>
    </tableStyle>
    <tableStyle count="2" pivot="0" name="Any% Best World Segments-style 3">
      <tableStyleElement dxfId="1" type="firstRowStripe"/>
      <tableStyleElement dxfId="4" type="secondRowStripe"/>
    </tableStyle>
    <tableStyle count="2" pivot="0" name="Any% Best World Segments-style 4">
      <tableStyleElement dxfId="1" type="firstRowStripe"/>
      <tableStyleElement dxfId="11" type="secondRowStripe"/>
    </tableStyle>
    <tableStyle count="2" pivot="0" name="Any% Best World Segments-style 5">
      <tableStyleElement dxfId="1" type="firstRowStripe"/>
      <tableStyleElement dxfId="6" type="secondRowStripe"/>
    </tableStyle>
    <tableStyle count="2" pivot="0" name="Any% Best World Segments-style 6">
      <tableStyleElement dxfId="1" type="firstRowStripe"/>
      <tableStyleElement dxfId="3" type="secondRowStripe"/>
    </tableStyle>
    <tableStyle count="2" pivot="0" name="Any% Best World Segments-style 7">
      <tableStyleElement dxfId="1" type="firstRowStripe"/>
      <tableStyleElement dxfId="2" type="secondRowStripe"/>
    </tableStyle>
    <tableStyle count="2" pivot="0" name="Any% Best World Segments-style 8">
      <tableStyleElement dxfId="1" type="firstRowStripe"/>
      <tableStyleElement dxfId="7" type="secondRowStripe"/>
    </tableStyle>
    <tableStyle count="2" pivot="0" name="Any% Best World Segments-style 9">
      <tableStyleElement dxfId="1" type="firstRowStripe"/>
      <tableStyleElement dxfId="8" type="secondRowStripe"/>
    </tableStyle>
    <tableStyle count="2" pivot="0" name="Any% Best World Segments-style 10">
      <tableStyleElement dxfId="1" type="firstRowStripe"/>
      <tableStyleElement dxfId="11" type="secondRowStripe"/>
    </tableStyle>
    <tableStyle count="2" pivot="0" name="Any% Best World Segments-style 11">
      <tableStyleElement dxfId="1" type="firstRowStripe"/>
      <tableStyleElement dxfId="20" type="secondRowStripe"/>
    </tableStyle>
    <tableStyle count="2" pivot="0" name="Any% Best World Exits-style">
      <tableStyleElement dxfId="1" type="firstRowStripe"/>
      <tableStyleElement dxfId="2" type="secondRowStripe"/>
    </tableStyle>
    <tableStyle count="2" pivot="0" name="Any% Best World Exits-style 2">
      <tableStyleElement dxfId="1" type="firstRowStripe"/>
      <tableStyleElement dxfId="4" type="secondRowStripe"/>
    </tableStyle>
    <tableStyle count="2" pivot="0" name="Any% Best World Exits-style 3">
      <tableStyleElement dxfId="1" type="firstRowStripe"/>
      <tableStyleElement dxfId="11" type="secondRowStripe"/>
    </tableStyle>
    <tableStyle count="2" pivot="0" name="Any% Best World Exits-style 4">
      <tableStyleElement dxfId="1" type="firstRowStripe"/>
      <tableStyleElement dxfId="6" type="secondRowStripe"/>
    </tableStyle>
    <tableStyle count="2" pivot="0" name="Any% Best World Exits-style 5">
      <tableStyleElement dxfId="1" type="firstRowStripe"/>
      <tableStyleElement dxfId="3" type="secondRowStripe"/>
    </tableStyle>
    <tableStyle count="2" pivot="0" name="Any% Best World Exits-style 6">
      <tableStyleElement dxfId="1" type="firstRowStripe"/>
      <tableStyleElement dxfId="2" type="secondRowStripe"/>
    </tableStyle>
    <tableStyle count="2" pivot="0" name="Any% Best World Exits-style 7">
      <tableStyleElement dxfId="1" type="firstRowStripe"/>
      <tableStyleElement dxfId="7" type="secondRowStripe"/>
    </tableStyle>
    <tableStyle count="2" pivot="0" name="Any% Best World Exits-style 8">
      <tableStyleElement dxfId="1" type="firstRowStripe"/>
      <tableStyleElement dxfId="8" type="secondRowStripe"/>
    </tableStyle>
    <tableStyle count="2" pivot="0" name="Any% Best World Exits-style 9">
      <tableStyleElement dxfId="1" type="firstRowStripe"/>
      <tableStyleElement dxfId="5" type="secondRowStripe"/>
    </tableStyle>
    <tableStyle count="2" pivot="0" name="Any% Best World Exits-style 10">
      <tableStyleElement dxfId="1" type="firstRowStripe"/>
      <tableStyleElement dxfId="2" type="secondRowStripe"/>
    </tableStyle>
    <tableStyle count="2" pivot="0" name="Any% Best World Exits-style 11">
      <tableStyleElement dxfId="1" type="firstRowStripe"/>
      <tableStyleElement dxfId="4" type="secondRowStripe"/>
    </tableStyle>
    <tableStyle count="2" pivot="0" name="Any% Best World Exits-style 12">
      <tableStyleElement dxfId="1" type="firstRowStripe"/>
      <tableStyleElement dxfId="11" type="secondRowStripe"/>
    </tableStyle>
    <tableStyle count="2" pivot="0" name="Any% Best World Exits-style 13">
      <tableStyleElement dxfId="1" type="firstRowStripe"/>
      <tableStyleElement dxfId="6" type="secondRowStripe"/>
    </tableStyle>
    <tableStyle count="2" pivot="0" name="Any% Best World Exits-style 14">
      <tableStyleElement dxfId="1" type="firstRowStripe"/>
      <tableStyleElement dxfId="2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W1:W304" displayName="Table_22" name="Table_22" id="22">
  <tableColumns count="1">
    <tableColumn name="Column1" id="1"/>
  </tableColumns>
  <tableStyleInfo name="ILs-style" showColumnStripes="0" showFirstColumn="1" showLastColumn="1" showRowStripes="1"/>
</table>
</file>

<file path=xl/tables/table2.xml><?xml version="1.0" encoding="utf-8"?>
<table xmlns="http://schemas.openxmlformats.org/spreadsheetml/2006/main" headerRowCount="0" ref="AL1:AL304" displayName="Table_24" name="Table_24" id="24">
  <tableColumns count="1">
    <tableColumn name="Column1" id="1"/>
  </tableColumns>
  <tableStyleInfo name="ILs-style 2" showColumnStripes="0" showFirstColumn="1" showLastColumn="1" showRowStripes="1"/>
</table>
</file>

<file path=xl/tables/table3.xml><?xml version="1.0" encoding="utf-8"?>
<table xmlns="http://schemas.openxmlformats.org/spreadsheetml/2006/main" headerRowCount="0" ref="CU16:CU82" displayName="Table_25" name="Table_25" id="25">
  <tableColumns count="1">
    <tableColumn name="Column1" id="1"/>
  </tableColumns>
  <tableStyleInfo name="ILs-style 3" showColumnStripes="0" showFirstColumn="1" showLastColumn="1" showRowStripes="1"/>
</table>
</file>

<file path=xl/tables/table4.xml><?xml version="1.0" encoding="utf-8"?>
<table xmlns="http://schemas.openxmlformats.org/spreadsheetml/2006/main" headerRowCount="0" ref="C4:BX53"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showColumnStripes="0" showFirstColumn="1" showLastColumn="1" showRowStripes="1"/>
</table>
</file>

<file path=xl/tables/table5.xml><?xml version="1.0" encoding="utf-8"?>
<table xmlns="http://schemas.openxmlformats.org/spreadsheetml/2006/main" headerRowCount="0" ref="C55:BX101" displayName="Table_2" name="Table_2" id="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2" showColumnStripes="0" showFirstColumn="1" showLastColumn="1" showRowStripes="1"/>
</table>
</file>

<file path=xl/tables/table6.xml><?xml version="1.0" encoding="utf-8"?>
<table xmlns="http://schemas.openxmlformats.org/spreadsheetml/2006/main" headerRowCount="0" ref="C103:BX125" displayName="Table_4" name="Table_4"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3" showColumnStripes="0" showFirstColumn="1" showLastColumn="1" showRowStripes="1"/>
</table>
</file>

<file path=xl/tables/table7.xml><?xml version="1.0" encoding="utf-8"?>
<table xmlns="http://schemas.openxmlformats.org/spreadsheetml/2006/main" headerRowCount="0" ref="C127:BX179"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4" showColumnStripes="0" showFirstColumn="1" showLastColumn="1" showRowStripes="1"/>
</table>
</file>

<file path=xl/tables/table8.xml><?xml version="1.0" encoding="utf-8"?>
<table xmlns="http://schemas.openxmlformats.org/spreadsheetml/2006/main" headerRowCount="0" ref="C181:BX227"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5" showColumnStripes="0" showFirstColumn="1" showLastColumn="1" showRowStripes="1"/>
</table>
</file>

<file path=xl/tables/table9.xml><?xml version="1.0" encoding="utf-8"?>
<table xmlns="http://schemas.openxmlformats.org/spreadsheetml/2006/main" headerRowCount="0" ref="C229:BX267"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6" showColumnStripes="0" showFirstColumn="1" showLastColumn="1" showRowStripes="1"/>
</table>
</file>

<file path=xl/tables/table10.xml><?xml version="1.0" encoding="utf-8"?>
<table xmlns="http://schemas.openxmlformats.org/spreadsheetml/2006/main" headerRowCount="0" ref="C269:BX298" displayName="Table_15" name="Table_15" id="1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7" showColumnStripes="0" showFirstColumn="1" showLastColumn="1" showRowStripes="1"/>
</table>
</file>

<file path=xl/tables/table11.xml><?xml version="1.0" encoding="utf-8"?>
<table xmlns="http://schemas.openxmlformats.org/spreadsheetml/2006/main" headerRowCount="0" ref="C300:BX300" displayName="Table_17" name="Table_17" id="1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8" showColumnStripes="0" showFirstColumn="1" showLastColumn="1" showRowStripes="1"/>
</table>
</file>

<file path=xl/tables/table12.xml><?xml version="1.0" encoding="utf-8"?>
<table xmlns="http://schemas.openxmlformats.org/spreadsheetml/2006/main" headerRowCount="0" ref="C301:BX324"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9" showColumnStripes="0" showFirstColumn="1" showLastColumn="1" showRowStripes="1"/>
</table>
</file>

<file path=xl/tables/table13.xml><?xml version="1.0" encoding="utf-8"?>
<table xmlns="http://schemas.openxmlformats.org/spreadsheetml/2006/main" headerRowCount="0" ref="C326:BX361"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10" showColumnStripes="0" showFirstColumn="1" showLastColumn="1" showRowStripes="1"/>
</table>
</file>

<file path=xl/tables/table14.xml><?xml version="1.0" encoding="utf-8"?>
<table xmlns="http://schemas.openxmlformats.org/spreadsheetml/2006/main" headerRowCount="0" ref="A4:G309" displayName="Table_20" name="Table_20" id="20">
  <tableColumns count="7">
    <tableColumn name="Column1" id="1"/>
    <tableColumn name="Column2" id="2"/>
    <tableColumn name="Column3" id="3"/>
    <tableColumn name="Column4" id="4"/>
    <tableColumn name="Column5" id="5"/>
    <tableColumn name="Column6" id="6"/>
    <tableColumn name="Column7" id="7"/>
  </tableColumns>
  <tableStyleInfo name="120 ILs-style" showColumnStripes="0" showFirstColumn="1" showLastColumn="1" showRowStripes="1"/>
</table>
</file>

<file path=xl/tables/table15.xml><?xml version="1.0" encoding="utf-8"?>
<table xmlns="http://schemas.openxmlformats.org/spreadsheetml/2006/main" headerRowCount="0" ref="H4:O309" displayName="Table_21" name="Table_21" id="21">
  <tableColumns count="8">
    <tableColumn name="Column1" id="1"/>
    <tableColumn name="Column2" id="2"/>
    <tableColumn name="Column3" id="3"/>
    <tableColumn name="Column4" id="4"/>
    <tableColumn name="Column5" id="5"/>
    <tableColumn name="Column6" id="6"/>
    <tableColumn name="Column7" id="7"/>
    <tableColumn name="Column8" id="8"/>
  </tableColumns>
  <tableStyleInfo name="120 ILs-style 2" showColumnStripes="0" showFirstColumn="1" showLastColumn="1" showRowStripes="1"/>
</table>
</file>

<file path=xl/tables/table16.xml><?xml version="1.0" encoding="utf-8"?>
<table xmlns="http://schemas.openxmlformats.org/spreadsheetml/2006/main" headerRowCount="0" ref="Q4:W309"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120 ILs-style 3" showColumnStripes="0" showFirstColumn="1" showLastColumn="1" showRowStripes="1"/>
</table>
</file>

<file path=xl/tables/table17.xml><?xml version="1.0" encoding="utf-8"?>
<table xmlns="http://schemas.openxmlformats.org/spreadsheetml/2006/main" headerRowCount="0" ref="X4:AI309" displayName="Table_26" name="Table_26" id="2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120 ILs-style 4" showColumnStripes="0" showFirstColumn="1" showLastColumn="1" showRowStripes="1"/>
</table>
</file>

<file path=xl/tables/table18.xml><?xml version="1.0" encoding="utf-8"?>
<table xmlns="http://schemas.openxmlformats.org/spreadsheetml/2006/main" headerRowCount="0" ref="AJ4:AZ309" displayName="Table_27" name="Table_27" id="2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120 ILs-style 5" showColumnStripes="0" showFirstColumn="1" showLastColumn="1" showRowStripes="1"/>
</table>
</file>

<file path=xl/tables/table19.xml><?xml version="1.0" encoding="utf-8"?>
<table xmlns="http://schemas.openxmlformats.org/spreadsheetml/2006/main" headerRowCount="0" ref="BA4:BF309" displayName="Table_28" name="Table_28" id="28">
  <tableColumns count="6">
    <tableColumn name="Column1" id="1"/>
    <tableColumn name="Column2" id="2"/>
    <tableColumn name="Column3" id="3"/>
    <tableColumn name="Column4" id="4"/>
    <tableColumn name="Column5" id="5"/>
    <tableColumn name="Column6" id="6"/>
  </tableColumns>
  <tableStyleInfo name="120 ILs-style 6" showColumnStripes="0" showFirstColumn="1" showLastColumn="1" showRowStripes="1"/>
</table>
</file>

<file path=xl/tables/table20.xml><?xml version="1.0" encoding="utf-8"?>
<table xmlns="http://schemas.openxmlformats.org/spreadsheetml/2006/main" headerRowCount="0" ref="BG4:BM309" displayName="Table_29" name="Table_29" id="29">
  <tableColumns count="7">
    <tableColumn name="Column1" id="1"/>
    <tableColumn name="Column2" id="2"/>
    <tableColumn name="Column3" id="3"/>
    <tableColumn name="Column4" id="4"/>
    <tableColumn name="Column5" id="5"/>
    <tableColumn name="Column6" id="6"/>
    <tableColumn name="Column7" id="7"/>
  </tableColumns>
  <tableStyleInfo name="120 ILs-style 7" showColumnStripes="0" showFirstColumn="1" showLastColumn="1" showRowStripes="1"/>
</table>
</file>

<file path=xl/tables/table21.xml><?xml version="1.0" encoding="utf-8"?>
<table xmlns="http://schemas.openxmlformats.org/spreadsheetml/2006/main" headerRowCount="0" ref="BO4:BW309" displayName="Table_30" name="Table_30" id="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20 ILs-style 8" showColumnStripes="0" showFirstColumn="1" showLastColumn="1" showRowStripes="1"/>
</table>
</file>

<file path=xl/tables/table22.xml><?xml version="1.0" encoding="utf-8"?>
<table xmlns="http://schemas.openxmlformats.org/spreadsheetml/2006/main" headerRowCount="0" ref="BY4:CK309" displayName="Table_31" name="Table_31" id="3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120 ILs-style 9" showColumnStripes="0" showFirstColumn="1" showLastColumn="1" showRowStripes="1"/>
</table>
</file>

<file path=xl/tables/table23.xml><?xml version="1.0" encoding="utf-8"?>
<table xmlns="http://schemas.openxmlformats.org/spreadsheetml/2006/main" headerRowCount="0" ref="A4:G139"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Free ILs-style" showColumnStripes="0" showFirstColumn="1" showLastColumn="1" showRowStripes="1"/>
</table>
</file>

<file path=xl/tables/table24.xml><?xml version="1.0" encoding="utf-8"?>
<table xmlns="http://schemas.openxmlformats.org/spreadsheetml/2006/main" headerRowCount="0" ref="H4:J139" displayName="Table_6" name="Table_6" id="6">
  <tableColumns count="3">
    <tableColumn name="Column1" id="1"/>
    <tableColumn name="Column2" id="2"/>
    <tableColumn name="Column3" id="3"/>
  </tableColumns>
  <tableStyleInfo name="Free ILs-style 2" showColumnStripes="0" showFirstColumn="1" showLastColumn="1" showRowStripes="1"/>
</table>
</file>

<file path=xl/tables/table25.xml><?xml version="1.0" encoding="utf-8"?>
<table xmlns="http://schemas.openxmlformats.org/spreadsheetml/2006/main" headerRowCount="0" ref="K4:N139" displayName="Table_8" name="Table_8" id="8">
  <tableColumns count="4">
    <tableColumn name="Column1" id="1"/>
    <tableColumn name="Column2" id="2"/>
    <tableColumn name="Column3" id="3"/>
    <tableColumn name="Column4" id="4"/>
  </tableColumns>
  <tableStyleInfo name="Free ILs-style 3" showColumnStripes="0" showFirstColumn="1" showLastColumn="1" showRowStripes="1"/>
</table>
</file>

<file path=xl/tables/table26.xml><?xml version="1.0" encoding="utf-8"?>
<table xmlns="http://schemas.openxmlformats.org/spreadsheetml/2006/main" headerRowCount="0" ref="O4:Q139" displayName="Table_9" name="Table_9" id="9">
  <tableColumns count="3">
    <tableColumn name="Column1" id="1"/>
    <tableColumn name="Column2" id="2"/>
    <tableColumn name="Column3" id="3"/>
  </tableColumns>
  <tableStyleInfo name="Free ILs-style 4" showColumnStripes="0" showFirstColumn="1" showLastColumn="1" showRowStripes="1"/>
</table>
</file>

<file path=xl/tables/table27.xml><?xml version="1.0" encoding="utf-8"?>
<table xmlns="http://schemas.openxmlformats.org/spreadsheetml/2006/main" headerRowCount="0" ref="R4:T139" displayName="Table_10" name="Table_10" id="10">
  <tableColumns count="3">
    <tableColumn name="Column1" id="1"/>
    <tableColumn name="Column2" id="2"/>
    <tableColumn name="Column3" id="3"/>
  </tableColumns>
  <tableStyleInfo name="Free ILs-style 5" showColumnStripes="0" showFirstColumn="1" showLastColumn="1" showRowStripes="1"/>
</table>
</file>

<file path=xl/tables/table28.xml><?xml version="1.0" encoding="utf-8"?>
<table xmlns="http://schemas.openxmlformats.org/spreadsheetml/2006/main" headerRowCount="0" ref="U4:W139" displayName="Table_12" name="Table_12" id="12">
  <tableColumns count="3">
    <tableColumn name="Column1" id="1"/>
    <tableColumn name="Column2" id="2"/>
    <tableColumn name="Column3" id="3"/>
  </tableColumns>
  <tableStyleInfo name="Free ILs-style 6" showColumnStripes="0" showFirstColumn="1" showLastColumn="1" showRowStripes="1"/>
</table>
</file>

<file path=xl/tables/table29.xml><?xml version="1.0" encoding="utf-8"?>
<table xmlns="http://schemas.openxmlformats.org/spreadsheetml/2006/main" headerRowCount="0" ref="X4:Z139" displayName="Table_13" name="Table_13" id="13">
  <tableColumns count="3">
    <tableColumn name="Column1" id="1"/>
    <tableColumn name="Column2" id="2"/>
    <tableColumn name="Column3" id="3"/>
  </tableColumns>
  <tableStyleInfo name="Free ILs-style 7" showColumnStripes="0" showFirstColumn="1" showLastColumn="1" showRowStripes="1"/>
</table>
</file>

<file path=xl/tables/table30.xml><?xml version="1.0" encoding="utf-8"?>
<table xmlns="http://schemas.openxmlformats.org/spreadsheetml/2006/main" headerRowCount="0" ref="AA4:AC139" displayName="Table_14" name="Table_14" id="14">
  <tableColumns count="3">
    <tableColumn name="Column1" id="1"/>
    <tableColumn name="Column2" id="2"/>
    <tableColumn name="Column3" id="3"/>
  </tableColumns>
  <tableStyleInfo name="Free ILs-style 8" showColumnStripes="0" showFirstColumn="1" showLastColumn="1" showRowStripes="1"/>
</table>
</file>

<file path=xl/tables/table31.xml><?xml version="1.0" encoding="utf-8"?>
<table xmlns="http://schemas.openxmlformats.org/spreadsheetml/2006/main" headerRowCount="0" ref="AD4:AF139" displayName="Table_16" name="Table_16" id="16">
  <tableColumns count="3">
    <tableColumn name="Column1" id="1"/>
    <tableColumn name="Column2" id="2"/>
    <tableColumn name="Column3" id="3"/>
  </tableColumns>
  <tableStyleInfo name="Free ILs-style 9" showColumnStripes="0" showFirstColumn="1" showLastColumn="1" showRowStripes="1"/>
</table>
</file>

<file path=xl/tables/table32.xml><?xml version="1.0" encoding="utf-8"?>
<table xmlns="http://schemas.openxmlformats.org/spreadsheetml/2006/main" headerRowCount="0" ref="A5:G304" displayName="Table_32" name="Table_32" id="32">
  <tableColumns count="7">
    <tableColumn name="Column1" id="1"/>
    <tableColumn name="Column2" id="2"/>
    <tableColumn name="Column3" id="3"/>
    <tableColumn name="Column4" id="4"/>
    <tableColumn name="Column5" id="5"/>
    <tableColumn name="Column6" id="6"/>
    <tableColumn name="Column7" id="7"/>
  </tableColumns>
  <tableStyleInfo name="Misc ILs-style" showColumnStripes="0" showFirstColumn="1" showLastColumn="1" showRowStripes="1"/>
</table>
</file>

<file path=xl/tables/table33.xml><?xml version="1.0" encoding="utf-8"?>
<table xmlns="http://schemas.openxmlformats.org/spreadsheetml/2006/main" headerRowCount="0" ref="H5:V304" displayName="Table_33" name="Table_33" id="3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isc ILs-style 2" showColumnStripes="0" showFirstColumn="1" showLastColumn="1" showRowStripes="1"/>
</table>
</file>

<file path=xl/tables/table34.xml><?xml version="1.0" encoding="utf-8"?>
<table xmlns="http://schemas.openxmlformats.org/spreadsheetml/2006/main" headerRowCount="0" ref="W5:AL304" displayName="Table_34" name="Table_34" id="3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Misc ILs-style 3" showColumnStripes="0" showFirstColumn="1" showLastColumn="1" showRowStripes="1"/>
</table>
</file>

<file path=xl/tables/table35.xml><?xml version="1.0" encoding="utf-8"?>
<table xmlns="http://schemas.openxmlformats.org/spreadsheetml/2006/main" headerRowCount="0" ref="AM5:BF304" displayName="Table_35" name="Table_35" id="3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isc ILs-style 4" showColumnStripes="0" showFirstColumn="1" showLastColumn="1" showRowStripes="1"/>
</table>
</file>

<file path=xl/tables/table36.xml><?xml version="1.0" encoding="utf-8"?>
<table xmlns="http://schemas.openxmlformats.org/spreadsheetml/2006/main" headerRowCount="0" ref="BG5:BP304" displayName="Table_36" name="Table_36" id="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isc ILs-style 5" showColumnStripes="0" showFirstColumn="1" showLastColumn="1" showRowStripes="1"/>
</table>
</file>

<file path=xl/tables/table37.xml><?xml version="1.0" encoding="utf-8"?>
<table xmlns="http://schemas.openxmlformats.org/spreadsheetml/2006/main" headerRowCount="0" ref="BQ5:BU304" displayName="Table_37" name="Table_37" id="37">
  <tableColumns count="5">
    <tableColumn name="Column1" id="1"/>
    <tableColumn name="Column2" id="2"/>
    <tableColumn name="Column3" id="3"/>
    <tableColumn name="Column4" id="4"/>
    <tableColumn name="Column5" id="5"/>
  </tableColumns>
  <tableStyleInfo name="Misc ILs-style 6" showColumnStripes="0" showFirstColumn="1" showLastColumn="1" showRowStripes="1"/>
</table>
</file>

<file path=xl/tables/table38.xml><?xml version="1.0" encoding="utf-8"?>
<table xmlns="http://schemas.openxmlformats.org/spreadsheetml/2006/main" headerRowCount="0" ref="BV5:CD304" displayName="Table_38" name="Table_38" id="3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isc ILs-style 7" showColumnStripes="0" showFirstColumn="1" showLastColumn="1" showRowStripes="1"/>
</table>
</file>

<file path=xl/tables/table39.xml><?xml version="1.0" encoding="utf-8"?>
<table xmlns="http://schemas.openxmlformats.org/spreadsheetml/2006/main" headerRowCount="0" ref="CE5:CL304" displayName="Table_39" name="Table_39" id="39">
  <tableColumns count="8">
    <tableColumn name="Column1" id="1"/>
    <tableColumn name="Column2" id="2"/>
    <tableColumn name="Column3" id="3"/>
    <tableColumn name="Column4" id="4"/>
    <tableColumn name="Column5" id="5"/>
    <tableColumn name="Column6" id="6"/>
    <tableColumn name="Column7" id="7"/>
    <tableColumn name="Column8" id="8"/>
  </tableColumns>
  <tableStyleInfo name="Misc ILs-style 8" showColumnStripes="0" showFirstColumn="1" showLastColumn="1" showRowStripes="1"/>
</table>
</file>

<file path=xl/tables/table40.xml><?xml version="1.0" encoding="utf-8"?>
<table xmlns="http://schemas.openxmlformats.org/spreadsheetml/2006/main" headerRowCount="0" ref="CM5:CO304" displayName="Table_40" name="Table_40" id="40">
  <tableColumns count="3">
    <tableColumn name="Column1" id="1"/>
    <tableColumn name="Column2" id="2"/>
    <tableColumn name="Column3" id="3"/>
  </tableColumns>
  <tableStyleInfo name="Misc ILs-style 9" showColumnStripes="0" showFirstColumn="1" showLastColumn="1" showRowStripes="1"/>
</table>
</file>

<file path=xl/tables/table41.xml><?xml version="1.0" encoding="utf-8"?>
<table xmlns="http://schemas.openxmlformats.org/spreadsheetml/2006/main" headerRowCount="0" ref="CP5:CS304" displayName="Table_41" name="Table_41" id="41">
  <tableColumns count="4">
    <tableColumn name="Column1" id="1"/>
    <tableColumn name="Column2" id="2"/>
    <tableColumn name="Column3" id="3"/>
    <tableColumn name="Column4" id="4"/>
  </tableColumns>
  <tableStyleInfo name="Misc ILs-style 10" showColumnStripes="0" showFirstColumn="1" showLastColumn="1" showRowStripes="1"/>
</table>
</file>

<file path=xl/tables/table42.xml><?xml version="1.0" encoding="utf-8"?>
<table xmlns="http://schemas.openxmlformats.org/spreadsheetml/2006/main" headerRowCount="0" ref="CT5:CT304" displayName="Table_42" name="Table_42" id="42">
  <tableColumns count="1">
    <tableColumn name="Column1" id="1"/>
  </tableColumns>
  <tableStyleInfo name="Misc ILs-style 11" showColumnStripes="0" showFirstColumn="1" showLastColumn="1" showRowStripes="1"/>
</table>
</file>

<file path=xl/tables/table43.xml><?xml version="1.0" encoding="utf-8"?>
<table xmlns="http://schemas.openxmlformats.org/spreadsheetml/2006/main" headerRowCount="0" ref="CU5:CU304" displayName="Table_43" name="Table_43" id="43">
  <tableColumns count="1">
    <tableColumn name="Column1" id="1"/>
  </tableColumns>
  <tableStyleInfo name="Misc ILs-style 12" showColumnStripes="0" showFirstColumn="1" showLastColumn="1" showRowStripes="1"/>
</table>
</file>

<file path=xl/tables/table44.xml><?xml version="1.0" encoding="utf-8"?>
<table xmlns="http://schemas.openxmlformats.org/spreadsheetml/2006/main" headerRowCount="0" ref="A5:C198" displayName="Table_44" name="Table_44" id="44">
  <tableColumns count="3">
    <tableColumn name="Column1" id="1"/>
    <tableColumn name="Column2" id="2"/>
    <tableColumn name="Column3" id="3"/>
  </tableColumns>
  <tableStyleInfo name="Any% Best Segments-style" showColumnStripes="0" showFirstColumn="1" showLastColumn="1" showRowStripes="1"/>
</table>
</file>

<file path=xl/tables/table45.xml><?xml version="1.0" encoding="utf-8"?>
<table xmlns="http://schemas.openxmlformats.org/spreadsheetml/2006/main" headerRowCount="0" ref="D5:G198" displayName="Table_45" name="Table_45" id="45">
  <tableColumns count="4">
    <tableColumn name="Column1" id="1"/>
    <tableColumn name="Column2" id="2"/>
    <tableColumn name="Column3" id="3"/>
    <tableColumn name="Column4" id="4"/>
  </tableColumns>
  <tableStyleInfo name="Any% Best Segments-style 2" showColumnStripes="0" showFirstColumn="1" showLastColumn="1" showRowStripes="1"/>
</table>
</file>

<file path=xl/tables/table46.xml><?xml version="1.0" encoding="utf-8"?>
<table xmlns="http://schemas.openxmlformats.org/spreadsheetml/2006/main" headerRowCount="0" ref="H5:I198" displayName="Table_46" name="Table_46" id="46">
  <tableColumns count="2">
    <tableColumn name="Column1" id="1"/>
    <tableColumn name="Column2" id="2"/>
  </tableColumns>
  <tableStyleInfo name="Any% Best Segments-style 3" showColumnStripes="0" showFirstColumn="1" showLastColumn="1" showRowStripes="1"/>
</table>
</file>

<file path=xl/tables/table47.xml><?xml version="1.0" encoding="utf-8"?>
<table xmlns="http://schemas.openxmlformats.org/spreadsheetml/2006/main" headerRowCount="0" ref="J5:P198"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Any% Best Segments-style 4" showColumnStripes="0" showFirstColumn="1" showLastColumn="1" showRowStripes="1"/>
</table>
</file>

<file path=xl/tables/table48.xml><?xml version="1.0" encoding="utf-8"?>
<table xmlns="http://schemas.openxmlformats.org/spreadsheetml/2006/main" headerRowCount="0" ref="Q5:V198" displayName="Table_48" name="Table_48" id="48">
  <tableColumns count="6">
    <tableColumn name="Column1" id="1"/>
    <tableColumn name="Column2" id="2"/>
    <tableColumn name="Column3" id="3"/>
    <tableColumn name="Column4" id="4"/>
    <tableColumn name="Column5" id="5"/>
    <tableColumn name="Column6" id="6"/>
  </tableColumns>
  <tableStyleInfo name="Any% Best Segments-style 5" showColumnStripes="0" showFirstColumn="1" showLastColumn="1" showRowStripes="1"/>
</table>
</file>

<file path=xl/tables/table49.xml><?xml version="1.0" encoding="utf-8"?>
<table xmlns="http://schemas.openxmlformats.org/spreadsheetml/2006/main" headerRowCount="0" ref="W5:AC198" displayName="Table_49" name="Table_49" id="49">
  <tableColumns count="7">
    <tableColumn name="Column1" id="1"/>
    <tableColumn name="Column2" id="2"/>
    <tableColumn name="Column3" id="3"/>
    <tableColumn name="Column4" id="4"/>
    <tableColumn name="Column5" id="5"/>
    <tableColumn name="Column6" id="6"/>
    <tableColumn name="Column7" id="7"/>
  </tableColumns>
  <tableStyleInfo name="Any% Best Segments-style 6" showColumnStripes="0" showFirstColumn="1" showLastColumn="1" showRowStripes="1"/>
</table>
</file>

<file path=xl/tables/table50.xml><?xml version="1.0" encoding="utf-8"?>
<table xmlns="http://schemas.openxmlformats.org/spreadsheetml/2006/main" headerRowCount="0" ref="AD5:AE198" displayName="Table_50" name="Table_50" id="50">
  <tableColumns count="2">
    <tableColumn name="Column1" id="1"/>
    <tableColumn name="Column2" id="2"/>
  </tableColumns>
  <tableStyleInfo name="Any% Best Segments-style 7" showColumnStripes="0" showFirstColumn="1" showLastColumn="1" showRowStripes="1"/>
</table>
</file>

<file path=xl/tables/table51.xml><?xml version="1.0" encoding="utf-8"?>
<table xmlns="http://schemas.openxmlformats.org/spreadsheetml/2006/main" headerRowCount="0" ref="AF5:AL198" displayName="Table_51" name="Table_51" id="51">
  <tableColumns count="7">
    <tableColumn name="Column1" id="1"/>
    <tableColumn name="Column2" id="2"/>
    <tableColumn name="Column3" id="3"/>
    <tableColumn name="Column4" id="4"/>
    <tableColumn name="Column5" id="5"/>
    <tableColumn name="Column6" id="6"/>
    <tableColumn name="Column7" id="7"/>
  </tableColumns>
  <tableStyleInfo name="Any% Best Segments-style 8" showColumnStripes="0" showFirstColumn="1" showLastColumn="1" showRowStripes="1"/>
</table>
</file>

<file path=xl/tables/table52.xml><?xml version="1.0" encoding="utf-8"?>
<table xmlns="http://schemas.openxmlformats.org/spreadsheetml/2006/main" headerRowCount="0" ref="AM5:AS198" displayName="Table_52" name="Table_52" id="52">
  <tableColumns count="7">
    <tableColumn name="Column1" id="1"/>
    <tableColumn name="Column2" id="2"/>
    <tableColumn name="Column3" id="3"/>
    <tableColumn name="Column4" id="4"/>
    <tableColumn name="Column5" id="5"/>
    <tableColumn name="Column6" id="6"/>
    <tableColumn name="Column7" id="7"/>
  </tableColumns>
  <tableStyleInfo name="Any% Best Segments-style 9" showColumnStripes="0" showFirstColumn="1" showLastColumn="1" showRowStripes="1"/>
</table>
</file>

<file path=xl/tables/table53.xml><?xml version="1.0" encoding="utf-8"?>
<table xmlns="http://schemas.openxmlformats.org/spreadsheetml/2006/main" headerRowCount="0" ref="AT5:AT198" displayName="Table_53" name="Table_53" id="53">
  <tableColumns count="1">
    <tableColumn name="Column1" id="1"/>
  </tableColumns>
  <tableStyleInfo name="Any% Best Segments-style 10" showColumnStripes="0" showFirstColumn="1" showLastColumn="1" showRowStripes="1"/>
</table>
</file>

<file path=xl/tables/table54.xml><?xml version="1.0" encoding="utf-8"?>
<table xmlns="http://schemas.openxmlformats.org/spreadsheetml/2006/main" headerRowCount="0" ref="AU5:AW198" displayName="Table_54" name="Table_54" id="54">
  <tableColumns count="3">
    <tableColumn name="Column1" id="1"/>
    <tableColumn name="Column2" id="2"/>
    <tableColumn name="Column3" id="3"/>
  </tableColumns>
  <tableStyleInfo name="Any% Best Segments-style 11" showColumnStripes="0" showFirstColumn="1" showLastColumn="1" showRowStripes="1"/>
</table>
</file>

<file path=xl/tables/table55.xml><?xml version="1.0" encoding="utf-8"?>
<table xmlns="http://schemas.openxmlformats.org/spreadsheetml/2006/main" headerRowCount="0" ref="A5:C994" displayName="Table_55" name="Table_55" id="55">
  <tableColumns count="3">
    <tableColumn name="Column1" id="1"/>
    <tableColumn name="Column2" id="2"/>
    <tableColumn name="Column3" id="3"/>
  </tableColumns>
  <tableStyleInfo name="Any% Best World Segments-style" showColumnStripes="0" showFirstColumn="1" showLastColumn="1" showRowStripes="1"/>
</table>
</file>

<file path=xl/tables/table56.xml><?xml version="1.0" encoding="utf-8"?>
<table xmlns="http://schemas.openxmlformats.org/spreadsheetml/2006/main" headerRowCount="0" ref="D5:D994" displayName="Table_56" name="Table_56" id="56">
  <tableColumns count="1">
    <tableColumn name="Column1" id="1"/>
  </tableColumns>
  <tableStyleInfo name="Any% Best World Segments-style 2" showColumnStripes="0" showFirstColumn="1" showLastColumn="1" showRowStripes="1"/>
</table>
</file>

<file path=xl/tables/table57.xml><?xml version="1.0" encoding="utf-8"?>
<table xmlns="http://schemas.openxmlformats.org/spreadsheetml/2006/main" headerRowCount="0" ref="E5:E994" displayName="Table_57" name="Table_57" id="57">
  <tableColumns count="1">
    <tableColumn name="Column1" id="1"/>
  </tableColumns>
  <tableStyleInfo name="Any% Best World Segments-style 3" showColumnStripes="0" showFirstColumn="1" showLastColumn="1" showRowStripes="1"/>
</table>
</file>

<file path=xl/tables/table58.xml><?xml version="1.0" encoding="utf-8"?>
<table xmlns="http://schemas.openxmlformats.org/spreadsheetml/2006/main" headerRowCount="0" ref="F5:F994" displayName="Table_58" name="Table_58" id="58">
  <tableColumns count="1">
    <tableColumn name="Column1" id="1"/>
  </tableColumns>
  <tableStyleInfo name="Any% Best World Segments-style 4" showColumnStripes="0" showFirstColumn="1" showLastColumn="1" showRowStripes="1"/>
</table>
</file>

<file path=xl/tables/table59.xml><?xml version="1.0" encoding="utf-8"?>
<table xmlns="http://schemas.openxmlformats.org/spreadsheetml/2006/main" headerRowCount="0" ref="G5:G994" displayName="Table_59" name="Table_59" id="59">
  <tableColumns count="1">
    <tableColumn name="Column1" id="1"/>
  </tableColumns>
  <tableStyleInfo name="Any% Best World Segments-style 5" showColumnStripes="0" showFirstColumn="1" showLastColumn="1" showRowStripes="1"/>
</table>
</file>

<file path=xl/tables/table60.xml><?xml version="1.0" encoding="utf-8"?>
<table xmlns="http://schemas.openxmlformats.org/spreadsheetml/2006/main" headerRowCount="0" ref="H5:H994" displayName="Table_60" name="Table_60" id="60">
  <tableColumns count="1">
    <tableColumn name="Column1" id="1"/>
  </tableColumns>
  <tableStyleInfo name="Any% Best World Segments-style 6" showColumnStripes="0" showFirstColumn="1" showLastColumn="1" showRowStripes="1"/>
</table>
</file>

<file path=xl/tables/table61.xml><?xml version="1.0" encoding="utf-8"?>
<table xmlns="http://schemas.openxmlformats.org/spreadsheetml/2006/main" headerRowCount="0" ref="I5:I994" displayName="Table_61" name="Table_61" id="61">
  <tableColumns count="1">
    <tableColumn name="Column1" id="1"/>
  </tableColumns>
  <tableStyleInfo name="Any% Best World Segments-style 7" showColumnStripes="0" showFirstColumn="1" showLastColumn="1" showRowStripes="1"/>
</table>
</file>

<file path=xl/tables/table62.xml><?xml version="1.0" encoding="utf-8"?>
<table xmlns="http://schemas.openxmlformats.org/spreadsheetml/2006/main" headerRowCount="0" ref="J5:J994" displayName="Table_62" name="Table_62" id="62">
  <tableColumns count="1">
    <tableColumn name="Column1" id="1"/>
  </tableColumns>
  <tableStyleInfo name="Any% Best World Segments-style 8" showColumnStripes="0" showFirstColumn="1" showLastColumn="1" showRowStripes="1"/>
</table>
</file>

<file path=xl/tables/table63.xml><?xml version="1.0" encoding="utf-8"?>
<table xmlns="http://schemas.openxmlformats.org/spreadsheetml/2006/main" headerRowCount="0" ref="K5:K994" displayName="Table_63" name="Table_63" id="63">
  <tableColumns count="1">
    <tableColumn name="Column1" id="1"/>
  </tableColumns>
  <tableStyleInfo name="Any% Best World Segments-style 9" showColumnStripes="0" showFirstColumn="1" showLastColumn="1" showRowStripes="1"/>
</table>
</file>

<file path=xl/tables/table64.xml><?xml version="1.0" encoding="utf-8"?>
<table xmlns="http://schemas.openxmlformats.org/spreadsheetml/2006/main" headerRowCount="0" ref="L5:L994" displayName="Table_64" name="Table_64" id="64">
  <tableColumns count="1">
    <tableColumn name="Column1" id="1"/>
  </tableColumns>
  <tableStyleInfo name="Any% Best World Segments-style 10" showColumnStripes="0" showFirstColumn="1" showLastColumn="1" showRowStripes="1"/>
</table>
</file>

<file path=xl/tables/table65.xml><?xml version="1.0" encoding="utf-8"?>
<table xmlns="http://schemas.openxmlformats.org/spreadsheetml/2006/main" headerRowCount="0" ref="M5:O994" displayName="Table_65" name="Table_65" id="65">
  <tableColumns count="3">
    <tableColumn name="Column1" id="1"/>
    <tableColumn name="Column2" id="2"/>
    <tableColumn name="Column3" id="3"/>
  </tableColumns>
  <tableStyleInfo name="Any% Best World Segments-style 11" showColumnStripes="0" showFirstColumn="1" showLastColumn="1" showRowStripes="1"/>
</table>
</file>

<file path=xl/tables/table66.xml><?xml version="1.0" encoding="utf-8"?>
<table xmlns="http://schemas.openxmlformats.org/spreadsheetml/2006/main" headerRowCount="0" ref="C2" displayName="Table_66" name="Table_66" id="66">
  <tableColumns count="1">
    <tableColumn name="Column1" id="1"/>
  </tableColumns>
  <tableStyleInfo name="Any% Best World Exits-style" showColumnStripes="0" showFirstColumn="1" showLastColumn="1" showRowStripes="1"/>
</table>
</file>

<file path=xl/tables/table67.xml><?xml version="1.0" encoding="utf-8"?>
<table xmlns="http://schemas.openxmlformats.org/spreadsheetml/2006/main" headerRowCount="0" ref="D2" displayName="Table_67" name="Table_67" id="67">
  <tableColumns count="1">
    <tableColumn name="Column1" id="1"/>
  </tableColumns>
  <tableStyleInfo name="Any% Best World Exits-style 2" showColumnStripes="0" showFirstColumn="1" showLastColumn="1" showRowStripes="1"/>
</table>
</file>

<file path=xl/tables/table68.xml><?xml version="1.0" encoding="utf-8"?>
<table xmlns="http://schemas.openxmlformats.org/spreadsheetml/2006/main" headerRowCount="0" ref="E2" displayName="Table_68" name="Table_68" id="68">
  <tableColumns count="1">
    <tableColumn name="Column1" id="1"/>
  </tableColumns>
  <tableStyleInfo name="Any% Best World Exits-style 3" showColumnStripes="0" showFirstColumn="1" showLastColumn="1" showRowStripes="1"/>
</table>
</file>

<file path=xl/tables/table69.xml><?xml version="1.0" encoding="utf-8"?>
<table xmlns="http://schemas.openxmlformats.org/spreadsheetml/2006/main" headerRowCount="0" ref="F2" displayName="Table_69" name="Table_69" id="69">
  <tableColumns count="1">
    <tableColumn name="Column1" id="1"/>
  </tableColumns>
  <tableStyleInfo name="Any% Best World Exits-style 4" showColumnStripes="0" showFirstColumn="1" showLastColumn="1" showRowStripes="1"/>
</table>
</file>

<file path=xl/tables/table70.xml><?xml version="1.0" encoding="utf-8"?>
<table xmlns="http://schemas.openxmlformats.org/spreadsheetml/2006/main" headerRowCount="0" ref="G2" displayName="Table_70" name="Table_70" id="70">
  <tableColumns count="1">
    <tableColumn name="Column1" id="1"/>
  </tableColumns>
  <tableStyleInfo name="Any% Best World Exits-style 5" showColumnStripes="0" showFirstColumn="1" showLastColumn="1" showRowStripes="1"/>
</table>
</file>

<file path=xl/tables/table71.xml><?xml version="1.0" encoding="utf-8"?>
<table xmlns="http://schemas.openxmlformats.org/spreadsheetml/2006/main" headerRowCount="0" ref="H2" displayName="Table_71" name="Table_71" id="71">
  <tableColumns count="1">
    <tableColumn name="Column1" id="1"/>
  </tableColumns>
  <tableStyleInfo name="Any% Best World Exits-style 6" showColumnStripes="0" showFirstColumn="1" showLastColumn="1" showRowStripes="1"/>
</table>
</file>

<file path=xl/tables/table72.xml><?xml version="1.0" encoding="utf-8"?>
<table xmlns="http://schemas.openxmlformats.org/spreadsheetml/2006/main" headerRowCount="0" ref="I2" displayName="Table_72" name="Table_72" id="72">
  <tableColumns count="1">
    <tableColumn name="Column1" id="1"/>
  </tableColumns>
  <tableStyleInfo name="Any% Best World Exits-style 7" showColumnStripes="0" showFirstColumn="1" showLastColumn="1" showRowStripes="1"/>
</table>
</file>

<file path=xl/tables/table73.xml><?xml version="1.0" encoding="utf-8"?>
<table xmlns="http://schemas.openxmlformats.org/spreadsheetml/2006/main" headerRowCount="0" ref="J2" displayName="Table_73" name="Table_73" id="73">
  <tableColumns count="1">
    <tableColumn name="Column1" id="1"/>
  </tableColumns>
  <tableStyleInfo name="Any% Best World Exits-style 8" showColumnStripes="0" showFirstColumn="1" showLastColumn="1" showRowStripes="1"/>
</table>
</file>

<file path=xl/tables/table74.xml><?xml version="1.0" encoding="utf-8"?>
<table xmlns="http://schemas.openxmlformats.org/spreadsheetml/2006/main" headerRowCount="0" ref="A5:B100" displayName="Table_74" name="Table_74" id="74">
  <tableColumns count="2">
    <tableColumn name="Column1" id="1"/>
    <tableColumn name="Column2" id="2"/>
  </tableColumns>
  <tableStyleInfo name="Any% Best World Exits-style 9" showColumnStripes="0" showFirstColumn="1" showLastColumn="1" showRowStripes="1"/>
</table>
</file>

<file path=xl/tables/table75.xml><?xml version="1.0" encoding="utf-8"?>
<table xmlns="http://schemas.openxmlformats.org/spreadsheetml/2006/main" headerRowCount="0" ref="C5:C100" displayName="Table_75" name="Table_75" id="75">
  <tableColumns count="1">
    <tableColumn name="Column1" id="1"/>
  </tableColumns>
  <tableStyleInfo name="Any% Best World Exits-style 10" showColumnStripes="0" showFirstColumn="1" showLastColumn="1" showRowStripes="1"/>
</table>
</file>

<file path=xl/tables/table76.xml><?xml version="1.0" encoding="utf-8"?>
<table xmlns="http://schemas.openxmlformats.org/spreadsheetml/2006/main" headerRowCount="0" ref="D5:D100" displayName="Table_76" name="Table_76" id="76">
  <tableColumns count="1">
    <tableColumn name="Column1" id="1"/>
  </tableColumns>
  <tableStyleInfo name="Any% Best World Exits-style 11" showColumnStripes="0" showFirstColumn="1" showLastColumn="1" showRowStripes="1"/>
</table>
</file>

<file path=xl/tables/table77.xml><?xml version="1.0" encoding="utf-8"?>
<table xmlns="http://schemas.openxmlformats.org/spreadsheetml/2006/main" headerRowCount="0" ref="E5:E100" displayName="Table_77" name="Table_77" id="77">
  <tableColumns count="1">
    <tableColumn name="Column1" id="1"/>
  </tableColumns>
  <tableStyleInfo name="Any% Best World Exits-style 12" showColumnStripes="0" showFirstColumn="1" showLastColumn="1" showRowStripes="1"/>
</table>
</file>

<file path=xl/tables/table78.xml><?xml version="1.0" encoding="utf-8"?>
<table xmlns="http://schemas.openxmlformats.org/spreadsheetml/2006/main" headerRowCount="0" ref="F5:F100" displayName="Table_78" name="Table_78" id="78">
  <tableColumns count="1">
    <tableColumn name="Column1" id="1"/>
  </tableColumns>
  <tableStyleInfo name="Any% Best World Exits-style 13" showColumnStripes="0" showFirstColumn="1" showLastColumn="1" showRowStripes="1"/>
</table>
</file>

<file path=xl/tables/table79.xml><?xml version="1.0" encoding="utf-8"?>
<table xmlns="http://schemas.openxmlformats.org/spreadsheetml/2006/main" headerRowCount="0" ref="K5:L100" displayName="Table_79" name="Table_79" id="79">
  <tableColumns count="2">
    <tableColumn name="Column1" id="1"/>
    <tableColumn name="Column2" id="2"/>
  </tableColumns>
  <tableStyleInfo name="Any% Best World Exits-style 1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gct.zint.ch/guide.html" TargetMode="External"/><Relationship Id="rId2" Type="http://schemas.openxmlformats.org/officeDocument/2006/relationships/hyperlink" Target="https://gct.zint.ch/ja/guide.html" TargetMode="External"/><Relationship Id="rId3" Type="http://schemas.openxmlformats.org/officeDocument/2006/relationships/hyperlink" Target="https://sunmar.io/ilrules" TargetMode="External"/><Relationship Id="rId4" Type="http://schemas.openxmlformats.org/officeDocument/2006/relationships/hyperlink" Target="https://smscommunity.github.io/sms-guide/i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X1Z5GmAtIgA" TargetMode="External"/><Relationship Id="rId391" Type="http://schemas.openxmlformats.org/officeDocument/2006/relationships/hyperlink" Target="https://www.youtube.com/watch?v=iUDcUocgzAI" TargetMode="External"/><Relationship Id="rId390" Type="http://schemas.openxmlformats.org/officeDocument/2006/relationships/hyperlink" Target="https://www.youtube.com/watch?v=BSt0q2gvZ9Q" TargetMode="External"/><Relationship Id="rId2180" Type="http://schemas.openxmlformats.org/officeDocument/2006/relationships/hyperlink" Target="https://www.youtube.com/watch?v=350CLRVujWI" TargetMode="External"/><Relationship Id="rId2181" Type="http://schemas.openxmlformats.org/officeDocument/2006/relationships/hyperlink" Target="https://www.youtube.com/watch?v=1fdp3O_QDxA" TargetMode="External"/><Relationship Id="rId2182" Type="http://schemas.openxmlformats.org/officeDocument/2006/relationships/hyperlink" Target="https://www.youtube.com/watch?v=yMOHRKTPG3k&amp;feature=youtu.be&amp;ab_channel=SMSArchives" TargetMode="External"/><Relationship Id="rId2183" Type="http://schemas.openxmlformats.org/officeDocument/2006/relationships/hyperlink" Target="https://www.youtube.com/watch?v=S1XnKoM7W74" TargetMode="External"/><Relationship Id="rId385" Type="http://schemas.openxmlformats.org/officeDocument/2006/relationships/hyperlink" Target="https://www.youtube.com/watch?v=6okKw3mY1jU" TargetMode="External"/><Relationship Id="rId2184" Type="http://schemas.openxmlformats.org/officeDocument/2006/relationships/hyperlink" Target="https://www.youtube.com/watch?v=oFkcppJIq14&amp;ab_channel=SMSArchives" TargetMode="External"/><Relationship Id="rId384" Type="http://schemas.openxmlformats.org/officeDocument/2006/relationships/hyperlink" Target="https://www.youtube.com/watch?v=Ru8Gl0Gv2dE" TargetMode="External"/><Relationship Id="rId2185" Type="http://schemas.openxmlformats.org/officeDocument/2006/relationships/hyperlink" Target="https://www.youtube.com/watch?v=OnhiilChn4Y" TargetMode="External"/><Relationship Id="rId383" Type="http://schemas.openxmlformats.org/officeDocument/2006/relationships/hyperlink" Target="https://www.youtube.com/watch?v=T-cAzDGrSBU&amp;feature=youtu.be" TargetMode="External"/><Relationship Id="rId2186" Type="http://schemas.openxmlformats.org/officeDocument/2006/relationships/hyperlink" Target="https://www.youtube.com/watch?v=7rOEpQWSL4Q" TargetMode="External"/><Relationship Id="rId382" Type="http://schemas.openxmlformats.org/officeDocument/2006/relationships/hyperlink" Target="https://www.youtube.com/watch?v=2b2Qt8Zkcd4" TargetMode="External"/><Relationship Id="rId2187" Type="http://schemas.openxmlformats.org/officeDocument/2006/relationships/hyperlink" Target="https://www.youtube.com/watch?v=vHPeWpFgflQ&amp;feature=youtu.be&amp;ab_channel=SMSArchives" TargetMode="External"/><Relationship Id="rId389" Type="http://schemas.openxmlformats.org/officeDocument/2006/relationships/hyperlink" Target="https://youtu.be/kZj8WlRp11k" TargetMode="External"/><Relationship Id="rId2188" Type="http://schemas.openxmlformats.org/officeDocument/2006/relationships/hyperlink" Target="https://www.youtube.com/watch?v=l9xHbHZ1KF4" TargetMode="External"/><Relationship Id="rId388" Type="http://schemas.openxmlformats.org/officeDocument/2006/relationships/hyperlink" Target="https://www.youtube.com/watch?v=GKj5G-6s9y0" TargetMode="External"/><Relationship Id="rId2189" Type="http://schemas.openxmlformats.org/officeDocument/2006/relationships/hyperlink" Target="https://www.youtube.com/watch?v=CQBGUsjGd-A" TargetMode="External"/><Relationship Id="rId387" Type="http://schemas.openxmlformats.org/officeDocument/2006/relationships/hyperlink" Target="https://www.youtube.com/watch?v=cv1ByVp8NCs" TargetMode="External"/><Relationship Id="rId386" Type="http://schemas.openxmlformats.org/officeDocument/2006/relationships/hyperlink" Target="https://www.youtube.com/watch?v=JYibMsHGNiY" TargetMode="External"/><Relationship Id="rId381" Type="http://schemas.openxmlformats.org/officeDocument/2006/relationships/hyperlink" Target="https://www.youtube.com/watch?v=so_FNm5bg3Y" TargetMode="External"/><Relationship Id="rId380" Type="http://schemas.openxmlformats.org/officeDocument/2006/relationships/hyperlink" Target="https://www.youtube.com/watch?v=ZEoEooDeI8M" TargetMode="External"/><Relationship Id="rId379" Type="http://schemas.openxmlformats.org/officeDocument/2006/relationships/hyperlink" Target="https://www.youtube.com/watch?v=Zw54Ei4pgUc" TargetMode="External"/><Relationship Id="rId2170" Type="http://schemas.openxmlformats.org/officeDocument/2006/relationships/hyperlink" Target="https://www.youtube.com/watch?v=jxNetkf2rZo" TargetMode="External"/><Relationship Id="rId2171" Type="http://schemas.openxmlformats.org/officeDocument/2006/relationships/hyperlink" Target="https://www.youtube.com/watch?v=FyEEfrBjNaU&amp;ab_channel=SMSArchives" TargetMode="External"/><Relationship Id="rId2172" Type="http://schemas.openxmlformats.org/officeDocument/2006/relationships/hyperlink" Target="https://www.youtube.com/watch?v=z3AGjx_rUV8&amp;feature=youtu.be&amp;ab_channel=SMSArchives" TargetMode="External"/><Relationship Id="rId374" Type="http://schemas.openxmlformats.org/officeDocument/2006/relationships/hyperlink" Target="https://www.youtube.com/watch?v=H0xO1iegT4c" TargetMode="External"/><Relationship Id="rId2173" Type="http://schemas.openxmlformats.org/officeDocument/2006/relationships/hyperlink" Target="https://www.youtube.com/watch?v=HyZzUvaM12E&amp;ab_channel=SMSArchives" TargetMode="External"/><Relationship Id="rId373" Type="http://schemas.openxmlformats.org/officeDocument/2006/relationships/hyperlink" Target="https://www.youtube.com/watch?v=hA_W4EQU4-Q" TargetMode="External"/><Relationship Id="rId2174" Type="http://schemas.openxmlformats.org/officeDocument/2006/relationships/hyperlink" Target="https://www.youtube.com/watch?v=OSBAeiuU5sg&amp;ab_channel=SMSArchives" TargetMode="External"/><Relationship Id="rId372" Type="http://schemas.openxmlformats.org/officeDocument/2006/relationships/hyperlink" Target="https://www.youtube.com/watch?v=fSxwH-DNp8s" TargetMode="External"/><Relationship Id="rId2175" Type="http://schemas.openxmlformats.org/officeDocument/2006/relationships/hyperlink" Target="https://www.youtube.com/watch?v=yjUlCeX5c8c&amp;ab_channel=SMSArchives" TargetMode="External"/><Relationship Id="rId371" Type="http://schemas.openxmlformats.org/officeDocument/2006/relationships/hyperlink" Target="https://www.youtube.com/watch?v=7c1bJLIrjfg" TargetMode="External"/><Relationship Id="rId2176" Type="http://schemas.openxmlformats.org/officeDocument/2006/relationships/hyperlink" Target="https://www.youtube.com/watch?v=M_TEDO1EzXc&amp;feature=youtu.be&amp;ab_channel=SMSArchives" TargetMode="External"/><Relationship Id="rId378" Type="http://schemas.openxmlformats.org/officeDocument/2006/relationships/hyperlink" Target="https://www.youtube.com/watch?v=LbpDkiOM0sg" TargetMode="External"/><Relationship Id="rId2177" Type="http://schemas.openxmlformats.org/officeDocument/2006/relationships/hyperlink" Target="https://www.youtube.com/watch?v=wdR-hJnaoTI" TargetMode="External"/><Relationship Id="rId377" Type="http://schemas.openxmlformats.org/officeDocument/2006/relationships/hyperlink" Target="https://www.youtube.com/watch?v=MBC2fxzgIE4" TargetMode="External"/><Relationship Id="rId2178" Type="http://schemas.openxmlformats.org/officeDocument/2006/relationships/hyperlink" Target="https://www.youtube.com/watch?v=mahqspR3d_Q" TargetMode="External"/><Relationship Id="rId376" Type="http://schemas.openxmlformats.org/officeDocument/2006/relationships/hyperlink" Target="https://www.youtube.com/watch?v=hHtMClAcDeM" TargetMode="External"/><Relationship Id="rId2179" Type="http://schemas.openxmlformats.org/officeDocument/2006/relationships/hyperlink" Target="https://www.youtube.com/watch?v=bj_stbLbj4U&amp;feature=youtu.be&amp;ab_channel=SMSArchives" TargetMode="External"/><Relationship Id="rId375" Type="http://schemas.openxmlformats.org/officeDocument/2006/relationships/hyperlink" Target="https://www.youtube.com/watch?v=Q-BhVwFoSy4" TargetMode="External"/><Relationship Id="rId2190" Type="http://schemas.openxmlformats.org/officeDocument/2006/relationships/hyperlink" Target="https://www.youtube.com/watch?v=_0lkSdKjP4M" TargetMode="External"/><Relationship Id="rId2191" Type="http://schemas.openxmlformats.org/officeDocument/2006/relationships/hyperlink" Target="https://www.youtube.com/watch?v=ZuZfUFOHDs4" TargetMode="External"/><Relationship Id="rId2192" Type="http://schemas.openxmlformats.org/officeDocument/2006/relationships/hyperlink" Target="https://www.youtube.com/watch?v=-IJPlWdJnDI&amp;ab_channel=SMSArchives" TargetMode="External"/><Relationship Id="rId2193" Type="http://schemas.openxmlformats.org/officeDocument/2006/relationships/hyperlink" Target="https://www.youtube.com/watch?v=3PQ4VmQtHoc&amp;feature=youtu.be&amp;ab_channel=SMSArchives" TargetMode="External"/><Relationship Id="rId2194" Type="http://schemas.openxmlformats.org/officeDocument/2006/relationships/hyperlink" Target="https://www.youtube.com/watch?v=sGUQ5Geqb0E" TargetMode="External"/><Relationship Id="rId396" Type="http://schemas.openxmlformats.org/officeDocument/2006/relationships/hyperlink" Target="https://www.youtube.com/watch?v=AYYjFLOPBjU" TargetMode="External"/><Relationship Id="rId2195" Type="http://schemas.openxmlformats.org/officeDocument/2006/relationships/hyperlink" Target="https://www.youtube.com/watch?v=6aky4tem97I&amp;feature=youtu.be&amp;ab_channel=SMSArchives" TargetMode="External"/><Relationship Id="rId395" Type="http://schemas.openxmlformats.org/officeDocument/2006/relationships/hyperlink" Target="https://www.youtube.com/watch?v=prChNmUbKCc" TargetMode="External"/><Relationship Id="rId2196" Type="http://schemas.openxmlformats.org/officeDocument/2006/relationships/hyperlink" Target="https://www.youtube.com/watch?v=GTAXL_GNgsI&amp;feature=youtu.be&amp;ab_channel=SMSArchives" TargetMode="External"/><Relationship Id="rId394" Type="http://schemas.openxmlformats.org/officeDocument/2006/relationships/hyperlink" Target="https://www.youtube.com/watch?v=LzxhJmPO0XE" TargetMode="External"/><Relationship Id="rId2197" Type="http://schemas.openxmlformats.org/officeDocument/2006/relationships/hyperlink" Target="https://www.youtube.com/watch?v=oFbVwcuqroM" TargetMode="External"/><Relationship Id="rId393" Type="http://schemas.openxmlformats.org/officeDocument/2006/relationships/hyperlink" Target="https://www.youtube.com/watch?v=mFmB1jsZccE" TargetMode="External"/><Relationship Id="rId2198" Type="http://schemas.openxmlformats.org/officeDocument/2006/relationships/hyperlink" Target="https://www.youtube.com/watch?v=9izvCd8puoo&amp;ab_channel=SMSArchives" TargetMode="External"/><Relationship Id="rId2199" Type="http://schemas.openxmlformats.org/officeDocument/2006/relationships/hyperlink" Target="https://www.youtube.com/watch?v=R9s-ikZaI1A&amp;ab_channel=SMSArchives" TargetMode="External"/><Relationship Id="rId399" Type="http://schemas.openxmlformats.org/officeDocument/2006/relationships/hyperlink" Target="https://www.youtube.com/watch?v=L74jsNyqkKM" TargetMode="External"/><Relationship Id="rId398" Type="http://schemas.openxmlformats.org/officeDocument/2006/relationships/hyperlink" Target="https://www.youtube.com/watch?v=SkI8qUH50Ww" TargetMode="External"/><Relationship Id="rId397" Type="http://schemas.openxmlformats.org/officeDocument/2006/relationships/hyperlink" Target="https://www.youtube.com/watch?v=XpjrIqL0Ja0" TargetMode="External"/><Relationship Id="rId1730" Type="http://schemas.openxmlformats.org/officeDocument/2006/relationships/hyperlink" Target="https://www.twitch.tv/videos/1912349326?t=02h48m09s" TargetMode="External"/><Relationship Id="rId1731" Type="http://schemas.openxmlformats.org/officeDocument/2006/relationships/hyperlink" Target="https://www.twitch.tv/videos/2138700221?t=00h23m37s" TargetMode="External"/><Relationship Id="rId1732" Type="http://schemas.openxmlformats.org/officeDocument/2006/relationships/hyperlink" Target="https://www.twitch.tv/videos/1933752422?t=01h52m05s" TargetMode="External"/><Relationship Id="rId1733" Type="http://schemas.openxmlformats.org/officeDocument/2006/relationships/hyperlink" Target="https://www.twitch.tv/videos/1933752422?t=00h45m31s" TargetMode="External"/><Relationship Id="rId1734" Type="http://schemas.openxmlformats.org/officeDocument/2006/relationships/hyperlink" Target="https://www.twitch.tv/videos/2138700221?t=00h31m47s" TargetMode="External"/><Relationship Id="rId1735" Type="http://schemas.openxmlformats.org/officeDocument/2006/relationships/hyperlink" Target="https://www.twitch.tv/videos/2137826419?t=02h06m47s" TargetMode="External"/><Relationship Id="rId1736" Type="http://schemas.openxmlformats.org/officeDocument/2006/relationships/hyperlink" Target="https://www.twitch.tv/videos/2137826419?t=01h13m21s" TargetMode="External"/><Relationship Id="rId1737" Type="http://schemas.openxmlformats.org/officeDocument/2006/relationships/hyperlink" Target="https://www.twitch.tv/videos/2160659243?t=03h05m17s" TargetMode="External"/><Relationship Id="rId1738" Type="http://schemas.openxmlformats.org/officeDocument/2006/relationships/hyperlink" Target="https://www.twitch.tv/videos/2137826419?t=02h17m26s" TargetMode="External"/><Relationship Id="rId1739" Type="http://schemas.openxmlformats.org/officeDocument/2006/relationships/hyperlink" Target="https://www.twitch.tv/videos/2160659243?t=04h46m08s" TargetMode="External"/><Relationship Id="rId1720" Type="http://schemas.openxmlformats.org/officeDocument/2006/relationships/hyperlink" Target="https://youtu.be/vElJNXHnOow?si=YKZPcXIdNfk04aKJ&amp;t=12" TargetMode="External"/><Relationship Id="rId1721" Type="http://schemas.openxmlformats.org/officeDocument/2006/relationships/hyperlink" Target="https://www.twitch.tv/videos/2157470140" TargetMode="External"/><Relationship Id="rId1722" Type="http://schemas.openxmlformats.org/officeDocument/2006/relationships/hyperlink" Target="https://youtu.be/yLUTIufF_N4?si=9RdcK0Z_fTPzl_Lu&amp;t=83" TargetMode="External"/><Relationship Id="rId1723" Type="http://schemas.openxmlformats.org/officeDocument/2006/relationships/hyperlink" Target="https://youtu.be/pTdnGmxtZyk?si=0Jr58SyWq6HpENWx&amp;t=93" TargetMode="External"/><Relationship Id="rId1724" Type="http://schemas.openxmlformats.org/officeDocument/2006/relationships/hyperlink" Target="https://www.twitch.tv/videos/2158157500" TargetMode="External"/><Relationship Id="rId1725" Type="http://schemas.openxmlformats.org/officeDocument/2006/relationships/hyperlink" Target="https://www.twitch.tv/videos/2146175876?t=03h26m49s" TargetMode="External"/><Relationship Id="rId1726" Type="http://schemas.openxmlformats.org/officeDocument/2006/relationships/hyperlink" Target="https://www.twitch.tv/videos/1933752422?t=01h41m36s" TargetMode="External"/><Relationship Id="rId1727" Type="http://schemas.openxmlformats.org/officeDocument/2006/relationships/hyperlink" Target="https://www.twitch.tv/videos/1933752422?t=01h23m56s" TargetMode="External"/><Relationship Id="rId1728" Type="http://schemas.openxmlformats.org/officeDocument/2006/relationships/hyperlink" Target="https://www.twitch.tv/videos/2137826419?t=01h31m57s" TargetMode="External"/><Relationship Id="rId1729" Type="http://schemas.openxmlformats.org/officeDocument/2006/relationships/hyperlink" Target="https://www.twitch.tv/videos/1925118254?t=02h51m31s" TargetMode="External"/><Relationship Id="rId1752" Type="http://schemas.openxmlformats.org/officeDocument/2006/relationships/hyperlink" Target="https://www.twitch.tv/videos/2141136972?t=02h02m35s" TargetMode="External"/><Relationship Id="rId1753" Type="http://schemas.openxmlformats.org/officeDocument/2006/relationships/hyperlink" Target="https://www.twitch.tv/videos/2146175876?t=03h49m53s" TargetMode="External"/><Relationship Id="rId1754" Type="http://schemas.openxmlformats.org/officeDocument/2006/relationships/hyperlink" Target="https://www.twitch.tv/videos/2137826419?t=01h42m37s" TargetMode="External"/><Relationship Id="rId1755" Type="http://schemas.openxmlformats.org/officeDocument/2006/relationships/hyperlink" Target="https://www.twitch.tv/videos/2138700221?t=01h06m35s" TargetMode="External"/><Relationship Id="rId1756" Type="http://schemas.openxmlformats.org/officeDocument/2006/relationships/hyperlink" Target="https://www.twitch.tv/videos/2138700221?t=01h12m34s" TargetMode="External"/><Relationship Id="rId1757" Type="http://schemas.openxmlformats.org/officeDocument/2006/relationships/hyperlink" Target="https://www.twitch.tv/videos/2138700221?t=01h18m30s" TargetMode="External"/><Relationship Id="rId1758" Type="http://schemas.openxmlformats.org/officeDocument/2006/relationships/hyperlink" Target="https://www.twitch.tv/videos/2151709826?t=02h08m38s" TargetMode="External"/><Relationship Id="rId1759" Type="http://schemas.openxmlformats.org/officeDocument/2006/relationships/hyperlink" Target="https://www.twitch.tv/videos/2138700221?t=01h26m28s" TargetMode="External"/><Relationship Id="rId1750" Type="http://schemas.openxmlformats.org/officeDocument/2006/relationships/hyperlink" Target="https://www.twitch.tv/videos/1907911063?t=03h14m50s" TargetMode="External"/><Relationship Id="rId1751" Type="http://schemas.openxmlformats.org/officeDocument/2006/relationships/hyperlink" Target="https://www.twitch.tv/videos/1912349326?t=03h35m01s" TargetMode="External"/><Relationship Id="rId1741" Type="http://schemas.openxmlformats.org/officeDocument/2006/relationships/hyperlink" Target="https://www.twitch.tv/videos/2151709826?t=02h27m10s" TargetMode="External"/><Relationship Id="rId1742" Type="http://schemas.openxmlformats.org/officeDocument/2006/relationships/hyperlink" Target="https://www.twitch.tv/videos/1912349326?t=03h02m24s" TargetMode="External"/><Relationship Id="rId1743" Type="http://schemas.openxmlformats.org/officeDocument/2006/relationships/hyperlink" Target="https://www.twitch.tv/videos/2137826419?t=00h59m45s" TargetMode="External"/><Relationship Id="rId1744" Type="http://schemas.openxmlformats.org/officeDocument/2006/relationships/hyperlink" Target="https://www.twitch.tv/videos/1925118254?t=01h39m47s" TargetMode="External"/><Relationship Id="rId1745" Type="http://schemas.openxmlformats.org/officeDocument/2006/relationships/hyperlink" Target="https://www.twitch.tv/videos/2138700221?t=00h15m02s" TargetMode="External"/><Relationship Id="rId1746" Type="http://schemas.openxmlformats.org/officeDocument/2006/relationships/hyperlink" Target="https://youtu.be/oL3X2ObQeQA?si=jbrpNkwEuHPqit4b&amp;t=42" TargetMode="External"/><Relationship Id="rId1747" Type="http://schemas.openxmlformats.org/officeDocument/2006/relationships/hyperlink" Target="https://www.twitch.tv/videos/1925888729?t=03h36m20s" TargetMode="External"/><Relationship Id="rId1748" Type="http://schemas.openxmlformats.org/officeDocument/2006/relationships/hyperlink" Target="https://www.twitch.tv/videos/1933752422?t=03h45m26s" TargetMode="External"/><Relationship Id="rId1749" Type="http://schemas.openxmlformats.org/officeDocument/2006/relationships/hyperlink" Target="https://www.twitch.tv/videos/2160659243?t=03h29m01s" TargetMode="External"/><Relationship Id="rId1740" Type="http://schemas.openxmlformats.org/officeDocument/2006/relationships/hyperlink" Target="https://www.twitch.tv/videos/1933752422?t=02h21m50s" TargetMode="External"/><Relationship Id="rId1710" Type="http://schemas.openxmlformats.org/officeDocument/2006/relationships/hyperlink" Target="https://youtu.be/mlBkev2CdEs?si=CZBLL6ogcJav4tD6&amp;t=46" TargetMode="External"/><Relationship Id="rId1711" Type="http://schemas.openxmlformats.org/officeDocument/2006/relationships/hyperlink" Target="https://www.twitch.tv/videos/2158157495" TargetMode="External"/><Relationship Id="rId1712" Type="http://schemas.openxmlformats.org/officeDocument/2006/relationships/hyperlink" Target="https://www.twitch.tv/videos/2395651699" TargetMode="External"/><Relationship Id="rId1713" Type="http://schemas.openxmlformats.org/officeDocument/2006/relationships/hyperlink" Target="https://youtu.be/Pzxi0CTe_Ks?si=8u4rRZ8G2wvW4T1f&amp;t=63" TargetMode="External"/><Relationship Id="rId1714" Type="http://schemas.openxmlformats.org/officeDocument/2006/relationships/hyperlink" Target="https://www.twitch.tv/videos/2157470143" TargetMode="External"/><Relationship Id="rId1715" Type="http://schemas.openxmlformats.org/officeDocument/2006/relationships/hyperlink" Target="https://youtu.be/g8X8KuXN5QE?si=aQICHxVo0NRYv_mP&amp;t=15" TargetMode="External"/><Relationship Id="rId1716" Type="http://schemas.openxmlformats.org/officeDocument/2006/relationships/hyperlink" Target="https://youtu.be/cgg6grpejP4?si=irr6TXxD4Bb-wCSf&amp;t=21" TargetMode="External"/><Relationship Id="rId1717" Type="http://schemas.openxmlformats.org/officeDocument/2006/relationships/hyperlink" Target="https://www.twitch.tv/videos/2157470139" TargetMode="External"/><Relationship Id="rId1718" Type="http://schemas.openxmlformats.org/officeDocument/2006/relationships/hyperlink" Target="https://www.youtube.com/watch?v=SxQbBd_43To" TargetMode="External"/><Relationship Id="rId1719" Type="http://schemas.openxmlformats.org/officeDocument/2006/relationships/hyperlink" Target="https://youtu.be/RYC2XAxQrzY?si=IPNkkFwehnMrwTZF&amp;t=60" TargetMode="External"/><Relationship Id="rId1700" Type="http://schemas.openxmlformats.org/officeDocument/2006/relationships/hyperlink" Target="https://youtu.be/PF3SdTwPRyY?si=yTdyZO5fHfaZZRqR&amp;t=79" TargetMode="External"/><Relationship Id="rId1701" Type="http://schemas.openxmlformats.org/officeDocument/2006/relationships/hyperlink" Target="https://youtu.be/LDsm6hJnC20?si=84Nap1-fiFyTZCol&amp;t=18" TargetMode="External"/><Relationship Id="rId1702" Type="http://schemas.openxmlformats.org/officeDocument/2006/relationships/hyperlink" Target="https://youtu.be/lq9U-cFetMc?si=BA9_fTXuNlAVwMPI&amp;t=59" TargetMode="External"/><Relationship Id="rId1703" Type="http://schemas.openxmlformats.org/officeDocument/2006/relationships/hyperlink" Target="https://youtu.be/mRokoUzFghg?si=z-gMvayEtsE5msGO&amp;t=85" TargetMode="External"/><Relationship Id="rId1704" Type="http://schemas.openxmlformats.org/officeDocument/2006/relationships/hyperlink" Target="https://youtu.be/JMXNnvaZNHE?si=mgVrBMraoyNXM4fN&amp;t=23" TargetMode="External"/><Relationship Id="rId1705" Type="http://schemas.openxmlformats.org/officeDocument/2006/relationships/hyperlink" Target="https://youtu.be/JMXNnvaZNHE?si=hSYZknfmibSexSdv&amp;t=36" TargetMode="External"/><Relationship Id="rId1706" Type="http://schemas.openxmlformats.org/officeDocument/2006/relationships/hyperlink" Target="https://www.twitch.tv/videos/2013344927" TargetMode="External"/><Relationship Id="rId1707" Type="http://schemas.openxmlformats.org/officeDocument/2006/relationships/hyperlink" Target="https://www.twitch.tv/videos/2445386338" TargetMode="External"/><Relationship Id="rId1708" Type="http://schemas.openxmlformats.org/officeDocument/2006/relationships/hyperlink" Target="https://youtu.be/CLTnWJdDTFI?si=5Bforao1Kkmrglzb&amp;t=83" TargetMode="External"/><Relationship Id="rId1709" Type="http://schemas.openxmlformats.org/officeDocument/2006/relationships/hyperlink" Target="https://youtu.be/VTv36v3QXvs?si=H1OwHAaS0NtmtX5R&amp;t=70" TargetMode="External"/><Relationship Id="rId40" Type="http://schemas.openxmlformats.org/officeDocument/2006/relationships/hyperlink" Target="https://www.youtube.com/watch?v=oT1JGrcSiXk" TargetMode="External"/><Relationship Id="rId3513" Type="http://schemas.openxmlformats.org/officeDocument/2006/relationships/hyperlink" Target="https://www.youtube.com/watch?v=BAG5FY3kVjI" TargetMode="External"/><Relationship Id="rId3512" Type="http://schemas.openxmlformats.org/officeDocument/2006/relationships/hyperlink" Target="https://www.youtube.com/watch?v=_0djMnD5vs4" TargetMode="External"/><Relationship Id="rId42" Type="http://schemas.openxmlformats.org/officeDocument/2006/relationships/hyperlink" Target="https://www.youtube.com/watch?v=nz_RIUcUo_o" TargetMode="External"/><Relationship Id="rId3515" Type="http://schemas.openxmlformats.org/officeDocument/2006/relationships/hyperlink" Target="https://www.youtube.com/watch?v=ZN38JdGGFmk" TargetMode="External"/><Relationship Id="rId41" Type="http://schemas.openxmlformats.org/officeDocument/2006/relationships/hyperlink" Target="https://www.youtube.com/watch?v=xMQXgfnW5PI" TargetMode="External"/><Relationship Id="rId3514" Type="http://schemas.openxmlformats.org/officeDocument/2006/relationships/hyperlink" Target="https://www.youtube.com/watch?v=ClHigHZYVxY" TargetMode="External"/><Relationship Id="rId44" Type="http://schemas.openxmlformats.org/officeDocument/2006/relationships/hyperlink" Target="https://youtu.be/qQGN1qDjyGc" TargetMode="External"/><Relationship Id="rId3517" Type="http://schemas.openxmlformats.org/officeDocument/2006/relationships/hyperlink" Target="https://www.youtube.com/watch?v=BD-mRbQcJAM" TargetMode="External"/><Relationship Id="rId43" Type="http://schemas.openxmlformats.org/officeDocument/2006/relationships/hyperlink" Target="https://www.youtube.com/watch?v=z1xdii1pAKY" TargetMode="External"/><Relationship Id="rId3516" Type="http://schemas.openxmlformats.org/officeDocument/2006/relationships/hyperlink" Target="https://www.youtube.com/watch?v=KeDOSS_rZyY" TargetMode="External"/><Relationship Id="rId46" Type="http://schemas.openxmlformats.org/officeDocument/2006/relationships/hyperlink" Target="https://youtu.be/HuZ6b_Zl2s8?t=13" TargetMode="External"/><Relationship Id="rId3519" Type="http://schemas.openxmlformats.org/officeDocument/2006/relationships/hyperlink" Target="https://www.youtube.com/watch?v=88q7o_zP_TI" TargetMode="External"/><Relationship Id="rId45" Type="http://schemas.openxmlformats.org/officeDocument/2006/relationships/hyperlink" Target="https://youtu.be/HuZ6b_Zl2s8" TargetMode="External"/><Relationship Id="rId3518" Type="http://schemas.openxmlformats.org/officeDocument/2006/relationships/hyperlink" Target="https://www.youtube.com/watch?v=1e9z1PbD77A" TargetMode="External"/><Relationship Id="rId48" Type="http://schemas.openxmlformats.org/officeDocument/2006/relationships/hyperlink" Target="https://youtu.be/mr4J2uasmes" TargetMode="External"/><Relationship Id="rId47" Type="http://schemas.openxmlformats.org/officeDocument/2006/relationships/hyperlink" Target="https://www.youtube.com/watch?v=f99pGmuQ-kI" TargetMode="External"/><Relationship Id="rId49" Type="http://schemas.openxmlformats.org/officeDocument/2006/relationships/hyperlink" Target="https://www.youtube.com/watch?v=sNwYvk6FkOs" TargetMode="External"/><Relationship Id="rId3511" Type="http://schemas.openxmlformats.org/officeDocument/2006/relationships/hyperlink" Target="https://www.youtube.com/watch?v=nTi7p7Xt3Pw" TargetMode="External"/><Relationship Id="rId3510" Type="http://schemas.openxmlformats.org/officeDocument/2006/relationships/hyperlink" Target="https://www.youtube.com/watch?v=RBXgjzCnmA8" TargetMode="External"/><Relationship Id="rId3502" Type="http://schemas.openxmlformats.org/officeDocument/2006/relationships/hyperlink" Target="https://www.youtube.com/watch?v=eIr_vT2HyBU" TargetMode="External"/><Relationship Id="rId3501" Type="http://schemas.openxmlformats.org/officeDocument/2006/relationships/hyperlink" Target="https://www.youtube.com/watch?v=8vGl0Io2elk" TargetMode="External"/><Relationship Id="rId31" Type="http://schemas.openxmlformats.org/officeDocument/2006/relationships/hyperlink" Target="https://www.youtube.com/watch?v=MQ8rtDXhzKM" TargetMode="External"/><Relationship Id="rId3504" Type="http://schemas.openxmlformats.org/officeDocument/2006/relationships/hyperlink" Target="https://youtu.be/h08q6m_4FLI?t=17" TargetMode="External"/><Relationship Id="rId30" Type="http://schemas.openxmlformats.org/officeDocument/2006/relationships/hyperlink" Target="https://www.youtube.com/watch?v=ZoUIRNFZSOg" TargetMode="External"/><Relationship Id="rId3503" Type="http://schemas.openxmlformats.org/officeDocument/2006/relationships/hyperlink" Target="https://www.youtube.com/watch?v=h08q6m_4FLI" TargetMode="External"/><Relationship Id="rId33" Type="http://schemas.openxmlformats.org/officeDocument/2006/relationships/hyperlink" Target="https://youtu.be/9qgFaso0QEo" TargetMode="External"/><Relationship Id="rId3506" Type="http://schemas.openxmlformats.org/officeDocument/2006/relationships/hyperlink" Target="https://www.youtube.com/watch?v=mJsdbX_IStQ" TargetMode="External"/><Relationship Id="rId32" Type="http://schemas.openxmlformats.org/officeDocument/2006/relationships/hyperlink" Target="https://youtu.be/jCh84bu7RPY" TargetMode="External"/><Relationship Id="rId3505" Type="http://schemas.openxmlformats.org/officeDocument/2006/relationships/hyperlink" Target="https://www.youtube.com/watch?v=qxetrmxdIsQ" TargetMode="External"/><Relationship Id="rId35" Type="http://schemas.openxmlformats.org/officeDocument/2006/relationships/hyperlink" Target="https://youtu.be/V88dab1VAo8" TargetMode="External"/><Relationship Id="rId3508" Type="http://schemas.openxmlformats.org/officeDocument/2006/relationships/hyperlink" Target="https://www.youtube.com/watch?v=M6NIiiOR1JE" TargetMode="External"/><Relationship Id="rId34" Type="http://schemas.openxmlformats.org/officeDocument/2006/relationships/hyperlink" Target="https://www.youtube.com/watch?v=UZqMA0dmq_0" TargetMode="External"/><Relationship Id="rId3507" Type="http://schemas.openxmlformats.org/officeDocument/2006/relationships/hyperlink" Target="https://www.youtube.com/watch?v=mjXcdhjjYEw" TargetMode="External"/><Relationship Id="rId3509" Type="http://schemas.openxmlformats.org/officeDocument/2006/relationships/hyperlink" Target="https://www.youtube.com/watch?v=1lSjQDmXPV4" TargetMode="External"/><Relationship Id="rId37" Type="http://schemas.openxmlformats.org/officeDocument/2006/relationships/hyperlink" Target="https://www.youtube.com/watch?v=aCTiUpnHZ6w" TargetMode="External"/><Relationship Id="rId36" Type="http://schemas.openxmlformats.org/officeDocument/2006/relationships/hyperlink" Target="https://www.youtube.com/watch?v=yvaHxq51zUk" TargetMode="External"/><Relationship Id="rId39" Type="http://schemas.openxmlformats.org/officeDocument/2006/relationships/hyperlink" Target="https://www.youtube.com/watch?v=87xrDhkZOmA" TargetMode="External"/><Relationship Id="rId38" Type="http://schemas.openxmlformats.org/officeDocument/2006/relationships/hyperlink" Target="https://www.youtube.com/watch?v=SQhzHErP_-U" TargetMode="External"/><Relationship Id="rId3500" Type="http://schemas.openxmlformats.org/officeDocument/2006/relationships/hyperlink" Target="https://www.youtube.com/watch?v=bE2vqCzhDBk" TargetMode="External"/><Relationship Id="rId2203" Type="http://schemas.openxmlformats.org/officeDocument/2006/relationships/hyperlink" Target="https://www.youtube.com/watch?v=3Et93uKhLA0" TargetMode="External"/><Relationship Id="rId3535" Type="http://schemas.openxmlformats.org/officeDocument/2006/relationships/hyperlink" Target="https://x.com/iusu_966/status/1996176461993238977" TargetMode="External"/><Relationship Id="rId2204" Type="http://schemas.openxmlformats.org/officeDocument/2006/relationships/hyperlink" Target="https://www.youtube.com/watch?v=BNPaBIpWI8Q" TargetMode="External"/><Relationship Id="rId3534" Type="http://schemas.openxmlformats.org/officeDocument/2006/relationships/hyperlink" Target="https://x.com/iusu_966/status/1958511766788268183" TargetMode="External"/><Relationship Id="rId20" Type="http://schemas.openxmlformats.org/officeDocument/2006/relationships/hyperlink" Target="https://youtu.be/fPeAZqiDa0o" TargetMode="External"/><Relationship Id="rId2205" Type="http://schemas.openxmlformats.org/officeDocument/2006/relationships/hyperlink" Target="https://www.youtube.com/watch?v=uzZhcRcxnfI&amp;feature=youtu.be&amp;ab_channel=SMSArchives" TargetMode="External"/><Relationship Id="rId3537" Type="http://schemas.openxmlformats.org/officeDocument/2006/relationships/hyperlink" Target="https://youtu.be/KTs7U9JQWUQ?si=QFHu95RaAirHTAj9" TargetMode="External"/><Relationship Id="rId2206" Type="http://schemas.openxmlformats.org/officeDocument/2006/relationships/hyperlink" Target="https://www.youtube.com/watch?v=sOb_Hn1fEbU" TargetMode="External"/><Relationship Id="rId3536" Type="http://schemas.openxmlformats.org/officeDocument/2006/relationships/hyperlink" Target="https://x.com/iusu_966/status/1897701737529831677" TargetMode="External"/><Relationship Id="rId22" Type="http://schemas.openxmlformats.org/officeDocument/2006/relationships/hyperlink" Target="https://www.youtube.com/watch?v=ov5uABzCsFA" TargetMode="External"/><Relationship Id="rId2207" Type="http://schemas.openxmlformats.org/officeDocument/2006/relationships/hyperlink" Target="https://www.youtube.com/watch?v=MWCEPTELsS8" TargetMode="External"/><Relationship Id="rId3539" Type="http://schemas.openxmlformats.org/officeDocument/2006/relationships/hyperlink" Target="https://youtu.be/fYOzE2sUK7I?si=36DhlFlsnkhUEboh" TargetMode="External"/><Relationship Id="rId21" Type="http://schemas.openxmlformats.org/officeDocument/2006/relationships/hyperlink" Target="https://youtu.be/KZpeJ0HMcNI" TargetMode="External"/><Relationship Id="rId2208" Type="http://schemas.openxmlformats.org/officeDocument/2006/relationships/hyperlink" Target="https://www.twitch.tv/videos/2090661900" TargetMode="External"/><Relationship Id="rId3538" Type="http://schemas.openxmlformats.org/officeDocument/2006/relationships/hyperlink" Target="https://youtu.be/RDsRdHr1gAQ" TargetMode="External"/><Relationship Id="rId24" Type="http://schemas.openxmlformats.org/officeDocument/2006/relationships/hyperlink" Target="https://www.youtube.com/watch?v=qxys1cUyru0" TargetMode="External"/><Relationship Id="rId2209" Type="http://schemas.openxmlformats.org/officeDocument/2006/relationships/hyperlink" Target="https://youtu.be/5y_l8UBDvbA" TargetMode="External"/><Relationship Id="rId23" Type="http://schemas.openxmlformats.org/officeDocument/2006/relationships/hyperlink" Target="https://youtu.be/ebgYfylerPI" TargetMode="External"/><Relationship Id="rId26" Type="http://schemas.openxmlformats.org/officeDocument/2006/relationships/hyperlink" Target="https://youtu.be/1sBA5dNwoHk" TargetMode="External"/><Relationship Id="rId25" Type="http://schemas.openxmlformats.org/officeDocument/2006/relationships/hyperlink" Target="https://youtu.be/xud23Z3_1Dw" TargetMode="External"/><Relationship Id="rId28" Type="http://schemas.openxmlformats.org/officeDocument/2006/relationships/hyperlink" Target="https://youtu.be/FW1dE53KkGs" TargetMode="External"/><Relationship Id="rId27" Type="http://schemas.openxmlformats.org/officeDocument/2006/relationships/hyperlink" Target="https://youtu.be/ePnJ4WzEO2w" TargetMode="External"/><Relationship Id="rId3531" Type="http://schemas.openxmlformats.org/officeDocument/2006/relationships/hyperlink" Target="https://mixi.social/@iusu/posts/23eb3a8a-8dba-49d0-a812-3f5455046f83" TargetMode="External"/><Relationship Id="rId29" Type="http://schemas.openxmlformats.org/officeDocument/2006/relationships/hyperlink" Target="https://www.youtube.com/watch?v=-HcaFRunaB4" TargetMode="External"/><Relationship Id="rId2200" Type="http://schemas.openxmlformats.org/officeDocument/2006/relationships/hyperlink" Target="https://www.youtube.com/watch?v=Eaed9JDpfSE&amp;ab_channel=SMSArchives" TargetMode="External"/><Relationship Id="rId3530" Type="http://schemas.openxmlformats.org/officeDocument/2006/relationships/hyperlink" Target="https://mixi.social/@iusu/posts/f8069748-e2fa-4f35-be96-9e820b2b2ff9" TargetMode="External"/><Relationship Id="rId2201" Type="http://schemas.openxmlformats.org/officeDocument/2006/relationships/hyperlink" Target="https://www.youtube.com/watch?v=oWvDkK-vyfU&amp;feature=youtu.be&amp;ab_channel=SMSArchives" TargetMode="External"/><Relationship Id="rId3533" Type="http://schemas.openxmlformats.org/officeDocument/2006/relationships/hyperlink" Target="https://x.com/iusu_966/status/1983822186575266131" TargetMode="External"/><Relationship Id="rId2202" Type="http://schemas.openxmlformats.org/officeDocument/2006/relationships/hyperlink" Target="https://www.youtube.com/watch?v=JGglliMYy_s" TargetMode="External"/><Relationship Id="rId3532" Type="http://schemas.openxmlformats.org/officeDocument/2006/relationships/hyperlink" Target="https://x.com/iusu_966/status/1978762910328324318" TargetMode="External"/><Relationship Id="rId3524" Type="http://schemas.openxmlformats.org/officeDocument/2006/relationships/hyperlink" Target="https://x.com/iusu_966/status/1946890245917782034" TargetMode="External"/><Relationship Id="rId3523" Type="http://schemas.openxmlformats.org/officeDocument/2006/relationships/hyperlink" Target="https://www.youtube.com/watch?v=8hV9BTnmR04" TargetMode="External"/><Relationship Id="rId3526" Type="http://schemas.openxmlformats.org/officeDocument/2006/relationships/hyperlink" Target="https://x.com/iusu_966/status/1897265624499544490" TargetMode="External"/><Relationship Id="rId3525" Type="http://schemas.openxmlformats.org/officeDocument/2006/relationships/hyperlink" Target="https://x.com/iusu_966/status/1978849252043333821" TargetMode="External"/><Relationship Id="rId11" Type="http://schemas.openxmlformats.org/officeDocument/2006/relationships/hyperlink" Target="https://youtu.be/4t1rpAakm5o" TargetMode="External"/><Relationship Id="rId3528" Type="http://schemas.openxmlformats.org/officeDocument/2006/relationships/hyperlink" Target="https://youtu.be/ap4xKkMEJzs" TargetMode="External"/><Relationship Id="rId10" Type="http://schemas.openxmlformats.org/officeDocument/2006/relationships/hyperlink" Target="https://youtu.be/DPw4qWhC6vI" TargetMode="External"/><Relationship Id="rId3527" Type="http://schemas.openxmlformats.org/officeDocument/2006/relationships/hyperlink" Target="https://x.com/iusu_966/status/1981690316773372267" TargetMode="External"/><Relationship Id="rId13" Type="http://schemas.openxmlformats.org/officeDocument/2006/relationships/hyperlink" Target="https://youtu.be/nM-quGtDuCs" TargetMode="External"/><Relationship Id="rId12" Type="http://schemas.openxmlformats.org/officeDocument/2006/relationships/hyperlink" Target="https://youtu.be/Ise9NoYy4rY" TargetMode="External"/><Relationship Id="rId3529" Type="http://schemas.openxmlformats.org/officeDocument/2006/relationships/hyperlink" Target="https://x.com/iusu_966/status/2048343920862711913" TargetMode="External"/><Relationship Id="rId15" Type="http://schemas.openxmlformats.org/officeDocument/2006/relationships/hyperlink" Target="https://www.youtube.com/watch?v=soD-eHSiw-E" TargetMode="External"/><Relationship Id="rId14" Type="http://schemas.openxmlformats.org/officeDocument/2006/relationships/hyperlink" Target="https://www.youtube.com/watch?v=PXZXJp5f0sM" TargetMode="External"/><Relationship Id="rId17" Type="http://schemas.openxmlformats.org/officeDocument/2006/relationships/hyperlink" Target="https://www.youtube.com/watch?v=8u1_N1tncKU&amp;feature=youtu.be" TargetMode="External"/><Relationship Id="rId16" Type="http://schemas.openxmlformats.org/officeDocument/2006/relationships/hyperlink" Target="https://www.youtube.com/watch?v=qEJr50Bs4ac" TargetMode="External"/><Relationship Id="rId19" Type="http://schemas.openxmlformats.org/officeDocument/2006/relationships/hyperlink" Target="https://www.youtube.com/watch?v=W4ubkGBVqKY&amp;ab_channel=Fech" TargetMode="External"/><Relationship Id="rId3520" Type="http://schemas.openxmlformats.org/officeDocument/2006/relationships/hyperlink" Target="https://www.youtube.com/watch?v=STNcYhrfQBU" TargetMode="External"/><Relationship Id="rId18" Type="http://schemas.openxmlformats.org/officeDocument/2006/relationships/hyperlink" Target="https://www.youtube.com/watch?v=YEgWlI-MsfY" TargetMode="External"/><Relationship Id="rId3522" Type="http://schemas.openxmlformats.org/officeDocument/2006/relationships/hyperlink" Target="https://www.youtube.com/watch?v=VkSJErBsxQ4&amp;feature=youtu.be" TargetMode="External"/><Relationship Id="rId3521" Type="http://schemas.openxmlformats.org/officeDocument/2006/relationships/hyperlink" Target="https://www.youtube.com/watch?v=ei_mzBjl3hw" TargetMode="External"/><Relationship Id="rId84" Type="http://schemas.openxmlformats.org/officeDocument/2006/relationships/hyperlink" Target="https://www.youtube.com/watch?v=WPXkJvp7ZGY" TargetMode="External"/><Relationship Id="rId1774" Type="http://schemas.openxmlformats.org/officeDocument/2006/relationships/hyperlink" Target="https://www.twitch.tv/videos/1933752422?t=02h04m37s" TargetMode="External"/><Relationship Id="rId83" Type="http://schemas.openxmlformats.org/officeDocument/2006/relationships/hyperlink" Target="https://youtu.be/4sRLH8lWpw8" TargetMode="External"/><Relationship Id="rId1775" Type="http://schemas.openxmlformats.org/officeDocument/2006/relationships/hyperlink" Target="https://www.twitch.tv/videos/2141137624?t=03h22m15s" TargetMode="External"/><Relationship Id="rId86" Type="http://schemas.openxmlformats.org/officeDocument/2006/relationships/hyperlink" Target="https://www.youtube.com/watch?v=ljTvb2qToSQ&amp;ab_channel=Fech" TargetMode="External"/><Relationship Id="rId1776" Type="http://schemas.openxmlformats.org/officeDocument/2006/relationships/hyperlink" Target="https://www.twitch.tv/videos/1925118254?t=01h18m52s" TargetMode="External"/><Relationship Id="rId85" Type="http://schemas.openxmlformats.org/officeDocument/2006/relationships/hyperlink" Target="https://www.youtube.com/watch?v=Oigbfg21OqE" TargetMode="External"/><Relationship Id="rId1777" Type="http://schemas.openxmlformats.org/officeDocument/2006/relationships/hyperlink" Target="https://www.twitch.tv/videos/2137826419?t=01h47m27s" TargetMode="External"/><Relationship Id="rId88" Type="http://schemas.openxmlformats.org/officeDocument/2006/relationships/hyperlink" Target="https://youtu.be/QNrN4zs-Ohs" TargetMode="External"/><Relationship Id="rId1778" Type="http://schemas.openxmlformats.org/officeDocument/2006/relationships/hyperlink" Target="https://www.twitch.tv/videos/2151709826?t=01h50m28s" TargetMode="External"/><Relationship Id="rId87" Type="http://schemas.openxmlformats.org/officeDocument/2006/relationships/hyperlink" Target="https://www.youtube.com/watch?v=rYaegthb_1M" TargetMode="External"/><Relationship Id="rId1779" Type="http://schemas.openxmlformats.org/officeDocument/2006/relationships/hyperlink" Target="https://www.twitch.tv/videos/2137826419?t=02h34m24s" TargetMode="External"/><Relationship Id="rId89" Type="http://schemas.openxmlformats.org/officeDocument/2006/relationships/hyperlink" Target="https://www.youtube.com/watch?v=2fcbL4nGL_w" TargetMode="External"/><Relationship Id="rId80" Type="http://schemas.openxmlformats.org/officeDocument/2006/relationships/hyperlink" Target="https://youtu.be/ocg8Y1r0EyA" TargetMode="External"/><Relationship Id="rId82" Type="http://schemas.openxmlformats.org/officeDocument/2006/relationships/hyperlink" Target="https://www.youtube.com/watch?v=i6ts1mxx0Nc" TargetMode="External"/><Relationship Id="rId81" Type="http://schemas.openxmlformats.org/officeDocument/2006/relationships/hyperlink" Target="https://youtu.be/RkrkZMp0SBo" TargetMode="External"/><Relationship Id="rId1770" Type="http://schemas.openxmlformats.org/officeDocument/2006/relationships/hyperlink" Target="https://www.twitch.tv/videos/1922663081?t=02h47m59s" TargetMode="External"/><Relationship Id="rId1771" Type="http://schemas.openxmlformats.org/officeDocument/2006/relationships/hyperlink" Target="https://www.twitch.tv/videos/2146175876?t=00h48m16s" TargetMode="External"/><Relationship Id="rId1772" Type="http://schemas.openxmlformats.org/officeDocument/2006/relationships/hyperlink" Target="https://www.twitch.tv/videos/2138700221?t=01h56m57s" TargetMode="External"/><Relationship Id="rId1773" Type="http://schemas.openxmlformats.org/officeDocument/2006/relationships/hyperlink" Target="https://www.twitch.tv/videos/2138700221?t=01h59m32s" TargetMode="External"/><Relationship Id="rId73" Type="http://schemas.openxmlformats.org/officeDocument/2006/relationships/hyperlink" Target="https://www.youtube.com/watch?v=FrbEKx-bspE" TargetMode="External"/><Relationship Id="rId1763" Type="http://schemas.openxmlformats.org/officeDocument/2006/relationships/hyperlink" Target="https://www.twitch.tv/videos/2138700221?t=01h32m15s" TargetMode="External"/><Relationship Id="rId72" Type="http://schemas.openxmlformats.org/officeDocument/2006/relationships/hyperlink" Target="https://youtu.be/0iJvUBn-Ysw" TargetMode="External"/><Relationship Id="rId1764" Type="http://schemas.openxmlformats.org/officeDocument/2006/relationships/hyperlink" Target="https://www.twitch.tv/videos/1907911063?t=02h37m42s" TargetMode="External"/><Relationship Id="rId75" Type="http://schemas.openxmlformats.org/officeDocument/2006/relationships/hyperlink" Target="https://youtu.be/fumB56A4e60" TargetMode="External"/><Relationship Id="rId1765" Type="http://schemas.openxmlformats.org/officeDocument/2006/relationships/hyperlink" Target="https://www.twitch.tv/videos/2137826419?t=02h28m09s" TargetMode="External"/><Relationship Id="rId74" Type="http://schemas.openxmlformats.org/officeDocument/2006/relationships/hyperlink" Target="https://www.youtube.com/watch?v=JhpwAg5lmoo" TargetMode="External"/><Relationship Id="rId1766" Type="http://schemas.openxmlformats.org/officeDocument/2006/relationships/hyperlink" Target="https://www.twitch.tv/videos/2160659243?t=04h35m43s" TargetMode="External"/><Relationship Id="rId77" Type="http://schemas.openxmlformats.org/officeDocument/2006/relationships/hyperlink" Target="https://www.youtube.com/watch?v=saeB2BJyl3w" TargetMode="External"/><Relationship Id="rId1767" Type="http://schemas.openxmlformats.org/officeDocument/2006/relationships/hyperlink" Target="https://www.twitch.tv/videos/2146175876?t=04h00m10s" TargetMode="External"/><Relationship Id="rId76" Type="http://schemas.openxmlformats.org/officeDocument/2006/relationships/hyperlink" Target="https://youtu.be/5moJBRyFC5k" TargetMode="External"/><Relationship Id="rId1768" Type="http://schemas.openxmlformats.org/officeDocument/2006/relationships/hyperlink" Target="https://www.twitch.tv/videos/2137826419?t=01h22m16s" TargetMode="External"/><Relationship Id="rId79" Type="http://schemas.openxmlformats.org/officeDocument/2006/relationships/hyperlink" Target="https://www.youtube.com/watch?v=fARIDIw8qm0" TargetMode="External"/><Relationship Id="rId1769" Type="http://schemas.openxmlformats.org/officeDocument/2006/relationships/hyperlink" Target="https://www.twitch.tv/videos/2138700221?t=01h50m29s" TargetMode="External"/><Relationship Id="rId78" Type="http://schemas.openxmlformats.org/officeDocument/2006/relationships/hyperlink" Target="https://www.youtube.com/watch?v=XgVQDQNSNjc" TargetMode="External"/><Relationship Id="rId71" Type="http://schemas.openxmlformats.org/officeDocument/2006/relationships/hyperlink" Target="https://www.youtube.com/watch?v=ezeupWWUQ6A" TargetMode="External"/><Relationship Id="rId70" Type="http://schemas.openxmlformats.org/officeDocument/2006/relationships/hyperlink" Target="https://www.youtube.com/watch?v=bXDrgPlY4DU" TargetMode="External"/><Relationship Id="rId1760" Type="http://schemas.openxmlformats.org/officeDocument/2006/relationships/hyperlink" Target="https://www.twitch.tv/videos/2138700221?t=01h27m46s" TargetMode="External"/><Relationship Id="rId1761" Type="http://schemas.openxmlformats.org/officeDocument/2006/relationships/hyperlink" Target="https://www.twitch.tv/videos/2146175876?t=00h55m09s" TargetMode="External"/><Relationship Id="rId1762" Type="http://schemas.openxmlformats.org/officeDocument/2006/relationships/hyperlink" Target="https://www.twitch.tv/videos/2137826419?t=00h29m00s" TargetMode="External"/><Relationship Id="rId62" Type="http://schemas.openxmlformats.org/officeDocument/2006/relationships/hyperlink" Target="https://youtu.be/6G9bc6jPFwM" TargetMode="External"/><Relationship Id="rId1796" Type="http://schemas.openxmlformats.org/officeDocument/2006/relationships/hyperlink" Target="https://www.twitch.tv/videos/1933752422?t=03h19m03s" TargetMode="External"/><Relationship Id="rId61" Type="http://schemas.openxmlformats.org/officeDocument/2006/relationships/hyperlink" Target="https://youtu.be/IND6Oom_SQI" TargetMode="External"/><Relationship Id="rId1797" Type="http://schemas.openxmlformats.org/officeDocument/2006/relationships/hyperlink" Target="https://www.twitch.tv/videos/2146175876?t=04h10m30s" TargetMode="External"/><Relationship Id="rId64" Type="http://schemas.openxmlformats.org/officeDocument/2006/relationships/hyperlink" Target="https://www.youtube.com/watch?v=Am417sLRMho" TargetMode="External"/><Relationship Id="rId1798" Type="http://schemas.openxmlformats.org/officeDocument/2006/relationships/hyperlink" Target="https://www.twitch.tv/videos/1912349326?t=04h58m58s" TargetMode="External"/><Relationship Id="rId63" Type="http://schemas.openxmlformats.org/officeDocument/2006/relationships/hyperlink" Target="https://youtu.be/6qKtvcqiJ54" TargetMode="External"/><Relationship Id="rId1799" Type="http://schemas.openxmlformats.org/officeDocument/2006/relationships/hyperlink" Target="https://www.twitch.tv/videos/1912349326?t=05h10m55s" TargetMode="External"/><Relationship Id="rId66" Type="http://schemas.openxmlformats.org/officeDocument/2006/relationships/hyperlink" Target="https://youtu.be/2Goy_kzqMPc" TargetMode="External"/><Relationship Id="rId65" Type="http://schemas.openxmlformats.org/officeDocument/2006/relationships/hyperlink" Target="https://www.youtube.com/watch?v=zrWCLowiX-E&amp;feature=youtu.be" TargetMode="External"/><Relationship Id="rId68" Type="http://schemas.openxmlformats.org/officeDocument/2006/relationships/hyperlink" Target="https://www.youtube.com/watch?v=YR2aqtu-7Zw" TargetMode="External"/><Relationship Id="rId67" Type="http://schemas.openxmlformats.org/officeDocument/2006/relationships/hyperlink" Target="https://www.youtube.com/watch?v=NA5Q-aorSqQ" TargetMode="External"/><Relationship Id="rId60" Type="http://schemas.openxmlformats.org/officeDocument/2006/relationships/hyperlink" Target="https://www.youtube.com/watch?v=1yOm4Ltdnxo" TargetMode="External"/><Relationship Id="rId69" Type="http://schemas.openxmlformats.org/officeDocument/2006/relationships/hyperlink" Target="https://www.youtube.com/watch?v=nARBxZZVT1Y" TargetMode="External"/><Relationship Id="rId1790" Type="http://schemas.openxmlformats.org/officeDocument/2006/relationships/hyperlink" Target="https://www.twitch.tv/videos/2137826419?t=00h55m01s" TargetMode="External"/><Relationship Id="rId1791" Type="http://schemas.openxmlformats.org/officeDocument/2006/relationships/hyperlink" Target="https://www.twitch.tv/videos/2146175876?t=01h28m26s" TargetMode="External"/><Relationship Id="rId1792" Type="http://schemas.openxmlformats.org/officeDocument/2006/relationships/hyperlink" Target="https://www.twitch.tv/videos/2137826419?t=02h39m37s" TargetMode="External"/><Relationship Id="rId1793" Type="http://schemas.openxmlformats.org/officeDocument/2006/relationships/hyperlink" Target="https://www.twitch.tv/videos/2137826419?t=01h40m03s" TargetMode="External"/><Relationship Id="rId1794" Type="http://schemas.openxmlformats.org/officeDocument/2006/relationships/hyperlink" Target="https://youtu.be/D6KBWbP2uyU?si=Qt9WOJpB6eqRtk2N&amp;t=1147" TargetMode="External"/><Relationship Id="rId1795" Type="http://schemas.openxmlformats.org/officeDocument/2006/relationships/hyperlink" Target="https://www.twitch.tv/videos/1925888729?t=02h50m19s" TargetMode="External"/><Relationship Id="rId51" Type="http://schemas.openxmlformats.org/officeDocument/2006/relationships/hyperlink" Target="https://youtu.be/zt-pCiBV2ww" TargetMode="External"/><Relationship Id="rId1785" Type="http://schemas.openxmlformats.org/officeDocument/2006/relationships/hyperlink" Target="https://www.twitch.tv/videos/2160659243?t=00h23m35s" TargetMode="External"/><Relationship Id="rId50" Type="http://schemas.openxmlformats.org/officeDocument/2006/relationships/hyperlink" Target="https://youtu.be/ZygQ_uEAoUU" TargetMode="External"/><Relationship Id="rId1786" Type="http://schemas.openxmlformats.org/officeDocument/2006/relationships/hyperlink" Target="https://www.twitch.tv/videos/1922663081?t=04h11m12s" TargetMode="External"/><Relationship Id="rId53" Type="http://schemas.openxmlformats.org/officeDocument/2006/relationships/hyperlink" Target="https://www.youtube.com/watch?v=qb34WJeTzeI" TargetMode="External"/><Relationship Id="rId1787" Type="http://schemas.openxmlformats.org/officeDocument/2006/relationships/hyperlink" Target="https://www.twitch.tv/videos/1922663081?t=04h01m00s" TargetMode="External"/><Relationship Id="rId52" Type="http://schemas.openxmlformats.org/officeDocument/2006/relationships/hyperlink" Target="https://youtu.be/XpPjF9z3aMU" TargetMode="External"/><Relationship Id="rId1788" Type="http://schemas.openxmlformats.org/officeDocument/2006/relationships/hyperlink" Target="https://www.twitch.tv/videos/1922663081?t=02h00m21s" TargetMode="External"/><Relationship Id="rId55" Type="http://schemas.openxmlformats.org/officeDocument/2006/relationships/hyperlink" Target="https://www.youtube.com/watch?v=QEjP91ztduQ" TargetMode="External"/><Relationship Id="rId1789" Type="http://schemas.openxmlformats.org/officeDocument/2006/relationships/hyperlink" Target="https://www.twitch.tv/videos/2141137624?t=02h46m43s" TargetMode="External"/><Relationship Id="rId54" Type="http://schemas.openxmlformats.org/officeDocument/2006/relationships/hyperlink" Target="https://youtu.be/Fx99tWKt66g" TargetMode="External"/><Relationship Id="rId57" Type="http://schemas.openxmlformats.org/officeDocument/2006/relationships/hyperlink" Target="https://www.youtube.com/watch?v=rhSIj0Ezhv4&amp;ab_channel=Fech" TargetMode="External"/><Relationship Id="rId56" Type="http://schemas.openxmlformats.org/officeDocument/2006/relationships/hyperlink" Target="https://youtu.be/7KLJi8dUiZM" TargetMode="External"/><Relationship Id="rId59" Type="http://schemas.openxmlformats.org/officeDocument/2006/relationships/hyperlink" Target="https://www.youtube.com/watch?v=kyzG7pMv5N0" TargetMode="External"/><Relationship Id="rId58" Type="http://schemas.openxmlformats.org/officeDocument/2006/relationships/hyperlink" Target="https://www.youtube.com/watch?v=kknMAPGgtKY" TargetMode="External"/><Relationship Id="rId1780" Type="http://schemas.openxmlformats.org/officeDocument/2006/relationships/hyperlink" Target="https://www.twitch.tv/videos/2137826419?t=02h37m19s" TargetMode="External"/><Relationship Id="rId1781" Type="http://schemas.openxmlformats.org/officeDocument/2006/relationships/hyperlink" Target="https://www.twitch.tv/videos/2160659243?t=04h39m09s" TargetMode="External"/><Relationship Id="rId1782" Type="http://schemas.openxmlformats.org/officeDocument/2006/relationships/hyperlink" Target="https://youtu.be/XsFugi7nzXQ?si=oeQO--dfuPZkEW4e&amp;t=4748" TargetMode="External"/><Relationship Id="rId1783" Type="http://schemas.openxmlformats.org/officeDocument/2006/relationships/hyperlink" Target="https://www.twitch.tv/videos/2146175876?t=04h06m17s" TargetMode="External"/><Relationship Id="rId1784" Type="http://schemas.openxmlformats.org/officeDocument/2006/relationships/hyperlink" Target="https://www.twitch.tv/videos/1933752422?t=04h09m30s" TargetMode="External"/><Relationship Id="rId2269" Type="http://schemas.openxmlformats.org/officeDocument/2006/relationships/hyperlink" Target="https://www.youtube.com/watch?v=7F0SmGa65xs" TargetMode="External"/><Relationship Id="rId349" Type="http://schemas.openxmlformats.org/officeDocument/2006/relationships/hyperlink" Target="https://www.youtube.com/watch?v=6lGKdiBMe6Y" TargetMode="External"/><Relationship Id="rId348" Type="http://schemas.openxmlformats.org/officeDocument/2006/relationships/hyperlink" Target="https://www.youtube.com/watch?v=1E_KpvEsnK8" TargetMode="External"/><Relationship Id="rId347" Type="http://schemas.openxmlformats.org/officeDocument/2006/relationships/hyperlink" Target="https://www.youtube.com/watch?v=Y8ZqfP7g8HI" TargetMode="External"/><Relationship Id="rId346" Type="http://schemas.openxmlformats.org/officeDocument/2006/relationships/hyperlink" Target="https://www.youtube.com/watch?v=wx8PpYkTl20" TargetMode="External"/><Relationship Id="rId3591" Type="http://schemas.openxmlformats.org/officeDocument/2006/relationships/hyperlink" Target="https://clips.twitch.tv/BrainyEncouragingGrassBudStar-2D1zGgy3xj8nr8wJ" TargetMode="External"/><Relationship Id="rId2260" Type="http://schemas.openxmlformats.org/officeDocument/2006/relationships/hyperlink" Target="https://www.youtube.com/watch?v=30bG31ryuh8" TargetMode="External"/><Relationship Id="rId3590" Type="http://schemas.openxmlformats.org/officeDocument/2006/relationships/hyperlink" Target="https://www.youtube.com/watch?v=FJ-n-TcDIfk" TargetMode="External"/><Relationship Id="rId341" Type="http://schemas.openxmlformats.org/officeDocument/2006/relationships/hyperlink" Target="https://www.youtube.com/watch?v=RfFs8YZSr_M" TargetMode="External"/><Relationship Id="rId2261" Type="http://schemas.openxmlformats.org/officeDocument/2006/relationships/hyperlink" Target="https://www.youtube.com/watch?v=1HPhLj1o7Hk" TargetMode="External"/><Relationship Id="rId3593" Type="http://schemas.openxmlformats.org/officeDocument/2006/relationships/hyperlink" Target="https://twitter.com/hiyoko_gaming/status/1374359061391581191" TargetMode="External"/><Relationship Id="rId340" Type="http://schemas.openxmlformats.org/officeDocument/2006/relationships/hyperlink" Target="https://www.youtube.com/watch?v=nvBMUOYsCGE" TargetMode="External"/><Relationship Id="rId2262" Type="http://schemas.openxmlformats.org/officeDocument/2006/relationships/hyperlink" Target="https://www.twitch.tv/videos/2088080995" TargetMode="External"/><Relationship Id="rId3592" Type="http://schemas.openxmlformats.org/officeDocument/2006/relationships/hyperlink" Target="https://twitter.com/HiyokoVideo/status/1395036836762816515" TargetMode="External"/><Relationship Id="rId2263" Type="http://schemas.openxmlformats.org/officeDocument/2006/relationships/hyperlink" Target="https://www.youtube.com/watch?v=uWNyXJd8lxA" TargetMode="External"/><Relationship Id="rId3595" Type="http://schemas.openxmlformats.org/officeDocument/2006/relationships/hyperlink" Target="https://twitter.com/HiyokoVideo/status/1462006974032273409" TargetMode="External"/><Relationship Id="rId2264" Type="http://schemas.openxmlformats.org/officeDocument/2006/relationships/hyperlink" Target="https://www.youtube.com/watch?v=5LxxOAQdTtQ" TargetMode="External"/><Relationship Id="rId3594" Type="http://schemas.openxmlformats.org/officeDocument/2006/relationships/hyperlink" Target="https://clips.twitch.tv/MagnificentSavageLionResidentSleeper-iqxh7JjaEGn-6K98" TargetMode="External"/><Relationship Id="rId345" Type="http://schemas.openxmlformats.org/officeDocument/2006/relationships/hyperlink" Target="https://youtu.be/_iKjA1Sk1oE" TargetMode="External"/><Relationship Id="rId2265" Type="http://schemas.openxmlformats.org/officeDocument/2006/relationships/hyperlink" Target="https://www.youtube.com/watch?v=KP0FD20fvO8&amp;list=PLuEe1wxFuraf-vTktPiXCnyGs-BwkntpZ&amp;index=62" TargetMode="External"/><Relationship Id="rId3597" Type="http://schemas.openxmlformats.org/officeDocument/2006/relationships/hyperlink" Target="https://twitter.com/HiyokoVideo/status/1388496092182941700" TargetMode="External"/><Relationship Id="rId344" Type="http://schemas.openxmlformats.org/officeDocument/2006/relationships/hyperlink" Target="https://www.youtube.com/watch?v=TWRDCEvzS4w" TargetMode="External"/><Relationship Id="rId2266" Type="http://schemas.openxmlformats.org/officeDocument/2006/relationships/hyperlink" Target="https://youtu.be/KmL-3iPAzN0" TargetMode="External"/><Relationship Id="rId3596" Type="http://schemas.openxmlformats.org/officeDocument/2006/relationships/hyperlink" Target="https://twitter.com/HiyokoVideo/status/1392518044539244554" TargetMode="External"/><Relationship Id="rId343" Type="http://schemas.openxmlformats.org/officeDocument/2006/relationships/hyperlink" Target="https://www.youtube.com/watch?v=JaKu4u5sCyU" TargetMode="External"/><Relationship Id="rId2267" Type="http://schemas.openxmlformats.org/officeDocument/2006/relationships/hyperlink" Target="https://www.youtube.com/watch?v=EmjqXTuzguI" TargetMode="External"/><Relationship Id="rId3599" Type="http://schemas.openxmlformats.org/officeDocument/2006/relationships/hyperlink" Target="https://twitter.com/HiyokoVideo/status/1460578448959623177" TargetMode="External"/><Relationship Id="rId342" Type="http://schemas.openxmlformats.org/officeDocument/2006/relationships/hyperlink" Target="https://www.youtube.com/watch?v=PXAu8ddp5GM" TargetMode="External"/><Relationship Id="rId2268" Type="http://schemas.openxmlformats.org/officeDocument/2006/relationships/hyperlink" Target="https://youtu.be/-NhnIxEsuDI" TargetMode="External"/><Relationship Id="rId3598" Type="http://schemas.openxmlformats.org/officeDocument/2006/relationships/hyperlink" Target="https://twitter.com/HiyokoVideo/status/1473273538799091723" TargetMode="External"/><Relationship Id="rId2258" Type="http://schemas.openxmlformats.org/officeDocument/2006/relationships/hyperlink" Target="https://www.youtube.com/watch?v=qpluSHohL-o" TargetMode="External"/><Relationship Id="rId2259" Type="http://schemas.openxmlformats.org/officeDocument/2006/relationships/hyperlink" Target="https://youtu.be/LvIY4K63YrI" TargetMode="External"/><Relationship Id="rId3589" Type="http://schemas.openxmlformats.org/officeDocument/2006/relationships/hyperlink" Target="https://youtu.be/OkpJ8_cW35c" TargetMode="External"/><Relationship Id="rId338" Type="http://schemas.openxmlformats.org/officeDocument/2006/relationships/hyperlink" Target="https://www.youtube.com/watch?v=VoIAaPTyMYE" TargetMode="External"/><Relationship Id="rId337" Type="http://schemas.openxmlformats.org/officeDocument/2006/relationships/hyperlink" Target="https://www.youtube.com/watch?v=--_-WAAzu5E" TargetMode="External"/><Relationship Id="rId336" Type="http://schemas.openxmlformats.org/officeDocument/2006/relationships/hyperlink" Target="https://www.youtube.com/watch?v=71Lt4t43p6w" TargetMode="External"/><Relationship Id="rId335" Type="http://schemas.openxmlformats.org/officeDocument/2006/relationships/hyperlink" Target="https://www.youtube.com/watch?v=4mbjDACGFdM" TargetMode="External"/><Relationship Id="rId3580" Type="http://schemas.openxmlformats.org/officeDocument/2006/relationships/hyperlink" Target="https://youtu.be/1DaDpONiHIE" TargetMode="External"/><Relationship Id="rId339" Type="http://schemas.openxmlformats.org/officeDocument/2006/relationships/hyperlink" Target="https://www.youtube.com/watch?v=YSQnwzUu5oI" TargetMode="External"/><Relationship Id="rId330" Type="http://schemas.openxmlformats.org/officeDocument/2006/relationships/hyperlink" Target="https://www.youtube.com/watch?v=jEwYvHAaFr0" TargetMode="External"/><Relationship Id="rId2250" Type="http://schemas.openxmlformats.org/officeDocument/2006/relationships/hyperlink" Target="https://www.youtube.com/watch?v=8S8ykswBF_E" TargetMode="External"/><Relationship Id="rId3582" Type="http://schemas.openxmlformats.org/officeDocument/2006/relationships/hyperlink" Target="https://youtu.be/NwsYsENa9uM" TargetMode="External"/><Relationship Id="rId2251" Type="http://schemas.openxmlformats.org/officeDocument/2006/relationships/hyperlink" Target="https://youtu.be/Ig1VVF17tFA" TargetMode="External"/><Relationship Id="rId3581" Type="http://schemas.openxmlformats.org/officeDocument/2006/relationships/hyperlink" Target="https://youtu.be/EvC-eEXii60" TargetMode="External"/><Relationship Id="rId2252" Type="http://schemas.openxmlformats.org/officeDocument/2006/relationships/hyperlink" Target="https://www.youtube.com/watch?v=Uv1tzzC5ohI" TargetMode="External"/><Relationship Id="rId3584" Type="http://schemas.openxmlformats.org/officeDocument/2006/relationships/hyperlink" Target="https://youtu.be/q9nDnm5zp18" TargetMode="External"/><Relationship Id="rId2253" Type="http://schemas.openxmlformats.org/officeDocument/2006/relationships/hyperlink" Target="https://www.youtube.com/watch?v=GOa4Y-uIAYU" TargetMode="External"/><Relationship Id="rId3583" Type="http://schemas.openxmlformats.org/officeDocument/2006/relationships/hyperlink" Target="https://youtu.be/Gt-FgqL8P2E" TargetMode="External"/><Relationship Id="rId334" Type="http://schemas.openxmlformats.org/officeDocument/2006/relationships/hyperlink" Target="https://www.youtube.com/watch?v=wqKdeC9BQCU" TargetMode="External"/><Relationship Id="rId2254" Type="http://schemas.openxmlformats.org/officeDocument/2006/relationships/hyperlink" Target="https://www.twitch.tv/videos/2079293377" TargetMode="External"/><Relationship Id="rId3586" Type="http://schemas.openxmlformats.org/officeDocument/2006/relationships/hyperlink" Target="https://youtu.be/QnKXrjvJcW8" TargetMode="External"/><Relationship Id="rId333" Type="http://schemas.openxmlformats.org/officeDocument/2006/relationships/hyperlink" Target="https://www.youtube.com/watch?v=11I75XKFTl8" TargetMode="External"/><Relationship Id="rId2255" Type="http://schemas.openxmlformats.org/officeDocument/2006/relationships/hyperlink" Target="https://www.youtube.com/watch?v=nK1jCY0Ik9k" TargetMode="External"/><Relationship Id="rId3585" Type="http://schemas.openxmlformats.org/officeDocument/2006/relationships/hyperlink" Target="https://youtu.be/BLi_QcGdq6E" TargetMode="External"/><Relationship Id="rId332" Type="http://schemas.openxmlformats.org/officeDocument/2006/relationships/hyperlink" Target="https://www.youtube.com/watch?v=PPl8gjCPpsk" TargetMode="External"/><Relationship Id="rId2256" Type="http://schemas.openxmlformats.org/officeDocument/2006/relationships/hyperlink" Target="https://youtu.be/fPn5LBvxP0Q" TargetMode="External"/><Relationship Id="rId3588" Type="http://schemas.openxmlformats.org/officeDocument/2006/relationships/hyperlink" Target="https://www.youtube.com/watch?v=3m97t6tp29M" TargetMode="External"/><Relationship Id="rId331" Type="http://schemas.openxmlformats.org/officeDocument/2006/relationships/hyperlink" Target="https://www.youtube.com/watch?v=o_YdepxD190" TargetMode="External"/><Relationship Id="rId2257" Type="http://schemas.openxmlformats.org/officeDocument/2006/relationships/hyperlink" Target="https://www.youtube.com/watch?v=UI0h4xrjWu4" TargetMode="External"/><Relationship Id="rId3587" Type="http://schemas.openxmlformats.org/officeDocument/2006/relationships/hyperlink" Target="https://www.youtube.com/watch?v=pag5OgFa-20" TargetMode="External"/><Relationship Id="rId370" Type="http://schemas.openxmlformats.org/officeDocument/2006/relationships/hyperlink" Target="https://www.youtube.com/watch?v=43eybnxftdk" TargetMode="External"/><Relationship Id="rId369" Type="http://schemas.openxmlformats.org/officeDocument/2006/relationships/hyperlink" Target="https://www.youtube.com/watch?v=XtM9r8G5uZE" TargetMode="External"/><Relationship Id="rId368" Type="http://schemas.openxmlformats.org/officeDocument/2006/relationships/hyperlink" Target="https://www.youtube.com/watch?v=46qRh8ag9zE" TargetMode="External"/><Relationship Id="rId2280" Type="http://schemas.openxmlformats.org/officeDocument/2006/relationships/hyperlink" Target="https://www.twitch.tv/videos/1651787224" TargetMode="External"/><Relationship Id="rId2281" Type="http://schemas.openxmlformats.org/officeDocument/2006/relationships/hyperlink" Target="https://www.twitch.tv/videos/1628737791" TargetMode="External"/><Relationship Id="rId2282" Type="http://schemas.openxmlformats.org/officeDocument/2006/relationships/hyperlink" Target="https://www.twitch.tv/videos/1598926930" TargetMode="External"/><Relationship Id="rId363" Type="http://schemas.openxmlformats.org/officeDocument/2006/relationships/hyperlink" Target="https://www.youtube.com/watch?v=DShYl9fXtuY" TargetMode="External"/><Relationship Id="rId2283" Type="http://schemas.openxmlformats.org/officeDocument/2006/relationships/hyperlink" Target="https://www.twitch.tv/videos/1142811973" TargetMode="External"/><Relationship Id="rId362" Type="http://schemas.openxmlformats.org/officeDocument/2006/relationships/hyperlink" Target="https://www.youtube.com/watch?v=Hfmu20hLpbc" TargetMode="External"/><Relationship Id="rId2284" Type="http://schemas.openxmlformats.org/officeDocument/2006/relationships/hyperlink" Target="https://www.twitch.tv/videos/1634958170" TargetMode="External"/><Relationship Id="rId361" Type="http://schemas.openxmlformats.org/officeDocument/2006/relationships/hyperlink" Target="https://www.youtube.com/watch?v=lCGjeghKbEc" TargetMode="External"/><Relationship Id="rId2285" Type="http://schemas.openxmlformats.org/officeDocument/2006/relationships/hyperlink" Target="https://youtu.be/v2ib15kI_H4" TargetMode="External"/><Relationship Id="rId360" Type="http://schemas.openxmlformats.org/officeDocument/2006/relationships/hyperlink" Target="https://www.youtube.com/watch?v=hqB6xKNNVc4" TargetMode="External"/><Relationship Id="rId2286" Type="http://schemas.openxmlformats.org/officeDocument/2006/relationships/hyperlink" Target="https://www.twitch.tv/videos/1661889725" TargetMode="External"/><Relationship Id="rId367" Type="http://schemas.openxmlformats.org/officeDocument/2006/relationships/hyperlink" Target="https://www.youtube.com/watch?v=6ySBjxscW88" TargetMode="External"/><Relationship Id="rId2287" Type="http://schemas.openxmlformats.org/officeDocument/2006/relationships/hyperlink" Target="https://youtu.be/G3WjUrEsVKg" TargetMode="External"/><Relationship Id="rId366" Type="http://schemas.openxmlformats.org/officeDocument/2006/relationships/hyperlink" Target="https://www.youtube.com/watch?v=lQNz89G-BvI" TargetMode="External"/><Relationship Id="rId2288" Type="http://schemas.openxmlformats.org/officeDocument/2006/relationships/hyperlink" Target="https://youtu.be/j6SHXKT0f48" TargetMode="External"/><Relationship Id="rId365" Type="http://schemas.openxmlformats.org/officeDocument/2006/relationships/hyperlink" Target="https://www.youtube.com/watch?v=7SBM9MhC9qg" TargetMode="External"/><Relationship Id="rId2289" Type="http://schemas.openxmlformats.org/officeDocument/2006/relationships/hyperlink" Target="https://www.twitch.tv/videos/1651903544" TargetMode="External"/><Relationship Id="rId364" Type="http://schemas.openxmlformats.org/officeDocument/2006/relationships/hyperlink" Target="https://www.youtube.com/watch?v=dimOSlcvJ-4&amp;feature=youtu.be" TargetMode="External"/><Relationship Id="rId95" Type="http://schemas.openxmlformats.org/officeDocument/2006/relationships/hyperlink" Target="https://youtu.be/nldlGzV9RIU" TargetMode="External"/><Relationship Id="rId94" Type="http://schemas.openxmlformats.org/officeDocument/2006/relationships/hyperlink" Target="https://youtu.be/JhvU1TWLahM" TargetMode="External"/><Relationship Id="rId97" Type="http://schemas.openxmlformats.org/officeDocument/2006/relationships/hyperlink" Target="https://www.youtube.com/watch?v=JMgpL18OkRA" TargetMode="External"/><Relationship Id="rId96" Type="http://schemas.openxmlformats.org/officeDocument/2006/relationships/hyperlink" Target="https://youtu.be/VpDpXIp4JRo" TargetMode="External"/><Relationship Id="rId99" Type="http://schemas.openxmlformats.org/officeDocument/2006/relationships/hyperlink" Target="https://www.youtube.com/watch?v=U46Vl1ps5ME" TargetMode="External"/><Relationship Id="rId98" Type="http://schemas.openxmlformats.org/officeDocument/2006/relationships/hyperlink" Target="https://youtu.be/4QAeFO8iq_Q" TargetMode="External"/><Relationship Id="rId91" Type="http://schemas.openxmlformats.org/officeDocument/2006/relationships/hyperlink" Target="https://www.youtube.com/watch?v=P8XlII5fBY0" TargetMode="External"/><Relationship Id="rId90" Type="http://schemas.openxmlformats.org/officeDocument/2006/relationships/hyperlink" Target="https://www.youtube.com/watch?v=nGP6t-NXKwA" TargetMode="External"/><Relationship Id="rId93" Type="http://schemas.openxmlformats.org/officeDocument/2006/relationships/hyperlink" Target="https://www.youtube.com/watch?v=wOflOf-IdUc" TargetMode="External"/><Relationship Id="rId92" Type="http://schemas.openxmlformats.org/officeDocument/2006/relationships/hyperlink" Target="https://www.youtube.com/watch?v=shtKgeVKmC4" TargetMode="External"/><Relationship Id="rId359" Type="http://schemas.openxmlformats.org/officeDocument/2006/relationships/hyperlink" Target="https://www.youtube.com/watch?v=cX3DCVgALD0" TargetMode="External"/><Relationship Id="rId358" Type="http://schemas.openxmlformats.org/officeDocument/2006/relationships/hyperlink" Target="https://www.youtube.com/watch?v=V6r0YWOM-uY" TargetMode="External"/><Relationship Id="rId357" Type="http://schemas.openxmlformats.org/officeDocument/2006/relationships/hyperlink" Target="https://www.youtube.com/watch?v=MFVHW0ADXmY" TargetMode="External"/><Relationship Id="rId2270" Type="http://schemas.openxmlformats.org/officeDocument/2006/relationships/hyperlink" Target="https://www.youtube.com/watch?v=DG1LDwb4Jec" TargetMode="External"/><Relationship Id="rId2271" Type="http://schemas.openxmlformats.org/officeDocument/2006/relationships/hyperlink" Target="https://youtu.be/apolFlshne0" TargetMode="External"/><Relationship Id="rId352" Type="http://schemas.openxmlformats.org/officeDocument/2006/relationships/hyperlink" Target="https://www.youtube.com/watch?v=Tk9VjIJQ-1k" TargetMode="External"/><Relationship Id="rId2272" Type="http://schemas.openxmlformats.org/officeDocument/2006/relationships/hyperlink" Target="https://www.youtube.com/watch?v=IQdhRYyb4go" TargetMode="External"/><Relationship Id="rId351" Type="http://schemas.openxmlformats.org/officeDocument/2006/relationships/hyperlink" Target="https://www.youtube.com/watch?v=NgIAeUffIIM" TargetMode="External"/><Relationship Id="rId2273" Type="http://schemas.openxmlformats.org/officeDocument/2006/relationships/hyperlink" Target="https://www.twitch.tv/videos/2089748835" TargetMode="External"/><Relationship Id="rId350" Type="http://schemas.openxmlformats.org/officeDocument/2006/relationships/hyperlink" Target="https://www.youtube.com/watch?v=gZkHTaawY-o" TargetMode="External"/><Relationship Id="rId2274" Type="http://schemas.openxmlformats.org/officeDocument/2006/relationships/hyperlink" Target="https://www.youtube.com/watch?v=8MZcBH_4zRM" TargetMode="External"/><Relationship Id="rId2275" Type="http://schemas.openxmlformats.org/officeDocument/2006/relationships/hyperlink" Target="https://www.twitch.tv/videos/2086180287" TargetMode="External"/><Relationship Id="rId356" Type="http://schemas.openxmlformats.org/officeDocument/2006/relationships/hyperlink" Target="https://www.youtube.com/watch?v=_FHFVGV-IGc" TargetMode="External"/><Relationship Id="rId2276" Type="http://schemas.openxmlformats.org/officeDocument/2006/relationships/hyperlink" Target="https://youtu.be/kBysVz24GJc" TargetMode="External"/><Relationship Id="rId355" Type="http://schemas.openxmlformats.org/officeDocument/2006/relationships/hyperlink" Target="https://www.youtube.com/watch?v=TDJ4LbTilA4" TargetMode="External"/><Relationship Id="rId2277" Type="http://schemas.openxmlformats.org/officeDocument/2006/relationships/hyperlink" Target="https://www.youtube.com/watch?v=JT_0IttOlXY" TargetMode="External"/><Relationship Id="rId354" Type="http://schemas.openxmlformats.org/officeDocument/2006/relationships/hyperlink" Target="https://www.youtube.com/watch?v=XMRpY7tz6EM" TargetMode="External"/><Relationship Id="rId2278" Type="http://schemas.openxmlformats.org/officeDocument/2006/relationships/hyperlink" Target="https://www.twitch.tv/videos/1651905514" TargetMode="External"/><Relationship Id="rId353" Type="http://schemas.openxmlformats.org/officeDocument/2006/relationships/hyperlink" Target="https://www.youtube.com/watch?v=ilyBJ1U42I8" TargetMode="External"/><Relationship Id="rId2279" Type="http://schemas.openxmlformats.org/officeDocument/2006/relationships/hyperlink" Target="https://www.twitch.tv/videos/1547247506" TargetMode="External"/><Relationship Id="rId2225" Type="http://schemas.openxmlformats.org/officeDocument/2006/relationships/hyperlink" Target="https://youtu.be/UvWYrs7a1P8" TargetMode="External"/><Relationship Id="rId3557" Type="http://schemas.openxmlformats.org/officeDocument/2006/relationships/hyperlink" Target="https://youtu.be/kcpgliFaAd4" TargetMode="External"/><Relationship Id="rId2226" Type="http://schemas.openxmlformats.org/officeDocument/2006/relationships/hyperlink" Target="https://youtu.be/LD5cXx40AIs" TargetMode="External"/><Relationship Id="rId3556" Type="http://schemas.openxmlformats.org/officeDocument/2006/relationships/hyperlink" Target="https://www.twitch.tv/quartersno/clip/EnjoyableThirstyDragonflyMVGame-4U8fHfrvNfUVxiSW" TargetMode="External"/><Relationship Id="rId2227" Type="http://schemas.openxmlformats.org/officeDocument/2006/relationships/hyperlink" Target="https://youtu.be/_ay0-XMIuGI" TargetMode="External"/><Relationship Id="rId3559" Type="http://schemas.openxmlformats.org/officeDocument/2006/relationships/hyperlink" Target="https://youtu.be/ZAinYSFi65U" TargetMode="External"/><Relationship Id="rId2228" Type="http://schemas.openxmlformats.org/officeDocument/2006/relationships/hyperlink" Target="https://youtu.be/E7duJnxjEgk" TargetMode="External"/><Relationship Id="rId3558" Type="http://schemas.openxmlformats.org/officeDocument/2006/relationships/hyperlink" Target="https://youtu.be/F9fnwieEZ7E?t=6" TargetMode="External"/><Relationship Id="rId2229" Type="http://schemas.openxmlformats.org/officeDocument/2006/relationships/hyperlink" Target="https://youtu.be/oIuzjQeQ2A4" TargetMode="External"/><Relationship Id="rId305" Type="http://schemas.openxmlformats.org/officeDocument/2006/relationships/hyperlink" Target="https://youtu.be/S6rx7OeyoNc" TargetMode="External"/><Relationship Id="rId304" Type="http://schemas.openxmlformats.org/officeDocument/2006/relationships/hyperlink" Target="https://youtu.be/WyyK6XmDHSc" TargetMode="External"/><Relationship Id="rId303" Type="http://schemas.openxmlformats.org/officeDocument/2006/relationships/hyperlink" Target="https://youtu.be/kGffT2ujSeo" TargetMode="External"/><Relationship Id="rId302" Type="http://schemas.openxmlformats.org/officeDocument/2006/relationships/hyperlink" Target="https://youtu.be/HowSDaSMFIE" TargetMode="External"/><Relationship Id="rId309" Type="http://schemas.openxmlformats.org/officeDocument/2006/relationships/hyperlink" Target="https://youtu.be/3gZGJleVmGA" TargetMode="External"/><Relationship Id="rId308" Type="http://schemas.openxmlformats.org/officeDocument/2006/relationships/hyperlink" Target="https://youtu.be/oxJ0Xnh8HBI" TargetMode="External"/><Relationship Id="rId307" Type="http://schemas.openxmlformats.org/officeDocument/2006/relationships/hyperlink" Target="https://youtu.be/tFgAtSSQHpQ" TargetMode="External"/><Relationship Id="rId306" Type="http://schemas.openxmlformats.org/officeDocument/2006/relationships/hyperlink" Target="https://youtu.be/NQHkrlJWTbA" TargetMode="External"/><Relationship Id="rId3551" Type="http://schemas.openxmlformats.org/officeDocument/2006/relationships/hyperlink" Target="https://youtu.be/LY9deOtKS9c" TargetMode="External"/><Relationship Id="rId2220" Type="http://schemas.openxmlformats.org/officeDocument/2006/relationships/hyperlink" Target="https://www.youtube.com/watch?v=EQhG0xguGg4" TargetMode="External"/><Relationship Id="rId3550" Type="http://schemas.openxmlformats.org/officeDocument/2006/relationships/hyperlink" Target="https://youtu.be/wLlMPVmnSJQ?si=ivdMiMV6r6mPAq48" TargetMode="External"/><Relationship Id="rId301" Type="http://schemas.openxmlformats.org/officeDocument/2006/relationships/hyperlink" Target="https://youtu.be/EiHxWnXedO4" TargetMode="External"/><Relationship Id="rId2221" Type="http://schemas.openxmlformats.org/officeDocument/2006/relationships/hyperlink" Target="https://www.twitch.tv/videos/2000660750" TargetMode="External"/><Relationship Id="rId3553" Type="http://schemas.openxmlformats.org/officeDocument/2006/relationships/hyperlink" Target="https://youtu.be/fdLppy_NAmk" TargetMode="External"/><Relationship Id="rId300" Type="http://schemas.openxmlformats.org/officeDocument/2006/relationships/hyperlink" Target="https://youtu.be/k2-gALT5F4k" TargetMode="External"/><Relationship Id="rId2222" Type="http://schemas.openxmlformats.org/officeDocument/2006/relationships/hyperlink" Target="https://www.youtube.com/watch?v=HKjmHZtq7B4&amp;list=PLuEe1wxFuraf-vTktPiXCnyGs-BwkntpZ&amp;index=5" TargetMode="External"/><Relationship Id="rId3552" Type="http://schemas.openxmlformats.org/officeDocument/2006/relationships/hyperlink" Target="https://youtu.be/AkwOvcjPAek?si=SA1gnny5ro0CgERi" TargetMode="External"/><Relationship Id="rId2223" Type="http://schemas.openxmlformats.org/officeDocument/2006/relationships/hyperlink" Target="https://youtu.be/DquCdn1ZAX4" TargetMode="External"/><Relationship Id="rId3555" Type="http://schemas.openxmlformats.org/officeDocument/2006/relationships/hyperlink" Target="https://youtu.be/s9ujpa-YSnc?si=ZcvXd6-ZJSVuO48u" TargetMode="External"/><Relationship Id="rId2224" Type="http://schemas.openxmlformats.org/officeDocument/2006/relationships/hyperlink" Target="https://clips.twitch.tv/FitDifferentFoxCclamChamp-3N4Ne6ByBkTgYaFj" TargetMode="External"/><Relationship Id="rId3554" Type="http://schemas.openxmlformats.org/officeDocument/2006/relationships/hyperlink" Target="https://youtu.be/7M6KJaNmgjs" TargetMode="External"/><Relationship Id="rId2214" Type="http://schemas.openxmlformats.org/officeDocument/2006/relationships/hyperlink" Target="https://www.youtube.com/watch?v=Fv-4yurqC-g" TargetMode="External"/><Relationship Id="rId3546" Type="http://schemas.openxmlformats.org/officeDocument/2006/relationships/hyperlink" Target="https://www.twitch.tv/quartersno/clip/BenevolentGloriousCobblerRaccAttack-lfzdzl96PqrPSqnP" TargetMode="External"/><Relationship Id="rId2215" Type="http://schemas.openxmlformats.org/officeDocument/2006/relationships/hyperlink" Target="https://www.youtube.com/watch?v=VlwNLQOESd8" TargetMode="External"/><Relationship Id="rId3545" Type="http://schemas.openxmlformats.org/officeDocument/2006/relationships/hyperlink" Target="https://youtu.be/394xFxpvkYw" TargetMode="External"/><Relationship Id="rId2216" Type="http://schemas.openxmlformats.org/officeDocument/2006/relationships/hyperlink" Target="https://www.youtube.com/watch?v=KkA-9C3rjQg" TargetMode="External"/><Relationship Id="rId3548" Type="http://schemas.openxmlformats.org/officeDocument/2006/relationships/hyperlink" Target="https://youtu.be/RAW1TjecBxE?t=6" TargetMode="External"/><Relationship Id="rId2217" Type="http://schemas.openxmlformats.org/officeDocument/2006/relationships/hyperlink" Target="https://www.youtube.com/watch?v=CKO1ztvb6qY" TargetMode="External"/><Relationship Id="rId3547" Type="http://schemas.openxmlformats.org/officeDocument/2006/relationships/hyperlink" Target="https://youtu.be/cOth8i2Z9Jg" TargetMode="External"/><Relationship Id="rId2218" Type="http://schemas.openxmlformats.org/officeDocument/2006/relationships/hyperlink" Target="https://www.youtube.com/watch?v=zMy9VoRdNHU" TargetMode="External"/><Relationship Id="rId2219" Type="http://schemas.openxmlformats.org/officeDocument/2006/relationships/hyperlink" Target="https://www.youtube.com/watch?v=ujhGmBaNq68" TargetMode="External"/><Relationship Id="rId3549" Type="http://schemas.openxmlformats.org/officeDocument/2006/relationships/hyperlink" Target="https://youtu.be/BRJoIrstX68" TargetMode="External"/><Relationship Id="rId3540" Type="http://schemas.openxmlformats.org/officeDocument/2006/relationships/hyperlink" Target="https://youtu.be/kKohsYQtOI8?si=WaezbMXeoMihLmh9" TargetMode="External"/><Relationship Id="rId2210" Type="http://schemas.openxmlformats.org/officeDocument/2006/relationships/hyperlink" Target="https://www.twitch.tv/videos/440754616" TargetMode="External"/><Relationship Id="rId3542" Type="http://schemas.openxmlformats.org/officeDocument/2006/relationships/hyperlink" Target="https://youtu.be/HAcEFJYINY0" TargetMode="External"/><Relationship Id="rId2211" Type="http://schemas.openxmlformats.org/officeDocument/2006/relationships/hyperlink" Target="https://www.twitch.tv/videos/2072956962" TargetMode="External"/><Relationship Id="rId3541" Type="http://schemas.openxmlformats.org/officeDocument/2006/relationships/hyperlink" Target="https://youtu.be/rlmKfMAgx1M?si=Pq7OiHYp9COtPfGa" TargetMode="External"/><Relationship Id="rId2212" Type="http://schemas.openxmlformats.org/officeDocument/2006/relationships/hyperlink" Target="https://youtu.be/AJwz_2tragA" TargetMode="External"/><Relationship Id="rId3544" Type="http://schemas.openxmlformats.org/officeDocument/2006/relationships/hyperlink" Target="https://youtu.be/w__8xHsdb0c" TargetMode="External"/><Relationship Id="rId2213" Type="http://schemas.openxmlformats.org/officeDocument/2006/relationships/hyperlink" Target="https://youtu.be/yeK1yD_-DtY" TargetMode="External"/><Relationship Id="rId3543" Type="http://schemas.openxmlformats.org/officeDocument/2006/relationships/hyperlink" Target="https://youtu.be/NrpDqUoT6ug?si=TRQrCZbTwenZq-nX" TargetMode="External"/><Relationship Id="rId2247" Type="http://schemas.openxmlformats.org/officeDocument/2006/relationships/hyperlink" Target="https://www.youtube.com/watch?v=oZLJ3W-pK-Y" TargetMode="External"/><Relationship Id="rId3579" Type="http://schemas.openxmlformats.org/officeDocument/2006/relationships/hyperlink" Target="https://youtu.be/LiwLiOUcQUk?si=82uxsnY6mEOtMqNp" TargetMode="External"/><Relationship Id="rId2248" Type="http://schemas.openxmlformats.org/officeDocument/2006/relationships/hyperlink" Target="https://www.youtube.com/watch?v=sQecJPnDU1I" TargetMode="External"/><Relationship Id="rId3578" Type="http://schemas.openxmlformats.org/officeDocument/2006/relationships/hyperlink" Target="https://youtu.be/TNNx92KdoxE?si=ZmOhgRhH18sErn0B" TargetMode="External"/><Relationship Id="rId2249" Type="http://schemas.openxmlformats.org/officeDocument/2006/relationships/hyperlink" Target="https://www.youtube.com/watch?v=ZFa06OrUqHg" TargetMode="External"/><Relationship Id="rId327" Type="http://schemas.openxmlformats.org/officeDocument/2006/relationships/hyperlink" Target="https://www.youtube.com/watch?v=yPfZFiiYmFI" TargetMode="External"/><Relationship Id="rId326" Type="http://schemas.openxmlformats.org/officeDocument/2006/relationships/hyperlink" Target="https://youtu.be/EXsPq7zQbDk" TargetMode="External"/><Relationship Id="rId325" Type="http://schemas.openxmlformats.org/officeDocument/2006/relationships/hyperlink" Target="https://youtu.be/WDKpaixsbDM" TargetMode="External"/><Relationship Id="rId324" Type="http://schemas.openxmlformats.org/officeDocument/2006/relationships/hyperlink" Target="https://youtu.be/dftARNqmc0o" TargetMode="External"/><Relationship Id="rId329" Type="http://schemas.openxmlformats.org/officeDocument/2006/relationships/hyperlink" Target="https://www.youtube.com/watch?v=VR2FKHJeShE" TargetMode="External"/><Relationship Id="rId328" Type="http://schemas.openxmlformats.org/officeDocument/2006/relationships/hyperlink" Target="https://www.youtube.com/watch?v=PL1DDx5o-B4" TargetMode="External"/><Relationship Id="rId3571" Type="http://schemas.openxmlformats.org/officeDocument/2006/relationships/hyperlink" Target="https://youtu.be/UcKJoqxU3e0?si=VQQ2deEi6_Zyh6Hz" TargetMode="External"/><Relationship Id="rId2240" Type="http://schemas.openxmlformats.org/officeDocument/2006/relationships/hyperlink" Target="https://www.youtube.com/watch?v=bAsS7mmLMSw" TargetMode="External"/><Relationship Id="rId3570" Type="http://schemas.openxmlformats.org/officeDocument/2006/relationships/hyperlink" Target="https://youtu.be/3qz5HLTgw3U" TargetMode="External"/><Relationship Id="rId2241" Type="http://schemas.openxmlformats.org/officeDocument/2006/relationships/hyperlink" Target="https://www.youtube.com/watch?v=jVtV_vf_aSs" TargetMode="External"/><Relationship Id="rId3573" Type="http://schemas.openxmlformats.org/officeDocument/2006/relationships/hyperlink" Target="https://youtu.be/JA8zPb_sJUI" TargetMode="External"/><Relationship Id="rId2242" Type="http://schemas.openxmlformats.org/officeDocument/2006/relationships/hyperlink" Target="https://youtu.be/qxeCndHumF8" TargetMode="External"/><Relationship Id="rId3572" Type="http://schemas.openxmlformats.org/officeDocument/2006/relationships/hyperlink" Target="https://youtu.be/0VoHWs-0TQw" TargetMode="External"/><Relationship Id="rId323" Type="http://schemas.openxmlformats.org/officeDocument/2006/relationships/hyperlink" Target="https://youtu.be/ucu5JrvPfZ0" TargetMode="External"/><Relationship Id="rId2243" Type="http://schemas.openxmlformats.org/officeDocument/2006/relationships/hyperlink" Target="https://www.youtube.com/watch?v=qtUWEv-BFmM" TargetMode="External"/><Relationship Id="rId3575" Type="http://schemas.openxmlformats.org/officeDocument/2006/relationships/hyperlink" Target="https://youtu.be/MGFeKWE-RkA" TargetMode="External"/><Relationship Id="rId322" Type="http://schemas.openxmlformats.org/officeDocument/2006/relationships/hyperlink" Target="https://youtu.be/Z8NnmkZBfzk" TargetMode="External"/><Relationship Id="rId2244" Type="http://schemas.openxmlformats.org/officeDocument/2006/relationships/hyperlink" Target="https://www.twitch.tv/videos/2076577181" TargetMode="External"/><Relationship Id="rId3574" Type="http://schemas.openxmlformats.org/officeDocument/2006/relationships/hyperlink" Target="https://youtu.be/s7KwjQLw1kU" TargetMode="External"/><Relationship Id="rId321" Type="http://schemas.openxmlformats.org/officeDocument/2006/relationships/hyperlink" Target="https://youtu.be/Gw0JGs9yQCI" TargetMode="External"/><Relationship Id="rId2245" Type="http://schemas.openxmlformats.org/officeDocument/2006/relationships/hyperlink" Target="https://www.twitch.tv/videos/2077977065" TargetMode="External"/><Relationship Id="rId3577" Type="http://schemas.openxmlformats.org/officeDocument/2006/relationships/hyperlink" Target="https://youtu.be/lPkvTZpTvMI?t=8" TargetMode="External"/><Relationship Id="rId320" Type="http://schemas.openxmlformats.org/officeDocument/2006/relationships/hyperlink" Target="https://youtu.be/zg0fWwfaVD8" TargetMode="External"/><Relationship Id="rId2246" Type="http://schemas.openxmlformats.org/officeDocument/2006/relationships/hyperlink" Target="https://youtu.be/jiuBMD5rShM" TargetMode="External"/><Relationship Id="rId3576" Type="http://schemas.openxmlformats.org/officeDocument/2006/relationships/hyperlink" Target="https://youtu.be/T9JOn5dgSlg?t=6" TargetMode="External"/><Relationship Id="rId2236" Type="http://schemas.openxmlformats.org/officeDocument/2006/relationships/hyperlink" Target="https://clips.twitch.tv/TastyAthleticKoupreyPraiseIt-WOEibJZYzECR3djQ" TargetMode="External"/><Relationship Id="rId3568" Type="http://schemas.openxmlformats.org/officeDocument/2006/relationships/hyperlink" Target="https://youtu.be/x4u9dM-1WIo?si=3h3YYaB-NzObFQ1W" TargetMode="External"/><Relationship Id="rId2237" Type="http://schemas.openxmlformats.org/officeDocument/2006/relationships/hyperlink" Target="https://www.youtube.com/watch?v=OGFYgynHIKU" TargetMode="External"/><Relationship Id="rId3567" Type="http://schemas.openxmlformats.org/officeDocument/2006/relationships/hyperlink" Target="https://youtu.be/QJJjwl-vh1Y?si=zvE4fVP63m5sUtBD" TargetMode="External"/><Relationship Id="rId2238" Type="http://schemas.openxmlformats.org/officeDocument/2006/relationships/hyperlink" Target="https://youtu.be/KnAOuUWvMw0" TargetMode="External"/><Relationship Id="rId2239" Type="http://schemas.openxmlformats.org/officeDocument/2006/relationships/hyperlink" Target="https://youtu.be/ih72PfgTrlQ" TargetMode="External"/><Relationship Id="rId3569" Type="http://schemas.openxmlformats.org/officeDocument/2006/relationships/hyperlink" Target="https://www.twitch.tv/quartersno/clip/LazyArborealSushiDoritosChip-RDX8quQAsxY2eJ_7" TargetMode="External"/><Relationship Id="rId316" Type="http://schemas.openxmlformats.org/officeDocument/2006/relationships/hyperlink" Target="https://youtu.be/htwaLRrZqCI" TargetMode="External"/><Relationship Id="rId315" Type="http://schemas.openxmlformats.org/officeDocument/2006/relationships/hyperlink" Target="https://youtu.be/ePKicNz41Lw" TargetMode="External"/><Relationship Id="rId314" Type="http://schemas.openxmlformats.org/officeDocument/2006/relationships/hyperlink" Target="https://youtu.be/VeCBsSFr-48" TargetMode="External"/><Relationship Id="rId313" Type="http://schemas.openxmlformats.org/officeDocument/2006/relationships/hyperlink" Target="https://youtu.be/S4f-fNJwrJk" TargetMode="External"/><Relationship Id="rId319" Type="http://schemas.openxmlformats.org/officeDocument/2006/relationships/hyperlink" Target="https://youtu.be/Igz6s7GIEoI" TargetMode="External"/><Relationship Id="rId318" Type="http://schemas.openxmlformats.org/officeDocument/2006/relationships/hyperlink" Target="https://youtu.be/BgRRC2ZDtDo" TargetMode="External"/><Relationship Id="rId317" Type="http://schemas.openxmlformats.org/officeDocument/2006/relationships/hyperlink" Target="https://youtu.be/uQ2MK3vcz-o" TargetMode="External"/><Relationship Id="rId3560" Type="http://schemas.openxmlformats.org/officeDocument/2006/relationships/hyperlink" Target="https://youtu.be/R_WzW5NJHNg" TargetMode="External"/><Relationship Id="rId2230" Type="http://schemas.openxmlformats.org/officeDocument/2006/relationships/hyperlink" Target="https://www.youtube.com/watch?v=QLVkVOPhqzM" TargetMode="External"/><Relationship Id="rId3562" Type="http://schemas.openxmlformats.org/officeDocument/2006/relationships/hyperlink" Target="https://www.twitch.tv/quartersno/clip/DignifiedInnocentElkJKanStyle-AnstJT0Ztir81U23" TargetMode="External"/><Relationship Id="rId2231" Type="http://schemas.openxmlformats.org/officeDocument/2006/relationships/hyperlink" Target="https://www.youtube.com/watch?v=w3Ir2nuNC2Q" TargetMode="External"/><Relationship Id="rId3561" Type="http://schemas.openxmlformats.org/officeDocument/2006/relationships/hyperlink" Target="https://youtu.be/naWvWKSKObs?si=RXUdnHNrM_cH1mv9" TargetMode="External"/><Relationship Id="rId312" Type="http://schemas.openxmlformats.org/officeDocument/2006/relationships/hyperlink" Target="https://youtu.be/Sv-Eoz1gX6M" TargetMode="External"/><Relationship Id="rId2232" Type="http://schemas.openxmlformats.org/officeDocument/2006/relationships/hyperlink" Target="https://www.youtube.com/watch?v=OwJKYBfvHIQ" TargetMode="External"/><Relationship Id="rId3564" Type="http://schemas.openxmlformats.org/officeDocument/2006/relationships/hyperlink" Target="https://www.twitch.tv/quarters_no/clip/ResilientCalmPancake4Head-74KL9EEE9YwD_kv7" TargetMode="External"/><Relationship Id="rId311" Type="http://schemas.openxmlformats.org/officeDocument/2006/relationships/hyperlink" Target="https://youtu.be/Br9-cTMTKWE" TargetMode="External"/><Relationship Id="rId2233" Type="http://schemas.openxmlformats.org/officeDocument/2006/relationships/hyperlink" Target="https://www.youtube.com/watch?v=wMjK_tW3PTU" TargetMode="External"/><Relationship Id="rId3563" Type="http://schemas.openxmlformats.org/officeDocument/2006/relationships/hyperlink" Target="https://youtu.be/lIQjwqRKvAo?si=ITqOmv3zXj5gLfh9" TargetMode="External"/><Relationship Id="rId310" Type="http://schemas.openxmlformats.org/officeDocument/2006/relationships/hyperlink" Target="https://www.youtube.com/watch?v=t3BIQiGNjfs" TargetMode="External"/><Relationship Id="rId2234" Type="http://schemas.openxmlformats.org/officeDocument/2006/relationships/hyperlink" Target="https://www.youtube.com/watch?v=lPSCrB8Nmy4" TargetMode="External"/><Relationship Id="rId3566" Type="http://schemas.openxmlformats.org/officeDocument/2006/relationships/hyperlink" Target="https://youtu.be/5-Rq_orWQl8?si=1B5vLbFOUr8GZrAJ" TargetMode="External"/><Relationship Id="rId2235" Type="http://schemas.openxmlformats.org/officeDocument/2006/relationships/hyperlink" Target="https://www.youtube.com/watch?v=OoavLSBaCyg" TargetMode="External"/><Relationship Id="rId3565" Type="http://schemas.openxmlformats.org/officeDocument/2006/relationships/hyperlink" Target="https://www.twitch.tv/quartersno/clip/ReliableEagerSpindleRedCoat-pbWdbU3W8X-Xc-zx" TargetMode="External"/><Relationship Id="rId4040" Type="http://schemas.openxmlformats.org/officeDocument/2006/relationships/hyperlink" Target="https://www.youtube.com/watch?v=n6t3ryt15_M&amp;feature=youtu.be" TargetMode="External"/><Relationship Id="rId4042" Type="http://schemas.openxmlformats.org/officeDocument/2006/relationships/hyperlink" Target="https://www.youtube.com/watch?v=4lOtCb_AozM&amp;feature=youtu.be" TargetMode="External"/><Relationship Id="rId4041" Type="http://schemas.openxmlformats.org/officeDocument/2006/relationships/hyperlink" Target="https://www.youtube.com/watch?v=dbu2Wi9biHM&amp;feature=youtu.be" TargetMode="External"/><Relationship Id="rId4044" Type="http://schemas.openxmlformats.org/officeDocument/2006/relationships/hyperlink" Target="https://streamable.com/fsx42y" TargetMode="External"/><Relationship Id="rId4043" Type="http://schemas.openxmlformats.org/officeDocument/2006/relationships/hyperlink" Target="https://streamable.com/ece2zm" TargetMode="External"/><Relationship Id="rId4046" Type="http://schemas.openxmlformats.org/officeDocument/2006/relationships/hyperlink" Target="https://www.twitch.tv/videos/1038648534" TargetMode="External"/><Relationship Id="rId4045" Type="http://schemas.openxmlformats.org/officeDocument/2006/relationships/hyperlink" Target="https://youtu.be/PbuzEBssXKI" TargetMode="External"/><Relationship Id="rId4048" Type="http://schemas.openxmlformats.org/officeDocument/2006/relationships/hyperlink" Target="https://www.youtube.com/watch?v=u5aVDsE4yZs&amp;ab_channel=Trobbin" TargetMode="External"/><Relationship Id="rId4047" Type="http://schemas.openxmlformats.org/officeDocument/2006/relationships/hyperlink" Target="https://www.youtube.com/watch?v=Z4wlm-YC5rk&amp;ab_channel=Trobbin" TargetMode="External"/><Relationship Id="rId4049" Type="http://schemas.openxmlformats.org/officeDocument/2006/relationships/hyperlink" Target="https://clips.twitch.tv/HelpfulRenownedMangoSoBayed-Zs9YC8cIaAL4tKOa" TargetMode="External"/><Relationship Id="rId4031" Type="http://schemas.openxmlformats.org/officeDocument/2006/relationships/hyperlink" Target="https://youtu.be/4rPxyleozvM" TargetMode="External"/><Relationship Id="rId4030" Type="http://schemas.openxmlformats.org/officeDocument/2006/relationships/hyperlink" Target="https://youtu.be/4MSMADxISLE" TargetMode="External"/><Relationship Id="rId297" Type="http://schemas.openxmlformats.org/officeDocument/2006/relationships/hyperlink" Target="https://youtu.be/hOhXb3Gq06o" TargetMode="External"/><Relationship Id="rId4033" Type="http://schemas.openxmlformats.org/officeDocument/2006/relationships/hyperlink" Target="https://youtu.be/Qym3rnWucfc" TargetMode="External"/><Relationship Id="rId296" Type="http://schemas.openxmlformats.org/officeDocument/2006/relationships/hyperlink" Target="https://youtu.be/pOcnQTxpOhg" TargetMode="External"/><Relationship Id="rId4032" Type="http://schemas.openxmlformats.org/officeDocument/2006/relationships/hyperlink" Target="https://youtu.be/HtBNhb-7Umg" TargetMode="External"/><Relationship Id="rId295" Type="http://schemas.openxmlformats.org/officeDocument/2006/relationships/hyperlink" Target="https://youtu.be/VcY4LWDnG0k" TargetMode="External"/><Relationship Id="rId4035" Type="http://schemas.openxmlformats.org/officeDocument/2006/relationships/hyperlink" Target="https://youtu.be/l861rB8uKdc" TargetMode="External"/><Relationship Id="rId294" Type="http://schemas.openxmlformats.org/officeDocument/2006/relationships/hyperlink" Target="https://youtu.be/4V34DqQsuxs" TargetMode="External"/><Relationship Id="rId4034" Type="http://schemas.openxmlformats.org/officeDocument/2006/relationships/hyperlink" Target="https://youtu.be/HZnBxf4JU_E" TargetMode="External"/><Relationship Id="rId4037" Type="http://schemas.openxmlformats.org/officeDocument/2006/relationships/hyperlink" Target="https://www.twitch.tv/pksmg2_/clip/DoubtfulAmusedKleeSeemsGood-aazgfPoXoD59ojT1" TargetMode="External"/><Relationship Id="rId4036" Type="http://schemas.openxmlformats.org/officeDocument/2006/relationships/hyperlink" Target="https://youtu.be/bjUyDNhmYzE?si=ZLjV-1_hlM1rN9NU" TargetMode="External"/><Relationship Id="rId299" Type="http://schemas.openxmlformats.org/officeDocument/2006/relationships/hyperlink" Target="https://youtu.be/c99cCXZCmK4" TargetMode="External"/><Relationship Id="rId4039" Type="http://schemas.openxmlformats.org/officeDocument/2006/relationships/hyperlink" Target="https://www.youtube.com/watch?v=lGYLythfgVM&amp;feature=youtu.be" TargetMode="External"/><Relationship Id="rId298" Type="http://schemas.openxmlformats.org/officeDocument/2006/relationships/hyperlink" Target="https://youtu.be/4AJ2L7lXY6Q" TargetMode="External"/><Relationship Id="rId4038" Type="http://schemas.openxmlformats.org/officeDocument/2006/relationships/hyperlink" Target="https://youtu.be/PXw_FPukiME" TargetMode="External"/><Relationship Id="rId4060" Type="http://schemas.openxmlformats.org/officeDocument/2006/relationships/hyperlink" Target="https://www.youtube.com/watch?v=JJYKLDBrWSw" TargetMode="External"/><Relationship Id="rId4062" Type="http://schemas.openxmlformats.org/officeDocument/2006/relationships/hyperlink" Target="https://youtu.be/XBVEJ52O-Ig" TargetMode="External"/><Relationship Id="rId4061" Type="http://schemas.openxmlformats.org/officeDocument/2006/relationships/hyperlink" Target="https://www.youtube.com/watch?v=xJuhZoiiATI" TargetMode="External"/><Relationship Id="rId4064" Type="http://schemas.openxmlformats.org/officeDocument/2006/relationships/hyperlink" Target="https://youtu.be/B0TJgK3u3YU" TargetMode="External"/><Relationship Id="rId4063" Type="http://schemas.openxmlformats.org/officeDocument/2006/relationships/hyperlink" Target="https://youtu.be/bOCD0sn133s" TargetMode="External"/><Relationship Id="rId4066" Type="http://schemas.openxmlformats.org/officeDocument/2006/relationships/hyperlink" Target="https://youtu.be/2EOO7jxsV5U" TargetMode="External"/><Relationship Id="rId4065" Type="http://schemas.openxmlformats.org/officeDocument/2006/relationships/hyperlink" Target="https://youtu.be/FShD6HLIKGY" TargetMode="External"/><Relationship Id="rId4068" Type="http://schemas.openxmlformats.org/officeDocument/2006/relationships/hyperlink" Target="https://youtu.be/rbfx7hopa4Y" TargetMode="External"/><Relationship Id="rId4067" Type="http://schemas.openxmlformats.org/officeDocument/2006/relationships/hyperlink" Target="https://youtu.be/tJyF6A_P4cw" TargetMode="External"/><Relationship Id="rId4069" Type="http://schemas.openxmlformats.org/officeDocument/2006/relationships/hyperlink" Target="https://youtu.be/ODe_uhQOVmw" TargetMode="External"/><Relationship Id="rId4051" Type="http://schemas.openxmlformats.org/officeDocument/2006/relationships/hyperlink" Target="https://www.youtube.com/watch?v=dOCaFHQS77I&amp;ab_channel=Trobbin" TargetMode="External"/><Relationship Id="rId4050" Type="http://schemas.openxmlformats.org/officeDocument/2006/relationships/hyperlink" Target="https://www.youtube.com/watch?v=l-imREf_VJU&amp;list=PLH8CCpX902G8-DFOg7YgVOyqIefxKmrqU&amp;index=2&amp;ab_channel=Trobbin" TargetMode="External"/><Relationship Id="rId4053" Type="http://schemas.openxmlformats.org/officeDocument/2006/relationships/hyperlink" Target="https://www.youtube.com/watch?v=g9Q1066yuWk&amp;list=PLH8CCpX902G8-DFOg7YgVOyqIefxKmrqU&amp;index=12&amp;ab_channel=Trobbin" TargetMode="External"/><Relationship Id="rId4052" Type="http://schemas.openxmlformats.org/officeDocument/2006/relationships/hyperlink" Target="https://www.youtube.com/watch?v=bymG0fP87Kc&amp;list=PLH8CCpX902G8-DFOg7YgVOyqIefxKmrqU&amp;index=5&amp;ab_channel=Trobbin" TargetMode="External"/><Relationship Id="rId4055" Type="http://schemas.openxmlformats.org/officeDocument/2006/relationships/hyperlink" Target="https://youtu.be/ebTMHKAw-uM" TargetMode="External"/><Relationship Id="rId4054" Type="http://schemas.openxmlformats.org/officeDocument/2006/relationships/hyperlink" Target="https://youtu.be/H2EFLjh19V8" TargetMode="External"/><Relationship Id="rId4057" Type="http://schemas.openxmlformats.org/officeDocument/2006/relationships/hyperlink" Target="https://www.youtube.com/watch?v=9yjWNlcF8pA" TargetMode="External"/><Relationship Id="rId4056" Type="http://schemas.openxmlformats.org/officeDocument/2006/relationships/hyperlink" Target="https://www.youtube.com/watch?v=_fuGO3wdf_c" TargetMode="External"/><Relationship Id="rId4059" Type="http://schemas.openxmlformats.org/officeDocument/2006/relationships/hyperlink" Target="https://www.youtube.com/watch?v=pI5iMtqB7BU" TargetMode="External"/><Relationship Id="rId4058" Type="http://schemas.openxmlformats.org/officeDocument/2006/relationships/hyperlink" Target="https://www.youtube.com/watch?v=uRlpI4FPxow" TargetMode="External"/><Relationship Id="rId4008" Type="http://schemas.openxmlformats.org/officeDocument/2006/relationships/hyperlink" Target="https://youtu.be/XECoTk_c05M" TargetMode="External"/><Relationship Id="rId4007" Type="http://schemas.openxmlformats.org/officeDocument/2006/relationships/hyperlink" Target="https://youtu.be/2pdrTGGpy2s" TargetMode="External"/><Relationship Id="rId4009" Type="http://schemas.openxmlformats.org/officeDocument/2006/relationships/hyperlink" Target="https://youtu.be/7DKS_xqCH8A" TargetMode="External"/><Relationship Id="rId271" Type="http://schemas.openxmlformats.org/officeDocument/2006/relationships/hyperlink" Target="https://youtu.be/HPd1Qy9RgCo" TargetMode="External"/><Relationship Id="rId270" Type="http://schemas.openxmlformats.org/officeDocument/2006/relationships/hyperlink" Target="https://youtu.be/JiB9FQJ_B1g" TargetMode="External"/><Relationship Id="rId269" Type="http://schemas.openxmlformats.org/officeDocument/2006/relationships/hyperlink" Target="https://youtu.be/GHfsq9tWO0o" TargetMode="External"/><Relationship Id="rId264" Type="http://schemas.openxmlformats.org/officeDocument/2006/relationships/hyperlink" Target="https://youtu.be/fMTZM7TZybE" TargetMode="External"/><Relationship Id="rId4000" Type="http://schemas.openxmlformats.org/officeDocument/2006/relationships/hyperlink" Target="https://youtu.be/qhvHHeJ6c_8" TargetMode="External"/><Relationship Id="rId263" Type="http://schemas.openxmlformats.org/officeDocument/2006/relationships/hyperlink" Target="https://youtu.be/mPUs7tCkBAs" TargetMode="External"/><Relationship Id="rId262" Type="http://schemas.openxmlformats.org/officeDocument/2006/relationships/hyperlink" Target="https://youtu.be/JZ6EKVHuUMs" TargetMode="External"/><Relationship Id="rId4002" Type="http://schemas.openxmlformats.org/officeDocument/2006/relationships/hyperlink" Target="https://youtu.be/WEi5En16ras" TargetMode="External"/><Relationship Id="rId261" Type="http://schemas.openxmlformats.org/officeDocument/2006/relationships/hyperlink" Target="https://youtu.be/Cm5YKvPwH68" TargetMode="External"/><Relationship Id="rId4001" Type="http://schemas.openxmlformats.org/officeDocument/2006/relationships/hyperlink" Target="https://youtu.be/1dW06SPmkiU" TargetMode="External"/><Relationship Id="rId268" Type="http://schemas.openxmlformats.org/officeDocument/2006/relationships/hyperlink" Target="https://youtu.be/lF5I-rNolbY" TargetMode="External"/><Relationship Id="rId4004" Type="http://schemas.openxmlformats.org/officeDocument/2006/relationships/hyperlink" Target="https://youtu.be/P9VWSfZRdZ8" TargetMode="External"/><Relationship Id="rId267" Type="http://schemas.openxmlformats.org/officeDocument/2006/relationships/hyperlink" Target="https://youtu.be/FF63DIA_80g" TargetMode="External"/><Relationship Id="rId4003" Type="http://schemas.openxmlformats.org/officeDocument/2006/relationships/hyperlink" Target="https://youtu.be/aROk5J96rU0" TargetMode="External"/><Relationship Id="rId266" Type="http://schemas.openxmlformats.org/officeDocument/2006/relationships/hyperlink" Target="https://youtu.be/616RKFgz2l8" TargetMode="External"/><Relationship Id="rId4006" Type="http://schemas.openxmlformats.org/officeDocument/2006/relationships/hyperlink" Target="https://youtu.be/M0zcfBzYqS0" TargetMode="External"/><Relationship Id="rId265" Type="http://schemas.openxmlformats.org/officeDocument/2006/relationships/hyperlink" Target="https://youtu.be/-8gR58RJ30E" TargetMode="External"/><Relationship Id="rId4005" Type="http://schemas.openxmlformats.org/officeDocument/2006/relationships/hyperlink" Target="https://youtu.be/zLRiS54kMLo" TargetMode="External"/><Relationship Id="rId260" Type="http://schemas.openxmlformats.org/officeDocument/2006/relationships/hyperlink" Target="https://youtu.be/6j9G7lkC15k" TargetMode="External"/><Relationship Id="rId259" Type="http://schemas.openxmlformats.org/officeDocument/2006/relationships/hyperlink" Target="https://youtu.be/dYX0AAiOzlk" TargetMode="External"/><Relationship Id="rId258" Type="http://schemas.openxmlformats.org/officeDocument/2006/relationships/hyperlink" Target="https://youtu.be/sy5yvKdQzBY" TargetMode="External"/><Relationship Id="rId2290" Type="http://schemas.openxmlformats.org/officeDocument/2006/relationships/hyperlink" Target="https://www.twitch.tv/videos/1649161504" TargetMode="External"/><Relationship Id="rId2291" Type="http://schemas.openxmlformats.org/officeDocument/2006/relationships/hyperlink" Target="https://youtu.be/Nq6oB-P6K7Y" TargetMode="External"/><Relationship Id="rId2292" Type="http://schemas.openxmlformats.org/officeDocument/2006/relationships/hyperlink" Target="https://youtu.be/JyuSX4uh4r4" TargetMode="External"/><Relationship Id="rId2293" Type="http://schemas.openxmlformats.org/officeDocument/2006/relationships/hyperlink" Target="https://youtu.be/wo547-VAnMg" TargetMode="External"/><Relationship Id="rId253" Type="http://schemas.openxmlformats.org/officeDocument/2006/relationships/hyperlink" Target="https://youtu.be/moMx3n5CmPg" TargetMode="External"/><Relationship Id="rId2294" Type="http://schemas.openxmlformats.org/officeDocument/2006/relationships/hyperlink" Target="https://www.twitch.tv/videos/1178189455" TargetMode="External"/><Relationship Id="rId252" Type="http://schemas.openxmlformats.org/officeDocument/2006/relationships/hyperlink" Target="https://youtu.be/hzo5AAWDT08" TargetMode="External"/><Relationship Id="rId2295" Type="http://schemas.openxmlformats.org/officeDocument/2006/relationships/hyperlink" Target="https://youtu.be/PRKrY0u5g_M" TargetMode="External"/><Relationship Id="rId251" Type="http://schemas.openxmlformats.org/officeDocument/2006/relationships/hyperlink" Target="https://youtu.be/uW-mEt5bwYc" TargetMode="External"/><Relationship Id="rId2296" Type="http://schemas.openxmlformats.org/officeDocument/2006/relationships/hyperlink" Target="https://www.twitch.tv/videos/1598925780" TargetMode="External"/><Relationship Id="rId250" Type="http://schemas.openxmlformats.org/officeDocument/2006/relationships/hyperlink" Target="https://youtu.be/ar5wJ61WOKw" TargetMode="External"/><Relationship Id="rId2297" Type="http://schemas.openxmlformats.org/officeDocument/2006/relationships/hyperlink" Target="https://www.twitch.tv/videos/1637174708" TargetMode="External"/><Relationship Id="rId257" Type="http://schemas.openxmlformats.org/officeDocument/2006/relationships/hyperlink" Target="https://youtu.be/XxBVxoB7_Gw" TargetMode="External"/><Relationship Id="rId2298" Type="http://schemas.openxmlformats.org/officeDocument/2006/relationships/hyperlink" Target="https://www.youtube.com/watch?v=qg1ETyP46wM" TargetMode="External"/><Relationship Id="rId256" Type="http://schemas.openxmlformats.org/officeDocument/2006/relationships/hyperlink" Target="https://youtu.be/H0ml-VCXvqQ" TargetMode="External"/><Relationship Id="rId2299" Type="http://schemas.openxmlformats.org/officeDocument/2006/relationships/hyperlink" Target="https://youtu.be/fPB7VtZ1cY8" TargetMode="External"/><Relationship Id="rId255" Type="http://schemas.openxmlformats.org/officeDocument/2006/relationships/hyperlink" Target="https://youtu.be/0i1dQdFfW90" TargetMode="External"/><Relationship Id="rId254" Type="http://schemas.openxmlformats.org/officeDocument/2006/relationships/hyperlink" Target="https://youtu.be/JkkIZGH-LcY" TargetMode="External"/><Relationship Id="rId4029" Type="http://schemas.openxmlformats.org/officeDocument/2006/relationships/hyperlink" Target="https://youtu.be/SlWniPyjlmc" TargetMode="External"/><Relationship Id="rId293" Type="http://schemas.openxmlformats.org/officeDocument/2006/relationships/hyperlink" Target="https://youtu.be/9fE0nb9mpCY" TargetMode="External"/><Relationship Id="rId292" Type="http://schemas.openxmlformats.org/officeDocument/2006/relationships/hyperlink" Target="https://youtu.be/lq7rS3oeamM" TargetMode="External"/><Relationship Id="rId291" Type="http://schemas.openxmlformats.org/officeDocument/2006/relationships/hyperlink" Target="https://youtu.be/w1eG8RuTPTo" TargetMode="External"/><Relationship Id="rId290" Type="http://schemas.openxmlformats.org/officeDocument/2006/relationships/hyperlink" Target="https://youtu.be/BWiMBCkP8UQ" TargetMode="External"/><Relationship Id="rId4020" Type="http://schemas.openxmlformats.org/officeDocument/2006/relationships/hyperlink" Target="https://youtu.be/CfDEkDG5HFI" TargetMode="External"/><Relationship Id="rId286" Type="http://schemas.openxmlformats.org/officeDocument/2006/relationships/hyperlink" Target="https://youtu.be/wRQnzQfCIL8" TargetMode="External"/><Relationship Id="rId4022" Type="http://schemas.openxmlformats.org/officeDocument/2006/relationships/hyperlink" Target="https://youtu.be/RqUNHa6gnVg" TargetMode="External"/><Relationship Id="rId285" Type="http://schemas.openxmlformats.org/officeDocument/2006/relationships/hyperlink" Target="https://youtu.be/ZYySXtt1Uf4" TargetMode="External"/><Relationship Id="rId4021" Type="http://schemas.openxmlformats.org/officeDocument/2006/relationships/hyperlink" Target="https://youtu.be/YkHffV7svTc" TargetMode="External"/><Relationship Id="rId284" Type="http://schemas.openxmlformats.org/officeDocument/2006/relationships/hyperlink" Target="https://youtu.be/REatB2dScPA" TargetMode="External"/><Relationship Id="rId4024" Type="http://schemas.openxmlformats.org/officeDocument/2006/relationships/hyperlink" Target="https://youtu.be/v8KAMn60AmI" TargetMode="External"/><Relationship Id="rId283" Type="http://schemas.openxmlformats.org/officeDocument/2006/relationships/hyperlink" Target="https://youtu.be/a46h4NnnmFE" TargetMode="External"/><Relationship Id="rId4023" Type="http://schemas.openxmlformats.org/officeDocument/2006/relationships/hyperlink" Target="https://youtu.be/JNGeEHSpy7M" TargetMode="External"/><Relationship Id="rId4026" Type="http://schemas.openxmlformats.org/officeDocument/2006/relationships/hyperlink" Target="https://youtu.be/wrHqU3R3n8s" TargetMode="External"/><Relationship Id="rId289" Type="http://schemas.openxmlformats.org/officeDocument/2006/relationships/hyperlink" Target="https://youtu.be/7LBh_C4J5iY" TargetMode="External"/><Relationship Id="rId4025" Type="http://schemas.openxmlformats.org/officeDocument/2006/relationships/hyperlink" Target="https://youtu.be/y0NuMK8xHqg" TargetMode="External"/><Relationship Id="rId288" Type="http://schemas.openxmlformats.org/officeDocument/2006/relationships/hyperlink" Target="https://youtu.be/qK3aFC51SKo" TargetMode="External"/><Relationship Id="rId4028" Type="http://schemas.openxmlformats.org/officeDocument/2006/relationships/hyperlink" Target="https://youtu.be/5-gF0Swsi3g" TargetMode="External"/><Relationship Id="rId287" Type="http://schemas.openxmlformats.org/officeDocument/2006/relationships/hyperlink" Target="https://youtu.be/diJARAvgurA" TargetMode="External"/><Relationship Id="rId4027" Type="http://schemas.openxmlformats.org/officeDocument/2006/relationships/hyperlink" Target="https://youtu.be/5DZ8BfAN4cI" TargetMode="External"/><Relationship Id="rId4019" Type="http://schemas.openxmlformats.org/officeDocument/2006/relationships/hyperlink" Target="https://youtu.be/dOp5piQQYqg" TargetMode="External"/><Relationship Id="rId4018" Type="http://schemas.openxmlformats.org/officeDocument/2006/relationships/hyperlink" Target="https://youtu.be/X-ta1hc2wpQ" TargetMode="External"/><Relationship Id="rId282" Type="http://schemas.openxmlformats.org/officeDocument/2006/relationships/hyperlink" Target="https://youtu.be/o4Up9D8OtZE" TargetMode="External"/><Relationship Id="rId281" Type="http://schemas.openxmlformats.org/officeDocument/2006/relationships/hyperlink" Target="https://youtu.be/Ee1Aib7esKk" TargetMode="External"/><Relationship Id="rId280" Type="http://schemas.openxmlformats.org/officeDocument/2006/relationships/hyperlink" Target="https://youtu.be/fUlm0K8ULsM" TargetMode="External"/><Relationship Id="rId275" Type="http://schemas.openxmlformats.org/officeDocument/2006/relationships/hyperlink" Target="https://youtu.be/XB51slFsBlU" TargetMode="External"/><Relationship Id="rId4011" Type="http://schemas.openxmlformats.org/officeDocument/2006/relationships/hyperlink" Target="https://youtu.be/IH-4uKm6isI" TargetMode="External"/><Relationship Id="rId274" Type="http://schemas.openxmlformats.org/officeDocument/2006/relationships/hyperlink" Target="https://youtu.be/KEPDHGq7JW4" TargetMode="External"/><Relationship Id="rId4010" Type="http://schemas.openxmlformats.org/officeDocument/2006/relationships/hyperlink" Target="https://youtu.be/umgWlwQvLlg" TargetMode="External"/><Relationship Id="rId273" Type="http://schemas.openxmlformats.org/officeDocument/2006/relationships/hyperlink" Target="https://youtu.be/gnK5yFupTaI" TargetMode="External"/><Relationship Id="rId4013" Type="http://schemas.openxmlformats.org/officeDocument/2006/relationships/hyperlink" Target="https://youtu.be/HZezdHtroIM" TargetMode="External"/><Relationship Id="rId272" Type="http://schemas.openxmlformats.org/officeDocument/2006/relationships/hyperlink" Target="https://youtu.be/Oe-Tt9IwsYM" TargetMode="External"/><Relationship Id="rId4012" Type="http://schemas.openxmlformats.org/officeDocument/2006/relationships/hyperlink" Target="https://www.twitch.tv/videos/1562978554" TargetMode="External"/><Relationship Id="rId279" Type="http://schemas.openxmlformats.org/officeDocument/2006/relationships/hyperlink" Target="https://youtu.be/qZzAKqi_Pa8" TargetMode="External"/><Relationship Id="rId4015" Type="http://schemas.openxmlformats.org/officeDocument/2006/relationships/hyperlink" Target="https://www.twitch.tv/videos/1638636950" TargetMode="External"/><Relationship Id="rId278" Type="http://schemas.openxmlformats.org/officeDocument/2006/relationships/hyperlink" Target="https://youtu.be/Vmgl-339amU" TargetMode="External"/><Relationship Id="rId4014" Type="http://schemas.openxmlformats.org/officeDocument/2006/relationships/hyperlink" Target="https://youtu.be/3UNx_t8T6EY" TargetMode="External"/><Relationship Id="rId277" Type="http://schemas.openxmlformats.org/officeDocument/2006/relationships/hyperlink" Target="https://youtu.be/Fzsesuu4JWs" TargetMode="External"/><Relationship Id="rId4017" Type="http://schemas.openxmlformats.org/officeDocument/2006/relationships/hyperlink" Target="https://youtu.be/BZgjhNOo-go" TargetMode="External"/><Relationship Id="rId276" Type="http://schemas.openxmlformats.org/officeDocument/2006/relationships/hyperlink" Target="https://youtu.be/vUHRRCpQoEw" TargetMode="External"/><Relationship Id="rId4016" Type="http://schemas.openxmlformats.org/officeDocument/2006/relationships/hyperlink" Target="https://youtu.be/D0Oc-Q4O40A" TargetMode="External"/><Relationship Id="rId1851" Type="http://schemas.openxmlformats.org/officeDocument/2006/relationships/hyperlink" Target="https://www.youtube.com/watch?v=uUbYLDXzXPE" TargetMode="External"/><Relationship Id="rId1852" Type="http://schemas.openxmlformats.org/officeDocument/2006/relationships/hyperlink" Target="https://www.twitch.tv/videos/2156884979" TargetMode="External"/><Relationship Id="rId1853" Type="http://schemas.openxmlformats.org/officeDocument/2006/relationships/hyperlink" Target="https://www.youtube.com/watch?v=VNS-JNZfrnc" TargetMode="External"/><Relationship Id="rId1854" Type="http://schemas.openxmlformats.org/officeDocument/2006/relationships/hyperlink" Target="https://clips.twitch.tv/TastyAliveAppleKreygasm" TargetMode="External"/><Relationship Id="rId1855" Type="http://schemas.openxmlformats.org/officeDocument/2006/relationships/hyperlink" Target="https://youtu.be/j_Q2Ef2PbsU?si=Fzmpjgo7MXM7Zyge&amp;t=7" TargetMode="External"/><Relationship Id="rId1856" Type="http://schemas.openxmlformats.org/officeDocument/2006/relationships/hyperlink" Target="https://youtu.be/q2SW3Uu23Ek?t=51" TargetMode="External"/><Relationship Id="rId1857" Type="http://schemas.openxmlformats.org/officeDocument/2006/relationships/hyperlink" Target="https://clips.twitch.tv/TrappedInnocentTrayHotPokket-DCf7C7PY1LfeNP7J" TargetMode="External"/><Relationship Id="rId1858" Type="http://schemas.openxmlformats.org/officeDocument/2006/relationships/hyperlink" Target="https://www.youtube.com/watch?v=fEuOynC63dU" TargetMode="External"/><Relationship Id="rId1859" Type="http://schemas.openxmlformats.org/officeDocument/2006/relationships/hyperlink" Target="https://clips.twitch.tv/StupidPowerfulRaisinSmoocherZ" TargetMode="External"/><Relationship Id="rId1850" Type="http://schemas.openxmlformats.org/officeDocument/2006/relationships/hyperlink" Target="https://www.youtube.com/watch?v=us9Ndljhigw" TargetMode="External"/><Relationship Id="rId1840" Type="http://schemas.openxmlformats.org/officeDocument/2006/relationships/hyperlink" Target="https://www.twitch.tv/videos/890925851" TargetMode="External"/><Relationship Id="rId1841" Type="http://schemas.openxmlformats.org/officeDocument/2006/relationships/hyperlink" Target="https://www.youtube.com/watch?v=EmhKLh6qGu0&amp;ab_channel=JJsrl" TargetMode="External"/><Relationship Id="rId1842" Type="http://schemas.openxmlformats.org/officeDocument/2006/relationships/hyperlink" Target="https://clips.twitch.tv/PunchyFriendlyCroissantArgieB8-qEPbR5aXzccU8bW9" TargetMode="External"/><Relationship Id="rId1843" Type="http://schemas.openxmlformats.org/officeDocument/2006/relationships/hyperlink" Target="https://clips.twitch.tv/RamshackleEagerMouseFrankerZ-3VaACqMZFL8WqnqI" TargetMode="External"/><Relationship Id="rId1844" Type="http://schemas.openxmlformats.org/officeDocument/2006/relationships/hyperlink" Target="https://www.youtube.com/watch?v=hmvfEP6e7m4" TargetMode="External"/><Relationship Id="rId1845" Type="http://schemas.openxmlformats.org/officeDocument/2006/relationships/hyperlink" Target="https://www.youtube.com/watch?v=ehVXZQtmKwc" TargetMode="External"/><Relationship Id="rId1846" Type="http://schemas.openxmlformats.org/officeDocument/2006/relationships/hyperlink" Target="https://www.youtube.com/watch?v=kZyWw3NCFx8" TargetMode="External"/><Relationship Id="rId1847" Type="http://schemas.openxmlformats.org/officeDocument/2006/relationships/hyperlink" Target="https://www.twitch.tv/jjsrl/clip/SmoothDiligentNigiriTBCheesePull-TmvsyERVA7gjPkbJ" TargetMode="External"/><Relationship Id="rId1848" Type="http://schemas.openxmlformats.org/officeDocument/2006/relationships/hyperlink" Target="https://www.youtube.com/watch?v=snj15Ho71no" TargetMode="External"/><Relationship Id="rId1849" Type="http://schemas.openxmlformats.org/officeDocument/2006/relationships/hyperlink" Target="https://www.twitch.tv/jjsrl/clip/FrozenObliqueDuckCurseLit-kMD3SUmJiie-XNfY" TargetMode="External"/><Relationship Id="rId1873" Type="http://schemas.openxmlformats.org/officeDocument/2006/relationships/hyperlink" Target="https://youtu.be/apTie4KP5-o?t=93" TargetMode="External"/><Relationship Id="rId1874" Type="http://schemas.openxmlformats.org/officeDocument/2006/relationships/hyperlink" Target="https://www.youtube.com/watch?v=d8fTBCb4WxE" TargetMode="External"/><Relationship Id="rId1875" Type="http://schemas.openxmlformats.org/officeDocument/2006/relationships/hyperlink" Target="https://youtu.be/PB1x95nZfPg?t=83" TargetMode="External"/><Relationship Id="rId1876" Type="http://schemas.openxmlformats.org/officeDocument/2006/relationships/hyperlink" Target="https://youtu.be/PyywvXauxXo" TargetMode="External"/><Relationship Id="rId1877" Type="http://schemas.openxmlformats.org/officeDocument/2006/relationships/hyperlink" Target="https://youtu.be/TjlgRuQW9S4" TargetMode="External"/><Relationship Id="rId1878" Type="http://schemas.openxmlformats.org/officeDocument/2006/relationships/hyperlink" Target="https://youtu.be/P7ngqIpqHs0" TargetMode="External"/><Relationship Id="rId1879" Type="http://schemas.openxmlformats.org/officeDocument/2006/relationships/hyperlink" Target="https://youtu.be/8yabOhg3fUI" TargetMode="External"/><Relationship Id="rId1870" Type="http://schemas.openxmlformats.org/officeDocument/2006/relationships/hyperlink" Target="https://clips.twitch.tv/FriendlySpikyZucchiniDBstyle-sy83S44B3M98mOHQ" TargetMode="External"/><Relationship Id="rId1871" Type="http://schemas.openxmlformats.org/officeDocument/2006/relationships/hyperlink" Target="https://www.twitch.tv/jjsrl/clip/SpikyTangentialTitanStoneLightning-jxiqO-6hbb_J7X1Y" TargetMode="External"/><Relationship Id="rId1872" Type="http://schemas.openxmlformats.org/officeDocument/2006/relationships/hyperlink" Target="https://clips.twitch.tv/PlayfulHappyHornetTriHard-MrGJhanbpndCae2R" TargetMode="External"/><Relationship Id="rId1862" Type="http://schemas.openxmlformats.org/officeDocument/2006/relationships/hyperlink" Target="https://www.youtube.com/watch?v=BWTSU4jtkC0" TargetMode="External"/><Relationship Id="rId1863" Type="http://schemas.openxmlformats.org/officeDocument/2006/relationships/hyperlink" Target="https://youtu.be/A-O7-jDgekE?t=138" TargetMode="External"/><Relationship Id="rId1864" Type="http://schemas.openxmlformats.org/officeDocument/2006/relationships/hyperlink" Target="https://www.youtube.com/watch?v=zqQZ2Nw77p0" TargetMode="External"/><Relationship Id="rId1865" Type="http://schemas.openxmlformats.org/officeDocument/2006/relationships/hyperlink" Target="https://www.twitch.tv/darkbladesao_/clip/CredulousUnsightlyGazelleMVGame-WN9f607kFvk7IHup?filter=clips&amp;range=all&amp;sort=time" TargetMode="External"/><Relationship Id="rId1866" Type="http://schemas.openxmlformats.org/officeDocument/2006/relationships/hyperlink" Target="https://youtu.be/20GQO3O2bG0?si=8WqTPsdPZq43IxK1&amp;t=137" TargetMode="External"/><Relationship Id="rId1867" Type="http://schemas.openxmlformats.org/officeDocument/2006/relationships/hyperlink" Target="https://www.twitch.tv/jjsrl/clip/AgreeableKitschyCarabeefResidentSleeper-ChJcpW4FxKAu_YZs" TargetMode="External"/><Relationship Id="rId1868" Type="http://schemas.openxmlformats.org/officeDocument/2006/relationships/hyperlink" Target="https://clips.twitch.tv/CrypticIgnorantGoshawkPoooound-uxL3k1WMzvzu4aVB" TargetMode="External"/><Relationship Id="rId1869" Type="http://schemas.openxmlformats.org/officeDocument/2006/relationships/hyperlink" Target="https://youtu.be/EdwItdY1IIo?t=60" TargetMode="External"/><Relationship Id="rId1860" Type="http://schemas.openxmlformats.org/officeDocument/2006/relationships/hyperlink" Target="https://clips.twitch.tv/TenaciousAntediluvianMonkeyNerfRedBlaster" TargetMode="External"/><Relationship Id="rId1861" Type="http://schemas.openxmlformats.org/officeDocument/2006/relationships/hyperlink" Target="https://clips.twitch.tv/ImportantYummyTermiteVoteYea-m6i5a4Xm6Az4aCmp" TargetMode="External"/><Relationship Id="rId1810" Type="http://schemas.openxmlformats.org/officeDocument/2006/relationships/hyperlink" Target="https://www.twitch.tv/videos/2141137215?t=00h27m49s" TargetMode="External"/><Relationship Id="rId1811" Type="http://schemas.openxmlformats.org/officeDocument/2006/relationships/hyperlink" Target="https://www.twitch.tv/videos/2141137215?t=00h26m27s" TargetMode="External"/><Relationship Id="rId1812" Type="http://schemas.openxmlformats.org/officeDocument/2006/relationships/hyperlink" Target="https://www.twitch.tv/videos/2146175876?t=02h19m13s" TargetMode="External"/><Relationship Id="rId1813" Type="http://schemas.openxmlformats.org/officeDocument/2006/relationships/hyperlink" Target="https://www.twitch.tv/videos/2137826419?t=00h33m07s" TargetMode="External"/><Relationship Id="rId1814" Type="http://schemas.openxmlformats.org/officeDocument/2006/relationships/hyperlink" Target="https://www.twitch.tv/videos/2160659243?t=04h01m46s" TargetMode="External"/><Relationship Id="rId1815" Type="http://schemas.openxmlformats.org/officeDocument/2006/relationships/hyperlink" Target="https://www.twitch.tv/videos/2137826419?t=03h00m41s" TargetMode="External"/><Relationship Id="rId1816" Type="http://schemas.openxmlformats.org/officeDocument/2006/relationships/hyperlink" Target="https://www.twitch.tv/videos/2138700221?t=03h34m12s" TargetMode="External"/><Relationship Id="rId1817" Type="http://schemas.openxmlformats.org/officeDocument/2006/relationships/hyperlink" Target="https://www.twitch.tv/videos/2141136972?t=01h34m03s" TargetMode="External"/><Relationship Id="rId1818" Type="http://schemas.openxmlformats.org/officeDocument/2006/relationships/hyperlink" Target="https://www.twitch.tv/videos/2137826419?t=01h07m08s" TargetMode="External"/><Relationship Id="rId1819" Type="http://schemas.openxmlformats.org/officeDocument/2006/relationships/hyperlink" Target="https://www.twitch.tv/videos/2137826419?t=03h10m31s" TargetMode="External"/><Relationship Id="rId4080" Type="http://schemas.openxmlformats.org/officeDocument/2006/relationships/hyperlink" Target="https://youtu.be/pWR1aBoKX_k" TargetMode="External"/><Relationship Id="rId4082" Type="http://schemas.openxmlformats.org/officeDocument/2006/relationships/hyperlink" Target="https://youtu.be/-fI8sHQdy14" TargetMode="External"/><Relationship Id="rId4081" Type="http://schemas.openxmlformats.org/officeDocument/2006/relationships/hyperlink" Target="https://youtu.be/XhH95jrBA9Y" TargetMode="External"/><Relationship Id="rId4084" Type="http://schemas.openxmlformats.org/officeDocument/2006/relationships/hyperlink" Target="https://youtu.be/jnh_-mWwvac" TargetMode="External"/><Relationship Id="rId4083" Type="http://schemas.openxmlformats.org/officeDocument/2006/relationships/hyperlink" Target="https://youtu.be/2cNmPluoiBc" TargetMode="External"/><Relationship Id="rId4086" Type="http://schemas.openxmlformats.org/officeDocument/2006/relationships/hyperlink" Target="https://youtu.be/q-a2kRPjabE" TargetMode="External"/><Relationship Id="rId4085" Type="http://schemas.openxmlformats.org/officeDocument/2006/relationships/hyperlink" Target="https://youtu.be/P5TEGCkaQoo" TargetMode="External"/><Relationship Id="rId4088" Type="http://schemas.openxmlformats.org/officeDocument/2006/relationships/hyperlink" Target="https://youtu.be/XAu3Fm_KLtA" TargetMode="External"/><Relationship Id="rId4087" Type="http://schemas.openxmlformats.org/officeDocument/2006/relationships/hyperlink" Target="https://youtu.be/c5ivIu3KTNc" TargetMode="External"/><Relationship Id="rId4089" Type="http://schemas.openxmlformats.org/officeDocument/2006/relationships/hyperlink" Target="https://youtu.be/103Y3OMf0aQ" TargetMode="External"/><Relationship Id="rId1800" Type="http://schemas.openxmlformats.org/officeDocument/2006/relationships/hyperlink" Target="https://www.twitch.tv/videos/1909786596?t=07h15m21s" TargetMode="External"/><Relationship Id="rId1801" Type="http://schemas.openxmlformats.org/officeDocument/2006/relationships/hyperlink" Target="https://www.twitch.tv/videos/2146175876?t=03h03m02s" TargetMode="External"/><Relationship Id="rId1802" Type="http://schemas.openxmlformats.org/officeDocument/2006/relationships/hyperlink" Target="https://www.twitch.tv/videos/2137826419?t=00h18m03s" TargetMode="External"/><Relationship Id="rId1803" Type="http://schemas.openxmlformats.org/officeDocument/2006/relationships/hyperlink" Target="https://www.twitch.tv/videos/2138700221?t=02h28m16s" TargetMode="External"/><Relationship Id="rId1804" Type="http://schemas.openxmlformats.org/officeDocument/2006/relationships/hyperlink" Target="https://www.twitch.tv/videos/2138700221?t=02h39m02s" TargetMode="External"/><Relationship Id="rId1805" Type="http://schemas.openxmlformats.org/officeDocument/2006/relationships/hyperlink" Target="https://www.twitch.tv/videos/1907911063?t=03h04m59s" TargetMode="External"/><Relationship Id="rId1806" Type="http://schemas.openxmlformats.org/officeDocument/2006/relationships/hyperlink" Target="https://www.twitch.tv/videos/2141136972?t=01h19m31s" TargetMode="External"/><Relationship Id="rId1807" Type="http://schemas.openxmlformats.org/officeDocument/2006/relationships/hyperlink" Target="https://www.twitch.tv/videos/2137826419?t=00h21m10s" TargetMode="External"/><Relationship Id="rId1808" Type="http://schemas.openxmlformats.org/officeDocument/2006/relationships/hyperlink" Target="https://www.twitch.tv/videos/2141137215?t=01h23m49s" TargetMode="External"/><Relationship Id="rId1809" Type="http://schemas.openxmlformats.org/officeDocument/2006/relationships/hyperlink" Target="https://www.twitch.tv/videos/2146175876?t=01h03m37s" TargetMode="External"/><Relationship Id="rId4071" Type="http://schemas.openxmlformats.org/officeDocument/2006/relationships/hyperlink" Target="https://youtu.be/7rLJ-F7D95Q" TargetMode="External"/><Relationship Id="rId4070" Type="http://schemas.openxmlformats.org/officeDocument/2006/relationships/hyperlink" Target="https://youtu.be/wP6B1hW--S0" TargetMode="External"/><Relationship Id="rId4073" Type="http://schemas.openxmlformats.org/officeDocument/2006/relationships/hyperlink" Target="https://www.twitch.tv/fluddkoopa64/clip/PatientStrangeBoarStrawBeary-Uwwgrsfcw-IkJ_JF" TargetMode="External"/><Relationship Id="rId4072" Type="http://schemas.openxmlformats.org/officeDocument/2006/relationships/hyperlink" Target="https://youtu.be/xmoMtuRowOo" TargetMode="External"/><Relationship Id="rId4075" Type="http://schemas.openxmlformats.org/officeDocument/2006/relationships/hyperlink" Target="https://youtu.be/YjQgb8rNVNE" TargetMode="External"/><Relationship Id="rId4074" Type="http://schemas.openxmlformats.org/officeDocument/2006/relationships/hyperlink" Target="https://youtu.be/SQvsTexitFw" TargetMode="External"/><Relationship Id="rId4077" Type="http://schemas.openxmlformats.org/officeDocument/2006/relationships/hyperlink" Target="https://youtu.be/-qhwA36z0Tg" TargetMode="External"/><Relationship Id="rId4076" Type="http://schemas.openxmlformats.org/officeDocument/2006/relationships/hyperlink" Target="https://youtu.be/htKV7SAmVTg" TargetMode="External"/><Relationship Id="rId4079" Type="http://schemas.openxmlformats.org/officeDocument/2006/relationships/hyperlink" Target="https://youtu.be/SJLwy4WdsQw" TargetMode="External"/><Relationship Id="rId4078" Type="http://schemas.openxmlformats.org/officeDocument/2006/relationships/hyperlink" Target="https://youtu.be/3irK5q5_xDA" TargetMode="External"/><Relationship Id="rId1830" Type="http://schemas.openxmlformats.org/officeDocument/2006/relationships/hyperlink" Target="https://www.twitch.tv/videos/2138700401?t=00h50m52s" TargetMode="External"/><Relationship Id="rId1831" Type="http://schemas.openxmlformats.org/officeDocument/2006/relationships/hyperlink" Target="https://www.twitch.tv/videos/2151709826?t=01h33m32s" TargetMode="External"/><Relationship Id="rId1832" Type="http://schemas.openxmlformats.org/officeDocument/2006/relationships/hyperlink" Target="https://www.twitch.tv/videos/2138700221?t=03h54m40s" TargetMode="External"/><Relationship Id="rId1833" Type="http://schemas.openxmlformats.org/officeDocument/2006/relationships/hyperlink" Target="https://www.twitch.tv/videos/2160659243?t=00h47m33s" TargetMode="External"/><Relationship Id="rId1834" Type="http://schemas.openxmlformats.org/officeDocument/2006/relationships/hyperlink" Target="https://www.twitch.tv/videos/2138700401?t=00h44m35s" TargetMode="External"/><Relationship Id="rId1835" Type="http://schemas.openxmlformats.org/officeDocument/2006/relationships/hyperlink" Target="https://www.twitch.tv/videos/2137826419?t=03h19m57s" TargetMode="External"/><Relationship Id="rId1836" Type="http://schemas.openxmlformats.org/officeDocument/2006/relationships/hyperlink" Target="https://www.twitch.tv/videos/2151709826?t=01h31m13s" TargetMode="External"/><Relationship Id="rId1837" Type="http://schemas.openxmlformats.org/officeDocument/2006/relationships/hyperlink" Target="https://www.twitch.tv/videos/2160659243?t=00h51m29s" TargetMode="External"/><Relationship Id="rId1838" Type="http://schemas.openxmlformats.org/officeDocument/2006/relationships/hyperlink" Target="https://www.twitch.tv/videos/2138700401?t=00h40m03s" TargetMode="External"/><Relationship Id="rId1839" Type="http://schemas.openxmlformats.org/officeDocument/2006/relationships/hyperlink" Target="https://clips.twitch.tv/AmusedConfidentIguanaHassanChop" TargetMode="External"/><Relationship Id="rId1820" Type="http://schemas.openxmlformats.org/officeDocument/2006/relationships/hyperlink" Target="https://www.twitch.tv/videos/2141136972?t=01h47m50s" TargetMode="External"/><Relationship Id="rId1821" Type="http://schemas.openxmlformats.org/officeDocument/2006/relationships/hyperlink" Target="https://www.twitch.tv/videos/2160659243?t=00h09m45s" TargetMode="External"/><Relationship Id="rId1822" Type="http://schemas.openxmlformats.org/officeDocument/2006/relationships/hyperlink" Target="https://www.twitch.tv/videos/2138700221?t=04h04m46s" TargetMode="External"/><Relationship Id="rId1823" Type="http://schemas.openxmlformats.org/officeDocument/2006/relationships/hyperlink" Target="https://www.twitch.tv/videos/2138700221?t=04h34m56s" TargetMode="External"/><Relationship Id="rId1824" Type="http://schemas.openxmlformats.org/officeDocument/2006/relationships/hyperlink" Target="https://www.twitch.tv/videos/2138700401?t=00h07m49s" TargetMode="External"/><Relationship Id="rId1825" Type="http://schemas.openxmlformats.org/officeDocument/2006/relationships/hyperlink" Target="https://www.twitch.tv/videos/2141136972?t=01h03m59s" TargetMode="External"/><Relationship Id="rId1826" Type="http://schemas.openxmlformats.org/officeDocument/2006/relationships/hyperlink" Target="https://www.twitch.tv/videos/2137826419?t=00h44m54s" TargetMode="External"/><Relationship Id="rId1827" Type="http://schemas.openxmlformats.org/officeDocument/2006/relationships/hyperlink" Target="https://www.twitch.tv/videos/2138700401?t=00h33m19s" TargetMode="External"/><Relationship Id="rId1828" Type="http://schemas.openxmlformats.org/officeDocument/2006/relationships/hyperlink" Target="https://www.twitch.tv/videos/2151709826?t=01h45m39s" TargetMode="External"/><Relationship Id="rId1829" Type="http://schemas.openxmlformats.org/officeDocument/2006/relationships/hyperlink" Target="https://www.twitch.tv/videos/2151709826?t=01h39m39s" TargetMode="External"/><Relationship Id="rId4091" Type="http://schemas.openxmlformats.org/officeDocument/2006/relationships/hyperlink" Target="https://youtu.be/rOU7bKPl8eQ" TargetMode="External"/><Relationship Id="rId4090" Type="http://schemas.openxmlformats.org/officeDocument/2006/relationships/hyperlink" Target="https://youtu.be/jGlEU5DpyVo" TargetMode="External"/><Relationship Id="rId4093" Type="http://schemas.openxmlformats.org/officeDocument/2006/relationships/hyperlink" Target="https://youtu.be/0R6LxUQfWiE" TargetMode="External"/><Relationship Id="rId4092" Type="http://schemas.openxmlformats.org/officeDocument/2006/relationships/hyperlink" Target="https://youtu.be/JIDZVaiH1Zw" TargetMode="External"/><Relationship Id="rId4095" Type="http://schemas.openxmlformats.org/officeDocument/2006/relationships/hyperlink" Target="https://youtu.be/98SGO8vM21Y" TargetMode="External"/><Relationship Id="rId4094" Type="http://schemas.openxmlformats.org/officeDocument/2006/relationships/hyperlink" Target="https://youtu.be/nNwMb86Q1ZU" TargetMode="External"/><Relationship Id="rId4097" Type="http://schemas.openxmlformats.org/officeDocument/2006/relationships/hyperlink" Target="https://youtu.be/tYqUmqW3sac" TargetMode="External"/><Relationship Id="rId4096" Type="http://schemas.openxmlformats.org/officeDocument/2006/relationships/hyperlink" Target="https://youtu.be/31NvcqsVwNs" TargetMode="External"/><Relationship Id="rId4099" Type="http://schemas.openxmlformats.org/officeDocument/2006/relationships/hyperlink" Target="https://youtu.be/xEAVWZHWu9I" TargetMode="External"/><Relationship Id="rId4098" Type="http://schemas.openxmlformats.org/officeDocument/2006/relationships/hyperlink" Target="https://youtu.be/_nkkxtlbZKM" TargetMode="External"/><Relationship Id="rId2302" Type="http://schemas.openxmlformats.org/officeDocument/2006/relationships/hyperlink" Target="https://youtu.be/ihXMMfy8ZMU" TargetMode="External"/><Relationship Id="rId3634" Type="http://schemas.openxmlformats.org/officeDocument/2006/relationships/hyperlink" Target="https://youtu.be/-6-6Nekn-zE" TargetMode="External"/><Relationship Id="rId2303" Type="http://schemas.openxmlformats.org/officeDocument/2006/relationships/hyperlink" Target="https://www.youtube.com/watch?v=Sl-Xu0PoRyg" TargetMode="External"/><Relationship Id="rId3633" Type="http://schemas.openxmlformats.org/officeDocument/2006/relationships/hyperlink" Target="https://youtu.be/zNgWybAwmKA" TargetMode="External"/><Relationship Id="rId2304" Type="http://schemas.openxmlformats.org/officeDocument/2006/relationships/hyperlink" Target="https://www.twitch.tv/videos/1659280426" TargetMode="External"/><Relationship Id="rId3636" Type="http://schemas.openxmlformats.org/officeDocument/2006/relationships/hyperlink" Target="https://youtu.be/C_2rljFQ2w4?t=11052" TargetMode="External"/><Relationship Id="rId2305" Type="http://schemas.openxmlformats.org/officeDocument/2006/relationships/hyperlink" Target="https://www.twitch.tv/videos/1656571292" TargetMode="External"/><Relationship Id="rId3635" Type="http://schemas.openxmlformats.org/officeDocument/2006/relationships/hyperlink" Target="https://youtu.be/lIdj4uOQerg?t=11699" TargetMode="External"/><Relationship Id="rId2306" Type="http://schemas.openxmlformats.org/officeDocument/2006/relationships/hyperlink" Target="https://www.twitch.tv/videos/1656573361" TargetMode="External"/><Relationship Id="rId3638" Type="http://schemas.openxmlformats.org/officeDocument/2006/relationships/hyperlink" Target="https://www.twitch.tv/linky628/clip/AbstruseDullYogurtVoHiYo" TargetMode="External"/><Relationship Id="rId2307" Type="http://schemas.openxmlformats.org/officeDocument/2006/relationships/hyperlink" Target="https://www.twitch.tv/videos/945087952" TargetMode="External"/><Relationship Id="rId3637" Type="http://schemas.openxmlformats.org/officeDocument/2006/relationships/hyperlink" Target="https://youtu.be/45_DhuJsqOI" TargetMode="External"/><Relationship Id="rId2308" Type="http://schemas.openxmlformats.org/officeDocument/2006/relationships/hyperlink" Target="https://www.twitch.tv/videos/1262453469" TargetMode="External"/><Relationship Id="rId2309" Type="http://schemas.openxmlformats.org/officeDocument/2006/relationships/hyperlink" Target="https://youtu.be/rpHwfObx6Jo" TargetMode="External"/><Relationship Id="rId3639" Type="http://schemas.openxmlformats.org/officeDocument/2006/relationships/hyperlink" Target="https://youtu.be/3Mbc7M7uEm8" TargetMode="External"/><Relationship Id="rId3630" Type="http://schemas.openxmlformats.org/officeDocument/2006/relationships/hyperlink" Target="https://youtu.be/2Y_eB2PGdcI" TargetMode="External"/><Relationship Id="rId2300" Type="http://schemas.openxmlformats.org/officeDocument/2006/relationships/hyperlink" Target="https://www.twitch.tv/videos/1160927881" TargetMode="External"/><Relationship Id="rId3632" Type="http://schemas.openxmlformats.org/officeDocument/2006/relationships/hyperlink" Target="https://youtu.be/38BDWIz596o" TargetMode="External"/><Relationship Id="rId2301" Type="http://schemas.openxmlformats.org/officeDocument/2006/relationships/hyperlink" Target="https://www.twitch.tv/videos/1160925359" TargetMode="External"/><Relationship Id="rId3631" Type="http://schemas.openxmlformats.org/officeDocument/2006/relationships/hyperlink" Target="https://clips.twitch.tv/TenaciousAnnoyingHerringWOOP" TargetMode="External"/><Relationship Id="rId3623" Type="http://schemas.openxmlformats.org/officeDocument/2006/relationships/hyperlink" Target="https://youtu.be/Q5xt1Y5DP1I" TargetMode="External"/><Relationship Id="rId3622" Type="http://schemas.openxmlformats.org/officeDocument/2006/relationships/hyperlink" Target="https://clips.twitch.tv/TenaciousThankfulPeachTinyFace" TargetMode="External"/><Relationship Id="rId3625" Type="http://schemas.openxmlformats.org/officeDocument/2006/relationships/hyperlink" Target="https://clips.twitch.tv/LaconicSaltyJackalDAESuppy" TargetMode="External"/><Relationship Id="rId3624" Type="http://schemas.openxmlformats.org/officeDocument/2006/relationships/hyperlink" Target="https://youtu.be/Yt0zyR9tMF0" TargetMode="External"/><Relationship Id="rId3627" Type="http://schemas.openxmlformats.org/officeDocument/2006/relationships/hyperlink" Target="https://youtu.be/_vlhzyWD5Tk" TargetMode="External"/><Relationship Id="rId3626" Type="http://schemas.openxmlformats.org/officeDocument/2006/relationships/hyperlink" Target="https://youtu.be/8I7D7nA__e4" TargetMode="External"/><Relationship Id="rId3629" Type="http://schemas.openxmlformats.org/officeDocument/2006/relationships/hyperlink" Target="https://youtu.be/NNPXltghmL4" TargetMode="External"/><Relationship Id="rId3628" Type="http://schemas.openxmlformats.org/officeDocument/2006/relationships/hyperlink" Target="https://youtu.be/oFa9Fham62c" TargetMode="External"/><Relationship Id="rId3621" Type="http://schemas.openxmlformats.org/officeDocument/2006/relationships/hyperlink" Target="https://clips.twitch.tv/WanderingHonestBeaverPupper" TargetMode="External"/><Relationship Id="rId3620" Type="http://schemas.openxmlformats.org/officeDocument/2006/relationships/hyperlink" Target="https://clips.twitch.tv/AthleticVibrantLobsterNomNom" TargetMode="External"/><Relationship Id="rId2324" Type="http://schemas.openxmlformats.org/officeDocument/2006/relationships/hyperlink" Target="https://clips.twitch.tv/TangibleBloodyPlumberFailFish" TargetMode="External"/><Relationship Id="rId3656" Type="http://schemas.openxmlformats.org/officeDocument/2006/relationships/hyperlink" Target="https://youtu.be/SyQIUMhk3NQ" TargetMode="External"/><Relationship Id="rId2325" Type="http://schemas.openxmlformats.org/officeDocument/2006/relationships/hyperlink" Target="https://clips.twitch.tv/ProductiveCrunchyMonitorTBTacoRight-HgPgMrV0QRpQwCD1" TargetMode="External"/><Relationship Id="rId3655" Type="http://schemas.openxmlformats.org/officeDocument/2006/relationships/hyperlink" Target="https://youtu.be/lzlZtlq0r_o" TargetMode="External"/><Relationship Id="rId2326" Type="http://schemas.openxmlformats.org/officeDocument/2006/relationships/hyperlink" Target="https://clips.twitch.tv/SeductiveRichMartenFUNgineer-BkyPJfsrY1gW1kSW" TargetMode="External"/><Relationship Id="rId3658" Type="http://schemas.openxmlformats.org/officeDocument/2006/relationships/hyperlink" Target="https://youtu.be/gDXznlVPmok" TargetMode="External"/><Relationship Id="rId2327" Type="http://schemas.openxmlformats.org/officeDocument/2006/relationships/hyperlink" Target="https://clips.twitch.tv/PiercingSpikyPlumberFunRun" TargetMode="External"/><Relationship Id="rId3657" Type="http://schemas.openxmlformats.org/officeDocument/2006/relationships/hyperlink" Target="https://youtu.be/fuGW3I0caT8" TargetMode="External"/><Relationship Id="rId2328" Type="http://schemas.openxmlformats.org/officeDocument/2006/relationships/hyperlink" Target="https://www.twitch.tv/videos/1082902080" TargetMode="External"/><Relationship Id="rId2329" Type="http://schemas.openxmlformats.org/officeDocument/2006/relationships/hyperlink" Target="https://www.twitch.tv/videos/882546732" TargetMode="External"/><Relationship Id="rId3659" Type="http://schemas.openxmlformats.org/officeDocument/2006/relationships/hyperlink" Target="https://youtu.be/GPTfLN1gvcA" TargetMode="External"/><Relationship Id="rId3650" Type="http://schemas.openxmlformats.org/officeDocument/2006/relationships/hyperlink" Target="https://youtu.be/6-ztnBoB4A4" TargetMode="External"/><Relationship Id="rId2320" Type="http://schemas.openxmlformats.org/officeDocument/2006/relationships/hyperlink" Target="https://www.twitch.tv/videos/1620567058" TargetMode="External"/><Relationship Id="rId3652" Type="http://schemas.openxmlformats.org/officeDocument/2006/relationships/hyperlink" Target="https://youtu.be/pkS4wW6FAe4" TargetMode="External"/><Relationship Id="rId2321" Type="http://schemas.openxmlformats.org/officeDocument/2006/relationships/hyperlink" Target="https://www.twitch.tv/videos/1604858599" TargetMode="External"/><Relationship Id="rId3651" Type="http://schemas.openxmlformats.org/officeDocument/2006/relationships/hyperlink" Target="https://youtu.be/xB7KPQD_bs8" TargetMode="External"/><Relationship Id="rId2322" Type="http://schemas.openxmlformats.org/officeDocument/2006/relationships/hyperlink" Target="https://www.youtube.com/watch?v=Wu3kajxI-Xo" TargetMode="External"/><Relationship Id="rId3654" Type="http://schemas.openxmlformats.org/officeDocument/2006/relationships/hyperlink" Target="https://youtu.be/sciqrESQmB8" TargetMode="External"/><Relationship Id="rId2323" Type="http://schemas.openxmlformats.org/officeDocument/2006/relationships/hyperlink" Target="https://youtu.be/heIYVyxaiZY" TargetMode="External"/><Relationship Id="rId3653" Type="http://schemas.openxmlformats.org/officeDocument/2006/relationships/hyperlink" Target="https://youtu.be/rrY8LMAypAc" TargetMode="External"/><Relationship Id="rId2313" Type="http://schemas.openxmlformats.org/officeDocument/2006/relationships/hyperlink" Target="https://www.twitch.tv/videos/1179147503" TargetMode="External"/><Relationship Id="rId3645" Type="http://schemas.openxmlformats.org/officeDocument/2006/relationships/hyperlink" Target="https://youtu.be/IjKpEs-Dc7c" TargetMode="External"/><Relationship Id="rId2314" Type="http://schemas.openxmlformats.org/officeDocument/2006/relationships/hyperlink" Target="https://www.twitch.tv/videos/1637176930" TargetMode="External"/><Relationship Id="rId3644" Type="http://schemas.openxmlformats.org/officeDocument/2006/relationships/hyperlink" Target="https://youtu.be/7tM1xblhUA4" TargetMode="External"/><Relationship Id="rId2315" Type="http://schemas.openxmlformats.org/officeDocument/2006/relationships/hyperlink" Target="https://www.twitch.tv/videos/1634957144" TargetMode="External"/><Relationship Id="rId3647" Type="http://schemas.openxmlformats.org/officeDocument/2006/relationships/hyperlink" Target="https://clips.twitch.tv/CautiousIcyPancakeYouDontSay-tVFKCYCSjaOHFQpQ" TargetMode="External"/><Relationship Id="rId2316" Type="http://schemas.openxmlformats.org/officeDocument/2006/relationships/hyperlink" Target="https://youtu.be/3xXcJ2B6gHc" TargetMode="External"/><Relationship Id="rId3646" Type="http://schemas.openxmlformats.org/officeDocument/2006/relationships/hyperlink" Target="https://youtu.be/Cr7xNueJcfc" TargetMode="External"/><Relationship Id="rId2317" Type="http://schemas.openxmlformats.org/officeDocument/2006/relationships/hyperlink" Target="https://youtu.be/4Gb9BGszgds" TargetMode="External"/><Relationship Id="rId3649" Type="http://schemas.openxmlformats.org/officeDocument/2006/relationships/hyperlink" Target="https://youtu.be/F-2Vza5NDCs" TargetMode="External"/><Relationship Id="rId2318" Type="http://schemas.openxmlformats.org/officeDocument/2006/relationships/hyperlink" Target="https://www.twitch.tv/videos/1604859972" TargetMode="External"/><Relationship Id="rId3648" Type="http://schemas.openxmlformats.org/officeDocument/2006/relationships/hyperlink" Target="https://youtu.be/61ZIILT3BzY" TargetMode="External"/><Relationship Id="rId2319" Type="http://schemas.openxmlformats.org/officeDocument/2006/relationships/hyperlink" Target="https://youtu.be/tdGWS97d3l8" TargetMode="External"/><Relationship Id="rId3641" Type="http://schemas.openxmlformats.org/officeDocument/2006/relationships/hyperlink" Target="https://www.twitch.tv/linky628/clip/KawaiiSeductiveSandstormCoolStoryBob" TargetMode="External"/><Relationship Id="rId2310" Type="http://schemas.openxmlformats.org/officeDocument/2006/relationships/hyperlink" Target="https://www.twitch.tv/videos/1664579996" TargetMode="External"/><Relationship Id="rId3640" Type="http://schemas.openxmlformats.org/officeDocument/2006/relationships/hyperlink" Target="https://youtu.be/zwKYh5fIKiE" TargetMode="External"/><Relationship Id="rId2311" Type="http://schemas.openxmlformats.org/officeDocument/2006/relationships/hyperlink" Target="https://www.twitch.tv/videos/1644655100" TargetMode="External"/><Relationship Id="rId3643" Type="http://schemas.openxmlformats.org/officeDocument/2006/relationships/hyperlink" Target="https://youtu.be/lIdj4uOQerg?t=10630" TargetMode="External"/><Relationship Id="rId2312" Type="http://schemas.openxmlformats.org/officeDocument/2006/relationships/hyperlink" Target="https://www.youtube.com/watch?v=K-DZFXwtU3E" TargetMode="External"/><Relationship Id="rId3642" Type="http://schemas.openxmlformats.org/officeDocument/2006/relationships/hyperlink" Target="https://youtu.be/wLgBafrMgHI" TargetMode="External"/><Relationship Id="rId1895" Type="http://schemas.openxmlformats.org/officeDocument/2006/relationships/hyperlink" Target="https://youtu.be/1nvP-Sr9c6g" TargetMode="External"/><Relationship Id="rId1896" Type="http://schemas.openxmlformats.org/officeDocument/2006/relationships/hyperlink" Target="https://youtu.be/1ODp1_KHUXk" TargetMode="External"/><Relationship Id="rId1897" Type="http://schemas.openxmlformats.org/officeDocument/2006/relationships/hyperlink" Target="https://youtu.be/4Ja94xnHdyE" TargetMode="External"/><Relationship Id="rId1898" Type="http://schemas.openxmlformats.org/officeDocument/2006/relationships/hyperlink" Target="https://youtu.be/8pUCG6pIQt8" TargetMode="External"/><Relationship Id="rId1899" Type="http://schemas.openxmlformats.org/officeDocument/2006/relationships/hyperlink" Target="https://youtu.be/OG-Na1we3z4" TargetMode="External"/><Relationship Id="rId1890" Type="http://schemas.openxmlformats.org/officeDocument/2006/relationships/hyperlink" Target="https://clips.twitch.tv/BrightDepressedFriseeNononoCat" TargetMode="External"/><Relationship Id="rId1891" Type="http://schemas.openxmlformats.org/officeDocument/2006/relationships/hyperlink" Target="https://youtu.be/WDHxPkuC07w" TargetMode="External"/><Relationship Id="rId1892" Type="http://schemas.openxmlformats.org/officeDocument/2006/relationships/hyperlink" Target="https://youtu.be/TVfrZQtTkJs" TargetMode="External"/><Relationship Id="rId1893" Type="http://schemas.openxmlformats.org/officeDocument/2006/relationships/hyperlink" Target="https://youtu.be/NsjUou8DYdE" TargetMode="External"/><Relationship Id="rId1894" Type="http://schemas.openxmlformats.org/officeDocument/2006/relationships/hyperlink" Target="https://youtu.be/ntkWYsir1hI" TargetMode="External"/><Relationship Id="rId1884" Type="http://schemas.openxmlformats.org/officeDocument/2006/relationships/hyperlink" Target="https://youtu.be/vq5GAzn1fZw" TargetMode="External"/><Relationship Id="rId1885" Type="http://schemas.openxmlformats.org/officeDocument/2006/relationships/hyperlink" Target="https://youtu.be/vq5GAzn1fZw?t=23" TargetMode="External"/><Relationship Id="rId1886" Type="http://schemas.openxmlformats.org/officeDocument/2006/relationships/hyperlink" Target="https://youtu.be/KYZnzcA5n7Y" TargetMode="External"/><Relationship Id="rId1887" Type="http://schemas.openxmlformats.org/officeDocument/2006/relationships/hyperlink" Target="https://youtu.be/7f8U91Aw0u8" TargetMode="External"/><Relationship Id="rId1888" Type="http://schemas.openxmlformats.org/officeDocument/2006/relationships/hyperlink" Target="https://clips.twitch.tv/LightPlausibleFoxMingLee" TargetMode="External"/><Relationship Id="rId1889" Type="http://schemas.openxmlformats.org/officeDocument/2006/relationships/hyperlink" Target="https://youtu.be/JJjudR8C9eI" TargetMode="External"/><Relationship Id="rId1880" Type="http://schemas.openxmlformats.org/officeDocument/2006/relationships/hyperlink" Target="https://youtu.be/44-NKBQRGJk" TargetMode="External"/><Relationship Id="rId1881" Type="http://schemas.openxmlformats.org/officeDocument/2006/relationships/hyperlink" Target="https://youtu.be/lCIDNnQsWl0" TargetMode="External"/><Relationship Id="rId1882" Type="http://schemas.openxmlformats.org/officeDocument/2006/relationships/hyperlink" Target="https://youtu.be/frzZS9slwkY" TargetMode="External"/><Relationship Id="rId1883" Type="http://schemas.openxmlformats.org/officeDocument/2006/relationships/hyperlink" Target="https://youtu.be/fXUJrov2gSU" TargetMode="External"/><Relationship Id="rId3612" Type="http://schemas.openxmlformats.org/officeDocument/2006/relationships/hyperlink" Target="https://youtu.be/6dC2qWCsfig" TargetMode="External"/><Relationship Id="rId3611" Type="http://schemas.openxmlformats.org/officeDocument/2006/relationships/hyperlink" Target="https://youtu.be/K1nCKnWMVRY" TargetMode="External"/><Relationship Id="rId3614" Type="http://schemas.openxmlformats.org/officeDocument/2006/relationships/hyperlink" Target="https://youtu.be/PYAakrWfQxM" TargetMode="External"/><Relationship Id="rId3613" Type="http://schemas.openxmlformats.org/officeDocument/2006/relationships/hyperlink" Target="https://clips.twitch.tv/DreamyCharmingMoonOpieOP" TargetMode="External"/><Relationship Id="rId3616" Type="http://schemas.openxmlformats.org/officeDocument/2006/relationships/hyperlink" Target="https://www.twitch.tv/videos/867911473" TargetMode="External"/><Relationship Id="rId3615" Type="http://schemas.openxmlformats.org/officeDocument/2006/relationships/hyperlink" Target="https://clips.twitch.tv/DistinctOilyPlumberBlargNaut" TargetMode="External"/><Relationship Id="rId3618" Type="http://schemas.openxmlformats.org/officeDocument/2006/relationships/hyperlink" Target="https://clips.twitch.tv/DepressedSweetCattleTheTarFu" TargetMode="External"/><Relationship Id="rId3617" Type="http://schemas.openxmlformats.org/officeDocument/2006/relationships/hyperlink" Target="https://clips.twitch.tv/CautiousTemperedBottleYouWHY" TargetMode="External"/><Relationship Id="rId3619" Type="http://schemas.openxmlformats.org/officeDocument/2006/relationships/hyperlink" Target="https://youtu.be/ztgKfdQDdCE" TargetMode="External"/><Relationship Id="rId3610" Type="http://schemas.openxmlformats.org/officeDocument/2006/relationships/hyperlink" Target="https://www.twitch.tv/videos/867911474" TargetMode="External"/><Relationship Id="rId3601" Type="http://schemas.openxmlformats.org/officeDocument/2006/relationships/hyperlink" Target="https://twitter.com/HiyokoVideo/status/1385998782345613317" TargetMode="External"/><Relationship Id="rId3600" Type="http://schemas.openxmlformats.org/officeDocument/2006/relationships/hyperlink" Target="https://twitter.com/HiyokoVideo/status/1447109177495621635" TargetMode="External"/><Relationship Id="rId3603" Type="http://schemas.openxmlformats.org/officeDocument/2006/relationships/hyperlink" Target="https://clips.twitch.tv/SincereFrailKiwiMcaT-cll-Z5LVUleWSJQj" TargetMode="External"/><Relationship Id="rId3602" Type="http://schemas.openxmlformats.org/officeDocument/2006/relationships/hyperlink" Target="https://twitter.com/HiyokoVideo/status/1386655995112288256" TargetMode="External"/><Relationship Id="rId3605" Type="http://schemas.openxmlformats.org/officeDocument/2006/relationships/hyperlink" Target="https://twitter.com/HiyokoVideo/status/1392120536860303360" TargetMode="External"/><Relationship Id="rId3604" Type="http://schemas.openxmlformats.org/officeDocument/2006/relationships/hyperlink" Target="https://twitter.com/HiyokoVideo/status/1392500345171943432" TargetMode="External"/><Relationship Id="rId3607" Type="http://schemas.openxmlformats.org/officeDocument/2006/relationships/hyperlink" Target="https://youtu.be/7RwpSqYaoG4" TargetMode="External"/><Relationship Id="rId3606" Type="http://schemas.openxmlformats.org/officeDocument/2006/relationships/hyperlink" Target="https://youtu.be/z9Ko2MsTTb4" TargetMode="External"/><Relationship Id="rId3609" Type="http://schemas.openxmlformats.org/officeDocument/2006/relationships/hyperlink" Target="https://youtu.be/8G37-1EDDPc" TargetMode="External"/><Relationship Id="rId3608" Type="http://schemas.openxmlformats.org/officeDocument/2006/relationships/hyperlink" Target="https://youtu.be/yzAIJNz9yeQ" TargetMode="External"/><Relationship Id="rId1059" Type="http://schemas.openxmlformats.org/officeDocument/2006/relationships/hyperlink" Target="https://youtu.be/ZWdO1DE0MY8" TargetMode="External"/><Relationship Id="rId228" Type="http://schemas.openxmlformats.org/officeDocument/2006/relationships/hyperlink" Target="https://youtu.be/qz5BuZN7Cm0" TargetMode="External"/><Relationship Id="rId227" Type="http://schemas.openxmlformats.org/officeDocument/2006/relationships/hyperlink" Target="https://youtu.be/nOaLALchF-8" TargetMode="External"/><Relationship Id="rId226" Type="http://schemas.openxmlformats.org/officeDocument/2006/relationships/hyperlink" Target="https://youtu.be/oZmM0ZoBMoQ" TargetMode="External"/><Relationship Id="rId225" Type="http://schemas.openxmlformats.org/officeDocument/2006/relationships/hyperlink" Target="https://youtu.be/1uo5DYJdBuA" TargetMode="External"/><Relationship Id="rId2380" Type="http://schemas.openxmlformats.org/officeDocument/2006/relationships/hyperlink" Target="https://clips.twitch.tv/TolerantMoralNoodleYee" TargetMode="External"/><Relationship Id="rId229" Type="http://schemas.openxmlformats.org/officeDocument/2006/relationships/hyperlink" Target="https://youtu.be/4HdptcyjE30" TargetMode="External"/><Relationship Id="rId1050" Type="http://schemas.openxmlformats.org/officeDocument/2006/relationships/hyperlink" Target="https://youtu.be/0noPfgmO8RY" TargetMode="External"/><Relationship Id="rId2381" Type="http://schemas.openxmlformats.org/officeDocument/2006/relationships/hyperlink" Target="https://clips.twitch.tv/LightPlainScallionTinyFace-z73fmFlwKQ3lJSnc" TargetMode="External"/><Relationship Id="rId220" Type="http://schemas.openxmlformats.org/officeDocument/2006/relationships/hyperlink" Target="https://youtu.be/fuH2CUSIotI" TargetMode="External"/><Relationship Id="rId1051" Type="http://schemas.openxmlformats.org/officeDocument/2006/relationships/hyperlink" Target="https://youtu.be/yGTJXvo6g0M" TargetMode="External"/><Relationship Id="rId2382" Type="http://schemas.openxmlformats.org/officeDocument/2006/relationships/hyperlink" Target="https://clips.twitch.tv/RefinedHappyPorpoiseGingerPower-F5i69JDoLMRSqAhX" TargetMode="External"/><Relationship Id="rId1052" Type="http://schemas.openxmlformats.org/officeDocument/2006/relationships/hyperlink" Target="https://www.youtube.com/watch?v=P7AendDh6Yc" TargetMode="External"/><Relationship Id="rId2383" Type="http://schemas.openxmlformats.org/officeDocument/2006/relationships/hyperlink" Target="https://clips.twitch.tv/OddDepressedThymeGingerPower" TargetMode="External"/><Relationship Id="rId1053" Type="http://schemas.openxmlformats.org/officeDocument/2006/relationships/hyperlink" Target="https://youtu.be/J989sH4gWmM" TargetMode="External"/><Relationship Id="rId2384" Type="http://schemas.openxmlformats.org/officeDocument/2006/relationships/hyperlink" Target="https://twitter.com/Qbe_Root/status/1339352203979612161" TargetMode="External"/><Relationship Id="rId1054" Type="http://schemas.openxmlformats.org/officeDocument/2006/relationships/hyperlink" Target="https://www.youtube.com/watch?v=6Lt1FM-qe6U" TargetMode="External"/><Relationship Id="rId2385" Type="http://schemas.openxmlformats.org/officeDocument/2006/relationships/hyperlink" Target="https://twitter.com/Qbe_Root/status/1340076811242364931" TargetMode="External"/><Relationship Id="rId224" Type="http://schemas.openxmlformats.org/officeDocument/2006/relationships/hyperlink" Target="https://youtu.be/abDUSXcKlXg" TargetMode="External"/><Relationship Id="rId1055" Type="http://schemas.openxmlformats.org/officeDocument/2006/relationships/hyperlink" Target="https://youtu.be/g5E6yohuf3U" TargetMode="External"/><Relationship Id="rId2386" Type="http://schemas.openxmlformats.org/officeDocument/2006/relationships/hyperlink" Target="https://www.youtube.com/watch?v=vCEOHu16Wes" TargetMode="External"/><Relationship Id="rId223" Type="http://schemas.openxmlformats.org/officeDocument/2006/relationships/hyperlink" Target="https://youtu.be/L0eflzANOR8" TargetMode="External"/><Relationship Id="rId1056" Type="http://schemas.openxmlformats.org/officeDocument/2006/relationships/hyperlink" Target="https://youtu.be/fhuBBx-3-3Y" TargetMode="External"/><Relationship Id="rId2387" Type="http://schemas.openxmlformats.org/officeDocument/2006/relationships/hyperlink" Target="https://www.youtube.com/watch?v=7x7-EXlbZb8" TargetMode="External"/><Relationship Id="rId222" Type="http://schemas.openxmlformats.org/officeDocument/2006/relationships/hyperlink" Target="https://youtu.be/aaQgG4CstjY" TargetMode="External"/><Relationship Id="rId1057" Type="http://schemas.openxmlformats.org/officeDocument/2006/relationships/hyperlink" Target="https://www.youtube.com/watch?v=jTjqELufYyg" TargetMode="External"/><Relationship Id="rId2388" Type="http://schemas.openxmlformats.org/officeDocument/2006/relationships/hyperlink" Target="https://www.youtube.com/watch?v=cjNRk-7aIAg" TargetMode="External"/><Relationship Id="rId221" Type="http://schemas.openxmlformats.org/officeDocument/2006/relationships/hyperlink" Target="https://youtu.be/Hfjh9SUpPpQ" TargetMode="External"/><Relationship Id="rId1058" Type="http://schemas.openxmlformats.org/officeDocument/2006/relationships/hyperlink" Target="https://youtu.be/Zqlc8GGxrxE" TargetMode="External"/><Relationship Id="rId2389" Type="http://schemas.openxmlformats.org/officeDocument/2006/relationships/hyperlink" Target="https://www.twitch.tv/videos/1497583386" TargetMode="External"/><Relationship Id="rId1048" Type="http://schemas.openxmlformats.org/officeDocument/2006/relationships/hyperlink" Target="https://youtu.be/atGNpdUJS8U" TargetMode="External"/><Relationship Id="rId2379" Type="http://schemas.openxmlformats.org/officeDocument/2006/relationships/hyperlink" Target="https://clips.twitch.tv/CorrectHungrySandstormNomNom-SJlio-5czIxPSaqQ" TargetMode="External"/><Relationship Id="rId1049" Type="http://schemas.openxmlformats.org/officeDocument/2006/relationships/hyperlink" Target="https://youtu.be/ewoSg7S7Qbo" TargetMode="External"/><Relationship Id="rId217" Type="http://schemas.openxmlformats.org/officeDocument/2006/relationships/hyperlink" Target="https://youtu.be/8mtRTj2BYn0" TargetMode="External"/><Relationship Id="rId216" Type="http://schemas.openxmlformats.org/officeDocument/2006/relationships/hyperlink" Target="https://youtu.be/Xy-2rHEx6Kk" TargetMode="External"/><Relationship Id="rId215" Type="http://schemas.openxmlformats.org/officeDocument/2006/relationships/hyperlink" Target="https://youtu.be/ks1cfDHlEvs" TargetMode="External"/><Relationship Id="rId214" Type="http://schemas.openxmlformats.org/officeDocument/2006/relationships/hyperlink" Target="https://youtu.be/yvBtPa37YkM" TargetMode="External"/><Relationship Id="rId219" Type="http://schemas.openxmlformats.org/officeDocument/2006/relationships/hyperlink" Target="https://youtu.be/WlC8e38BR2g" TargetMode="External"/><Relationship Id="rId218" Type="http://schemas.openxmlformats.org/officeDocument/2006/relationships/hyperlink" Target="https://youtu.be/KgT1fPgeVxQ" TargetMode="External"/><Relationship Id="rId2370" Type="http://schemas.openxmlformats.org/officeDocument/2006/relationships/hyperlink" Target="https://youtu.be/ouqXTnmp4H0" TargetMode="External"/><Relationship Id="rId1040" Type="http://schemas.openxmlformats.org/officeDocument/2006/relationships/hyperlink" Target="https://youtu.be/xeedVMnN3Qo" TargetMode="External"/><Relationship Id="rId2371" Type="http://schemas.openxmlformats.org/officeDocument/2006/relationships/hyperlink" Target="https://www.youtube.com/watch?v=B0HBVkjOUeo" TargetMode="External"/><Relationship Id="rId1041" Type="http://schemas.openxmlformats.org/officeDocument/2006/relationships/hyperlink" Target="https://www.youtube.com/watch?v=DnLt5CWRYxs" TargetMode="External"/><Relationship Id="rId2372" Type="http://schemas.openxmlformats.org/officeDocument/2006/relationships/hyperlink" Target="https://clips.twitch.tv/ResilientFunnyNostrilDBstyle-poscfxcIxoOscPje" TargetMode="External"/><Relationship Id="rId1042" Type="http://schemas.openxmlformats.org/officeDocument/2006/relationships/hyperlink" Target="https://youtu.be/__uMNe34lEA" TargetMode="External"/><Relationship Id="rId2373" Type="http://schemas.openxmlformats.org/officeDocument/2006/relationships/hyperlink" Target="https://clips.twitch.tv/HonestAverageNikudonNerfBlueBlaster-LjLH0Iv5_ounnBWw" TargetMode="External"/><Relationship Id="rId1043" Type="http://schemas.openxmlformats.org/officeDocument/2006/relationships/hyperlink" Target="https://youtu.be/xwQVuGezGdY" TargetMode="External"/><Relationship Id="rId2374" Type="http://schemas.openxmlformats.org/officeDocument/2006/relationships/hyperlink" Target="https://clips.twitch.tv/FlirtySoftSharkYouDontSay-RefcXwSXJJAAR8Ev" TargetMode="External"/><Relationship Id="rId213" Type="http://schemas.openxmlformats.org/officeDocument/2006/relationships/hyperlink" Target="https://youtu.be/vPfF_Kpab6g" TargetMode="External"/><Relationship Id="rId1044" Type="http://schemas.openxmlformats.org/officeDocument/2006/relationships/hyperlink" Target="https://youtu.be/_d7czSdgj38" TargetMode="External"/><Relationship Id="rId2375" Type="http://schemas.openxmlformats.org/officeDocument/2006/relationships/hyperlink" Target="https://clips.twitch.tv/ViscousDiligentCaribouCurseLit-0NjcFDIbpAtXqiO_" TargetMode="External"/><Relationship Id="rId212" Type="http://schemas.openxmlformats.org/officeDocument/2006/relationships/hyperlink" Target="https://youtu.be/9ZPi2KJdjgg" TargetMode="External"/><Relationship Id="rId1045" Type="http://schemas.openxmlformats.org/officeDocument/2006/relationships/hyperlink" Target="https://www.youtube.com/watch?v=gVMhHGXGsMU" TargetMode="External"/><Relationship Id="rId2376" Type="http://schemas.openxmlformats.org/officeDocument/2006/relationships/hyperlink" Target="https://clips.twitch.tv/CrunchyGracefulKuduPermaSmug" TargetMode="External"/><Relationship Id="rId211" Type="http://schemas.openxmlformats.org/officeDocument/2006/relationships/hyperlink" Target="https://youtu.be/6pFq-S50T_0" TargetMode="External"/><Relationship Id="rId1046" Type="http://schemas.openxmlformats.org/officeDocument/2006/relationships/hyperlink" Target="https://youtu.be/BtDU7IHZw84" TargetMode="External"/><Relationship Id="rId2377" Type="http://schemas.openxmlformats.org/officeDocument/2006/relationships/hyperlink" Target="https://clips.twitch.tv/CourteousHeartlessUdonOptimizePrime" TargetMode="External"/><Relationship Id="rId210" Type="http://schemas.openxmlformats.org/officeDocument/2006/relationships/hyperlink" Target="https://youtu.be/cm2WJrswWMQ" TargetMode="External"/><Relationship Id="rId1047" Type="http://schemas.openxmlformats.org/officeDocument/2006/relationships/hyperlink" Target="https://youtu.be/6qN0IeLH_hY" TargetMode="External"/><Relationship Id="rId2378" Type="http://schemas.openxmlformats.org/officeDocument/2006/relationships/hyperlink" Target="https://clips.twitch.tv/GoodStylishLardGivePLZ" TargetMode="External"/><Relationship Id="rId4107" Type="http://schemas.openxmlformats.org/officeDocument/2006/relationships/hyperlink" Target="https://youtu.be/MRWKcNQGTvM" TargetMode="External"/><Relationship Id="rId4106" Type="http://schemas.openxmlformats.org/officeDocument/2006/relationships/hyperlink" Target="https://youtu.be/nTGmFqWJRyw" TargetMode="External"/><Relationship Id="rId4109" Type="http://schemas.openxmlformats.org/officeDocument/2006/relationships/hyperlink" Target="https://youtu.be/FYglbuzFuu4" TargetMode="External"/><Relationship Id="rId4108" Type="http://schemas.openxmlformats.org/officeDocument/2006/relationships/hyperlink" Target="https://youtu.be/bIGrU1syHDY" TargetMode="External"/><Relationship Id="rId249" Type="http://schemas.openxmlformats.org/officeDocument/2006/relationships/hyperlink" Target="https://youtu.be/To7FphXwL1s" TargetMode="External"/><Relationship Id="rId248" Type="http://schemas.openxmlformats.org/officeDocument/2006/relationships/hyperlink" Target="https://youtu.be/xJ6SuvAP96M" TargetMode="External"/><Relationship Id="rId247" Type="http://schemas.openxmlformats.org/officeDocument/2006/relationships/hyperlink" Target="https://youtu.be/DZC3Xsfye5s" TargetMode="External"/><Relationship Id="rId1070" Type="http://schemas.openxmlformats.org/officeDocument/2006/relationships/hyperlink" Target="https://youtu.be/rdCcIUbvyBg" TargetMode="External"/><Relationship Id="rId1071" Type="http://schemas.openxmlformats.org/officeDocument/2006/relationships/hyperlink" Target="https://youtu.be/gIrxtrRow4s" TargetMode="External"/><Relationship Id="rId1072" Type="http://schemas.openxmlformats.org/officeDocument/2006/relationships/hyperlink" Target="https://youtu.be/LLnJNAqEWz4" TargetMode="External"/><Relationship Id="rId242" Type="http://schemas.openxmlformats.org/officeDocument/2006/relationships/hyperlink" Target="https://youtu.be/0wbw4N0KJNM" TargetMode="External"/><Relationship Id="rId1073" Type="http://schemas.openxmlformats.org/officeDocument/2006/relationships/hyperlink" Target="https://youtu.be/-XITJSIj5F4" TargetMode="External"/><Relationship Id="rId241" Type="http://schemas.openxmlformats.org/officeDocument/2006/relationships/hyperlink" Target="https://youtu.be/_KcvvkSpFMk" TargetMode="External"/><Relationship Id="rId1074" Type="http://schemas.openxmlformats.org/officeDocument/2006/relationships/hyperlink" Target="https://youtu.be/84ZWdPY3FC4" TargetMode="External"/><Relationship Id="rId240" Type="http://schemas.openxmlformats.org/officeDocument/2006/relationships/hyperlink" Target="https://youtu.be/HyoPmvf-yOo" TargetMode="External"/><Relationship Id="rId1075" Type="http://schemas.openxmlformats.org/officeDocument/2006/relationships/hyperlink" Target="https://youtu.be/nguMpvFWbdw" TargetMode="External"/><Relationship Id="rId4101" Type="http://schemas.openxmlformats.org/officeDocument/2006/relationships/hyperlink" Target="https://youtu.be/2TWqv26IzoI" TargetMode="External"/><Relationship Id="rId1076" Type="http://schemas.openxmlformats.org/officeDocument/2006/relationships/hyperlink" Target="https://clips.twitch.tv/AggressiveYummyGorillaDancingBaby-dWr1EcvOTFJL_mgX" TargetMode="External"/><Relationship Id="rId4100" Type="http://schemas.openxmlformats.org/officeDocument/2006/relationships/hyperlink" Target="https://youtu.be/m5m6TRv0iY0" TargetMode="External"/><Relationship Id="rId246" Type="http://schemas.openxmlformats.org/officeDocument/2006/relationships/hyperlink" Target="https://youtu.be/zIoDxqcx17s" TargetMode="External"/><Relationship Id="rId1077" Type="http://schemas.openxmlformats.org/officeDocument/2006/relationships/hyperlink" Target="https://youtu.be/qZQIl6lgiS4" TargetMode="External"/><Relationship Id="rId4103" Type="http://schemas.openxmlformats.org/officeDocument/2006/relationships/hyperlink" Target="https://youtu.be/e5e1Gop828s" TargetMode="External"/><Relationship Id="rId245" Type="http://schemas.openxmlformats.org/officeDocument/2006/relationships/hyperlink" Target="https://youtu.be/bSP0aAq39X8" TargetMode="External"/><Relationship Id="rId1078" Type="http://schemas.openxmlformats.org/officeDocument/2006/relationships/hyperlink" Target="https://youtu.be/Lte5YGb892U" TargetMode="External"/><Relationship Id="rId4102" Type="http://schemas.openxmlformats.org/officeDocument/2006/relationships/hyperlink" Target="https://youtu.be/PfEDbHEzpoM" TargetMode="External"/><Relationship Id="rId244" Type="http://schemas.openxmlformats.org/officeDocument/2006/relationships/hyperlink" Target="https://youtu.be/Spc10fhy230" TargetMode="External"/><Relationship Id="rId1079" Type="http://schemas.openxmlformats.org/officeDocument/2006/relationships/hyperlink" Target="https://youtu.be/KMMEmSDWZY4" TargetMode="External"/><Relationship Id="rId4105" Type="http://schemas.openxmlformats.org/officeDocument/2006/relationships/hyperlink" Target="https://youtu.be/cSFHM05liOE" TargetMode="External"/><Relationship Id="rId243" Type="http://schemas.openxmlformats.org/officeDocument/2006/relationships/hyperlink" Target="https://youtu.be/RH7uttowc1U" TargetMode="External"/><Relationship Id="rId4104" Type="http://schemas.openxmlformats.org/officeDocument/2006/relationships/hyperlink" Target="https://youtu.be/uKJi0DIKtBY" TargetMode="External"/><Relationship Id="rId239" Type="http://schemas.openxmlformats.org/officeDocument/2006/relationships/hyperlink" Target="https://youtu.be/0pMsxIWebvo" TargetMode="External"/><Relationship Id="rId238" Type="http://schemas.openxmlformats.org/officeDocument/2006/relationships/hyperlink" Target="https://youtu.be/COek3gkJQ44" TargetMode="External"/><Relationship Id="rId237" Type="http://schemas.openxmlformats.org/officeDocument/2006/relationships/hyperlink" Target="https://youtu.be/ZPJK3hvVeLM" TargetMode="External"/><Relationship Id="rId236" Type="http://schemas.openxmlformats.org/officeDocument/2006/relationships/hyperlink" Target="https://youtu.be/O2RQcvGrVn8" TargetMode="External"/><Relationship Id="rId2390" Type="http://schemas.openxmlformats.org/officeDocument/2006/relationships/hyperlink" Target="https://www.youtube.com/watch?v=2YLmOy5Xb5c" TargetMode="External"/><Relationship Id="rId1060" Type="http://schemas.openxmlformats.org/officeDocument/2006/relationships/hyperlink" Target="https://youtu.be/vNP2y-noUTs" TargetMode="External"/><Relationship Id="rId2391" Type="http://schemas.openxmlformats.org/officeDocument/2006/relationships/hyperlink" Target="https://www.youtube.com/watch?v=pKA_d_U5aMc" TargetMode="External"/><Relationship Id="rId1061" Type="http://schemas.openxmlformats.org/officeDocument/2006/relationships/hyperlink" Target="https://youtu.be/oblK2_tbfLA" TargetMode="External"/><Relationship Id="rId2392" Type="http://schemas.openxmlformats.org/officeDocument/2006/relationships/hyperlink" Target="https://www.youtube.com/watch?v=ZcgyFLGlht4" TargetMode="External"/><Relationship Id="rId231" Type="http://schemas.openxmlformats.org/officeDocument/2006/relationships/hyperlink" Target="https://youtu.be/CZRnpI23QoI" TargetMode="External"/><Relationship Id="rId1062" Type="http://schemas.openxmlformats.org/officeDocument/2006/relationships/hyperlink" Target="https://youtu.be/0ZHFO6DAKsw" TargetMode="External"/><Relationship Id="rId2393" Type="http://schemas.openxmlformats.org/officeDocument/2006/relationships/hyperlink" Target="https://www.youtube.com/watch?v=t8QkkV-eT-Y" TargetMode="External"/><Relationship Id="rId230" Type="http://schemas.openxmlformats.org/officeDocument/2006/relationships/hyperlink" Target="https://youtu.be/OsDYvotGHic" TargetMode="External"/><Relationship Id="rId1063" Type="http://schemas.openxmlformats.org/officeDocument/2006/relationships/hyperlink" Target="https://youtu.be/PWaVDI61cdc" TargetMode="External"/><Relationship Id="rId2394" Type="http://schemas.openxmlformats.org/officeDocument/2006/relationships/hyperlink" Target="https://www.youtube.com/watch?v=5Ca6J88O7UY" TargetMode="External"/><Relationship Id="rId1064" Type="http://schemas.openxmlformats.org/officeDocument/2006/relationships/hyperlink" Target="https://youtu.be/WjT8sgQZIU0" TargetMode="External"/><Relationship Id="rId2395" Type="http://schemas.openxmlformats.org/officeDocument/2006/relationships/hyperlink" Target="https://www.youtube.com/watch?v=I9t9Jn9qR2g" TargetMode="External"/><Relationship Id="rId1065" Type="http://schemas.openxmlformats.org/officeDocument/2006/relationships/hyperlink" Target="https://www.youtube.com/watch?v=QJhQR_wOJ9o" TargetMode="External"/><Relationship Id="rId2396" Type="http://schemas.openxmlformats.org/officeDocument/2006/relationships/hyperlink" Target="https://www.youtube.com/watch?v=tvaaJ3tC9HA" TargetMode="External"/><Relationship Id="rId235" Type="http://schemas.openxmlformats.org/officeDocument/2006/relationships/hyperlink" Target="https://youtu.be/3sRgfy9aOzA" TargetMode="External"/><Relationship Id="rId1066" Type="http://schemas.openxmlformats.org/officeDocument/2006/relationships/hyperlink" Target="https://youtu.be/QS2WODoBUiE" TargetMode="External"/><Relationship Id="rId2397" Type="http://schemas.openxmlformats.org/officeDocument/2006/relationships/hyperlink" Target="https://twitter.com/Qbe_Root/status/1373764979141279746" TargetMode="External"/><Relationship Id="rId234" Type="http://schemas.openxmlformats.org/officeDocument/2006/relationships/hyperlink" Target="https://youtu.be/ViVX-leg42I" TargetMode="External"/><Relationship Id="rId1067" Type="http://schemas.openxmlformats.org/officeDocument/2006/relationships/hyperlink" Target="https://youtu.be/uTJtWUpmFVI" TargetMode="External"/><Relationship Id="rId2398" Type="http://schemas.openxmlformats.org/officeDocument/2006/relationships/hyperlink" Target="https://www.youtube.com/watch?v=NI-NJqZps9Q" TargetMode="External"/><Relationship Id="rId233" Type="http://schemas.openxmlformats.org/officeDocument/2006/relationships/hyperlink" Target="https://youtu.be/fJAydIbr3yM" TargetMode="External"/><Relationship Id="rId1068" Type="http://schemas.openxmlformats.org/officeDocument/2006/relationships/hyperlink" Target="https://youtu.be/qwVAIa7sTAU" TargetMode="External"/><Relationship Id="rId2399" Type="http://schemas.openxmlformats.org/officeDocument/2006/relationships/hyperlink" Target="https://www.youtube.com/watch?v=NI-NJqZps9Q" TargetMode="External"/><Relationship Id="rId232" Type="http://schemas.openxmlformats.org/officeDocument/2006/relationships/hyperlink" Target="https://youtu.be/U96dG5QCtj4" TargetMode="External"/><Relationship Id="rId1069" Type="http://schemas.openxmlformats.org/officeDocument/2006/relationships/hyperlink" Target="https://youtu.be/kBIHINSXADo" TargetMode="External"/><Relationship Id="rId1015" Type="http://schemas.openxmlformats.org/officeDocument/2006/relationships/hyperlink" Target="https://youtu.be/rlO0H0vRoVk" TargetMode="External"/><Relationship Id="rId2346" Type="http://schemas.openxmlformats.org/officeDocument/2006/relationships/hyperlink" Target="https://clips.twitch.tv/SmoggyBillowingEndiveCclamChamp-ZaFqWwthuV3C7d6G" TargetMode="External"/><Relationship Id="rId3678" Type="http://schemas.openxmlformats.org/officeDocument/2006/relationships/hyperlink" Target="https://youtu.be/6mI4Vok80os" TargetMode="External"/><Relationship Id="rId1016" Type="http://schemas.openxmlformats.org/officeDocument/2006/relationships/hyperlink" Target="https://youtu.be/o7lHABnxHgI" TargetMode="External"/><Relationship Id="rId2347" Type="http://schemas.openxmlformats.org/officeDocument/2006/relationships/hyperlink" Target="https://www.twitch.tv/powonateur/clip/DoubtfulPoorHabaneroKAPOW" TargetMode="External"/><Relationship Id="rId3677" Type="http://schemas.openxmlformats.org/officeDocument/2006/relationships/hyperlink" Target="https://www.twitch.tv/videos/1240610068" TargetMode="External"/><Relationship Id="rId1017" Type="http://schemas.openxmlformats.org/officeDocument/2006/relationships/hyperlink" Target="https://youtu.be/FjmZk1UdpnA" TargetMode="External"/><Relationship Id="rId2348" Type="http://schemas.openxmlformats.org/officeDocument/2006/relationships/hyperlink" Target="https://clips.twitch.tv/RoundDrabRadishKevinTurtle-htBD9wgVUMLt2V0x" TargetMode="External"/><Relationship Id="rId1018" Type="http://schemas.openxmlformats.org/officeDocument/2006/relationships/hyperlink" Target="https://youtu.be/L5ZxQdfVpWM" TargetMode="External"/><Relationship Id="rId2349" Type="http://schemas.openxmlformats.org/officeDocument/2006/relationships/hyperlink" Target="https://www.twitch.tv/powonateur/clip/PlausibleEphemeralPanResidentSleeper-OlOqbnMqLJtMKarY" TargetMode="External"/><Relationship Id="rId3679" Type="http://schemas.openxmlformats.org/officeDocument/2006/relationships/hyperlink" Target="https://youtu.be/2V-E1Ry_EdM" TargetMode="External"/><Relationship Id="rId1019" Type="http://schemas.openxmlformats.org/officeDocument/2006/relationships/hyperlink" Target="https://youtu.be/S0sk26Pw7D4" TargetMode="External"/><Relationship Id="rId3670" Type="http://schemas.openxmlformats.org/officeDocument/2006/relationships/hyperlink" Target="https://youtu.be/HPS5N1Vmy6Q" TargetMode="External"/><Relationship Id="rId2340" Type="http://schemas.openxmlformats.org/officeDocument/2006/relationships/hyperlink" Target="https://clips.twitch.tv/LitigiousRamshackleBorkThisIsSparta-xKEoKqUM4rBq1Cb7" TargetMode="External"/><Relationship Id="rId3672" Type="http://schemas.openxmlformats.org/officeDocument/2006/relationships/hyperlink" Target="https://youtu.be/o3BJ9s8uUxw" TargetMode="External"/><Relationship Id="rId1010" Type="http://schemas.openxmlformats.org/officeDocument/2006/relationships/hyperlink" Target="https://youtu.be/M3AaZub7ucA" TargetMode="External"/><Relationship Id="rId2341" Type="http://schemas.openxmlformats.org/officeDocument/2006/relationships/hyperlink" Target="https://www.twitch.tv/videos/664777391" TargetMode="External"/><Relationship Id="rId3671" Type="http://schemas.openxmlformats.org/officeDocument/2006/relationships/hyperlink" Target="https://www.twitch.tv/videos/1239274480" TargetMode="External"/><Relationship Id="rId1011" Type="http://schemas.openxmlformats.org/officeDocument/2006/relationships/hyperlink" Target="https://youtu.be/EeX0cs6PbUc" TargetMode="External"/><Relationship Id="rId2342" Type="http://schemas.openxmlformats.org/officeDocument/2006/relationships/hyperlink" Target="https://www.twitch.tv/videos/882816902" TargetMode="External"/><Relationship Id="rId3674" Type="http://schemas.openxmlformats.org/officeDocument/2006/relationships/hyperlink" Target="https://youtu.be/WH0jcgZhuSk" TargetMode="External"/><Relationship Id="rId1012" Type="http://schemas.openxmlformats.org/officeDocument/2006/relationships/hyperlink" Target="https://youtu.be/bpGs_F2UM5M" TargetMode="External"/><Relationship Id="rId2343" Type="http://schemas.openxmlformats.org/officeDocument/2006/relationships/hyperlink" Target="https://clips.twitch.tv/ProtectiveVastLaptopLeeroyJenkins-qIHSnmoPnEY4BlvD" TargetMode="External"/><Relationship Id="rId3673" Type="http://schemas.openxmlformats.org/officeDocument/2006/relationships/hyperlink" Target="https://www.twitch.tv/videos/1221315070" TargetMode="External"/><Relationship Id="rId1013" Type="http://schemas.openxmlformats.org/officeDocument/2006/relationships/hyperlink" Target="https://youtu.be/Mm9NG_B2d94" TargetMode="External"/><Relationship Id="rId2344" Type="http://schemas.openxmlformats.org/officeDocument/2006/relationships/hyperlink" Target="https://clips.twitch.tv/PiercingTangentialYogurtShazBotstix-J7UPWNWz82etG0vV" TargetMode="External"/><Relationship Id="rId3676" Type="http://schemas.openxmlformats.org/officeDocument/2006/relationships/hyperlink" Target="https://youtu.be/NL7okSeY5iY" TargetMode="External"/><Relationship Id="rId1014" Type="http://schemas.openxmlformats.org/officeDocument/2006/relationships/hyperlink" Target="https://youtu.be/Zmj42FKDL54" TargetMode="External"/><Relationship Id="rId2345" Type="http://schemas.openxmlformats.org/officeDocument/2006/relationships/hyperlink" Target="https://clips.twitch.tv/SmoggyBillowingEndiveCclamChamp-ZaFqWwthuV3C7d6G" TargetMode="External"/><Relationship Id="rId3675" Type="http://schemas.openxmlformats.org/officeDocument/2006/relationships/hyperlink" Target="https://youtu.be/XTDyoF4Y4nU" TargetMode="External"/><Relationship Id="rId1004" Type="http://schemas.openxmlformats.org/officeDocument/2006/relationships/hyperlink" Target="https://www.youtube.com/watch?v=b1_9ikfMHbM" TargetMode="External"/><Relationship Id="rId2335" Type="http://schemas.openxmlformats.org/officeDocument/2006/relationships/hyperlink" Target="https://clips.twitch.tv/ZanyHyperGoatDerp-iKyIPJ5xU7pzzqnC" TargetMode="External"/><Relationship Id="rId3667" Type="http://schemas.openxmlformats.org/officeDocument/2006/relationships/hyperlink" Target="https://youtu.be/VRHX3pgBvAQ" TargetMode="External"/><Relationship Id="rId1005" Type="http://schemas.openxmlformats.org/officeDocument/2006/relationships/hyperlink" Target="https://youtu.be/vv2-8eKCDYE" TargetMode="External"/><Relationship Id="rId2336" Type="http://schemas.openxmlformats.org/officeDocument/2006/relationships/hyperlink" Target="https://clips.twitch.tv/AnnoyingHorribleTrayArgieB8" TargetMode="External"/><Relationship Id="rId3666" Type="http://schemas.openxmlformats.org/officeDocument/2006/relationships/hyperlink" Target="https://youtu.be/0aDb7ovTkt8" TargetMode="External"/><Relationship Id="rId1006" Type="http://schemas.openxmlformats.org/officeDocument/2006/relationships/hyperlink" Target="https://www.youtube.com/watch?v=aLon600xTlw" TargetMode="External"/><Relationship Id="rId2337" Type="http://schemas.openxmlformats.org/officeDocument/2006/relationships/hyperlink" Target="https://clips.twitch.tv/GlutenFreeMagnificentLocustKippa-ILh9-b2R4ZWbwMt8" TargetMode="External"/><Relationship Id="rId3669" Type="http://schemas.openxmlformats.org/officeDocument/2006/relationships/hyperlink" Target="https://youtu.be/IOuZLjDgZX0" TargetMode="External"/><Relationship Id="rId1007" Type="http://schemas.openxmlformats.org/officeDocument/2006/relationships/hyperlink" Target="https://youtu.be/-eTS2GXL6yA" TargetMode="External"/><Relationship Id="rId2338" Type="http://schemas.openxmlformats.org/officeDocument/2006/relationships/hyperlink" Target="https://youtu.be/86a8fv-ljhw" TargetMode="External"/><Relationship Id="rId3668" Type="http://schemas.openxmlformats.org/officeDocument/2006/relationships/hyperlink" Target="https://youtu.be/b5xLagqBHMs" TargetMode="External"/><Relationship Id="rId1008" Type="http://schemas.openxmlformats.org/officeDocument/2006/relationships/hyperlink" Target="https://youtu.be/mZUTMpl59is" TargetMode="External"/><Relationship Id="rId2339" Type="http://schemas.openxmlformats.org/officeDocument/2006/relationships/hyperlink" Target="https://clips.twitch.tv/RacyExcitedChoughSoBayed-AjYxNIdb9km-QsKj" TargetMode="External"/><Relationship Id="rId1009" Type="http://schemas.openxmlformats.org/officeDocument/2006/relationships/hyperlink" Target="https://youtu.be/qsDa2K8W4QA" TargetMode="External"/><Relationship Id="rId3661" Type="http://schemas.openxmlformats.org/officeDocument/2006/relationships/hyperlink" Target="https://www.twitch.tv/videos/1240610069" TargetMode="External"/><Relationship Id="rId2330" Type="http://schemas.openxmlformats.org/officeDocument/2006/relationships/hyperlink" Target="https://clips.twitch.tv/JazzyRespectfulBaboonArsonNoSexy" TargetMode="External"/><Relationship Id="rId3660" Type="http://schemas.openxmlformats.org/officeDocument/2006/relationships/hyperlink" Target="https://youtu.be/6maFSYyONMI" TargetMode="External"/><Relationship Id="rId1000" Type="http://schemas.openxmlformats.org/officeDocument/2006/relationships/hyperlink" Target="https://www.twitch.tv/videos/1505884823" TargetMode="External"/><Relationship Id="rId2331" Type="http://schemas.openxmlformats.org/officeDocument/2006/relationships/hyperlink" Target="https://www.twitch.tv/powonateur/clip/DependableSlickPotPeoplesChamp-eBEGv00_u9Q_vrcU" TargetMode="External"/><Relationship Id="rId3663" Type="http://schemas.openxmlformats.org/officeDocument/2006/relationships/hyperlink" Target="https://youtu.be/LnokC0JcIXs" TargetMode="External"/><Relationship Id="rId1001" Type="http://schemas.openxmlformats.org/officeDocument/2006/relationships/hyperlink" Target="https://youtu.be/Xa1m8kE-9L0" TargetMode="External"/><Relationship Id="rId2332" Type="http://schemas.openxmlformats.org/officeDocument/2006/relationships/hyperlink" Target="https://youtu.be/SMsD3PoVZ8w" TargetMode="External"/><Relationship Id="rId3662" Type="http://schemas.openxmlformats.org/officeDocument/2006/relationships/hyperlink" Target="https://youtu.be/ZBw8HgqmYE4" TargetMode="External"/><Relationship Id="rId1002" Type="http://schemas.openxmlformats.org/officeDocument/2006/relationships/hyperlink" Target="https://youtu.be/wHJEISfzoiA" TargetMode="External"/><Relationship Id="rId2333" Type="http://schemas.openxmlformats.org/officeDocument/2006/relationships/hyperlink" Target="https://clips.twitch.tv/SassySavageNostrilTinyFace" TargetMode="External"/><Relationship Id="rId3665" Type="http://schemas.openxmlformats.org/officeDocument/2006/relationships/hyperlink" Target="https://youtu.be/yBPrzGu9iRs" TargetMode="External"/><Relationship Id="rId1003" Type="http://schemas.openxmlformats.org/officeDocument/2006/relationships/hyperlink" Target="https://youtu.be/FG9b-MO43dM" TargetMode="External"/><Relationship Id="rId2334" Type="http://schemas.openxmlformats.org/officeDocument/2006/relationships/hyperlink" Target="https://clips.twitch.tv/OptimisticPolishedPotPeanutButterJellyTime" TargetMode="External"/><Relationship Id="rId3664" Type="http://schemas.openxmlformats.org/officeDocument/2006/relationships/hyperlink" Target="https://youtu.be/8lvROe5a3Fs" TargetMode="External"/><Relationship Id="rId1037" Type="http://schemas.openxmlformats.org/officeDocument/2006/relationships/hyperlink" Target="https://youtu.be/0_TyWw4tTII" TargetMode="External"/><Relationship Id="rId2368" Type="http://schemas.openxmlformats.org/officeDocument/2006/relationships/hyperlink" Target="https://www.twitch.tv/videos/1185901992" TargetMode="External"/><Relationship Id="rId1038" Type="http://schemas.openxmlformats.org/officeDocument/2006/relationships/hyperlink" Target="https://youtu.be/ucyeqLY5tow" TargetMode="External"/><Relationship Id="rId2369" Type="http://schemas.openxmlformats.org/officeDocument/2006/relationships/hyperlink" Target="https://clips.twitch.tv/DifficultDistinctSmoothieDancingBanana" TargetMode="External"/><Relationship Id="rId3699" Type="http://schemas.openxmlformats.org/officeDocument/2006/relationships/hyperlink" Target="https://youtu.be/KUq-Jx8OxAs" TargetMode="External"/><Relationship Id="rId1039" Type="http://schemas.openxmlformats.org/officeDocument/2006/relationships/hyperlink" Target="https://youtu.be/kNo_8Rb5MZM" TargetMode="External"/><Relationship Id="rId206" Type="http://schemas.openxmlformats.org/officeDocument/2006/relationships/hyperlink" Target="https://youtu.be/EXJjGtupSuQ" TargetMode="External"/><Relationship Id="rId205" Type="http://schemas.openxmlformats.org/officeDocument/2006/relationships/hyperlink" Target="https://youtu.be/yWNn72bcKa4" TargetMode="External"/><Relationship Id="rId204" Type="http://schemas.openxmlformats.org/officeDocument/2006/relationships/hyperlink" Target="https://youtu.be/PVSS6q65Vaw" TargetMode="External"/><Relationship Id="rId203" Type="http://schemas.openxmlformats.org/officeDocument/2006/relationships/hyperlink" Target="https://youtu.be/4vggvRGdpj8" TargetMode="External"/><Relationship Id="rId209" Type="http://schemas.openxmlformats.org/officeDocument/2006/relationships/hyperlink" Target="https://youtu.be/XnpeOVGpQcA" TargetMode="External"/><Relationship Id="rId208" Type="http://schemas.openxmlformats.org/officeDocument/2006/relationships/hyperlink" Target="https://www.youtube.com/watch?v=6r9i0l1N-l8" TargetMode="External"/><Relationship Id="rId3690" Type="http://schemas.openxmlformats.org/officeDocument/2006/relationships/hyperlink" Target="https://youtu.be/PVGqyyWrnSM" TargetMode="External"/><Relationship Id="rId207" Type="http://schemas.openxmlformats.org/officeDocument/2006/relationships/hyperlink" Target="https://youtu.be/idSMGwLicmk" TargetMode="External"/><Relationship Id="rId2360" Type="http://schemas.openxmlformats.org/officeDocument/2006/relationships/hyperlink" Target="https://clips.twitch.tv/EncouragingTenuousMooseBigBrother-ynZ8zxXyb1Nvct5_" TargetMode="External"/><Relationship Id="rId3692" Type="http://schemas.openxmlformats.org/officeDocument/2006/relationships/hyperlink" Target="https://youtu.be/tHKISoTDxfg" TargetMode="External"/><Relationship Id="rId1030" Type="http://schemas.openxmlformats.org/officeDocument/2006/relationships/hyperlink" Target="https://youtu.be/AUHQSA0XoX8" TargetMode="External"/><Relationship Id="rId2361" Type="http://schemas.openxmlformats.org/officeDocument/2006/relationships/hyperlink" Target="https://clips.twitch.tv/ScrumptiousPowerfulDugongPupper-OUGeVxt0chLJpMFh" TargetMode="External"/><Relationship Id="rId3691" Type="http://schemas.openxmlformats.org/officeDocument/2006/relationships/hyperlink" Target="https://youtu.be/Y2cUppv-m-M" TargetMode="External"/><Relationship Id="rId1031" Type="http://schemas.openxmlformats.org/officeDocument/2006/relationships/hyperlink" Target="https://youtu.be/_uJ8hfovpBg" TargetMode="External"/><Relationship Id="rId2362" Type="http://schemas.openxmlformats.org/officeDocument/2006/relationships/hyperlink" Target="https://clips.twitch.tv/RealThirstyLyrebirdDuDudu-DEsMOFSQ680MQ195" TargetMode="External"/><Relationship Id="rId3694" Type="http://schemas.openxmlformats.org/officeDocument/2006/relationships/hyperlink" Target="https://youtu.be/vf7LO_ZZhjw" TargetMode="External"/><Relationship Id="rId1032" Type="http://schemas.openxmlformats.org/officeDocument/2006/relationships/hyperlink" Target="https://youtu.be/chvN4NVTeSw" TargetMode="External"/><Relationship Id="rId2363" Type="http://schemas.openxmlformats.org/officeDocument/2006/relationships/hyperlink" Target="https://clips.twitch.tv/HonestPowerfulTardigradeWholeWheat-dPGwYg8m4-t1DAfy" TargetMode="External"/><Relationship Id="rId3693" Type="http://schemas.openxmlformats.org/officeDocument/2006/relationships/hyperlink" Target="https://youtu.be/wutk4BplKqE" TargetMode="External"/><Relationship Id="rId202" Type="http://schemas.openxmlformats.org/officeDocument/2006/relationships/hyperlink" Target="https://youtu.be/vtzRVmIS3N0" TargetMode="External"/><Relationship Id="rId1033" Type="http://schemas.openxmlformats.org/officeDocument/2006/relationships/hyperlink" Target="https://youtu.be/n9nYAkVfRhg" TargetMode="External"/><Relationship Id="rId2364" Type="http://schemas.openxmlformats.org/officeDocument/2006/relationships/hyperlink" Target="https://clips.twitch.tv/FaithfulFragileHyenaDancingBanana" TargetMode="External"/><Relationship Id="rId3696" Type="http://schemas.openxmlformats.org/officeDocument/2006/relationships/hyperlink" Target="https://youtu.be/TRXerkU9S-Q" TargetMode="External"/><Relationship Id="rId201" Type="http://schemas.openxmlformats.org/officeDocument/2006/relationships/hyperlink" Target="https://youtu.be/yaUZ7zMs4j0" TargetMode="External"/><Relationship Id="rId1034" Type="http://schemas.openxmlformats.org/officeDocument/2006/relationships/hyperlink" Target="https://twitter.com/AverageTrey/status/1355859767902822402" TargetMode="External"/><Relationship Id="rId2365" Type="http://schemas.openxmlformats.org/officeDocument/2006/relationships/hyperlink" Target="https://clips.twitch.tv/SleepySillyTermiteTheRinger-RZfq3u3LkuRfqaZr" TargetMode="External"/><Relationship Id="rId3695" Type="http://schemas.openxmlformats.org/officeDocument/2006/relationships/hyperlink" Target="https://youtu.be/MHz8svxTCuM" TargetMode="External"/><Relationship Id="rId200" Type="http://schemas.openxmlformats.org/officeDocument/2006/relationships/hyperlink" Target="https://youtu.be/80CjYSyiwxo" TargetMode="External"/><Relationship Id="rId1035" Type="http://schemas.openxmlformats.org/officeDocument/2006/relationships/hyperlink" Target="https://youtu.be/BdbH39VrJYs" TargetMode="External"/><Relationship Id="rId2366" Type="http://schemas.openxmlformats.org/officeDocument/2006/relationships/hyperlink" Target="https://clips.twitch.tv/SmallTenaciousCookieRalpherZ-UjyOg6eM_duH166Y" TargetMode="External"/><Relationship Id="rId3698" Type="http://schemas.openxmlformats.org/officeDocument/2006/relationships/hyperlink" Target="https://youtu.be/b_-cHYo4eE8" TargetMode="External"/><Relationship Id="rId1036" Type="http://schemas.openxmlformats.org/officeDocument/2006/relationships/hyperlink" Target="https://youtu.be/nQy_jg9yEw4" TargetMode="External"/><Relationship Id="rId2367" Type="http://schemas.openxmlformats.org/officeDocument/2006/relationships/hyperlink" Target="https://youtu.be/WZfTvH4o2Jg" TargetMode="External"/><Relationship Id="rId3697" Type="http://schemas.openxmlformats.org/officeDocument/2006/relationships/hyperlink" Target="https://youtu.be/PXAYZ7142aY" TargetMode="External"/><Relationship Id="rId1026" Type="http://schemas.openxmlformats.org/officeDocument/2006/relationships/hyperlink" Target="https://youtu.be/PI55eewc68w" TargetMode="External"/><Relationship Id="rId2357" Type="http://schemas.openxmlformats.org/officeDocument/2006/relationships/hyperlink" Target="https://youtu.be/Lp7qZKzFz5o" TargetMode="External"/><Relationship Id="rId3689" Type="http://schemas.openxmlformats.org/officeDocument/2006/relationships/hyperlink" Target="https://youtu.be/BTFIMcWwNGc" TargetMode="External"/><Relationship Id="rId1027" Type="http://schemas.openxmlformats.org/officeDocument/2006/relationships/hyperlink" Target="https://youtu.be/bddloJuRMaw" TargetMode="External"/><Relationship Id="rId2358" Type="http://schemas.openxmlformats.org/officeDocument/2006/relationships/hyperlink" Target="https://clips.twitch.tv/BlindingCulturedThymeUWot-fdDLG9i_9KqR93_a" TargetMode="External"/><Relationship Id="rId3688" Type="http://schemas.openxmlformats.org/officeDocument/2006/relationships/hyperlink" Target="https://youtu.be/KV14OoM4Dw4" TargetMode="External"/><Relationship Id="rId1028" Type="http://schemas.openxmlformats.org/officeDocument/2006/relationships/hyperlink" Target="https://youtu.be/XTuldzbZvpo" TargetMode="External"/><Relationship Id="rId2359" Type="http://schemas.openxmlformats.org/officeDocument/2006/relationships/hyperlink" Target="https://clips.twitch.tv/PunchyAstuteMushroomNotLikeThis-K-Oqqj6UrzIVcVy0" TargetMode="External"/><Relationship Id="rId1029" Type="http://schemas.openxmlformats.org/officeDocument/2006/relationships/hyperlink" Target="https://youtu.be/k5XnERuF7jo" TargetMode="External"/><Relationship Id="rId3681" Type="http://schemas.openxmlformats.org/officeDocument/2006/relationships/hyperlink" Target="https://youtu.be/COIMShAaKdw" TargetMode="External"/><Relationship Id="rId2350" Type="http://schemas.openxmlformats.org/officeDocument/2006/relationships/hyperlink" Target="https://clips.twitch.tv/ShyDepressedMangoRlyTho-9lIAUFrzJY8VGJkp" TargetMode="External"/><Relationship Id="rId3680" Type="http://schemas.openxmlformats.org/officeDocument/2006/relationships/hyperlink" Target="https://www.twitch.tv/videos/1564290677" TargetMode="External"/><Relationship Id="rId1020" Type="http://schemas.openxmlformats.org/officeDocument/2006/relationships/hyperlink" Target="https://www.twitch.tv/videos/1093300038" TargetMode="External"/><Relationship Id="rId2351" Type="http://schemas.openxmlformats.org/officeDocument/2006/relationships/hyperlink" Target="https://www.twitch.tv/videos/1015038368" TargetMode="External"/><Relationship Id="rId3683" Type="http://schemas.openxmlformats.org/officeDocument/2006/relationships/hyperlink" Target="https://youtu.be/1X1H4tLcTuE" TargetMode="External"/><Relationship Id="rId1021" Type="http://schemas.openxmlformats.org/officeDocument/2006/relationships/hyperlink" Target="https://youtu.be/Ur30oJz5fLg" TargetMode="External"/><Relationship Id="rId2352" Type="http://schemas.openxmlformats.org/officeDocument/2006/relationships/hyperlink" Target="https://clips.twitch.tv/BeautifulNeighborlyScallionMingLee-LinLyQ3OR4dAkoKX" TargetMode="External"/><Relationship Id="rId3682" Type="http://schemas.openxmlformats.org/officeDocument/2006/relationships/hyperlink" Target="https://youtu.be/lyWm_9LlYOQ" TargetMode="External"/><Relationship Id="rId1022" Type="http://schemas.openxmlformats.org/officeDocument/2006/relationships/hyperlink" Target="https://youtu.be/XMhkera1ZFY" TargetMode="External"/><Relationship Id="rId2353" Type="http://schemas.openxmlformats.org/officeDocument/2006/relationships/hyperlink" Target="https://clips.twitch.tv/BluePopularPeppermintFrankerZ-Up7VC2eF9_LQ8l5X" TargetMode="External"/><Relationship Id="rId3685" Type="http://schemas.openxmlformats.org/officeDocument/2006/relationships/hyperlink" Target="https://youtu.be/bINNm5Aceek" TargetMode="External"/><Relationship Id="rId1023" Type="http://schemas.openxmlformats.org/officeDocument/2006/relationships/hyperlink" Target="https://youtu.be/MlhTMA8jRhY" TargetMode="External"/><Relationship Id="rId2354" Type="http://schemas.openxmlformats.org/officeDocument/2006/relationships/hyperlink" Target="https://www.twitch.tv/videos/1015029698" TargetMode="External"/><Relationship Id="rId3684" Type="http://schemas.openxmlformats.org/officeDocument/2006/relationships/hyperlink" Target="https://www.twitch.tv/videos/1249387882" TargetMode="External"/><Relationship Id="rId1024" Type="http://schemas.openxmlformats.org/officeDocument/2006/relationships/hyperlink" Target="https://youtu.be/Bgqnl1ePxIQ" TargetMode="External"/><Relationship Id="rId2355" Type="http://schemas.openxmlformats.org/officeDocument/2006/relationships/hyperlink" Target="https://clips.twitch.tv/GloriousSincereTireChefFrank--wS8EUVl3eFwe24p" TargetMode="External"/><Relationship Id="rId3687" Type="http://schemas.openxmlformats.org/officeDocument/2006/relationships/hyperlink" Target="https://youtu.be/d9DyDRTKOU8" TargetMode="External"/><Relationship Id="rId1025" Type="http://schemas.openxmlformats.org/officeDocument/2006/relationships/hyperlink" Target="https://youtu.be/-TE0ZMUEmeI" TargetMode="External"/><Relationship Id="rId2356" Type="http://schemas.openxmlformats.org/officeDocument/2006/relationships/hyperlink" Target="https://clips.twitch.tv/PoliteSpotlessWasp4Head-v_BpdhhwbGQwasFR" TargetMode="External"/><Relationship Id="rId3686" Type="http://schemas.openxmlformats.org/officeDocument/2006/relationships/hyperlink" Target="https://youtu.be/3UELneIbRvU" TargetMode="External"/><Relationship Id="rId4161" Type="http://schemas.openxmlformats.org/officeDocument/2006/relationships/hyperlink" Target="https://youtu.be/Bg5NdxwizTY" TargetMode="External"/><Relationship Id="rId4160" Type="http://schemas.openxmlformats.org/officeDocument/2006/relationships/hyperlink" Target="https://youtu.be/1HDBaMUS5Dw" TargetMode="External"/><Relationship Id="rId4163" Type="http://schemas.openxmlformats.org/officeDocument/2006/relationships/hyperlink" Target="https://www.youtube.com/watch?v=Z4k7OhEvtNM" TargetMode="External"/><Relationship Id="rId4162" Type="http://schemas.openxmlformats.org/officeDocument/2006/relationships/hyperlink" Target="https://www.youtube.com/watch?v=Jf9z2eakT9A" TargetMode="External"/><Relationship Id="rId4165" Type="http://schemas.openxmlformats.org/officeDocument/2006/relationships/hyperlink" Target="https://www.twitch.tv/inkstar/clip/SuccessfulCoweringLorisMcaT-fHzSu78G4Jp8x1Io" TargetMode="External"/><Relationship Id="rId4164" Type="http://schemas.openxmlformats.org/officeDocument/2006/relationships/hyperlink" Target="https://www.youtube.com/watch?v=LzAbYz22Xts" TargetMode="External"/><Relationship Id="rId4167" Type="http://schemas.openxmlformats.org/officeDocument/2006/relationships/hyperlink" Target="https://youtu.be/7fwDH3Vvugs" TargetMode="External"/><Relationship Id="rId4166" Type="http://schemas.openxmlformats.org/officeDocument/2006/relationships/hyperlink" Target="https://twitter.com/zelpikukirby/status/1295234878305271808" TargetMode="External"/><Relationship Id="rId4169" Type="http://schemas.openxmlformats.org/officeDocument/2006/relationships/hyperlink" Target="https://www.youtube.com/watch?v=xMqUb5dUiZM" TargetMode="External"/><Relationship Id="rId4168" Type="http://schemas.openxmlformats.org/officeDocument/2006/relationships/hyperlink" Target="https://clips.twitch.tv/FantasticHumbleNuggetsAMPTropPunch-8vOucFusTrXlS3mn" TargetMode="External"/><Relationship Id="rId4150" Type="http://schemas.openxmlformats.org/officeDocument/2006/relationships/hyperlink" Target="https://clips.twitch.tv/BoredGrossSageResidentSleeper-RoadRockbjIdqeRh" TargetMode="External"/><Relationship Id="rId4152" Type="http://schemas.openxmlformats.org/officeDocument/2006/relationships/hyperlink" Target="https://youtu.be/hOM8hYJojHg" TargetMode="External"/><Relationship Id="rId4151" Type="http://schemas.openxmlformats.org/officeDocument/2006/relationships/hyperlink" Target="https://www.youtube.com/watch?v=JVJuFsqyJ7Q" TargetMode="External"/><Relationship Id="rId4154" Type="http://schemas.openxmlformats.org/officeDocument/2006/relationships/hyperlink" Target="https://www.youtube.com/watch?v=m-e9xTt4F-I" TargetMode="External"/><Relationship Id="rId4153" Type="http://schemas.openxmlformats.org/officeDocument/2006/relationships/hyperlink" Target="https://youtu.be/7o-futAzycw" TargetMode="External"/><Relationship Id="rId4156" Type="http://schemas.openxmlformats.org/officeDocument/2006/relationships/hyperlink" Target="https://www.youtube.com/watch?v=R4IxK2k5dl0&amp;" TargetMode="External"/><Relationship Id="rId4155" Type="http://schemas.openxmlformats.org/officeDocument/2006/relationships/hyperlink" Target="https://www.youtube.com/watch?v=HPXO9760duU&amp;" TargetMode="External"/><Relationship Id="rId4158" Type="http://schemas.openxmlformats.org/officeDocument/2006/relationships/hyperlink" Target="https://www.youtube.com/watch?v=xWCGegw2YqQ" TargetMode="External"/><Relationship Id="rId4157" Type="http://schemas.openxmlformats.org/officeDocument/2006/relationships/hyperlink" Target="https://www.youtube.com/watch?v=PCcI6CIPGqk" TargetMode="External"/><Relationship Id="rId4159" Type="http://schemas.openxmlformats.org/officeDocument/2006/relationships/hyperlink" Target="https://www.youtube.com/watch?v=oO5-I1f_Syo" TargetMode="External"/><Relationship Id="rId1910" Type="http://schemas.openxmlformats.org/officeDocument/2006/relationships/hyperlink" Target="https://youtu.be/6qIWHHF6eug" TargetMode="External"/><Relationship Id="rId1911" Type="http://schemas.openxmlformats.org/officeDocument/2006/relationships/hyperlink" Target="https://youtu.be/M9U0p2aI6YM" TargetMode="External"/><Relationship Id="rId1912" Type="http://schemas.openxmlformats.org/officeDocument/2006/relationships/hyperlink" Target="https://youtu.be/TbiL5f3Ktjs" TargetMode="External"/><Relationship Id="rId1913" Type="http://schemas.openxmlformats.org/officeDocument/2006/relationships/hyperlink" Target="https://youtu.be/x2aYNbuK7Xg" TargetMode="External"/><Relationship Id="rId1914" Type="http://schemas.openxmlformats.org/officeDocument/2006/relationships/hyperlink" Target="https://youtu.be/a3bwbz1r5L8?t=45" TargetMode="External"/><Relationship Id="rId1915" Type="http://schemas.openxmlformats.org/officeDocument/2006/relationships/hyperlink" Target="https://youtu.be/r3eee0ZgkS4" TargetMode="External"/><Relationship Id="rId1916" Type="http://schemas.openxmlformats.org/officeDocument/2006/relationships/hyperlink" Target="https://youtu.be/LGcQU5NzFTI" TargetMode="External"/><Relationship Id="rId1917" Type="http://schemas.openxmlformats.org/officeDocument/2006/relationships/hyperlink" Target="https://youtu.be/0wD8BB_opNE" TargetMode="External"/><Relationship Id="rId1918" Type="http://schemas.openxmlformats.org/officeDocument/2006/relationships/hyperlink" Target="https://youtu.be/iSCn5E-30s8" TargetMode="External"/><Relationship Id="rId1919" Type="http://schemas.openxmlformats.org/officeDocument/2006/relationships/hyperlink" Target="https://youtu.be/Vr3gIRP_XVg" TargetMode="External"/><Relationship Id="rId4181" Type="http://schemas.openxmlformats.org/officeDocument/2006/relationships/hyperlink" Target="https://youtu.be/caU8VP9BHrg?t=18" TargetMode="External"/><Relationship Id="rId4180" Type="http://schemas.openxmlformats.org/officeDocument/2006/relationships/hyperlink" Target="https://www.youtube.com/watch?v=caU8VP9BHrg" TargetMode="External"/><Relationship Id="rId4183" Type="http://schemas.openxmlformats.org/officeDocument/2006/relationships/hyperlink" Target="https://www.youtube.com/watch?v=gRryQt-bhAg" TargetMode="External"/><Relationship Id="rId4182" Type="http://schemas.openxmlformats.org/officeDocument/2006/relationships/hyperlink" Target="https://youtu.be/caU8VP9BHrg?t=34" TargetMode="External"/><Relationship Id="rId4185" Type="http://schemas.openxmlformats.org/officeDocument/2006/relationships/hyperlink" Target="https://www.youtube.com/watch?v=YxaJDqTfNGk" TargetMode="External"/><Relationship Id="rId4184" Type="http://schemas.openxmlformats.org/officeDocument/2006/relationships/hyperlink" Target="https://youtu.be/Qmg_xLCSSbA" TargetMode="External"/><Relationship Id="rId4187" Type="http://schemas.openxmlformats.org/officeDocument/2006/relationships/vmlDrawing" Target="../drawings/vmlDrawing1.vml"/><Relationship Id="rId4186" Type="http://schemas.openxmlformats.org/officeDocument/2006/relationships/drawing" Target="../drawings/drawing2.xml"/><Relationship Id="rId1900" Type="http://schemas.openxmlformats.org/officeDocument/2006/relationships/hyperlink" Target="https://youtu.be/wlWTuIlWQSw" TargetMode="External"/><Relationship Id="rId1901" Type="http://schemas.openxmlformats.org/officeDocument/2006/relationships/hyperlink" Target="https://youtu.be/wIw8njveG1A" TargetMode="External"/><Relationship Id="rId1902" Type="http://schemas.openxmlformats.org/officeDocument/2006/relationships/hyperlink" Target="https://youtu.be/segQwMPQDyE" TargetMode="External"/><Relationship Id="rId1903" Type="http://schemas.openxmlformats.org/officeDocument/2006/relationships/hyperlink" Target="https://youtu.be/XBXODnaE71Y" TargetMode="External"/><Relationship Id="rId1904" Type="http://schemas.openxmlformats.org/officeDocument/2006/relationships/hyperlink" Target="https://youtu.be/a4mlAjzbyqI" TargetMode="External"/><Relationship Id="rId1905" Type="http://schemas.openxmlformats.org/officeDocument/2006/relationships/hyperlink" Target="https://youtu.be/shPzEQNNVeg" TargetMode="External"/><Relationship Id="rId1906" Type="http://schemas.openxmlformats.org/officeDocument/2006/relationships/hyperlink" Target="https://youtu.be/iZrVJGFnRhU" TargetMode="External"/><Relationship Id="rId1907" Type="http://schemas.openxmlformats.org/officeDocument/2006/relationships/hyperlink" Target="https://www.twitch.tv/videos/1485767503" TargetMode="External"/><Relationship Id="rId1908" Type="http://schemas.openxmlformats.org/officeDocument/2006/relationships/hyperlink" Target="https://youtu.be/e9eX3OFKMDQ" TargetMode="External"/><Relationship Id="rId1909" Type="http://schemas.openxmlformats.org/officeDocument/2006/relationships/hyperlink" Target="https://youtu.be/25c5cuyuB9M" TargetMode="External"/><Relationship Id="rId4170" Type="http://schemas.openxmlformats.org/officeDocument/2006/relationships/hyperlink" Target="https://www.youtube.com/watch?v=SrUwkGFzCEE" TargetMode="External"/><Relationship Id="rId4172" Type="http://schemas.openxmlformats.org/officeDocument/2006/relationships/hyperlink" Target="https://www.youtube.com/watch?v=6Nt3IRc9yTw" TargetMode="External"/><Relationship Id="rId4171" Type="http://schemas.openxmlformats.org/officeDocument/2006/relationships/hyperlink" Target="https://www.youtube.com/watch?v=VdsKTXs-UTY" TargetMode="External"/><Relationship Id="rId4174" Type="http://schemas.openxmlformats.org/officeDocument/2006/relationships/hyperlink" Target="https://www.youtube.com/watch?v=bLwqganoodE" TargetMode="External"/><Relationship Id="rId4173" Type="http://schemas.openxmlformats.org/officeDocument/2006/relationships/hyperlink" Target="https://www.youtube.com/watch?v=L4jVt_16yUg" TargetMode="External"/><Relationship Id="rId4176" Type="http://schemas.openxmlformats.org/officeDocument/2006/relationships/hyperlink" Target="https://www.twitch.tv/videos/1841251739" TargetMode="External"/><Relationship Id="rId4175" Type="http://schemas.openxmlformats.org/officeDocument/2006/relationships/hyperlink" Target="https://www.youtube.com/watch?v=OEN9ux8xfE4" TargetMode="External"/><Relationship Id="rId4178" Type="http://schemas.openxmlformats.org/officeDocument/2006/relationships/hyperlink" Target="https://www.youtube.com/watch?v=DxeBCVnAtNQ" TargetMode="External"/><Relationship Id="rId4177" Type="http://schemas.openxmlformats.org/officeDocument/2006/relationships/hyperlink" Target="https://www.youtube.com/watch?v=zuhk9lBcLvg" TargetMode="External"/><Relationship Id="rId4179" Type="http://schemas.openxmlformats.org/officeDocument/2006/relationships/hyperlink" Target="https://www.youtube.com/watch?v=laCHqyWs984" TargetMode="External"/><Relationship Id="rId4129" Type="http://schemas.openxmlformats.org/officeDocument/2006/relationships/hyperlink" Target="https://www.youtube.com/watch?v=4txGCrw2IKU&amp;feature=youtu.be" TargetMode="External"/><Relationship Id="rId4128" Type="http://schemas.openxmlformats.org/officeDocument/2006/relationships/hyperlink" Target="https://youtu.be/LR7-pLYq8ms" TargetMode="External"/><Relationship Id="rId1090" Type="http://schemas.openxmlformats.org/officeDocument/2006/relationships/hyperlink" Target="https://youtu.be/UraKuDZSkDg" TargetMode="External"/><Relationship Id="rId1091" Type="http://schemas.openxmlformats.org/officeDocument/2006/relationships/hyperlink" Target="https://www.youtube.com/watch?v=BEyZ2xBWTFE" TargetMode="External"/><Relationship Id="rId1092" Type="http://schemas.openxmlformats.org/officeDocument/2006/relationships/hyperlink" Target="https://youtu.be/7UVnFCmQWcY" TargetMode="External"/><Relationship Id="rId1093" Type="http://schemas.openxmlformats.org/officeDocument/2006/relationships/hyperlink" Target="https://youtu.be/0baoNlfXgKs" TargetMode="External"/><Relationship Id="rId1094" Type="http://schemas.openxmlformats.org/officeDocument/2006/relationships/hyperlink" Target="https://youtu.be/nbnnNC1ATnQ" TargetMode="External"/><Relationship Id="rId1095" Type="http://schemas.openxmlformats.org/officeDocument/2006/relationships/hyperlink" Target="https://youtu.be/Ng8Fadx5Be4" TargetMode="External"/><Relationship Id="rId4121" Type="http://schemas.openxmlformats.org/officeDocument/2006/relationships/hyperlink" Target="https://youtu.be/27CxZIOvcHM" TargetMode="External"/><Relationship Id="rId1096" Type="http://schemas.openxmlformats.org/officeDocument/2006/relationships/hyperlink" Target="https://youtu.be/1LBTYgtLjeE" TargetMode="External"/><Relationship Id="rId4120" Type="http://schemas.openxmlformats.org/officeDocument/2006/relationships/hyperlink" Target="https://www.youtube.com/watch?v=YKJ05njeDNs" TargetMode="External"/><Relationship Id="rId1097" Type="http://schemas.openxmlformats.org/officeDocument/2006/relationships/hyperlink" Target="https://youtu.be/okre_3P0UK0" TargetMode="External"/><Relationship Id="rId4123" Type="http://schemas.openxmlformats.org/officeDocument/2006/relationships/hyperlink" Target="https://youtu.be/q-NdD4rXL5M" TargetMode="External"/><Relationship Id="rId1098" Type="http://schemas.openxmlformats.org/officeDocument/2006/relationships/hyperlink" Target="https://youtu.be/ejK5AqSQMwk" TargetMode="External"/><Relationship Id="rId4122" Type="http://schemas.openxmlformats.org/officeDocument/2006/relationships/hyperlink" Target="https://youtu.be/AwP6a85z6TM" TargetMode="External"/><Relationship Id="rId1099" Type="http://schemas.openxmlformats.org/officeDocument/2006/relationships/hyperlink" Target="https://youtu.be/Yy0mfSyx8LY" TargetMode="External"/><Relationship Id="rId4125" Type="http://schemas.openxmlformats.org/officeDocument/2006/relationships/hyperlink" Target="https://www.youtube.com/watch?v=Yd8E5eorTcc&amp;feature=youtu.be" TargetMode="External"/><Relationship Id="rId4124" Type="http://schemas.openxmlformats.org/officeDocument/2006/relationships/hyperlink" Target="https://youtu.be/yZc7PHqxROY" TargetMode="External"/><Relationship Id="rId4127" Type="http://schemas.openxmlformats.org/officeDocument/2006/relationships/hyperlink" Target="https://youtu.be/iZi92oX7OFc" TargetMode="External"/><Relationship Id="rId4126" Type="http://schemas.openxmlformats.org/officeDocument/2006/relationships/hyperlink" Target="https://www.youtube.com/watch?v=zXqDdDpJsaY" TargetMode="External"/><Relationship Id="rId4118" Type="http://schemas.openxmlformats.org/officeDocument/2006/relationships/hyperlink" Target="https://youtu.be/vRD_ott4DpA" TargetMode="External"/><Relationship Id="rId4117" Type="http://schemas.openxmlformats.org/officeDocument/2006/relationships/hyperlink" Target="https://youtu.be/A8KjkBjUfOk" TargetMode="External"/><Relationship Id="rId4119" Type="http://schemas.openxmlformats.org/officeDocument/2006/relationships/hyperlink" Target="https://www.youtube.com/watch?v=nFAborGQoIQ" TargetMode="External"/><Relationship Id="rId1080" Type="http://schemas.openxmlformats.org/officeDocument/2006/relationships/hyperlink" Target="https://youtu.be/Mw9btYWiowM" TargetMode="External"/><Relationship Id="rId1081" Type="http://schemas.openxmlformats.org/officeDocument/2006/relationships/hyperlink" Target="https://youtu.be/GdVjxAzFKH0" TargetMode="External"/><Relationship Id="rId1082" Type="http://schemas.openxmlformats.org/officeDocument/2006/relationships/hyperlink" Target="https://www.youtube.com/watch?v=9FmKFGK5R1M" TargetMode="External"/><Relationship Id="rId1083" Type="http://schemas.openxmlformats.org/officeDocument/2006/relationships/hyperlink" Target="https://youtu.be/9Xan9QMvy0A" TargetMode="External"/><Relationship Id="rId1084" Type="http://schemas.openxmlformats.org/officeDocument/2006/relationships/hyperlink" Target="https://www.youtube.com/watch?v=-QZVjuSS7pY&amp;feature=youtu.be&amp;ab_channel=Jer" TargetMode="External"/><Relationship Id="rId4110" Type="http://schemas.openxmlformats.org/officeDocument/2006/relationships/hyperlink" Target="https://youtu.be/V5dg32r_sOg" TargetMode="External"/><Relationship Id="rId1085" Type="http://schemas.openxmlformats.org/officeDocument/2006/relationships/hyperlink" Target="https://youtu.be/ld9jXgjHMvw" TargetMode="External"/><Relationship Id="rId1086" Type="http://schemas.openxmlformats.org/officeDocument/2006/relationships/hyperlink" Target="https://youtu.be/pQDk-SYRYF0" TargetMode="External"/><Relationship Id="rId4112" Type="http://schemas.openxmlformats.org/officeDocument/2006/relationships/hyperlink" Target="https://www.youtube.com/watch?v=nZYcDtlRvM8" TargetMode="External"/><Relationship Id="rId1087" Type="http://schemas.openxmlformats.org/officeDocument/2006/relationships/hyperlink" Target="https://youtu.be/qELkaRf-Zfo" TargetMode="External"/><Relationship Id="rId4111" Type="http://schemas.openxmlformats.org/officeDocument/2006/relationships/hyperlink" Target="https://youtu.be/RYYp3oKODso" TargetMode="External"/><Relationship Id="rId1088" Type="http://schemas.openxmlformats.org/officeDocument/2006/relationships/hyperlink" Target="https://youtu.be/MPcrorKQC-8" TargetMode="External"/><Relationship Id="rId4114" Type="http://schemas.openxmlformats.org/officeDocument/2006/relationships/hyperlink" Target="https://youtu.be/kySJxVHeP0U" TargetMode="External"/><Relationship Id="rId1089" Type="http://schemas.openxmlformats.org/officeDocument/2006/relationships/hyperlink" Target="https://youtu.be/cu8fWVk7H0Q" TargetMode="External"/><Relationship Id="rId4113" Type="http://schemas.openxmlformats.org/officeDocument/2006/relationships/hyperlink" Target="https://youtu.be/314rWkYHf6A" TargetMode="External"/><Relationship Id="rId4116" Type="http://schemas.openxmlformats.org/officeDocument/2006/relationships/hyperlink" Target="https://youtu.be/3TQw0AW_aJU" TargetMode="External"/><Relationship Id="rId4115" Type="http://schemas.openxmlformats.org/officeDocument/2006/relationships/hyperlink" Target="https://youtu.be/1xe-zs2KVf0" TargetMode="External"/><Relationship Id="rId4141" Type="http://schemas.openxmlformats.org/officeDocument/2006/relationships/hyperlink" Target="https://www.youtube.com/watch?v=qXYDyZM1szs" TargetMode="External"/><Relationship Id="rId4140" Type="http://schemas.openxmlformats.org/officeDocument/2006/relationships/hyperlink" Target="https://www.youtube.com/watch?v=djpYdinwdWs" TargetMode="External"/><Relationship Id="rId4143" Type="http://schemas.openxmlformats.org/officeDocument/2006/relationships/hyperlink" Target="https://www.twitch.tv/videos/856216849" TargetMode="External"/><Relationship Id="rId4142" Type="http://schemas.openxmlformats.org/officeDocument/2006/relationships/hyperlink" Target="https://www.twitch.tv/videos/924471122" TargetMode="External"/><Relationship Id="rId4145" Type="http://schemas.openxmlformats.org/officeDocument/2006/relationships/hyperlink" Target="https://www.youtube.com/watch?v=YgcVpECSav8" TargetMode="External"/><Relationship Id="rId4144" Type="http://schemas.openxmlformats.org/officeDocument/2006/relationships/hyperlink" Target="https://youtu.be/bGDn8Xgn3_4" TargetMode="External"/><Relationship Id="rId4147" Type="http://schemas.openxmlformats.org/officeDocument/2006/relationships/hyperlink" Target="https://www.youtube.com/watch?v=DFSFi_y42_4" TargetMode="External"/><Relationship Id="rId4146" Type="http://schemas.openxmlformats.org/officeDocument/2006/relationships/hyperlink" Target="https://youtu.be/Jnv7ihiQs6o?si=p089VCWihnt2eD8h" TargetMode="External"/><Relationship Id="rId4149" Type="http://schemas.openxmlformats.org/officeDocument/2006/relationships/hyperlink" Target="https://www.twitch.tv/weird__th/clip/TacitCheerfulApeANELE-du21r-ixc_DVvlUi" TargetMode="External"/><Relationship Id="rId4148" Type="http://schemas.openxmlformats.org/officeDocument/2006/relationships/hyperlink" Target="https://youtu.be/m3di6ACAgl4" TargetMode="External"/><Relationship Id="rId4139" Type="http://schemas.openxmlformats.org/officeDocument/2006/relationships/hyperlink" Target="https://www.youtube.com/watch?v=LvIg-evunV8" TargetMode="External"/><Relationship Id="rId4130" Type="http://schemas.openxmlformats.org/officeDocument/2006/relationships/hyperlink" Target="https://youtu.be/ggc-FSw1An0" TargetMode="External"/><Relationship Id="rId4132" Type="http://schemas.openxmlformats.org/officeDocument/2006/relationships/hyperlink" Target="https://youtu.be/NFtPa_aZoRk" TargetMode="External"/><Relationship Id="rId4131" Type="http://schemas.openxmlformats.org/officeDocument/2006/relationships/hyperlink" Target="https://youtu.be/t3uoOJoYORU" TargetMode="External"/><Relationship Id="rId4134" Type="http://schemas.openxmlformats.org/officeDocument/2006/relationships/hyperlink" Target="https://www.youtube.com/watch?v=-VZeV5aR2Gc" TargetMode="External"/><Relationship Id="rId4133" Type="http://schemas.openxmlformats.org/officeDocument/2006/relationships/hyperlink" Target="https://youtu.be/DJfG3FzltfU" TargetMode="External"/><Relationship Id="rId4136" Type="http://schemas.openxmlformats.org/officeDocument/2006/relationships/hyperlink" Target="https://www.youtube.com/watch?v=f17gzDXlYEI" TargetMode="External"/><Relationship Id="rId4135" Type="http://schemas.openxmlformats.org/officeDocument/2006/relationships/hyperlink" Target="https://www.youtube.com/watch?v=k-c9j9gTfWI" TargetMode="External"/><Relationship Id="rId4138" Type="http://schemas.openxmlformats.org/officeDocument/2006/relationships/hyperlink" Target="https://www.youtube.com/watch?v=gzUXXtTt4nU" TargetMode="External"/><Relationship Id="rId4137" Type="http://schemas.openxmlformats.org/officeDocument/2006/relationships/hyperlink" Target="https://www.youtube.com/watch?v=ABGOgReoYkg" TargetMode="External"/><Relationship Id="rId1972" Type="http://schemas.openxmlformats.org/officeDocument/2006/relationships/hyperlink" Target="https://youtu.be/9m2LPMQczrA?t=21" TargetMode="External"/><Relationship Id="rId1973" Type="http://schemas.openxmlformats.org/officeDocument/2006/relationships/hyperlink" Target="https://youtu.be/YgOPpVj1aK8" TargetMode="External"/><Relationship Id="rId1974" Type="http://schemas.openxmlformats.org/officeDocument/2006/relationships/hyperlink" Target="https://www.twitch.tv/videos/1673269965%20https://www.twitch.tv/videos/1673271963" TargetMode="External"/><Relationship Id="rId1975" Type="http://schemas.openxmlformats.org/officeDocument/2006/relationships/hyperlink" Target="https://www.twitch.tv/videos/1301711730" TargetMode="External"/><Relationship Id="rId1976" Type="http://schemas.openxmlformats.org/officeDocument/2006/relationships/hyperlink" Target="https://youtu.be/nrS8CT0OxiY" TargetMode="External"/><Relationship Id="rId1977" Type="http://schemas.openxmlformats.org/officeDocument/2006/relationships/hyperlink" Target="https://youtu.be/AimZSjyNWkY" TargetMode="External"/><Relationship Id="rId1978" Type="http://schemas.openxmlformats.org/officeDocument/2006/relationships/hyperlink" Target="https://youtu.be/48xmrsnB3Rw" TargetMode="External"/><Relationship Id="rId1979" Type="http://schemas.openxmlformats.org/officeDocument/2006/relationships/hyperlink" Target="https://youtu.be/AkQxqqyoE-0" TargetMode="External"/><Relationship Id="rId1970" Type="http://schemas.openxmlformats.org/officeDocument/2006/relationships/hyperlink" Target="https://youtu.be/f8qTxakPRz8" TargetMode="External"/><Relationship Id="rId1971" Type="http://schemas.openxmlformats.org/officeDocument/2006/relationships/hyperlink" Target="https://youtu.be/0xcQ8v6-y50" TargetMode="External"/><Relationship Id="rId1961" Type="http://schemas.openxmlformats.org/officeDocument/2006/relationships/hyperlink" Target="https://youtu.be/yTlJld17VW4" TargetMode="External"/><Relationship Id="rId1962" Type="http://schemas.openxmlformats.org/officeDocument/2006/relationships/hyperlink" Target="https://twitter.com/SuperWeegeeX/status/1265208641742868480" TargetMode="External"/><Relationship Id="rId1963" Type="http://schemas.openxmlformats.org/officeDocument/2006/relationships/hyperlink" Target="https://clips.twitch.tv/CallousGleamingCakeNomNom" TargetMode="External"/><Relationship Id="rId1964" Type="http://schemas.openxmlformats.org/officeDocument/2006/relationships/hyperlink" Target="https://www.youtube.com/watch?v=S0bibwCQ-Z4" TargetMode="External"/><Relationship Id="rId1965" Type="http://schemas.openxmlformats.org/officeDocument/2006/relationships/hyperlink" Target="https://clips.twitch.tv/CourteousSmilingHamburgerTriHard" TargetMode="External"/><Relationship Id="rId1966" Type="http://schemas.openxmlformats.org/officeDocument/2006/relationships/hyperlink" Target="https://www.youtube.com/watch?v=EPEj38_SbRM" TargetMode="External"/><Relationship Id="rId1967" Type="http://schemas.openxmlformats.org/officeDocument/2006/relationships/hyperlink" Target="https://www.youtube.com/watch?v=T17l15C41xA" TargetMode="External"/><Relationship Id="rId1968" Type="http://schemas.openxmlformats.org/officeDocument/2006/relationships/hyperlink" Target="https://www.youtube.com/watch?v=KSCkazHQY38" TargetMode="External"/><Relationship Id="rId1969" Type="http://schemas.openxmlformats.org/officeDocument/2006/relationships/hyperlink" Target="https://clips.twitch.tv/BrightBenevolentBulgogiAMPEnergy" TargetMode="External"/><Relationship Id="rId1960" Type="http://schemas.openxmlformats.org/officeDocument/2006/relationships/hyperlink" Target="https://youtu.be/eRWK6mfnIu4" TargetMode="External"/><Relationship Id="rId1994" Type="http://schemas.openxmlformats.org/officeDocument/2006/relationships/hyperlink" Target="https://youtu.be/xa4h6D34ilU" TargetMode="External"/><Relationship Id="rId1995" Type="http://schemas.openxmlformats.org/officeDocument/2006/relationships/hyperlink" Target="https://youtu.be/i5EQrRXXKKs" TargetMode="External"/><Relationship Id="rId1996" Type="http://schemas.openxmlformats.org/officeDocument/2006/relationships/hyperlink" Target="https://youtu.be/EIeMwE4UCjY" TargetMode="External"/><Relationship Id="rId1997" Type="http://schemas.openxmlformats.org/officeDocument/2006/relationships/hyperlink" Target="https://clips.twitch.tv/IronicEagerLapwingMikeHogu-yHIiGpvTonfBe9pl" TargetMode="External"/><Relationship Id="rId1998" Type="http://schemas.openxmlformats.org/officeDocument/2006/relationships/hyperlink" Target="https://clips.twitch.tv/GenerousBlightedBaguetteHeyGuys-4Vn_-Ze8cocnEwg1" TargetMode="External"/><Relationship Id="rId1999" Type="http://schemas.openxmlformats.org/officeDocument/2006/relationships/hyperlink" Target="https://youtu.be/1Mm8XSMDNnQ" TargetMode="External"/><Relationship Id="rId1990" Type="http://schemas.openxmlformats.org/officeDocument/2006/relationships/hyperlink" Target="https://clips.twitch.tv/InterestingCoyClamPeoplesChamp-vVjm2iS4lpmbFrHO" TargetMode="External"/><Relationship Id="rId1991" Type="http://schemas.openxmlformats.org/officeDocument/2006/relationships/hyperlink" Target="https://clips.twitch.tv/TriangularCovertGaurOhMyDog-mCpq0k6ZoTRACJeW" TargetMode="External"/><Relationship Id="rId1992" Type="http://schemas.openxmlformats.org/officeDocument/2006/relationships/hyperlink" Target="https://youtu.be/l_GoG_ZxSpo" TargetMode="External"/><Relationship Id="rId1993" Type="http://schemas.openxmlformats.org/officeDocument/2006/relationships/hyperlink" Target="https://youtu.be/YD_yWkyM26c" TargetMode="External"/><Relationship Id="rId1983" Type="http://schemas.openxmlformats.org/officeDocument/2006/relationships/hyperlink" Target="https://youtu.be/kgdFo-Rr8zE" TargetMode="External"/><Relationship Id="rId1984" Type="http://schemas.openxmlformats.org/officeDocument/2006/relationships/hyperlink" Target="https://youtu.be/LWECDANiBsA" TargetMode="External"/><Relationship Id="rId1985" Type="http://schemas.openxmlformats.org/officeDocument/2006/relationships/hyperlink" Target="https://clips.twitch.tv/YummyAlertDinosaurYouWHY-z7vYmECmU5dVKEIR" TargetMode="External"/><Relationship Id="rId1986" Type="http://schemas.openxmlformats.org/officeDocument/2006/relationships/hyperlink" Target="https://youtu.be/lFu-GlZWAb8" TargetMode="External"/><Relationship Id="rId1987" Type="http://schemas.openxmlformats.org/officeDocument/2006/relationships/hyperlink" Target="https://youtu.be/5uDM8jwHFO0" TargetMode="External"/><Relationship Id="rId1988" Type="http://schemas.openxmlformats.org/officeDocument/2006/relationships/hyperlink" Target="https://youtu.be/hT3xX7FHwjw" TargetMode="External"/><Relationship Id="rId1989" Type="http://schemas.openxmlformats.org/officeDocument/2006/relationships/hyperlink" Target="https://youtu.be/dvMeIv71PvY" TargetMode="External"/><Relationship Id="rId1980" Type="http://schemas.openxmlformats.org/officeDocument/2006/relationships/hyperlink" Target="https://youtu.be/ZZLaa-0jir8" TargetMode="External"/><Relationship Id="rId1981" Type="http://schemas.openxmlformats.org/officeDocument/2006/relationships/hyperlink" Target="https://youtu.be/E-wCduEsN1g" TargetMode="External"/><Relationship Id="rId1982" Type="http://schemas.openxmlformats.org/officeDocument/2006/relationships/hyperlink" Target="https://youtu.be/n9upMOsSvj4" TargetMode="External"/><Relationship Id="rId1930" Type="http://schemas.openxmlformats.org/officeDocument/2006/relationships/hyperlink" Target="https://youtu.be/_0eY5bnDUK8" TargetMode="External"/><Relationship Id="rId1931" Type="http://schemas.openxmlformats.org/officeDocument/2006/relationships/hyperlink" Target="https://youtu.be/TvnjjOvq4G8?t=23" TargetMode="External"/><Relationship Id="rId1932" Type="http://schemas.openxmlformats.org/officeDocument/2006/relationships/hyperlink" Target="https://www.youtube.com/watch?v=UmWMxSpXo6g" TargetMode="External"/><Relationship Id="rId1933" Type="http://schemas.openxmlformats.org/officeDocument/2006/relationships/hyperlink" Target="https://youtu.be/iiNkhOPc2sM" TargetMode="External"/><Relationship Id="rId1934" Type="http://schemas.openxmlformats.org/officeDocument/2006/relationships/hyperlink" Target="https://youtu.be/1siv5SyRrKg" TargetMode="External"/><Relationship Id="rId1935" Type="http://schemas.openxmlformats.org/officeDocument/2006/relationships/hyperlink" Target="https://youtu.be/hnKXmpbuxM4?t=87" TargetMode="External"/><Relationship Id="rId1936" Type="http://schemas.openxmlformats.org/officeDocument/2006/relationships/hyperlink" Target="https://www.youtube.com/watch?v=go56KF8IZOI" TargetMode="External"/><Relationship Id="rId1937" Type="http://schemas.openxmlformats.org/officeDocument/2006/relationships/hyperlink" Target="https://youtu.be/zuchlKzO90A" TargetMode="External"/><Relationship Id="rId1938" Type="http://schemas.openxmlformats.org/officeDocument/2006/relationships/hyperlink" Target="https://youtu.be/vcbvt-lvT8s" TargetMode="External"/><Relationship Id="rId1939" Type="http://schemas.openxmlformats.org/officeDocument/2006/relationships/hyperlink" Target="https://youtu.be/KruubNNRPoA" TargetMode="External"/><Relationship Id="rId1920" Type="http://schemas.openxmlformats.org/officeDocument/2006/relationships/hyperlink" Target="https://youtu.be/lPDaoiMyXBQ" TargetMode="External"/><Relationship Id="rId1921" Type="http://schemas.openxmlformats.org/officeDocument/2006/relationships/hyperlink" Target="https://youtu.be/gEq0l-ixE7M" TargetMode="External"/><Relationship Id="rId1922" Type="http://schemas.openxmlformats.org/officeDocument/2006/relationships/hyperlink" Target="https://youtu.be/zEsGuVGGhQQ" TargetMode="External"/><Relationship Id="rId1923" Type="http://schemas.openxmlformats.org/officeDocument/2006/relationships/hyperlink" Target="https://youtu.be/TMRcgPQJvik" TargetMode="External"/><Relationship Id="rId1924" Type="http://schemas.openxmlformats.org/officeDocument/2006/relationships/hyperlink" Target="https://www.youtube.com/watch?v=Bg1EFdpKmks" TargetMode="External"/><Relationship Id="rId1925" Type="http://schemas.openxmlformats.org/officeDocument/2006/relationships/hyperlink" Target="https://youtu.be/PCH-drYx9pc" TargetMode="External"/><Relationship Id="rId1926" Type="http://schemas.openxmlformats.org/officeDocument/2006/relationships/hyperlink" Target="https://youtu.be/MmJbclHf-MA" TargetMode="External"/><Relationship Id="rId1927" Type="http://schemas.openxmlformats.org/officeDocument/2006/relationships/hyperlink" Target="https://youtu.be/kiFDuNwQStg" TargetMode="External"/><Relationship Id="rId1928" Type="http://schemas.openxmlformats.org/officeDocument/2006/relationships/hyperlink" Target="https://youtu.be/WkPa68rpgOI" TargetMode="External"/><Relationship Id="rId1929" Type="http://schemas.openxmlformats.org/officeDocument/2006/relationships/hyperlink" Target="https://youtu.be/EiDfU4dl7-0" TargetMode="External"/><Relationship Id="rId4192" Type="http://schemas.openxmlformats.org/officeDocument/2006/relationships/table" Target="../tables/table2.xml"/><Relationship Id="rId4191" Type="http://schemas.openxmlformats.org/officeDocument/2006/relationships/table" Target="../tables/table1.xml"/><Relationship Id="rId4193" Type="http://schemas.openxmlformats.org/officeDocument/2006/relationships/table" Target="../tables/table3.xml"/><Relationship Id="rId1950" Type="http://schemas.openxmlformats.org/officeDocument/2006/relationships/hyperlink" Target="https://youtu.be/aKr_vaQ8puk" TargetMode="External"/><Relationship Id="rId1951" Type="http://schemas.openxmlformats.org/officeDocument/2006/relationships/hyperlink" Target="https://youtu.be/HVKDaBd8Sbs" TargetMode="External"/><Relationship Id="rId1952" Type="http://schemas.openxmlformats.org/officeDocument/2006/relationships/hyperlink" Target="https://youtu.be/ETpISC9v7mQ" TargetMode="External"/><Relationship Id="rId1953" Type="http://schemas.openxmlformats.org/officeDocument/2006/relationships/hyperlink" Target="https://youtu.be/bab7p0rN0BY" TargetMode="External"/><Relationship Id="rId1954" Type="http://schemas.openxmlformats.org/officeDocument/2006/relationships/hyperlink" Target="https://youtu.be/AOasVZ3NcbQ" TargetMode="External"/><Relationship Id="rId1955" Type="http://schemas.openxmlformats.org/officeDocument/2006/relationships/hyperlink" Target="https://youtu.be/UAWAQLv239I" TargetMode="External"/><Relationship Id="rId1956" Type="http://schemas.openxmlformats.org/officeDocument/2006/relationships/hyperlink" Target="https://youtu.be/Wb73iKszeVk?t=210" TargetMode="External"/><Relationship Id="rId1957" Type="http://schemas.openxmlformats.org/officeDocument/2006/relationships/hyperlink" Target="https://youtu.be/03lTbh6te2U?t=205" TargetMode="External"/><Relationship Id="rId1958" Type="http://schemas.openxmlformats.org/officeDocument/2006/relationships/hyperlink" Target="https://youtu.be/3CnpEfJ0I1I" TargetMode="External"/><Relationship Id="rId1959" Type="http://schemas.openxmlformats.org/officeDocument/2006/relationships/hyperlink" Target="https://youtu.be/yN9553vTNp4" TargetMode="External"/><Relationship Id="rId1940" Type="http://schemas.openxmlformats.org/officeDocument/2006/relationships/hyperlink" Target="https://www.youtube.com/watch?v=gPcGg2scCXQ" TargetMode="External"/><Relationship Id="rId1941" Type="http://schemas.openxmlformats.org/officeDocument/2006/relationships/hyperlink" Target="https://youtu.be/f1B1BMD0kzE" TargetMode="External"/><Relationship Id="rId1942" Type="http://schemas.openxmlformats.org/officeDocument/2006/relationships/hyperlink" Target="https://youtu.be/rR6Bei52GAs" TargetMode="External"/><Relationship Id="rId1943" Type="http://schemas.openxmlformats.org/officeDocument/2006/relationships/hyperlink" Target="https://youtu.be/I3_aPWEG0Ao" TargetMode="External"/><Relationship Id="rId1944" Type="http://schemas.openxmlformats.org/officeDocument/2006/relationships/hyperlink" Target="https://www.youtube.com/watch?v=yiaCxDu_8B4" TargetMode="External"/><Relationship Id="rId1945" Type="http://schemas.openxmlformats.org/officeDocument/2006/relationships/hyperlink" Target="https://youtu.be/bA-BxgBCzvc" TargetMode="External"/><Relationship Id="rId1946" Type="http://schemas.openxmlformats.org/officeDocument/2006/relationships/hyperlink" Target="https://www.youtube.com/watch?v=YL6LKIJ7fDg" TargetMode="External"/><Relationship Id="rId1947" Type="http://schemas.openxmlformats.org/officeDocument/2006/relationships/hyperlink" Target="https://youtu.be/IIZV8234JlA" TargetMode="External"/><Relationship Id="rId1948" Type="http://schemas.openxmlformats.org/officeDocument/2006/relationships/hyperlink" Target="https://youtu.be/oXuooRJ3Rq8" TargetMode="External"/><Relationship Id="rId1949" Type="http://schemas.openxmlformats.org/officeDocument/2006/relationships/hyperlink" Target="https://youtu.be/KR_rtGLAf4k" TargetMode="External"/><Relationship Id="rId2423" Type="http://schemas.openxmlformats.org/officeDocument/2006/relationships/hyperlink" Target="https://www.youtube.com/watch?v=3t94ZAhZ1hA" TargetMode="External"/><Relationship Id="rId3755" Type="http://schemas.openxmlformats.org/officeDocument/2006/relationships/hyperlink" Target="https://www.youtube.com/watch?v=7ewxs-J8-IA" TargetMode="External"/><Relationship Id="rId2424" Type="http://schemas.openxmlformats.org/officeDocument/2006/relationships/hyperlink" Target="https://www.youtube.com/watch?v=QWEfZnGzCWo" TargetMode="External"/><Relationship Id="rId3754" Type="http://schemas.openxmlformats.org/officeDocument/2006/relationships/hyperlink" Target="https://www.twitch.tv/videos/1935019822" TargetMode="External"/><Relationship Id="rId2425" Type="http://schemas.openxmlformats.org/officeDocument/2006/relationships/hyperlink" Target="https://www.youtube.com/watch?v=loyM8Jf9hSQ" TargetMode="External"/><Relationship Id="rId3757" Type="http://schemas.openxmlformats.org/officeDocument/2006/relationships/hyperlink" Target="https://www.youtube.com/watch?v=LxCr_8S1PCs" TargetMode="External"/><Relationship Id="rId2426" Type="http://schemas.openxmlformats.org/officeDocument/2006/relationships/hyperlink" Target="https://www.youtube.com/watch?v=CfQUaeu8cjY" TargetMode="External"/><Relationship Id="rId3756" Type="http://schemas.openxmlformats.org/officeDocument/2006/relationships/hyperlink" Target="https://www.twitch.tv/videos/2138466749" TargetMode="External"/><Relationship Id="rId2427" Type="http://schemas.openxmlformats.org/officeDocument/2006/relationships/hyperlink" Target="https://twitter.com/Qbe_Root/status/1354655469315518467" TargetMode="External"/><Relationship Id="rId3759" Type="http://schemas.openxmlformats.org/officeDocument/2006/relationships/hyperlink" Target="https://www.youtube.com/watch?v=OKO9wIkM7as" TargetMode="External"/><Relationship Id="rId2428" Type="http://schemas.openxmlformats.org/officeDocument/2006/relationships/hyperlink" Target="https://www.youtube.com/watch?v=OFh82L0O2wg" TargetMode="External"/><Relationship Id="rId3758" Type="http://schemas.openxmlformats.org/officeDocument/2006/relationships/hyperlink" Target="https://www.youtube.com/watch?v=JsuKK_e0gN4" TargetMode="External"/><Relationship Id="rId2429" Type="http://schemas.openxmlformats.org/officeDocument/2006/relationships/hyperlink" Target="https://www.youtube.com/watch?v=xtZREaNE9XM" TargetMode="External"/><Relationship Id="rId509" Type="http://schemas.openxmlformats.org/officeDocument/2006/relationships/hyperlink" Target="https://youtu.be/q80WFIXIgcc" TargetMode="External"/><Relationship Id="rId508" Type="http://schemas.openxmlformats.org/officeDocument/2006/relationships/hyperlink" Target="https://youtu.be/iswDv6EjFbE" TargetMode="External"/><Relationship Id="rId503" Type="http://schemas.openxmlformats.org/officeDocument/2006/relationships/hyperlink" Target="https://youtu.be/HqPKewzZpZU" TargetMode="External"/><Relationship Id="rId502" Type="http://schemas.openxmlformats.org/officeDocument/2006/relationships/hyperlink" Target="https://www.youtube.com/watch?v=VQlKKCKfEHw" TargetMode="External"/><Relationship Id="rId501" Type="http://schemas.openxmlformats.org/officeDocument/2006/relationships/hyperlink" Target="https://youtu.be/NCAy7x13ze4" TargetMode="External"/><Relationship Id="rId500" Type="http://schemas.openxmlformats.org/officeDocument/2006/relationships/hyperlink" Target="https://youtu.be/lk9l3gh9wC8" TargetMode="External"/><Relationship Id="rId507" Type="http://schemas.openxmlformats.org/officeDocument/2006/relationships/hyperlink" Target="https://youtu.be/Es9LGHB8etc" TargetMode="External"/><Relationship Id="rId506" Type="http://schemas.openxmlformats.org/officeDocument/2006/relationships/hyperlink" Target="https://youtu.be/aiBA6GkmIq8" TargetMode="External"/><Relationship Id="rId505" Type="http://schemas.openxmlformats.org/officeDocument/2006/relationships/hyperlink" Target="https://youtu.be/P1qY-3Zaml0" TargetMode="External"/><Relationship Id="rId504" Type="http://schemas.openxmlformats.org/officeDocument/2006/relationships/hyperlink" Target="https://youtu.be/NwGoCWmnlwc" TargetMode="External"/><Relationship Id="rId3751" Type="http://schemas.openxmlformats.org/officeDocument/2006/relationships/hyperlink" Target="https://www.youtube.com/watch?v=r64vdwsXOZg" TargetMode="External"/><Relationship Id="rId2420" Type="http://schemas.openxmlformats.org/officeDocument/2006/relationships/hyperlink" Target="https://twitter.com/Qbe_Root/status/1362452717462028292" TargetMode="External"/><Relationship Id="rId3750" Type="http://schemas.openxmlformats.org/officeDocument/2006/relationships/hyperlink" Target="https://www.youtube.com/watch?v=oPv6YYv10HQ" TargetMode="External"/><Relationship Id="rId2421" Type="http://schemas.openxmlformats.org/officeDocument/2006/relationships/hyperlink" Target="https://www.youtube.com/watch?v=ieByzYZpBvM" TargetMode="External"/><Relationship Id="rId3753" Type="http://schemas.openxmlformats.org/officeDocument/2006/relationships/hyperlink" Target="https://www.youtube.com/watch?v=WDclqZxjsAk" TargetMode="External"/><Relationship Id="rId2422" Type="http://schemas.openxmlformats.org/officeDocument/2006/relationships/hyperlink" Target="https://www.youtube.com/watch?v=GULp3rGAkdA" TargetMode="External"/><Relationship Id="rId3752" Type="http://schemas.openxmlformats.org/officeDocument/2006/relationships/hyperlink" Target="https://www.youtube.com/watch?v=IbImU2sQNWo" TargetMode="External"/><Relationship Id="rId2412" Type="http://schemas.openxmlformats.org/officeDocument/2006/relationships/hyperlink" Target="https://twitter.com/Qbe_Root/status/1261659355595837440" TargetMode="External"/><Relationship Id="rId3744" Type="http://schemas.openxmlformats.org/officeDocument/2006/relationships/hyperlink" Target="https://www.youtube.com/watch?v=I84GP49s7eg" TargetMode="External"/><Relationship Id="rId2413" Type="http://schemas.openxmlformats.org/officeDocument/2006/relationships/hyperlink" Target="https://www.youtube.com/watch?v=-HXrRIdElHs" TargetMode="External"/><Relationship Id="rId3743" Type="http://schemas.openxmlformats.org/officeDocument/2006/relationships/hyperlink" Target="https://clips.twitch.tv/SucculentOutstandingStrawberryRlyTho" TargetMode="External"/><Relationship Id="rId2414" Type="http://schemas.openxmlformats.org/officeDocument/2006/relationships/hyperlink" Target="https://twitter.com/Qbe_Root/status/1356470715252367362" TargetMode="External"/><Relationship Id="rId3746" Type="http://schemas.openxmlformats.org/officeDocument/2006/relationships/hyperlink" Target="https://www.youtube.com/watch?v=WqHjNER7-ac" TargetMode="External"/><Relationship Id="rId2415" Type="http://schemas.openxmlformats.org/officeDocument/2006/relationships/hyperlink" Target="https://www.youtube.com/watch?v=zIJuQW0jUbM" TargetMode="External"/><Relationship Id="rId3745" Type="http://schemas.openxmlformats.org/officeDocument/2006/relationships/hyperlink" Target="https://clips.twitch.tv/StylishScaryPhonePrimeMe" TargetMode="External"/><Relationship Id="rId2416" Type="http://schemas.openxmlformats.org/officeDocument/2006/relationships/hyperlink" Target="https://www.youtube.com/watch?v=anS5cZwjUTU" TargetMode="External"/><Relationship Id="rId3748" Type="http://schemas.openxmlformats.org/officeDocument/2006/relationships/hyperlink" Target="https://clips.twitch.tv/BloodyAuspiciousSnailPRChase-W3yni-madIFG2-gB" TargetMode="External"/><Relationship Id="rId2417" Type="http://schemas.openxmlformats.org/officeDocument/2006/relationships/hyperlink" Target="https://twitter.com/Qbe_Root/status/1397707786499276801" TargetMode="External"/><Relationship Id="rId3747" Type="http://schemas.openxmlformats.org/officeDocument/2006/relationships/hyperlink" Target="https://www.youtube.com/watch?v=acwlckXbeEU" TargetMode="External"/><Relationship Id="rId2418" Type="http://schemas.openxmlformats.org/officeDocument/2006/relationships/hyperlink" Target="https://twitter.com/Qbe_Root/status/1398028051519315971" TargetMode="External"/><Relationship Id="rId2419" Type="http://schemas.openxmlformats.org/officeDocument/2006/relationships/hyperlink" Target="https://www.youtube.com/watch?v=Ncgn_RsTups" TargetMode="External"/><Relationship Id="rId3749" Type="http://schemas.openxmlformats.org/officeDocument/2006/relationships/hyperlink" Target="https://clips.twitch.tv/NimblePluckyFishRiPepperonis-Q2ntKBu4pZwpOLqM" TargetMode="External"/><Relationship Id="rId3740" Type="http://schemas.openxmlformats.org/officeDocument/2006/relationships/hyperlink" Target="https://clips.twitch.tv/GeniusWildSoybeanCoolStoryBob-fzlUT-FtG5z80EmV" TargetMode="External"/><Relationship Id="rId2410" Type="http://schemas.openxmlformats.org/officeDocument/2006/relationships/hyperlink" Target="https://www.youtube.com/watch?v=NbVEJlAv2ro" TargetMode="External"/><Relationship Id="rId3742" Type="http://schemas.openxmlformats.org/officeDocument/2006/relationships/hyperlink" Target="https://clips.twitch.tv/KindAgitatedCarrotTF2John" TargetMode="External"/><Relationship Id="rId2411" Type="http://schemas.openxmlformats.org/officeDocument/2006/relationships/hyperlink" Target="https://www.youtube.com/watch?v=qoDHZCUcBhQ" TargetMode="External"/><Relationship Id="rId3741" Type="http://schemas.openxmlformats.org/officeDocument/2006/relationships/hyperlink" Target="https://clips.twitch.tv/ObliqueKawaiiPotJKanStyle" TargetMode="External"/><Relationship Id="rId1114" Type="http://schemas.openxmlformats.org/officeDocument/2006/relationships/hyperlink" Target="https://youtu.be/9YU3uuDoUUQ" TargetMode="External"/><Relationship Id="rId2445" Type="http://schemas.openxmlformats.org/officeDocument/2006/relationships/hyperlink" Target="https://www.youtube.com/watch?v=3weeynZOmJ0" TargetMode="External"/><Relationship Id="rId3777" Type="http://schemas.openxmlformats.org/officeDocument/2006/relationships/hyperlink" Target="https://www.youtube.com/watch?v=Ha1CEnqV7r0" TargetMode="External"/><Relationship Id="rId1115" Type="http://schemas.openxmlformats.org/officeDocument/2006/relationships/hyperlink" Target="https://youtu.be/dXGE1j5oNx4" TargetMode="External"/><Relationship Id="rId2446" Type="http://schemas.openxmlformats.org/officeDocument/2006/relationships/hyperlink" Target="https://www.youtube.com/watch?v=kM63dLoTclM" TargetMode="External"/><Relationship Id="rId3776" Type="http://schemas.openxmlformats.org/officeDocument/2006/relationships/hyperlink" Target="https://www.youtube.com/watch?v=SjGJSNNiG7c" TargetMode="External"/><Relationship Id="rId1116" Type="http://schemas.openxmlformats.org/officeDocument/2006/relationships/hyperlink" Target="https://youtu.be/Pzg040w1GEQ" TargetMode="External"/><Relationship Id="rId2447" Type="http://schemas.openxmlformats.org/officeDocument/2006/relationships/hyperlink" Target="https://www.youtube.com/watch?v=BMSXJYuCAok" TargetMode="External"/><Relationship Id="rId3779" Type="http://schemas.openxmlformats.org/officeDocument/2006/relationships/hyperlink" Target="https://clips.twitch.tv/FilthyTalentedQuailStinkyCheese" TargetMode="External"/><Relationship Id="rId1117" Type="http://schemas.openxmlformats.org/officeDocument/2006/relationships/hyperlink" Target="https://youtu.be/DRwYLicFcTs" TargetMode="External"/><Relationship Id="rId2448" Type="http://schemas.openxmlformats.org/officeDocument/2006/relationships/hyperlink" Target="https://twitter.com/Qbe_Root/status/1416183951232806913" TargetMode="External"/><Relationship Id="rId3778" Type="http://schemas.openxmlformats.org/officeDocument/2006/relationships/hyperlink" Target="https://clips.twitch.tv/RichSpineyBubbleteaM4xHeh-fIFup2DAWZcRVyHK" TargetMode="External"/><Relationship Id="rId1118" Type="http://schemas.openxmlformats.org/officeDocument/2006/relationships/hyperlink" Target="https://www.youtube.com/watch?v=l1i36ueJkC4" TargetMode="External"/><Relationship Id="rId2449" Type="http://schemas.openxmlformats.org/officeDocument/2006/relationships/hyperlink" Target="https://www.youtube.com/watch?v=3B2_ZTOpweQ" TargetMode="External"/><Relationship Id="rId1119" Type="http://schemas.openxmlformats.org/officeDocument/2006/relationships/hyperlink" Target="https://youtu.be/_8xsXsOvODo" TargetMode="External"/><Relationship Id="rId525" Type="http://schemas.openxmlformats.org/officeDocument/2006/relationships/hyperlink" Target="https://youtu.be/FSIlGz2MYkc" TargetMode="External"/><Relationship Id="rId524" Type="http://schemas.openxmlformats.org/officeDocument/2006/relationships/hyperlink" Target="https://youtu.be/wGPdCc3KXZU" TargetMode="External"/><Relationship Id="rId523" Type="http://schemas.openxmlformats.org/officeDocument/2006/relationships/hyperlink" Target="https://youtu.be/fUnT6cu8K0g" TargetMode="External"/><Relationship Id="rId522" Type="http://schemas.openxmlformats.org/officeDocument/2006/relationships/hyperlink" Target="https://youtu.be/q86beAffBuA" TargetMode="External"/><Relationship Id="rId529" Type="http://schemas.openxmlformats.org/officeDocument/2006/relationships/hyperlink" Target="https://youtu.be/bDG4QjE0BMA" TargetMode="External"/><Relationship Id="rId528" Type="http://schemas.openxmlformats.org/officeDocument/2006/relationships/hyperlink" Target="https://youtu.be/kiriyLUZX0w" TargetMode="External"/><Relationship Id="rId527" Type="http://schemas.openxmlformats.org/officeDocument/2006/relationships/hyperlink" Target="https://youtu.be/6RArjV2YUBc" TargetMode="External"/><Relationship Id="rId526" Type="http://schemas.openxmlformats.org/officeDocument/2006/relationships/hyperlink" Target="https://youtu.be/dQrFAvRc_gM" TargetMode="External"/><Relationship Id="rId3771" Type="http://schemas.openxmlformats.org/officeDocument/2006/relationships/hyperlink" Target="https://www.youtube.com/watch?v=IkLea14rpLY" TargetMode="External"/><Relationship Id="rId2440" Type="http://schemas.openxmlformats.org/officeDocument/2006/relationships/hyperlink" Target="https://www.youtube.com/watch?v=1KPOdN5M9pM" TargetMode="External"/><Relationship Id="rId3770" Type="http://schemas.openxmlformats.org/officeDocument/2006/relationships/hyperlink" Target="https://www.youtube.com/watch?v=Kmsg5bdlTP0" TargetMode="External"/><Relationship Id="rId521" Type="http://schemas.openxmlformats.org/officeDocument/2006/relationships/hyperlink" Target="https://youtu.be/mxcRWZAuEs0" TargetMode="External"/><Relationship Id="rId1110" Type="http://schemas.openxmlformats.org/officeDocument/2006/relationships/hyperlink" Target="https://youtu.be/bAkiYOQU9Yc" TargetMode="External"/><Relationship Id="rId2441" Type="http://schemas.openxmlformats.org/officeDocument/2006/relationships/hyperlink" Target="https://www.youtube.com/watch?v=pHQNNbHKl-A" TargetMode="External"/><Relationship Id="rId3773" Type="http://schemas.openxmlformats.org/officeDocument/2006/relationships/hyperlink" Target="https://www.youtube.com/watch?v=cy0EVsg_YNQ" TargetMode="External"/><Relationship Id="rId520" Type="http://schemas.openxmlformats.org/officeDocument/2006/relationships/hyperlink" Target="https://youtu.be/kQ0o8b3awT0" TargetMode="External"/><Relationship Id="rId1111" Type="http://schemas.openxmlformats.org/officeDocument/2006/relationships/hyperlink" Target="https://www.youtube.com/watch?v=J1fEEd2Oac4" TargetMode="External"/><Relationship Id="rId2442" Type="http://schemas.openxmlformats.org/officeDocument/2006/relationships/hyperlink" Target="https://twitter.com/Qbe_Root/status/1373346875257020416" TargetMode="External"/><Relationship Id="rId3772" Type="http://schemas.openxmlformats.org/officeDocument/2006/relationships/hyperlink" Target="https://www.youtube.com/watch?v=Sm6zF3jKCd8" TargetMode="External"/><Relationship Id="rId1112" Type="http://schemas.openxmlformats.org/officeDocument/2006/relationships/hyperlink" Target="https://youtu.be/G2KgkWqXWgg" TargetMode="External"/><Relationship Id="rId2443" Type="http://schemas.openxmlformats.org/officeDocument/2006/relationships/hyperlink" Target="https://twitter.com/Qbe_Root/status/1267082960865501188" TargetMode="External"/><Relationship Id="rId3775" Type="http://schemas.openxmlformats.org/officeDocument/2006/relationships/hyperlink" Target="https://clips.twitch.tv/BoldDaintyHamburgerDoggo-HwljQ6lnz6OyXn3N" TargetMode="External"/><Relationship Id="rId1113" Type="http://schemas.openxmlformats.org/officeDocument/2006/relationships/hyperlink" Target="https://youtu.be/7L8VKHyjpd0" TargetMode="External"/><Relationship Id="rId2444" Type="http://schemas.openxmlformats.org/officeDocument/2006/relationships/hyperlink" Target="https://twitter.com/Qbe_Root/status/1373453079471923209" TargetMode="External"/><Relationship Id="rId3774" Type="http://schemas.openxmlformats.org/officeDocument/2006/relationships/hyperlink" Target="https://www.youtube.com/watch?v=-1GMC0eWiwM" TargetMode="External"/><Relationship Id="rId1103" Type="http://schemas.openxmlformats.org/officeDocument/2006/relationships/hyperlink" Target="https://youtu.be/CkAJAI736I0" TargetMode="External"/><Relationship Id="rId2434" Type="http://schemas.openxmlformats.org/officeDocument/2006/relationships/hyperlink" Target="https://www.youtube.com/watch?v=d7pBCrmdWag" TargetMode="External"/><Relationship Id="rId3766" Type="http://schemas.openxmlformats.org/officeDocument/2006/relationships/hyperlink" Target="https://www.youtube.com/watch?v=zo70nuD-XLk" TargetMode="External"/><Relationship Id="rId1104" Type="http://schemas.openxmlformats.org/officeDocument/2006/relationships/hyperlink" Target="https://youtu.be/GA7PwlCIU38" TargetMode="External"/><Relationship Id="rId2435" Type="http://schemas.openxmlformats.org/officeDocument/2006/relationships/hyperlink" Target="https://twitter.com/Qbe_Root/status/1338617821287346180" TargetMode="External"/><Relationship Id="rId3765" Type="http://schemas.openxmlformats.org/officeDocument/2006/relationships/hyperlink" Target="https://clips.twitch.tv/TameFaintBottleYee-IEkbSrtMvnFQwhHW" TargetMode="External"/><Relationship Id="rId1105" Type="http://schemas.openxmlformats.org/officeDocument/2006/relationships/hyperlink" Target="https://youtu.be/61Gj8-ihc9g" TargetMode="External"/><Relationship Id="rId2436" Type="http://schemas.openxmlformats.org/officeDocument/2006/relationships/hyperlink" Target="https://www.youtube.com/watch?v=749kwRxLT6Y" TargetMode="External"/><Relationship Id="rId3768" Type="http://schemas.openxmlformats.org/officeDocument/2006/relationships/hyperlink" Target="https://www.youtube.com/watch?v=CILDpiFkyUg" TargetMode="External"/><Relationship Id="rId1106" Type="http://schemas.openxmlformats.org/officeDocument/2006/relationships/hyperlink" Target="https://youtu.be/mi1XX7sCw9U" TargetMode="External"/><Relationship Id="rId2437" Type="http://schemas.openxmlformats.org/officeDocument/2006/relationships/hyperlink" Target="https://www.youtube.com/watch?v=JaKadV3160s" TargetMode="External"/><Relationship Id="rId3767" Type="http://schemas.openxmlformats.org/officeDocument/2006/relationships/hyperlink" Target="https://www.youtube.com/watch?v=_h-Y9PTQCtQ" TargetMode="External"/><Relationship Id="rId1107" Type="http://schemas.openxmlformats.org/officeDocument/2006/relationships/hyperlink" Target="https://youtu.be/2jNctxwEAUU" TargetMode="External"/><Relationship Id="rId2438" Type="http://schemas.openxmlformats.org/officeDocument/2006/relationships/hyperlink" Target="https://www.youtube.com/watch?v=hCUwogBwmG4" TargetMode="External"/><Relationship Id="rId1108" Type="http://schemas.openxmlformats.org/officeDocument/2006/relationships/hyperlink" Target="https://youtu.be/FWmD6dRGGzk" TargetMode="External"/><Relationship Id="rId2439" Type="http://schemas.openxmlformats.org/officeDocument/2006/relationships/hyperlink" Target="https://twitter.com/Qbe_Root/status/1383241090367508486" TargetMode="External"/><Relationship Id="rId3769" Type="http://schemas.openxmlformats.org/officeDocument/2006/relationships/hyperlink" Target="https://clips.twitch.tv/TenuousPiercingMageGOWSkull-kGLgwfGlf3oOKCjk" TargetMode="External"/><Relationship Id="rId1109" Type="http://schemas.openxmlformats.org/officeDocument/2006/relationships/hyperlink" Target="https://www.youtube.com/watch?v=E92yCpL3nmk" TargetMode="External"/><Relationship Id="rId519" Type="http://schemas.openxmlformats.org/officeDocument/2006/relationships/hyperlink" Target="https://youtu.be/e5rcX9Jov2k" TargetMode="External"/><Relationship Id="rId514" Type="http://schemas.openxmlformats.org/officeDocument/2006/relationships/hyperlink" Target="https://youtu.be/oXNCUP6sIdg" TargetMode="External"/><Relationship Id="rId513" Type="http://schemas.openxmlformats.org/officeDocument/2006/relationships/hyperlink" Target="https://youtu.be/tMg72kVWwHU" TargetMode="External"/><Relationship Id="rId512" Type="http://schemas.openxmlformats.org/officeDocument/2006/relationships/hyperlink" Target="https://youtu.be/9Defm52Rfpg" TargetMode="External"/><Relationship Id="rId511" Type="http://schemas.openxmlformats.org/officeDocument/2006/relationships/hyperlink" Target="https://youtu.be/dei0XvEWCJ8" TargetMode="External"/><Relationship Id="rId518" Type="http://schemas.openxmlformats.org/officeDocument/2006/relationships/hyperlink" Target="https://youtu.be/_zdigSYUHKE" TargetMode="External"/><Relationship Id="rId517" Type="http://schemas.openxmlformats.org/officeDocument/2006/relationships/hyperlink" Target="https://youtu.be/rUa1W8J-Pqg" TargetMode="External"/><Relationship Id="rId516" Type="http://schemas.openxmlformats.org/officeDocument/2006/relationships/hyperlink" Target="https://youtu.be/msRb6D5UhEI" TargetMode="External"/><Relationship Id="rId515" Type="http://schemas.openxmlformats.org/officeDocument/2006/relationships/hyperlink" Target="https://youtu.be/v7XI5G54kMw" TargetMode="External"/><Relationship Id="rId3760" Type="http://schemas.openxmlformats.org/officeDocument/2006/relationships/hyperlink" Target="https://www.youtube.com/watch?v=hxqKuvCqz6o" TargetMode="External"/><Relationship Id="rId510" Type="http://schemas.openxmlformats.org/officeDocument/2006/relationships/hyperlink" Target="https://youtu.be/djZIFCTd3JU" TargetMode="External"/><Relationship Id="rId2430" Type="http://schemas.openxmlformats.org/officeDocument/2006/relationships/hyperlink" Target="https://twitter.com/Qbe_Root/status/1284526819195199489" TargetMode="External"/><Relationship Id="rId3762" Type="http://schemas.openxmlformats.org/officeDocument/2006/relationships/hyperlink" Target="https://www.youtube.com/watch?v=b-wHqbQ15ZY" TargetMode="External"/><Relationship Id="rId1100" Type="http://schemas.openxmlformats.org/officeDocument/2006/relationships/hyperlink" Target="https://youtu.be/WJO74geLHis" TargetMode="External"/><Relationship Id="rId2431" Type="http://schemas.openxmlformats.org/officeDocument/2006/relationships/hyperlink" Target="https://www.youtube.com/watch?v=gpVRfTFS3iY" TargetMode="External"/><Relationship Id="rId3761" Type="http://schemas.openxmlformats.org/officeDocument/2006/relationships/hyperlink" Target="https://clips.twitch.tv/CrepuscularScrumptiousOtterTakeNRG-cxJP968a0d4wce-J" TargetMode="External"/><Relationship Id="rId1101" Type="http://schemas.openxmlformats.org/officeDocument/2006/relationships/hyperlink" Target="https://youtu.be/dKLXIkuUH-4" TargetMode="External"/><Relationship Id="rId2432" Type="http://schemas.openxmlformats.org/officeDocument/2006/relationships/hyperlink" Target="https://twitter.com/Qbe_Root/status/1381277863408766977" TargetMode="External"/><Relationship Id="rId3764" Type="http://schemas.openxmlformats.org/officeDocument/2006/relationships/hyperlink" Target="https://clips.twitch.tv/CoweringAffluentGazelleMVGame-2lym0QMvFNPpiY48" TargetMode="External"/><Relationship Id="rId1102" Type="http://schemas.openxmlformats.org/officeDocument/2006/relationships/hyperlink" Target="https://youtu.be/y8Qx7hQJ-IY" TargetMode="External"/><Relationship Id="rId2433" Type="http://schemas.openxmlformats.org/officeDocument/2006/relationships/hyperlink" Target="https://twitter.com/Qbe_Root/status/1393388730203914242" TargetMode="External"/><Relationship Id="rId3763" Type="http://schemas.openxmlformats.org/officeDocument/2006/relationships/hyperlink" Target="https://www.youtube.com/watch?v=cvY3gE6o3eU" TargetMode="External"/><Relationship Id="rId3711" Type="http://schemas.openxmlformats.org/officeDocument/2006/relationships/hyperlink" Target="https://youtu.be/XCkL-zmJurc" TargetMode="External"/><Relationship Id="rId3710" Type="http://schemas.openxmlformats.org/officeDocument/2006/relationships/hyperlink" Target="https://youtu.be/2pTWUr4GnDk" TargetMode="External"/><Relationship Id="rId3713" Type="http://schemas.openxmlformats.org/officeDocument/2006/relationships/hyperlink" Target="https://youtu.be/YpXg5eonyBw" TargetMode="External"/><Relationship Id="rId3712" Type="http://schemas.openxmlformats.org/officeDocument/2006/relationships/hyperlink" Target="https://youtu.be/IOQId00skqE" TargetMode="External"/><Relationship Id="rId3715" Type="http://schemas.openxmlformats.org/officeDocument/2006/relationships/hyperlink" Target="https://clips.twitch.tv/ConcernedBoxyOkapiLitty-If_2beSNl1Blwg-q" TargetMode="External"/><Relationship Id="rId3714" Type="http://schemas.openxmlformats.org/officeDocument/2006/relationships/hyperlink" Target="https://youtu.be/tfA20ORFXOA" TargetMode="External"/><Relationship Id="rId3717" Type="http://schemas.openxmlformats.org/officeDocument/2006/relationships/hyperlink" Target="https://www.twitch.tv/videos/2153852400" TargetMode="External"/><Relationship Id="rId3716" Type="http://schemas.openxmlformats.org/officeDocument/2006/relationships/hyperlink" Target="https://youtu.be/k5RDI6nw79U" TargetMode="External"/><Relationship Id="rId3719" Type="http://schemas.openxmlformats.org/officeDocument/2006/relationships/hyperlink" Target="https://youtu.be/WiTRLXuuPTk" TargetMode="External"/><Relationship Id="rId3718" Type="http://schemas.openxmlformats.org/officeDocument/2006/relationships/hyperlink" Target="https://youtu.be/940-hmnF3bc" TargetMode="External"/><Relationship Id="rId3700" Type="http://schemas.openxmlformats.org/officeDocument/2006/relationships/hyperlink" Target="https://youtu.be/DNEOspNb5ak" TargetMode="External"/><Relationship Id="rId3702" Type="http://schemas.openxmlformats.org/officeDocument/2006/relationships/hyperlink" Target="https://youtu.be/C3t3t5u6CdY" TargetMode="External"/><Relationship Id="rId3701" Type="http://schemas.openxmlformats.org/officeDocument/2006/relationships/hyperlink" Target="https://youtu.be/25AeESPcxzg" TargetMode="External"/><Relationship Id="rId3704" Type="http://schemas.openxmlformats.org/officeDocument/2006/relationships/hyperlink" Target="https://youtu.be/eBRChBIMd2Q" TargetMode="External"/><Relationship Id="rId3703" Type="http://schemas.openxmlformats.org/officeDocument/2006/relationships/hyperlink" Target="https://youtu.be/FyY79WUdWII" TargetMode="External"/><Relationship Id="rId3706" Type="http://schemas.openxmlformats.org/officeDocument/2006/relationships/hyperlink" Target="https://youtu.be/WHLT219rsvU" TargetMode="External"/><Relationship Id="rId3705" Type="http://schemas.openxmlformats.org/officeDocument/2006/relationships/hyperlink" Target="https://twitter.com/tomato_modest/status/1457519468427501568" TargetMode="External"/><Relationship Id="rId3708" Type="http://schemas.openxmlformats.org/officeDocument/2006/relationships/hyperlink" Target="https://twitter.com/tomato_modest/status/1436192421247950849" TargetMode="External"/><Relationship Id="rId3707" Type="http://schemas.openxmlformats.org/officeDocument/2006/relationships/hyperlink" Target="https://clips.twitch.tv/TacitAbstemiousSquidPeanutButterJellyTime-rOXXsBM6dkX7u0oS" TargetMode="External"/><Relationship Id="rId3709" Type="http://schemas.openxmlformats.org/officeDocument/2006/relationships/hyperlink" Target="https://twitter.com/tomato_modest/status/1453065418860646407" TargetMode="External"/><Relationship Id="rId2401" Type="http://schemas.openxmlformats.org/officeDocument/2006/relationships/hyperlink" Target="https://www.youtube.com/watch?v=xKCkWmNvqU0&amp;t=125" TargetMode="External"/><Relationship Id="rId3733" Type="http://schemas.openxmlformats.org/officeDocument/2006/relationships/hyperlink" Target="https://www.twitch.tv/videos/1953099059" TargetMode="External"/><Relationship Id="rId2402" Type="http://schemas.openxmlformats.org/officeDocument/2006/relationships/hyperlink" Target="https://www.youtube.com/watch?v=tX3qUliN5sQ" TargetMode="External"/><Relationship Id="rId3732" Type="http://schemas.openxmlformats.org/officeDocument/2006/relationships/hyperlink" Target="https://youtu.be/SmKBzl3ASwY" TargetMode="External"/><Relationship Id="rId2403" Type="http://schemas.openxmlformats.org/officeDocument/2006/relationships/hyperlink" Target="https://twitter.com/Qbe_Root/status/1361427678159593475" TargetMode="External"/><Relationship Id="rId3735" Type="http://schemas.openxmlformats.org/officeDocument/2006/relationships/hyperlink" Target="https://youtu.be/5ZlRQj9ZURE" TargetMode="External"/><Relationship Id="rId2404" Type="http://schemas.openxmlformats.org/officeDocument/2006/relationships/hyperlink" Target="https://www.youtube.com/watch?v=NIkuz9Nc_9U" TargetMode="External"/><Relationship Id="rId3734" Type="http://schemas.openxmlformats.org/officeDocument/2006/relationships/hyperlink" Target="https://www.twitch.tv/videos/1953100776" TargetMode="External"/><Relationship Id="rId2405" Type="http://schemas.openxmlformats.org/officeDocument/2006/relationships/hyperlink" Target="https://www.youtube.com/watch?v=-nQOPDpCjq0" TargetMode="External"/><Relationship Id="rId3737" Type="http://schemas.openxmlformats.org/officeDocument/2006/relationships/hyperlink" Target="https://youtu.be/3rUia5qCng4" TargetMode="External"/><Relationship Id="rId2406" Type="http://schemas.openxmlformats.org/officeDocument/2006/relationships/hyperlink" Target="https://www.youtube.com/watch?v=BjzKdtgo8Ns" TargetMode="External"/><Relationship Id="rId3736" Type="http://schemas.openxmlformats.org/officeDocument/2006/relationships/hyperlink" Target="https://youtu.be/FK1TAx4QmUw" TargetMode="External"/><Relationship Id="rId2407" Type="http://schemas.openxmlformats.org/officeDocument/2006/relationships/hyperlink" Target="https://www.youtube.com/watch?v=JacyPi29qBI" TargetMode="External"/><Relationship Id="rId3739" Type="http://schemas.openxmlformats.org/officeDocument/2006/relationships/hyperlink" Target="https://clips.twitch.tv/SourColdCardFutureMan" TargetMode="External"/><Relationship Id="rId2408" Type="http://schemas.openxmlformats.org/officeDocument/2006/relationships/hyperlink" Target="https://www.youtube.com/watch?v=YoYN28oYa6M" TargetMode="External"/><Relationship Id="rId3738" Type="http://schemas.openxmlformats.org/officeDocument/2006/relationships/hyperlink" Target="https://www.youtube.com/watch?v=9pXG6qhn86I&amp;t=19s&amp;ab_channel=YungRick" TargetMode="External"/><Relationship Id="rId2409" Type="http://schemas.openxmlformats.org/officeDocument/2006/relationships/hyperlink" Target="https://twitter.com/Qbe_Root/status/1401171758330355718" TargetMode="External"/><Relationship Id="rId3731" Type="http://schemas.openxmlformats.org/officeDocument/2006/relationships/hyperlink" Target="https://youtu.be/ayZBt7K60eA" TargetMode="External"/><Relationship Id="rId2400" Type="http://schemas.openxmlformats.org/officeDocument/2006/relationships/hyperlink" Target="https://twitter.com/Qbe_Root/status/1361455429558108166" TargetMode="External"/><Relationship Id="rId3730" Type="http://schemas.openxmlformats.org/officeDocument/2006/relationships/hyperlink" Target="https://www.twitch.tv/videos/1201989419" TargetMode="External"/><Relationship Id="rId3722" Type="http://schemas.openxmlformats.org/officeDocument/2006/relationships/hyperlink" Target="https://youtu.be/35lpY0B2fhc" TargetMode="External"/><Relationship Id="rId3721" Type="http://schemas.openxmlformats.org/officeDocument/2006/relationships/hyperlink" Target="https://www.twitch.tv/videos/1009373326" TargetMode="External"/><Relationship Id="rId3724" Type="http://schemas.openxmlformats.org/officeDocument/2006/relationships/hyperlink" Target="https://www.twitch.tv/modest_tomato/clip/AmazonianSincereChinchillaSSSsss-XG84eIbLtaW8n4cA?filter=clips&amp;range=all&amp;sort=time" TargetMode="External"/><Relationship Id="rId3723" Type="http://schemas.openxmlformats.org/officeDocument/2006/relationships/hyperlink" Target="https://youtu.be/haGMhM9u6aE" TargetMode="External"/><Relationship Id="rId3726" Type="http://schemas.openxmlformats.org/officeDocument/2006/relationships/hyperlink" Target="https://youtu.be/H-hgBVDdP5o" TargetMode="External"/><Relationship Id="rId3725" Type="http://schemas.openxmlformats.org/officeDocument/2006/relationships/hyperlink" Target="https://youtu.be/hiGJSHz1BAo" TargetMode="External"/><Relationship Id="rId3728" Type="http://schemas.openxmlformats.org/officeDocument/2006/relationships/hyperlink" Target="https://www.twitch.tv/videos/2162409579" TargetMode="External"/><Relationship Id="rId3727" Type="http://schemas.openxmlformats.org/officeDocument/2006/relationships/hyperlink" Target="https://youtu.be/akrSPU-0bWg" TargetMode="External"/><Relationship Id="rId3729" Type="http://schemas.openxmlformats.org/officeDocument/2006/relationships/hyperlink" Target="https://youtu.be/2SbVn5Coi2U" TargetMode="External"/><Relationship Id="rId3720" Type="http://schemas.openxmlformats.org/officeDocument/2006/relationships/hyperlink" Target="https://youtu.be/RrJQMEHIAqU" TargetMode="External"/><Relationship Id="rId590" Type="http://schemas.openxmlformats.org/officeDocument/2006/relationships/hyperlink" Target="https://youtu.be/4tXGqb9KB-k" TargetMode="External"/><Relationship Id="rId589" Type="http://schemas.openxmlformats.org/officeDocument/2006/relationships/hyperlink" Target="https://youtu.be/aoePfECR-PE" TargetMode="External"/><Relationship Id="rId588" Type="http://schemas.openxmlformats.org/officeDocument/2006/relationships/hyperlink" Target="https://youtu.be/U9qXLAXAd7k" TargetMode="External"/><Relationship Id="rId1170" Type="http://schemas.openxmlformats.org/officeDocument/2006/relationships/hyperlink" Target="https://youtu.be/nuCK63baSJE" TargetMode="External"/><Relationship Id="rId1171" Type="http://schemas.openxmlformats.org/officeDocument/2006/relationships/hyperlink" Target="https://youtu.be/j3xZeZEGMZY" TargetMode="External"/><Relationship Id="rId583" Type="http://schemas.openxmlformats.org/officeDocument/2006/relationships/hyperlink" Target="https://www.youtube.com/watch?v=jFqmAvCUMNo" TargetMode="External"/><Relationship Id="rId1172" Type="http://schemas.openxmlformats.org/officeDocument/2006/relationships/hyperlink" Target="https://youtu.be/VgV7nF9TyBI" TargetMode="External"/><Relationship Id="rId582" Type="http://schemas.openxmlformats.org/officeDocument/2006/relationships/hyperlink" Target="https://clips.twitch.tv/ArtsyDignifiedPenguinKAPOW" TargetMode="External"/><Relationship Id="rId1173" Type="http://schemas.openxmlformats.org/officeDocument/2006/relationships/hyperlink" Target="https://youtu.be/vMpF8or2QmA" TargetMode="External"/><Relationship Id="rId581" Type="http://schemas.openxmlformats.org/officeDocument/2006/relationships/hyperlink" Target="https://youtu.be/wZk7LtrvkRI" TargetMode="External"/><Relationship Id="rId1174" Type="http://schemas.openxmlformats.org/officeDocument/2006/relationships/hyperlink" Target="https://youtu.be/eMkPiLTHM5s" TargetMode="External"/><Relationship Id="rId580" Type="http://schemas.openxmlformats.org/officeDocument/2006/relationships/hyperlink" Target="https://youtu.be/CQsHRYPwX7w" TargetMode="External"/><Relationship Id="rId1175" Type="http://schemas.openxmlformats.org/officeDocument/2006/relationships/hyperlink" Target="https://youtu.be/GSc6VtIUdK8" TargetMode="External"/><Relationship Id="rId587" Type="http://schemas.openxmlformats.org/officeDocument/2006/relationships/hyperlink" Target="https://youtu.be/tatoriHF17g" TargetMode="External"/><Relationship Id="rId1176" Type="http://schemas.openxmlformats.org/officeDocument/2006/relationships/hyperlink" Target="https://youtu.be/tG-Kxop-qWo" TargetMode="External"/><Relationship Id="rId586" Type="http://schemas.openxmlformats.org/officeDocument/2006/relationships/hyperlink" Target="https://youtu.be/k7BhAAtfNMk" TargetMode="External"/><Relationship Id="rId1177" Type="http://schemas.openxmlformats.org/officeDocument/2006/relationships/hyperlink" Target="https://youtu.be/FAK9lsxbQhY" TargetMode="External"/><Relationship Id="rId585" Type="http://schemas.openxmlformats.org/officeDocument/2006/relationships/hyperlink" Target="https://www.youtube.com/watch?v=Y3ZF3DXhJ8I" TargetMode="External"/><Relationship Id="rId1178" Type="http://schemas.openxmlformats.org/officeDocument/2006/relationships/hyperlink" Target="https://youtu.be/yLJr0yYVVxI" TargetMode="External"/><Relationship Id="rId584" Type="http://schemas.openxmlformats.org/officeDocument/2006/relationships/hyperlink" Target="https://youtu.be/g8LtYY9RjM0" TargetMode="External"/><Relationship Id="rId1179" Type="http://schemas.openxmlformats.org/officeDocument/2006/relationships/hyperlink" Target="https://youtu.be/V240YyJFaEI" TargetMode="External"/><Relationship Id="rId1169" Type="http://schemas.openxmlformats.org/officeDocument/2006/relationships/hyperlink" Target="https://www.twitch.tv/videos/1462315380" TargetMode="External"/><Relationship Id="rId579" Type="http://schemas.openxmlformats.org/officeDocument/2006/relationships/hyperlink" Target="https://youtu.be/3JkYd24USAg" TargetMode="External"/><Relationship Id="rId578" Type="http://schemas.openxmlformats.org/officeDocument/2006/relationships/hyperlink" Target="https://youtu.be/5U0sRtf5emY" TargetMode="External"/><Relationship Id="rId577" Type="http://schemas.openxmlformats.org/officeDocument/2006/relationships/hyperlink" Target="https://youtu.be/jmkz2IkJwyc" TargetMode="External"/><Relationship Id="rId2490" Type="http://schemas.openxmlformats.org/officeDocument/2006/relationships/hyperlink" Target="https://youtu.be/JRWZi4oTlx8" TargetMode="External"/><Relationship Id="rId1160" Type="http://schemas.openxmlformats.org/officeDocument/2006/relationships/hyperlink" Target="https://youtu.be/DDrWgKeJT3Q" TargetMode="External"/><Relationship Id="rId2491" Type="http://schemas.openxmlformats.org/officeDocument/2006/relationships/hyperlink" Target="https://youtu.be/fkVwi1rJWXk" TargetMode="External"/><Relationship Id="rId572" Type="http://schemas.openxmlformats.org/officeDocument/2006/relationships/hyperlink" Target="https://youtu.be/1ZaxAMeZ7gQ" TargetMode="External"/><Relationship Id="rId1161" Type="http://schemas.openxmlformats.org/officeDocument/2006/relationships/hyperlink" Target="https://youtu.be/Yq6LlkPXyhU" TargetMode="External"/><Relationship Id="rId2492" Type="http://schemas.openxmlformats.org/officeDocument/2006/relationships/hyperlink" Target="https://youtu.be/jM5FPGlhp28" TargetMode="External"/><Relationship Id="rId571" Type="http://schemas.openxmlformats.org/officeDocument/2006/relationships/hyperlink" Target="https://youtu.be/27SceResR9s" TargetMode="External"/><Relationship Id="rId1162" Type="http://schemas.openxmlformats.org/officeDocument/2006/relationships/hyperlink" Target="https://youtu.be/Ev_tzMFl7Mo" TargetMode="External"/><Relationship Id="rId2493" Type="http://schemas.openxmlformats.org/officeDocument/2006/relationships/hyperlink" Target="https://youtu.be/av_GE0kDzqs" TargetMode="External"/><Relationship Id="rId570" Type="http://schemas.openxmlformats.org/officeDocument/2006/relationships/hyperlink" Target="https://youtu.be/Oj99qVN8C04" TargetMode="External"/><Relationship Id="rId1163" Type="http://schemas.openxmlformats.org/officeDocument/2006/relationships/hyperlink" Target="https://youtu.be/LN4qCj9UWyY" TargetMode="External"/><Relationship Id="rId2494" Type="http://schemas.openxmlformats.org/officeDocument/2006/relationships/hyperlink" Target="https://youtu.be/lU2If--gTt8" TargetMode="External"/><Relationship Id="rId1164" Type="http://schemas.openxmlformats.org/officeDocument/2006/relationships/hyperlink" Target="https://youtu.be/YD-o9RHPZWo" TargetMode="External"/><Relationship Id="rId2495" Type="http://schemas.openxmlformats.org/officeDocument/2006/relationships/hyperlink" Target="https://youtu.be/t5YcZAJjZ90" TargetMode="External"/><Relationship Id="rId576" Type="http://schemas.openxmlformats.org/officeDocument/2006/relationships/hyperlink" Target="https://youtu.be/0OtH8Zoc5K8" TargetMode="External"/><Relationship Id="rId1165" Type="http://schemas.openxmlformats.org/officeDocument/2006/relationships/hyperlink" Target="https://www.twitch.tv/videos/1001046282" TargetMode="External"/><Relationship Id="rId2496" Type="http://schemas.openxmlformats.org/officeDocument/2006/relationships/hyperlink" Target="https://youtu.be/mWGB66c0oLo" TargetMode="External"/><Relationship Id="rId575" Type="http://schemas.openxmlformats.org/officeDocument/2006/relationships/hyperlink" Target="https://youtu.be/1rZexgLMhds" TargetMode="External"/><Relationship Id="rId1166" Type="http://schemas.openxmlformats.org/officeDocument/2006/relationships/hyperlink" Target="https://youtu.be/zuMVihlDzcw" TargetMode="External"/><Relationship Id="rId2497" Type="http://schemas.openxmlformats.org/officeDocument/2006/relationships/hyperlink" Target="https://youtu.be/aYWuYPiFcOc" TargetMode="External"/><Relationship Id="rId574" Type="http://schemas.openxmlformats.org/officeDocument/2006/relationships/hyperlink" Target="https://www.youtube.com/watch?v=QOQaL1VwzRA" TargetMode="External"/><Relationship Id="rId1167" Type="http://schemas.openxmlformats.org/officeDocument/2006/relationships/hyperlink" Target="https://www.twitch.tv/videos/1094609126" TargetMode="External"/><Relationship Id="rId2498" Type="http://schemas.openxmlformats.org/officeDocument/2006/relationships/hyperlink" Target="https://youtu.be/YO-FLXpQqj8" TargetMode="External"/><Relationship Id="rId573" Type="http://schemas.openxmlformats.org/officeDocument/2006/relationships/hyperlink" Target="https://youtu.be/xE9OfA91VvM" TargetMode="External"/><Relationship Id="rId1168" Type="http://schemas.openxmlformats.org/officeDocument/2006/relationships/hyperlink" Target="https://youtu.be/rNfnEd8D4rc" TargetMode="External"/><Relationship Id="rId2499" Type="http://schemas.openxmlformats.org/officeDocument/2006/relationships/hyperlink" Target="https://youtu.be/TZ-9-A8DC3o" TargetMode="External"/><Relationship Id="rId1190" Type="http://schemas.openxmlformats.org/officeDocument/2006/relationships/hyperlink" Target="https://youtu.be/YwEEkhUJLw8" TargetMode="External"/><Relationship Id="rId1191" Type="http://schemas.openxmlformats.org/officeDocument/2006/relationships/hyperlink" Target="https://youtu.be/rTAY7UEVBC0" TargetMode="External"/><Relationship Id="rId1192" Type="http://schemas.openxmlformats.org/officeDocument/2006/relationships/hyperlink" Target="https://youtu.be/dsfx15_DZFk" TargetMode="External"/><Relationship Id="rId1193" Type="http://schemas.openxmlformats.org/officeDocument/2006/relationships/hyperlink" Target="https://youtu.be/zLzk4tCF0yE" TargetMode="External"/><Relationship Id="rId1194" Type="http://schemas.openxmlformats.org/officeDocument/2006/relationships/hyperlink" Target="https://youtu.be/d1pIDOnKiNA" TargetMode="External"/><Relationship Id="rId1195" Type="http://schemas.openxmlformats.org/officeDocument/2006/relationships/hyperlink" Target="https://youtu.be/SW5038iF-fA" TargetMode="External"/><Relationship Id="rId1196" Type="http://schemas.openxmlformats.org/officeDocument/2006/relationships/hyperlink" Target="https://youtu.be/hgzO5Ub4C_A" TargetMode="External"/><Relationship Id="rId1197" Type="http://schemas.openxmlformats.org/officeDocument/2006/relationships/hyperlink" Target="https://youtu.be/DTClS_qtBNg" TargetMode="External"/><Relationship Id="rId1198" Type="http://schemas.openxmlformats.org/officeDocument/2006/relationships/hyperlink" Target="https://youtu.be/_-CeL_OF9PE" TargetMode="External"/><Relationship Id="rId1199" Type="http://schemas.openxmlformats.org/officeDocument/2006/relationships/hyperlink" Target="https://youtu.be/4Plt643na8I" TargetMode="External"/><Relationship Id="rId599" Type="http://schemas.openxmlformats.org/officeDocument/2006/relationships/hyperlink" Target="https://youtu.be/-QXogYZAVck" TargetMode="External"/><Relationship Id="rId1180" Type="http://schemas.openxmlformats.org/officeDocument/2006/relationships/hyperlink" Target="https://youtu.be/6y2SP-DSf5Q" TargetMode="External"/><Relationship Id="rId1181" Type="http://schemas.openxmlformats.org/officeDocument/2006/relationships/hyperlink" Target="https://youtu.be/k7bMhFcXyMk" TargetMode="External"/><Relationship Id="rId1182" Type="http://schemas.openxmlformats.org/officeDocument/2006/relationships/hyperlink" Target="https://youtu.be/rqsZQs7Rkes" TargetMode="External"/><Relationship Id="rId594" Type="http://schemas.openxmlformats.org/officeDocument/2006/relationships/hyperlink" Target="https://www.youtube.com/watch?v=Ct1t3CYGee4" TargetMode="External"/><Relationship Id="rId1183" Type="http://schemas.openxmlformats.org/officeDocument/2006/relationships/hyperlink" Target="https://www.twitch.tv/videos/1304736415?t=23s" TargetMode="External"/><Relationship Id="rId593" Type="http://schemas.openxmlformats.org/officeDocument/2006/relationships/hyperlink" Target="https://youtu.be/3ASpf58HwCg" TargetMode="External"/><Relationship Id="rId1184" Type="http://schemas.openxmlformats.org/officeDocument/2006/relationships/hyperlink" Target="https://youtu.be/nxGLMDXr0XA" TargetMode="External"/><Relationship Id="rId592" Type="http://schemas.openxmlformats.org/officeDocument/2006/relationships/hyperlink" Target="https://youtu.be/jJLdiOoCgO4" TargetMode="External"/><Relationship Id="rId1185" Type="http://schemas.openxmlformats.org/officeDocument/2006/relationships/hyperlink" Target="https://youtu.be/LT0UNW1ypPg" TargetMode="External"/><Relationship Id="rId591" Type="http://schemas.openxmlformats.org/officeDocument/2006/relationships/hyperlink" Target="https://youtu.be/2KZyKloxsvo" TargetMode="External"/><Relationship Id="rId1186" Type="http://schemas.openxmlformats.org/officeDocument/2006/relationships/hyperlink" Target="https://youtu.be/77VtvQsu_l4" TargetMode="External"/><Relationship Id="rId598" Type="http://schemas.openxmlformats.org/officeDocument/2006/relationships/hyperlink" Target="https://youtu.be/R6aup3OHT4I" TargetMode="External"/><Relationship Id="rId1187" Type="http://schemas.openxmlformats.org/officeDocument/2006/relationships/hyperlink" Target="https://youtu.be/pyDHYknLNO8" TargetMode="External"/><Relationship Id="rId597" Type="http://schemas.openxmlformats.org/officeDocument/2006/relationships/hyperlink" Target="https://www.youtube.com/watch?v=wCvrasdHQbc" TargetMode="External"/><Relationship Id="rId1188" Type="http://schemas.openxmlformats.org/officeDocument/2006/relationships/hyperlink" Target="https://youtu.be/NggDKh_3G24" TargetMode="External"/><Relationship Id="rId596" Type="http://schemas.openxmlformats.org/officeDocument/2006/relationships/hyperlink" Target="https://youtu.be/1-M3LLAyNyw" TargetMode="External"/><Relationship Id="rId1189" Type="http://schemas.openxmlformats.org/officeDocument/2006/relationships/hyperlink" Target="https://youtu.be/gz3vByPTKuo" TargetMode="External"/><Relationship Id="rId595" Type="http://schemas.openxmlformats.org/officeDocument/2006/relationships/hyperlink" Target="https://youtu.be/hrSaxbnkNGA" TargetMode="External"/><Relationship Id="rId1136" Type="http://schemas.openxmlformats.org/officeDocument/2006/relationships/hyperlink" Target="https://youtu.be/S_WK4O6bGOg" TargetMode="External"/><Relationship Id="rId2467" Type="http://schemas.openxmlformats.org/officeDocument/2006/relationships/hyperlink" Target="https://youtu.be/c14W4AdIfUc" TargetMode="External"/><Relationship Id="rId3799" Type="http://schemas.openxmlformats.org/officeDocument/2006/relationships/hyperlink" Target="https://clips.twitch.tv/ViscousBloodyCheeseSpicyBoy" TargetMode="External"/><Relationship Id="rId1137" Type="http://schemas.openxmlformats.org/officeDocument/2006/relationships/hyperlink" Target="https://youtu.be/3xl0rorWTjk" TargetMode="External"/><Relationship Id="rId2468" Type="http://schemas.openxmlformats.org/officeDocument/2006/relationships/hyperlink" Target="https://youtu.be/1LYK1ZwXTLI" TargetMode="External"/><Relationship Id="rId3798" Type="http://schemas.openxmlformats.org/officeDocument/2006/relationships/hyperlink" Target="https://clips.twitch.tv/FriendlyAffluentTofuYouWHY-UP1xCokl0WqaQm4g" TargetMode="External"/><Relationship Id="rId1138" Type="http://schemas.openxmlformats.org/officeDocument/2006/relationships/hyperlink" Target="https://youtu.be/dDiol5m4OFw" TargetMode="External"/><Relationship Id="rId2469" Type="http://schemas.openxmlformats.org/officeDocument/2006/relationships/hyperlink" Target="https://youtu.be/dajLg_JxREI" TargetMode="External"/><Relationship Id="rId1139" Type="http://schemas.openxmlformats.org/officeDocument/2006/relationships/hyperlink" Target="https://youtu.be/Sl0Ip2EdlzE" TargetMode="External"/><Relationship Id="rId547" Type="http://schemas.openxmlformats.org/officeDocument/2006/relationships/hyperlink" Target="https://youtu.be/fm7hC-C5Dtg" TargetMode="External"/><Relationship Id="rId546" Type="http://schemas.openxmlformats.org/officeDocument/2006/relationships/hyperlink" Target="https://youtu.be/mASSwOZv3Wo" TargetMode="External"/><Relationship Id="rId545" Type="http://schemas.openxmlformats.org/officeDocument/2006/relationships/hyperlink" Target="https://youtu.be/iUJM_HdwmKQ" TargetMode="External"/><Relationship Id="rId544" Type="http://schemas.openxmlformats.org/officeDocument/2006/relationships/hyperlink" Target="https://youtu.be/nLMwrbpm6zQ" TargetMode="External"/><Relationship Id="rId549" Type="http://schemas.openxmlformats.org/officeDocument/2006/relationships/hyperlink" Target="https://youtu.be/rS1P4GYv0oY" TargetMode="External"/><Relationship Id="rId548" Type="http://schemas.openxmlformats.org/officeDocument/2006/relationships/hyperlink" Target="https://youtu.be/QUdlNxU1vGo" TargetMode="External"/><Relationship Id="rId3791" Type="http://schemas.openxmlformats.org/officeDocument/2006/relationships/hyperlink" Target="https://www.twitch.tv/videos/1815831888" TargetMode="External"/><Relationship Id="rId2460" Type="http://schemas.openxmlformats.org/officeDocument/2006/relationships/hyperlink" Target="https://youtu.be/MT9EJFRcn0I" TargetMode="External"/><Relationship Id="rId3790" Type="http://schemas.openxmlformats.org/officeDocument/2006/relationships/hyperlink" Target="https://youtu.be/fVvehheK9_Q?si=JCqDHGURTBuXBpo6" TargetMode="External"/><Relationship Id="rId1130" Type="http://schemas.openxmlformats.org/officeDocument/2006/relationships/hyperlink" Target="https://youtu.be/-inom6is5Aw" TargetMode="External"/><Relationship Id="rId2461" Type="http://schemas.openxmlformats.org/officeDocument/2006/relationships/hyperlink" Target="https://youtu.be/voIuoSjXHSI" TargetMode="External"/><Relationship Id="rId3793" Type="http://schemas.openxmlformats.org/officeDocument/2006/relationships/hyperlink" Target="https://clips.twitch.tv/TenderUninterestedBisonEleGiggle-mdGTz9P-vvJ_SomS" TargetMode="External"/><Relationship Id="rId1131" Type="http://schemas.openxmlformats.org/officeDocument/2006/relationships/hyperlink" Target="https://youtu.be/0aRmRV5PEJ4" TargetMode="External"/><Relationship Id="rId2462" Type="http://schemas.openxmlformats.org/officeDocument/2006/relationships/hyperlink" Target="https://youtu.be/_vRdaCobsto" TargetMode="External"/><Relationship Id="rId3792" Type="http://schemas.openxmlformats.org/officeDocument/2006/relationships/hyperlink" Target="https://clips.twitch.tv/HyperDaintyShallotCoolCat-ndROv_i6E4CKkm7N" TargetMode="External"/><Relationship Id="rId543" Type="http://schemas.openxmlformats.org/officeDocument/2006/relationships/hyperlink" Target="https://youtu.be/TphHSyuMaZ0" TargetMode="External"/><Relationship Id="rId1132" Type="http://schemas.openxmlformats.org/officeDocument/2006/relationships/hyperlink" Target="https://youtu.be/qP9MZ3i_4SU" TargetMode="External"/><Relationship Id="rId2463" Type="http://schemas.openxmlformats.org/officeDocument/2006/relationships/hyperlink" Target="https://youtu.be/nux0RuBfoGo" TargetMode="External"/><Relationship Id="rId3795" Type="http://schemas.openxmlformats.org/officeDocument/2006/relationships/hyperlink" Target="https://clips.twitch.tv/EncouragingSecretiveLlamaDoggo-bwQ_C8eP-5aDg2tv" TargetMode="External"/><Relationship Id="rId542" Type="http://schemas.openxmlformats.org/officeDocument/2006/relationships/hyperlink" Target="https://www.youtube.com/watch?v=O6-lDduQnAc" TargetMode="External"/><Relationship Id="rId1133" Type="http://schemas.openxmlformats.org/officeDocument/2006/relationships/hyperlink" Target="https://youtu.be/4AgwHmlbsTI" TargetMode="External"/><Relationship Id="rId2464" Type="http://schemas.openxmlformats.org/officeDocument/2006/relationships/hyperlink" Target="https://youtu.be/k4lc9-IVck8" TargetMode="External"/><Relationship Id="rId3794" Type="http://schemas.openxmlformats.org/officeDocument/2006/relationships/hyperlink" Target="https://www.twitch.tv/videos/885940624" TargetMode="External"/><Relationship Id="rId541" Type="http://schemas.openxmlformats.org/officeDocument/2006/relationships/hyperlink" Target="https://www.youtube.com/watch?v=UkxHNcrOnOM" TargetMode="External"/><Relationship Id="rId1134" Type="http://schemas.openxmlformats.org/officeDocument/2006/relationships/hyperlink" Target="https://youtu.be/z91wsnK53qc" TargetMode="External"/><Relationship Id="rId2465" Type="http://schemas.openxmlformats.org/officeDocument/2006/relationships/hyperlink" Target="https://youtu.be/eCJBXmoNawE" TargetMode="External"/><Relationship Id="rId3797" Type="http://schemas.openxmlformats.org/officeDocument/2006/relationships/hyperlink" Target="https://www.twitch.tv/videos/957409450" TargetMode="External"/><Relationship Id="rId540" Type="http://schemas.openxmlformats.org/officeDocument/2006/relationships/hyperlink" Target="https://youtu.be/sNOMRPx8YLk" TargetMode="External"/><Relationship Id="rId1135" Type="http://schemas.openxmlformats.org/officeDocument/2006/relationships/hyperlink" Target="https://youtu.be/dMdy2STqilE" TargetMode="External"/><Relationship Id="rId2466" Type="http://schemas.openxmlformats.org/officeDocument/2006/relationships/hyperlink" Target="https://youtu.be/bLIbKYXmnMo" TargetMode="External"/><Relationship Id="rId3796" Type="http://schemas.openxmlformats.org/officeDocument/2006/relationships/hyperlink" Target="https://clips.twitch.tv/ViscousRepleteGoldfishPanicBasket-YqdRyFXSK23tLcD3" TargetMode="External"/><Relationship Id="rId1125" Type="http://schemas.openxmlformats.org/officeDocument/2006/relationships/hyperlink" Target="https://youtu.be/UA6s24Tjs9w" TargetMode="External"/><Relationship Id="rId2456" Type="http://schemas.openxmlformats.org/officeDocument/2006/relationships/hyperlink" Target="https://www.youtube.com/watch?v=Wp7eZKq7B0g" TargetMode="External"/><Relationship Id="rId3788" Type="http://schemas.openxmlformats.org/officeDocument/2006/relationships/hyperlink" Target="https://youtu.be/qleQ6WuOGHQ" TargetMode="External"/><Relationship Id="rId1126" Type="http://schemas.openxmlformats.org/officeDocument/2006/relationships/hyperlink" Target="https://youtu.be/R7m0lR0ZdGw" TargetMode="External"/><Relationship Id="rId2457" Type="http://schemas.openxmlformats.org/officeDocument/2006/relationships/hyperlink" Target="https://www.youtube.com/watch?v=z4TXYZyDcWY" TargetMode="External"/><Relationship Id="rId3787" Type="http://schemas.openxmlformats.org/officeDocument/2006/relationships/hyperlink" Target="https://youtu.be/U69TxGBhuZk" TargetMode="External"/><Relationship Id="rId1127" Type="http://schemas.openxmlformats.org/officeDocument/2006/relationships/hyperlink" Target="https://youtu.be/jsWjiIGgOWM" TargetMode="External"/><Relationship Id="rId2458" Type="http://schemas.openxmlformats.org/officeDocument/2006/relationships/hyperlink" Target="https://youtu.be/uPRcC-xgUYA" TargetMode="External"/><Relationship Id="rId1128" Type="http://schemas.openxmlformats.org/officeDocument/2006/relationships/hyperlink" Target="https://youtu.be/a7-SiZhtDgc" TargetMode="External"/><Relationship Id="rId2459" Type="http://schemas.openxmlformats.org/officeDocument/2006/relationships/hyperlink" Target="https://www.youtube.com/watch?v=yIz9wnY5hAg" TargetMode="External"/><Relationship Id="rId3789" Type="http://schemas.openxmlformats.org/officeDocument/2006/relationships/hyperlink" Target="https://www.twitch.tv/videos/1839324675" TargetMode="External"/><Relationship Id="rId1129" Type="http://schemas.openxmlformats.org/officeDocument/2006/relationships/hyperlink" Target="https://youtu.be/xhTLKvcK4ss" TargetMode="External"/><Relationship Id="rId536" Type="http://schemas.openxmlformats.org/officeDocument/2006/relationships/hyperlink" Target="https://youtu.be/QiXWcW-hmX4" TargetMode="External"/><Relationship Id="rId535" Type="http://schemas.openxmlformats.org/officeDocument/2006/relationships/hyperlink" Target="https://youtu.be/UoaRiqs9BbQ" TargetMode="External"/><Relationship Id="rId534" Type="http://schemas.openxmlformats.org/officeDocument/2006/relationships/hyperlink" Target="https://youtu.be/UncPKyOgFZ0" TargetMode="External"/><Relationship Id="rId533" Type="http://schemas.openxmlformats.org/officeDocument/2006/relationships/hyperlink" Target="https://youtu.be/fqUv2OR0b_4" TargetMode="External"/><Relationship Id="rId539" Type="http://schemas.openxmlformats.org/officeDocument/2006/relationships/hyperlink" Target="https://youtu.be/Hj1F8ToA-HE" TargetMode="External"/><Relationship Id="rId538" Type="http://schemas.openxmlformats.org/officeDocument/2006/relationships/hyperlink" Target="https://youtu.be/CUsteYouqdU" TargetMode="External"/><Relationship Id="rId537" Type="http://schemas.openxmlformats.org/officeDocument/2006/relationships/hyperlink" Target="https://youtu.be/k0DQuYn-Ep8" TargetMode="External"/><Relationship Id="rId3780" Type="http://schemas.openxmlformats.org/officeDocument/2006/relationships/hyperlink" Target="https://clips.twitch.tv/WealthyIcyNeanderthalFreakinStinkin" TargetMode="External"/><Relationship Id="rId2450" Type="http://schemas.openxmlformats.org/officeDocument/2006/relationships/hyperlink" Target="https://www.youtube.com/watch?v=_04GX9wbR_s" TargetMode="External"/><Relationship Id="rId3782" Type="http://schemas.openxmlformats.org/officeDocument/2006/relationships/hyperlink" Target="https://clips.twitch.tv/RefinedSmallBobaOhMyDog" TargetMode="External"/><Relationship Id="rId1120" Type="http://schemas.openxmlformats.org/officeDocument/2006/relationships/hyperlink" Target="https://youtu.be/tEi5xFYXKak" TargetMode="External"/><Relationship Id="rId2451" Type="http://schemas.openxmlformats.org/officeDocument/2006/relationships/hyperlink" Target="https://twitter.com/Qbe_Root/status/1423292707749855235" TargetMode="External"/><Relationship Id="rId3781" Type="http://schemas.openxmlformats.org/officeDocument/2006/relationships/hyperlink" Target="https://clips.twitch.tv/SassyBeautifulShrewSMOrc" TargetMode="External"/><Relationship Id="rId532" Type="http://schemas.openxmlformats.org/officeDocument/2006/relationships/hyperlink" Target="https://youtu.be/bmTzesxd2WQ" TargetMode="External"/><Relationship Id="rId1121" Type="http://schemas.openxmlformats.org/officeDocument/2006/relationships/hyperlink" Target="https://youtu.be/jsv2bOqJh9U" TargetMode="External"/><Relationship Id="rId2452" Type="http://schemas.openxmlformats.org/officeDocument/2006/relationships/hyperlink" Target="https://twitter.com/Qbe_Root/status/1338634881086189574" TargetMode="External"/><Relationship Id="rId3784" Type="http://schemas.openxmlformats.org/officeDocument/2006/relationships/hyperlink" Target="https://youtu.be/RtlEfGBLHmo" TargetMode="External"/><Relationship Id="rId531" Type="http://schemas.openxmlformats.org/officeDocument/2006/relationships/hyperlink" Target="https://youtu.be/aLxEAtL6aJE" TargetMode="External"/><Relationship Id="rId1122" Type="http://schemas.openxmlformats.org/officeDocument/2006/relationships/hyperlink" Target="https://youtu.be/uauwVLCDgKQ" TargetMode="External"/><Relationship Id="rId2453" Type="http://schemas.openxmlformats.org/officeDocument/2006/relationships/hyperlink" Target="https://www.youtube.com/watch?v=QogpBzdzakc" TargetMode="External"/><Relationship Id="rId3783" Type="http://schemas.openxmlformats.org/officeDocument/2006/relationships/hyperlink" Target="https://www.twitch.tv/videos/1864132423" TargetMode="External"/><Relationship Id="rId530" Type="http://schemas.openxmlformats.org/officeDocument/2006/relationships/hyperlink" Target="https://youtu.be/_EXVVMK4xFw" TargetMode="External"/><Relationship Id="rId1123" Type="http://schemas.openxmlformats.org/officeDocument/2006/relationships/hyperlink" Target="https://youtu.be/Pl_BW2NZnl8" TargetMode="External"/><Relationship Id="rId2454" Type="http://schemas.openxmlformats.org/officeDocument/2006/relationships/hyperlink" Target="https://www.youtube.com/watch?v=VdJizarpD28" TargetMode="External"/><Relationship Id="rId3786" Type="http://schemas.openxmlformats.org/officeDocument/2006/relationships/hyperlink" Target="https://youtu.be/z6Uwjc_hKd4?si=7NzvT-tHwIvdinS5" TargetMode="External"/><Relationship Id="rId1124" Type="http://schemas.openxmlformats.org/officeDocument/2006/relationships/hyperlink" Target="https://www.twitch.tv/videos/893601826" TargetMode="External"/><Relationship Id="rId2455" Type="http://schemas.openxmlformats.org/officeDocument/2006/relationships/hyperlink" Target="https://www.youtube.com/watch?v=Og8TYxpitZ8" TargetMode="External"/><Relationship Id="rId3785" Type="http://schemas.openxmlformats.org/officeDocument/2006/relationships/hyperlink" Target="https://youtu.be/lGpzbfDV7ps?si=nLRSH2YZSKc9zTVw" TargetMode="External"/><Relationship Id="rId1158" Type="http://schemas.openxmlformats.org/officeDocument/2006/relationships/hyperlink" Target="https://youtu.be/Q_MyVwQo4yM" TargetMode="External"/><Relationship Id="rId2489" Type="http://schemas.openxmlformats.org/officeDocument/2006/relationships/hyperlink" Target="https://youtu.be/8F95VAgZVlE" TargetMode="External"/><Relationship Id="rId1159" Type="http://schemas.openxmlformats.org/officeDocument/2006/relationships/hyperlink" Target="https://youtu.be/mUWpSvoSa0c" TargetMode="External"/><Relationship Id="rId569" Type="http://schemas.openxmlformats.org/officeDocument/2006/relationships/hyperlink" Target="https://youtu.be/82IMl-PEpJ4" TargetMode="External"/><Relationship Id="rId568" Type="http://schemas.openxmlformats.org/officeDocument/2006/relationships/hyperlink" Target="https://youtu.be/H2rup98y7lM" TargetMode="External"/><Relationship Id="rId567" Type="http://schemas.openxmlformats.org/officeDocument/2006/relationships/hyperlink" Target="https://youtu.be/EE9RpD_2Rkc" TargetMode="External"/><Relationship Id="rId566" Type="http://schemas.openxmlformats.org/officeDocument/2006/relationships/hyperlink" Target="https://youtu.be/PAXlLvpVl1U" TargetMode="External"/><Relationship Id="rId2480" Type="http://schemas.openxmlformats.org/officeDocument/2006/relationships/hyperlink" Target="https://youtu.be/ddeEFsCOm9Q" TargetMode="External"/><Relationship Id="rId561" Type="http://schemas.openxmlformats.org/officeDocument/2006/relationships/hyperlink" Target="https://youtu.be/tVg0AtjUCLU" TargetMode="External"/><Relationship Id="rId1150" Type="http://schemas.openxmlformats.org/officeDocument/2006/relationships/hyperlink" Target="https://youtu.be/vDXyRMvfnaU" TargetMode="External"/><Relationship Id="rId2481" Type="http://schemas.openxmlformats.org/officeDocument/2006/relationships/hyperlink" Target="https://youtu.be/St9mH4QmAqk" TargetMode="External"/><Relationship Id="rId560" Type="http://schemas.openxmlformats.org/officeDocument/2006/relationships/hyperlink" Target="https://youtu.be/Xu8Ao983E4A" TargetMode="External"/><Relationship Id="rId1151" Type="http://schemas.openxmlformats.org/officeDocument/2006/relationships/hyperlink" Target="https://www.twitch.tv/videos/856673687" TargetMode="External"/><Relationship Id="rId2482" Type="http://schemas.openxmlformats.org/officeDocument/2006/relationships/hyperlink" Target="https://youtu.be/q9NqTu4doho" TargetMode="External"/><Relationship Id="rId1152" Type="http://schemas.openxmlformats.org/officeDocument/2006/relationships/hyperlink" Target="https://youtu.be/DJW-OBKhrUI" TargetMode="External"/><Relationship Id="rId2483" Type="http://schemas.openxmlformats.org/officeDocument/2006/relationships/hyperlink" Target="https://youtu.be/ZAKzVmC69Os" TargetMode="External"/><Relationship Id="rId1153" Type="http://schemas.openxmlformats.org/officeDocument/2006/relationships/hyperlink" Target="https://youtu.be/FlV9GWXR7j8" TargetMode="External"/><Relationship Id="rId2484" Type="http://schemas.openxmlformats.org/officeDocument/2006/relationships/hyperlink" Target="https://youtu.be/z2--2js6cFI" TargetMode="External"/><Relationship Id="rId565" Type="http://schemas.openxmlformats.org/officeDocument/2006/relationships/hyperlink" Target="https://www.youtube.com/watch?v=sEMBQnszKug" TargetMode="External"/><Relationship Id="rId1154" Type="http://schemas.openxmlformats.org/officeDocument/2006/relationships/hyperlink" Target="https://youtu.be/_Rk4hyvTFjQ" TargetMode="External"/><Relationship Id="rId2485" Type="http://schemas.openxmlformats.org/officeDocument/2006/relationships/hyperlink" Target="https://youtu.be/eztA53CG6TI" TargetMode="External"/><Relationship Id="rId564" Type="http://schemas.openxmlformats.org/officeDocument/2006/relationships/hyperlink" Target="https://youtu.be/6W_OKIAAS1I" TargetMode="External"/><Relationship Id="rId1155" Type="http://schemas.openxmlformats.org/officeDocument/2006/relationships/hyperlink" Target="https://www.twitch.tv/videos/1463163448" TargetMode="External"/><Relationship Id="rId2486" Type="http://schemas.openxmlformats.org/officeDocument/2006/relationships/hyperlink" Target="https://youtu.be/h8Qolv7vd8A" TargetMode="External"/><Relationship Id="rId563" Type="http://schemas.openxmlformats.org/officeDocument/2006/relationships/hyperlink" Target="https://youtu.be/suTRa4bwKRs" TargetMode="External"/><Relationship Id="rId1156" Type="http://schemas.openxmlformats.org/officeDocument/2006/relationships/hyperlink" Target="https://youtu.be/jN9gfTx_UA4" TargetMode="External"/><Relationship Id="rId2487" Type="http://schemas.openxmlformats.org/officeDocument/2006/relationships/hyperlink" Target="https://youtu.be/RdNdAhe3ZJc" TargetMode="External"/><Relationship Id="rId562" Type="http://schemas.openxmlformats.org/officeDocument/2006/relationships/hyperlink" Target="https://youtu.be/bpROuE66G2M" TargetMode="External"/><Relationship Id="rId1157" Type="http://schemas.openxmlformats.org/officeDocument/2006/relationships/hyperlink" Target="https://youtu.be/RKreuzlk034" TargetMode="External"/><Relationship Id="rId2488" Type="http://schemas.openxmlformats.org/officeDocument/2006/relationships/hyperlink" Target="https://youtu.be/OILKxKXzsug" TargetMode="External"/><Relationship Id="rId1147" Type="http://schemas.openxmlformats.org/officeDocument/2006/relationships/hyperlink" Target="https://youtu.be/dyMv749BLQ0" TargetMode="External"/><Relationship Id="rId2478" Type="http://schemas.openxmlformats.org/officeDocument/2006/relationships/hyperlink" Target="https://youtu.be/AbWY0sFq30A" TargetMode="External"/><Relationship Id="rId1148" Type="http://schemas.openxmlformats.org/officeDocument/2006/relationships/hyperlink" Target="https://www.twitch.tv/videos/1462315378" TargetMode="External"/><Relationship Id="rId2479" Type="http://schemas.openxmlformats.org/officeDocument/2006/relationships/hyperlink" Target="https://youtu.be/1CEmbGtaZss" TargetMode="External"/><Relationship Id="rId1149" Type="http://schemas.openxmlformats.org/officeDocument/2006/relationships/hyperlink" Target="https://youtu.be/cy_xPFl-i58" TargetMode="External"/><Relationship Id="rId558" Type="http://schemas.openxmlformats.org/officeDocument/2006/relationships/hyperlink" Target="https://youtu.be/ANQFqbd1vPA?t=24" TargetMode="External"/><Relationship Id="rId557" Type="http://schemas.openxmlformats.org/officeDocument/2006/relationships/hyperlink" Target="https://youtu.be/ANQFqbd1vPA" TargetMode="External"/><Relationship Id="rId556" Type="http://schemas.openxmlformats.org/officeDocument/2006/relationships/hyperlink" Target="https://youtu.be/F6h4IT4eCcc" TargetMode="External"/><Relationship Id="rId555" Type="http://schemas.openxmlformats.org/officeDocument/2006/relationships/hyperlink" Target="https://youtu.be/QQ_jJmzpcYE" TargetMode="External"/><Relationship Id="rId559" Type="http://schemas.openxmlformats.org/officeDocument/2006/relationships/hyperlink" Target="https://youtu.be/ValV62Hjv28" TargetMode="External"/><Relationship Id="rId550" Type="http://schemas.openxmlformats.org/officeDocument/2006/relationships/hyperlink" Target="https://youtu.be/cyARbOEbcGg" TargetMode="External"/><Relationship Id="rId2470" Type="http://schemas.openxmlformats.org/officeDocument/2006/relationships/hyperlink" Target="https://www.youtube.com/watch?v=8yDub42ZbGw" TargetMode="External"/><Relationship Id="rId1140" Type="http://schemas.openxmlformats.org/officeDocument/2006/relationships/hyperlink" Target="https://youtu.be/HhtAzPsIKGw" TargetMode="External"/><Relationship Id="rId2471" Type="http://schemas.openxmlformats.org/officeDocument/2006/relationships/hyperlink" Target="https://youtu.be/Uhp95Esn_zs" TargetMode="External"/><Relationship Id="rId1141" Type="http://schemas.openxmlformats.org/officeDocument/2006/relationships/hyperlink" Target="https://youtu.be/Z9oPY-JjpVo" TargetMode="External"/><Relationship Id="rId2472" Type="http://schemas.openxmlformats.org/officeDocument/2006/relationships/hyperlink" Target="https://youtu.be/KjdAydNEmFU" TargetMode="External"/><Relationship Id="rId1142" Type="http://schemas.openxmlformats.org/officeDocument/2006/relationships/hyperlink" Target="https://youtu.be/y2ToyAmG1Z0" TargetMode="External"/><Relationship Id="rId2473" Type="http://schemas.openxmlformats.org/officeDocument/2006/relationships/hyperlink" Target="https://youtu.be/MwLMxmR_rVM" TargetMode="External"/><Relationship Id="rId554" Type="http://schemas.openxmlformats.org/officeDocument/2006/relationships/hyperlink" Target="https://youtu.be/kGBVC3jY8F8" TargetMode="External"/><Relationship Id="rId1143" Type="http://schemas.openxmlformats.org/officeDocument/2006/relationships/hyperlink" Target="https://youtu.be/JhVWra7g52o" TargetMode="External"/><Relationship Id="rId2474" Type="http://schemas.openxmlformats.org/officeDocument/2006/relationships/hyperlink" Target="https://youtu.be/MbTRSl400-8" TargetMode="External"/><Relationship Id="rId553" Type="http://schemas.openxmlformats.org/officeDocument/2006/relationships/hyperlink" Target="https://youtu.be/Hb_40Nndess" TargetMode="External"/><Relationship Id="rId1144" Type="http://schemas.openxmlformats.org/officeDocument/2006/relationships/hyperlink" Target="https://youtu.be/6RY-B5e59Lg" TargetMode="External"/><Relationship Id="rId2475" Type="http://schemas.openxmlformats.org/officeDocument/2006/relationships/hyperlink" Target="https://youtu.be/ALQc6vfVnjs" TargetMode="External"/><Relationship Id="rId552" Type="http://schemas.openxmlformats.org/officeDocument/2006/relationships/hyperlink" Target="https://youtu.be/iZgfGIxSv8Y" TargetMode="External"/><Relationship Id="rId1145" Type="http://schemas.openxmlformats.org/officeDocument/2006/relationships/hyperlink" Target="https://youtu.be/BmiOYQCkzc8" TargetMode="External"/><Relationship Id="rId2476" Type="http://schemas.openxmlformats.org/officeDocument/2006/relationships/hyperlink" Target="https://youtu.be/h-nKaXqN2J8" TargetMode="External"/><Relationship Id="rId551" Type="http://schemas.openxmlformats.org/officeDocument/2006/relationships/hyperlink" Target="https://www.youtube.com/watch?v=R16stbu7kN0" TargetMode="External"/><Relationship Id="rId1146" Type="http://schemas.openxmlformats.org/officeDocument/2006/relationships/hyperlink" Target="https://youtu.be/-MUHD8m5rvM" TargetMode="External"/><Relationship Id="rId2477" Type="http://schemas.openxmlformats.org/officeDocument/2006/relationships/hyperlink" Target="https://youtu.be/SbTw07HQ-jg" TargetMode="External"/><Relationship Id="rId495" Type="http://schemas.openxmlformats.org/officeDocument/2006/relationships/hyperlink" Target="https://youtu.be/v6rte8owvOI" TargetMode="External"/><Relationship Id="rId494" Type="http://schemas.openxmlformats.org/officeDocument/2006/relationships/hyperlink" Target="https://youtu.be/KOMQmKvox68" TargetMode="External"/><Relationship Id="rId493" Type="http://schemas.openxmlformats.org/officeDocument/2006/relationships/hyperlink" Target="https://youtu.be/pXtik1HLAlg" TargetMode="External"/><Relationship Id="rId492" Type="http://schemas.openxmlformats.org/officeDocument/2006/relationships/hyperlink" Target="https://youtu.be/EL315CMT4pg" TargetMode="External"/><Relationship Id="rId499" Type="http://schemas.openxmlformats.org/officeDocument/2006/relationships/hyperlink" Target="https://youtu.be/zoAN3dTVjeo" TargetMode="External"/><Relationship Id="rId498" Type="http://schemas.openxmlformats.org/officeDocument/2006/relationships/hyperlink" Target="https://youtu.be/RCHUQ-x07CQ" TargetMode="External"/><Relationship Id="rId497" Type="http://schemas.openxmlformats.org/officeDocument/2006/relationships/hyperlink" Target="https://youtu.be/HYNlcpRlYEI" TargetMode="External"/><Relationship Id="rId496" Type="http://schemas.openxmlformats.org/officeDocument/2006/relationships/hyperlink" Target="https://youtu.be/HVy3BCch3f8" TargetMode="External"/><Relationship Id="rId3810" Type="http://schemas.openxmlformats.org/officeDocument/2006/relationships/hyperlink" Target="https://youtu.be/WTSwJDjIKMg" TargetMode="External"/><Relationship Id="rId3812" Type="http://schemas.openxmlformats.org/officeDocument/2006/relationships/hyperlink" Target="https://youtu.be/aTWt7MaiD2c" TargetMode="External"/><Relationship Id="rId3811" Type="http://schemas.openxmlformats.org/officeDocument/2006/relationships/hyperlink" Target="https://youtu.be/LCSY9YY_piU" TargetMode="External"/><Relationship Id="rId3814" Type="http://schemas.openxmlformats.org/officeDocument/2006/relationships/hyperlink" Target="https://youtu.be/3OXvQRgiDNk" TargetMode="External"/><Relationship Id="rId3813" Type="http://schemas.openxmlformats.org/officeDocument/2006/relationships/hyperlink" Target="https://youtu.be/uDn0dR839pg" TargetMode="External"/><Relationship Id="rId3816" Type="http://schemas.openxmlformats.org/officeDocument/2006/relationships/hyperlink" Target="https://youtu.be/DuVyWFjd-2A" TargetMode="External"/><Relationship Id="rId3815" Type="http://schemas.openxmlformats.org/officeDocument/2006/relationships/hyperlink" Target="https://youtu.be/RivQW7e81Io" TargetMode="External"/><Relationship Id="rId3818" Type="http://schemas.openxmlformats.org/officeDocument/2006/relationships/hyperlink" Target="https://youtu.be/DEaYD0fWcsg" TargetMode="External"/><Relationship Id="rId3817" Type="http://schemas.openxmlformats.org/officeDocument/2006/relationships/hyperlink" Target="https://youtu.be/qN34iZMymLw" TargetMode="External"/><Relationship Id="rId3819" Type="http://schemas.openxmlformats.org/officeDocument/2006/relationships/hyperlink" Target="https://youtu.be/KYZNySrslfk" TargetMode="External"/><Relationship Id="rId3801" Type="http://schemas.openxmlformats.org/officeDocument/2006/relationships/hyperlink" Target="https://clips.twitch.tv/TrustworthyBoldFishGivePLZ-Po2fD7at-sek261_" TargetMode="External"/><Relationship Id="rId3800" Type="http://schemas.openxmlformats.org/officeDocument/2006/relationships/hyperlink" Target="https://clips.twitch.tv/ClumsyCrepuscularPlumageNerfBlueBlaster-heP3VC5LrNVyumjo" TargetMode="External"/><Relationship Id="rId3803" Type="http://schemas.openxmlformats.org/officeDocument/2006/relationships/hyperlink" Target="https://clips.twitch.tv/SaltyCrispyIcecreamWoofer" TargetMode="External"/><Relationship Id="rId3802" Type="http://schemas.openxmlformats.org/officeDocument/2006/relationships/hyperlink" Target="https://clips.twitch.tv/SnappyPoorZebraTwitchRaid" TargetMode="External"/><Relationship Id="rId3805" Type="http://schemas.openxmlformats.org/officeDocument/2006/relationships/hyperlink" Target="https://clips.twitch.tv/MoldyRelatedTrollBatChest-WcJP5jR_ykR-S_WD" TargetMode="External"/><Relationship Id="rId3804" Type="http://schemas.openxmlformats.org/officeDocument/2006/relationships/hyperlink" Target="https://clips.twitch.tv/HomelyPlausibleFloofBCWarrior-sSytr9fCDheZ_hDo" TargetMode="External"/><Relationship Id="rId3807" Type="http://schemas.openxmlformats.org/officeDocument/2006/relationships/hyperlink" Target="https://www.twitch.tv/videos/681678115" TargetMode="External"/><Relationship Id="rId3806" Type="http://schemas.openxmlformats.org/officeDocument/2006/relationships/hyperlink" Target="https://clips.twitch.tv/TallDistinctAniseFrankerZ-3S4o-2k1o4GqXMhX" TargetMode="External"/><Relationship Id="rId3809" Type="http://schemas.openxmlformats.org/officeDocument/2006/relationships/hyperlink" Target="https://www.twitch.tv/videos/681697534" TargetMode="External"/><Relationship Id="rId3808" Type="http://schemas.openxmlformats.org/officeDocument/2006/relationships/hyperlink" Target="https://www.twitch.tv/videos/681679858" TargetMode="External"/><Relationship Id="rId1213" Type="http://schemas.openxmlformats.org/officeDocument/2006/relationships/hyperlink" Target="https://youtu.be/WpmrZiHdUmg" TargetMode="External"/><Relationship Id="rId2544" Type="http://schemas.openxmlformats.org/officeDocument/2006/relationships/hyperlink" Target="https://youtu.be/nFaEIKzyhAc" TargetMode="External"/><Relationship Id="rId3876" Type="http://schemas.openxmlformats.org/officeDocument/2006/relationships/hyperlink" Target="https://youtu.be/Df8m_IV4vrA" TargetMode="External"/><Relationship Id="rId1214" Type="http://schemas.openxmlformats.org/officeDocument/2006/relationships/hyperlink" Target="https://youtu.be/UGMz5zXortQ" TargetMode="External"/><Relationship Id="rId2545" Type="http://schemas.openxmlformats.org/officeDocument/2006/relationships/hyperlink" Target="https://youtu.be/PpvJFLAQgHo" TargetMode="External"/><Relationship Id="rId3875" Type="http://schemas.openxmlformats.org/officeDocument/2006/relationships/hyperlink" Target="https://clips.twitch.tv/ClearTangibleOryxOMGScoots-RUJeu6MdrRyS8XMp" TargetMode="External"/><Relationship Id="rId1215" Type="http://schemas.openxmlformats.org/officeDocument/2006/relationships/hyperlink" Target="https://youtu.be/XTt9Vf88slg" TargetMode="External"/><Relationship Id="rId2546" Type="http://schemas.openxmlformats.org/officeDocument/2006/relationships/hyperlink" Target="https://youtu.be/s69FG1KVogI" TargetMode="External"/><Relationship Id="rId3878" Type="http://schemas.openxmlformats.org/officeDocument/2006/relationships/hyperlink" Target="https://youtu.be/fNVSKf4AXPg" TargetMode="External"/><Relationship Id="rId1216" Type="http://schemas.openxmlformats.org/officeDocument/2006/relationships/hyperlink" Target="https://youtu.be/m62tB20oA_g" TargetMode="External"/><Relationship Id="rId2547" Type="http://schemas.openxmlformats.org/officeDocument/2006/relationships/hyperlink" Target="https://youtu.be/ohMgslKKLzg" TargetMode="External"/><Relationship Id="rId3877" Type="http://schemas.openxmlformats.org/officeDocument/2006/relationships/hyperlink" Target="https://youtu.be/S2yDCubR2o4" TargetMode="External"/><Relationship Id="rId1217" Type="http://schemas.openxmlformats.org/officeDocument/2006/relationships/hyperlink" Target="https://youtu.be/fPaVpR5NAlE" TargetMode="External"/><Relationship Id="rId2548" Type="http://schemas.openxmlformats.org/officeDocument/2006/relationships/hyperlink" Target="https://youtu.be/6LUCAOmDMOM" TargetMode="External"/><Relationship Id="rId1218" Type="http://schemas.openxmlformats.org/officeDocument/2006/relationships/hyperlink" Target="https://youtu.be/W7VZLhWhTy0" TargetMode="External"/><Relationship Id="rId2549" Type="http://schemas.openxmlformats.org/officeDocument/2006/relationships/hyperlink" Target="https://youtu.be/z_N0nSOqbO0" TargetMode="External"/><Relationship Id="rId3879" Type="http://schemas.openxmlformats.org/officeDocument/2006/relationships/hyperlink" Target="https://www.youtube.com/watch?v=5NFV4JlVEhg" TargetMode="External"/><Relationship Id="rId1219" Type="http://schemas.openxmlformats.org/officeDocument/2006/relationships/hyperlink" Target="https://youtu.be/ib-P1DOL8Uo" TargetMode="External"/><Relationship Id="rId3870" Type="http://schemas.openxmlformats.org/officeDocument/2006/relationships/hyperlink" Target="https://clips.twitch.tv/DependableWimpyPlumberNerfRedBlaster-l0N1ltNqN24DfqO-" TargetMode="External"/><Relationship Id="rId2540" Type="http://schemas.openxmlformats.org/officeDocument/2006/relationships/hyperlink" Target="https://youtu.be/9x4c-pj_0OU" TargetMode="External"/><Relationship Id="rId3872" Type="http://schemas.openxmlformats.org/officeDocument/2006/relationships/hyperlink" Target="https://youtu.be/oDxj7CTWpxg" TargetMode="External"/><Relationship Id="rId1210" Type="http://schemas.openxmlformats.org/officeDocument/2006/relationships/hyperlink" Target="https://youtu.be/dpYU8IDFLKY" TargetMode="External"/><Relationship Id="rId2541" Type="http://schemas.openxmlformats.org/officeDocument/2006/relationships/hyperlink" Target="https://www.youtube.com/watch?v=P2Ljvh9ZW7o" TargetMode="External"/><Relationship Id="rId3871" Type="http://schemas.openxmlformats.org/officeDocument/2006/relationships/hyperlink" Target="https://clips.twitch.tv/BlindingWittySquidArsonNoSexy-an14cMVazpBQ8zTL" TargetMode="External"/><Relationship Id="rId1211" Type="http://schemas.openxmlformats.org/officeDocument/2006/relationships/hyperlink" Target="https://www.twitch.tv/videos/1280720461" TargetMode="External"/><Relationship Id="rId2542" Type="http://schemas.openxmlformats.org/officeDocument/2006/relationships/hyperlink" Target="https://youtu.be/k6JbP64JkNs" TargetMode="External"/><Relationship Id="rId3874" Type="http://schemas.openxmlformats.org/officeDocument/2006/relationships/hyperlink" Target="https://youtu.be/aI2boBx2egA" TargetMode="External"/><Relationship Id="rId1212" Type="http://schemas.openxmlformats.org/officeDocument/2006/relationships/hyperlink" Target="https://youtu.be/BnHhD0LrPMw" TargetMode="External"/><Relationship Id="rId2543" Type="http://schemas.openxmlformats.org/officeDocument/2006/relationships/hyperlink" Target="https://youtu.be/uY90PjWR_MQ" TargetMode="External"/><Relationship Id="rId3873" Type="http://schemas.openxmlformats.org/officeDocument/2006/relationships/hyperlink" Target="https://youtu.be/HW54mM9GIV0" TargetMode="External"/><Relationship Id="rId1202" Type="http://schemas.openxmlformats.org/officeDocument/2006/relationships/hyperlink" Target="https://youtu.be/5xdzwDCvABg" TargetMode="External"/><Relationship Id="rId2533" Type="http://schemas.openxmlformats.org/officeDocument/2006/relationships/hyperlink" Target="https://youtu.be/iuuLyEqTcAk" TargetMode="External"/><Relationship Id="rId3865" Type="http://schemas.openxmlformats.org/officeDocument/2006/relationships/hyperlink" Target="https://youtu.be/Y2uUOIFXt-k" TargetMode="External"/><Relationship Id="rId1203" Type="http://schemas.openxmlformats.org/officeDocument/2006/relationships/hyperlink" Target="https://www.twitch.tv/videos/776292784" TargetMode="External"/><Relationship Id="rId2534" Type="http://schemas.openxmlformats.org/officeDocument/2006/relationships/hyperlink" Target="https://youtu.be/mFUfW8oMw4Q" TargetMode="External"/><Relationship Id="rId3864" Type="http://schemas.openxmlformats.org/officeDocument/2006/relationships/hyperlink" Target="https://youtu.be/Eb9BhmGD1ss" TargetMode="External"/><Relationship Id="rId1204" Type="http://schemas.openxmlformats.org/officeDocument/2006/relationships/hyperlink" Target="https://youtu.be/BIwB8aMG3fk" TargetMode="External"/><Relationship Id="rId2535" Type="http://schemas.openxmlformats.org/officeDocument/2006/relationships/hyperlink" Target="https://youtu.be/Cjjy-aaMpjw" TargetMode="External"/><Relationship Id="rId3867" Type="http://schemas.openxmlformats.org/officeDocument/2006/relationships/hyperlink" Target="https://www.twitch.tv/videos/923267417" TargetMode="External"/><Relationship Id="rId1205" Type="http://schemas.openxmlformats.org/officeDocument/2006/relationships/hyperlink" Target="https://youtu.be/vhC33um_174" TargetMode="External"/><Relationship Id="rId2536" Type="http://schemas.openxmlformats.org/officeDocument/2006/relationships/hyperlink" Target="https://youtu.be/PNNk40tqY3s" TargetMode="External"/><Relationship Id="rId3866" Type="http://schemas.openxmlformats.org/officeDocument/2006/relationships/hyperlink" Target="https://www.youtube.com/watch?v=BlTsOFlPgME" TargetMode="External"/><Relationship Id="rId1206" Type="http://schemas.openxmlformats.org/officeDocument/2006/relationships/hyperlink" Target="https://youtu.be/NdyFOs0CNzA" TargetMode="External"/><Relationship Id="rId2537" Type="http://schemas.openxmlformats.org/officeDocument/2006/relationships/hyperlink" Target="https://youtu.be/bSNMjwz7kZ8" TargetMode="External"/><Relationship Id="rId3869" Type="http://schemas.openxmlformats.org/officeDocument/2006/relationships/hyperlink" Target="https://clips.twitch.tv/EmpathicBlitheMouseCclamChamp-vw9pV9yJ-0wMcIEx" TargetMode="External"/><Relationship Id="rId1207" Type="http://schemas.openxmlformats.org/officeDocument/2006/relationships/hyperlink" Target="https://youtu.be/moFnwT-luBE" TargetMode="External"/><Relationship Id="rId2538" Type="http://schemas.openxmlformats.org/officeDocument/2006/relationships/hyperlink" Target="https://youtu.be/1e5nB66uyP8" TargetMode="External"/><Relationship Id="rId3868" Type="http://schemas.openxmlformats.org/officeDocument/2006/relationships/hyperlink" Target="https://www.youtube.com/watch?v=LLV-ujq1ytc" TargetMode="External"/><Relationship Id="rId1208" Type="http://schemas.openxmlformats.org/officeDocument/2006/relationships/hyperlink" Target="https://youtu.be/pXkmcZIsCgA" TargetMode="External"/><Relationship Id="rId2539" Type="http://schemas.openxmlformats.org/officeDocument/2006/relationships/hyperlink" Target="https://youtu.be/GdLrIFLMKmE" TargetMode="External"/><Relationship Id="rId1209" Type="http://schemas.openxmlformats.org/officeDocument/2006/relationships/hyperlink" Target="https://youtu.be/xhMkjpPpaXI" TargetMode="External"/><Relationship Id="rId3861" Type="http://schemas.openxmlformats.org/officeDocument/2006/relationships/hyperlink" Target="https://youtu.be/5XoJ7OWgZcY" TargetMode="External"/><Relationship Id="rId2530" Type="http://schemas.openxmlformats.org/officeDocument/2006/relationships/hyperlink" Target="https://youtu.be/BwT0G0Js7bA" TargetMode="External"/><Relationship Id="rId3860" Type="http://schemas.openxmlformats.org/officeDocument/2006/relationships/hyperlink" Target="https://youtu.be/8bbcpUEnYm8" TargetMode="External"/><Relationship Id="rId1200" Type="http://schemas.openxmlformats.org/officeDocument/2006/relationships/hyperlink" Target="https://youtu.be/tsi6OmpWznc" TargetMode="External"/><Relationship Id="rId2531" Type="http://schemas.openxmlformats.org/officeDocument/2006/relationships/hyperlink" Target="https://youtu.be/PBkkyzXz0vA" TargetMode="External"/><Relationship Id="rId3863" Type="http://schemas.openxmlformats.org/officeDocument/2006/relationships/hyperlink" Target="https://youtu.be/HF3rMsvgnpU" TargetMode="External"/><Relationship Id="rId1201" Type="http://schemas.openxmlformats.org/officeDocument/2006/relationships/hyperlink" Target="https://www.twitch.tv/videos/1280710333" TargetMode="External"/><Relationship Id="rId2532" Type="http://schemas.openxmlformats.org/officeDocument/2006/relationships/hyperlink" Target="https://youtu.be/evt6rjp33-s" TargetMode="External"/><Relationship Id="rId3862" Type="http://schemas.openxmlformats.org/officeDocument/2006/relationships/hyperlink" Target="https://youtu.be/g46wtxXYhtM" TargetMode="External"/><Relationship Id="rId1235" Type="http://schemas.openxmlformats.org/officeDocument/2006/relationships/hyperlink" Target="https://youtu.be/3XLFv6q2_Yo" TargetMode="External"/><Relationship Id="rId2566" Type="http://schemas.openxmlformats.org/officeDocument/2006/relationships/hyperlink" Target="https://www.youtube.com/watch?v=6Gs1M0kiNok" TargetMode="External"/><Relationship Id="rId3898" Type="http://schemas.openxmlformats.org/officeDocument/2006/relationships/hyperlink" Target="https://youtu.be/UbE6nG94rbc" TargetMode="External"/><Relationship Id="rId1236" Type="http://schemas.openxmlformats.org/officeDocument/2006/relationships/hyperlink" Target="https://www.youtube.com/watch?v=RT7TX3Ader8&amp;ab_channel=BlazeAlt" TargetMode="External"/><Relationship Id="rId2567" Type="http://schemas.openxmlformats.org/officeDocument/2006/relationships/hyperlink" Target="https://www.youtube.com/watch?v=ExcbIz8mdCc" TargetMode="External"/><Relationship Id="rId3897" Type="http://schemas.openxmlformats.org/officeDocument/2006/relationships/hyperlink" Target="https://youtu.be/S2-pKof3drs" TargetMode="External"/><Relationship Id="rId1237" Type="http://schemas.openxmlformats.org/officeDocument/2006/relationships/hyperlink" Target="https://www.youtube.com/watch?v=CC6Kfjnx9Gs&amp;feature=youtu.be&amp;ab_channel=BlazeAlt" TargetMode="External"/><Relationship Id="rId2568" Type="http://schemas.openxmlformats.org/officeDocument/2006/relationships/hyperlink" Target="https://www.twitch.tv/banova8_/clip/TameAuspiciousScallionHassaanChop-3TM_BCDlOmxjhhCX" TargetMode="External"/><Relationship Id="rId1238" Type="http://schemas.openxmlformats.org/officeDocument/2006/relationships/hyperlink" Target="https://www.youtube.com/watch?v=Wjhny2Pjx6w&amp;ab_channel=BlazeAlt" TargetMode="External"/><Relationship Id="rId2569" Type="http://schemas.openxmlformats.org/officeDocument/2006/relationships/hyperlink" Target="https://www.twitch.tv/banova8_/clip/CulturedBetterSharkPastaThat-UkGJOPTVHj_k_GgV" TargetMode="External"/><Relationship Id="rId3899" Type="http://schemas.openxmlformats.org/officeDocument/2006/relationships/hyperlink" Target="https://youtu.be/gs6T_sN1V7s" TargetMode="External"/><Relationship Id="rId1239" Type="http://schemas.openxmlformats.org/officeDocument/2006/relationships/hyperlink" Target="https://www.youtube.com/watch?v=fRbui_bS9eI&amp;ab_channel=BlazeAlt" TargetMode="External"/><Relationship Id="rId409" Type="http://schemas.openxmlformats.org/officeDocument/2006/relationships/hyperlink" Target="https://www.youtube.com/watch?v=XKnSR2jBMdw" TargetMode="External"/><Relationship Id="rId404" Type="http://schemas.openxmlformats.org/officeDocument/2006/relationships/hyperlink" Target="https://www.youtube.com/watch?v=zLzlGK7Uq3w" TargetMode="External"/><Relationship Id="rId403" Type="http://schemas.openxmlformats.org/officeDocument/2006/relationships/hyperlink" Target="https://www.youtube.com/watch?v=k5V8na3uoBY" TargetMode="External"/><Relationship Id="rId402" Type="http://schemas.openxmlformats.org/officeDocument/2006/relationships/hyperlink" Target="https://www.youtube.com/watch?v=nkzX1RiZU4Q" TargetMode="External"/><Relationship Id="rId401" Type="http://schemas.openxmlformats.org/officeDocument/2006/relationships/hyperlink" Target="https://www.youtube.com/watch?v=GECTLAuQNq4" TargetMode="External"/><Relationship Id="rId408" Type="http://schemas.openxmlformats.org/officeDocument/2006/relationships/hyperlink" Target="https://www.youtube.com/watch?v=cXDViN63OjU" TargetMode="External"/><Relationship Id="rId407" Type="http://schemas.openxmlformats.org/officeDocument/2006/relationships/hyperlink" Target="https://www.youtube.com/watch?v=Voq5UZXGSR0" TargetMode="External"/><Relationship Id="rId406" Type="http://schemas.openxmlformats.org/officeDocument/2006/relationships/hyperlink" Target="https://www.youtube.com/watch?v=Fo4jFECQoZM" TargetMode="External"/><Relationship Id="rId405" Type="http://schemas.openxmlformats.org/officeDocument/2006/relationships/hyperlink" Target="https://www.youtube.com/watch?v=ZUOCWh55Bzw" TargetMode="External"/><Relationship Id="rId3890" Type="http://schemas.openxmlformats.org/officeDocument/2006/relationships/hyperlink" Target="https://youtu.be/0cqSvG8RrCo" TargetMode="External"/><Relationship Id="rId2560" Type="http://schemas.openxmlformats.org/officeDocument/2006/relationships/hyperlink" Target="https://www.youtube.com/watch?v=jt8sNgphRCk" TargetMode="External"/><Relationship Id="rId3892" Type="http://schemas.openxmlformats.org/officeDocument/2006/relationships/hyperlink" Target="https://youtu.be/nggxOuqniqE" TargetMode="External"/><Relationship Id="rId1230" Type="http://schemas.openxmlformats.org/officeDocument/2006/relationships/hyperlink" Target="https://youtu.be/jV2GwKOrfC4" TargetMode="External"/><Relationship Id="rId2561" Type="http://schemas.openxmlformats.org/officeDocument/2006/relationships/hyperlink" Target="https://www.youtube.com/watch?v=_UZmDiU6rus" TargetMode="External"/><Relationship Id="rId3891" Type="http://schemas.openxmlformats.org/officeDocument/2006/relationships/hyperlink" Target="https://youtu.be/P1zYoS5W0-o" TargetMode="External"/><Relationship Id="rId400" Type="http://schemas.openxmlformats.org/officeDocument/2006/relationships/hyperlink" Target="https://www.youtube.com/watch?v=cJSiNIxISqs" TargetMode="External"/><Relationship Id="rId1231" Type="http://schemas.openxmlformats.org/officeDocument/2006/relationships/hyperlink" Target="https://youtu.be/WuI-DcOKtsM" TargetMode="External"/><Relationship Id="rId2562" Type="http://schemas.openxmlformats.org/officeDocument/2006/relationships/hyperlink" Target="https://www.youtube.com/watch?v=RM1crxU5bjg" TargetMode="External"/><Relationship Id="rId3894" Type="http://schemas.openxmlformats.org/officeDocument/2006/relationships/hyperlink" Target="https://youtu.be/is_vY-GrcvA" TargetMode="External"/><Relationship Id="rId1232" Type="http://schemas.openxmlformats.org/officeDocument/2006/relationships/hyperlink" Target="https://youtu.be/lQCmgllTDRI" TargetMode="External"/><Relationship Id="rId2563" Type="http://schemas.openxmlformats.org/officeDocument/2006/relationships/hyperlink" Target="https://www.youtube.com/watch?v=7FuHqH6rwU4" TargetMode="External"/><Relationship Id="rId3893" Type="http://schemas.openxmlformats.org/officeDocument/2006/relationships/hyperlink" Target="https://youtu.be/I7ZgVTZnK5E" TargetMode="External"/><Relationship Id="rId1233" Type="http://schemas.openxmlformats.org/officeDocument/2006/relationships/hyperlink" Target="https://youtu.be/kFzU1c-L21g" TargetMode="External"/><Relationship Id="rId2564" Type="http://schemas.openxmlformats.org/officeDocument/2006/relationships/hyperlink" Target="https://www.twitch.tv/banova8_/clip/PreciousObliqueSwordBudStar-qlP2KsNh536aTaIn" TargetMode="External"/><Relationship Id="rId3896" Type="http://schemas.openxmlformats.org/officeDocument/2006/relationships/hyperlink" Target="https://youtu.be/69ic33AvIaQ" TargetMode="External"/><Relationship Id="rId1234" Type="http://schemas.openxmlformats.org/officeDocument/2006/relationships/hyperlink" Target="https://youtu.be/tDhn5o1l8tA" TargetMode="External"/><Relationship Id="rId2565" Type="http://schemas.openxmlformats.org/officeDocument/2006/relationships/hyperlink" Target="https://www.youtube.com/watch?v=lv7OWh4XXYE" TargetMode="External"/><Relationship Id="rId3895" Type="http://schemas.openxmlformats.org/officeDocument/2006/relationships/hyperlink" Target="https://youtu.be/L3JP_GvYE7c" TargetMode="External"/><Relationship Id="rId1224" Type="http://schemas.openxmlformats.org/officeDocument/2006/relationships/hyperlink" Target="https://youtu.be/84gmAUcAD6Y" TargetMode="External"/><Relationship Id="rId2555" Type="http://schemas.openxmlformats.org/officeDocument/2006/relationships/hyperlink" Target="https://youtu.be/CHZNyc6nkrY" TargetMode="External"/><Relationship Id="rId3887" Type="http://schemas.openxmlformats.org/officeDocument/2006/relationships/hyperlink" Target="https://youtu.be/u-0TbF-x-ys" TargetMode="External"/><Relationship Id="rId1225" Type="http://schemas.openxmlformats.org/officeDocument/2006/relationships/hyperlink" Target="https://youtu.be/PrSxiEeu_Lg" TargetMode="External"/><Relationship Id="rId2556" Type="http://schemas.openxmlformats.org/officeDocument/2006/relationships/hyperlink" Target="https://youtu.be/E4AfOuDVA_4" TargetMode="External"/><Relationship Id="rId3886" Type="http://schemas.openxmlformats.org/officeDocument/2006/relationships/hyperlink" Target="https://youtu.be/Fwi1P8hhbEM" TargetMode="External"/><Relationship Id="rId1226" Type="http://schemas.openxmlformats.org/officeDocument/2006/relationships/hyperlink" Target="https://www.twitch.tv/videos/1280720462" TargetMode="External"/><Relationship Id="rId2557" Type="http://schemas.openxmlformats.org/officeDocument/2006/relationships/hyperlink" Target="https://youtu.be/ZnukiMGN8KQ" TargetMode="External"/><Relationship Id="rId3889" Type="http://schemas.openxmlformats.org/officeDocument/2006/relationships/hyperlink" Target="https://youtu.be/q-qecF2b-PI" TargetMode="External"/><Relationship Id="rId1227" Type="http://schemas.openxmlformats.org/officeDocument/2006/relationships/hyperlink" Target="https://youtu.be/CTRzm_ygkeA" TargetMode="External"/><Relationship Id="rId2558" Type="http://schemas.openxmlformats.org/officeDocument/2006/relationships/hyperlink" Target="https://www.twitch.tv/videos/2247616068" TargetMode="External"/><Relationship Id="rId3888" Type="http://schemas.openxmlformats.org/officeDocument/2006/relationships/hyperlink" Target="https://youtu.be/79vpdi3lud8" TargetMode="External"/><Relationship Id="rId1228" Type="http://schemas.openxmlformats.org/officeDocument/2006/relationships/hyperlink" Target="https://youtu.be/pzPQ10JiQLA" TargetMode="External"/><Relationship Id="rId2559" Type="http://schemas.openxmlformats.org/officeDocument/2006/relationships/hyperlink" Target="https://www.twitch.tv/banova8_/clip/AbnegateHealthyPartridgePeteZarollTie-_0mtnFEQ7nk292nm" TargetMode="External"/><Relationship Id="rId1229" Type="http://schemas.openxmlformats.org/officeDocument/2006/relationships/hyperlink" Target="https://youtu.be/F3qgVCznEIg" TargetMode="External"/><Relationship Id="rId3881" Type="http://schemas.openxmlformats.org/officeDocument/2006/relationships/hyperlink" Target="https://youtu.be/zlsxUCl28VA" TargetMode="External"/><Relationship Id="rId2550" Type="http://schemas.openxmlformats.org/officeDocument/2006/relationships/hyperlink" Target="https://youtu.be/Q9zO6Ey-tuY" TargetMode="External"/><Relationship Id="rId3880" Type="http://schemas.openxmlformats.org/officeDocument/2006/relationships/hyperlink" Target="https://www.youtube.com/watch?v=RjXUBXs_PiQ" TargetMode="External"/><Relationship Id="rId1220" Type="http://schemas.openxmlformats.org/officeDocument/2006/relationships/hyperlink" Target="https://youtu.be/p-YGDvU-3ZM" TargetMode="External"/><Relationship Id="rId2551" Type="http://schemas.openxmlformats.org/officeDocument/2006/relationships/hyperlink" Target="https://youtu.be/CA9si0gN3zQ" TargetMode="External"/><Relationship Id="rId3883" Type="http://schemas.openxmlformats.org/officeDocument/2006/relationships/hyperlink" Target="https://youtu.be/74H20Y0ruuk" TargetMode="External"/><Relationship Id="rId1221" Type="http://schemas.openxmlformats.org/officeDocument/2006/relationships/hyperlink" Target="https://youtu.be/hJQ5RHVM3J0" TargetMode="External"/><Relationship Id="rId2552" Type="http://schemas.openxmlformats.org/officeDocument/2006/relationships/hyperlink" Target="https://youtu.be/qCn2ckp3j1Q" TargetMode="External"/><Relationship Id="rId3882" Type="http://schemas.openxmlformats.org/officeDocument/2006/relationships/hyperlink" Target="https://youtu.be/NqCh1AR43cg" TargetMode="External"/><Relationship Id="rId1222" Type="http://schemas.openxmlformats.org/officeDocument/2006/relationships/hyperlink" Target="https://youtu.be/Rxq9Laa02sM" TargetMode="External"/><Relationship Id="rId2553" Type="http://schemas.openxmlformats.org/officeDocument/2006/relationships/hyperlink" Target="https://youtu.be/mnPxRyeakV0" TargetMode="External"/><Relationship Id="rId3885" Type="http://schemas.openxmlformats.org/officeDocument/2006/relationships/hyperlink" Target="https://youtu.be/Cr_xP8bgJec" TargetMode="External"/><Relationship Id="rId1223" Type="http://schemas.openxmlformats.org/officeDocument/2006/relationships/hyperlink" Target="https://youtu.be/tAAvzoOfUkg" TargetMode="External"/><Relationship Id="rId2554" Type="http://schemas.openxmlformats.org/officeDocument/2006/relationships/hyperlink" Target="https://youtu.be/tpGBiGHZxK0" TargetMode="External"/><Relationship Id="rId3884" Type="http://schemas.openxmlformats.org/officeDocument/2006/relationships/hyperlink" Target="https://youtu.be/ixBwATUne_8" TargetMode="External"/><Relationship Id="rId2500" Type="http://schemas.openxmlformats.org/officeDocument/2006/relationships/hyperlink" Target="https://youtu.be/1qw4AWxMhrE" TargetMode="External"/><Relationship Id="rId3832" Type="http://schemas.openxmlformats.org/officeDocument/2006/relationships/hyperlink" Target="https://youtu.be/l-J95YPF38s" TargetMode="External"/><Relationship Id="rId2501" Type="http://schemas.openxmlformats.org/officeDocument/2006/relationships/hyperlink" Target="https://youtu.be/RUgqny8h0sQ" TargetMode="External"/><Relationship Id="rId3831" Type="http://schemas.openxmlformats.org/officeDocument/2006/relationships/hyperlink" Target="https://youtu.be/TAwydb697hQ" TargetMode="External"/><Relationship Id="rId2502" Type="http://schemas.openxmlformats.org/officeDocument/2006/relationships/hyperlink" Target="https://youtu.be/9-4Sx88Rrlk" TargetMode="External"/><Relationship Id="rId3834" Type="http://schemas.openxmlformats.org/officeDocument/2006/relationships/hyperlink" Target="https://youtu.be/hn7ID9ScAkc" TargetMode="External"/><Relationship Id="rId2503" Type="http://schemas.openxmlformats.org/officeDocument/2006/relationships/hyperlink" Target="https://youtu.be/qFyGDuNYB1Y" TargetMode="External"/><Relationship Id="rId3833" Type="http://schemas.openxmlformats.org/officeDocument/2006/relationships/hyperlink" Target="https://youtu.be/fd6_7meeF5M" TargetMode="External"/><Relationship Id="rId2504" Type="http://schemas.openxmlformats.org/officeDocument/2006/relationships/hyperlink" Target="https://youtu.be/VOb_HIsYMEk" TargetMode="External"/><Relationship Id="rId3836" Type="http://schemas.openxmlformats.org/officeDocument/2006/relationships/hyperlink" Target="https://youtu.be/SnliE5bQ-nc" TargetMode="External"/><Relationship Id="rId2505" Type="http://schemas.openxmlformats.org/officeDocument/2006/relationships/hyperlink" Target="https://youtu.be/NOWSgC9zUaw" TargetMode="External"/><Relationship Id="rId3835" Type="http://schemas.openxmlformats.org/officeDocument/2006/relationships/hyperlink" Target="https://youtu.be/0Hwip54es7g" TargetMode="External"/><Relationship Id="rId2506" Type="http://schemas.openxmlformats.org/officeDocument/2006/relationships/hyperlink" Target="https://youtu.be/WVo87yYidJ4" TargetMode="External"/><Relationship Id="rId3838" Type="http://schemas.openxmlformats.org/officeDocument/2006/relationships/hyperlink" Target="https://youtu.be/e7lz1Qg2qTA" TargetMode="External"/><Relationship Id="rId2507" Type="http://schemas.openxmlformats.org/officeDocument/2006/relationships/hyperlink" Target="https://youtu.be/eYfAbzNBvRM" TargetMode="External"/><Relationship Id="rId3837" Type="http://schemas.openxmlformats.org/officeDocument/2006/relationships/hyperlink" Target="https://youtu.be/uaFcvYbESHM" TargetMode="External"/><Relationship Id="rId2508" Type="http://schemas.openxmlformats.org/officeDocument/2006/relationships/hyperlink" Target="https://youtu.be/CINddbETCxQ" TargetMode="External"/><Relationship Id="rId2509" Type="http://schemas.openxmlformats.org/officeDocument/2006/relationships/hyperlink" Target="https://youtu.be/_HULD2HMJ-o" TargetMode="External"/><Relationship Id="rId3839" Type="http://schemas.openxmlformats.org/officeDocument/2006/relationships/hyperlink" Target="https://youtu.be/I7pAJQ_6f3w" TargetMode="External"/><Relationship Id="rId3830" Type="http://schemas.openxmlformats.org/officeDocument/2006/relationships/hyperlink" Target="https://youtu.be/q8XoC6L5V3Y" TargetMode="External"/><Relationship Id="rId3821" Type="http://schemas.openxmlformats.org/officeDocument/2006/relationships/hyperlink" Target="https://youtu.be/ioQ_htK8yrE" TargetMode="External"/><Relationship Id="rId3820" Type="http://schemas.openxmlformats.org/officeDocument/2006/relationships/hyperlink" Target="https://www.youtube.com/watch?v=KYZNySrslfk" TargetMode="External"/><Relationship Id="rId3823" Type="http://schemas.openxmlformats.org/officeDocument/2006/relationships/hyperlink" Target="https://youtu.be/EBZnsD_7Mz8" TargetMode="External"/><Relationship Id="rId3822" Type="http://schemas.openxmlformats.org/officeDocument/2006/relationships/hyperlink" Target="https://youtu.be/trYi0VCJE54" TargetMode="External"/><Relationship Id="rId3825" Type="http://schemas.openxmlformats.org/officeDocument/2006/relationships/hyperlink" Target="https://youtu.be/bb7FpVYgK9M" TargetMode="External"/><Relationship Id="rId3824" Type="http://schemas.openxmlformats.org/officeDocument/2006/relationships/hyperlink" Target="https://youtu.be/qZ1Z4KmwZG0" TargetMode="External"/><Relationship Id="rId3827" Type="http://schemas.openxmlformats.org/officeDocument/2006/relationships/hyperlink" Target="https://youtu.be/5zXuiTlBoU0" TargetMode="External"/><Relationship Id="rId3826" Type="http://schemas.openxmlformats.org/officeDocument/2006/relationships/hyperlink" Target="https://youtu.be/ptAIiXvgE8E" TargetMode="External"/><Relationship Id="rId3829" Type="http://schemas.openxmlformats.org/officeDocument/2006/relationships/hyperlink" Target="https://youtu.be/7PeU1iWA2ro" TargetMode="External"/><Relationship Id="rId3828" Type="http://schemas.openxmlformats.org/officeDocument/2006/relationships/hyperlink" Target="https://youtu.be/JJ_VC6uEsxc" TargetMode="External"/><Relationship Id="rId2522" Type="http://schemas.openxmlformats.org/officeDocument/2006/relationships/hyperlink" Target="https://youtu.be/tUVOVRxFAm4" TargetMode="External"/><Relationship Id="rId3854" Type="http://schemas.openxmlformats.org/officeDocument/2006/relationships/hyperlink" Target="https://youtu.be/-gpVMjuSwok" TargetMode="External"/><Relationship Id="rId2523" Type="http://schemas.openxmlformats.org/officeDocument/2006/relationships/hyperlink" Target="https://www.youtube.com/watch?v=tUVOVRxFAm4" TargetMode="External"/><Relationship Id="rId3853" Type="http://schemas.openxmlformats.org/officeDocument/2006/relationships/hyperlink" Target="https://youtu.be/3pAUOrxc8XE" TargetMode="External"/><Relationship Id="rId2524" Type="http://schemas.openxmlformats.org/officeDocument/2006/relationships/hyperlink" Target="https://youtu.be/7BFRkUtZva4" TargetMode="External"/><Relationship Id="rId3856" Type="http://schemas.openxmlformats.org/officeDocument/2006/relationships/hyperlink" Target="https://youtu.be/Xkor6JcyZu0" TargetMode="External"/><Relationship Id="rId2525" Type="http://schemas.openxmlformats.org/officeDocument/2006/relationships/hyperlink" Target="https://youtu.be/pr-HbxWOWKM" TargetMode="External"/><Relationship Id="rId3855" Type="http://schemas.openxmlformats.org/officeDocument/2006/relationships/hyperlink" Target="https://youtu.be/rGwUTVf4_e4" TargetMode="External"/><Relationship Id="rId2526" Type="http://schemas.openxmlformats.org/officeDocument/2006/relationships/hyperlink" Target="https://youtu.be/uzlELasL6rs" TargetMode="External"/><Relationship Id="rId3858" Type="http://schemas.openxmlformats.org/officeDocument/2006/relationships/hyperlink" Target="https://youtu.be/9hqIgI8IbP4" TargetMode="External"/><Relationship Id="rId2527" Type="http://schemas.openxmlformats.org/officeDocument/2006/relationships/hyperlink" Target="https://youtu.be/C8NGezkLAlk" TargetMode="External"/><Relationship Id="rId3857" Type="http://schemas.openxmlformats.org/officeDocument/2006/relationships/hyperlink" Target="https://youtu.be/4YT0gKWYQ7I" TargetMode="External"/><Relationship Id="rId2528" Type="http://schemas.openxmlformats.org/officeDocument/2006/relationships/hyperlink" Target="https://youtu.be/mXYEUsXV4vA" TargetMode="External"/><Relationship Id="rId2529" Type="http://schemas.openxmlformats.org/officeDocument/2006/relationships/hyperlink" Target="https://youtu.be/a4ItpBSNA8Q" TargetMode="External"/><Relationship Id="rId3859" Type="http://schemas.openxmlformats.org/officeDocument/2006/relationships/hyperlink" Target="https://youtu.be/PriW-YP0H10" TargetMode="External"/><Relationship Id="rId3850" Type="http://schemas.openxmlformats.org/officeDocument/2006/relationships/hyperlink" Target="https://youtu.be/CLlr_Dz3qIU" TargetMode="External"/><Relationship Id="rId2520" Type="http://schemas.openxmlformats.org/officeDocument/2006/relationships/hyperlink" Target="https://youtu.be/NSaW590zATs" TargetMode="External"/><Relationship Id="rId3852" Type="http://schemas.openxmlformats.org/officeDocument/2006/relationships/hyperlink" Target="https://youtu.be/UJzBV8reGTo" TargetMode="External"/><Relationship Id="rId2521" Type="http://schemas.openxmlformats.org/officeDocument/2006/relationships/hyperlink" Target="https://docs.google.com/spreadsheets/u/0/" TargetMode="External"/><Relationship Id="rId3851" Type="http://schemas.openxmlformats.org/officeDocument/2006/relationships/hyperlink" Target="https://youtu.be/wrP9euGtuso" TargetMode="External"/><Relationship Id="rId2511" Type="http://schemas.openxmlformats.org/officeDocument/2006/relationships/hyperlink" Target="https://youtu.be/wjtk5aQl9rA" TargetMode="External"/><Relationship Id="rId3843" Type="http://schemas.openxmlformats.org/officeDocument/2006/relationships/hyperlink" Target="https://youtu.be/5XnbpapEQqI" TargetMode="External"/><Relationship Id="rId2512" Type="http://schemas.openxmlformats.org/officeDocument/2006/relationships/hyperlink" Target="https://youtu.be/3tyzNFoalX8" TargetMode="External"/><Relationship Id="rId3842" Type="http://schemas.openxmlformats.org/officeDocument/2006/relationships/hyperlink" Target="https://youtu.be/qCLfhQAaJoM%5C" TargetMode="External"/><Relationship Id="rId2513" Type="http://schemas.openxmlformats.org/officeDocument/2006/relationships/hyperlink" Target="https://youtu.be/OVLOMgv4lHM" TargetMode="External"/><Relationship Id="rId3845" Type="http://schemas.openxmlformats.org/officeDocument/2006/relationships/hyperlink" Target="https://youtu.be/j5XqeKoIu_Q" TargetMode="External"/><Relationship Id="rId2514" Type="http://schemas.openxmlformats.org/officeDocument/2006/relationships/hyperlink" Target="https://youtu.be/S8E5TXAF_Fg" TargetMode="External"/><Relationship Id="rId3844" Type="http://schemas.openxmlformats.org/officeDocument/2006/relationships/hyperlink" Target="https://youtu.be/2qSsPg1K_iM" TargetMode="External"/><Relationship Id="rId2515" Type="http://schemas.openxmlformats.org/officeDocument/2006/relationships/hyperlink" Target="https://youtu.be/vCWp4nv7kPM" TargetMode="External"/><Relationship Id="rId3847" Type="http://schemas.openxmlformats.org/officeDocument/2006/relationships/hyperlink" Target="https://youtu.be/lwHw8i-g_Po" TargetMode="External"/><Relationship Id="rId2516" Type="http://schemas.openxmlformats.org/officeDocument/2006/relationships/hyperlink" Target="https://youtu.be/yqMLlzyocdY" TargetMode="External"/><Relationship Id="rId3846" Type="http://schemas.openxmlformats.org/officeDocument/2006/relationships/hyperlink" Target="https://youtu.be/9s0LXHFNAp4" TargetMode="External"/><Relationship Id="rId2517" Type="http://schemas.openxmlformats.org/officeDocument/2006/relationships/hyperlink" Target="https://youtu.be/qWe0hRuACd4" TargetMode="External"/><Relationship Id="rId3849" Type="http://schemas.openxmlformats.org/officeDocument/2006/relationships/hyperlink" Target="https://youtu.be/7ZJG2yy5hfo" TargetMode="External"/><Relationship Id="rId2518" Type="http://schemas.openxmlformats.org/officeDocument/2006/relationships/hyperlink" Target="https://youtu.be/XCuw2OQP0gA" TargetMode="External"/><Relationship Id="rId3848" Type="http://schemas.openxmlformats.org/officeDocument/2006/relationships/hyperlink" Target="https://youtu.be/Kq6ei9mgLgA" TargetMode="External"/><Relationship Id="rId2519" Type="http://schemas.openxmlformats.org/officeDocument/2006/relationships/hyperlink" Target="https://youtu.be/4DBJt6tskao" TargetMode="External"/><Relationship Id="rId3841" Type="http://schemas.openxmlformats.org/officeDocument/2006/relationships/hyperlink" Target="https://youtu.be/YCBN8O8dVJU" TargetMode="External"/><Relationship Id="rId2510" Type="http://schemas.openxmlformats.org/officeDocument/2006/relationships/hyperlink" Target="https://youtu.be/I_ca5My7vuk" TargetMode="External"/><Relationship Id="rId3840" Type="http://schemas.openxmlformats.org/officeDocument/2006/relationships/hyperlink" Target="https://youtu.be/Tha7_fjkWIU" TargetMode="External"/><Relationship Id="rId469" Type="http://schemas.openxmlformats.org/officeDocument/2006/relationships/hyperlink" Target="https://youtu.be/GBVLt-SFiHk" TargetMode="External"/><Relationship Id="rId468" Type="http://schemas.openxmlformats.org/officeDocument/2006/relationships/hyperlink" Target="https://youtu.be/yxZLUk0SmpM" TargetMode="External"/><Relationship Id="rId467" Type="http://schemas.openxmlformats.org/officeDocument/2006/relationships/hyperlink" Target="https://youtu.be/OxQLySlyrTo" TargetMode="External"/><Relationship Id="rId1290" Type="http://schemas.openxmlformats.org/officeDocument/2006/relationships/hyperlink" Target="https://www.youtube.com/watch?v=5rNHsOuJkcI&amp;ab_channel=BlazeAlt" TargetMode="External"/><Relationship Id="rId1291" Type="http://schemas.openxmlformats.org/officeDocument/2006/relationships/hyperlink" Target="https://www.youtube.com/watch?v=UZqTf15azq8&amp;ab_channel=BlazeAlt" TargetMode="External"/><Relationship Id="rId1292" Type="http://schemas.openxmlformats.org/officeDocument/2006/relationships/hyperlink" Target="https://www.youtube.com/watch?v=_k8oAXQyWcM&amp;ab_channel=BlazeAlt" TargetMode="External"/><Relationship Id="rId462" Type="http://schemas.openxmlformats.org/officeDocument/2006/relationships/hyperlink" Target="https://youtu.be/cJOCstZrCY0" TargetMode="External"/><Relationship Id="rId1293" Type="http://schemas.openxmlformats.org/officeDocument/2006/relationships/hyperlink" Target="https://www.youtube.com/watch?v=PESSn_1mNtg&amp;ab_channel=BlazeAlt" TargetMode="External"/><Relationship Id="rId461" Type="http://schemas.openxmlformats.org/officeDocument/2006/relationships/hyperlink" Target="https://youtu.be/XR_BgNeBv5k" TargetMode="External"/><Relationship Id="rId1294" Type="http://schemas.openxmlformats.org/officeDocument/2006/relationships/hyperlink" Target="https://www.youtube.com/watch?v=w3_06fnYDNk&amp;ab_channel=BlazeAlt" TargetMode="External"/><Relationship Id="rId460" Type="http://schemas.openxmlformats.org/officeDocument/2006/relationships/hyperlink" Target="https://youtu.be/Mo_3tUvWfoA" TargetMode="External"/><Relationship Id="rId1295" Type="http://schemas.openxmlformats.org/officeDocument/2006/relationships/hyperlink" Target="https://www.youtube.com/watch?v=qtmCYlRWF34&amp;ab_channel=BlazeAlt" TargetMode="External"/><Relationship Id="rId1296" Type="http://schemas.openxmlformats.org/officeDocument/2006/relationships/hyperlink" Target="https://www.youtube.com/watch?v=-fYEWCjGbwI&amp;ab_channel=BlazeAlt" TargetMode="External"/><Relationship Id="rId466" Type="http://schemas.openxmlformats.org/officeDocument/2006/relationships/hyperlink" Target="https://youtu.be/LE9pDyh4sCc" TargetMode="External"/><Relationship Id="rId1297" Type="http://schemas.openxmlformats.org/officeDocument/2006/relationships/hyperlink" Target="https://www.youtube.com/watch?v=tfHtR-MqfMA&amp;ab_channel=BlazeAlt" TargetMode="External"/><Relationship Id="rId465" Type="http://schemas.openxmlformats.org/officeDocument/2006/relationships/hyperlink" Target="https://youtu.be/mjCmV8gACQo" TargetMode="External"/><Relationship Id="rId1298" Type="http://schemas.openxmlformats.org/officeDocument/2006/relationships/hyperlink" Target="https://www.youtube.com/watch?v=IcmpSqdqer0&amp;ab_channel=BlazeAlt" TargetMode="External"/><Relationship Id="rId464" Type="http://schemas.openxmlformats.org/officeDocument/2006/relationships/hyperlink" Target="https://youtu.be/rYyDgla0Ep4" TargetMode="External"/><Relationship Id="rId1299" Type="http://schemas.openxmlformats.org/officeDocument/2006/relationships/hyperlink" Target="https://www.youtube.com/watch?v=THVI2WkR1F4&amp;ab_channel=BlazeAlt" TargetMode="External"/><Relationship Id="rId463" Type="http://schemas.openxmlformats.org/officeDocument/2006/relationships/hyperlink" Target="https://youtu.be/klwTZcZaCnc" TargetMode="External"/><Relationship Id="rId459" Type="http://schemas.openxmlformats.org/officeDocument/2006/relationships/hyperlink" Target="https://youtu.be/rCTrbJV7BHQ" TargetMode="External"/><Relationship Id="rId458" Type="http://schemas.openxmlformats.org/officeDocument/2006/relationships/hyperlink" Target="https://youtu.be/gCTKkaEhN5g" TargetMode="External"/><Relationship Id="rId457" Type="http://schemas.openxmlformats.org/officeDocument/2006/relationships/hyperlink" Target="https://youtu.be/9sppxviaT_w" TargetMode="External"/><Relationship Id="rId456" Type="http://schemas.openxmlformats.org/officeDocument/2006/relationships/hyperlink" Target="https://youtu.be/AY3rBttkXHQ" TargetMode="External"/><Relationship Id="rId1280" Type="http://schemas.openxmlformats.org/officeDocument/2006/relationships/hyperlink" Target="https://www.youtube.com/watch?v=9uUcrumsemY&amp;ab_channel=BlazeAlt" TargetMode="External"/><Relationship Id="rId1281" Type="http://schemas.openxmlformats.org/officeDocument/2006/relationships/hyperlink" Target="https://www.youtube.com/watch?v=obEamM12QV8&amp;ab_channel=BlazeAlt" TargetMode="External"/><Relationship Id="rId451" Type="http://schemas.openxmlformats.org/officeDocument/2006/relationships/hyperlink" Target="https://youtu.be/4FEyMSqgJ3s" TargetMode="External"/><Relationship Id="rId1282" Type="http://schemas.openxmlformats.org/officeDocument/2006/relationships/hyperlink" Target="https://www.youtube.com/watch?v=MsvmWjKf_mQ&amp;ab_channel=BlazeAlt" TargetMode="External"/><Relationship Id="rId450" Type="http://schemas.openxmlformats.org/officeDocument/2006/relationships/hyperlink" Target="https://youtu.be/3rVPsCqDUjk" TargetMode="External"/><Relationship Id="rId1283" Type="http://schemas.openxmlformats.org/officeDocument/2006/relationships/hyperlink" Target="https://www.youtube.com/watch?v=HQToZRg-ST4&amp;ab_channel=BlazeAlt" TargetMode="External"/><Relationship Id="rId1284" Type="http://schemas.openxmlformats.org/officeDocument/2006/relationships/hyperlink" Target="https://www.youtube.com/watch?v=nD6fxOMLxLA&amp;ab_channel=BlazeAlt" TargetMode="External"/><Relationship Id="rId1285" Type="http://schemas.openxmlformats.org/officeDocument/2006/relationships/hyperlink" Target="https://www.youtube.com/watch?v=04hOlE41SyA&amp;ab_channel=BlazeAlt" TargetMode="External"/><Relationship Id="rId455" Type="http://schemas.openxmlformats.org/officeDocument/2006/relationships/hyperlink" Target="https://youtu.be/ZauXf-CsRvw" TargetMode="External"/><Relationship Id="rId1286" Type="http://schemas.openxmlformats.org/officeDocument/2006/relationships/hyperlink" Target="https://www.youtube.com/watch?v=A_AqGQO9i2Y&amp;ab_channel=BlazeAlt" TargetMode="External"/><Relationship Id="rId454" Type="http://schemas.openxmlformats.org/officeDocument/2006/relationships/hyperlink" Target="https://youtu.be/xrmR40nbeb4" TargetMode="External"/><Relationship Id="rId1287" Type="http://schemas.openxmlformats.org/officeDocument/2006/relationships/hyperlink" Target="https://www.youtube.com/watch?v=R7_IMLnwEE0&amp;ab_channel=BlazeAlt" TargetMode="External"/><Relationship Id="rId453" Type="http://schemas.openxmlformats.org/officeDocument/2006/relationships/hyperlink" Target="https://youtu.be/yci9hSE7dEo" TargetMode="External"/><Relationship Id="rId1288" Type="http://schemas.openxmlformats.org/officeDocument/2006/relationships/hyperlink" Target="https://www.youtube.com/watch?v=oiOxGSF3EEk&amp;ab_channel=BlazeAlt" TargetMode="External"/><Relationship Id="rId452" Type="http://schemas.openxmlformats.org/officeDocument/2006/relationships/hyperlink" Target="https://youtu.be/Y4j1ctcS4oA" TargetMode="External"/><Relationship Id="rId1289" Type="http://schemas.openxmlformats.org/officeDocument/2006/relationships/hyperlink" Target="https://www.youtube.com/watch?v=0KqgW6-bK-g&amp;ab_channel=BlazeAlt" TargetMode="External"/><Relationship Id="rId3018" Type="http://schemas.openxmlformats.org/officeDocument/2006/relationships/hyperlink" Target="https://clips.twitch.tv/ViscousHelplessCarabeefTebowing-S-93KT0xAo5FgTEd" TargetMode="External"/><Relationship Id="rId3017" Type="http://schemas.openxmlformats.org/officeDocument/2006/relationships/hyperlink" Target="https://youtu.be/uR041B_Mtdg" TargetMode="External"/><Relationship Id="rId3019" Type="http://schemas.openxmlformats.org/officeDocument/2006/relationships/hyperlink" Target="https://youtu.be/uh6cTGdi7DA" TargetMode="External"/><Relationship Id="rId491" Type="http://schemas.openxmlformats.org/officeDocument/2006/relationships/hyperlink" Target="https://youtu.be/kI0ZEJhzFFY" TargetMode="External"/><Relationship Id="rId490" Type="http://schemas.openxmlformats.org/officeDocument/2006/relationships/hyperlink" Target="https://youtu.be/7vd_91VowSk" TargetMode="External"/><Relationship Id="rId489" Type="http://schemas.openxmlformats.org/officeDocument/2006/relationships/hyperlink" Target="https://youtu.be/jxt0KkKkQwE" TargetMode="External"/><Relationship Id="rId484" Type="http://schemas.openxmlformats.org/officeDocument/2006/relationships/hyperlink" Target="https://youtu.be/TJtV38qDL_8" TargetMode="External"/><Relationship Id="rId3010" Type="http://schemas.openxmlformats.org/officeDocument/2006/relationships/hyperlink" Target="https://youtu.be/2fVmzCJ9Y90" TargetMode="External"/><Relationship Id="rId483" Type="http://schemas.openxmlformats.org/officeDocument/2006/relationships/hyperlink" Target="https://youtu.be/aoeIyXlJWWM" TargetMode="External"/><Relationship Id="rId482" Type="http://schemas.openxmlformats.org/officeDocument/2006/relationships/hyperlink" Target="https://youtu.be/z-U_tP4TG2s" TargetMode="External"/><Relationship Id="rId3012" Type="http://schemas.openxmlformats.org/officeDocument/2006/relationships/hyperlink" Target="https://clips.twitch.tv/CrazyExuberantTubersCharlieBitMe-EiZ2ogbgTjA-7ug3" TargetMode="External"/><Relationship Id="rId481" Type="http://schemas.openxmlformats.org/officeDocument/2006/relationships/hyperlink" Target="https://youtu.be/svZiPOWaCGY" TargetMode="External"/><Relationship Id="rId3011" Type="http://schemas.openxmlformats.org/officeDocument/2006/relationships/hyperlink" Target="https://clips.twitch.tv/FuriousBetterKleePermaSmug" TargetMode="External"/><Relationship Id="rId488" Type="http://schemas.openxmlformats.org/officeDocument/2006/relationships/hyperlink" Target="https://youtu.be/nc2kOVZ2ynw" TargetMode="External"/><Relationship Id="rId3014" Type="http://schemas.openxmlformats.org/officeDocument/2006/relationships/hyperlink" Target="https://youtu.be/DVYnYhBPcoY?si=OugetNnKaBrbIxKE" TargetMode="External"/><Relationship Id="rId487" Type="http://schemas.openxmlformats.org/officeDocument/2006/relationships/hyperlink" Target="https://youtu.be/WHv3_aF_TJ8" TargetMode="External"/><Relationship Id="rId3013" Type="http://schemas.openxmlformats.org/officeDocument/2006/relationships/hyperlink" Target="https://youtu.be/u5kwser_j2g" TargetMode="External"/><Relationship Id="rId486" Type="http://schemas.openxmlformats.org/officeDocument/2006/relationships/hyperlink" Target="https://youtu.be/31FVGYQKd5c" TargetMode="External"/><Relationship Id="rId3016" Type="http://schemas.openxmlformats.org/officeDocument/2006/relationships/hyperlink" Target="https://youtu.be/sZ-qtPivsFs?si=35mHOEGqJMYeCswW" TargetMode="External"/><Relationship Id="rId485" Type="http://schemas.openxmlformats.org/officeDocument/2006/relationships/hyperlink" Target="https://youtu.be/UFf6EQk8YfQ" TargetMode="External"/><Relationship Id="rId3015" Type="http://schemas.openxmlformats.org/officeDocument/2006/relationships/hyperlink" Target="https://clips.twitch.tv/DarlingQuaintGoblinDxCat-ht9B7uxsNRHRQQgu" TargetMode="External"/><Relationship Id="rId3007" Type="http://schemas.openxmlformats.org/officeDocument/2006/relationships/hyperlink" Target="https://youtu.be/qIvo6qXZbKo?si=1rgTpKD6mE4D8lJV" TargetMode="External"/><Relationship Id="rId3006" Type="http://schemas.openxmlformats.org/officeDocument/2006/relationships/hyperlink" Target="https://youtu.be/Nox9kjgDI40" TargetMode="External"/><Relationship Id="rId3009" Type="http://schemas.openxmlformats.org/officeDocument/2006/relationships/hyperlink" Target="https://youtu.be/Kzb3MHlmCGc" TargetMode="External"/><Relationship Id="rId3008" Type="http://schemas.openxmlformats.org/officeDocument/2006/relationships/hyperlink" Target="https://youtu.be/kSk4iIK6PoA" TargetMode="External"/><Relationship Id="rId480" Type="http://schemas.openxmlformats.org/officeDocument/2006/relationships/hyperlink" Target="https://youtu.be/RZ-fQaSbOi8" TargetMode="External"/><Relationship Id="rId479" Type="http://schemas.openxmlformats.org/officeDocument/2006/relationships/hyperlink" Target="https://youtu.be/A0IBth3skxg" TargetMode="External"/><Relationship Id="rId478" Type="http://schemas.openxmlformats.org/officeDocument/2006/relationships/hyperlink" Target="https://youtu.be/YTFlaOHMlcg" TargetMode="External"/><Relationship Id="rId473" Type="http://schemas.openxmlformats.org/officeDocument/2006/relationships/hyperlink" Target="https://youtu.be/TjlPcGPEykQ" TargetMode="External"/><Relationship Id="rId472" Type="http://schemas.openxmlformats.org/officeDocument/2006/relationships/hyperlink" Target="https://youtu.be/5Rf-Lyhgenk" TargetMode="External"/><Relationship Id="rId471" Type="http://schemas.openxmlformats.org/officeDocument/2006/relationships/hyperlink" Target="https://youtu.be/zqKif-bMBMk" TargetMode="External"/><Relationship Id="rId3001" Type="http://schemas.openxmlformats.org/officeDocument/2006/relationships/hyperlink" Target="https://clips.twitch.tv/FunnyLongSrirachaAllenHuhu-OHfAcLfBuxqFU0Fk" TargetMode="External"/><Relationship Id="rId470" Type="http://schemas.openxmlformats.org/officeDocument/2006/relationships/hyperlink" Target="https://youtu.be/JYz4Xj32GW8" TargetMode="External"/><Relationship Id="rId3000" Type="http://schemas.openxmlformats.org/officeDocument/2006/relationships/hyperlink" Target="https://clips.twitch.tv/TiredScrumptiousMouseBloodTrail-2UTmo4ATFSKQ1Vnu" TargetMode="External"/><Relationship Id="rId477" Type="http://schemas.openxmlformats.org/officeDocument/2006/relationships/hyperlink" Target="https://youtu.be/BJdlguZNd-k" TargetMode="External"/><Relationship Id="rId3003" Type="http://schemas.openxmlformats.org/officeDocument/2006/relationships/hyperlink" Target="https://youtu.be/uGdUZv-Dv0c" TargetMode="External"/><Relationship Id="rId476" Type="http://schemas.openxmlformats.org/officeDocument/2006/relationships/hyperlink" Target="https://youtu.be/YtdEkYNexcY" TargetMode="External"/><Relationship Id="rId3002" Type="http://schemas.openxmlformats.org/officeDocument/2006/relationships/hyperlink" Target="https://clips.twitch.tv/AgitatedDifficultLEDHoneyBadger-SFPycH1fKX923sXJ" TargetMode="External"/><Relationship Id="rId475" Type="http://schemas.openxmlformats.org/officeDocument/2006/relationships/hyperlink" Target="https://youtu.be/sBE9NRXFNnM" TargetMode="External"/><Relationship Id="rId3005" Type="http://schemas.openxmlformats.org/officeDocument/2006/relationships/hyperlink" Target="https://clips.twitch.tv/WiseNastyDumplingsSMOrc-VM5ip6rrVmTBfuoQ" TargetMode="External"/><Relationship Id="rId474" Type="http://schemas.openxmlformats.org/officeDocument/2006/relationships/hyperlink" Target="https://youtu.be/qE_7LVSJ_dY" TargetMode="External"/><Relationship Id="rId3004" Type="http://schemas.openxmlformats.org/officeDocument/2006/relationships/hyperlink" Target="https://youtu.be/6MFmMms0BAo" TargetMode="External"/><Relationship Id="rId1257" Type="http://schemas.openxmlformats.org/officeDocument/2006/relationships/hyperlink" Target="https://www.youtube.com/watch?v=IGl6Nni5c5E&amp;ab_channel=BlazeAlt" TargetMode="External"/><Relationship Id="rId2588" Type="http://schemas.openxmlformats.org/officeDocument/2006/relationships/hyperlink" Target="https://www.twitch.tv/banova8_/clip/SassyDepressedBubbleteaBudStar-0xLanv-uQFzxhaoW" TargetMode="External"/><Relationship Id="rId1258" Type="http://schemas.openxmlformats.org/officeDocument/2006/relationships/hyperlink" Target="https://www.youtube.com/watch?v=Bwdca1jNDEM&amp;ab_channel=BlazeAlt" TargetMode="External"/><Relationship Id="rId2589" Type="http://schemas.openxmlformats.org/officeDocument/2006/relationships/hyperlink" Target="https://www.youtube.com/watch?v=nOr9foE32UQ" TargetMode="External"/><Relationship Id="rId1259" Type="http://schemas.openxmlformats.org/officeDocument/2006/relationships/hyperlink" Target="https://www.youtube.com/watch?v=mIURUm8B0KY&amp;ab_channel=BlazeAlt" TargetMode="External"/><Relationship Id="rId426" Type="http://schemas.openxmlformats.org/officeDocument/2006/relationships/hyperlink" Target="https://www.youtube.com/watch?v=r-dEVauuLOI" TargetMode="External"/><Relationship Id="rId425" Type="http://schemas.openxmlformats.org/officeDocument/2006/relationships/hyperlink" Target="https://www.youtube.com/watch?v=CziG5B3J2h4" TargetMode="External"/><Relationship Id="rId424" Type="http://schemas.openxmlformats.org/officeDocument/2006/relationships/hyperlink" Target="https://www.youtube.com/watch?v=71SPP81JoSU" TargetMode="External"/><Relationship Id="rId423" Type="http://schemas.openxmlformats.org/officeDocument/2006/relationships/hyperlink" Target="https://www.youtube.com/watch?v=PLf7OlCakdg" TargetMode="External"/><Relationship Id="rId429" Type="http://schemas.openxmlformats.org/officeDocument/2006/relationships/hyperlink" Target="https://www.youtube.com/watch?v=UiVPZcyV1LM" TargetMode="External"/><Relationship Id="rId428" Type="http://schemas.openxmlformats.org/officeDocument/2006/relationships/hyperlink" Target="https://www.youtube.com/watch?v=QJE58dLxBQY" TargetMode="External"/><Relationship Id="rId427" Type="http://schemas.openxmlformats.org/officeDocument/2006/relationships/hyperlink" Target="https://www.youtube.com/watch?v=pBeaSSwvGG4" TargetMode="External"/><Relationship Id="rId2580" Type="http://schemas.openxmlformats.org/officeDocument/2006/relationships/hyperlink" Target="https://www.youtube.com/watch?v=V1romHWcAkI" TargetMode="External"/><Relationship Id="rId1250" Type="http://schemas.openxmlformats.org/officeDocument/2006/relationships/hyperlink" Target="https://www.youtube.com/watch?v=9ik1M_A-x_I&amp;ab_channel=BlazeRolSpeedruns" TargetMode="External"/><Relationship Id="rId2581" Type="http://schemas.openxmlformats.org/officeDocument/2006/relationships/hyperlink" Target="https://youtu.be/nv7vfokEAtg" TargetMode="External"/><Relationship Id="rId1251" Type="http://schemas.openxmlformats.org/officeDocument/2006/relationships/hyperlink" Target="https://www.youtube.com/watch?v=gKKRpOb6NQI&amp;ab_channel=BlazeAlt" TargetMode="External"/><Relationship Id="rId2582" Type="http://schemas.openxmlformats.org/officeDocument/2006/relationships/hyperlink" Target="https://www.twitch.tv/banova8_/clip/SilkyFineBearTBCheesePull-8sOOQ8c4TiJU71zP" TargetMode="External"/><Relationship Id="rId1252" Type="http://schemas.openxmlformats.org/officeDocument/2006/relationships/hyperlink" Target="https://www.youtube.com/watch?v=bz55kpy2shU&amp;ab_channel=BlazeAlt" TargetMode="External"/><Relationship Id="rId2583" Type="http://schemas.openxmlformats.org/officeDocument/2006/relationships/hyperlink" Target="https://www.twitch.tv/banova8_/clip/ImportantAbnegateSalamanderPJSalt-dgxl614DWDrWSns8" TargetMode="External"/><Relationship Id="rId422" Type="http://schemas.openxmlformats.org/officeDocument/2006/relationships/hyperlink" Target="https://www.youtube.com/watch?v=tSodpqIjw-M" TargetMode="External"/><Relationship Id="rId1253" Type="http://schemas.openxmlformats.org/officeDocument/2006/relationships/hyperlink" Target="https://www.youtube.com/watch?v=eBOQnS5L_o8&amp;feature=youtu.be&amp;ab_channel=BlazeAlt" TargetMode="External"/><Relationship Id="rId2584" Type="http://schemas.openxmlformats.org/officeDocument/2006/relationships/hyperlink" Target="https://www.twitch.tv/videos/2126277596" TargetMode="External"/><Relationship Id="rId421" Type="http://schemas.openxmlformats.org/officeDocument/2006/relationships/hyperlink" Target="https://www.youtube.com/watch?v=mq5OgWd-ulI" TargetMode="External"/><Relationship Id="rId1254" Type="http://schemas.openxmlformats.org/officeDocument/2006/relationships/hyperlink" Target="https://www.youtube.com/watch?v=XkoatK-muDg&amp;ab_channel=BlazeAlt" TargetMode="External"/><Relationship Id="rId2585" Type="http://schemas.openxmlformats.org/officeDocument/2006/relationships/hyperlink" Target="https://www.youtube.com/watch?v=jkhCLTN9YvE" TargetMode="External"/><Relationship Id="rId420" Type="http://schemas.openxmlformats.org/officeDocument/2006/relationships/hyperlink" Target="https://www.youtube.com/watch?v=1pimeigGAgA" TargetMode="External"/><Relationship Id="rId1255" Type="http://schemas.openxmlformats.org/officeDocument/2006/relationships/hyperlink" Target="https://www.youtube.com/watch?v=fXM1SAxvRKY&amp;feature=youtu.be&amp;ab_channel=BlazeAlt" TargetMode="External"/><Relationship Id="rId2586" Type="http://schemas.openxmlformats.org/officeDocument/2006/relationships/hyperlink" Target="https://youtu.be/AY0L7R0zPI4?si=PQPfxgzVmn6DT1E2" TargetMode="External"/><Relationship Id="rId1256" Type="http://schemas.openxmlformats.org/officeDocument/2006/relationships/hyperlink" Target="https://www.youtube.com/watch?v=WH6rTW8kjE4&amp;ab_channel=BlazeAlt" TargetMode="External"/><Relationship Id="rId2587" Type="http://schemas.openxmlformats.org/officeDocument/2006/relationships/hyperlink" Target="https://www.youtube.com/watch?v=QxO7HU2i6HQ" TargetMode="External"/><Relationship Id="rId1246" Type="http://schemas.openxmlformats.org/officeDocument/2006/relationships/hyperlink" Target="https://www.youtube.com/watch?v=IWueKbJWzYw&amp;ab_channel=BlazeAlt" TargetMode="External"/><Relationship Id="rId2577" Type="http://schemas.openxmlformats.org/officeDocument/2006/relationships/hyperlink" Target="https://www.twitch.tv/videos/2635571384" TargetMode="External"/><Relationship Id="rId1247" Type="http://schemas.openxmlformats.org/officeDocument/2006/relationships/hyperlink" Target="https://www.youtube.com/watch?v=FlwLoOvK-QA&amp;ab_channel=BlazeAlt" TargetMode="External"/><Relationship Id="rId2578" Type="http://schemas.openxmlformats.org/officeDocument/2006/relationships/hyperlink" Target="https://www.youtube.com/watch?v=hdCTJyOCC1s" TargetMode="External"/><Relationship Id="rId1248" Type="http://schemas.openxmlformats.org/officeDocument/2006/relationships/hyperlink" Target="https://www.youtube.com/watch?v=p7IdCSAVMZs&amp;feature=youtu.be&amp;ab_channel=BlazeAlt" TargetMode="External"/><Relationship Id="rId2579" Type="http://schemas.openxmlformats.org/officeDocument/2006/relationships/hyperlink" Target="https://youtu.be/7sueJhQaEwI" TargetMode="External"/><Relationship Id="rId1249" Type="http://schemas.openxmlformats.org/officeDocument/2006/relationships/hyperlink" Target="https://www.youtube.com/watch?v=VgtIUeSLOKM&amp;ab_channel=BlazeRolSpeedruns" TargetMode="External"/><Relationship Id="rId415" Type="http://schemas.openxmlformats.org/officeDocument/2006/relationships/hyperlink" Target="https://www.youtube.com/watch?v=-Dm5G8ElyIo" TargetMode="External"/><Relationship Id="rId414" Type="http://schemas.openxmlformats.org/officeDocument/2006/relationships/hyperlink" Target="https://www.youtube.com/watch?v=6yxd8_mk0I4" TargetMode="External"/><Relationship Id="rId413" Type="http://schemas.openxmlformats.org/officeDocument/2006/relationships/hyperlink" Target="https://www.youtube.com/watch?v=1mxmSIrkHfQ&amp;feature=youtu.be" TargetMode="External"/><Relationship Id="rId412" Type="http://schemas.openxmlformats.org/officeDocument/2006/relationships/hyperlink" Target="https://www.youtube.com/watch?v=vDcPK5sBB9I" TargetMode="External"/><Relationship Id="rId419" Type="http://schemas.openxmlformats.org/officeDocument/2006/relationships/hyperlink" Target="https://www.youtube.com/watch?v=TezNNlDmJgw" TargetMode="External"/><Relationship Id="rId418" Type="http://schemas.openxmlformats.org/officeDocument/2006/relationships/hyperlink" Target="https://www.youtube.com/watch?v=7RHwZhW5VuM" TargetMode="External"/><Relationship Id="rId417" Type="http://schemas.openxmlformats.org/officeDocument/2006/relationships/hyperlink" Target="https://www.youtube.com/watch?v=d_vC0axnnQU" TargetMode="External"/><Relationship Id="rId416" Type="http://schemas.openxmlformats.org/officeDocument/2006/relationships/hyperlink" Target="https://www.youtube.com/watch?v=dLeyu4xwh2E" TargetMode="External"/><Relationship Id="rId2570" Type="http://schemas.openxmlformats.org/officeDocument/2006/relationships/hyperlink" Target="https://www.youtube.com/watch?v=RnR4ZLNBO-I" TargetMode="External"/><Relationship Id="rId1240" Type="http://schemas.openxmlformats.org/officeDocument/2006/relationships/hyperlink" Target="https://www.youtube.com/watch?v=aQ-qg1veEpU&amp;ab_channel=BlazeAlt" TargetMode="External"/><Relationship Id="rId2571" Type="http://schemas.openxmlformats.org/officeDocument/2006/relationships/hyperlink" Target="https://www.youtube.com/watch?v=4PvJSbnJcKE" TargetMode="External"/><Relationship Id="rId1241" Type="http://schemas.openxmlformats.org/officeDocument/2006/relationships/hyperlink" Target="https://www.twitch.tv/videos/1567042735?filter=highlights&amp;sort=time" TargetMode="External"/><Relationship Id="rId2572" Type="http://schemas.openxmlformats.org/officeDocument/2006/relationships/hyperlink" Target="https://www.youtube.com/watch?v=ArXQFNnEijc" TargetMode="External"/><Relationship Id="rId411" Type="http://schemas.openxmlformats.org/officeDocument/2006/relationships/hyperlink" Target="https://www.youtube.com/watch?v=Tb-Fcs_C6TM" TargetMode="External"/><Relationship Id="rId1242" Type="http://schemas.openxmlformats.org/officeDocument/2006/relationships/hyperlink" Target="https://www.youtube.com/watch?v=L3B-mSbKt0E&amp;ab_channel=BlazeAlt" TargetMode="External"/><Relationship Id="rId2573" Type="http://schemas.openxmlformats.org/officeDocument/2006/relationships/hyperlink" Target="https://www.youtube.com/watch?v=t4V8l4oNreo" TargetMode="External"/><Relationship Id="rId410" Type="http://schemas.openxmlformats.org/officeDocument/2006/relationships/hyperlink" Target="https://www.youtube.com/watch?v=ngMCltnyjfE" TargetMode="External"/><Relationship Id="rId1243" Type="http://schemas.openxmlformats.org/officeDocument/2006/relationships/hyperlink" Target="https://www.youtube.com/watch?v=G-zvzKAbFlo&amp;ab_channel=BlazeAlt" TargetMode="External"/><Relationship Id="rId2574" Type="http://schemas.openxmlformats.org/officeDocument/2006/relationships/hyperlink" Target="https://www.youtube.com/watch?v=lIK903dv8tY" TargetMode="External"/><Relationship Id="rId1244" Type="http://schemas.openxmlformats.org/officeDocument/2006/relationships/hyperlink" Target="https://www.youtube.com/watch?v=NQ_CTvmKcWM&amp;ab_channel=BlazeAlt" TargetMode="External"/><Relationship Id="rId2575" Type="http://schemas.openxmlformats.org/officeDocument/2006/relationships/hyperlink" Target="https://www.youtube.com/watch?v=EeDCWtEVYag" TargetMode="External"/><Relationship Id="rId1245" Type="http://schemas.openxmlformats.org/officeDocument/2006/relationships/hyperlink" Target="https://www.youtube.com/watch?v=NGFquUiFkCk&amp;ab_channel=BlazeAlt" TargetMode="External"/><Relationship Id="rId2576" Type="http://schemas.openxmlformats.org/officeDocument/2006/relationships/hyperlink" Target="https://clips.twitch.tv/CarelessFilthyOctopusDxCat-khFT2LpSO1L4vmdD" TargetMode="External"/><Relationship Id="rId1279" Type="http://schemas.openxmlformats.org/officeDocument/2006/relationships/hyperlink" Target="https://www.youtube.com/watch?v=pe4iOkZ2o94&amp;ab_channel=BlazeAlt" TargetMode="External"/><Relationship Id="rId448" Type="http://schemas.openxmlformats.org/officeDocument/2006/relationships/hyperlink" Target="https://youtu.be/uvqnls4dHKg" TargetMode="External"/><Relationship Id="rId447" Type="http://schemas.openxmlformats.org/officeDocument/2006/relationships/hyperlink" Target="https://youtu.be/_xZ_1VkoRCk" TargetMode="External"/><Relationship Id="rId446" Type="http://schemas.openxmlformats.org/officeDocument/2006/relationships/hyperlink" Target="https://youtu.be/MydEr_6fzT4" TargetMode="External"/><Relationship Id="rId445" Type="http://schemas.openxmlformats.org/officeDocument/2006/relationships/hyperlink" Target="https://youtu.be/KKZYnoMdwEw" TargetMode="External"/><Relationship Id="rId449" Type="http://schemas.openxmlformats.org/officeDocument/2006/relationships/hyperlink" Target="https://youtu.be/cjEJ6Vg9AO4" TargetMode="External"/><Relationship Id="rId1270" Type="http://schemas.openxmlformats.org/officeDocument/2006/relationships/hyperlink" Target="https://www.youtube.com/watch?v=dz8hGbFMh40&amp;ab_channel=BlazeAlt" TargetMode="External"/><Relationship Id="rId440" Type="http://schemas.openxmlformats.org/officeDocument/2006/relationships/hyperlink" Target="https://youtu.be/WZVCalekxqQ" TargetMode="External"/><Relationship Id="rId1271" Type="http://schemas.openxmlformats.org/officeDocument/2006/relationships/hyperlink" Target="https://www.youtube.com/watch?v=qjmp63s4nTk&amp;ab_channel=BlazeAlt" TargetMode="External"/><Relationship Id="rId1272" Type="http://schemas.openxmlformats.org/officeDocument/2006/relationships/hyperlink" Target="https://www.youtube.com/watch?v=-7TIuZilD5Q&amp;ab_channel=BlazeAlt" TargetMode="External"/><Relationship Id="rId1273" Type="http://schemas.openxmlformats.org/officeDocument/2006/relationships/hyperlink" Target="https://www.youtube.com/watch?v=pMmeFmmmEWY&amp;ab_channel=BlazeAlt" TargetMode="External"/><Relationship Id="rId1274" Type="http://schemas.openxmlformats.org/officeDocument/2006/relationships/hyperlink" Target="https://www.youtube.com/watch?v=usZVv8Fm13Y&amp;ab_channel=BlazeAlt" TargetMode="External"/><Relationship Id="rId444" Type="http://schemas.openxmlformats.org/officeDocument/2006/relationships/hyperlink" Target="https://youtu.be/PGW7zaB9tw8" TargetMode="External"/><Relationship Id="rId1275" Type="http://schemas.openxmlformats.org/officeDocument/2006/relationships/hyperlink" Target="https://www.youtube.com/watch?v=YPG0SOPMOcA&amp;ab_channel=BlazeAlt" TargetMode="External"/><Relationship Id="rId443" Type="http://schemas.openxmlformats.org/officeDocument/2006/relationships/hyperlink" Target="https://youtu.be/vJm2A8yQznw" TargetMode="External"/><Relationship Id="rId1276" Type="http://schemas.openxmlformats.org/officeDocument/2006/relationships/hyperlink" Target="https://www.youtube.com/watch?v=Ksy1nH8vsnA&amp;ab_channel=BlazeAlt" TargetMode="External"/><Relationship Id="rId442" Type="http://schemas.openxmlformats.org/officeDocument/2006/relationships/hyperlink" Target="https://youtu.be/EL8jN3p9zcA" TargetMode="External"/><Relationship Id="rId1277" Type="http://schemas.openxmlformats.org/officeDocument/2006/relationships/hyperlink" Target="https://www.youtube.com/watch?v=8bycFvnljTc&amp;ab_channel=BlazeAlt" TargetMode="External"/><Relationship Id="rId441" Type="http://schemas.openxmlformats.org/officeDocument/2006/relationships/hyperlink" Target="https://youtu.be/sAtJ5_wq1yU" TargetMode="External"/><Relationship Id="rId1278" Type="http://schemas.openxmlformats.org/officeDocument/2006/relationships/hyperlink" Target="https://www.youtube.com/watch?v=1CuCG6QXWLA&amp;ab_channel=BlazeAlt" TargetMode="External"/><Relationship Id="rId1268" Type="http://schemas.openxmlformats.org/officeDocument/2006/relationships/hyperlink" Target="https://www.youtube.com/watch?v=NvL0savRNVA&amp;ab_channel=BlazeAlt" TargetMode="External"/><Relationship Id="rId2599" Type="http://schemas.openxmlformats.org/officeDocument/2006/relationships/hyperlink" Target="https://youtu.be/gSWUegi2i44" TargetMode="External"/><Relationship Id="rId1269" Type="http://schemas.openxmlformats.org/officeDocument/2006/relationships/hyperlink" Target="https://www.youtube.com/watch?v=0KIAYVxqL9w&amp;ab_channel=BlazeAlt" TargetMode="External"/><Relationship Id="rId437" Type="http://schemas.openxmlformats.org/officeDocument/2006/relationships/hyperlink" Target="https://youtu.be/1dJmQv9BvNg" TargetMode="External"/><Relationship Id="rId436" Type="http://schemas.openxmlformats.org/officeDocument/2006/relationships/hyperlink" Target="https://youtu.be/0jyVz8ExHdI" TargetMode="External"/><Relationship Id="rId435" Type="http://schemas.openxmlformats.org/officeDocument/2006/relationships/hyperlink" Target="https://youtu.be/lVWcQOEFY04" TargetMode="External"/><Relationship Id="rId434" Type="http://schemas.openxmlformats.org/officeDocument/2006/relationships/hyperlink" Target="https://youtu.be/sSFZexG001o" TargetMode="External"/><Relationship Id="rId439" Type="http://schemas.openxmlformats.org/officeDocument/2006/relationships/hyperlink" Target="https://youtu.be/JU0dsnAWfa8" TargetMode="External"/><Relationship Id="rId438" Type="http://schemas.openxmlformats.org/officeDocument/2006/relationships/hyperlink" Target="https://youtu.be/cNlEtat62yc" TargetMode="External"/><Relationship Id="rId2590" Type="http://schemas.openxmlformats.org/officeDocument/2006/relationships/hyperlink" Target="https://youtu.be/dBYOcecJcsY" TargetMode="External"/><Relationship Id="rId1260" Type="http://schemas.openxmlformats.org/officeDocument/2006/relationships/hyperlink" Target="https://www.youtube.com/watch?v=JzwfN9gF7Gk&amp;ab_channel=BlazeAlt" TargetMode="External"/><Relationship Id="rId2591" Type="http://schemas.openxmlformats.org/officeDocument/2006/relationships/hyperlink" Target="https://youtu.be/3KpOjhdYNjU" TargetMode="External"/><Relationship Id="rId1261" Type="http://schemas.openxmlformats.org/officeDocument/2006/relationships/hyperlink" Target="https://www.youtube.com/watch?v=w7A7m-mS44Q&amp;ab_channel=BlazeAlt" TargetMode="External"/><Relationship Id="rId2592" Type="http://schemas.openxmlformats.org/officeDocument/2006/relationships/hyperlink" Target="https://www.youtube.com/watch?v=kNYCbwG3oMs" TargetMode="External"/><Relationship Id="rId1262" Type="http://schemas.openxmlformats.org/officeDocument/2006/relationships/hyperlink" Target="https://www.youtube.com/watch?v=2Gr0R3gMTjM&amp;feature=youtu.be&amp;ab_channel=BlazeAlt" TargetMode="External"/><Relationship Id="rId2593" Type="http://schemas.openxmlformats.org/officeDocument/2006/relationships/hyperlink" Target="https://youtu.be/apTgxtJ_VOU" TargetMode="External"/><Relationship Id="rId1263" Type="http://schemas.openxmlformats.org/officeDocument/2006/relationships/hyperlink" Target="https://www.youtube.com/watch?v=kPOP-j53VtE&amp;ab_channel=BlazeAlt" TargetMode="External"/><Relationship Id="rId2594" Type="http://schemas.openxmlformats.org/officeDocument/2006/relationships/hyperlink" Target="https://youtu.be/VN5wi21qzls" TargetMode="External"/><Relationship Id="rId433" Type="http://schemas.openxmlformats.org/officeDocument/2006/relationships/hyperlink" Target="https://youtu.be/EM_TCFcZLJ4" TargetMode="External"/><Relationship Id="rId1264" Type="http://schemas.openxmlformats.org/officeDocument/2006/relationships/hyperlink" Target="https://www.youtube.com/watch?v=EQWlAcYOpE0&amp;ab_channel=BlazeAlt" TargetMode="External"/><Relationship Id="rId2595" Type="http://schemas.openxmlformats.org/officeDocument/2006/relationships/hyperlink" Target="https://youtu.be/G0Zx5tiLWc4" TargetMode="External"/><Relationship Id="rId432" Type="http://schemas.openxmlformats.org/officeDocument/2006/relationships/hyperlink" Target="https://youtu.be/GWxrglWizek" TargetMode="External"/><Relationship Id="rId1265" Type="http://schemas.openxmlformats.org/officeDocument/2006/relationships/hyperlink" Target="https://www.youtube.com/watch?v=V3zMFIiWcIM&amp;feature=youtu.be&amp;ab_channel=BlazeAlt" TargetMode="External"/><Relationship Id="rId2596" Type="http://schemas.openxmlformats.org/officeDocument/2006/relationships/hyperlink" Target="https://youtu.be/PgjsZLiin5c" TargetMode="External"/><Relationship Id="rId431" Type="http://schemas.openxmlformats.org/officeDocument/2006/relationships/hyperlink" Target="https://youtu.be/juQa5tFucOU?si=CEOOvK6SS70TT6WI" TargetMode="External"/><Relationship Id="rId1266" Type="http://schemas.openxmlformats.org/officeDocument/2006/relationships/hyperlink" Target="https://www.youtube.com/watch?v=89AdHkhbvBI&amp;feature=youtu.be&amp;ab_channel=BlazeAlt" TargetMode="External"/><Relationship Id="rId2597" Type="http://schemas.openxmlformats.org/officeDocument/2006/relationships/hyperlink" Target="https://youtu.be/l59acLrnqG0" TargetMode="External"/><Relationship Id="rId430" Type="http://schemas.openxmlformats.org/officeDocument/2006/relationships/hyperlink" Target="https://youtu.be/SVuncmOaWGM" TargetMode="External"/><Relationship Id="rId1267" Type="http://schemas.openxmlformats.org/officeDocument/2006/relationships/hyperlink" Target="https://www.youtube.com/watch?v=U_vG_-b8L9A&amp;ab_channel=BlazeAlt" TargetMode="External"/><Relationship Id="rId2598" Type="http://schemas.openxmlformats.org/officeDocument/2006/relationships/hyperlink" Target="https://www.youtube.com/watch?v=da6EXNneFoQ" TargetMode="External"/><Relationship Id="rId3070" Type="http://schemas.openxmlformats.org/officeDocument/2006/relationships/hyperlink" Target="https://youtu.be/n-p6FtdE57E" TargetMode="External"/><Relationship Id="rId3072" Type="http://schemas.openxmlformats.org/officeDocument/2006/relationships/hyperlink" Target="https://clips.twitch.tv/NastyImpossibleCrabAMPEnergyCherry-g2mwU33oKy1EP3fo" TargetMode="External"/><Relationship Id="rId3071" Type="http://schemas.openxmlformats.org/officeDocument/2006/relationships/hyperlink" Target="https://clips.twitch.tv/BetterSmallPoxTheThing-WaS8ZgfSeycrHOAP" TargetMode="External"/><Relationship Id="rId3074" Type="http://schemas.openxmlformats.org/officeDocument/2006/relationships/hyperlink" Target="https://youtu.be/RkId4sqRWCM?t=11" TargetMode="External"/><Relationship Id="rId3073" Type="http://schemas.openxmlformats.org/officeDocument/2006/relationships/hyperlink" Target="https://youtu.be/q0wfTMcrG2c" TargetMode="External"/><Relationship Id="rId3076" Type="http://schemas.openxmlformats.org/officeDocument/2006/relationships/hyperlink" Target="https://youtu.be/QXJWIGZ_-PM?t=87" TargetMode="External"/><Relationship Id="rId3075" Type="http://schemas.openxmlformats.org/officeDocument/2006/relationships/hyperlink" Target="https://clips.twitch.tv/RelievedConcernedYogurtDeIlluminati-zMj7smUzIz4TJdUV" TargetMode="External"/><Relationship Id="rId3078" Type="http://schemas.openxmlformats.org/officeDocument/2006/relationships/hyperlink" Target="https://youtu.be/Qw5fWLP9z9I?t=54" TargetMode="External"/><Relationship Id="rId3077" Type="http://schemas.openxmlformats.org/officeDocument/2006/relationships/hyperlink" Target="https://youtu.be/Bc_KeNmwrGE?t=14" TargetMode="External"/><Relationship Id="rId3079" Type="http://schemas.openxmlformats.org/officeDocument/2006/relationships/hyperlink" Target="https://clips.twitch.tv/AbnegateBashfulMosquitoCoolStoryBro-G2yAtvJJ0m-qb9Z_" TargetMode="External"/><Relationship Id="rId3061" Type="http://schemas.openxmlformats.org/officeDocument/2006/relationships/hyperlink" Target="https://youtu.be/Un8GBYhUU3E?si=cB-vRJOczh6bhO1B" TargetMode="External"/><Relationship Id="rId3060" Type="http://schemas.openxmlformats.org/officeDocument/2006/relationships/hyperlink" Target="https://clips.twitch.tv/SparklySnappyWasabiPJSalt-YOvVC1bGidPY76WI" TargetMode="External"/><Relationship Id="rId3063" Type="http://schemas.openxmlformats.org/officeDocument/2006/relationships/hyperlink" Target="https://clips.twitch.tv/ProductiveSmallTofuPrimeMe-BiqUcXrrRzLE_GF3" TargetMode="External"/><Relationship Id="rId3062" Type="http://schemas.openxmlformats.org/officeDocument/2006/relationships/hyperlink" Target="https://youtu.be/zbdC7rooh2Y" TargetMode="External"/><Relationship Id="rId3065" Type="http://schemas.openxmlformats.org/officeDocument/2006/relationships/hyperlink" Target="https://clips.twitch.tv/SolidPerfectSandwichDerp-865AbQlAGdrhQILD" TargetMode="External"/><Relationship Id="rId3064" Type="http://schemas.openxmlformats.org/officeDocument/2006/relationships/hyperlink" Target="https://youtu.be/1oFQGYiycIQ?si=guM2fGz7XAv1O3bK" TargetMode="External"/><Relationship Id="rId3067" Type="http://schemas.openxmlformats.org/officeDocument/2006/relationships/hyperlink" Target="https://youtu.be/nU39IMkm8w0" TargetMode="External"/><Relationship Id="rId3066" Type="http://schemas.openxmlformats.org/officeDocument/2006/relationships/hyperlink" Target="https://youtu.be/0_Qn58QJhQk?si=vlJv9gNolv46yWn9" TargetMode="External"/><Relationship Id="rId3069" Type="http://schemas.openxmlformats.org/officeDocument/2006/relationships/hyperlink" Target="https://youtu.be/rAB7TqLFJuw?si=Ev9AlvQZ03To222J" TargetMode="External"/><Relationship Id="rId3068" Type="http://schemas.openxmlformats.org/officeDocument/2006/relationships/hyperlink" Target="https://youtu.be/YuiSZnk7wx4" TargetMode="External"/><Relationship Id="rId3090" Type="http://schemas.openxmlformats.org/officeDocument/2006/relationships/hyperlink" Target="https://youtu.be/pbKYyNFvnEg" TargetMode="External"/><Relationship Id="rId3092" Type="http://schemas.openxmlformats.org/officeDocument/2006/relationships/hyperlink" Target="https://youtu.be/NrxoTM4YwvE" TargetMode="External"/><Relationship Id="rId3091" Type="http://schemas.openxmlformats.org/officeDocument/2006/relationships/hyperlink" Target="https://youtu.be/Nlc3xwtARF8" TargetMode="External"/><Relationship Id="rId3094" Type="http://schemas.openxmlformats.org/officeDocument/2006/relationships/hyperlink" Target="https://youtu.be/6ckMTVhUsz0" TargetMode="External"/><Relationship Id="rId3093" Type="http://schemas.openxmlformats.org/officeDocument/2006/relationships/hyperlink" Target="https://youtu.be/h8-dOiebvyE" TargetMode="External"/><Relationship Id="rId3096" Type="http://schemas.openxmlformats.org/officeDocument/2006/relationships/hyperlink" Target="https://youtu.be/i7r_qOr_cXg" TargetMode="External"/><Relationship Id="rId3095" Type="http://schemas.openxmlformats.org/officeDocument/2006/relationships/hyperlink" Target="https://clips.twitch.tv/SpinelessCrowdedMetalNotLikeThis-NFgxTWVg1bHGAQFi" TargetMode="External"/><Relationship Id="rId3098" Type="http://schemas.openxmlformats.org/officeDocument/2006/relationships/hyperlink" Target="https://youtu.be/V4eSfU-5U5A" TargetMode="External"/><Relationship Id="rId3097" Type="http://schemas.openxmlformats.org/officeDocument/2006/relationships/hyperlink" Target="https://youtu.be/e_fjYfcBFxI?t=91" TargetMode="External"/><Relationship Id="rId3099" Type="http://schemas.openxmlformats.org/officeDocument/2006/relationships/hyperlink" Target="https://youtu.be/hGlgfKEVg8c" TargetMode="External"/><Relationship Id="rId3081" Type="http://schemas.openxmlformats.org/officeDocument/2006/relationships/hyperlink" Target="https://youtu.be/-_a-JdF9-eg" TargetMode="External"/><Relationship Id="rId3080" Type="http://schemas.openxmlformats.org/officeDocument/2006/relationships/hyperlink" Target="https://youtu.be/9X8uD16gIe4" TargetMode="External"/><Relationship Id="rId3083" Type="http://schemas.openxmlformats.org/officeDocument/2006/relationships/hyperlink" Target="https://youtu.be/G_2PNqonhiE?t=78" TargetMode="External"/><Relationship Id="rId3082" Type="http://schemas.openxmlformats.org/officeDocument/2006/relationships/hyperlink" Target="https://youtu.be/TVtB24SbhQ8?t=27" TargetMode="External"/><Relationship Id="rId3085" Type="http://schemas.openxmlformats.org/officeDocument/2006/relationships/hyperlink" Target="https://youtu.be/KsCaHmAtT40?t=73" TargetMode="External"/><Relationship Id="rId3084" Type="http://schemas.openxmlformats.org/officeDocument/2006/relationships/hyperlink" Target="https://www.twitch.tv/videos/1562073537" TargetMode="External"/><Relationship Id="rId3087" Type="http://schemas.openxmlformats.org/officeDocument/2006/relationships/hyperlink" Target="https://www.twitch.tv/videos/978843334" TargetMode="External"/><Relationship Id="rId3086" Type="http://schemas.openxmlformats.org/officeDocument/2006/relationships/hyperlink" Target="https://clips.twitch.tv/ArborealBenevolentAlbatrossRaccAttack-tG8zkd8ZWCpLllAt" TargetMode="External"/><Relationship Id="rId3089" Type="http://schemas.openxmlformats.org/officeDocument/2006/relationships/hyperlink" Target="https://youtu.be/bmZMpRGTYYs" TargetMode="External"/><Relationship Id="rId3088" Type="http://schemas.openxmlformats.org/officeDocument/2006/relationships/hyperlink" Target="https://youtu.be/TjCL7b32yCo" TargetMode="External"/><Relationship Id="rId3039" Type="http://schemas.openxmlformats.org/officeDocument/2006/relationships/hyperlink" Target="https://youtu.be/DsoEyYBXa6s" TargetMode="External"/><Relationship Id="rId1" Type="http://schemas.openxmlformats.org/officeDocument/2006/relationships/comments" Target="../comments1.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ilview.sunmar.io/" TargetMode="External"/><Relationship Id="rId3030" Type="http://schemas.openxmlformats.org/officeDocument/2006/relationships/hyperlink" Target="https://youtu.be/2z-hvrGUrM4" TargetMode="External"/><Relationship Id="rId9" Type="http://schemas.openxmlformats.org/officeDocument/2006/relationships/hyperlink" Target="https://www.youtube.com/watch?v=sEmsC513XXs" TargetMode="External"/><Relationship Id="rId3032" Type="http://schemas.openxmlformats.org/officeDocument/2006/relationships/hyperlink" Target="https://youtu.be/fYtc3Osmt8U?si=oqEGO-F3fTMWtNyc" TargetMode="External"/><Relationship Id="rId3031" Type="http://schemas.openxmlformats.org/officeDocument/2006/relationships/hyperlink" Target="https://clips.twitch.tv/AttractiveBrainyArtichokeCorgiDerp-9zIn8sEeMNqM0OjZ" TargetMode="External"/><Relationship Id="rId3034" Type="http://schemas.openxmlformats.org/officeDocument/2006/relationships/hyperlink" Target="https://youtu.be/rrZsnQOCJTY" TargetMode="External"/><Relationship Id="rId3033" Type="http://schemas.openxmlformats.org/officeDocument/2006/relationships/hyperlink" Target="https://youtu.be/UNxyvp-ivHY?si=O-C0M9FpMbanP49O" TargetMode="External"/><Relationship Id="rId5" Type="http://schemas.openxmlformats.org/officeDocument/2006/relationships/hyperlink" Target="https://www.youtube.com/watch?v=zLqxgHrTh94" TargetMode="External"/><Relationship Id="rId3036" Type="http://schemas.openxmlformats.org/officeDocument/2006/relationships/hyperlink" Target="https://clips.twitch.tv/StrongRelievedWhaleCclamChamp-GxTqgCRS_aJvTd3l" TargetMode="External"/><Relationship Id="rId6" Type="http://schemas.openxmlformats.org/officeDocument/2006/relationships/hyperlink" Target="https://youtu.be/Y0j2xsw_2Sw" TargetMode="External"/><Relationship Id="rId3035" Type="http://schemas.openxmlformats.org/officeDocument/2006/relationships/hyperlink" Target="https://youtu.be/HG3hv0ssIsE?si=owrXympLAXpc-o60" TargetMode="External"/><Relationship Id="rId7" Type="http://schemas.openxmlformats.org/officeDocument/2006/relationships/hyperlink" Target="https://youtu.be/CaJl4v_VnC4" TargetMode="External"/><Relationship Id="rId3038" Type="http://schemas.openxmlformats.org/officeDocument/2006/relationships/hyperlink" Target="https://youtu.be/46p-_sgtzjE?si=UWojTwmgLec4R2C6" TargetMode="External"/><Relationship Id="rId8" Type="http://schemas.openxmlformats.org/officeDocument/2006/relationships/hyperlink" Target="https://www.youtube.com/watch?v=hr9DOCuhpeU" TargetMode="External"/><Relationship Id="rId3037" Type="http://schemas.openxmlformats.org/officeDocument/2006/relationships/hyperlink" Target="https://youtu.be/uy9rheWl06I" TargetMode="External"/><Relationship Id="rId3029" Type="http://schemas.openxmlformats.org/officeDocument/2006/relationships/hyperlink" Target="https://youtu.be/AISau0yWh7Q" TargetMode="External"/><Relationship Id="rId3028" Type="http://schemas.openxmlformats.org/officeDocument/2006/relationships/hyperlink" Target="https://youtu.be/PhDG8n4yprI" TargetMode="External"/><Relationship Id="rId3021" Type="http://schemas.openxmlformats.org/officeDocument/2006/relationships/hyperlink" Target="https://clips.twitch.tv/SparklyPluckyFlyPJSalt-8DGQ46oV3HtIw1JW" TargetMode="External"/><Relationship Id="rId3020" Type="http://schemas.openxmlformats.org/officeDocument/2006/relationships/hyperlink" Target="https://youtu.be/Dv1TvIfiZts" TargetMode="External"/><Relationship Id="rId3023" Type="http://schemas.openxmlformats.org/officeDocument/2006/relationships/hyperlink" Target="https://www.twitch.tv/videos/1024638839" TargetMode="External"/><Relationship Id="rId3022" Type="http://schemas.openxmlformats.org/officeDocument/2006/relationships/hyperlink" Target="https://clips.twitch.tv/HeadstrongKitschyTomatoFreakinStinkin-skucx88V6cLW2uRC" TargetMode="External"/><Relationship Id="rId3025" Type="http://schemas.openxmlformats.org/officeDocument/2006/relationships/hyperlink" Target="https://youtu.be/iBxubJeUngI" TargetMode="External"/><Relationship Id="rId3024" Type="http://schemas.openxmlformats.org/officeDocument/2006/relationships/hyperlink" Target="https://clips.twitch.tv/FaithfulDeterminedPeanutAsianGlow-K87dbZLe5-UZ8WRH" TargetMode="External"/><Relationship Id="rId3027" Type="http://schemas.openxmlformats.org/officeDocument/2006/relationships/hyperlink" Target="https://clips.twitch.tv/UglyDrabKoupreyAllenHuhu-PcT9KDbi_NPXvkHp" TargetMode="External"/><Relationship Id="rId3026" Type="http://schemas.openxmlformats.org/officeDocument/2006/relationships/hyperlink" Target="https://clips.twitch.tv/DiligentBadCaribouMVGame-bPPT36LcYcTnU3BU" TargetMode="External"/><Relationship Id="rId3050" Type="http://schemas.openxmlformats.org/officeDocument/2006/relationships/hyperlink" Target="https://youtu.be/5YzyXaJq0VM?si=hl2fllQr8hqFvDJr" TargetMode="External"/><Relationship Id="rId3052" Type="http://schemas.openxmlformats.org/officeDocument/2006/relationships/hyperlink" Target="https://youtu.be/Vcj1iQUY7L4" TargetMode="External"/><Relationship Id="rId3051" Type="http://schemas.openxmlformats.org/officeDocument/2006/relationships/hyperlink" Target="https://youtu.be/78cQOXD-8mc" TargetMode="External"/><Relationship Id="rId3054" Type="http://schemas.openxmlformats.org/officeDocument/2006/relationships/hyperlink" Target="https://youtu.be/2t1Cu_wtBX4?si=5LRBisijQNk5iFS8" TargetMode="External"/><Relationship Id="rId3053" Type="http://schemas.openxmlformats.org/officeDocument/2006/relationships/hyperlink" Target="https://youtu.be/grbiFTp8mHU?si=ehn4kaKA_WVpJsZe" TargetMode="External"/><Relationship Id="rId3056" Type="http://schemas.openxmlformats.org/officeDocument/2006/relationships/hyperlink" Target="https://youtu.be/pLwKgRC1wcQ?si=F_ChIDkfJj31zCsE" TargetMode="External"/><Relationship Id="rId3055" Type="http://schemas.openxmlformats.org/officeDocument/2006/relationships/hyperlink" Target="https://youtu.be/1CbHc28eZeg" TargetMode="External"/><Relationship Id="rId3058" Type="http://schemas.openxmlformats.org/officeDocument/2006/relationships/hyperlink" Target="https://clips.twitch.tv/ObliviousRacyElkSpicyBoy-NUc0Yura40wdJzKf" TargetMode="External"/><Relationship Id="rId3057" Type="http://schemas.openxmlformats.org/officeDocument/2006/relationships/hyperlink" Target="https://youtu.be/S6I-VumPqKc?si=B7eN9ym4YIx2FcaW" TargetMode="External"/><Relationship Id="rId3059" Type="http://schemas.openxmlformats.org/officeDocument/2006/relationships/hyperlink" Target="https://youtu.be/DnONET1FjZw" TargetMode="External"/><Relationship Id="rId3041" Type="http://schemas.openxmlformats.org/officeDocument/2006/relationships/hyperlink" Target="https://youtu.be/-B2CKi3fQkc?si=RBzp8pCgfySVqz3i" TargetMode="External"/><Relationship Id="rId3040" Type="http://schemas.openxmlformats.org/officeDocument/2006/relationships/hyperlink" Target="https://youtu.be/4Albb8wVFO8" TargetMode="External"/><Relationship Id="rId3043" Type="http://schemas.openxmlformats.org/officeDocument/2006/relationships/hyperlink" Target="https://youtu.be/QGTt9T_bdN0" TargetMode="External"/><Relationship Id="rId3042" Type="http://schemas.openxmlformats.org/officeDocument/2006/relationships/hyperlink" Target="https://youtu.be/yN15kF8l42A" TargetMode="External"/><Relationship Id="rId3045" Type="http://schemas.openxmlformats.org/officeDocument/2006/relationships/hyperlink" Target="https://youtu.be/HR_8M5C1vsQ?si=Ys-a79qZJeEqrNW3" TargetMode="External"/><Relationship Id="rId3044" Type="http://schemas.openxmlformats.org/officeDocument/2006/relationships/hyperlink" Target="https://youtu.be/WJoSVS1Z3xg?si=fYQpmxkGT7jYspnD" TargetMode="External"/><Relationship Id="rId3047" Type="http://schemas.openxmlformats.org/officeDocument/2006/relationships/hyperlink" Target="https://youtu.be/8C-UjL172ok?si=OSSPnvgSor7-zmeR" TargetMode="External"/><Relationship Id="rId3046" Type="http://schemas.openxmlformats.org/officeDocument/2006/relationships/hyperlink" Target="https://youtu.be/kR-lJRg0CzA" TargetMode="External"/><Relationship Id="rId3049" Type="http://schemas.openxmlformats.org/officeDocument/2006/relationships/hyperlink" Target="https://youtu.be/6izRodRG-Jo" TargetMode="External"/><Relationship Id="rId3048" Type="http://schemas.openxmlformats.org/officeDocument/2006/relationships/hyperlink" Target="https://clips.twitch.tv/JollyHeartlessRadicchioYouDontSay-DnTtZQb3yYj2G9y0" TargetMode="External"/><Relationship Id="rId3911" Type="http://schemas.openxmlformats.org/officeDocument/2006/relationships/hyperlink" Target="https://www.youtube.com/watch?v=dUnqokYc_xE" TargetMode="External"/><Relationship Id="rId3910" Type="http://schemas.openxmlformats.org/officeDocument/2006/relationships/hyperlink" Target="https://youtu.be/7104U-nv8CU" TargetMode="External"/><Relationship Id="rId3913" Type="http://schemas.openxmlformats.org/officeDocument/2006/relationships/hyperlink" Target="https://www.youtube.com/watch?v=9xGu21pNIU0&amp;ab_channel=PKTDistinct" TargetMode="External"/><Relationship Id="rId3912" Type="http://schemas.openxmlformats.org/officeDocument/2006/relationships/hyperlink" Target="https://www.youtube.com/watch?v=PRFI0H1qM1A" TargetMode="External"/><Relationship Id="rId3915" Type="http://schemas.openxmlformats.org/officeDocument/2006/relationships/hyperlink" Target="https://www.youtube.com/watch?v=_84gOBWcVZE&amp;ab_channel=PKTDistinct" TargetMode="External"/><Relationship Id="rId3914" Type="http://schemas.openxmlformats.org/officeDocument/2006/relationships/hyperlink" Target="https://www.youtube.com/watch?v=ucABuxm95co" TargetMode="External"/><Relationship Id="rId3917" Type="http://schemas.openxmlformats.org/officeDocument/2006/relationships/hyperlink" Target="https://youtu.be/L1J8ZYanHK4" TargetMode="External"/><Relationship Id="rId3916" Type="http://schemas.openxmlformats.org/officeDocument/2006/relationships/hyperlink" Target="https://youtu.be/Abytid8Ky78" TargetMode="External"/><Relationship Id="rId3919" Type="http://schemas.openxmlformats.org/officeDocument/2006/relationships/hyperlink" Target="https://youtu.be/hv7cmfuaj-s" TargetMode="External"/><Relationship Id="rId3918" Type="http://schemas.openxmlformats.org/officeDocument/2006/relationships/hyperlink" Target="https://youtu.be/wEm0hI8D0Es" TargetMode="External"/><Relationship Id="rId3900" Type="http://schemas.openxmlformats.org/officeDocument/2006/relationships/hyperlink" Target="https://youtu.be/qKz5kBAucjo" TargetMode="External"/><Relationship Id="rId3902" Type="http://schemas.openxmlformats.org/officeDocument/2006/relationships/hyperlink" Target="https://youtu.be/5awgm4vADLQ" TargetMode="External"/><Relationship Id="rId3901" Type="http://schemas.openxmlformats.org/officeDocument/2006/relationships/hyperlink" Target="https://youtu.be/Oc0mzisGZgM" TargetMode="External"/><Relationship Id="rId3904" Type="http://schemas.openxmlformats.org/officeDocument/2006/relationships/hyperlink" Target="https://youtu.be/K9g9bFufOgE" TargetMode="External"/><Relationship Id="rId3903" Type="http://schemas.openxmlformats.org/officeDocument/2006/relationships/hyperlink" Target="https://youtu.be/_yyE2bJP2Bk" TargetMode="External"/><Relationship Id="rId3906" Type="http://schemas.openxmlformats.org/officeDocument/2006/relationships/hyperlink" Target="https://youtu.be/oJ7uiss0Fac" TargetMode="External"/><Relationship Id="rId3905" Type="http://schemas.openxmlformats.org/officeDocument/2006/relationships/hyperlink" Target="https://youtu.be/6in2eMbJ0ow" TargetMode="External"/><Relationship Id="rId3908" Type="http://schemas.openxmlformats.org/officeDocument/2006/relationships/hyperlink" Target="https://youtu.be/HhrXXa3_6QQ" TargetMode="External"/><Relationship Id="rId3907" Type="http://schemas.openxmlformats.org/officeDocument/2006/relationships/hyperlink" Target="https://youtu.be/cMWcL3kLKVs" TargetMode="External"/><Relationship Id="rId3909" Type="http://schemas.openxmlformats.org/officeDocument/2006/relationships/hyperlink" Target="https://youtu.be/pTOrGSUJHWI" TargetMode="External"/><Relationship Id="rId3931" Type="http://schemas.openxmlformats.org/officeDocument/2006/relationships/hyperlink" Target="https://youtu.be/npPbGmcpwTg" TargetMode="External"/><Relationship Id="rId2600" Type="http://schemas.openxmlformats.org/officeDocument/2006/relationships/hyperlink" Target="https://youtu.be/215aVHsFEaI" TargetMode="External"/><Relationship Id="rId3930" Type="http://schemas.openxmlformats.org/officeDocument/2006/relationships/hyperlink" Target="https://youtu.be/IA9rZ_hatPE" TargetMode="External"/><Relationship Id="rId2601" Type="http://schemas.openxmlformats.org/officeDocument/2006/relationships/hyperlink" Target="https://youtu.be/Dtt-mo-Aifw" TargetMode="External"/><Relationship Id="rId3933" Type="http://schemas.openxmlformats.org/officeDocument/2006/relationships/hyperlink" Target="https://youtu.be/J8p3S2OGWbY" TargetMode="External"/><Relationship Id="rId2602" Type="http://schemas.openxmlformats.org/officeDocument/2006/relationships/hyperlink" Target="https://youtu.be/lfGGIoutiGc" TargetMode="External"/><Relationship Id="rId3932" Type="http://schemas.openxmlformats.org/officeDocument/2006/relationships/hyperlink" Target="https://youtu.be/3Ovu89Qc6hc" TargetMode="External"/><Relationship Id="rId2603" Type="http://schemas.openxmlformats.org/officeDocument/2006/relationships/hyperlink" Target="https://youtu.be/rppi8kUpsTA" TargetMode="External"/><Relationship Id="rId3935" Type="http://schemas.openxmlformats.org/officeDocument/2006/relationships/hyperlink" Target="https://youtu.be/YQQ0q65ToQQ" TargetMode="External"/><Relationship Id="rId2604" Type="http://schemas.openxmlformats.org/officeDocument/2006/relationships/hyperlink" Target="https://youtu.be/6LswOuqbRUI" TargetMode="External"/><Relationship Id="rId3934" Type="http://schemas.openxmlformats.org/officeDocument/2006/relationships/hyperlink" Target="https://youtu.be/OSNXTmoonnM" TargetMode="External"/><Relationship Id="rId2605" Type="http://schemas.openxmlformats.org/officeDocument/2006/relationships/hyperlink" Target="https://youtu.be/vS-Y7OnyFWE" TargetMode="External"/><Relationship Id="rId3937" Type="http://schemas.openxmlformats.org/officeDocument/2006/relationships/hyperlink" Target="https://youtu.be/MMo3ZBMPIrU" TargetMode="External"/><Relationship Id="rId2606" Type="http://schemas.openxmlformats.org/officeDocument/2006/relationships/hyperlink" Target="https://www.youtube.com/watch?v=TDEaqrTmVfs" TargetMode="External"/><Relationship Id="rId3936" Type="http://schemas.openxmlformats.org/officeDocument/2006/relationships/hyperlink" Target="https://youtu.be/mEmDaTtNmiw" TargetMode="External"/><Relationship Id="rId808" Type="http://schemas.openxmlformats.org/officeDocument/2006/relationships/hyperlink" Target="https://youtu.be/8hzjwQ9fv2I" TargetMode="External"/><Relationship Id="rId2607" Type="http://schemas.openxmlformats.org/officeDocument/2006/relationships/hyperlink" Target="https://youtu.be/C-bm3K3aU-I" TargetMode="External"/><Relationship Id="rId3939" Type="http://schemas.openxmlformats.org/officeDocument/2006/relationships/hyperlink" Target="https://youtu.be/ewGQiYOg6F4" TargetMode="External"/><Relationship Id="rId807" Type="http://schemas.openxmlformats.org/officeDocument/2006/relationships/hyperlink" Target="https://www.twitch.tv/videos/1778689754" TargetMode="External"/><Relationship Id="rId2608" Type="http://schemas.openxmlformats.org/officeDocument/2006/relationships/hyperlink" Target="https://www.twitch.tv/videos/1496866815" TargetMode="External"/><Relationship Id="rId3938" Type="http://schemas.openxmlformats.org/officeDocument/2006/relationships/hyperlink" Target="https://youtu.be/BzPxFP5PIps" TargetMode="External"/><Relationship Id="rId806" Type="http://schemas.openxmlformats.org/officeDocument/2006/relationships/hyperlink" Target="https://clips.twitch.tv/ElegantPopularHawkTTours-fO1j20Qbf63XG-up" TargetMode="External"/><Relationship Id="rId2609" Type="http://schemas.openxmlformats.org/officeDocument/2006/relationships/hyperlink" Target="https://clips.twitch.tv/CheerfulTransparentGuanacoCoolStoryBro-eG8cd6M3iP9_ofmv" TargetMode="External"/><Relationship Id="rId805" Type="http://schemas.openxmlformats.org/officeDocument/2006/relationships/hyperlink" Target="https://youtu.be/6a5CR-Xmpio" TargetMode="External"/><Relationship Id="rId809" Type="http://schemas.openxmlformats.org/officeDocument/2006/relationships/hyperlink" Target="https://x.com/inkstarLum/status/1740248702261002391?s=20" TargetMode="External"/><Relationship Id="rId800" Type="http://schemas.openxmlformats.org/officeDocument/2006/relationships/hyperlink" Target="https://www.twitch.tv/inkstar/clip/AgreeablePreciousFrogBCouch-bC5b8-q8cJ-yyzuQ" TargetMode="External"/><Relationship Id="rId804" Type="http://schemas.openxmlformats.org/officeDocument/2006/relationships/hyperlink" Target="https://clips.twitch.tv/DepressedCuriousAniseSoBayed-s7zSbegx5rhzTA_9" TargetMode="External"/><Relationship Id="rId803" Type="http://schemas.openxmlformats.org/officeDocument/2006/relationships/hyperlink" Target="https://x.com/inkstarLum/status/1750870120812191907?s=20" TargetMode="External"/><Relationship Id="rId802" Type="http://schemas.openxmlformats.org/officeDocument/2006/relationships/hyperlink" Target="https://clips.twitch.tv/SmoggySplendidRavenDogFace-tmlMoCV-g_6KtMSK" TargetMode="External"/><Relationship Id="rId801" Type="http://schemas.openxmlformats.org/officeDocument/2006/relationships/hyperlink" Target="https://www.twitch.tv/videos/2440232017" TargetMode="External"/><Relationship Id="rId3920" Type="http://schemas.openxmlformats.org/officeDocument/2006/relationships/hyperlink" Target="https://youtu.be/TC6szU0KMQ0" TargetMode="External"/><Relationship Id="rId3922" Type="http://schemas.openxmlformats.org/officeDocument/2006/relationships/hyperlink" Target="https://youtu.be/YzH9npRkfKQ" TargetMode="External"/><Relationship Id="rId3921" Type="http://schemas.openxmlformats.org/officeDocument/2006/relationships/hyperlink" Target="https://youtu.be/MWIaeCpCjRg" TargetMode="External"/><Relationship Id="rId3924" Type="http://schemas.openxmlformats.org/officeDocument/2006/relationships/hyperlink" Target="https://youtu.be/vc2vKpA4W0o" TargetMode="External"/><Relationship Id="rId3923" Type="http://schemas.openxmlformats.org/officeDocument/2006/relationships/hyperlink" Target="https://www.youtube.com/watch?v=w5Gjm0FOXnQ" TargetMode="External"/><Relationship Id="rId3926" Type="http://schemas.openxmlformats.org/officeDocument/2006/relationships/hyperlink" Target="https://www.youtube.com/watch?v=xILNN4X1Sug" TargetMode="External"/><Relationship Id="rId3925" Type="http://schemas.openxmlformats.org/officeDocument/2006/relationships/hyperlink" Target="https://youtu.be/gl9c1qhsTTo" TargetMode="External"/><Relationship Id="rId3928" Type="http://schemas.openxmlformats.org/officeDocument/2006/relationships/hyperlink" Target="https://www.youtube.com/watch?v=WYCGplnVh4A" TargetMode="External"/><Relationship Id="rId3927" Type="http://schemas.openxmlformats.org/officeDocument/2006/relationships/hyperlink" Target="https://youtu.be/_5EE7piEfdA" TargetMode="External"/><Relationship Id="rId3929" Type="http://schemas.openxmlformats.org/officeDocument/2006/relationships/hyperlink" Target="https://clips.twitch.tv/IgnorantInexpensiveWhaleAMPEnergyCherry-0_APFnMlwRxp93Up" TargetMode="External"/><Relationship Id="rId1334" Type="http://schemas.openxmlformats.org/officeDocument/2006/relationships/hyperlink" Target="https://www.youtube.com/watch?v=qBIFyb1eT4E&amp;feature=youtu.be&amp;ab_channel=SMSArchives" TargetMode="External"/><Relationship Id="rId2665" Type="http://schemas.openxmlformats.org/officeDocument/2006/relationships/hyperlink" Target="https://youtu.be/F5NfRzs9WmY" TargetMode="External"/><Relationship Id="rId3997" Type="http://schemas.openxmlformats.org/officeDocument/2006/relationships/hyperlink" Target="https://youtu.be/qo_9Tt8brsI" TargetMode="External"/><Relationship Id="rId1335" Type="http://schemas.openxmlformats.org/officeDocument/2006/relationships/hyperlink" Target="https://www.youtube.com/watch?v=ecAu7s3JG_Q&amp;ab_channel=SMSArchives" TargetMode="External"/><Relationship Id="rId2666" Type="http://schemas.openxmlformats.org/officeDocument/2006/relationships/hyperlink" Target="https://youtu.be/zZ4xsh3x0VA" TargetMode="External"/><Relationship Id="rId3996" Type="http://schemas.openxmlformats.org/officeDocument/2006/relationships/hyperlink" Target="https://youtu.be/v_H6xRBJa_g" TargetMode="External"/><Relationship Id="rId1336" Type="http://schemas.openxmlformats.org/officeDocument/2006/relationships/hyperlink" Target="https://www.youtube.com/watch?v=NMQO5DUbqqc&amp;ab_channel=SMSArchives" TargetMode="External"/><Relationship Id="rId2667" Type="http://schemas.openxmlformats.org/officeDocument/2006/relationships/hyperlink" Target="https://youtu.be/m_ZBiqY_Nho" TargetMode="External"/><Relationship Id="rId3999" Type="http://schemas.openxmlformats.org/officeDocument/2006/relationships/hyperlink" Target="https://www.twitch.tv/cysse64/clip/PuzzledGentleSashimiDxAbomb-mCZpxdNoZNSHDAyO" TargetMode="External"/><Relationship Id="rId1337" Type="http://schemas.openxmlformats.org/officeDocument/2006/relationships/hyperlink" Target="https://www.youtube.com/watch?v=P0C3FhImGBM&amp;feature=youtu.be&amp;ab_channel=SMSArchives" TargetMode="External"/><Relationship Id="rId2668" Type="http://schemas.openxmlformats.org/officeDocument/2006/relationships/hyperlink" Target="https://youtu.be/abhI8pfN-HM" TargetMode="External"/><Relationship Id="rId3998" Type="http://schemas.openxmlformats.org/officeDocument/2006/relationships/hyperlink" Target="https://clips.twitch.tv/ProtectiveSpookyDogCharlietheUnicorn-JXqs21stCUVSayku" TargetMode="External"/><Relationship Id="rId1338" Type="http://schemas.openxmlformats.org/officeDocument/2006/relationships/hyperlink" Target="https://www.youtube.com/watch?v=Uh926sPLUl8&amp;feature=youtu.be&amp;ab_channel=SMSArchives" TargetMode="External"/><Relationship Id="rId2669" Type="http://schemas.openxmlformats.org/officeDocument/2006/relationships/hyperlink" Target="https://youtu.be/5o3N19-vMCQ" TargetMode="External"/><Relationship Id="rId1339" Type="http://schemas.openxmlformats.org/officeDocument/2006/relationships/hyperlink" Target="https://www.youtube.com/watch?v=2-WKnouX4xY&amp;feature=youtu.be&amp;ab_channel=SMSArchives" TargetMode="External"/><Relationship Id="rId745" Type="http://schemas.openxmlformats.org/officeDocument/2006/relationships/hyperlink" Target="https://youtu.be/oMAvg-aEqSE" TargetMode="External"/><Relationship Id="rId744" Type="http://schemas.openxmlformats.org/officeDocument/2006/relationships/hyperlink" Target="https://youtu.be/mjRN8CUWyiA" TargetMode="External"/><Relationship Id="rId743" Type="http://schemas.openxmlformats.org/officeDocument/2006/relationships/hyperlink" Target="https://youtu.be/K3FbfuIU85Y" TargetMode="External"/><Relationship Id="rId742" Type="http://schemas.openxmlformats.org/officeDocument/2006/relationships/hyperlink" Target="https://youtu.be/WXAd-urRBGY" TargetMode="External"/><Relationship Id="rId749" Type="http://schemas.openxmlformats.org/officeDocument/2006/relationships/hyperlink" Target="https://youtu.be/ZKJe4yG34WU" TargetMode="External"/><Relationship Id="rId748" Type="http://schemas.openxmlformats.org/officeDocument/2006/relationships/hyperlink" Target="https://youtu.be/l1oHkskow4M" TargetMode="External"/><Relationship Id="rId747" Type="http://schemas.openxmlformats.org/officeDocument/2006/relationships/hyperlink" Target="https://youtu.be/-mHdWlySoq4" TargetMode="External"/><Relationship Id="rId746" Type="http://schemas.openxmlformats.org/officeDocument/2006/relationships/hyperlink" Target="https://youtu.be/obM0WDl_1s4" TargetMode="External"/><Relationship Id="rId3991" Type="http://schemas.openxmlformats.org/officeDocument/2006/relationships/hyperlink" Target="https://youtu.be/YB9LQDhmWDY" TargetMode="External"/><Relationship Id="rId2660" Type="http://schemas.openxmlformats.org/officeDocument/2006/relationships/hyperlink" Target="https://youtu.be/VnNU1Ms6HXw" TargetMode="External"/><Relationship Id="rId3990" Type="http://schemas.openxmlformats.org/officeDocument/2006/relationships/hyperlink" Target="https://youtu.be/2fhIenEkLlY" TargetMode="External"/><Relationship Id="rId741" Type="http://schemas.openxmlformats.org/officeDocument/2006/relationships/hyperlink" Target="https://youtu.be/kMuUCUDAcdk" TargetMode="External"/><Relationship Id="rId1330" Type="http://schemas.openxmlformats.org/officeDocument/2006/relationships/hyperlink" Target="https://www.youtube.com/watch?v=oME-pSiyHko&amp;feature=youtu.be&amp;ab_channel=SMSArchives" TargetMode="External"/><Relationship Id="rId2661" Type="http://schemas.openxmlformats.org/officeDocument/2006/relationships/hyperlink" Target="https://youtu.be/TLVlIuyOwrI" TargetMode="External"/><Relationship Id="rId3993" Type="http://schemas.openxmlformats.org/officeDocument/2006/relationships/hyperlink" Target="https://youtu.be/ADxHxNj6HV0" TargetMode="External"/><Relationship Id="rId740" Type="http://schemas.openxmlformats.org/officeDocument/2006/relationships/hyperlink" Target="https://www.youtube.com/watch?v=Xez7zuPnhFs" TargetMode="External"/><Relationship Id="rId1331" Type="http://schemas.openxmlformats.org/officeDocument/2006/relationships/hyperlink" Target="https://www.youtube.com/watch?v=aR2E1be1tJA&amp;ab_channel=SMSArchives" TargetMode="External"/><Relationship Id="rId2662" Type="http://schemas.openxmlformats.org/officeDocument/2006/relationships/hyperlink" Target="https://youtu.be/0Ad-hocDWwg" TargetMode="External"/><Relationship Id="rId3992" Type="http://schemas.openxmlformats.org/officeDocument/2006/relationships/hyperlink" Target="https://youtu.be/0XUpJc8IzRk" TargetMode="External"/><Relationship Id="rId1332" Type="http://schemas.openxmlformats.org/officeDocument/2006/relationships/hyperlink" Target="https://www.youtube.com/watch?v=QejMdoF5iz0&amp;feature=youtu.be&amp;ab_channel=SMSArchives" TargetMode="External"/><Relationship Id="rId2663" Type="http://schemas.openxmlformats.org/officeDocument/2006/relationships/hyperlink" Target="https://youtu.be/aoIG8OwyKNU" TargetMode="External"/><Relationship Id="rId3995" Type="http://schemas.openxmlformats.org/officeDocument/2006/relationships/hyperlink" Target="https://youtu.be/_iXBKQwq-Ys" TargetMode="External"/><Relationship Id="rId1333" Type="http://schemas.openxmlformats.org/officeDocument/2006/relationships/hyperlink" Target="https://www.youtube.com/watch?v=DBs2Z9ZPFO0&amp;ab_channel=SMSArchives" TargetMode="External"/><Relationship Id="rId2664" Type="http://schemas.openxmlformats.org/officeDocument/2006/relationships/hyperlink" Target="https://youtu.be/okwGTTwcW4w" TargetMode="External"/><Relationship Id="rId3994" Type="http://schemas.openxmlformats.org/officeDocument/2006/relationships/hyperlink" Target="https://youtu.be/HLtLqTHqXYA" TargetMode="External"/><Relationship Id="rId1323" Type="http://schemas.openxmlformats.org/officeDocument/2006/relationships/hyperlink" Target="https://www.youtube.com/watch?v=iH0UlH7LaHg&amp;ab_channel=BlazeAlt" TargetMode="External"/><Relationship Id="rId2654" Type="http://schemas.openxmlformats.org/officeDocument/2006/relationships/hyperlink" Target="https://youtu.be/bVIluirGDYk" TargetMode="External"/><Relationship Id="rId3986" Type="http://schemas.openxmlformats.org/officeDocument/2006/relationships/hyperlink" Target="https://youtu.be/FxAyf0hf3S4" TargetMode="External"/><Relationship Id="rId1324" Type="http://schemas.openxmlformats.org/officeDocument/2006/relationships/hyperlink" Target="https://www.youtube.com/watch?v=VILMlinX0Ac&amp;ab_channel=BlazeAlt" TargetMode="External"/><Relationship Id="rId2655" Type="http://schemas.openxmlformats.org/officeDocument/2006/relationships/hyperlink" Target="https://youtu.be/giKr74OQdto" TargetMode="External"/><Relationship Id="rId3985" Type="http://schemas.openxmlformats.org/officeDocument/2006/relationships/hyperlink" Target="https://www.youtube.com/watch?v=JqTJlKSmw-k" TargetMode="External"/><Relationship Id="rId1325" Type="http://schemas.openxmlformats.org/officeDocument/2006/relationships/hyperlink" Target="https://www.youtube.com/watch?v=awAEPlxQS5I&amp;ab_channel=BlazeAlt" TargetMode="External"/><Relationship Id="rId2656" Type="http://schemas.openxmlformats.org/officeDocument/2006/relationships/hyperlink" Target="https://youtu.be/00710huXVlk" TargetMode="External"/><Relationship Id="rId3988" Type="http://schemas.openxmlformats.org/officeDocument/2006/relationships/hyperlink" Target="https://youtu.be/PAuCtRTeOZQ" TargetMode="External"/><Relationship Id="rId1326" Type="http://schemas.openxmlformats.org/officeDocument/2006/relationships/hyperlink" Target="https://www.youtube.com/watch?v=ugsSkd5TkX0&amp;ab_channel=BlazeAlt" TargetMode="External"/><Relationship Id="rId2657" Type="http://schemas.openxmlformats.org/officeDocument/2006/relationships/hyperlink" Target="https://youtu.be/bdYt6dzOOCU" TargetMode="External"/><Relationship Id="rId3987" Type="http://schemas.openxmlformats.org/officeDocument/2006/relationships/hyperlink" Target="https://www.youtube.com/watch?v=traHO3RCMFc" TargetMode="External"/><Relationship Id="rId1327" Type="http://schemas.openxmlformats.org/officeDocument/2006/relationships/hyperlink" Target="https://www.youtube.com/watch?v=FQK3WWaSzeo&amp;ab_channel=BlazeAlt" TargetMode="External"/><Relationship Id="rId2658" Type="http://schemas.openxmlformats.org/officeDocument/2006/relationships/hyperlink" Target="https://youtu.be/oOnV-NlfnIE" TargetMode="External"/><Relationship Id="rId1328" Type="http://schemas.openxmlformats.org/officeDocument/2006/relationships/hyperlink" Target="https://www.youtube.com/watch?v=juuK4GBmQuY&amp;ab_channel=SMSArchives" TargetMode="External"/><Relationship Id="rId2659" Type="http://schemas.openxmlformats.org/officeDocument/2006/relationships/hyperlink" Target="https://youtu.be/yAHDhaOU8Q8" TargetMode="External"/><Relationship Id="rId3989" Type="http://schemas.openxmlformats.org/officeDocument/2006/relationships/hyperlink" Target="https://youtu.be/qgluFqR_tLI" TargetMode="External"/><Relationship Id="rId1329" Type="http://schemas.openxmlformats.org/officeDocument/2006/relationships/hyperlink" Target="https://www.youtube.com/watch?v=cRbD7JBi6Ao&amp;ab_channel=SMSArchives" TargetMode="External"/><Relationship Id="rId739" Type="http://schemas.openxmlformats.org/officeDocument/2006/relationships/hyperlink" Target="https://youtu.be/bBi7ykkVmSU" TargetMode="External"/><Relationship Id="rId734" Type="http://schemas.openxmlformats.org/officeDocument/2006/relationships/hyperlink" Target="https://youtu.be/AXGhwLx5Exw" TargetMode="External"/><Relationship Id="rId733" Type="http://schemas.openxmlformats.org/officeDocument/2006/relationships/hyperlink" Target="https://youtu.be/Vaz9RLUdUKI" TargetMode="External"/><Relationship Id="rId732" Type="http://schemas.openxmlformats.org/officeDocument/2006/relationships/hyperlink" Target="https://youtu.be/63-zQ00A-EU" TargetMode="External"/><Relationship Id="rId731" Type="http://schemas.openxmlformats.org/officeDocument/2006/relationships/hyperlink" Target="https://youtu.be/R5fJuDPO8F0" TargetMode="External"/><Relationship Id="rId738" Type="http://schemas.openxmlformats.org/officeDocument/2006/relationships/hyperlink" Target="https://youtu.be/ow4dPH8yC9s" TargetMode="External"/><Relationship Id="rId737" Type="http://schemas.openxmlformats.org/officeDocument/2006/relationships/hyperlink" Target="https://youtu.be/En4P9k1DYGM" TargetMode="External"/><Relationship Id="rId736" Type="http://schemas.openxmlformats.org/officeDocument/2006/relationships/hyperlink" Target="https://youtu.be/7CUKmCF5tCE" TargetMode="External"/><Relationship Id="rId735" Type="http://schemas.openxmlformats.org/officeDocument/2006/relationships/hyperlink" Target="https://youtu.be/0SdmxBStK6Q" TargetMode="External"/><Relationship Id="rId3980" Type="http://schemas.openxmlformats.org/officeDocument/2006/relationships/hyperlink" Target="https://www.youtube.com/watch?v=UkTxsy8QDIE" TargetMode="External"/><Relationship Id="rId730" Type="http://schemas.openxmlformats.org/officeDocument/2006/relationships/hyperlink" Target="https://youtu.be/CpkY5Gke1Fs" TargetMode="External"/><Relationship Id="rId2650" Type="http://schemas.openxmlformats.org/officeDocument/2006/relationships/hyperlink" Target="https://www.twitch.tv/videos/1543830443" TargetMode="External"/><Relationship Id="rId3982" Type="http://schemas.openxmlformats.org/officeDocument/2006/relationships/hyperlink" Target="https://youtu.be/MpHdG2rZYIU" TargetMode="External"/><Relationship Id="rId1320" Type="http://schemas.openxmlformats.org/officeDocument/2006/relationships/hyperlink" Target="https://www.youtube.com/watch?v=A7TLWbypFhc&amp;ab_channel=BlazeAlt" TargetMode="External"/><Relationship Id="rId2651" Type="http://schemas.openxmlformats.org/officeDocument/2006/relationships/hyperlink" Target="https://youtu.be/VKdpuTD0_0I" TargetMode="External"/><Relationship Id="rId3981" Type="http://schemas.openxmlformats.org/officeDocument/2006/relationships/hyperlink" Target="https://youtu.be/5H6ttD7tFYo" TargetMode="External"/><Relationship Id="rId1321" Type="http://schemas.openxmlformats.org/officeDocument/2006/relationships/hyperlink" Target="https://www.youtube.com/watch?v=Tn9k45bi7Vg&amp;ab_channel=BlazeAlt" TargetMode="External"/><Relationship Id="rId2652" Type="http://schemas.openxmlformats.org/officeDocument/2006/relationships/hyperlink" Target="https://youtu.be/bJMASdX424E" TargetMode="External"/><Relationship Id="rId3984" Type="http://schemas.openxmlformats.org/officeDocument/2006/relationships/hyperlink" Target="https://www.youtube.com/watch?v=L5XPU2H7_R8" TargetMode="External"/><Relationship Id="rId1322" Type="http://schemas.openxmlformats.org/officeDocument/2006/relationships/hyperlink" Target="https://www.youtube.com/watch?v=L2HQ_mgAmoc&amp;ab_channel=BlazeAlt" TargetMode="External"/><Relationship Id="rId2653" Type="http://schemas.openxmlformats.org/officeDocument/2006/relationships/hyperlink" Target="https://youtu.be/KXI5m0Ayd5U" TargetMode="External"/><Relationship Id="rId3983" Type="http://schemas.openxmlformats.org/officeDocument/2006/relationships/hyperlink" Target="https://youtu.be/3VT120o91Mg" TargetMode="External"/><Relationship Id="rId1356" Type="http://schemas.openxmlformats.org/officeDocument/2006/relationships/hyperlink" Target="https://www.youtube.com/watch?v=LcnpDNaGcNI&amp;ab_channel=SMSArchives" TargetMode="External"/><Relationship Id="rId2687" Type="http://schemas.openxmlformats.org/officeDocument/2006/relationships/hyperlink" Target="https://youtu.be/mWq4iiECe0I" TargetMode="External"/><Relationship Id="rId1357" Type="http://schemas.openxmlformats.org/officeDocument/2006/relationships/hyperlink" Target="https://www.youtube.com/watch?v=2DLrX4IYhMA&amp;feature=youtu.be&amp;ab_channel=SMSArchives" TargetMode="External"/><Relationship Id="rId2688" Type="http://schemas.openxmlformats.org/officeDocument/2006/relationships/hyperlink" Target="https://www.twitch.tv/videos/1543834972" TargetMode="External"/><Relationship Id="rId1358" Type="http://schemas.openxmlformats.org/officeDocument/2006/relationships/hyperlink" Target="https://www.youtube.com/watch?v=bn51d8xuILE&amp;feature=youtu.be&amp;ab_channel=SMSArchives" TargetMode="External"/><Relationship Id="rId2689" Type="http://schemas.openxmlformats.org/officeDocument/2006/relationships/hyperlink" Target="https://youtu.be/zp2dCbaFloM" TargetMode="External"/><Relationship Id="rId1359" Type="http://schemas.openxmlformats.org/officeDocument/2006/relationships/hyperlink" Target="https://www.youtube.com/watch?v=DG9AvoVb3jg&amp;feature=youtu.be&amp;ab_channel=SMSArchives" TargetMode="External"/><Relationship Id="rId767" Type="http://schemas.openxmlformats.org/officeDocument/2006/relationships/hyperlink" Target="https://youtu.be/hdq8HO9vBQE" TargetMode="External"/><Relationship Id="rId766" Type="http://schemas.openxmlformats.org/officeDocument/2006/relationships/hyperlink" Target="https://youtu.be/9YcqDmX9ZPU" TargetMode="External"/><Relationship Id="rId765" Type="http://schemas.openxmlformats.org/officeDocument/2006/relationships/hyperlink" Target="https://youtu.be/-V8eAuSHds4" TargetMode="External"/><Relationship Id="rId764" Type="http://schemas.openxmlformats.org/officeDocument/2006/relationships/hyperlink" Target="https://youtu.be/uM1I8GG5zVk" TargetMode="External"/><Relationship Id="rId769" Type="http://schemas.openxmlformats.org/officeDocument/2006/relationships/hyperlink" Target="https://youtu.be/8mlyC-IshFc" TargetMode="External"/><Relationship Id="rId768" Type="http://schemas.openxmlformats.org/officeDocument/2006/relationships/hyperlink" Target="https://youtu.be/8WTflQ-UW8o" TargetMode="External"/><Relationship Id="rId2680" Type="http://schemas.openxmlformats.org/officeDocument/2006/relationships/hyperlink" Target="https://youtu.be/r1KAG19-pdY" TargetMode="External"/><Relationship Id="rId1350" Type="http://schemas.openxmlformats.org/officeDocument/2006/relationships/hyperlink" Target="https://www.youtube.com/watch?v=GTcULyB77pE&amp;ab_channel=SMSArchives" TargetMode="External"/><Relationship Id="rId2681" Type="http://schemas.openxmlformats.org/officeDocument/2006/relationships/hyperlink" Target="https://youtu.be/lTLV2YNvtk0" TargetMode="External"/><Relationship Id="rId1351" Type="http://schemas.openxmlformats.org/officeDocument/2006/relationships/hyperlink" Target="https://www.youtube.com/watch?v=YT91OvON5jM&amp;ab_channel=SMSArchives" TargetMode="External"/><Relationship Id="rId2682" Type="http://schemas.openxmlformats.org/officeDocument/2006/relationships/hyperlink" Target="https://youtu.be/3OfkwwpGlzA" TargetMode="External"/><Relationship Id="rId763" Type="http://schemas.openxmlformats.org/officeDocument/2006/relationships/hyperlink" Target="https://youtu.be/kPoIju-AS9o" TargetMode="External"/><Relationship Id="rId1352" Type="http://schemas.openxmlformats.org/officeDocument/2006/relationships/hyperlink" Target="https://www.youtube.com/watch?v=LZyMaAoZZqk&amp;feature=youtu.be&amp;ab_channel=SMSArchives" TargetMode="External"/><Relationship Id="rId2683" Type="http://schemas.openxmlformats.org/officeDocument/2006/relationships/hyperlink" Target="https://youtu.be/aNy503NUaaA" TargetMode="External"/><Relationship Id="rId762" Type="http://schemas.openxmlformats.org/officeDocument/2006/relationships/hyperlink" Target="https://youtu.be/CwbLgREWKVs" TargetMode="External"/><Relationship Id="rId1353" Type="http://schemas.openxmlformats.org/officeDocument/2006/relationships/hyperlink" Target="https://www.youtube.com/watch?v=sHINJJzZeyI&amp;feature=youtu.be&amp;ab_channel=SMSArchives" TargetMode="External"/><Relationship Id="rId2684" Type="http://schemas.openxmlformats.org/officeDocument/2006/relationships/hyperlink" Target="https://youtu.be/mUlsoL1veGc" TargetMode="External"/><Relationship Id="rId761" Type="http://schemas.openxmlformats.org/officeDocument/2006/relationships/hyperlink" Target="https://youtu.be/ncwLZhBr8GE" TargetMode="External"/><Relationship Id="rId1354" Type="http://schemas.openxmlformats.org/officeDocument/2006/relationships/hyperlink" Target="https://www.youtube.com/watch?v=hIeB6WTD5Rk&amp;feature=youtu.be&amp;ab_channel=SMSArchives" TargetMode="External"/><Relationship Id="rId2685" Type="http://schemas.openxmlformats.org/officeDocument/2006/relationships/hyperlink" Target="https://youtu.be/-Y-wPWqxIEI" TargetMode="External"/><Relationship Id="rId760" Type="http://schemas.openxmlformats.org/officeDocument/2006/relationships/hyperlink" Target="https://youtu.be/IWT8MTtc_bY" TargetMode="External"/><Relationship Id="rId1355" Type="http://schemas.openxmlformats.org/officeDocument/2006/relationships/hyperlink" Target="https://www.youtube.com/watch?v=7U42oq2-W9Y&amp;ab_channel=SMSArchives" TargetMode="External"/><Relationship Id="rId2686" Type="http://schemas.openxmlformats.org/officeDocument/2006/relationships/hyperlink" Target="https://youtu.be/hktn9dkT3hE" TargetMode="External"/><Relationship Id="rId1345" Type="http://schemas.openxmlformats.org/officeDocument/2006/relationships/hyperlink" Target="https://www.youtube.com/watch?v=-EAfEI2DVIM&amp;ab_channel=SMSArchives" TargetMode="External"/><Relationship Id="rId2676" Type="http://schemas.openxmlformats.org/officeDocument/2006/relationships/hyperlink" Target="https://youtu.be/U-Y7rFlhjrs" TargetMode="External"/><Relationship Id="rId1346" Type="http://schemas.openxmlformats.org/officeDocument/2006/relationships/hyperlink" Target="https://www.youtube.com/watch?v=GkmnacF8Ed0&amp;feature=youtu.be&amp;ab_channel=SMSArchives" TargetMode="External"/><Relationship Id="rId2677" Type="http://schemas.openxmlformats.org/officeDocument/2006/relationships/hyperlink" Target="https://youtu.be/xHwGHlDLeVQ" TargetMode="External"/><Relationship Id="rId1347" Type="http://schemas.openxmlformats.org/officeDocument/2006/relationships/hyperlink" Target="https://www.youtube.com/watch?v=YSwd4ycQIfE&amp;feature=youtu.be&amp;ab_channel=SMSArchives" TargetMode="External"/><Relationship Id="rId2678" Type="http://schemas.openxmlformats.org/officeDocument/2006/relationships/hyperlink" Target="https://youtu.be/_JtFC5kdmvA" TargetMode="External"/><Relationship Id="rId1348" Type="http://schemas.openxmlformats.org/officeDocument/2006/relationships/hyperlink" Target="https://www.youtube.com/watch?v=BRF9k86BIOs&amp;feature=youtu.be&amp;ab_channel=SMSArchives" TargetMode="External"/><Relationship Id="rId2679" Type="http://schemas.openxmlformats.org/officeDocument/2006/relationships/hyperlink" Target="https://youtu.be/do6X5dQR_Zs" TargetMode="External"/><Relationship Id="rId1349" Type="http://schemas.openxmlformats.org/officeDocument/2006/relationships/hyperlink" Target="https://www.youtube.com/watch?v=GHf0pQbuKhQ&amp;ab_channel=SMSArchives" TargetMode="External"/><Relationship Id="rId756" Type="http://schemas.openxmlformats.org/officeDocument/2006/relationships/hyperlink" Target="https://youtu.be/DKv_4rurSS0" TargetMode="External"/><Relationship Id="rId755" Type="http://schemas.openxmlformats.org/officeDocument/2006/relationships/hyperlink" Target="https://youtu.be/8wbzdVItY_g" TargetMode="External"/><Relationship Id="rId754" Type="http://schemas.openxmlformats.org/officeDocument/2006/relationships/hyperlink" Target="https://youtu.be/GuoEdRqCJUA" TargetMode="External"/><Relationship Id="rId753" Type="http://schemas.openxmlformats.org/officeDocument/2006/relationships/hyperlink" Target="https://youtu.be/xPsv1plmq-E" TargetMode="External"/><Relationship Id="rId759" Type="http://schemas.openxmlformats.org/officeDocument/2006/relationships/hyperlink" Target="https://youtu.be/BscO6fEkknM" TargetMode="External"/><Relationship Id="rId758" Type="http://schemas.openxmlformats.org/officeDocument/2006/relationships/hyperlink" Target="https://youtu.be/VkEsQrMELeQ" TargetMode="External"/><Relationship Id="rId757" Type="http://schemas.openxmlformats.org/officeDocument/2006/relationships/hyperlink" Target="https://youtu.be/1XmqPaMOiiY" TargetMode="External"/><Relationship Id="rId2670" Type="http://schemas.openxmlformats.org/officeDocument/2006/relationships/hyperlink" Target="https://youtu.be/P-JOJi5CDwo" TargetMode="External"/><Relationship Id="rId1340" Type="http://schemas.openxmlformats.org/officeDocument/2006/relationships/hyperlink" Target="https://www.youtube.com/watch?v=CkBm6CcSTLA&amp;ab_channel=SMSArchives" TargetMode="External"/><Relationship Id="rId2671" Type="http://schemas.openxmlformats.org/officeDocument/2006/relationships/hyperlink" Target="https://youtu.be/xzSnHTv-h9M" TargetMode="External"/><Relationship Id="rId752" Type="http://schemas.openxmlformats.org/officeDocument/2006/relationships/hyperlink" Target="https://youtu.be/NXynaSDqhMI" TargetMode="External"/><Relationship Id="rId1341" Type="http://schemas.openxmlformats.org/officeDocument/2006/relationships/hyperlink" Target="https://www.youtube.com/watch?v=sgz6i_MudN8&amp;feature=youtu.be&amp;ab_channel=SMSArchives" TargetMode="External"/><Relationship Id="rId2672" Type="http://schemas.openxmlformats.org/officeDocument/2006/relationships/hyperlink" Target="https://youtu.be/GuinuQXuAeE" TargetMode="External"/><Relationship Id="rId751" Type="http://schemas.openxmlformats.org/officeDocument/2006/relationships/hyperlink" Target="https://youtu.be/TimHtxCkrCY" TargetMode="External"/><Relationship Id="rId1342" Type="http://schemas.openxmlformats.org/officeDocument/2006/relationships/hyperlink" Target="https://www.youtube.com/watch?v=2ZWiqLayTwA&amp;ab_channel=SMSArchives" TargetMode="External"/><Relationship Id="rId2673" Type="http://schemas.openxmlformats.org/officeDocument/2006/relationships/hyperlink" Target="https://youtu.be/734zia0C1oc" TargetMode="External"/><Relationship Id="rId750" Type="http://schemas.openxmlformats.org/officeDocument/2006/relationships/hyperlink" Target="https://youtu.be/HJCHtf50t14" TargetMode="External"/><Relationship Id="rId1343" Type="http://schemas.openxmlformats.org/officeDocument/2006/relationships/hyperlink" Target="https://www.youtube.com/watch?v=YdjKKb7RQYc&amp;ab_channel=SMSArchives" TargetMode="External"/><Relationship Id="rId2674" Type="http://schemas.openxmlformats.org/officeDocument/2006/relationships/hyperlink" Target="https://youtu.be/cpjM9d2bBow" TargetMode="External"/><Relationship Id="rId1344" Type="http://schemas.openxmlformats.org/officeDocument/2006/relationships/hyperlink" Target="https://www.youtube.com/watch?v=Z0L7eVtVngg&amp;feature=youtu.be&amp;ab_channel=SMSArchives" TargetMode="External"/><Relationship Id="rId2675" Type="http://schemas.openxmlformats.org/officeDocument/2006/relationships/hyperlink" Target="https://youtu.be/77Bxvngg3oY" TargetMode="External"/><Relationship Id="rId2621" Type="http://schemas.openxmlformats.org/officeDocument/2006/relationships/hyperlink" Target="https://youtu.be/OHAOK210HI0" TargetMode="External"/><Relationship Id="rId3953" Type="http://schemas.openxmlformats.org/officeDocument/2006/relationships/hyperlink" Target="https://youtu.be/XFv2JXpwzPA" TargetMode="External"/><Relationship Id="rId2622" Type="http://schemas.openxmlformats.org/officeDocument/2006/relationships/hyperlink" Target="https://youtu.be/ezRLGDMPXGw" TargetMode="External"/><Relationship Id="rId3952" Type="http://schemas.openxmlformats.org/officeDocument/2006/relationships/hyperlink" Target="https://www.youtube.com/watch?v=5ezTSko_BOU" TargetMode="External"/><Relationship Id="rId2623" Type="http://schemas.openxmlformats.org/officeDocument/2006/relationships/hyperlink" Target="https://youtu.be/t_qCDLYjjxU" TargetMode="External"/><Relationship Id="rId3955" Type="http://schemas.openxmlformats.org/officeDocument/2006/relationships/hyperlink" Target="https://youtu.be/H3JDwX7khMg" TargetMode="External"/><Relationship Id="rId2624" Type="http://schemas.openxmlformats.org/officeDocument/2006/relationships/hyperlink" Target="https://www.youtube.com/watch?v=uni1PlZ64t8" TargetMode="External"/><Relationship Id="rId3954" Type="http://schemas.openxmlformats.org/officeDocument/2006/relationships/hyperlink" Target="https://youtu.be/APN1OdPY83o" TargetMode="External"/><Relationship Id="rId2625" Type="http://schemas.openxmlformats.org/officeDocument/2006/relationships/hyperlink" Target="https://youtu.be/62chYrizJq0" TargetMode="External"/><Relationship Id="rId3957" Type="http://schemas.openxmlformats.org/officeDocument/2006/relationships/hyperlink" Target="https://clips.twitch.tv/OpenSwissHorseradishPlanking-F6U4Rdie9N3lGJTB" TargetMode="External"/><Relationship Id="rId2626" Type="http://schemas.openxmlformats.org/officeDocument/2006/relationships/hyperlink" Target="https://youtu.be/dfKRUsUrT5k" TargetMode="External"/><Relationship Id="rId3956" Type="http://schemas.openxmlformats.org/officeDocument/2006/relationships/hyperlink" Target="https://youtu.be/AlDJUqcUgNE" TargetMode="External"/><Relationship Id="rId2627" Type="http://schemas.openxmlformats.org/officeDocument/2006/relationships/hyperlink" Target="https://youtu.be/W63_N-vjsxw" TargetMode="External"/><Relationship Id="rId3959" Type="http://schemas.openxmlformats.org/officeDocument/2006/relationships/hyperlink" Target="https://clips.twitch.tv/AmericanTardyDugongSpicyBoy-u5HRN4Pv98XlV4QZ" TargetMode="External"/><Relationship Id="rId2628" Type="http://schemas.openxmlformats.org/officeDocument/2006/relationships/hyperlink" Target="https://youtu.be/fEMo7Ia2srg" TargetMode="External"/><Relationship Id="rId3958" Type="http://schemas.openxmlformats.org/officeDocument/2006/relationships/hyperlink" Target="https://clips.twitch.tv/AdorableAuspiciousPonyOMGScoots-cOHUPAy5-HX8cTlY" TargetMode="External"/><Relationship Id="rId709" Type="http://schemas.openxmlformats.org/officeDocument/2006/relationships/hyperlink" Target="https://youtu.be/W2AQ3rKTFUY" TargetMode="External"/><Relationship Id="rId2629" Type="http://schemas.openxmlformats.org/officeDocument/2006/relationships/hyperlink" Target="https://youtu.be/fWi_6o_JLTo" TargetMode="External"/><Relationship Id="rId708" Type="http://schemas.openxmlformats.org/officeDocument/2006/relationships/hyperlink" Target="https://youtu.be/ghqODYL8Srg" TargetMode="External"/><Relationship Id="rId707" Type="http://schemas.openxmlformats.org/officeDocument/2006/relationships/hyperlink" Target="https://youtu.be/8i1KEKXFryQ" TargetMode="External"/><Relationship Id="rId706" Type="http://schemas.openxmlformats.org/officeDocument/2006/relationships/hyperlink" Target="https://youtu.be/7FMo02iOJHs" TargetMode="External"/><Relationship Id="rId701" Type="http://schemas.openxmlformats.org/officeDocument/2006/relationships/hyperlink" Target="https://youtu.be/YADlVHqO0Hc" TargetMode="External"/><Relationship Id="rId700" Type="http://schemas.openxmlformats.org/officeDocument/2006/relationships/hyperlink" Target="https://youtu.be/pbqEB8_NGdM" TargetMode="External"/><Relationship Id="rId705" Type="http://schemas.openxmlformats.org/officeDocument/2006/relationships/hyperlink" Target="https://youtu.be/Xa48shzFfm0" TargetMode="External"/><Relationship Id="rId704" Type="http://schemas.openxmlformats.org/officeDocument/2006/relationships/hyperlink" Target="https://youtu.be/Fa3tu50_6RQ" TargetMode="External"/><Relationship Id="rId703" Type="http://schemas.openxmlformats.org/officeDocument/2006/relationships/hyperlink" Target="https://youtu.be/hSQCXJTnBfo" TargetMode="External"/><Relationship Id="rId702" Type="http://schemas.openxmlformats.org/officeDocument/2006/relationships/hyperlink" Target="https://youtu.be/rWkMgHicQkg" TargetMode="External"/><Relationship Id="rId3951" Type="http://schemas.openxmlformats.org/officeDocument/2006/relationships/hyperlink" Target="https://youtu.be/-X-8cgwjxbo" TargetMode="External"/><Relationship Id="rId2620" Type="http://schemas.openxmlformats.org/officeDocument/2006/relationships/hyperlink" Target="https://clips.twitch.tv/AltruisticAbstemiousPieOhMyDog-oTzIsxeKddiomIrz" TargetMode="External"/><Relationship Id="rId3950" Type="http://schemas.openxmlformats.org/officeDocument/2006/relationships/hyperlink" Target="https://www.youtube.com/watch?v=dRTrvAdi71A" TargetMode="External"/><Relationship Id="rId2610" Type="http://schemas.openxmlformats.org/officeDocument/2006/relationships/hyperlink" Target="https://clips.twitch.tv/DirtyPeppyWitchPoooound-WTxOBXk72AvQBntu" TargetMode="External"/><Relationship Id="rId3942" Type="http://schemas.openxmlformats.org/officeDocument/2006/relationships/hyperlink" Target="https://youtu.be/_BiWC77BP3o" TargetMode="External"/><Relationship Id="rId2611" Type="http://schemas.openxmlformats.org/officeDocument/2006/relationships/hyperlink" Target="https://clips.twitch.tv/DoubtfulIgnorantPlumagePogChamp-y6kuBlliflzCroMr" TargetMode="External"/><Relationship Id="rId3941" Type="http://schemas.openxmlformats.org/officeDocument/2006/relationships/hyperlink" Target="https://youtu.be/hfxXpN4iAks" TargetMode="External"/><Relationship Id="rId2612" Type="http://schemas.openxmlformats.org/officeDocument/2006/relationships/hyperlink" Target="https://clips.twitch.tv/MoralWimpyWalrusYouDontSay-Zg71V-NMt9_U5_om" TargetMode="External"/><Relationship Id="rId3944" Type="http://schemas.openxmlformats.org/officeDocument/2006/relationships/hyperlink" Target="https://youtu.be/YAMDglE01Tg" TargetMode="External"/><Relationship Id="rId2613" Type="http://schemas.openxmlformats.org/officeDocument/2006/relationships/hyperlink" Target="https://twitter.com/SSBReed/status/1212701917551497216?s=20" TargetMode="External"/><Relationship Id="rId3943" Type="http://schemas.openxmlformats.org/officeDocument/2006/relationships/hyperlink" Target="https://youtu.be/PW3RefbTtj8" TargetMode="External"/><Relationship Id="rId2614" Type="http://schemas.openxmlformats.org/officeDocument/2006/relationships/hyperlink" Target="https://twitter.com/Reed_QT/status/1448373258953404417?s=20" TargetMode="External"/><Relationship Id="rId3946" Type="http://schemas.openxmlformats.org/officeDocument/2006/relationships/hyperlink" Target="https://www.youtube.com/watch?v=NBnUp-T3fhc" TargetMode="External"/><Relationship Id="rId2615" Type="http://schemas.openxmlformats.org/officeDocument/2006/relationships/hyperlink" Target="https://x.com/reed_qt/status/2062248180620599571?s=20" TargetMode="External"/><Relationship Id="rId3945" Type="http://schemas.openxmlformats.org/officeDocument/2006/relationships/hyperlink" Target="https://youtu.be/djpRgtYWDDw" TargetMode="External"/><Relationship Id="rId2616" Type="http://schemas.openxmlformats.org/officeDocument/2006/relationships/hyperlink" Target="https://www.twitch.tv/videos/1283042923" TargetMode="External"/><Relationship Id="rId3948" Type="http://schemas.openxmlformats.org/officeDocument/2006/relationships/hyperlink" Target="https://youtu.be/gsTC2weC5Ok" TargetMode="External"/><Relationship Id="rId2617" Type="http://schemas.openxmlformats.org/officeDocument/2006/relationships/hyperlink" Target="https://clips.twitch.tv/BlightedFurryLadiesKevinTurtle-moRs8NC9fjpZ_l_2" TargetMode="External"/><Relationship Id="rId3947" Type="http://schemas.openxmlformats.org/officeDocument/2006/relationships/hyperlink" Target="https://www.youtube.com/watch?v=odXAa6vbdas" TargetMode="External"/><Relationship Id="rId2618" Type="http://schemas.openxmlformats.org/officeDocument/2006/relationships/hyperlink" Target="https://clips.twitch.tv/AstuteBlitheSoybeanOSsloth-vhuxMBWWYGyXCaZI" TargetMode="External"/><Relationship Id="rId2619" Type="http://schemas.openxmlformats.org/officeDocument/2006/relationships/hyperlink" Target="https://clips.twitch.tv/ImpartialUnusualAlligatorKAPOW-ku6_HKLDxira1Ydu" TargetMode="External"/><Relationship Id="rId3949" Type="http://schemas.openxmlformats.org/officeDocument/2006/relationships/hyperlink" Target="https://www.youtube.com/watch?v=CgWCSuJ5jnk" TargetMode="External"/><Relationship Id="rId3940" Type="http://schemas.openxmlformats.org/officeDocument/2006/relationships/hyperlink" Target="https://youtu.be/x4wUe8VzFL4" TargetMode="External"/><Relationship Id="rId1312" Type="http://schemas.openxmlformats.org/officeDocument/2006/relationships/hyperlink" Target="https://www.youtube.com/watch?v=y1bo1OLPw2I&amp;ab_channel=BlazeAlt" TargetMode="External"/><Relationship Id="rId2643" Type="http://schemas.openxmlformats.org/officeDocument/2006/relationships/hyperlink" Target="https://youtu.be/t9drpBX9klU" TargetMode="External"/><Relationship Id="rId3975" Type="http://schemas.openxmlformats.org/officeDocument/2006/relationships/hyperlink" Target="https://youtu.be/sY5sBSU2oXc" TargetMode="External"/><Relationship Id="rId1313" Type="http://schemas.openxmlformats.org/officeDocument/2006/relationships/hyperlink" Target="https://www.youtube.com/watch?v=PpHE5qipJz0&amp;ab_channel=BlazeAlt" TargetMode="External"/><Relationship Id="rId2644" Type="http://schemas.openxmlformats.org/officeDocument/2006/relationships/hyperlink" Target="https://youtu.be/rPuytD0LZNY" TargetMode="External"/><Relationship Id="rId3974" Type="http://schemas.openxmlformats.org/officeDocument/2006/relationships/hyperlink" Target="https://youtu.be/o57m9Wl80TA" TargetMode="External"/><Relationship Id="rId1314" Type="http://schemas.openxmlformats.org/officeDocument/2006/relationships/hyperlink" Target="https://www.youtube.com/watch?v=SzuVkDc6vIQ&amp;ab_channel=BlazeAlt" TargetMode="External"/><Relationship Id="rId2645" Type="http://schemas.openxmlformats.org/officeDocument/2006/relationships/hyperlink" Target="https://youtu.be/6HAYNYEwQSI" TargetMode="External"/><Relationship Id="rId3977" Type="http://schemas.openxmlformats.org/officeDocument/2006/relationships/hyperlink" Target="https://youtu.be/U6dEEcEm8Kg" TargetMode="External"/><Relationship Id="rId1315" Type="http://schemas.openxmlformats.org/officeDocument/2006/relationships/hyperlink" Target="https://www.youtube.com/watch?v=NhTfLtqG9Ns&amp;ab_channel=BlazeAlt" TargetMode="External"/><Relationship Id="rId2646" Type="http://schemas.openxmlformats.org/officeDocument/2006/relationships/hyperlink" Target="https://youtu.be/4piPovOx8O4" TargetMode="External"/><Relationship Id="rId3976" Type="http://schemas.openxmlformats.org/officeDocument/2006/relationships/hyperlink" Target="https://youtu.be/hNY2YLYWw0A" TargetMode="External"/><Relationship Id="rId1316" Type="http://schemas.openxmlformats.org/officeDocument/2006/relationships/hyperlink" Target="https://www.youtube.com/watch?v=cfTMxRv7Tl0&amp;ab_channel=BlazeAlt" TargetMode="External"/><Relationship Id="rId2647" Type="http://schemas.openxmlformats.org/officeDocument/2006/relationships/hyperlink" Target="https://youtu.be/7PV_sbgZrbk" TargetMode="External"/><Relationship Id="rId3979" Type="http://schemas.openxmlformats.org/officeDocument/2006/relationships/hyperlink" Target="https://www.youtube.com/watch?v=Di70vEjIigs" TargetMode="External"/><Relationship Id="rId1317" Type="http://schemas.openxmlformats.org/officeDocument/2006/relationships/hyperlink" Target="https://www.youtube.com/watch?v=VATn2rgLjlM&amp;ab_channel=BlazeAlt" TargetMode="External"/><Relationship Id="rId2648" Type="http://schemas.openxmlformats.org/officeDocument/2006/relationships/hyperlink" Target="https://youtu.be/Lun8aJPbx0M" TargetMode="External"/><Relationship Id="rId3978" Type="http://schemas.openxmlformats.org/officeDocument/2006/relationships/hyperlink" Target="https://www.youtube.com/watch?v=SIiCoZ2Xvrk" TargetMode="External"/><Relationship Id="rId1318" Type="http://schemas.openxmlformats.org/officeDocument/2006/relationships/hyperlink" Target="https://www.youtube.com/watch?v=oz97bpKn3jA&amp;feature=youtu.be&amp;ab_channel=BlazeAlt" TargetMode="External"/><Relationship Id="rId2649" Type="http://schemas.openxmlformats.org/officeDocument/2006/relationships/hyperlink" Target="https://youtu.be/vtQd6-gbOy0" TargetMode="External"/><Relationship Id="rId1319" Type="http://schemas.openxmlformats.org/officeDocument/2006/relationships/hyperlink" Target="https://www.youtube.com/watch?v=xwguEAFFX_A&amp;ab_channel=BlazeAlt" TargetMode="External"/><Relationship Id="rId729" Type="http://schemas.openxmlformats.org/officeDocument/2006/relationships/hyperlink" Target="https://youtu.be/KqbN_8JLv5c" TargetMode="External"/><Relationship Id="rId728" Type="http://schemas.openxmlformats.org/officeDocument/2006/relationships/hyperlink" Target="https://youtu.be/cYlUsh0pTiM" TargetMode="External"/><Relationship Id="rId723" Type="http://schemas.openxmlformats.org/officeDocument/2006/relationships/hyperlink" Target="https://youtu.be/cEmgxvM8biI" TargetMode="External"/><Relationship Id="rId722" Type="http://schemas.openxmlformats.org/officeDocument/2006/relationships/hyperlink" Target="https://youtu.be/CVN1rgl7ijQ" TargetMode="External"/><Relationship Id="rId721" Type="http://schemas.openxmlformats.org/officeDocument/2006/relationships/hyperlink" Target="https://youtu.be/LT7mG0z2iY0" TargetMode="External"/><Relationship Id="rId720" Type="http://schemas.openxmlformats.org/officeDocument/2006/relationships/hyperlink" Target="https://youtu.be/w7a9IBFYHvs" TargetMode="External"/><Relationship Id="rId727" Type="http://schemas.openxmlformats.org/officeDocument/2006/relationships/hyperlink" Target="https://youtu.be/1-eSJVzzM0s" TargetMode="External"/><Relationship Id="rId726" Type="http://schemas.openxmlformats.org/officeDocument/2006/relationships/hyperlink" Target="https://youtu.be/8__y2Qad2Og" TargetMode="External"/><Relationship Id="rId725" Type="http://schemas.openxmlformats.org/officeDocument/2006/relationships/hyperlink" Target="https://youtu.be/xknzl-aZiJ0" TargetMode="External"/><Relationship Id="rId724" Type="http://schemas.openxmlformats.org/officeDocument/2006/relationships/hyperlink" Target="https://youtu.be/H5RMxzEDcjg" TargetMode="External"/><Relationship Id="rId3971" Type="http://schemas.openxmlformats.org/officeDocument/2006/relationships/hyperlink" Target="https://youtu.be/LUwqtTI4T1k" TargetMode="External"/><Relationship Id="rId2640" Type="http://schemas.openxmlformats.org/officeDocument/2006/relationships/hyperlink" Target="https://youtu.be/W4uFo7Mb2SU" TargetMode="External"/><Relationship Id="rId3970" Type="http://schemas.openxmlformats.org/officeDocument/2006/relationships/hyperlink" Target="https://www.youtube.com/watch?v=r_HuXdZOnmI" TargetMode="External"/><Relationship Id="rId1310" Type="http://schemas.openxmlformats.org/officeDocument/2006/relationships/hyperlink" Target="https://www.youtube.com/watch?v=c3TwgXtG6Jo&amp;ab_channel=BlazeAlt" TargetMode="External"/><Relationship Id="rId2641" Type="http://schemas.openxmlformats.org/officeDocument/2006/relationships/hyperlink" Target="https://youtu.be/Adhau5NCsCQ" TargetMode="External"/><Relationship Id="rId3973" Type="http://schemas.openxmlformats.org/officeDocument/2006/relationships/hyperlink" Target="https://www.youtube.com/watch?v=ztk8dAiWwug" TargetMode="External"/><Relationship Id="rId1311" Type="http://schemas.openxmlformats.org/officeDocument/2006/relationships/hyperlink" Target="https://www.youtube.com/watch?v=6QojoW5tN6s&amp;ab_channel=BlazeAlt" TargetMode="External"/><Relationship Id="rId2642" Type="http://schemas.openxmlformats.org/officeDocument/2006/relationships/hyperlink" Target="https://youtu.be/edbcwsAJJdQ" TargetMode="External"/><Relationship Id="rId3972" Type="http://schemas.openxmlformats.org/officeDocument/2006/relationships/hyperlink" Target="https://www.youtube.com/watch?v=6EsFfnuEY4Q" TargetMode="External"/><Relationship Id="rId1301" Type="http://schemas.openxmlformats.org/officeDocument/2006/relationships/hyperlink" Target="https://www.youtube.com/watch?v=oALmeCw-Xck&amp;ab_channel=BlazeAlt" TargetMode="External"/><Relationship Id="rId2632" Type="http://schemas.openxmlformats.org/officeDocument/2006/relationships/hyperlink" Target="https://youtu.be/AInY62IAQTE" TargetMode="External"/><Relationship Id="rId3964" Type="http://schemas.openxmlformats.org/officeDocument/2006/relationships/hyperlink" Target="https://www.twitch.tv/videos/1264996095" TargetMode="External"/><Relationship Id="rId1302" Type="http://schemas.openxmlformats.org/officeDocument/2006/relationships/hyperlink" Target="https://www.youtube.com/watch?v=kx9ezJSLXOA&amp;ab_channel=BlazeAlt" TargetMode="External"/><Relationship Id="rId2633" Type="http://schemas.openxmlformats.org/officeDocument/2006/relationships/hyperlink" Target="https://www.twitch.tv/videos/1479882506" TargetMode="External"/><Relationship Id="rId3963" Type="http://schemas.openxmlformats.org/officeDocument/2006/relationships/hyperlink" Target="https://clips.twitch.tv/SarcasticJoyousMacaroniSaltBae-7jY8PhjdTlVbfUri" TargetMode="External"/><Relationship Id="rId1303" Type="http://schemas.openxmlformats.org/officeDocument/2006/relationships/hyperlink" Target="https://www.youtube.com/watch?v=GwPcDD9i_1Q&amp;ab_channel=BlazeAlt" TargetMode="External"/><Relationship Id="rId2634" Type="http://schemas.openxmlformats.org/officeDocument/2006/relationships/hyperlink" Target="https://youtu.be/17KBVU3vyOg" TargetMode="External"/><Relationship Id="rId3966" Type="http://schemas.openxmlformats.org/officeDocument/2006/relationships/hyperlink" Target="https://youtu.be/zwrAxg51_j8" TargetMode="External"/><Relationship Id="rId1304" Type="http://schemas.openxmlformats.org/officeDocument/2006/relationships/hyperlink" Target="https://www.youtube.com/watch?v=7EPVqhntWAQ" TargetMode="External"/><Relationship Id="rId2635" Type="http://schemas.openxmlformats.org/officeDocument/2006/relationships/hyperlink" Target="https://youtu.be/f3IKwizBUj4" TargetMode="External"/><Relationship Id="rId3965" Type="http://schemas.openxmlformats.org/officeDocument/2006/relationships/hyperlink" Target="https://www.twitch.tv/videos/1252488021" TargetMode="External"/><Relationship Id="rId1305" Type="http://schemas.openxmlformats.org/officeDocument/2006/relationships/hyperlink" Target="https://www.youtube.com/watch?v=yLvwHfLwMdc&amp;ab_channel=BlazeAlt" TargetMode="External"/><Relationship Id="rId2636" Type="http://schemas.openxmlformats.org/officeDocument/2006/relationships/hyperlink" Target="https://youtu.be/Y0Oq8wetDt4" TargetMode="External"/><Relationship Id="rId3968" Type="http://schemas.openxmlformats.org/officeDocument/2006/relationships/hyperlink" Target="https://youtu.be/-EuPHAugnvU" TargetMode="External"/><Relationship Id="rId1306" Type="http://schemas.openxmlformats.org/officeDocument/2006/relationships/hyperlink" Target="https://www.youtube.com/watch?v=Smmyl_Jzd-c&amp;ab_channel=BlazeAlt" TargetMode="External"/><Relationship Id="rId2637" Type="http://schemas.openxmlformats.org/officeDocument/2006/relationships/hyperlink" Target="https://www.twitch.tv/videos/1430597394" TargetMode="External"/><Relationship Id="rId3967" Type="http://schemas.openxmlformats.org/officeDocument/2006/relationships/hyperlink" Target="https://youtu.be/lURSmO_AyEw" TargetMode="External"/><Relationship Id="rId1307" Type="http://schemas.openxmlformats.org/officeDocument/2006/relationships/hyperlink" Target="https://www.youtube.com/watch?v=dIkm3uUNvks&amp;ab_channel=BlazeAlt" TargetMode="External"/><Relationship Id="rId2638" Type="http://schemas.openxmlformats.org/officeDocument/2006/relationships/hyperlink" Target="https://youtu.be/kicCQw8zeIk" TargetMode="External"/><Relationship Id="rId1308" Type="http://schemas.openxmlformats.org/officeDocument/2006/relationships/hyperlink" Target="https://www.youtube.com/watch?v=ISYKSAQGfkw&amp;ab_channel=BlazeAlt" TargetMode="External"/><Relationship Id="rId2639" Type="http://schemas.openxmlformats.org/officeDocument/2006/relationships/hyperlink" Target="https://youtu.be/etT618o-CpA" TargetMode="External"/><Relationship Id="rId3969" Type="http://schemas.openxmlformats.org/officeDocument/2006/relationships/hyperlink" Target="https://www.youtube.com/watch?v=HDY6lt3F9Uo" TargetMode="External"/><Relationship Id="rId1309" Type="http://schemas.openxmlformats.org/officeDocument/2006/relationships/hyperlink" Target="https://www.youtube.com/watch?v=QoBS1ZT3qFQ&amp;ab_channel=BlazeAlt" TargetMode="External"/><Relationship Id="rId719" Type="http://schemas.openxmlformats.org/officeDocument/2006/relationships/hyperlink" Target="https://youtu.be/xQfvr2QXz38" TargetMode="External"/><Relationship Id="rId718" Type="http://schemas.openxmlformats.org/officeDocument/2006/relationships/hyperlink" Target="https://youtu.be/Q6MfUYaIsQ8" TargetMode="External"/><Relationship Id="rId717" Type="http://schemas.openxmlformats.org/officeDocument/2006/relationships/hyperlink" Target="https://youtu.be/lP-LYv7G--0" TargetMode="External"/><Relationship Id="rId712" Type="http://schemas.openxmlformats.org/officeDocument/2006/relationships/hyperlink" Target="https://youtu.be/MErOSUpVeaM" TargetMode="External"/><Relationship Id="rId711" Type="http://schemas.openxmlformats.org/officeDocument/2006/relationships/hyperlink" Target="https://youtu.be/QHWFfQPL9yU" TargetMode="External"/><Relationship Id="rId710" Type="http://schemas.openxmlformats.org/officeDocument/2006/relationships/hyperlink" Target="https://youtu.be/HvR_n1Qvd_s" TargetMode="External"/><Relationship Id="rId716" Type="http://schemas.openxmlformats.org/officeDocument/2006/relationships/hyperlink" Target="https://youtu.be/zAvXnSqF9Ds" TargetMode="External"/><Relationship Id="rId715" Type="http://schemas.openxmlformats.org/officeDocument/2006/relationships/hyperlink" Target="https://youtu.be/YQJv_9wRAtE" TargetMode="External"/><Relationship Id="rId714" Type="http://schemas.openxmlformats.org/officeDocument/2006/relationships/hyperlink" Target="https://youtu.be/iAe6a9Ez46A" TargetMode="External"/><Relationship Id="rId713" Type="http://schemas.openxmlformats.org/officeDocument/2006/relationships/hyperlink" Target="https://youtu.be/yLuiK1hTX4g" TargetMode="External"/><Relationship Id="rId3960" Type="http://schemas.openxmlformats.org/officeDocument/2006/relationships/hyperlink" Target="https://www.twitch.tv/videos/1230321696" TargetMode="External"/><Relationship Id="rId2630" Type="http://schemas.openxmlformats.org/officeDocument/2006/relationships/hyperlink" Target="https://youtu.be/BU6YP3UR9f8" TargetMode="External"/><Relationship Id="rId3962" Type="http://schemas.openxmlformats.org/officeDocument/2006/relationships/hyperlink" Target="https://clips.twitch.tv/UnsightlyObservantCrabsKappaClaus-1ZkgEyeYp8b3WKgQ" TargetMode="External"/><Relationship Id="rId1300" Type="http://schemas.openxmlformats.org/officeDocument/2006/relationships/hyperlink" Target="https://www.youtube.com/watch?v=EY2mhxgMouw&amp;ab_channel=BlazeAlt" TargetMode="External"/><Relationship Id="rId2631" Type="http://schemas.openxmlformats.org/officeDocument/2006/relationships/hyperlink" Target="https://youtu.be/AhdB3c3vvw8" TargetMode="External"/><Relationship Id="rId3961" Type="http://schemas.openxmlformats.org/officeDocument/2006/relationships/hyperlink" Target="https://www.twitch.tv/videos/1224432075" TargetMode="External"/><Relationship Id="rId3117" Type="http://schemas.openxmlformats.org/officeDocument/2006/relationships/hyperlink" Target="https://clips.twitch.tv/TolerantTubularHabaneroFloof-VQVNqY6q6Oep1Vi1" TargetMode="External"/><Relationship Id="rId3116" Type="http://schemas.openxmlformats.org/officeDocument/2006/relationships/hyperlink" Target="https://clips.twitch.tv/CalmArborealJayChefFrank-wThatWbLlJdW3vPM" TargetMode="External"/><Relationship Id="rId3119" Type="http://schemas.openxmlformats.org/officeDocument/2006/relationships/hyperlink" Target="https://youtu.be/QmMhiRc3TJs" TargetMode="External"/><Relationship Id="rId3118" Type="http://schemas.openxmlformats.org/officeDocument/2006/relationships/hyperlink" Target="https://clips.twitch.tv/AverageTemperedNoodleFutureMan-_gVLeLrIzMbDMuN5" TargetMode="External"/><Relationship Id="rId3111" Type="http://schemas.openxmlformats.org/officeDocument/2006/relationships/hyperlink" Target="https://youtu.be/aUjlD_1SEn8" TargetMode="External"/><Relationship Id="rId3110" Type="http://schemas.openxmlformats.org/officeDocument/2006/relationships/hyperlink" Target="https://youtu.be/hWDVYv-UnjY" TargetMode="External"/><Relationship Id="rId3113" Type="http://schemas.openxmlformats.org/officeDocument/2006/relationships/hyperlink" Target="https://youtu.be/ixt4mhRLGe4" TargetMode="External"/><Relationship Id="rId3112" Type="http://schemas.openxmlformats.org/officeDocument/2006/relationships/hyperlink" Target="https://youtu.be/i1Ebe_5XOxY" TargetMode="External"/><Relationship Id="rId3115" Type="http://schemas.openxmlformats.org/officeDocument/2006/relationships/hyperlink" Target="https://clips.twitch.tv/CourteousFlirtyGoblinHassaanChop-Jl8upbEbaAiCMr8b" TargetMode="External"/><Relationship Id="rId3114" Type="http://schemas.openxmlformats.org/officeDocument/2006/relationships/hyperlink" Target="https://clips.twitch.tv/NurturingDeafWoodcockBIRB-qW-4AqWmkvTAsNVq" TargetMode="External"/><Relationship Id="rId3106" Type="http://schemas.openxmlformats.org/officeDocument/2006/relationships/hyperlink" Target="https://clips.twitch.tv/PricklyAbstruseMangoEleGiggle" TargetMode="External"/><Relationship Id="rId3105" Type="http://schemas.openxmlformats.org/officeDocument/2006/relationships/hyperlink" Target="https://youtu.be/ItBrVNSktmo" TargetMode="External"/><Relationship Id="rId3108" Type="http://schemas.openxmlformats.org/officeDocument/2006/relationships/hyperlink" Target="https://youtu.be/yr_fODWKb4I" TargetMode="External"/><Relationship Id="rId3107" Type="http://schemas.openxmlformats.org/officeDocument/2006/relationships/hyperlink" Target="https://www.youtube.com/watch?v=kDeufBKsOAU" TargetMode="External"/><Relationship Id="rId3109" Type="http://schemas.openxmlformats.org/officeDocument/2006/relationships/hyperlink" Target="https://youtu.be/YMIhOgmmF3o" TargetMode="External"/><Relationship Id="rId3100" Type="http://schemas.openxmlformats.org/officeDocument/2006/relationships/hyperlink" Target="https://youtu.be/Us9T8WWTGj0" TargetMode="External"/><Relationship Id="rId3102" Type="http://schemas.openxmlformats.org/officeDocument/2006/relationships/hyperlink" Target="https://youtu.be/OAme1dyHAjY" TargetMode="External"/><Relationship Id="rId3101" Type="http://schemas.openxmlformats.org/officeDocument/2006/relationships/hyperlink" Target="https://youtu.be/OsZuBiufTYs" TargetMode="External"/><Relationship Id="rId3104" Type="http://schemas.openxmlformats.org/officeDocument/2006/relationships/hyperlink" Target="https://youtu.be/N_eafUtJ3F8" TargetMode="External"/><Relationship Id="rId3103" Type="http://schemas.openxmlformats.org/officeDocument/2006/relationships/hyperlink" Target="https://clips.twitch.tv/AbrasiveHonestOrangeChefFrank-j8cDNyhsaAF9Icmr" TargetMode="External"/><Relationship Id="rId3139" Type="http://schemas.openxmlformats.org/officeDocument/2006/relationships/hyperlink" Target="https://www.twitch.tv/videos/1011472618" TargetMode="External"/><Relationship Id="rId3138" Type="http://schemas.openxmlformats.org/officeDocument/2006/relationships/hyperlink" Target="https://clips.twitch.tv/SleepyMoralDogeDuDudu-Y_xr_ueYZqGH7D_Z" TargetMode="External"/><Relationship Id="rId3131" Type="http://schemas.openxmlformats.org/officeDocument/2006/relationships/hyperlink" Target="https://clips.twitch.tv/GentleNurturingTaroStinkyCheese-9V_4eUy0yyQSX58D" TargetMode="External"/><Relationship Id="rId3130" Type="http://schemas.openxmlformats.org/officeDocument/2006/relationships/hyperlink" Target="https://clips.twitch.tv/CrispySwissSkunkBatChest-y0rF0fHrJQEZNKn2" TargetMode="External"/><Relationship Id="rId3133" Type="http://schemas.openxmlformats.org/officeDocument/2006/relationships/hyperlink" Target="https://clips.twitch.tv/UnusualCooperativeFerretYouWHY-bBNeMoXxZGJzEQus" TargetMode="External"/><Relationship Id="rId3132" Type="http://schemas.openxmlformats.org/officeDocument/2006/relationships/hyperlink" Target="https://www.twitch.tv/videos/1208373209" TargetMode="External"/><Relationship Id="rId3135" Type="http://schemas.openxmlformats.org/officeDocument/2006/relationships/hyperlink" Target="https://clips.twitch.tv/UgliestGoodCasetteRedCoat-1P1yZwQfLboRz9C7" TargetMode="External"/><Relationship Id="rId3134" Type="http://schemas.openxmlformats.org/officeDocument/2006/relationships/hyperlink" Target="https://clips.twitch.tv/BashfulBumblingGuanacoPastaThat-z5cyWFvHAyO-9oOq" TargetMode="External"/><Relationship Id="rId3137" Type="http://schemas.openxmlformats.org/officeDocument/2006/relationships/hyperlink" Target="https://clips.twitch.tv/CheerfulVibrantSardineM4xHeh-_0MBEMmJtPaD7FKp" TargetMode="External"/><Relationship Id="rId3136" Type="http://schemas.openxmlformats.org/officeDocument/2006/relationships/hyperlink" Target="https://clips.twitch.tv/GeniusCuriousBeeFloof-wUpHUgAU3iHCY-pW" TargetMode="External"/><Relationship Id="rId3128" Type="http://schemas.openxmlformats.org/officeDocument/2006/relationships/hyperlink" Target="https://clips.twitch.tv/PopularCrowdedAniseSSSsss-X8fwlzMOHVsqztE1" TargetMode="External"/><Relationship Id="rId3127" Type="http://schemas.openxmlformats.org/officeDocument/2006/relationships/hyperlink" Target="https://www.twitch.tv/videos/1252282582" TargetMode="External"/><Relationship Id="rId3129" Type="http://schemas.openxmlformats.org/officeDocument/2006/relationships/hyperlink" Target="https://clips.twitch.tv/MagnificentSuccessfulSnoodWutFace-QhoH5irvAm5q48Xt" TargetMode="External"/><Relationship Id="rId3120" Type="http://schemas.openxmlformats.org/officeDocument/2006/relationships/hyperlink" Target="https://youtu.be/OGwS8wf3PwI" TargetMode="External"/><Relationship Id="rId3122" Type="http://schemas.openxmlformats.org/officeDocument/2006/relationships/hyperlink" Target="https://youtu.be/01y64a7M2G8" TargetMode="External"/><Relationship Id="rId3121" Type="http://schemas.openxmlformats.org/officeDocument/2006/relationships/hyperlink" Target="https://youtu.be/AN8TAOiDrSg" TargetMode="External"/><Relationship Id="rId3124" Type="http://schemas.openxmlformats.org/officeDocument/2006/relationships/hyperlink" Target="https://youtu.be/SBnH1_4qsD4" TargetMode="External"/><Relationship Id="rId3123" Type="http://schemas.openxmlformats.org/officeDocument/2006/relationships/hyperlink" Target="https://youtu.be/oa8lLdUH5mo" TargetMode="External"/><Relationship Id="rId3126" Type="http://schemas.openxmlformats.org/officeDocument/2006/relationships/hyperlink" Target="https://clips.twitch.tv/CuteSneakyAlfalfaTheThing-iXlaNo_eDeWR9qah" TargetMode="External"/><Relationship Id="rId3125" Type="http://schemas.openxmlformats.org/officeDocument/2006/relationships/hyperlink" Target="https://youtu.be/VtDkTt7K0Ww" TargetMode="External"/><Relationship Id="rId1378" Type="http://schemas.openxmlformats.org/officeDocument/2006/relationships/hyperlink" Target="https://www.youtube.com/watch?v=0rNMMEvvS8o&amp;ab_channel=SMSArchives" TargetMode="External"/><Relationship Id="rId1379" Type="http://schemas.openxmlformats.org/officeDocument/2006/relationships/hyperlink" Target="https://www.youtube.com/watch?v=xvq_wGU1zEQ&amp;feature=youtu.be&amp;ab_channel=SMSArchives" TargetMode="External"/><Relationship Id="rId789" Type="http://schemas.openxmlformats.org/officeDocument/2006/relationships/hyperlink" Target="https://x.com/inkstarLum/status/1807638624764129443" TargetMode="External"/><Relationship Id="rId788" Type="http://schemas.openxmlformats.org/officeDocument/2006/relationships/hyperlink" Target="https://www.twitch.tv/videos/2806433238" TargetMode="External"/><Relationship Id="rId787" Type="http://schemas.openxmlformats.org/officeDocument/2006/relationships/hyperlink" Target="https://youtu.be/vIUdNaFcx18" TargetMode="External"/><Relationship Id="rId786" Type="http://schemas.openxmlformats.org/officeDocument/2006/relationships/hyperlink" Target="https://youtu.be/6iVGtz8DKaE" TargetMode="External"/><Relationship Id="rId781" Type="http://schemas.openxmlformats.org/officeDocument/2006/relationships/hyperlink" Target="https://youtu.be/cg5uwoWfURQ" TargetMode="External"/><Relationship Id="rId1370" Type="http://schemas.openxmlformats.org/officeDocument/2006/relationships/hyperlink" Target="https://www.youtube.com/watch?v=GkybNA1iEtg&amp;ab_channel=SMSArchives" TargetMode="External"/><Relationship Id="rId780" Type="http://schemas.openxmlformats.org/officeDocument/2006/relationships/hyperlink" Target="https://youtu.be/dtvyXfFTuuY" TargetMode="External"/><Relationship Id="rId1371" Type="http://schemas.openxmlformats.org/officeDocument/2006/relationships/hyperlink" Target="https://www.youtube.com/watch?v=NEU578qlehg&amp;feature=youtu.be&amp;ab_channel=SMSArchives" TargetMode="External"/><Relationship Id="rId1372" Type="http://schemas.openxmlformats.org/officeDocument/2006/relationships/hyperlink" Target="https://www.youtube.com/watch?v=MJxMBvYmEtM&amp;ab_channel=SMSArchives" TargetMode="External"/><Relationship Id="rId1373" Type="http://schemas.openxmlformats.org/officeDocument/2006/relationships/hyperlink" Target="https://www.youtube.com/watch?v=JWcOJ0vldJ0&amp;ab_channel=SMSArchives" TargetMode="External"/><Relationship Id="rId785" Type="http://schemas.openxmlformats.org/officeDocument/2006/relationships/hyperlink" Target="https://youtu.be/C_te37mNXH8" TargetMode="External"/><Relationship Id="rId1374" Type="http://schemas.openxmlformats.org/officeDocument/2006/relationships/hyperlink" Target="https://www.youtube.com/watch?v=rOvFWD2CPwA&amp;feature=youtu.be&amp;ab_channel=SMSArchives" TargetMode="External"/><Relationship Id="rId784" Type="http://schemas.openxmlformats.org/officeDocument/2006/relationships/hyperlink" Target="https://youtu.be/k1QHkUSMwsc" TargetMode="External"/><Relationship Id="rId1375" Type="http://schemas.openxmlformats.org/officeDocument/2006/relationships/hyperlink" Target="https://www.youtube.com/watch?v=teLggTViNew&amp;feature=youtu.be&amp;ab_channel=SMSArchives" TargetMode="External"/><Relationship Id="rId783" Type="http://schemas.openxmlformats.org/officeDocument/2006/relationships/hyperlink" Target="https://youtu.be/6vaydf2PmLA" TargetMode="External"/><Relationship Id="rId1376" Type="http://schemas.openxmlformats.org/officeDocument/2006/relationships/hyperlink" Target="https://www.youtube.com/watch?v=aosbwsVIz4Y&amp;ab_channel=SMSArchives" TargetMode="External"/><Relationship Id="rId782" Type="http://schemas.openxmlformats.org/officeDocument/2006/relationships/hyperlink" Target="https://youtu.be/OvW9VYHZHGM" TargetMode="External"/><Relationship Id="rId1377" Type="http://schemas.openxmlformats.org/officeDocument/2006/relationships/hyperlink" Target="https://www.youtube.com/watch?v=YVTtTIgWfxk&amp;feature=youtu.be&amp;ab_channel=SMSArchives" TargetMode="External"/><Relationship Id="rId1367" Type="http://schemas.openxmlformats.org/officeDocument/2006/relationships/hyperlink" Target="https://www.youtube.com/watch?v=msZ2F2DdxrY&amp;ab_channel=SMSArchives" TargetMode="External"/><Relationship Id="rId2698" Type="http://schemas.openxmlformats.org/officeDocument/2006/relationships/hyperlink" Target="https://youtu.be/htEb-RMccmU" TargetMode="External"/><Relationship Id="rId1368" Type="http://schemas.openxmlformats.org/officeDocument/2006/relationships/hyperlink" Target="https://www.youtube.com/watch?v=gqshZXvZtfg&amp;ab_channel=SMSArchives" TargetMode="External"/><Relationship Id="rId2699" Type="http://schemas.openxmlformats.org/officeDocument/2006/relationships/hyperlink" Target="https://youtu.be/2F5RYgd9xUo" TargetMode="External"/><Relationship Id="rId1369" Type="http://schemas.openxmlformats.org/officeDocument/2006/relationships/hyperlink" Target="https://www.youtube.com/watch?v=aVL4ANwDewM&amp;feature=youtu.be&amp;ab_channel=SMSArchives" TargetMode="External"/><Relationship Id="rId778" Type="http://schemas.openxmlformats.org/officeDocument/2006/relationships/hyperlink" Target="https://youtu.be/4J-qB6cVP5E" TargetMode="External"/><Relationship Id="rId777" Type="http://schemas.openxmlformats.org/officeDocument/2006/relationships/hyperlink" Target="https://youtu.be/Kk8g_-PNVdk" TargetMode="External"/><Relationship Id="rId776" Type="http://schemas.openxmlformats.org/officeDocument/2006/relationships/hyperlink" Target="https://youtu.be/DTJHzK_x_Nk" TargetMode="External"/><Relationship Id="rId775" Type="http://schemas.openxmlformats.org/officeDocument/2006/relationships/hyperlink" Target="https://youtu.be/7Mhgn15Ov0o" TargetMode="External"/><Relationship Id="rId779" Type="http://schemas.openxmlformats.org/officeDocument/2006/relationships/hyperlink" Target="https://youtu.be/fhukxtokYnM" TargetMode="External"/><Relationship Id="rId770" Type="http://schemas.openxmlformats.org/officeDocument/2006/relationships/hyperlink" Target="https://youtu.be/5M9BYr-7SRo" TargetMode="External"/><Relationship Id="rId2690" Type="http://schemas.openxmlformats.org/officeDocument/2006/relationships/hyperlink" Target="https://youtu.be/9ZLF3U9S0ek" TargetMode="External"/><Relationship Id="rId1360" Type="http://schemas.openxmlformats.org/officeDocument/2006/relationships/hyperlink" Target="https://www.youtube.com/watch?v=uEV6jZxPnCI&amp;feature=youtu.be&amp;ab_channel=SMSArchives" TargetMode="External"/><Relationship Id="rId2691" Type="http://schemas.openxmlformats.org/officeDocument/2006/relationships/hyperlink" Target="https://youtu.be/zjp0lNruRXg" TargetMode="External"/><Relationship Id="rId1361" Type="http://schemas.openxmlformats.org/officeDocument/2006/relationships/hyperlink" Target="https://www.youtube.com/watch?v=uEV6jZxPnCI&amp;feature=youtu.be&amp;ab_channel=SMSArchives" TargetMode="External"/><Relationship Id="rId2692" Type="http://schemas.openxmlformats.org/officeDocument/2006/relationships/hyperlink" Target="https://youtu.be/Fd8XN26vOFE" TargetMode="External"/><Relationship Id="rId1362" Type="http://schemas.openxmlformats.org/officeDocument/2006/relationships/hyperlink" Target="https://www.youtube.com/watch?v=7W7sj5qyV4A&amp;feature=youtu.be&amp;ab_channel=SMSArchives" TargetMode="External"/><Relationship Id="rId2693" Type="http://schemas.openxmlformats.org/officeDocument/2006/relationships/hyperlink" Target="https://youtu.be/poDJMF6bwDc" TargetMode="External"/><Relationship Id="rId774" Type="http://schemas.openxmlformats.org/officeDocument/2006/relationships/hyperlink" Target="https://youtu.be/Tnmwhrjlqgo" TargetMode="External"/><Relationship Id="rId1363" Type="http://schemas.openxmlformats.org/officeDocument/2006/relationships/hyperlink" Target="https://www.youtube.com/watch?v=8Nir6hwwJgQ&amp;ab_channel=SMSArchives" TargetMode="External"/><Relationship Id="rId2694" Type="http://schemas.openxmlformats.org/officeDocument/2006/relationships/hyperlink" Target="https://youtu.be/B3nzsJTZgr8" TargetMode="External"/><Relationship Id="rId773" Type="http://schemas.openxmlformats.org/officeDocument/2006/relationships/hyperlink" Target="https://youtu.be/wJXpqcpjJlw" TargetMode="External"/><Relationship Id="rId1364" Type="http://schemas.openxmlformats.org/officeDocument/2006/relationships/hyperlink" Target="https://www.youtube.com/watch?v=NPtPk01dML0&amp;ab_channel=SMSArchives" TargetMode="External"/><Relationship Id="rId2695" Type="http://schemas.openxmlformats.org/officeDocument/2006/relationships/hyperlink" Target="https://youtu.be/Xyz85UM81Zw" TargetMode="External"/><Relationship Id="rId772" Type="http://schemas.openxmlformats.org/officeDocument/2006/relationships/hyperlink" Target="https://www.youtube.com/watch?v=uT1YTPstKVI&amp;ab_channel=SMSArchives" TargetMode="External"/><Relationship Id="rId1365" Type="http://schemas.openxmlformats.org/officeDocument/2006/relationships/hyperlink" Target="https://www.youtube.com/watch?v=3j8z7Ptihz4&amp;feature=youtu.be&amp;ab_channel=SMSArchives" TargetMode="External"/><Relationship Id="rId2696" Type="http://schemas.openxmlformats.org/officeDocument/2006/relationships/hyperlink" Target="https://youtu.be/TKK51XFEscs" TargetMode="External"/><Relationship Id="rId771" Type="http://schemas.openxmlformats.org/officeDocument/2006/relationships/hyperlink" Target="https://youtu.be/xgJaj07Wfoc" TargetMode="External"/><Relationship Id="rId1366" Type="http://schemas.openxmlformats.org/officeDocument/2006/relationships/hyperlink" Target="https://www.youtube.com/watch?v=BaXxXV3Wxd0&amp;ab_channel=SMSArchives" TargetMode="External"/><Relationship Id="rId2697" Type="http://schemas.openxmlformats.org/officeDocument/2006/relationships/hyperlink" Target="https://youtu.be/iHqTUgA610c" TargetMode="External"/><Relationship Id="rId1390" Type="http://schemas.openxmlformats.org/officeDocument/2006/relationships/hyperlink" Target="https://www.youtube.com/watch?v=ntsKf616jnE&amp;feature=youtu.be&amp;ab_channel=SMSArchives" TargetMode="External"/><Relationship Id="rId1391" Type="http://schemas.openxmlformats.org/officeDocument/2006/relationships/hyperlink" Target="https://www.youtube.com/watch?v=3zFeSOccigA&amp;ab_channel=SMSArchives" TargetMode="External"/><Relationship Id="rId1392" Type="http://schemas.openxmlformats.org/officeDocument/2006/relationships/hyperlink" Target="https://www.youtube.com/watch?v=kdV-eqeId6I&amp;ab_channel=SMSArchives" TargetMode="External"/><Relationship Id="rId1393" Type="http://schemas.openxmlformats.org/officeDocument/2006/relationships/hyperlink" Target="https://www.youtube.com/watch?v=8OQx1VeWjLM&amp;feature=youtu.be&amp;ab_channel=SMSArchives" TargetMode="External"/><Relationship Id="rId1394" Type="http://schemas.openxmlformats.org/officeDocument/2006/relationships/hyperlink" Target="https://clips.twitch.tv/MiniaturePuzzledMagpiePoooound" TargetMode="External"/><Relationship Id="rId1395" Type="http://schemas.openxmlformats.org/officeDocument/2006/relationships/hyperlink" Target="https://youtu.be/zS-Q9egIU-w" TargetMode="External"/><Relationship Id="rId1396" Type="http://schemas.openxmlformats.org/officeDocument/2006/relationships/hyperlink" Target="https://www.youtube.com/watch?v=n6Rc-LHoudU" TargetMode="External"/><Relationship Id="rId1397" Type="http://schemas.openxmlformats.org/officeDocument/2006/relationships/hyperlink" Target="https://clips.twitch.tv/SullenSpoopyMeerkatResidentSleeper" TargetMode="External"/><Relationship Id="rId1398" Type="http://schemas.openxmlformats.org/officeDocument/2006/relationships/hyperlink" Target="https://clips.twitch.tv/ObliviousFuriousStarlingBIRB-PTq_Qfg3jVtJ7RJQ" TargetMode="External"/><Relationship Id="rId1399" Type="http://schemas.openxmlformats.org/officeDocument/2006/relationships/hyperlink" Target="https://www.youtube.com/watch?v=KFESDl87V_w" TargetMode="External"/><Relationship Id="rId1389" Type="http://schemas.openxmlformats.org/officeDocument/2006/relationships/hyperlink" Target="https://www.youtube.com/watch?v=roI8pywi-cw&amp;feature=youtu.be&amp;ab_channel=SMSArchives" TargetMode="External"/><Relationship Id="rId799" Type="http://schemas.openxmlformats.org/officeDocument/2006/relationships/hyperlink" Target="https://youtu.be/qjMnjzLDYR0" TargetMode="External"/><Relationship Id="rId798" Type="http://schemas.openxmlformats.org/officeDocument/2006/relationships/hyperlink" Target="https://youtu.be/pHGSEI_rz3E" TargetMode="External"/><Relationship Id="rId797" Type="http://schemas.openxmlformats.org/officeDocument/2006/relationships/hyperlink" Target="https://clips.twitch.tv/AbrasiveBeautifulPlumberDogFace-EKUS3NtjN0l1wHAp" TargetMode="External"/><Relationship Id="rId1380" Type="http://schemas.openxmlformats.org/officeDocument/2006/relationships/hyperlink" Target="https://www.youtube.com/watch?v=obL2P7UQY4U&amp;feature=youtu.be&amp;ab_channel=SMSArchives" TargetMode="External"/><Relationship Id="rId792" Type="http://schemas.openxmlformats.org/officeDocument/2006/relationships/hyperlink" Target="https://www.twitch.tv/videos/2411306771" TargetMode="External"/><Relationship Id="rId1381" Type="http://schemas.openxmlformats.org/officeDocument/2006/relationships/hyperlink" Target="https://www.youtube.com/watch?v=_PfYAzurAI4&amp;feature=youtu.be&amp;ab_channel=SMSArchives" TargetMode="External"/><Relationship Id="rId791" Type="http://schemas.openxmlformats.org/officeDocument/2006/relationships/hyperlink" Target="https://x.com/inkstarLum/status/1768510254525112491?s=20" TargetMode="External"/><Relationship Id="rId1382" Type="http://schemas.openxmlformats.org/officeDocument/2006/relationships/hyperlink" Target="https://www.youtube.com/watch?v=eYpG_iVMffo&amp;ab_channel=SMSArchives" TargetMode="External"/><Relationship Id="rId790" Type="http://schemas.openxmlformats.org/officeDocument/2006/relationships/hyperlink" Target="https://youtu.be/WLTRabK2q5E" TargetMode="External"/><Relationship Id="rId1383" Type="http://schemas.openxmlformats.org/officeDocument/2006/relationships/hyperlink" Target="https://www.youtube.com/watch?v=5QJU66OmfuU&amp;feature=youtu.be&amp;ab_channel=SMSArchives" TargetMode="External"/><Relationship Id="rId1384" Type="http://schemas.openxmlformats.org/officeDocument/2006/relationships/hyperlink" Target="https://www.youtube.com/watch?v=mZSLWIt5toU&amp;ab_channel=SMSArchives" TargetMode="External"/><Relationship Id="rId796" Type="http://schemas.openxmlformats.org/officeDocument/2006/relationships/hyperlink" Target="https://www.twitch.tv/inkstar/clip/SourOriginalJackalFutureMan-H82AohFAE9EM9Coi" TargetMode="External"/><Relationship Id="rId1385" Type="http://schemas.openxmlformats.org/officeDocument/2006/relationships/hyperlink" Target="https://www.youtube.com/watch?v=jIAKd6pqTdA&amp;ab_channel=SMSArchives" TargetMode="External"/><Relationship Id="rId795" Type="http://schemas.openxmlformats.org/officeDocument/2006/relationships/hyperlink" Target="https://youtu.be/WMDXHBrBqb8" TargetMode="External"/><Relationship Id="rId1386" Type="http://schemas.openxmlformats.org/officeDocument/2006/relationships/hyperlink" Target="https://www.youtube.com/watch?v=TKPLDTMmTGk&amp;feature=youtu.be&amp;ab_channel=SMSArchives" TargetMode="External"/><Relationship Id="rId794" Type="http://schemas.openxmlformats.org/officeDocument/2006/relationships/hyperlink" Target="https://clips.twitch.tv/AnimatedBoxyKittenTBCheesePull-0UHkbWxTomWj3w1z" TargetMode="External"/><Relationship Id="rId1387" Type="http://schemas.openxmlformats.org/officeDocument/2006/relationships/hyperlink" Target="https://www.youtube.com/watch?v=ExZdjhevTIQ&amp;feature=youtu.be&amp;ab_channel=SMSArchives" TargetMode="External"/><Relationship Id="rId793" Type="http://schemas.openxmlformats.org/officeDocument/2006/relationships/hyperlink" Target="https://x.com/NoVidNoDidNoVid/status/1814807211488784630" TargetMode="External"/><Relationship Id="rId1388" Type="http://schemas.openxmlformats.org/officeDocument/2006/relationships/hyperlink" Target="https://www.youtube.com/watch?v=qRC4PkaEpAY&amp;feature=youtu.be&amp;ab_channel=SMSArchives" TargetMode="External"/><Relationship Id="rId3191" Type="http://schemas.openxmlformats.org/officeDocument/2006/relationships/hyperlink" Target="https://youtu.be/Wh0PiWdcdO8" TargetMode="External"/><Relationship Id="rId3190" Type="http://schemas.openxmlformats.org/officeDocument/2006/relationships/hyperlink" Target="https://youtu.be/FX3sCjSeE_o" TargetMode="External"/><Relationship Id="rId3193" Type="http://schemas.openxmlformats.org/officeDocument/2006/relationships/hyperlink" Target="https://youtu.be/h4hEoYBsvtw" TargetMode="External"/><Relationship Id="rId3192" Type="http://schemas.openxmlformats.org/officeDocument/2006/relationships/hyperlink" Target="https://youtu.be/OXWCYtAuHCc" TargetMode="External"/><Relationship Id="rId3195" Type="http://schemas.openxmlformats.org/officeDocument/2006/relationships/hyperlink" Target="https://youtu.be/7AQWRYux8PE" TargetMode="External"/><Relationship Id="rId3194" Type="http://schemas.openxmlformats.org/officeDocument/2006/relationships/hyperlink" Target="https://youtu.be/u1o--hzlyjU" TargetMode="External"/><Relationship Id="rId3197" Type="http://schemas.openxmlformats.org/officeDocument/2006/relationships/hyperlink" Target="https://youtu.be/StU5PipHn_M" TargetMode="External"/><Relationship Id="rId3196" Type="http://schemas.openxmlformats.org/officeDocument/2006/relationships/hyperlink" Target="https://youtu.be/6Gihf30Odtc" TargetMode="External"/><Relationship Id="rId3199" Type="http://schemas.openxmlformats.org/officeDocument/2006/relationships/hyperlink" Target="https://youtu.be/ZD0CMju73nU" TargetMode="External"/><Relationship Id="rId3198" Type="http://schemas.openxmlformats.org/officeDocument/2006/relationships/hyperlink" Target="https://youtu.be/c36kW3uIxsg" TargetMode="External"/><Relationship Id="rId3180" Type="http://schemas.openxmlformats.org/officeDocument/2006/relationships/hyperlink" Target="https://clips.twitch.tv/IronicSmallBaconPastaThat" TargetMode="External"/><Relationship Id="rId3182" Type="http://schemas.openxmlformats.org/officeDocument/2006/relationships/hyperlink" Target="https://youtu.be/wT9TpExoWKc" TargetMode="External"/><Relationship Id="rId3181" Type="http://schemas.openxmlformats.org/officeDocument/2006/relationships/hyperlink" Target="https://youtu.be/ETwbMGnjhUs" TargetMode="External"/><Relationship Id="rId3184" Type="http://schemas.openxmlformats.org/officeDocument/2006/relationships/hyperlink" Target="https://youtu.be/qr647GdRJBc" TargetMode="External"/><Relationship Id="rId3183" Type="http://schemas.openxmlformats.org/officeDocument/2006/relationships/hyperlink" Target="https://youtu.be/nNaIS70Vl_I" TargetMode="External"/><Relationship Id="rId3186" Type="http://schemas.openxmlformats.org/officeDocument/2006/relationships/hyperlink" Target="https://youtu.be/ubHiXNrq-OM" TargetMode="External"/><Relationship Id="rId3185" Type="http://schemas.openxmlformats.org/officeDocument/2006/relationships/hyperlink" Target="https://youtu.be/hjwdmmdBQQ0" TargetMode="External"/><Relationship Id="rId3188" Type="http://schemas.openxmlformats.org/officeDocument/2006/relationships/hyperlink" Target="https://clips.twitch.tv/HotKnottyTurnipDerp" TargetMode="External"/><Relationship Id="rId3187" Type="http://schemas.openxmlformats.org/officeDocument/2006/relationships/hyperlink" Target="https://youtu.be/jUYJKy7kPJM" TargetMode="External"/><Relationship Id="rId3189" Type="http://schemas.openxmlformats.org/officeDocument/2006/relationships/hyperlink" Target="https://youtu.be/sgGbpZD7NYE" TargetMode="External"/><Relationship Id="rId3151" Type="http://schemas.openxmlformats.org/officeDocument/2006/relationships/hyperlink" Target="https://www.youtube.com/watch?v=4xRCkacQ3yU" TargetMode="External"/><Relationship Id="rId3150" Type="http://schemas.openxmlformats.org/officeDocument/2006/relationships/hyperlink" Target="https://youtu.be/6vCOFCB3Ffw" TargetMode="External"/><Relationship Id="rId3153" Type="http://schemas.openxmlformats.org/officeDocument/2006/relationships/hyperlink" Target="https://youtu.be/IQe3b27CW74" TargetMode="External"/><Relationship Id="rId3152" Type="http://schemas.openxmlformats.org/officeDocument/2006/relationships/hyperlink" Target="https://youtu.be/tkGTKD19NpU" TargetMode="External"/><Relationship Id="rId3155" Type="http://schemas.openxmlformats.org/officeDocument/2006/relationships/hyperlink" Target="https://youtu.be/1P2ntoFf21s" TargetMode="External"/><Relationship Id="rId3154" Type="http://schemas.openxmlformats.org/officeDocument/2006/relationships/hyperlink" Target="https://www.twitch.tv/videos/1066268738" TargetMode="External"/><Relationship Id="rId3157" Type="http://schemas.openxmlformats.org/officeDocument/2006/relationships/hyperlink" Target="https://clips.twitch.tv/WanderingConcernedSnailBloodTrail-QHkJlgTjCL40IQXI" TargetMode="External"/><Relationship Id="rId3156" Type="http://schemas.openxmlformats.org/officeDocument/2006/relationships/hyperlink" Target="https://youtu.be/qFIl_UHXJ1E" TargetMode="External"/><Relationship Id="rId3159" Type="http://schemas.openxmlformats.org/officeDocument/2006/relationships/hyperlink" Target="https://www.youtube.com/watch?v=RJ0DSI0rRFQ" TargetMode="External"/><Relationship Id="rId3158" Type="http://schemas.openxmlformats.org/officeDocument/2006/relationships/hyperlink" Target="https://youtu.be/ZAZFU88_2tQ" TargetMode="External"/><Relationship Id="rId3149" Type="http://schemas.openxmlformats.org/officeDocument/2006/relationships/hyperlink" Target="https://youtu.be/qi8tsybPAag" TargetMode="External"/><Relationship Id="rId3140" Type="http://schemas.openxmlformats.org/officeDocument/2006/relationships/hyperlink" Target="https://www.twitch.tv/videos/1015265953" TargetMode="External"/><Relationship Id="rId3142" Type="http://schemas.openxmlformats.org/officeDocument/2006/relationships/hyperlink" Target="https://clips.twitch.tv/FitPrettyHerdBibleThump-vDZWtqjwrPASP1r-" TargetMode="External"/><Relationship Id="rId3141" Type="http://schemas.openxmlformats.org/officeDocument/2006/relationships/hyperlink" Target="https://www.twitch.tv/videos/918236232" TargetMode="External"/><Relationship Id="rId3144" Type="http://schemas.openxmlformats.org/officeDocument/2006/relationships/hyperlink" Target="https://youtu.be/Ngat0aiNqB8" TargetMode="External"/><Relationship Id="rId3143" Type="http://schemas.openxmlformats.org/officeDocument/2006/relationships/hyperlink" Target="https://clips.twitch.tv/CooperativeToughClamKeyboardCat-WMqqrTRLaI53Tf0e" TargetMode="External"/><Relationship Id="rId3146" Type="http://schemas.openxmlformats.org/officeDocument/2006/relationships/hyperlink" Target="https://clips.twitch.tv/TangentialPrettyMartenFUNgineer-JujlITh1bGg2iakw" TargetMode="External"/><Relationship Id="rId3145" Type="http://schemas.openxmlformats.org/officeDocument/2006/relationships/hyperlink" Target="https://www.twitch.tv/videos/1676931693" TargetMode="External"/><Relationship Id="rId3148" Type="http://schemas.openxmlformats.org/officeDocument/2006/relationships/hyperlink" Target="https://www.youtube.com/watch?v=RWYJCk_yCAU" TargetMode="External"/><Relationship Id="rId3147" Type="http://schemas.openxmlformats.org/officeDocument/2006/relationships/hyperlink" Target="https://clips.twitch.tv/DirtyRenownedSnailJonCarnage-vZ4T4UskQ8t0-qTx" TargetMode="External"/><Relationship Id="rId3171" Type="http://schemas.openxmlformats.org/officeDocument/2006/relationships/hyperlink" Target="https://youtu.be/58eP_cmK3YQ" TargetMode="External"/><Relationship Id="rId3170" Type="http://schemas.openxmlformats.org/officeDocument/2006/relationships/hyperlink" Target="https://clips.twitch.tv/ShyReliableSardineJKanStyle-c_PKpvtmTIXWFn94" TargetMode="External"/><Relationship Id="rId3173" Type="http://schemas.openxmlformats.org/officeDocument/2006/relationships/hyperlink" Target="https://youtu.be/9ShLlVG0pfc" TargetMode="External"/><Relationship Id="rId3172" Type="http://schemas.openxmlformats.org/officeDocument/2006/relationships/hyperlink" Target="https://youtu.be/Joa1eB6_E5o" TargetMode="External"/><Relationship Id="rId3175" Type="http://schemas.openxmlformats.org/officeDocument/2006/relationships/hyperlink" Target="https://youtu.be/Wfq4ZAr7ero" TargetMode="External"/><Relationship Id="rId3174" Type="http://schemas.openxmlformats.org/officeDocument/2006/relationships/hyperlink" Target="https://youtu.be/ZpziCD-3Ssg" TargetMode="External"/><Relationship Id="rId3177" Type="http://schemas.openxmlformats.org/officeDocument/2006/relationships/hyperlink" Target="https://youtu.be/ZZg3OSmQkzw" TargetMode="External"/><Relationship Id="rId3176" Type="http://schemas.openxmlformats.org/officeDocument/2006/relationships/hyperlink" Target="https://youtu.be/gzdnV0_HfsY" TargetMode="External"/><Relationship Id="rId3179" Type="http://schemas.openxmlformats.org/officeDocument/2006/relationships/hyperlink" Target="https://youtu.be/TmQAiow0Rnw" TargetMode="External"/><Relationship Id="rId3178" Type="http://schemas.openxmlformats.org/officeDocument/2006/relationships/hyperlink" Target="https://youtu.be/ioQWDuOmghs" TargetMode="External"/><Relationship Id="rId3160" Type="http://schemas.openxmlformats.org/officeDocument/2006/relationships/hyperlink" Target="https://www.youtube.com/watch?v=CyEeG21zo3w" TargetMode="External"/><Relationship Id="rId3162" Type="http://schemas.openxmlformats.org/officeDocument/2006/relationships/hyperlink" Target="https://www.twitch.tv/videos/1755175101" TargetMode="External"/><Relationship Id="rId3161" Type="http://schemas.openxmlformats.org/officeDocument/2006/relationships/hyperlink" Target="https://www.youtube.com/watch?v=UA-X8_hh7vg" TargetMode="External"/><Relationship Id="rId3164" Type="http://schemas.openxmlformats.org/officeDocument/2006/relationships/hyperlink" Target="https://youtu.be/uHA-DoZezcw" TargetMode="External"/><Relationship Id="rId3163" Type="http://schemas.openxmlformats.org/officeDocument/2006/relationships/hyperlink" Target="https://www.youtube.com/watch?v=NQMRGPpGdTg" TargetMode="External"/><Relationship Id="rId3166" Type="http://schemas.openxmlformats.org/officeDocument/2006/relationships/hyperlink" Target="https://www.twitch.tv/videos/1709849831" TargetMode="External"/><Relationship Id="rId3165" Type="http://schemas.openxmlformats.org/officeDocument/2006/relationships/hyperlink" Target="https://www.youtube.com/watch?v=3Vvsqm1-AoI" TargetMode="External"/><Relationship Id="rId3168" Type="http://schemas.openxmlformats.org/officeDocument/2006/relationships/hyperlink" Target="https://youtu.be/wiRCuPHQdaY" TargetMode="External"/><Relationship Id="rId3167" Type="http://schemas.openxmlformats.org/officeDocument/2006/relationships/hyperlink" Target="https://youtu.be/-1oMjQNtFSg" TargetMode="External"/><Relationship Id="rId3169" Type="http://schemas.openxmlformats.org/officeDocument/2006/relationships/hyperlink" Target="https://youtu.be/O68ilJdATyE" TargetMode="External"/><Relationship Id="rId2700" Type="http://schemas.openxmlformats.org/officeDocument/2006/relationships/hyperlink" Target="https://www.twitch.tv/videos/1292140825" TargetMode="External"/><Relationship Id="rId2701" Type="http://schemas.openxmlformats.org/officeDocument/2006/relationships/hyperlink" Target="https://www.twitch.tv/videos/1194562278" TargetMode="External"/><Relationship Id="rId2702" Type="http://schemas.openxmlformats.org/officeDocument/2006/relationships/hyperlink" Target="https://www.twitch.tv/videos/1216513400" TargetMode="External"/><Relationship Id="rId2703" Type="http://schemas.openxmlformats.org/officeDocument/2006/relationships/hyperlink" Target="https://youtu.be/XUCpNqfcQkI" TargetMode="External"/><Relationship Id="rId2704" Type="http://schemas.openxmlformats.org/officeDocument/2006/relationships/hyperlink" Target="https://youtu.be/XUCpNqfcQkI?t=19" TargetMode="External"/><Relationship Id="rId2705" Type="http://schemas.openxmlformats.org/officeDocument/2006/relationships/hyperlink" Target="https://youtu.be/xaL55tZD_aM" TargetMode="External"/><Relationship Id="rId2706" Type="http://schemas.openxmlformats.org/officeDocument/2006/relationships/hyperlink" Target="https://www.youtube.com/watch?v=wpHr2p9GLB4" TargetMode="External"/><Relationship Id="rId2707" Type="http://schemas.openxmlformats.org/officeDocument/2006/relationships/hyperlink" Target="https://www.youtube.com/watch?v=d3bQM4Czq-0" TargetMode="External"/><Relationship Id="rId2708" Type="http://schemas.openxmlformats.org/officeDocument/2006/relationships/hyperlink" Target="https://youtu.be/cuxp4og-e9I" TargetMode="External"/><Relationship Id="rId2709" Type="http://schemas.openxmlformats.org/officeDocument/2006/relationships/hyperlink" Target="https://www.twitch.tv/videos/1497668451" TargetMode="External"/><Relationship Id="rId2720" Type="http://schemas.openxmlformats.org/officeDocument/2006/relationships/hyperlink" Target="https://youtu.be/Lpwrbxu1YXU" TargetMode="External"/><Relationship Id="rId2721" Type="http://schemas.openxmlformats.org/officeDocument/2006/relationships/hyperlink" Target="https://www.youtube.com/watch?v=6lJoisIyH60" TargetMode="External"/><Relationship Id="rId2722" Type="http://schemas.openxmlformats.org/officeDocument/2006/relationships/hyperlink" Target="https://youtu.be/EI61oVT9V2Q" TargetMode="External"/><Relationship Id="rId2723" Type="http://schemas.openxmlformats.org/officeDocument/2006/relationships/hyperlink" Target="https://youtu.be/vkYXMQMUqQI" TargetMode="External"/><Relationship Id="rId2724" Type="http://schemas.openxmlformats.org/officeDocument/2006/relationships/hyperlink" Target="https://youtu.be/KINanq0aHtM" TargetMode="External"/><Relationship Id="rId2725" Type="http://schemas.openxmlformats.org/officeDocument/2006/relationships/hyperlink" Target="https://youtu.be/149boANUIhE" TargetMode="External"/><Relationship Id="rId2726" Type="http://schemas.openxmlformats.org/officeDocument/2006/relationships/hyperlink" Target="https://youtu.be/CMor1vJAChU" TargetMode="External"/><Relationship Id="rId2727" Type="http://schemas.openxmlformats.org/officeDocument/2006/relationships/hyperlink" Target="https://youtu.be/n463LInD2Yg" TargetMode="External"/><Relationship Id="rId2728" Type="http://schemas.openxmlformats.org/officeDocument/2006/relationships/hyperlink" Target="https://youtu.be/6p3VF8pRF70" TargetMode="External"/><Relationship Id="rId2729" Type="http://schemas.openxmlformats.org/officeDocument/2006/relationships/hyperlink" Target="https://youtu.be/FOSANZ3-euo" TargetMode="External"/><Relationship Id="rId2710" Type="http://schemas.openxmlformats.org/officeDocument/2006/relationships/hyperlink" Target="https://youtu.be/SxyxZgz-Y4w" TargetMode="External"/><Relationship Id="rId2711" Type="http://schemas.openxmlformats.org/officeDocument/2006/relationships/hyperlink" Target="https://youtu.be/8O0jAGPIf9k" TargetMode="External"/><Relationship Id="rId2712" Type="http://schemas.openxmlformats.org/officeDocument/2006/relationships/hyperlink" Target="https://youtu.be/Pr0Iy0M8Ic0" TargetMode="External"/><Relationship Id="rId2713" Type="http://schemas.openxmlformats.org/officeDocument/2006/relationships/hyperlink" Target="https://clips.twitch.tv/TangentialAltruisticEagleNomNom-0sj8M7WUlpAzrPfP" TargetMode="External"/><Relationship Id="rId2714" Type="http://schemas.openxmlformats.org/officeDocument/2006/relationships/hyperlink" Target="https://youtu.be/kR8P16XaaF4" TargetMode="External"/><Relationship Id="rId2715" Type="http://schemas.openxmlformats.org/officeDocument/2006/relationships/hyperlink" Target="https://youtu.be/wgg2t0Fl-bU" TargetMode="External"/><Relationship Id="rId2716" Type="http://schemas.openxmlformats.org/officeDocument/2006/relationships/hyperlink" Target="https://www.twitch.tv/videos/667384709" TargetMode="External"/><Relationship Id="rId2717" Type="http://schemas.openxmlformats.org/officeDocument/2006/relationships/hyperlink" Target="https://youtu.be/k776xWFq-Z4" TargetMode="External"/><Relationship Id="rId2718" Type="http://schemas.openxmlformats.org/officeDocument/2006/relationships/hyperlink" Target="https://youtu.be/6PYm6pc9vUY" TargetMode="External"/><Relationship Id="rId2719" Type="http://schemas.openxmlformats.org/officeDocument/2006/relationships/hyperlink" Target="https://youtu.be/ZnQpK53Njtw" TargetMode="External"/><Relationship Id="rId1455" Type="http://schemas.openxmlformats.org/officeDocument/2006/relationships/hyperlink" Target="https://youtu.be/mybjZ1zHSGk" TargetMode="External"/><Relationship Id="rId2786" Type="http://schemas.openxmlformats.org/officeDocument/2006/relationships/hyperlink" Target="https://clips.twitch.tv/AntsyTameSoybeanArsonNoSexy-vpEo3NKSJxXoNw99" TargetMode="External"/><Relationship Id="rId1456" Type="http://schemas.openxmlformats.org/officeDocument/2006/relationships/hyperlink" Target="https://youtu.be/FhvAtgMe0NA" TargetMode="External"/><Relationship Id="rId2787" Type="http://schemas.openxmlformats.org/officeDocument/2006/relationships/hyperlink" Target="https://clips.twitch.tv/PricklyColdThymeCorgiDerp-SUTqk3NQDKfAmSOz" TargetMode="External"/><Relationship Id="rId1457" Type="http://schemas.openxmlformats.org/officeDocument/2006/relationships/hyperlink" Target="https://youtu.be/jUoN6om1PxE" TargetMode="External"/><Relationship Id="rId2788" Type="http://schemas.openxmlformats.org/officeDocument/2006/relationships/hyperlink" Target="https://clips.twitch.tv/InquisitiveCrypticClipsdadRickroll-pHeKwbvj7KGD3ZQ4" TargetMode="External"/><Relationship Id="rId1458" Type="http://schemas.openxmlformats.org/officeDocument/2006/relationships/hyperlink" Target="https://youtu.be/m45SeeT15mk" TargetMode="External"/><Relationship Id="rId2789" Type="http://schemas.openxmlformats.org/officeDocument/2006/relationships/hyperlink" Target="https://clips.twitch.tv/InspiringTrustworthyAlmondSwiftRage-48RK218yc4lPYK8e" TargetMode="External"/><Relationship Id="rId1459" Type="http://schemas.openxmlformats.org/officeDocument/2006/relationships/hyperlink" Target="https://youtu.be/t9YQYIfgXoE" TargetMode="External"/><Relationship Id="rId629" Type="http://schemas.openxmlformats.org/officeDocument/2006/relationships/hyperlink" Target="https://youtu.be/JCC_xss-W1I" TargetMode="External"/><Relationship Id="rId624" Type="http://schemas.openxmlformats.org/officeDocument/2006/relationships/hyperlink" Target="https://youtu.be/ai6czP5gVlM" TargetMode="External"/><Relationship Id="rId623" Type="http://schemas.openxmlformats.org/officeDocument/2006/relationships/hyperlink" Target="https://www.youtube.com/watch?v=qmHh9wtR4W8&amp;ab_channel=SMSArchives" TargetMode="External"/><Relationship Id="rId622" Type="http://schemas.openxmlformats.org/officeDocument/2006/relationships/hyperlink" Target="https://youtu.be/M7Cen7xs9oU" TargetMode="External"/><Relationship Id="rId621" Type="http://schemas.openxmlformats.org/officeDocument/2006/relationships/hyperlink" Target="https://youtu.be/uii0XpNnZ2Y" TargetMode="External"/><Relationship Id="rId628" Type="http://schemas.openxmlformats.org/officeDocument/2006/relationships/hyperlink" Target="https://youtu.be/lIxkjvWcoFk" TargetMode="External"/><Relationship Id="rId627" Type="http://schemas.openxmlformats.org/officeDocument/2006/relationships/hyperlink" Target="https://youtu.be/tX9e_nfZM68" TargetMode="External"/><Relationship Id="rId626" Type="http://schemas.openxmlformats.org/officeDocument/2006/relationships/hyperlink" Target="https://youtu.be/VI_tKYQwMwA" TargetMode="External"/><Relationship Id="rId625" Type="http://schemas.openxmlformats.org/officeDocument/2006/relationships/hyperlink" Target="https://www.youtube.com/watch?v=g6CLXbA9wco" TargetMode="External"/><Relationship Id="rId2780" Type="http://schemas.openxmlformats.org/officeDocument/2006/relationships/hyperlink" Target="https://clips.twitch.tv/SuperSnappyNewtSSSsss-hXI7Oc-7fKR2TiKN" TargetMode="External"/><Relationship Id="rId1450" Type="http://schemas.openxmlformats.org/officeDocument/2006/relationships/hyperlink" Target="https://youtu.be/N5ZBogC9UIs" TargetMode="External"/><Relationship Id="rId2781" Type="http://schemas.openxmlformats.org/officeDocument/2006/relationships/hyperlink" Target="https://www.twitch.tv/videos/1615516252" TargetMode="External"/><Relationship Id="rId620" Type="http://schemas.openxmlformats.org/officeDocument/2006/relationships/hyperlink" Target="https://www.youtube.com/watch?v=0vHyVb3C4UE" TargetMode="External"/><Relationship Id="rId1451" Type="http://schemas.openxmlformats.org/officeDocument/2006/relationships/hyperlink" Target="https://youtu.be/5jJnXigEYDQ" TargetMode="External"/><Relationship Id="rId2782" Type="http://schemas.openxmlformats.org/officeDocument/2006/relationships/hyperlink" Target="https://youtu.be/5Oz9i6mgu6w" TargetMode="External"/><Relationship Id="rId1452" Type="http://schemas.openxmlformats.org/officeDocument/2006/relationships/hyperlink" Target="https://clips.twitch.tv/ProudGorgeousPanJKanStyle-9IQRDaMr0xql6Q4q" TargetMode="External"/><Relationship Id="rId2783" Type="http://schemas.openxmlformats.org/officeDocument/2006/relationships/hyperlink" Target="https://youtu.be/Of1sS4UiBaw" TargetMode="External"/><Relationship Id="rId1453" Type="http://schemas.openxmlformats.org/officeDocument/2006/relationships/hyperlink" Target="https://youtu.be/LaMvBuhMiVE" TargetMode="External"/><Relationship Id="rId2784" Type="http://schemas.openxmlformats.org/officeDocument/2006/relationships/hyperlink" Target="https://clips.twitch.tv/ProudDeafWallabyTakeNRG-tfE4zNXqRc1xKP_K" TargetMode="External"/><Relationship Id="rId1454" Type="http://schemas.openxmlformats.org/officeDocument/2006/relationships/hyperlink" Target="https://youtu.be/thAQ0QN9CCI" TargetMode="External"/><Relationship Id="rId2785" Type="http://schemas.openxmlformats.org/officeDocument/2006/relationships/hyperlink" Target="https://clips.twitch.tv/HappyKathishArugulaBIRB-K2GZKAGmdJYAloW9" TargetMode="External"/><Relationship Id="rId1444" Type="http://schemas.openxmlformats.org/officeDocument/2006/relationships/hyperlink" Target="https://youtu.be/NdkNidR6JuA" TargetMode="External"/><Relationship Id="rId2775" Type="http://schemas.openxmlformats.org/officeDocument/2006/relationships/hyperlink" Target="https://clips.twitch.tv/FragileSmoggyEaglePeteZarollTie-EahUmDAbRKOeXQPe" TargetMode="External"/><Relationship Id="rId1445" Type="http://schemas.openxmlformats.org/officeDocument/2006/relationships/hyperlink" Target="https://youtu.be/AY6s3rmBLps" TargetMode="External"/><Relationship Id="rId2776" Type="http://schemas.openxmlformats.org/officeDocument/2006/relationships/hyperlink" Target="https://clips.twitch.tv/GeniusDignifiedFrogPhilosoraptor-QBL8guokQfmf4voo" TargetMode="External"/><Relationship Id="rId1446" Type="http://schemas.openxmlformats.org/officeDocument/2006/relationships/hyperlink" Target="https://youtu.be/VRFL3plmdHA" TargetMode="External"/><Relationship Id="rId2777" Type="http://schemas.openxmlformats.org/officeDocument/2006/relationships/hyperlink" Target="https://clips.twitch.tv/PopularConfidentOilPermaSmug-fwtuyLN51a5V-UHg" TargetMode="External"/><Relationship Id="rId1447" Type="http://schemas.openxmlformats.org/officeDocument/2006/relationships/hyperlink" Target="https://youtu.be/J3cnoF2WOOM" TargetMode="External"/><Relationship Id="rId2778" Type="http://schemas.openxmlformats.org/officeDocument/2006/relationships/hyperlink" Target="https://clips.twitch.tv/AffluentFlirtyCasetteChefFrank-RBIiiGQ1ss5ucRk8" TargetMode="External"/><Relationship Id="rId1448" Type="http://schemas.openxmlformats.org/officeDocument/2006/relationships/hyperlink" Target="https://youtu.be/r63vix6omi8" TargetMode="External"/><Relationship Id="rId2779" Type="http://schemas.openxmlformats.org/officeDocument/2006/relationships/hyperlink" Target="https://clips.twitch.tv/AgilePolishedSandpiperPanicVis-hpDyLscw0z6nWIpE" TargetMode="External"/><Relationship Id="rId1449" Type="http://schemas.openxmlformats.org/officeDocument/2006/relationships/hyperlink" Target="https://youtu.be/hgxqNrMqpxU" TargetMode="External"/><Relationship Id="rId619" Type="http://schemas.openxmlformats.org/officeDocument/2006/relationships/hyperlink" Target="https://youtu.be/Qud02r0TIh4" TargetMode="External"/><Relationship Id="rId618" Type="http://schemas.openxmlformats.org/officeDocument/2006/relationships/hyperlink" Target="https://www.youtube.com/watch?v=FTOuGcOfTfg&amp;ab_channel=SMSArchives" TargetMode="External"/><Relationship Id="rId613" Type="http://schemas.openxmlformats.org/officeDocument/2006/relationships/hyperlink" Target="https://youtu.be/kRKJxyptfmg" TargetMode="External"/><Relationship Id="rId612" Type="http://schemas.openxmlformats.org/officeDocument/2006/relationships/hyperlink" Target="https://www.youtube.com/watch?v=fFlPXk_oMnc" TargetMode="External"/><Relationship Id="rId611" Type="http://schemas.openxmlformats.org/officeDocument/2006/relationships/hyperlink" Target="https://youtu.be/o3YFQgS5nNo" TargetMode="External"/><Relationship Id="rId610" Type="http://schemas.openxmlformats.org/officeDocument/2006/relationships/hyperlink" Target="https://youtu.be/34W02iMh0k4" TargetMode="External"/><Relationship Id="rId617" Type="http://schemas.openxmlformats.org/officeDocument/2006/relationships/hyperlink" Target="https://youtu.be/eqEXJ-l76dc" TargetMode="External"/><Relationship Id="rId616" Type="http://schemas.openxmlformats.org/officeDocument/2006/relationships/hyperlink" Target="https://youtu.be/yxWi5BLPVkM" TargetMode="External"/><Relationship Id="rId615" Type="http://schemas.openxmlformats.org/officeDocument/2006/relationships/hyperlink" Target="https://youtu.be/w22JGwbHO6Q" TargetMode="External"/><Relationship Id="rId614" Type="http://schemas.openxmlformats.org/officeDocument/2006/relationships/hyperlink" Target="https://youtu.be/_LgYzYysz5M" TargetMode="External"/><Relationship Id="rId2770" Type="http://schemas.openxmlformats.org/officeDocument/2006/relationships/hyperlink" Target="https://clips.twitch.tv/TriangularObliviousMonitorBatChest-eqBHvfKfQfrebKfL" TargetMode="External"/><Relationship Id="rId1440" Type="http://schemas.openxmlformats.org/officeDocument/2006/relationships/hyperlink" Target="https://youtu.be/AA8mL8WCmkg" TargetMode="External"/><Relationship Id="rId2771" Type="http://schemas.openxmlformats.org/officeDocument/2006/relationships/hyperlink" Target="https://clips.twitch.tv/ShortUnsightlyPistachioChefFrank-IfQ-BytSOfBolo4o" TargetMode="External"/><Relationship Id="rId1441" Type="http://schemas.openxmlformats.org/officeDocument/2006/relationships/hyperlink" Target="https://youtu.be/wGxpUlj4izo" TargetMode="External"/><Relationship Id="rId2772" Type="http://schemas.openxmlformats.org/officeDocument/2006/relationships/hyperlink" Target="https://clips.twitch.tv/NiceKindCoffeePrimeMe-Vz1GgZlWIpDJSyK-" TargetMode="External"/><Relationship Id="rId1442" Type="http://schemas.openxmlformats.org/officeDocument/2006/relationships/hyperlink" Target="https://youtu.be/tUhvMNmgg1k" TargetMode="External"/><Relationship Id="rId2773" Type="http://schemas.openxmlformats.org/officeDocument/2006/relationships/hyperlink" Target="https://youtu.be/r_t9k5DrB0c" TargetMode="External"/><Relationship Id="rId1443" Type="http://schemas.openxmlformats.org/officeDocument/2006/relationships/hyperlink" Target="https://youtu.be/6B5W4qJZUQE" TargetMode="External"/><Relationship Id="rId2774" Type="http://schemas.openxmlformats.org/officeDocument/2006/relationships/hyperlink" Target="https://clips.twitch.tv/CheerfulFantasticTermiteLeeroyJenkins-_NqtQfUNLcCYlSba" TargetMode="External"/><Relationship Id="rId1477" Type="http://schemas.openxmlformats.org/officeDocument/2006/relationships/hyperlink" Target="https://youtu.be/cHTgyDs6HJs" TargetMode="External"/><Relationship Id="rId1478" Type="http://schemas.openxmlformats.org/officeDocument/2006/relationships/hyperlink" Target="https://youtu.be/7OefaDdLpEA" TargetMode="External"/><Relationship Id="rId1479" Type="http://schemas.openxmlformats.org/officeDocument/2006/relationships/hyperlink" Target="https://youtu.be/MuEnxiM27do" TargetMode="External"/><Relationship Id="rId646" Type="http://schemas.openxmlformats.org/officeDocument/2006/relationships/hyperlink" Target="https://youtu.be/thY_wTixa8E" TargetMode="External"/><Relationship Id="rId645" Type="http://schemas.openxmlformats.org/officeDocument/2006/relationships/hyperlink" Target="https://youtu.be/w5XukJLYhaE" TargetMode="External"/><Relationship Id="rId644" Type="http://schemas.openxmlformats.org/officeDocument/2006/relationships/hyperlink" Target="https://youtu.be/B2bBN-Re-zo" TargetMode="External"/><Relationship Id="rId643" Type="http://schemas.openxmlformats.org/officeDocument/2006/relationships/hyperlink" Target="https://youtu.be/e9QP4KaH-JY" TargetMode="External"/><Relationship Id="rId649" Type="http://schemas.openxmlformats.org/officeDocument/2006/relationships/hyperlink" Target="https://www.twitch.tv/urbani/clip/IronicDepressedBorkDendiFace-JYXxdX9B-g9egu92" TargetMode="External"/><Relationship Id="rId648" Type="http://schemas.openxmlformats.org/officeDocument/2006/relationships/hyperlink" Target="https://youtu.be/VothfM_dpLQ" TargetMode="External"/><Relationship Id="rId647" Type="http://schemas.openxmlformats.org/officeDocument/2006/relationships/hyperlink" Target="https://www.youtube.com/watch?v=PQPkCTis_dQ&amp;feature=youtu.be&amp;ab_channel=SMSArchives" TargetMode="External"/><Relationship Id="rId1470" Type="http://schemas.openxmlformats.org/officeDocument/2006/relationships/hyperlink" Target="https://youtu.be/OouJvI7QFcE" TargetMode="External"/><Relationship Id="rId1471" Type="http://schemas.openxmlformats.org/officeDocument/2006/relationships/hyperlink" Target="https://youtu.be/H1gHKKF0jUU" TargetMode="External"/><Relationship Id="rId1472" Type="http://schemas.openxmlformats.org/officeDocument/2006/relationships/hyperlink" Target="https://youtu.be/XMGmoWpoTVg" TargetMode="External"/><Relationship Id="rId642" Type="http://schemas.openxmlformats.org/officeDocument/2006/relationships/hyperlink" Target="https://youtu.be/m4iFkVXahOg" TargetMode="External"/><Relationship Id="rId1473" Type="http://schemas.openxmlformats.org/officeDocument/2006/relationships/hyperlink" Target="https://youtu.be/t7D3CoBhB2Q" TargetMode="External"/><Relationship Id="rId641" Type="http://schemas.openxmlformats.org/officeDocument/2006/relationships/hyperlink" Target="https://www.youtube.com/watch?v=2qOu_DbP5iw&amp;feature=youtu.be&amp;ab_channel=SMSArchives" TargetMode="External"/><Relationship Id="rId1474" Type="http://schemas.openxmlformats.org/officeDocument/2006/relationships/hyperlink" Target="https://youtu.be/8uRf1H32Zmc" TargetMode="External"/><Relationship Id="rId640" Type="http://schemas.openxmlformats.org/officeDocument/2006/relationships/hyperlink" Target="https://youtu.be/Io5hT0MxJMg?si=XG6IZXL7MRYx-W7E&amp;t=20" TargetMode="External"/><Relationship Id="rId1475" Type="http://schemas.openxmlformats.org/officeDocument/2006/relationships/hyperlink" Target="https://youtu.be/k33m68V_slY" TargetMode="External"/><Relationship Id="rId1476" Type="http://schemas.openxmlformats.org/officeDocument/2006/relationships/hyperlink" Target="https://youtu.be/X4YBjn8dELU" TargetMode="External"/><Relationship Id="rId1466" Type="http://schemas.openxmlformats.org/officeDocument/2006/relationships/hyperlink" Target="https://youtu.be/PU5uEqDv0vQ" TargetMode="External"/><Relationship Id="rId2797" Type="http://schemas.openxmlformats.org/officeDocument/2006/relationships/hyperlink" Target="https://clips.twitch.tv/CaringCorrectJamPeteZarollTie-SesxGbMXkYUtp2vk" TargetMode="External"/><Relationship Id="rId1467" Type="http://schemas.openxmlformats.org/officeDocument/2006/relationships/hyperlink" Target="https://youtu.be/RMKSoa356Sg" TargetMode="External"/><Relationship Id="rId2798" Type="http://schemas.openxmlformats.org/officeDocument/2006/relationships/hyperlink" Target="https://youtu.be/urHh8oG1Jfo" TargetMode="External"/><Relationship Id="rId1468" Type="http://schemas.openxmlformats.org/officeDocument/2006/relationships/hyperlink" Target="https://youtu.be/fEVEtyTrceo" TargetMode="External"/><Relationship Id="rId2799" Type="http://schemas.openxmlformats.org/officeDocument/2006/relationships/hyperlink" Target="https://clips.twitch.tv/ObedientSavagePicklesDxCat-PXYV7wE6gbM1tmzG" TargetMode="External"/><Relationship Id="rId1469" Type="http://schemas.openxmlformats.org/officeDocument/2006/relationships/hyperlink" Target="https://youtu.be/9W_8SvkVmls" TargetMode="External"/><Relationship Id="rId635" Type="http://schemas.openxmlformats.org/officeDocument/2006/relationships/hyperlink" Target="https://youtu.be/9D11ZI2deRY" TargetMode="External"/><Relationship Id="rId634" Type="http://schemas.openxmlformats.org/officeDocument/2006/relationships/hyperlink" Target="https://youtu.be/h8QMpmt-cuM" TargetMode="External"/><Relationship Id="rId633" Type="http://schemas.openxmlformats.org/officeDocument/2006/relationships/hyperlink" Target="https://youtu.be/WkWyNPkHDJg" TargetMode="External"/><Relationship Id="rId632" Type="http://schemas.openxmlformats.org/officeDocument/2006/relationships/hyperlink" Target="https://youtu.be/AkqFSLrrmFs" TargetMode="External"/><Relationship Id="rId639" Type="http://schemas.openxmlformats.org/officeDocument/2006/relationships/hyperlink" Target="https://www.youtube.com/watch?v=LqHYtbo8UGY&amp;feature=youtu.be&amp;ab_channel=SMSArchives" TargetMode="External"/><Relationship Id="rId638" Type="http://schemas.openxmlformats.org/officeDocument/2006/relationships/hyperlink" Target="https://youtu.be/xMgkNGw_5j0" TargetMode="External"/><Relationship Id="rId637" Type="http://schemas.openxmlformats.org/officeDocument/2006/relationships/hyperlink" Target="https://www.youtube.com/watch?v=0xp3VK_dxuU&amp;ab_channel=SMSArchives" TargetMode="External"/><Relationship Id="rId636" Type="http://schemas.openxmlformats.org/officeDocument/2006/relationships/hyperlink" Target="https://youtu.be/Z8FsK46G3XE" TargetMode="External"/><Relationship Id="rId2790" Type="http://schemas.openxmlformats.org/officeDocument/2006/relationships/hyperlink" Target="https://clips.twitch.tv/WanderingWealthyTigerSSSsss-jux4zciScDnZdVbV" TargetMode="External"/><Relationship Id="rId1460" Type="http://schemas.openxmlformats.org/officeDocument/2006/relationships/hyperlink" Target="https://youtu.be/qOGRg7jwEbU" TargetMode="External"/><Relationship Id="rId2791" Type="http://schemas.openxmlformats.org/officeDocument/2006/relationships/hyperlink" Target="https://youtu.be/6dZGaGMo8gE" TargetMode="External"/><Relationship Id="rId1461" Type="http://schemas.openxmlformats.org/officeDocument/2006/relationships/hyperlink" Target="https://youtu.be/ODIkTLwT8Jk" TargetMode="External"/><Relationship Id="rId2792" Type="http://schemas.openxmlformats.org/officeDocument/2006/relationships/hyperlink" Target="https://youtu.be/RoXi6F89gdI" TargetMode="External"/><Relationship Id="rId631" Type="http://schemas.openxmlformats.org/officeDocument/2006/relationships/hyperlink" Target="https://youtu.be/9lA0PlDhh_M" TargetMode="External"/><Relationship Id="rId1462" Type="http://schemas.openxmlformats.org/officeDocument/2006/relationships/hyperlink" Target="https://youtu.be/CixX2Xv4Qqw" TargetMode="External"/><Relationship Id="rId2793" Type="http://schemas.openxmlformats.org/officeDocument/2006/relationships/hyperlink" Target="https://youtu.be/koYfQLra6HY" TargetMode="External"/><Relationship Id="rId630" Type="http://schemas.openxmlformats.org/officeDocument/2006/relationships/hyperlink" Target="https://www.youtube.com/watch?v=6tvaQXmdD2M" TargetMode="External"/><Relationship Id="rId1463" Type="http://schemas.openxmlformats.org/officeDocument/2006/relationships/hyperlink" Target="https://youtu.be/uphO1VmVpOw" TargetMode="External"/><Relationship Id="rId2794" Type="http://schemas.openxmlformats.org/officeDocument/2006/relationships/hyperlink" Target="https://clips.twitch.tv/SweetExpensiveDiscKlappa-rjyO0L4ThHLZFmy-" TargetMode="External"/><Relationship Id="rId1464" Type="http://schemas.openxmlformats.org/officeDocument/2006/relationships/hyperlink" Target="https://youtu.be/VKKPc5cQ5aU" TargetMode="External"/><Relationship Id="rId2795" Type="http://schemas.openxmlformats.org/officeDocument/2006/relationships/hyperlink" Target="https://youtu.be/iMt-wdR0Ubg" TargetMode="External"/><Relationship Id="rId1465" Type="http://schemas.openxmlformats.org/officeDocument/2006/relationships/hyperlink" Target="https://youtu.be/5dMNpk8GIXE" TargetMode="External"/><Relationship Id="rId2796" Type="http://schemas.openxmlformats.org/officeDocument/2006/relationships/hyperlink" Target="https://www.youtube.com/watch?v=F7hcihsAc7k" TargetMode="External"/><Relationship Id="rId1411" Type="http://schemas.openxmlformats.org/officeDocument/2006/relationships/hyperlink" Target="https://www.twitch.tv/nindiddeh/clip/ProudEnticingBubbleteaImGlitch-qFe0-ZbE2lgkV5V5" TargetMode="External"/><Relationship Id="rId2742" Type="http://schemas.openxmlformats.org/officeDocument/2006/relationships/hyperlink" Target="https://youtu.be/CkaxWZ7Wezw" TargetMode="External"/><Relationship Id="rId1412" Type="http://schemas.openxmlformats.org/officeDocument/2006/relationships/hyperlink" Target="https://www.youtube.com/watch?v=U6z7z8RygGU" TargetMode="External"/><Relationship Id="rId2743" Type="http://schemas.openxmlformats.org/officeDocument/2006/relationships/hyperlink" Target="https://youtu.be/ZpdtVeVUsHI" TargetMode="External"/><Relationship Id="rId1413" Type="http://schemas.openxmlformats.org/officeDocument/2006/relationships/hyperlink" Target="https://www.youtube.com/watch?v=FsuCK82rjvM" TargetMode="External"/><Relationship Id="rId2744" Type="http://schemas.openxmlformats.org/officeDocument/2006/relationships/hyperlink" Target="https://youtu.be/-Ohqisa88zk" TargetMode="External"/><Relationship Id="rId1414" Type="http://schemas.openxmlformats.org/officeDocument/2006/relationships/hyperlink" Target="https://clips.twitch.tv/WimpyFuriousFriseeOptimizePrime" TargetMode="External"/><Relationship Id="rId2745" Type="http://schemas.openxmlformats.org/officeDocument/2006/relationships/hyperlink" Target="https://youtu.be/8pgc62ldBtA" TargetMode="External"/><Relationship Id="rId1415" Type="http://schemas.openxmlformats.org/officeDocument/2006/relationships/hyperlink" Target="https://www.youtube.com/watch?v=0xab_hR2IwQ" TargetMode="External"/><Relationship Id="rId2746" Type="http://schemas.openxmlformats.org/officeDocument/2006/relationships/hyperlink" Target="https://youtu.be/gA3Sy_9pfM0" TargetMode="External"/><Relationship Id="rId1416" Type="http://schemas.openxmlformats.org/officeDocument/2006/relationships/hyperlink" Target="https://clips.twitch.tv/GleamingGloriousGoshawkKevinTurtle" TargetMode="External"/><Relationship Id="rId2747" Type="http://schemas.openxmlformats.org/officeDocument/2006/relationships/hyperlink" Target="https://youtu.be/eHK33N7Slqo" TargetMode="External"/><Relationship Id="rId1417" Type="http://schemas.openxmlformats.org/officeDocument/2006/relationships/hyperlink" Target="https://www.youtube.com/watch?v=GRiwu5GPueg" TargetMode="External"/><Relationship Id="rId2748" Type="http://schemas.openxmlformats.org/officeDocument/2006/relationships/hyperlink" Target="https://youtu.be/VKv-IpsEzRA" TargetMode="External"/><Relationship Id="rId1418" Type="http://schemas.openxmlformats.org/officeDocument/2006/relationships/hyperlink" Target="https://clips.twitch.tv/PreciousCrepuscularHamCharlieBitMe" TargetMode="External"/><Relationship Id="rId2749" Type="http://schemas.openxmlformats.org/officeDocument/2006/relationships/hyperlink" Target="https://youtu.be/TyQ7-3gowfM" TargetMode="External"/><Relationship Id="rId1419" Type="http://schemas.openxmlformats.org/officeDocument/2006/relationships/hyperlink" Target="https://clips.twitch.tv/DirtySweetLardOpieOP" TargetMode="External"/><Relationship Id="rId2740" Type="http://schemas.openxmlformats.org/officeDocument/2006/relationships/hyperlink" Target="https://youtu.be/pHhJIhtpLLk" TargetMode="External"/><Relationship Id="rId1410" Type="http://schemas.openxmlformats.org/officeDocument/2006/relationships/hyperlink" Target="https://www.twitch.tv/videos/890369851" TargetMode="External"/><Relationship Id="rId2741" Type="http://schemas.openxmlformats.org/officeDocument/2006/relationships/hyperlink" Target="https://youtu.be/F8xItJ0i2OQ" TargetMode="External"/><Relationship Id="rId1400" Type="http://schemas.openxmlformats.org/officeDocument/2006/relationships/hyperlink" Target="https://www.youtube.com/watch?v=xwYRwOHrN44" TargetMode="External"/><Relationship Id="rId2731" Type="http://schemas.openxmlformats.org/officeDocument/2006/relationships/hyperlink" Target="https://youtu.be/ExWs_nsjiyE" TargetMode="External"/><Relationship Id="rId1401" Type="http://schemas.openxmlformats.org/officeDocument/2006/relationships/hyperlink" Target="https://clips.twitch.tv/ImpossibleAgreeablePlumberMau5-uHfg5JBggoVhTykt" TargetMode="External"/><Relationship Id="rId2732" Type="http://schemas.openxmlformats.org/officeDocument/2006/relationships/hyperlink" Target="https://youtu.be/IZtnv1QUIi0" TargetMode="External"/><Relationship Id="rId1402" Type="http://schemas.openxmlformats.org/officeDocument/2006/relationships/hyperlink" Target="https://www.twitch.tv/nindiddeh/clip/SingleSparklyTruffleEleGiggle" TargetMode="External"/><Relationship Id="rId2733" Type="http://schemas.openxmlformats.org/officeDocument/2006/relationships/hyperlink" Target="https://youtu.be/yXmPcOAAQU8" TargetMode="External"/><Relationship Id="rId1403" Type="http://schemas.openxmlformats.org/officeDocument/2006/relationships/hyperlink" Target="https://www.youtube.com/watch?v=-xZPtM4IXJU" TargetMode="External"/><Relationship Id="rId2734" Type="http://schemas.openxmlformats.org/officeDocument/2006/relationships/hyperlink" Target="https://youtu.be/63n1YG_RNtI" TargetMode="External"/><Relationship Id="rId1404" Type="http://schemas.openxmlformats.org/officeDocument/2006/relationships/hyperlink" Target="https://www.youtube.com/watch?v=CW36i4UQ7Nw" TargetMode="External"/><Relationship Id="rId2735" Type="http://schemas.openxmlformats.org/officeDocument/2006/relationships/hyperlink" Target="https://youtu.be/3YtmQbkiTVg" TargetMode="External"/><Relationship Id="rId1405" Type="http://schemas.openxmlformats.org/officeDocument/2006/relationships/hyperlink" Target="https://clips.twitch.tv/CrypticProtectiveEyeballHeyGuys-mX9CoX8I63Tbg-4r" TargetMode="External"/><Relationship Id="rId2736" Type="http://schemas.openxmlformats.org/officeDocument/2006/relationships/hyperlink" Target="https://www.twitch.tv/videos/1555345196" TargetMode="External"/><Relationship Id="rId1406" Type="http://schemas.openxmlformats.org/officeDocument/2006/relationships/hyperlink" Target="https://clips.twitch.tv/CourteousAltruisticDugongWTRuck-g8fK_DAUJZMBvf6n" TargetMode="External"/><Relationship Id="rId2737" Type="http://schemas.openxmlformats.org/officeDocument/2006/relationships/hyperlink" Target="https://youtu.be/WbZfdJB_tYQ" TargetMode="External"/><Relationship Id="rId1407" Type="http://schemas.openxmlformats.org/officeDocument/2006/relationships/hyperlink" Target="https://clips.twitch.tv/ObliviousWealthyKangarooHeyGirl" TargetMode="External"/><Relationship Id="rId2738" Type="http://schemas.openxmlformats.org/officeDocument/2006/relationships/hyperlink" Target="https://youtu.be/T_knGg5IcRY" TargetMode="External"/><Relationship Id="rId1408" Type="http://schemas.openxmlformats.org/officeDocument/2006/relationships/hyperlink" Target="https://clips.twitch.tv/PlacidCuteTapirJonCarnage" TargetMode="External"/><Relationship Id="rId2739" Type="http://schemas.openxmlformats.org/officeDocument/2006/relationships/hyperlink" Target="https://youtu.be/wXNk5xmg6kg" TargetMode="External"/><Relationship Id="rId1409" Type="http://schemas.openxmlformats.org/officeDocument/2006/relationships/hyperlink" Target="https://clips.twitch.tv/PreciousPleasantSnailSaltBae" TargetMode="External"/><Relationship Id="rId2730" Type="http://schemas.openxmlformats.org/officeDocument/2006/relationships/hyperlink" Target="https://youtu.be/1hiTwu9EL3A" TargetMode="External"/><Relationship Id="rId1433" Type="http://schemas.openxmlformats.org/officeDocument/2006/relationships/hyperlink" Target="https://clips.twitch.tv/DeafEnjoyableTildeYouDontSay" TargetMode="External"/><Relationship Id="rId2764" Type="http://schemas.openxmlformats.org/officeDocument/2006/relationships/hyperlink" Target="https://youtu.be/z6UWwsVT2_g" TargetMode="External"/><Relationship Id="rId1434" Type="http://schemas.openxmlformats.org/officeDocument/2006/relationships/hyperlink" Target="https://clips.twitch.tv/InexpensiveAnimatedSwallowPeteZaroll" TargetMode="External"/><Relationship Id="rId2765" Type="http://schemas.openxmlformats.org/officeDocument/2006/relationships/hyperlink" Target="https://youtu.be/1bYjGQdaTQ8" TargetMode="External"/><Relationship Id="rId1435" Type="http://schemas.openxmlformats.org/officeDocument/2006/relationships/hyperlink" Target="https://youtu.be/7uT0yfrrF-Q" TargetMode="External"/><Relationship Id="rId2766" Type="http://schemas.openxmlformats.org/officeDocument/2006/relationships/hyperlink" Target="https://clips.twitch.tv/HotBadHornetSMOrc-t1Ay2e8ytR447XE-" TargetMode="External"/><Relationship Id="rId1436" Type="http://schemas.openxmlformats.org/officeDocument/2006/relationships/hyperlink" Target="https://youtu.be/2BymxhYd6-Y" TargetMode="External"/><Relationship Id="rId2767" Type="http://schemas.openxmlformats.org/officeDocument/2006/relationships/hyperlink" Target="https://youtu.be/Bn7k3tpxw3w" TargetMode="External"/><Relationship Id="rId1437" Type="http://schemas.openxmlformats.org/officeDocument/2006/relationships/hyperlink" Target="https://youtu.be/tPMViYriHd0" TargetMode="External"/><Relationship Id="rId2768" Type="http://schemas.openxmlformats.org/officeDocument/2006/relationships/hyperlink" Target="https://youtu.be/GehcU0SiNIs" TargetMode="External"/><Relationship Id="rId1438" Type="http://schemas.openxmlformats.org/officeDocument/2006/relationships/hyperlink" Target="https://youtu.be/CBKn7DXTJGo" TargetMode="External"/><Relationship Id="rId2769" Type="http://schemas.openxmlformats.org/officeDocument/2006/relationships/hyperlink" Target="https://clips.twitch.tv/SuperZanyPieKeepo-Ebg6fn6EX7ykQnDV" TargetMode="External"/><Relationship Id="rId1439" Type="http://schemas.openxmlformats.org/officeDocument/2006/relationships/hyperlink" Target="https://youtu.be/-Wn_nlaNiMQ" TargetMode="External"/><Relationship Id="rId609" Type="http://schemas.openxmlformats.org/officeDocument/2006/relationships/hyperlink" Target="https://youtu.be/6li4R2NzmTY" TargetMode="External"/><Relationship Id="rId608" Type="http://schemas.openxmlformats.org/officeDocument/2006/relationships/hyperlink" Target="https://youtu.be/9K9dEskUFVM" TargetMode="External"/><Relationship Id="rId607" Type="http://schemas.openxmlformats.org/officeDocument/2006/relationships/hyperlink" Target="https://youtu.be/dpIltYUKJBs" TargetMode="External"/><Relationship Id="rId602" Type="http://schemas.openxmlformats.org/officeDocument/2006/relationships/hyperlink" Target="https://youtu.be/x08vdtqyVxo" TargetMode="External"/><Relationship Id="rId601" Type="http://schemas.openxmlformats.org/officeDocument/2006/relationships/hyperlink" Target="https://youtu.be/_7U9ffKEqZs" TargetMode="External"/><Relationship Id="rId600" Type="http://schemas.openxmlformats.org/officeDocument/2006/relationships/hyperlink" Target="https://youtu.be/Fucc5lxM70g" TargetMode="External"/><Relationship Id="rId606" Type="http://schemas.openxmlformats.org/officeDocument/2006/relationships/hyperlink" Target="https://youtu.be/oHX-tRQjLSw" TargetMode="External"/><Relationship Id="rId605" Type="http://schemas.openxmlformats.org/officeDocument/2006/relationships/hyperlink" Target="https://youtu.be/1MnOeSxBFZw" TargetMode="External"/><Relationship Id="rId604" Type="http://schemas.openxmlformats.org/officeDocument/2006/relationships/hyperlink" Target="https://youtu.be/Isgvy7_AuBw" TargetMode="External"/><Relationship Id="rId603" Type="http://schemas.openxmlformats.org/officeDocument/2006/relationships/hyperlink" Target="https://youtu.be/fO033qZ2s68" TargetMode="External"/><Relationship Id="rId2760" Type="http://schemas.openxmlformats.org/officeDocument/2006/relationships/hyperlink" Target="https://www.youtube.com/watch?v=6um-iIt4i04&amp;feature=youtu.be&amp;ab_channel=SMSArchives" TargetMode="External"/><Relationship Id="rId1430" Type="http://schemas.openxmlformats.org/officeDocument/2006/relationships/hyperlink" Target="https://www.youtube.com/watch?v=9kxYuxGiQNM" TargetMode="External"/><Relationship Id="rId2761" Type="http://schemas.openxmlformats.org/officeDocument/2006/relationships/hyperlink" Target="https://www.youtube.com/watch?v=lEKgOnYi-pQ&amp;ab_channel=SMSArchives" TargetMode="External"/><Relationship Id="rId1431" Type="http://schemas.openxmlformats.org/officeDocument/2006/relationships/hyperlink" Target="https://clips.twitch.tv/FuriousCaringPeanutStinkyCheese" TargetMode="External"/><Relationship Id="rId2762" Type="http://schemas.openxmlformats.org/officeDocument/2006/relationships/hyperlink" Target="https://www.youtube.com/watch?v=pL9qamyXGDU&amp;feature=youtu.be&amp;ab_channel=SMSArchives" TargetMode="External"/><Relationship Id="rId1432" Type="http://schemas.openxmlformats.org/officeDocument/2006/relationships/hyperlink" Target="https://clips.twitch.tv/ToughUnusualBeaverKreygasm" TargetMode="External"/><Relationship Id="rId2763" Type="http://schemas.openxmlformats.org/officeDocument/2006/relationships/hyperlink" Target="https://youtu.be/AyHBkIG0MSY" TargetMode="External"/><Relationship Id="rId1422" Type="http://schemas.openxmlformats.org/officeDocument/2006/relationships/hyperlink" Target="https://clips.twitch.tv/BusyAthleticPancakeNomNom" TargetMode="External"/><Relationship Id="rId2753" Type="http://schemas.openxmlformats.org/officeDocument/2006/relationships/hyperlink" Target="https://www.youtube.com/watch?v=lEKgOnYi-pQ&amp;ab_channel=SMSArchives" TargetMode="External"/><Relationship Id="rId1423" Type="http://schemas.openxmlformats.org/officeDocument/2006/relationships/hyperlink" Target="https://clips.twitch.tv/AntediluvianTentativeInternPogChamp" TargetMode="External"/><Relationship Id="rId2754" Type="http://schemas.openxmlformats.org/officeDocument/2006/relationships/hyperlink" Target="https://www.youtube.com/watch?v=KpJrVeP5Kzk&amp;feature=youtu.be&amp;ab_channel=SMSArchives" TargetMode="External"/><Relationship Id="rId1424" Type="http://schemas.openxmlformats.org/officeDocument/2006/relationships/hyperlink" Target="https://clips.twitch.tv/CarelessSmoggyNuggetsAMPEnergyCherry" TargetMode="External"/><Relationship Id="rId2755" Type="http://schemas.openxmlformats.org/officeDocument/2006/relationships/hyperlink" Target="https://www.youtube.com/watch?v=qe1RNDoMCnc&amp;feature=youtu.be&amp;ab_channel=SMSArchives" TargetMode="External"/><Relationship Id="rId1425" Type="http://schemas.openxmlformats.org/officeDocument/2006/relationships/hyperlink" Target="https://clips.twitch.tv/EnjoyableSparklyTrayOhMyDog" TargetMode="External"/><Relationship Id="rId2756" Type="http://schemas.openxmlformats.org/officeDocument/2006/relationships/hyperlink" Target="https://www.youtube.com/watch?v=TfTsNySlGTo&amp;ab_channel=SMSArchives" TargetMode="External"/><Relationship Id="rId1426" Type="http://schemas.openxmlformats.org/officeDocument/2006/relationships/hyperlink" Target="https://clips.twitch.tv/AgreeableCrowdedCobraOpieOP" TargetMode="External"/><Relationship Id="rId2757" Type="http://schemas.openxmlformats.org/officeDocument/2006/relationships/hyperlink" Target="https://www.youtube.com/watch?v=LV0XVYhIv-4&amp;feature=youtu.be&amp;ab_channel=SMSArchives" TargetMode="External"/><Relationship Id="rId1427" Type="http://schemas.openxmlformats.org/officeDocument/2006/relationships/hyperlink" Target="https://clips.twitch.tv/GrossDeadBeefDatSheffy" TargetMode="External"/><Relationship Id="rId2758" Type="http://schemas.openxmlformats.org/officeDocument/2006/relationships/hyperlink" Target="https://www.youtube.com/watch?v=-2rOzPdQKmc&amp;feature=youtu.be&amp;ab_channel=SMSArchives" TargetMode="External"/><Relationship Id="rId1428" Type="http://schemas.openxmlformats.org/officeDocument/2006/relationships/hyperlink" Target="https://clips.twitch.tv/BetterGrotesqueWormPeanutButterJellyTime" TargetMode="External"/><Relationship Id="rId2759" Type="http://schemas.openxmlformats.org/officeDocument/2006/relationships/hyperlink" Target="https://www.youtube.com/watch?v=02MTZSsaoQU&amp;feature=youtu.be&amp;ab_channel=SMSArchives" TargetMode="External"/><Relationship Id="rId1429" Type="http://schemas.openxmlformats.org/officeDocument/2006/relationships/hyperlink" Target="https://clips.twitch.tv/CautiousSwissReindeerRickroll" TargetMode="External"/><Relationship Id="rId2750" Type="http://schemas.openxmlformats.org/officeDocument/2006/relationships/hyperlink" Target="https://youtu.be/StdVPvFpuLM" TargetMode="External"/><Relationship Id="rId1420" Type="http://schemas.openxmlformats.org/officeDocument/2006/relationships/hyperlink" Target="https://clips.twitch.tv/ImportantOilyNightingalePupper" TargetMode="External"/><Relationship Id="rId2751" Type="http://schemas.openxmlformats.org/officeDocument/2006/relationships/hyperlink" Target="https://youtu.be/GiiCAj_mvOA" TargetMode="External"/><Relationship Id="rId1421" Type="http://schemas.openxmlformats.org/officeDocument/2006/relationships/hyperlink" Target="https://www.youtube.com/watch?v=ZuAxFGqWwxw" TargetMode="External"/><Relationship Id="rId2752" Type="http://schemas.openxmlformats.org/officeDocument/2006/relationships/hyperlink" Target="https://www.youtube.com/watch?v=CO-u3GCGLkU&amp;feature=youtu.be&amp;ab_channel=SMSArchives" TargetMode="External"/><Relationship Id="rId3238" Type="http://schemas.openxmlformats.org/officeDocument/2006/relationships/hyperlink" Target="https://youtu.be/wU6hfjRrSxo" TargetMode="External"/><Relationship Id="rId3237" Type="http://schemas.openxmlformats.org/officeDocument/2006/relationships/hyperlink" Target="https://youtu.be/loNcgSec9fw" TargetMode="External"/><Relationship Id="rId3239" Type="http://schemas.openxmlformats.org/officeDocument/2006/relationships/hyperlink" Target="https://youtu.be/xqGdtKz3vWg" TargetMode="External"/><Relationship Id="rId3230" Type="http://schemas.openxmlformats.org/officeDocument/2006/relationships/hyperlink" Target="https://youtu.be/nY-Rcxy9cU8" TargetMode="External"/><Relationship Id="rId3232" Type="http://schemas.openxmlformats.org/officeDocument/2006/relationships/hyperlink" Target="https://youtu.be/KO-uV-a2Lc8" TargetMode="External"/><Relationship Id="rId3231" Type="http://schemas.openxmlformats.org/officeDocument/2006/relationships/hyperlink" Target="https://youtu.be/WJ1IZ_vrD1g" TargetMode="External"/><Relationship Id="rId3234" Type="http://schemas.openxmlformats.org/officeDocument/2006/relationships/hyperlink" Target="https://youtu.be/Xp9IP1lZ7LU" TargetMode="External"/><Relationship Id="rId3233" Type="http://schemas.openxmlformats.org/officeDocument/2006/relationships/hyperlink" Target="https://youtu.be/RI5AcY84MEo" TargetMode="External"/><Relationship Id="rId3236" Type="http://schemas.openxmlformats.org/officeDocument/2006/relationships/hyperlink" Target="https://youtu.be/gHoGodHBYmM" TargetMode="External"/><Relationship Id="rId3235" Type="http://schemas.openxmlformats.org/officeDocument/2006/relationships/hyperlink" Target="https://youtu.be/ZPR9oUIQeEA" TargetMode="External"/><Relationship Id="rId3227" Type="http://schemas.openxmlformats.org/officeDocument/2006/relationships/hyperlink" Target="https://youtu.be/Rvub1wrT2wc" TargetMode="External"/><Relationship Id="rId3226" Type="http://schemas.openxmlformats.org/officeDocument/2006/relationships/hyperlink" Target="https://youtu.be/2v0HEK6dxOU" TargetMode="External"/><Relationship Id="rId3229" Type="http://schemas.openxmlformats.org/officeDocument/2006/relationships/hyperlink" Target="https://youtu.be/4nNC7K7PtAY" TargetMode="External"/><Relationship Id="rId3228" Type="http://schemas.openxmlformats.org/officeDocument/2006/relationships/hyperlink" Target="https://youtu.be/dj05sSh1pgc" TargetMode="External"/><Relationship Id="rId699" Type="http://schemas.openxmlformats.org/officeDocument/2006/relationships/hyperlink" Target="https://www.youtube.com/watch?v=0Rg2bzLavDo&amp;feature=youtu.be" TargetMode="External"/><Relationship Id="rId698" Type="http://schemas.openxmlformats.org/officeDocument/2006/relationships/hyperlink" Target="https://youtu.be/pNTnwcDaqmk" TargetMode="External"/><Relationship Id="rId693" Type="http://schemas.openxmlformats.org/officeDocument/2006/relationships/hyperlink" Target="https://youtu.be/7kqqCpbw98M" TargetMode="External"/><Relationship Id="rId692" Type="http://schemas.openxmlformats.org/officeDocument/2006/relationships/hyperlink" Target="https://youtu.be/V-mOAeBTW9M" TargetMode="External"/><Relationship Id="rId691" Type="http://schemas.openxmlformats.org/officeDocument/2006/relationships/hyperlink" Target="https://www.youtube.com/watch?v=jkbowpGJmEA&amp;feature=youtu.be&amp;ab_channel=SMSArchives" TargetMode="External"/><Relationship Id="rId3221" Type="http://schemas.openxmlformats.org/officeDocument/2006/relationships/hyperlink" Target="https://youtu.be/ZAZZPqkBtMg" TargetMode="External"/><Relationship Id="rId690" Type="http://schemas.openxmlformats.org/officeDocument/2006/relationships/hyperlink" Target="https://www.youtube.com/watch?v=M_yc1M89bBY&amp;feature=youtu.be&amp;ab_channel=SMSArchives" TargetMode="External"/><Relationship Id="rId3220" Type="http://schemas.openxmlformats.org/officeDocument/2006/relationships/hyperlink" Target="https://youtu.be/YxpK9Nc-PAc" TargetMode="External"/><Relationship Id="rId697" Type="http://schemas.openxmlformats.org/officeDocument/2006/relationships/hyperlink" Target="https://youtu.be/zUVQiGHZ3LU" TargetMode="External"/><Relationship Id="rId3223" Type="http://schemas.openxmlformats.org/officeDocument/2006/relationships/hyperlink" Target="https://youtu.be/gz34-kpuR84" TargetMode="External"/><Relationship Id="rId696" Type="http://schemas.openxmlformats.org/officeDocument/2006/relationships/hyperlink" Target="https://clips.twitch.tv/ConsiderateDistinctAxeCoolStoryBob-19NPmOF_2IyxfqeU" TargetMode="External"/><Relationship Id="rId3222" Type="http://schemas.openxmlformats.org/officeDocument/2006/relationships/hyperlink" Target="https://youtu.be/YEFaOcnCTJc" TargetMode="External"/><Relationship Id="rId695" Type="http://schemas.openxmlformats.org/officeDocument/2006/relationships/hyperlink" Target="https://youtu.be/iPWj-1zyNPw" TargetMode="External"/><Relationship Id="rId3225" Type="http://schemas.openxmlformats.org/officeDocument/2006/relationships/hyperlink" Target="https://youtu.be/vnxCm164M-4" TargetMode="External"/><Relationship Id="rId694" Type="http://schemas.openxmlformats.org/officeDocument/2006/relationships/hyperlink" Target="https://youtu.be/FWrUTyYldRM" TargetMode="External"/><Relationship Id="rId3224" Type="http://schemas.openxmlformats.org/officeDocument/2006/relationships/hyperlink" Target="https://youtu.be/UmwGM4VFmLI" TargetMode="External"/><Relationship Id="rId3259" Type="http://schemas.openxmlformats.org/officeDocument/2006/relationships/hyperlink" Target="https://youtu.be/UMITR6H3ak8?si=6kGYK72hUvOHQ8_y" TargetMode="External"/><Relationship Id="rId3250" Type="http://schemas.openxmlformats.org/officeDocument/2006/relationships/hyperlink" Target="https://youtu.be/nvYgK3GlasQ?si=4KKPx9FYaiyw-huD" TargetMode="External"/><Relationship Id="rId3252" Type="http://schemas.openxmlformats.org/officeDocument/2006/relationships/hyperlink" Target="https://youtu.be/F-L_0H0dkH8?si=3iEbNkydPHQuxKci" TargetMode="External"/><Relationship Id="rId3251" Type="http://schemas.openxmlformats.org/officeDocument/2006/relationships/hyperlink" Target="https://youtu.be/RozBWcj3Xms?si=0ZIMWhkWXv1OZKbM" TargetMode="External"/><Relationship Id="rId3254" Type="http://schemas.openxmlformats.org/officeDocument/2006/relationships/hyperlink" Target="https://youtu.be/u4Jshs_hDQU?si=I9fO7rGn11XZRnz_" TargetMode="External"/><Relationship Id="rId3253" Type="http://schemas.openxmlformats.org/officeDocument/2006/relationships/hyperlink" Target="https://youtu.be/cyNgZf4I7J8?si=kgHFS8Q-NitwcYba" TargetMode="External"/><Relationship Id="rId3256" Type="http://schemas.openxmlformats.org/officeDocument/2006/relationships/hyperlink" Target="https://youtu.be/nRn-WzY3vP4?si=L62X8p7BmDPZUgy0" TargetMode="External"/><Relationship Id="rId3255" Type="http://schemas.openxmlformats.org/officeDocument/2006/relationships/hyperlink" Target="https://youtu.be/KqaFjIrx8AY?si=qePtJy_-SZSBG7fX" TargetMode="External"/><Relationship Id="rId3258" Type="http://schemas.openxmlformats.org/officeDocument/2006/relationships/hyperlink" Target="https://youtu.be/sWqW5dT9sW4?si=qwey4CwMUP2Ni_Dp" TargetMode="External"/><Relationship Id="rId3257" Type="http://schemas.openxmlformats.org/officeDocument/2006/relationships/hyperlink" Target="https://youtu.be/ERJwbqMU_Vg?si=dcnhvEy8mdrAeabD" TargetMode="External"/><Relationship Id="rId3249" Type="http://schemas.openxmlformats.org/officeDocument/2006/relationships/hyperlink" Target="https://www.youtube.com/watch?v=vpl4gRZEW4I" TargetMode="External"/><Relationship Id="rId3248" Type="http://schemas.openxmlformats.org/officeDocument/2006/relationships/hyperlink" Target="https://youtu.be/iMVdp9EXeWA?si=Orqu2LXJLz_Quor1" TargetMode="External"/><Relationship Id="rId3241" Type="http://schemas.openxmlformats.org/officeDocument/2006/relationships/hyperlink" Target="https://youtu.be/R9wP8ND1I6s" TargetMode="External"/><Relationship Id="rId3240" Type="http://schemas.openxmlformats.org/officeDocument/2006/relationships/hyperlink" Target="https://www.youtube.com/watch?v=V87CeEi0AsQ" TargetMode="External"/><Relationship Id="rId3243" Type="http://schemas.openxmlformats.org/officeDocument/2006/relationships/hyperlink" Target="https://youtu.be/eFN7WguO3DU" TargetMode="External"/><Relationship Id="rId3242" Type="http://schemas.openxmlformats.org/officeDocument/2006/relationships/hyperlink" Target="https://youtu.be/t5hXpPGKNyA" TargetMode="External"/><Relationship Id="rId3245" Type="http://schemas.openxmlformats.org/officeDocument/2006/relationships/hyperlink" Target="https://youtu.be/yBg9ZMGNbi4?si=VuaNM2sOhwNHbci2" TargetMode="External"/><Relationship Id="rId3244" Type="http://schemas.openxmlformats.org/officeDocument/2006/relationships/hyperlink" Target="https://youtu.be/SlZxmUD-jaU?si=XUe0Ad1CF2A-0XDv" TargetMode="External"/><Relationship Id="rId3247" Type="http://schemas.openxmlformats.org/officeDocument/2006/relationships/hyperlink" Target="https://youtu.be/88JF97MUQOY?si=k8_Qzy7dL3HkUS0R" TargetMode="External"/><Relationship Id="rId3246" Type="http://schemas.openxmlformats.org/officeDocument/2006/relationships/hyperlink" Target="https://youtu.be/VeHaNjFmUZo?si=NrTtZAahUS1YfmwM" TargetMode="External"/><Relationship Id="rId1499" Type="http://schemas.openxmlformats.org/officeDocument/2006/relationships/hyperlink" Target="https://youtu.be/IGtEc4Md5A0" TargetMode="External"/><Relationship Id="rId668" Type="http://schemas.openxmlformats.org/officeDocument/2006/relationships/hyperlink" Target="https://youtu.be/kdjzCUQQ9RY" TargetMode="External"/><Relationship Id="rId667" Type="http://schemas.openxmlformats.org/officeDocument/2006/relationships/hyperlink" Target="https://youtu.be/dH9bVUCKmjg" TargetMode="External"/><Relationship Id="rId666" Type="http://schemas.openxmlformats.org/officeDocument/2006/relationships/hyperlink" Target="https://youtu.be/8q511lJN0_4" TargetMode="External"/><Relationship Id="rId665" Type="http://schemas.openxmlformats.org/officeDocument/2006/relationships/hyperlink" Target="https://youtu.be/vJ44H4pnBd0" TargetMode="External"/><Relationship Id="rId669" Type="http://schemas.openxmlformats.org/officeDocument/2006/relationships/hyperlink" Target="https://youtu.be/HDstB2uGV14" TargetMode="External"/><Relationship Id="rId1490" Type="http://schemas.openxmlformats.org/officeDocument/2006/relationships/hyperlink" Target="https://youtu.be/pLeVLw7ZCi4" TargetMode="External"/><Relationship Id="rId660" Type="http://schemas.openxmlformats.org/officeDocument/2006/relationships/hyperlink" Target="https://youtu.be/H3fIC0pnQJY" TargetMode="External"/><Relationship Id="rId1491" Type="http://schemas.openxmlformats.org/officeDocument/2006/relationships/hyperlink" Target="https://youtu.be/qNKf5o4ujCw&amp;t=2154" TargetMode="External"/><Relationship Id="rId1492" Type="http://schemas.openxmlformats.org/officeDocument/2006/relationships/hyperlink" Target="https://youtu.be/PKqSeiO5VXM" TargetMode="External"/><Relationship Id="rId1493" Type="http://schemas.openxmlformats.org/officeDocument/2006/relationships/hyperlink" Target="https://youtu.be/d5bgnBZvQWQ" TargetMode="External"/><Relationship Id="rId1494" Type="http://schemas.openxmlformats.org/officeDocument/2006/relationships/hyperlink" Target="https://youtu.be/G-3wIeZGwFY" TargetMode="External"/><Relationship Id="rId664" Type="http://schemas.openxmlformats.org/officeDocument/2006/relationships/hyperlink" Target="https://www.youtube.com/watch?v=YvsKyE8QJ3Y&amp;feature=youtu.be&amp;ab_channel=SMSArchives" TargetMode="External"/><Relationship Id="rId1495" Type="http://schemas.openxmlformats.org/officeDocument/2006/relationships/hyperlink" Target="https://youtu.be/JLmadWZDG3c" TargetMode="External"/><Relationship Id="rId663" Type="http://schemas.openxmlformats.org/officeDocument/2006/relationships/hyperlink" Target="https://youtu.be/NRlKHCavjXw" TargetMode="External"/><Relationship Id="rId1496" Type="http://schemas.openxmlformats.org/officeDocument/2006/relationships/hyperlink" Target="https://www.youtube.com/watch?v=VMuEtyCscuM" TargetMode="External"/><Relationship Id="rId662" Type="http://schemas.openxmlformats.org/officeDocument/2006/relationships/hyperlink" Target="https://youtu.be/frKpbTNvRRY" TargetMode="External"/><Relationship Id="rId1497" Type="http://schemas.openxmlformats.org/officeDocument/2006/relationships/hyperlink" Target="https://youtu.be/qCzEexPhnKQ" TargetMode="External"/><Relationship Id="rId661" Type="http://schemas.openxmlformats.org/officeDocument/2006/relationships/hyperlink" Target="https://youtu.be/wVpAff1Ez80" TargetMode="External"/><Relationship Id="rId1498" Type="http://schemas.openxmlformats.org/officeDocument/2006/relationships/hyperlink" Target="https://youtu.be/C2DzZoJqebE" TargetMode="External"/><Relationship Id="rId1488" Type="http://schemas.openxmlformats.org/officeDocument/2006/relationships/hyperlink" Target="https://youtu.be/pYhWsZ1sRLk" TargetMode="External"/><Relationship Id="rId1489" Type="http://schemas.openxmlformats.org/officeDocument/2006/relationships/hyperlink" Target="https://youtu.be/ecKz1OkF8sU" TargetMode="External"/><Relationship Id="rId657" Type="http://schemas.openxmlformats.org/officeDocument/2006/relationships/hyperlink" Target="https://youtu.be/gH1LT0nYQuQ" TargetMode="External"/><Relationship Id="rId656" Type="http://schemas.openxmlformats.org/officeDocument/2006/relationships/hyperlink" Target="https://www.youtube.com/watch?v=pXwYV6pySXg&amp;ab_channel=SMSArchives" TargetMode="External"/><Relationship Id="rId655" Type="http://schemas.openxmlformats.org/officeDocument/2006/relationships/hyperlink" Target="https://youtu.be/uvo_BN4EECs" TargetMode="External"/><Relationship Id="rId654" Type="http://schemas.openxmlformats.org/officeDocument/2006/relationships/hyperlink" Target="https://www.youtube.com/watch?v=syBmTiYiQas&amp;ab_channel=SMSArchives" TargetMode="External"/><Relationship Id="rId659" Type="http://schemas.openxmlformats.org/officeDocument/2006/relationships/hyperlink" Target="https://youtu.be/fAbcb0iobE4" TargetMode="External"/><Relationship Id="rId658" Type="http://schemas.openxmlformats.org/officeDocument/2006/relationships/hyperlink" Target="https://youtu.be/q6Caq8Dn0NE" TargetMode="External"/><Relationship Id="rId1480" Type="http://schemas.openxmlformats.org/officeDocument/2006/relationships/hyperlink" Target="https://youtu.be/cUSNzQKogaE" TargetMode="External"/><Relationship Id="rId1481" Type="http://schemas.openxmlformats.org/officeDocument/2006/relationships/hyperlink" Target="https://youtu.be/LNkZPZUIAkw" TargetMode="External"/><Relationship Id="rId1482" Type="http://schemas.openxmlformats.org/officeDocument/2006/relationships/hyperlink" Target="https://youtu.be/i9mYDPZfNqQ" TargetMode="External"/><Relationship Id="rId1483" Type="http://schemas.openxmlformats.org/officeDocument/2006/relationships/hyperlink" Target="https://youtu.be/PZfk1dY2Yxc" TargetMode="External"/><Relationship Id="rId653" Type="http://schemas.openxmlformats.org/officeDocument/2006/relationships/hyperlink" Target="https://youtu.be/cRBCygwIyWw" TargetMode="External"/><Relationship Id="rId1484" Type="http://schemas.openxmlformats.org/officeDocument/2006/relationships/hyperlink" Target="https://youtu.be/FvSeUy8urVM" TargetMode="External"/><Relationship Id="rId652" Type="http://schemas.openxmlformats.org/officeDocument/2006/relationships/hyperlink" Target="https://youtu.be/70hlEXUtZm8" TargetMode="External"/><Relationship Id="rId1485" Type="http://schemas.openxmlformats.org/officeDocument/2006/relationships/hyperlink" Target="https://youtu.be/sMnO-bO0Ihg" TargetMode="External"/><Relationship Id="rId651" Type="http://schemas.openxmlformats.org/officeDocument/2006/relationships/hyperlink" Target="https://youtu.be/U8mf5p7hKv8" TargetMode="External"/><Relationship Id="rId1486" Type="http://schemas.openxmlformats.org/officeDocument/2006/relationships/hyperlink" Target="https://youtu.be/T79uoXoFC7k" TargetMode="External"/><Relationship Id="rId650" Type="http://schemas.openxmlformats.org/officeDocument/2006/relationships/hyperlink" Target="https://youtu.be/n5SUQk6Q9Ns" TargetMode="External"/><Relationship Id="rId1487" Type="http://schemas.openxmlformats.org/officeDocument/2006/relationships/hyperlink" Target="https://youtu.be/jYp1YA6aYEI" TargetMode="External"/><Relationship Id="rId3216" Type="http://schemas.openxmlformats.org/officeDocument/2006/relationships/hyperlink" Target="https://youtu.be/oqnUAc-eCOQ" TargetMode="External"/><Relationship Id="rId3215" Type="http://schemas.openxmlformats.org/officeDocument/2006/relationships/hyperlink" Target="https://youtu.be/NDZ498hO4ps" TargetMode="External"/><Relationship Id="rId3218" Type="http://schemas.openxmlformats.org/officeDocument/2006/relationships/hyperlink" Target="https://youtu.be/ut2EL2pR3q4" TargetMode="External"/><Relationship Id="rId3217" Type="http://schemas.openxmlformats.org/officeDocument/2006/relationships/hyperlink" Target="https://youtu.be/3Mna_6YKMV0" TargetMode="External"/><Relationship Id="rId3219" Type="http://schemas.openxmlformats.org/officeDocument/2006/relationships/hyperlink" Target="https://youtu.be/uePJ0EltjPY" TargetMode="External"/><Relationship Id="rId689" Type="http://schemas.openxmlformats.org/officeDocument/2006/relationships/hyperlink" Target="https://www.youtube.com/watch?v=BCspeHCQF_U" TargetMode="External"/><Relationship Id="rId688" Type="http://schemas.openxmlformats.org/officeDocument/2006/relationships/hyperlink" Target="https://youtu.be/KVpRmNsSd1Q" TargetMode="External"/><Relationship Id="rId687" Type="http://schemas.openxmlformats.org/officeDocument/2006/relationships/hyperlink" Target="https://www.youtube.com/watch?v=fk-lEUJajQE" TargetMode="External"/><Relationship Id="rId682" Type="http://schemas.openxmlformats.org/officeDocument/2006/relationships/hyperlink" Target="https://www.youtube.com/watch?v=4vxlY_jm07w&amp;ab_channel=SMSArchives" TargetMode="External"/><Relationship Id="rId681" Type="http://schemas.openxmlformats.org/officeDocument/2006/relationships/hyperlink" Target="https://youtu.be/E9PMitSOouQ?t=4" TargetMode="External"/><Relationship Id="rId680" Type="http://schemas.openxmlformats.org/officeDocument/2006/relationships/hyperlink" Target="https://www.youtube.com/watch?v=BHx7YcA48w4&amp;ab_channel=SMSArchives" TargetMode="External"/><Relationship Id="rId3210" Type="http://schemas.openxmlformats.org/officeDocument/2006/relationships/hyperlink" Target="https://youtu.be/GKyOB2A6rIk" TargetMode="External"/><Relationship Id="rId686" Type="http://schemas.openxmlformats.org/officeDocument/2006/relationships/hyperlink" Target="https://www.youtube.com/watch?v=-HgG_TQVvt8&amp;feature=youtu.be&amp;ab_channel=SMSArchives" TargetMode="External"/><Relationship Id="rId3212" Type="http://schemas.openxmlformats.org/officeDocument/2006/relationships/hyperlink" Target="https://youtu.be/odNZqs6N5oA" TargetMode="External"/><Relationship Id="rId685" Type="http://schemas.openxmlformats.org/officeDocument/2006/relationships/hyperlink" Target="https://youtu.be/JYctGlN7n4c" TargetMode="External"/><Relationship Id="rId3211" Type="http://schemas.openxmlformats.org/officeDocument/2006/relationships/hyperlink" Target="https://youtu.be/yLG7eoGL-7A" TargetMode="External"/><Relationship Id="rId684" Type="http://schemas.openxmlformats.org/officeDocument/2006/relationships/hyperlink" Target="https://youtu.be/ZVx314GtAOQ?t=20" TargetMode="External"/><Relationship Id="rId3214" Type="http://schemas.openxmlformats.org/officeDocument/2006/relationships/hyperlink" Target="https://youtu.be/YZg4WEuElJI" TargetMode="External"/><Relationship Id="rId683" Type="http://schemas.openxmlformats.org/officeDocument/2006/relationships/hyperlink" Target="https://youtu.be/ZVx314GtAOQ" TargetMode="External"/><Relationship Id="rId3213" Type="http://schemas.openxmlformats.org/officeDocument/2006/relationships/hyperlink" Target="https://youtu.be/iXRFMomp1lw" TargetMode="External"/><Relationship Id="rId3205" Type="http://schemas.openxmlformats.org/officeDocument/2006/relationships/hyperlink" Target="https://clips.twitch.tv/OnerousBlindingRedpandaAMPEnergy" TargetMode="External"/><Relationship Id="rId3204" Type="http://schemas.openxmlformats.org/officeDocument/2006/relationships/hyperlink" Target="https://youtu.be/dMj6gcrcCN0" TargetMode="External"/><Relationship Id="rId3207" Type="http://schemas.openxmlformats.org/officeDocument/2006/relationships/hyperlink" Target="https://youtu.be/hobNE1dk8yc" TargetMode="External"/><Relationship Id="rId3206" Type="http://schemas.openxmlformats.org/officeDocument/2006/relationships/hyperlink" Target="https://youtu.be/Ee2Kgonkzns" TargetMode="External"/><Relationship Id="rId3209" Type="http://schemas.openxmlformats.org/officeDocument/2006/relationships/hyperlink" Target="https://youtu.be/Qk97_U7SbEM" TargetMode="External"/><Relationship Id="rId3208" Type="http://schemas.openxmlformats.org/officeDocument/2006/relationships/hyperlink" Target="https://youtu.be/2w_O0zyHFmY" TargetMode="External"/><Relationship Id="rId679" Type="http://schemas.openxmlformats.org/officeDocument/2006/relationships/hyperlink" Target="https://youtu.be/W75tQ-PXWNk" TargetMode="External"/><Relationship Id="rId678" Type="http://schemas.openxmlformats.org/officeDocument/2006/relationships/hyperlink" Target="https://youtu.be/N95AyQuEcXE" TargetMode="External"/><Relationship Id="rId677" Type="http://schemas.openxmlformats.org/officeDocument/2006/relationships/hyperlink" Target="https://youtu.be/lvfeXVEBQnM" TargetMode="External"/><Relationship Id="rId676" Type="http://schemas.openxmlformats.org/officeDocument/2006/relationships/hyperlink" Target="https://youtu.be/KiY74ljhe-Q" TargetMode="External"/><Relationship Id="rId671" Type="http://schemas.openxmlformats.org/officeDocument/2006/relationships/hyperlink" Target="https://youtu.be/utt33SVcXPk" TargetMode="External"/><Relationship Id="rId670" Type="http://schemas.openxmlformats.org/officeDocument/2006/relationships/hyperlink" Target="https://youtu.be/diXmhH7mF-s" TargetMode="External"/><Relationship Id="rId675" Type="http://schemas.openxmlformats.org/officeDocument/2006/relationships/hyperlink" Target="https://youtu.be/EpyDbsYfOPU" TargetMode="External"/><Relationship Id="rId3201" Type="http://schemas.openxmlformats.org/officeDocument/2006/relationships/hyperlink" Target="https://clips.twitch.tv/EnticingGoldenCroquetteANELE" TargetMode="External"/><Relationship Id="rId674" Type="http://schemas.openxmlformats.org/officeDocument/2006/relationships/hyperlink" Target="https://www.youtube.com/watch?v=0fVENL6XOKc&amp;feature=youtu.be&amp;ab_channel=SMSArchives" TargetMode="External"/><Relationship Id="rId3200" Type="http://schemas.openxmlformats.org/officeDocument/2006/relationships/hyperlink" Target="https://youtu.be/zbchXOsKbPY" TargetMode="External"/><Relationship Id="rId673" Type="http://schemas.openxmlformats.org/officeDocument/2006/relationships/hyperlink" Target="https://youtu.be/O2HNTOlWLC4" TargetMode="External"/><Relationship Id="rId3203" Type="http://schemas.openxmlformats.org/officeDocument/2006/relationships/hyperlink" Target="https://youtu.be/hudCn3r08_8" TargetMode="External"/><Relationship Id="rId672" Type="http://schemas.openxmlformats.org/officeDocument/2006/relationships/hyperlink" Target="https://youtu.be/aNPunu-0qWM" TargetMode="External"/><Relationship Id="rId3202" Type="http://schemas.openxmlformats.org/officeDocument/2006/relationships/hyperlink" Target="https://youtu.be/pcjir39OTPI" TargetMode="External"/><Relationship Id="rId190" Type="http://schemas.openxmlformats.org/officeDocument/2006/relationships/hyperlink" Target="https://youtu.be/Bm4GA8pbc04" TargetMode="External"/><Relationship Id="rId194" Type="http://schemas.openxmlformats.org/officeDocument/2006/relationships/hyperlink" Target="https://youtu.be/-mkbBGI1j4E" TargetMode="External"/><Relationship Id="rId193" Type="http://schemas.openxmlformats.org/officeDocument/2006/relationships/hyperlink" Target="https://youtu.be/9xdcEVyiBHI" TargetMode="External"/><Relationship Id="rId192" Type="http://schemas.openxmlformats.org/officeDocument/2006/relationships/hyperlink" Target="https://youtu.be/Y0_Bnx8L9RE" TargetMode="External"/><Relationship Id="rId191" Type="http://schemas.openxmlformats.org/officeDocument/2006/relationships/hyperlink" Target="https://youtu.be/8Y5Ph2vnEBE" TargetMode="External"/><Relationship Id="rId187" Type="http://schemas.openxmlformats.org/officeDocument/2006/relationships/hyperlink" Target="https://youtu.be/iLzPi8FxPak" TargetMode="External"/><Relationship Id="rId186" Type="http://schemas.openxmlformats.org/officeDocument/2006/relationships/hyperlink" Target="https://youtu.be/IVcyPcMd7P4" TargetMode="External"/><Relationship Id="rId185" Type="http://schemas.openxmlformats.org/officeDocument/2006/relationships/hyperlink" Target="https://youtu.be/G-lOwUjskV0" TargetMode="External"/><Relationship Id="rId184" Type="http://schemas.openxmlformats.org/officeDocument/2006/relationships/hyperlink" Target="https://youtu.be/5vF7z8KVCSY" TargetMode="External"/><Relationship Id="rId189" Type="http://schemas.openxmlformats.org/officeDocument/2006/relationships/hyperlink" Target="https://youtu.be/dS8SJtGhgYM" TargetMode="External"/><Relationship Id="rId188" Type="http://schemas.openxmlformats.org/officeDocument/2006/relationships/hyperlink" Target="https://youtu.be/kmCc9enF1A4" TargetMode="External"/><Relationship Id="rId183" Type="http://schemas.openxmlformats.org/officeDocument/2006/relationships/hyperlink" Target="https://youtu.be/nNnN6A9iRjs" TargetMode="External"/><Relationship Id="rId182" Type="http://schemas.openxmlformats.org/officeDocument/2006/relationships/hyperlink" Target="https://youtu.be/Xjqq8shhBt0" TargetMode="External"/><Relationship Id="rId181" Type="http://schemas.openxmlformats.org/officeDocument/2006/relationships/hyperlink" Target="https://youtu.be/e_4PYIQN7as" TargetMode="External"/><Relationship Id="rId180" Type="http://schemas.openxmlformats.org/officeDocument/2006/relationships/hyperlink" Target="https://youtu.be/e6P8LVdj07I" TargetMode="External"/><Relationship Id="rId176" Type="http://schemas.openxmlformats.org/officeDocument/2006/relationships/hyperlink" Target="https://youtu.be/Ut-NcR3WkzY" TargetMode="External"/><Relationship Id="rId175" Type="http://schemas.openxmlformats.org/officeDocument/2006/relationships/hyperlink" Target="https://youtu.be/N8Yq08Azc_Q" TargetMode="External"/><Relationship Id="rId174" Type="http://schemas.openxmlformats.org/officeDocument/2006/relationships/hyperlink" Target="https://youtu.be/mAUm7J2ETQE" TargetMode="External"/><Relationship Id="rId173" Type="http://schemas.openxmlformats.org/officeDocument/2006/relationships/hyperlink" Target="https://youtu.be/E0AlqZa1ePA" TargetMode="External"/><Relationship Id="rId179" Type="http://schemas.openxmlformats.org/officeDocument/2006/relationships/hyperlink" Target="https://youtu.be/_U38RXAaHgY" TargetMode="External"/><Relationship Id="rId178" Type="http://schemas.openxmlformats.org/officeDocument/2006/relationships/hyperlink" Target="https://youtu.be/oRRyiJhLK00" TargetMode="External"/><Relationship Id="rId177" Type="http://schemas.openxmlformats.org/officeDocument/2006/relationships/hyperlink" Target="https://youtu.be/Sw5tD_FTCFI" TargetMode="External"/><Relationship Id="rId198" Type="http://schemas.openxmlformats.org/officeDocument/2006/relationships/hyperlink" Target="https://youtu.be/ycu_W4iBcPg" TargetMode="External"/><Relationship Id="rId197" Type="http://schemas.openxmlformats.org/officeDocument/2006/relationships/hyperlink" Target="https://youtu.be/sEOMgkdxEBE" TargetMode="External"/><Relationship Id="rId196" Type="http://schemas.openxmlformats.org/officeDocument/2006/relationships/hyperlink" Target="https://youtu.be/FCjaDQpR8mo" TargetMode="External"/><Relationship Id="rId195" Type="http://schemas.openxmlformats.org/officeDocument/2006/relationships/hyperlink" Target="https://youtu.be/SO2Huc1LsXY" TargetMode="External"/><Relationship Id="rId199" Type="http://schemas.openxmlformats.org/officeDocument/2006/relationships/hyperlink" Target="https://youtu.be/kbs-FSaXOdo" TargetMode="External"/><Relationship Id="rId150" Type="http://schemas.openxmlformats.org/officeDocument/2006/relationships/hyperlink" Target="https://youtu.be/kTDKEqn3tUo" TargetMode="External"/><Relationship Id="rId149" Type="http://schemas.openxmlformats.org/officeDocument/2006/relationships/hyperlink" Target="https://youtu.be/OoTFUpOruzQ" TargetMode="External"/><Relationship Id="rId148" Type="http://schemas.openxmlformats.org/officeDocument/2006/relationships/hyperlink" Target="https://youtu.be/AzidHqjOQrY" TargetMode="External"/><Relationship Id="rId3270" Type="http://schemas.openxmlformats.org/officeDocument/2006/relationships/hyperlink" Target="https://youtu.be/h3n62MI-loE?si=rePsiAvUque-RRxZ" TargetMode="External"/><Relationship Id="rId3272" Type="http://schemas.openxmlformats.org/officeDocument/2006/relationships/hyperlink" Target="https://youtu.be/VEWojbDRB5g" TargetMode="External"/><Relationship Id="rId3271" Type="http://schemas.openxmlformats.org/officeDocument/2006/relationships/hyperlink" Target="https://youtu.be/r3q1u9Kywi0?si=xS1f7aqJPLUudKS9" TargetMode="External"/><Relationship Id="rId143" Type="http://schemas.openxmlformats.org/officeDocument/2006/relationships/hyperlink" Target="https://youtu.be/G7ZKRSLm7Ss" TargetMode="External"/><Relationship Id="rId3274" Type="http://schemas.openxmlformats.org/officeDocument/2006/relationships/hyperlink" Target="https://youtu.be/jm7cQ1q_Ev8" TargetMode="External"/><Relationship Id="rId142" Type="http://schemas.openxmlformats.org/officeDocument/2006/relationships/hyperlink" Target="https://youtu.be/sr8-35s3szM" TargetMode="External"/><Relationship Id="rId3273" Type="http://schemas.openxmlformats.org/officeDocument/2006/relationships/hyperlink" Target="https://youtu.be/kaGzTfzwFJE" TargetMode="External"/><Relationship Id="rId141" Type="http://schemas.openxmlformats.org/officeDocument/2006/relationships/hyperlink" Target="https://youtu.be/hrx6t6PsRec" TargetMode="External"/><Relationship Id="rId3276" Type="http://schemas.openxmlformats.org/officeDocument/2006/relationships/hyperlink" Target="https://youtu.be/pdL09gCEx0o" TargetMode="External"/><Relationship Id="rId140" Type="http://schemas.openxmlformats.org/officeDocument/2006/relationships/hyperlink" Target="https://youtu.be/KrettlTfhBY" TargetMode="External"/><Relationship Id="rId3275" Type="http://schemas.openxmlformats.org/officeDocument/2006/relationships/hyperlink" Target="https://youtu.be/WvBLxMdbnes" TargetMode="External"/><Relationship Id="rId147" Type="http://schemas.openxmlformats.org/officeDocument/2006/relationships/hyperlink" Target="https://youtu.be/_vR3jZU-bbA" TargetMode="External"/><Relationship Id="rId3278" Type="http://schemas.openxmlformats.org/officeDocument/2006/relationships/hyperlink" Target="https://youtu.be/vOrhzrLsIhs" TargetMode="External"/><Relationship Id="rId146" Type="http://schemas.openxmlformats.org/officeDocument/2006/relationships/hyperlink" Target="https://youtu.be/y8VrWQkqapM" TargetMode="External"/><Relationship Id="rId3277" Type="http://schemas.openxmlformats.org/officeDocument/2006/relationships/hyperlink" Target="https://youtu.be/_HO24zetxpY" TargetMode="External"/><Relationship Id="rId145" Type="http://schemas.openxmlformats.org/officeDocument/2006/relationships/hyperlink" Target="https://youtu.be/nScVsxZinnY" TargetMode="External"/><Relationship Id="rId144" Type="http://schemas.openxmlformats.org/officeDocument/2006/relationships/hyperlink" Target="https://youtu.be/3UCDoxGUiMQ" TargetMode="External"/><Relationship Id="rId3279" Type="http://schemas.openxmlformats.org/officeDocument/2006/relationships/hyperlink" Target="https://youtu.be/hJOFOIdXjeY" TargetMode="External"/><Relationship Id="rId139" Type="http://schemas.openxmlformats.org/officeDocument/2006/relationships/hyperlink" Target="https://youtu.be/hLqcwSlUmJI" TargetMode="External"/><Relationship Id="rId138" Type="http://schemas.openxmlformats.org/officeDocument/2006/relationships/hyperlink" Target="https://youtu.be/6eZ247-Intk" TargetMode="External"/><Relationship Id="rId137" Type="http://schemas.openxmlformats.org/officeDocument/2006/relationships/hyperlink" Target="https://youtu.be/lI720L0pgPs" TargetMode="External"/><Relationship Id="rId3261" Type="http://schemas.openxmlformats.org/officeDocument/2006/relationships/hyperlink" Target="https://youtu.be/qLr3OT1tTeo?si=G_4Q0tikT-PNCb6l" TargetMode="External"/><Relationship Id="rId3260" Type="http://schemas.openxmlformats.org/officeDocument/2006/relationships/hyperlink" Target="https://youtu.be/mHGNs-OF7cc?si=N-Zi6PfPAyuyqVBf" TargetMode="External"/><Relationship Id="rId132" Type="http://schemas.openxmlformats.org/officeDocument/2006/relationships/hyperlink" Target="https://youtu.be/MRr3K9-CgXA" TargetMode="External"/><Relationship Id="rId3263" Type="http://schemas.openxmlformats.org/officeDocument/2006/relationships/hyperlink" Target="https://youtu.be/wolelJpkmB4?si=VHWrIadIVhze9Yi4" TargetMode="External"/><Relationship Id="rId131" Type="http://schemas.openxmlformats.org/officeDocument/2006/relationships/hyperlink" Target="https://youtu.be/axRUDJiOFdc" TargetMode="External"/><Relationship Id="rId3262" Type="http://schemas.openxmlformats.org/officeDocument/2006/relationships/hyperlink" Target="https://youtu.be/MC2obL5aGuQ?si=Rowa582txwclwq-z" TargetMode="External"/><Relationship Id="rId130" Type="http://schemas.openxmlformats.org/officeDocument/2006/relationships/hyperlink" Target="https://youtu.be/ZrUDpq5YIYk" TargetMode="External"/><Relationship Id="rId3265" Type="http://schemas.openxmlformats.org/officeDocument/2006/relationships/hyperlink" Target="https://youtu.be/H8UeSAC-sWk?si=LeXWMKHsBazFl6Da" TargetMode="External"/><Relationship Id="rId3264" Type="http://schemas.openxmlformats.org/officeDocument/2006/relationships/hyperlink" Target="https://youtu.be/k0yY2duK3Ys?si=lg44ooRijJfIK0Sv" TargetMode="External"/><Relationship Id="rId136" Type="http://schemas.openxmlformats.org/officeDocument/2006/relationships/hyperlink" Target="https://youtu.be/WdUb5ytzcy0" TargetMode="External"/><Relationship Id="rId3267" Type="http://schemas.openxmlformats.org/officeDocument/2006/relationships/hyperlink" Target="https://youtu.be/TSZkWd4NySA?si=J04N-vvkD6UUnCvG" TargetMode="External"/><Relationship Id="rId135" Type="http://schemas.openxmlformats.org/officeDocument/2006/relationships/hyperlink" Target="https://youtu.be/-TFh1R9JRZU" TargetMode="External"/><Relationship Id="rId3266" Type="http://schemas.openxmlformats.org/officeDocument/2006/relationships/hyperlink" Target="https://youtu.be/ts2SmqPB6to?si=wcYtebU5-TxduPMX" TargetMode="External"/><Relationship Id="rId134" Type="http://schemas.openxmlformats.org/officeDocument/2006/relationships/hyperlink" Target="https://youtu.be/CG5OJeNOPn0" TargetMode="External"/><Relationship Id="rId3269" Type="http://schemas.openxmlformats.org/officeDocument/2006/relationships/hyperlink" Target="https://youtu.be/5tNT76py6Wk?si=vJsCPy3IBliXh8Qk" TargetMode="External"/><Relationship Id="rId133" Type="http://schemas.openxmlformats.org/officeDocument/2006/relationships/hyperlink" Target="https://youtu.be/9IQVw8IoUMw" TargetMode="External"/><Relationship Id="rId3268" Type="http://schemas.openxmlformats.org/officeDocument/2006/relationships/hyperlink" Target="https://youtu.be/bDy0q2TBExw?si=2XNdJyAk5tBiwhrn" TargetMode="External"/><Relationship Id="rId172" Type="http://schemas.openxmlformats.org/officeDocument/2006/relationships/hyperlink" Target="https://youtu.be/aBzvS1falz0" TargetMode="External"/><Relationship Id="rId171" Type="http://schemas.openxmlformats.org/officeDocument/2006/relationships/hyperlink" Target="https://youtu.be/bmCJVaImn9Y" TargetMode="External"/><Relationship Id="rId170" Type="http://schemas.openxmlformats.org/officeDocument/2006/relationships/hyperlink" Target="https://youtu.be/nHA6BVJ6mwQ" TargetMode="External"/><Relationship Id="rId3290" Type="http://schemas.openxmlformats.org/officeDocument/2006/relationships/hyperlink" Target="https://youtu.be/z_We7WPUtVw" TargetMode="External"/><Relationship Id="rId3292" Type="http://schemas.openxmlformats.org/officeDocument/2006/relationships/hyperlink" Target="https://youtu.be/K4Bpa4J7Sc0" TargetMode="External"/><Relationship Id="rId3291" Type="http://schemas.openxmlformats.org/officeDocument/2006/relationships/hyperlink" Target="https://youtu.be/bqKTMlMmr2c" TargetMode="External"/><Relationship Id="rId3294" Type="http://schemas.openxmlformats.org/officeDocument/2006/relationships/hyperlink" Target="https://youtu.be/5Us0VMAHyDM" TargetMode="External"/><Relationship Id="rId3293" Type="http://schemas.openxmlformats.org/officeDocument/2006/relationships/hyperlink" Target="https://youtu.be/X7rJV7KOVYQ" TargetMode="External"/><Relationship Id="rId165" Type="http://schemas.openxmlformats.org/officeDocument/2006/relationships/hyperlink" Target="https://youtu.be/ue0zvmBHqAg" TargetMode="External"/><Relationship Id="rId3296" Type="http://schemas.openxmlformats.org/officeDocument/2006/relationships/hyperlink" Target="https://youtu.be/QjvRF9dDu7Q" TargetMode="External"/><Relationship Id="rId164" Type="http://schemas.openxmlformats.org/officeDocument/2006/relationships/hyperlink" Target="https://youtu.be/CbOKw_Wf8YY" TargetMode="External"/><Relationship Id="rId3295" Type="http://schemas.openxmlformats.org/officeDocument/2006/relationships/hyperlink" Target="https://youtu.be/L0kwtUs8tjs" TargetMode="External"/><Relationship Id="rId163" Type="http://schemas.openxmlformats.org/officeDocument/2006/relationships/hyperlink" Target="https://youtu.be/FgS3d3bfVOQ" TargetMode="External"/><Relationship Id="rId3298" Type="http://schemas.openxmlformats.org/officeDocument/2006/relationships/hyperlink" Target="https://youtu.be/rwx07fh8Tf0" TargetMode="External"/><Relationship Id="rId162" Type="http://schemas.openxmlformats.org/officeDocument/2006/relationships/hyperlink" Target="https://youtu.be/IONmc9QAwO4" TargetMode="External"/><Relationship Id="rId3297" Type="http://schemas.openxmlformats.org/officeDocument/2006/relationships/hyperlink" Target="https://youtu.be/hZTfAUGA5eU" TargetMode="External"/><Relationship Id="rId169" Type="http://schemas.openxmlformats.org/officeDocument/2006/relationships/hyperlink" Target="https://youtu.be/WeDb2gVk3cs" TargetMode="External"/><Relationship Id="rId168" Type="http://schemas.openxmlformats.org/officeDocument/2006/relationships/hyperlink" Target="https://youtu.be/KzJrpVkXTL4" TargetMode="External"/><Relationship Id="rId3299" Type="http://schemas.openxmlformats.org/officeDocument/2006/relationships/hyperlink" Target="https://youtu.be/0UhBlgNLJ4k" TargetMode="External"/><Relationship Id="rId167" Type="http://schemas.openxmlformats.org/officeDocument/2006/relationships/hyperlink" Target="https://youtu.be/51us-fmOOes" TargetMode="External"/><Relationship Id="rId166" Type="http://schemas.openxmlformats.org/officeDocument/2006/relationships/hyperlink" Target="https://youtu.be/npCrBEpnpus" TargetMode="External"/><Relationship Id="rId161" Type="http://schemas.openxmlformats.org/officeDocument/2006/relationships/hyperlink" Target="https://youtu.be/ONFJ9k-ddXs" TargetMode="External"/><Relationship Id="rId160" Type="http://schemas.openxmlformats.org/officeDocument/2006/relationships/hyperlink" Target="https://youtu.be/RzNzO3hWB00" TargetMode="External"/><Relationship Id="rId159" Type="http://schemas.openxmlformats.org/officeDocument/2006/relationships/hyperlink" Target="https://youtu.be/xju5-hCS47g" TargetMode="External"/><Relationship Id="rId3281" Type="http://schemas.openxmlformats.org/officeDocument/2006/relationships/hyperlink" Target="https://youtu.be/nlrPDrjW3lQ" TargetMode="External"/><Relationship Id="rId3280" Type="http://schemas.openxmlformats.org/officeDocument/2006/relationships/hyperlink" Target="https://youtu.be/elOuhLU-n_c" TargetMode="External"/><Relationship Id="rId3283" Type="http://schemas.openxmlformats.org/officeDocument/2006/relationships/hyperlink" Target="https://youtu.be/pJGbyLD9QYA" TargetMode="External"/><Relationship Id="rId3282" Type="http://schemas.openxmlformats.org/officeDocument/2006/relationships/hyperlink" Target="https://youtu.be/a0bnPVCnIRc" TargetMode="External"/><Relationship Id="rId154" Type="http://schemas.openxmlformats.org/officeDocument/2006/relationships/hyperlink" Target="https://youtu.be/5-9l1rH9mEw" TargetMode="External"/><Relationship Id="rId3285" Type="http://schemas.openxmlformats.org/officeDocument/2006/relationships/hyperlink" Target="https://youtu.be/dlmjF1JKAwg" TargetMode="External"/><Relationship Id="rId153" Type="http://schemas.openxmlformats.org/officeDocument/2006/relationships/hyperlink" Target="https://youtu.be/31FQiJUFINE" TargetMode="External"/><Relationship Id="rId3284" Type="http://schemas.openxmlformats.org/officeDocument/2006/relationships/hyperlink" Target="https://youtu.be/wA8kiGbhfZE" TargetMode="External"/><Relationship Id="rId152" Type="http://schemas.openxmlformats.org/officeDocument/2006/relationships/hyperlink" Target="https://youtu.be/UR7ZMBOYxIA" TargetMode="External"/><Relationship Id="rId3287" Type="http://schemas.openxmlformats.org/officeDocument/2006/relationships/hyperlink" Target="https://youtu.be/Nh3rB0QfbIE" TargetMode="External"/><Relationship Id="rId151" Type="http://schemas.openxmlformats.org/officeDocument/2006/relationships/hyperlink" Target="https://youtu.be/IcMp1u1HA7U" TargetMode="External"/><Relationship Id="rId3286" Type="http://schemas.openxmlformats.org/officeDocument/2006/relationships/hyperlink" Target="https://youtu.be/HvP3lvkcZGw" TargetMode="External"/><Relationship Id="rId158" Type="http://schemas.openxmlformats.org/officeDocument/2006/relationships/hyperlink" Target="https://youtu.be/UNibrH7ZgHQ" TargetMode="External"/><Relationship Id="rId3289" Type="http://schemas.openxmlformats.org/officeDocument/2006/relationships/hyperlink" Target="https://youtu.be/bvygfLAU1AU" TargetMode="External"/><Relationship Id="rId157" Type="http://schemas.openxmlformats.org/officeDocument/2006/relationships/hyperlink" Target="https://youtu.be/0KK1hD5i0r8" TargetMode="External"/><Relationship Id="rId3288" Type="http://schemas.openxmlformats.org/officeDocument/2006/relationships/hyperlink" Target="https://youtu.be/y3Ad_ddcjhc" TargetMode="External"/><Relationship Id="rId156" Type="http://schemas.openxmlformats.org/officeDocument/2006/relationships/hyperlink" Target="https://youtu.be/_nlkixR9jGk" TargetMode="External"/><Relationship Id="rId155" Type="http://schemas.openxmlformats.org/officeDocument/2006/relationships/hyperlink" Target="https://youtu.be/DL2Dqe5MJ8o" TargetMode="External"/><Relationship Id="rId2820" Type="http://schemas.openxmlformats.org/officeDocument/2006/relationships/hyperlink" Target="https://www.youtube.com/watch?v=R6Z2hlXNP_s" TargetMode="External"/><Relationship Id="rId2821" Type="http://schemas.openxmlformats.org/officeDocument/2006/relationships/hyperlink" Target="https://www.youtube.com/watch?v=av8RYlL5eFU&amp;ab_channel=invictusspiritus" TargetMode="External"/><Relationship Id="rId2822" Type="http://schemas.openxmlformats.org/officeDocument/2006/relationships/hyperlink" Target="https://www.youtube.com/watch?v=fqnCsypGLoU" TargetMode="External"/><Relationship Id="rId2823" Type="http://schemas.openxmlformats.org/officeDocument/2006/relationships/hyperlink" Target="https://www.youtube.com/watch?v=j03BeE8kE-Q" TargetMode="External"/><Relationship Id="rId2824" Type="http://schemas.openxmlformats.org/officeDocument/2006/relationships/hyperlink" Target="https://www.youtube.com/watch?v=pgD1UokAWs4" TargetMode="External"/><Relationship Id="rId2825" Type="http://schemas.openxmlformats.org/officeDocument/2006/relationships/hyperlink" Target="https://www.youtube.com/watch?v=eT9cKclN0jY" TargetMode="External"/><Relationship Id="rId2826" Type="http://schemas.openxmlformats.org/officeDocument/2006/relationships/hyperlink" Target="https://www.youtube.com/watch?v=yna1Rdjro7Y" TargetMode="External"/><Relationship Id="rId2827" Type="http://schemas.openxmlformats.org/officeDocument/2006/relationships/hyperlink" Target="https://youtu.be/oXBFmXLK0To" TargetMode="External"/><Relationship Id="rId2828" Type="http://schemas.openxmlformats.org/officeDocument/2006/relationships/hyperlink" Target="https://www.youtube.com/watch?v=kvghrMTg8JU" TargetMode="External"/><Relationship Id="rId2829" Type="http://schemas.openxmlformats.org/officeDocument/2006/relationships/hyperlink" Target="https://www.youtube.com/watch?v=zRgzkmHIN7U" TargetMode="External"/><Relationship Id="rId2810" Type="http://schemas.openxmlformats.org/officeDocument/2006/relationships/hyperlink" Target="https://www.youtube.com/watch?v=fy2IergLfn0" TargetMode="External"/><Relationship Id="rId2811" Type="http://schemas.openxmlformats.org/officeDocument/2006/relationships/hyperlink" Target="https://www.youtube.com/watch?v=1ipHH6_szAk" TargetMode="External"/><Relationship Id="rId2812" Type="http://schemas.openxmlformats.org/officeDocument/2006/relationships/hyperlink" Target="https://youtu.be/bHlc67Zo1Lw" TargetMode="External"/><Relationship Id="rId2813" Type="http://schemas.openxmlformats.org/officeDocument/2006/relationships/hyperlink" Target="https://www.youtube.com/watch?v=gdajIaEjlX8" TargetMode="External"/><Relationship Id="rId2814" Type="http://schemas.openxmlformats.org/officeDocument/2006/relationships/hyperlink" Target="https://www.twitch.tv/videos/2605684730" TargetMode="External"/><Relationship Id="rId2815" Type="http://schemas.openxmlformats.org/officeDocument/2006/relationships/hyperlink" Target="https://www.twitch.tv/videos/2607694997" TargetMode="External"/><Relationship Id="rId2816" Type="http://schemas.openxmlformats.org/officeDocument/2006/relationships/hyperlink" Target="https://www.youtube.com/watch?v=Uc82W7KatLE" TargetMode="External"/><Relationship Id="rId2817" Type="http://schemas.openxmlformats.org/officeDocument/2006/relationships/hyperlink" Target="https://www.youtube.com/watch?v=uXGumA7aQCs" TargetMode="External"/><Relationship Id="rId2818" Type="http://schemas.openxmlformats.org/officeDocument/2006/relationships/hyperlink" Target="https://www.youtube.com/watch?v=NSRVrhUDS-w" TargetMode="External"/><Relationship Id="rId2819" Type="http://schemas.openxmlformats.org/officeDocument/2006/relationships/hyperlink" Target="https://www.youtube.com/watch?v=X4byr_7lFYY" TargetMode="External"/><Relationship Id="rId1510" Type="http://schemas.openxmlformats.org/officeDocument/2006/relationships/hyperlink" Target="https://youtu.be/RUEB2vlTuT0" TargetMode="External"/><Relationship Id="rId2841" Type="http://schemas.openxmlformats.org/officeDocument/2006/relationships/hyperlink" Target="https://www.twitch.tv/videos/2605679445" TargetMode="External"/><Relationship Id="rId1511" Type="http://schemas.openxmlformats.org/officeDocument/2006/relationships/hyperlink" Target="https://youtu.be/KXv-tmNS8TM" TargetMode="External"/><Relationship Id="rId2842" Type="http://schemas.openxmlformats.org/officeDocument/2006/relationships/hyperlink" Target="https://www.twitch.tv/videos/2343392702" TargetMode="External"/><Relationship Id="rId1512" Type="http://schemas.openxmlformats.org/officeDocument/2006/relationships/hyperlink" Target="https://www.youtube.com/watch?v=bqYsSNzc03g" TargetMode="External"/><Relationship Id="rId2843" Type="http://schemas.openxmlformats.org/officeDocument/2006/relationships/hyperlink" Target="https://www.youtube.com/watch?v=uSsuf-qnU_s" TargetMode="External"/><Relationship Id="rId1513" Type="http://schemas.openxmlformats.org/officeDocument/2006/relationships/hyperlink" Target="https://youtu.be/n9Pgok3_gLk" TargetMode="External"/><Relationship Id="rId2844" Type="http://schemas.openxmlformats.org/officeDocument/2006/relationships/hyperlink" Target="https://www.youtube.com/watch?v=EfkEnFT04eI" TargetMode="External"/><Relationship Id="rId1514" Type="http://schemas.openxmlformats.org/officeDocument/2006/relationships/hyperlink" Target="https://youtu.be/Jcn9IeVHjQ0" TargetMode="External"/><Relationship Id="rId2845" Type="http://schemas.openxmlformats.org/officeDocument/2006/relationships/hyperlink" Target="https://www.twitch.tv/videos/2600538918" TargetMode="External"/><Relationship Id="rId1515" Type="http://schemas.openxmlformats.org/officeDocument/2006/relationships/hyperlink" Target="https://youtu.be/3DqzAPYrpF4" TargetMode="External"/><Relationship Id="rId2846" Type="http://schemas.openxmlformats.org/officeDocument/2006/relationships/hyperlink" Target="https://www.twitch.tv/videos/2605864032" TargetMode="External"/><Relationship Id="rId1516" Type="http://schemas.openxmlformats.org/officeDocument/2006/relationships/hyperlink" Target="https://youtu.be/Awt0kRubMRs" TargetMode="External"/><Relationship Id="rId2847" Type="http://schemas.openxmlformats.org/officeDocument/2006/relationships/hyperlink" Target="https://www.youtube.com/watch?v=2JHbtB6EH4s" TargetMode="External"/><Relationship Id="rId1517" Type="http://schemas.openxmlformats.org/officeDocument/2006/relationships/hyperlink" Target="https://youtu.be/IVozaNgTvUE" TargetMode="External"/><Relationship Id="rId2848" Type="http://schemas.openxmlformats.org/officeDocument/2006/relationships/hyperlink" Target="https://www.youtube.com/watch?v=7JCCkc3LNgM" TargetMode="External"/><Relationship Id="rId1518" Type="http://schemas.openxmlformats.org/officeDocument/2006/relationships/hyperlink" Target="https://youtu.be/fpEEA8nWq0Q" TargetMode="External"/><Relationship Id="rId2849" Type="http://schemas.openxmlformats.org/officeDocument/2006/relationships/hyperlink" Target="https://www.youtube.com/watch?v=gf2rKmibsZs" TargetMode="External"/><Relationship Id="rId1519" Type="http://schemas.openxmlformats.org/officeDocument/2006/relationships/hyperlink" Target="https://youtu.be/vRTP-4qZ-TE" TargetMode="External"/><Relationship Id="rId2840" Type="http://schemas.openxmlformats.org/officeDocument/2006/relationships/hyperlink" Target="https://www.youtube.com/watch?v=tcCFCruuZ6A" TargetMode="External"/><Relationship Id="rId2830" Type="http://schemas.openxmlformats.org/officeDocument/2006/relationships/hyperlink" Target="https://www.youtube.com/watch?v=JUpIjjsXGYo" TargetMode="External"/><Relationship Id="rId1500" Type="http://schemas.openxmlformats.org/officeDocument/2006/relationships/hyperlink" Target="https://youtu.be/GoFK2SUM8wY" TargetMode="External"/><Relationship Id="rId2831" Type="http://schemas.openxmlformats.org/officeDocument/2006/relationships/hyperlink" Target="https://www.youtube.com/watch?v=uxWrJa7idzo" TargetMode="External"/><Relationship Id="rId1501" Type="http://schemas.openxmlformats.org/officeDocument/2006/relationships/hyperlink" Target="https://youtu.be/vaG2jEj2jhQ" TargetMode="External"/><Relationship Id="rId2832" Type="http://schemas.openxmlformats.org/officeDocument/2006/relationships/hyperlink" Target="https://www.youtube.com/watch?v=cVXKE3f5eh4" TargetMode="External"/><Relationship Id="rId1502" Type="http://schemas.openxmlformats.org/officeDocument/2006/relationships/hyperlink" Target="https://youtu.be/jppwCo6lxJg" TargetMode="External"/><Relationship Id="rId2833" Type="http://schemas.openxmlformats.org/officeDocument/2006/relationships/hyperlink" Target="https://www.youtube.com/watch?v=SqNPt6Q_uu8" TargetMode="External"/><Relationship Id="rId1503" Type="http://schemas.openxmlformats.org/officeDocument/2006/relationships/hyperlink" Target="https://youtu.be/W-ScCdTLP6A" TargetMode="External"/><Relationship Id="rId2834" Type="http://schemas.openxmlformats.org/officeDocument/2006/relationships/hyperlink" Target="https://www.youtube.com/watch?v=Czkh93DEFwU" TargetMode="External"/><Relationship Id="rId1504" Type="http://schemas.openxmlformats.org/officeDocument/2006/relationships/hyperlink" Target="https://youtu.be/F32DXEiFRdE" TargetMode="External"/><Relationship Id="rId2835" Type="http://schemas.openxmlformats.org/officeDocument/2006/relationships/hyperlink" Target="https://www.youtube.com/watch?v=sn6dG1mSXfA" TargetMode="External"/><Relationship Id="rId1505" Type="http://schemas.openxmlformats.org/officeDocument/2006/relationships/hyperlink" Target="https://youtu.be/gRYcsS32LEE" TargetMode="External"/><Relationship Id="rId2836" Type="http://schemas.openxmlformats.org/officeDocument/2006/relationships/hyperlink" Target="https://www.youtube.com/watch?v=LW_Zi72jhO0" TargetMode="External"/><Relationship Id="rId1506" Type="http://schemas.openxmlformats.org/officeDocument/2006/relationships/hyperlink" Target="https://www.youtube.com/watch?v=hRCDsXj44WI" TargetMode="External"/><Relationship Id="rId2837" Type="http://schemas.openxmlformats.org/officeDocument/2006/relationships/hyperlink" Target="https://www.youtube.com/watch?v=b8P7wMCMyic" TargetMode="External"/><Relationship Id="rId1507" Type="http://schemas.openxmlformats.org/officeDocument/2006/relationships/hyperlink" Target="https://youtu.be/ZD38xZvhuTY" TargetMode="External"/><Relationship Id="rId2838" Type="http://schemas.openxmlformats.org/officeDocument/2006/relationships/hyperlink" Target="https://www.twitch.tv/videos/2601338557" TargetMode="External"/><Relationship Id="rId1508" Type="http://schemas.openxmlformats.org/officeDocument/2006/relationships/hyperlink" Target="https://youtu.be/cTFRTeFZ_J8" TargetMode="External"/><Relationship Id="rId2839" Type="http://schemas.openxmlformats.org/officeDocument/2006/relationships/hyperlink" Target="https://www.youtube.com/watch?v=Kansv8u5yAI" TargetMode="External"/><Relationship Id="rId1509" Type="http://schemas.openxmlformats.org/officeDocument/2006/relationships/hyperlink" Target="https://www.youtube.com/watch?v=Ji5c99CvARE" TargetMode="External"/><Relationship Id="rId2800" Type="http://schemas.openxmlformats.org/officeDocument/2006/relationships/hyperlink" Target="https://www.twitch.tv/videos/1693240640" TargetMode="External"/><Relationship Id="rId2801" Type="http://schemas.openxmlformats.org/officeDocument/2006/relationships/hyperlink" Target="https://youtu.be/ejmykwrwKM8" TargetMode="External"/><Relationship Id="rId2802" Type="http://schemas.openxmlformats.org/officeDocument/2006/relationships/hyperlink" Target="https://www.twitch.tv/videos/2344845048" TargetMode="External"/><Relationship Id="rId2803" Type="http://schemas.openxmlformats.org/officeDocument/2006/relationships/hyperlink" Target="https://www.youtube.com/watch?v=UTEc9I-ENiU" TargetMode="External"/><Relationship Id="rId2804" Type="http://schemas.openxmlformats.org/officeDocument/2006/relationships/hyperlink" Target="https://www.youtube.com/watch?v=cjW1z9IjEpM" TargetMode="External"/><Relationship Id="rId2805" Type="http://schemas.openxmlformats.org/officeDocument/2006/relationships/hyperlink" Target="https://www.twitch.tv/videos/2605868059" TargetMode="External"/><Relationship Id="rId2806" Type="http://schemas.openxmlformats.org/officeDocument/2006/relationships/hyperlink" Target="https://www.twitch.tv/videos/2605866446" TargetMode="External"/><Relationship Id="rId2807" Type="http://schemas.openxmlformats.org/officeDocument/2006/relationships/hyperlink" Target="https://youtu.be/WuAh884Sx0s" TargetMode="External"/><Relationship Id="rId2808" Type="http://schemas.openxmlformats.org/officeDocument/2006/relationships/hyperlink" Target="https://www.youtube.com/watch?v=1FP51CzrljU" TargetMode="External"/><Relationship Id="rId2809" Type="http://schemas.openxmlformats.org/officeDocument/2006/relationships/hyperlink" Target="https://www.youtube.com/watch?v=oUgqmVG8Ln4" TargetMode="External"/><Relationship Id="rId1576" Type="http://schemas.openxmlformats.org/officeDocument/2006/relationships/hyperlink" Target="https://youtu.be/ljr9hotquBo" TargetMode="External"/><Relationship Id="rId1577" Type="http://schemas.openxmlformats.org/officeDocument/2006/relationships/hyperlink" Target="https://youtu.be/_gxcSb6wswQ" TargetMode="External"/><Relationship Id="rId1578" Type="http://schemas.openxmlformats.org/officeDocument/2006/relationships/hyperlink" Target="https://youtu.be/P91SI_8KIVk" TargetMode="External"/><Relationship Id="rId1579" Type="http://schemas.openxmlformats.org/officeDocument/2006/relationships/hyperlink" Target="https://youtu.be/28s-Cp2GP4A" TargetMode="External"/><Relationship Id="rId987" Type="http://schemas.openxmlformats.org/officeDocument/2006/relationships/hyperlink" Target="https://youtu.be/N6vuObw66YA" TargetMode="External"/><Relationship Id="rId986" Type="http://schemas.openxmlformats.org/officeDocument/2006/relationships/hyperlink" Target="https://youtu.be/pNHuv-CbXsg" TargetMode="External"/><Relationship Id="rId985" Type="http://schemas.openxmlformats.org/officeDocument/2006/relationships/hyperlink" Target="https://youtu.be/Bxn1rG51xOU" TargetMode="External"/><Relationship Id="rId984" Type="http://schemas.openxmlformats.org/officeDocument/2006/relationships/hyperlink" Target="https://youtu.be/9bnEmV5qPMY" TargetMode="External"/><Relationship Id="rId989" Type="http://schemas.openxmlformats.org/officeDocument/2006/relationships/hyperlink" Target="https://youtu.be/wUe6CB6-qLY" TargetMode="External"/><Relationship Id="rId988" Type="http://schemas.openxmlformats.org/officeDocument/2006/relationships/hyperlink" Target="https://youtu.be/3_Gt2oKpsVA" TargetMode="External"/><Relationship Id="rId1570" Type="http://schemas.openxmlformats.org/officeDocument/2006/relationships/hyperlink" Target="https://youtu.be/bKv6-MNalGI" TargetMode="External"/><Relationship Id="rId1571" Type="http://schemas.openxmlformats.org/officeDocument/2006/relationships/hyperlink" Target="https://youtu.be/cmwILDt5Up4" TargetMode="External"/><Relationship Id="rId983" Type="http://schemas.openxmlformats.org/officeDocument/2006/relationships/hyperlink" Target="https://youtu.be/6QNDuJkCcp8" TargetMode="External"/><Relationship Id="rId1572" Type="http://schemas.openxmlformats.org/officeDocument/2006/relationships/hyperlink" Target="https://www.twitch.tv/videos/1058067716" TargetMode="External"/><Relationship Id="rId982" Type="http://schemas.openxmlformats.org/officeDocument/2006/relationships/hyperlink" Target="https://youtu.be/1lwH7D9Ef8g" TargetMode="External"/><Relationship Id="rId1573" Type="http://schemas.openxmlformats.org/officeDocument/2006/relationships/hyperlink" Target="https://youtu.be/TKo3e9ImdWw" TargetMode="External"/><Relationship Id="rId981" Type="http://schemas.openxmlformats.org/officeDocument/2006/relationships/hyperlink" Target="https://youtu.be/N2BIAKMfCaQ" TargetMode="External"/><Relationship Id="rId1574" Type="http://schemas.openxmlformats.org/officeDocument/2006/relationships/hyperlink" Target="https://www.youtube.com/watch?v=Xtwyah-n_D4" TargetMode="External"/><Relationship Id="rId980" Type="http://schemas.openxmlformats.org/officeDocument/2006/relationships/hyperlink" Target="https://youtu.be/9ieGDKtYJxg" TargetMode="External"/><Relationship Id="rId1575" Type="http://schemas.openxmlformats.org/officeDocument/2006/relationships/hyperlink" Target="https://clips.twitch.tv/RefinedEagerGrasshopperKeyboardCat-whbQLo-kU-0goZhL" TargetMode="External"/><Relationship Id="rId1565" Type="http://schemas.openxmlformats.org/officeDocument/2006/relationships/hyperlink" Target="https://youtu.be/FRFMKqhPlAE" TargetMode="External"/><Relationship Id="rId2896" Type="http://schemas.openxmlformats.org/officeDocument/2006/relationships/hyperlink" Target="https://www.youtube.com/watch?v=JgdsQmPSTi8" TargetMode="External"/><Relationship Id="rId1566" Type="http://schemas.openxmlformats.org/officeDocument/2006/relationships/hyperlink" Target="https://www.youtube.com/watch?v=p2QAQ2W_Yr0" TargetMode="External"/><Relationship Id="rId2897" Type="http://schemas.openxmlformats.org/officeDocument/2006/relationships/hyperlink" Target="https://clips.twitch.tv/SpunkyBlatantTubersPermaSmug-k4XiZoJWp5f4FqUo" TargetMode="External"/><Relationship Id="rId1567" Type="http://schemas.openxmlformats.org/officeDocument/2006/relationships/hyperlink" Target="https://www.twitch.tv/videos/2160852055" TargetMode="External"/><Relationship Id="rId2898" Type="http://schemas.openxmlformats.org/officeDocument/2006/relationships/hyperlink" Target="https://www.youtube.com/watch?v=5pdTqWazwuM" TargetMode="External"/><Relationship Id="rId1568" Type="http://schemas.openxmlformats.org/officeDocument/2006/relationships/hyperlink" Target="https://youtu.be/3YQw-AMq_-A" TargetMode="External"/><Relationship Id="rId2899" Type="http://schemas.openxmlformats.org/officeDocument/2006/relationships/hyperlink" Target="https://youtu.be/ajLH0jO_ZNU" TargetMode="External"/><Relationship Id="rId1569" Type="http://schemas.openxmlformats.org/officeDocument/2006/relationships/hyperlink" Target="https://youtu.be/coE8ICYHPsc" TargetMode="External"/><Relationship Id="rId976" Type="http://schemas.openxmlformats.org/officeDocument/2006/relationships/hyperlink" Target="https://youtu.be/FMk4GXzOOms" TargetMode="External"/><Relationship Id="rId975" Type="http://schemas.openxmlformats.org/officeDocument/2006/relationships/hyperlink" Target="https://youtu.be/hgIbVO0ZTr4" TargetMode="External"/><Relationship Id="rId974" Type="http://schemas.openxmlformats.org/officeDocument/2006/relationships/hyperlink" Target="https://youtu.be/1D6AKouSO-E" TargetMode="External"/><Relationship Id="rId973" Type="http://schemas.openxmlformats.org/officeDocument/2006/relationships/hyperlink" Target="https://youtu.be/JflYc-SbROY" TargetMode="External"/><Relationship Id="rId979" Type="http://schemas.openxmlformats.org/officeDocument/2006/relationships/hyperlink" Target="https://youtu.be/QTmTkrC2lpI?t=19" TargetMode="External"/><Relationship Id="rId978" Type="http://schemas.openxmlformats.org/officeDocument/2006/relationships/hyperlink" Target="https://youtu.be/QTmTkrC2lpI" TargetMode="External"/><Relationship Id="rId977" Type="http://schemas.openxmlformats.org/officeDocument/2006/relationships/hyperlink" Target="https://youtu.be/ROkHwc4A6QA" TargetMode="External"/><Relationship Id="rId2890" Type="http://schemas.openxmlformats.org/officeDocument/2006/relationships/hyperlink" Target="https://youtu.be/BBL9pD0D864" TargetMode="External"/><Relationship Id="rId1560" Type="http://schemas.openxmlformats.org/officeDocument/2006/relationships/hyperlink" Target="https://youtu.be/mPrS2dBqP3U" TargetMode="External"/><Relationship Id="rId2891" Type="http://schemas.openxmlformats.org/officeDocument/2006/relationships/hyperlink" Target="https://youtu.be/O4qFXg4PBRo" TargetMode="External"/><Relationship Id="rId972" Type="http://schemas.openxmlformats.org/officeDocument/2006/relationships/hyperlink" Target="https://youtu.be/CJ14Tr61_lg" TargetMode="External"/><Relationship Id="rId1561" Type="http://schemas.openxmlformats.org/officeDocument/2006/relationships/hyperlink" Target="https://youtu.be/Pk6P6JQlZwI" TargetMode="External"/><Relationship Id="rId2892" Type="http://schemas.openxmlformats.org/officeDocument/2006/relationships/hyperlink" Target="https://www.youtube.com/watch?v=Eio6nqV0hJo" TargetMode="External"/><Relationship Id="rId971" Type="http://schemas.openxmlformats.org/officeDocument/2006/relationships/hyperlink" Target="https://youtu.be/xK0oCwnekgU" TargetMode="External"/><Relationship Id="rId1562" Type="http://schemas.openxmlformats.org/officeDocument/2006/relationships/hyperlink" Target="https://youtu.be/TjnzW4JE2kA" TargetMode="External"/><Relationship Id="rId2893" Type="http://schemas.openxmlformats.org/officeDocument/2006/relationships/hyperlink" Target="https://www.youtube.com/watch?v=NmG_ufd4rR4" TargetMode="External"/><Relationship Id="rId970" Type="http://schemas.openxmlformats.org/officeDocument/2006/relationships/hyperlink" Target="https://youtu.be/1EKLyi63g7I" TargetMode="External"/><Relationship Id="rId1563" Type="http://schemas.openxmlformats.org/officeDocument/2006/relationships/hyperlink" Target="https://www.twitch.tv/videos/1136362262" TargetMode="External"/><Relationship Id="rId2894" Type="http://schemas.openxmlformats.org/officeDocument/2006/relationships/hyperlink" Target="https://www.youtube.com/watch?v=HbzafOWDrIs" TargetMode="External"/><Relationship Id="rId1564" Type="http://schemas.openxmlformats.org/officeDocument/2006/relationships/hyperlink" Target="https://www.youtube.com/watch?v=gpF1f4jUs18" TargetMode="External"/><Relationship Id="rId2895" Type="http://schemas.openxmlformats.org/officeDocument/2006/relationships/hyperlink" Target="https://www.youtube.com/watch?v=K0te8fzGENQ" TargetMode="External"/><Relationship Id="rId1598" Type="http://schemas.openxmlformats.org/officeDocument/2006/relationships/hyperlink" Target="https://youtu.be/jBBF8gQYcc0" TargetMode="External"/><Relationship Id="rId1599" Type="http://schemas.openxmlformats.org/officeDocument/2006/relationships/hyperlink" Target="https://youtu.be/shnKesqNhb4" TargetMode="External"/><Relationship Id="rId1590" Type="http://schemas.openxmlformats.org/officeDocument/2006/relationships/hyperlink" Target="https://youtu.be/kWUc7a_g4fk" TargetMode="External"/><Relationship Id="rId1591" Type="http://schemas.openxmlformats.org/officeDocument/2006/relationships/hyperlink" Target="https://youtu.be/kyrrjg6Savw" TargetMode="External"/><Relationship Id="rId1592" Type="http://schemas.openxmlformats.org/officeDocument/2006/relationships/hyperlink" Target="https://youtu.be/7o7Kk2EfQsg" TargetMode="External"/><Relationship Id="rId1593" Type="http://schemas.openxmlformats.org/officeDocument/2006/relationships/hyperlink" Target="https://youtu.be/O8sa80woZN4" TargetMode="External"/><Relationship Id="rId1594" Type="http://schemas.openxmlformats.org/officeDocument/2006/relationships/hyperlink" Target="https://youtu.be/DA4Li-5eKwg" TargetMode="External"/><Relationship Id="rId1595" Type="http://schemas.openxmlformats.org/officeDocument/2006/relationships/hyperlink" Target="https://youtu.be/dTodHeBckjE" TargetMode="External"/><Relationship Id="rId1596" Type="http://schemas.openxmlformats.org/officeDocument/2006/relationships/hyperlink" Target="https://youtu.be/utF3FS2axoM" TargetMode="External"/><Relationship Id="rId1597" Type="http://schemas.openxmlformats.org/officeDocument/2006/relationships/hyperlink" Target="https://youtu.be/-VOVI4AMvdQ" TargetMode="External"/><Relationship Id="rId1587" Type="http://schemas.openxmlformats.org/officeDocument/2006/relationships/hyperlink" Target="https://youtu.be/D8Qfh_vGPvo" TargetMode="External"/><Relationship Id="rId1588" Type="http://schemas.openxmlformats.org/officeDocument/2006/relationships/hyperlink" Target="https://youtu.be/ytL6DLaL0fs" TargetMode="External"/><Relationship Id="rId1589" Type="http://schemas.openxmlformats.org/officeDocument/2006/relationships/hyperlink" Target="https://youtu.be/05-96M1GhIE?feature=shared&amp;t=513" TargetMode="External"/><Relationship Id="rId998" Type="http://schemas.openxmlformats.org/officeDocument/2006/relationships/hyperlink" Target="https://www.youtube.com/watch?v=icLQBcd0Brk" TargetMode="External"/><Relationship Id="rId997" Type="http://schemas.openxmlformats.org/officeDocument/2006/relationships/hyperlink" Target="https://youtu.be/A1KRd2DJAIk" TargetMode="External"/><Relationship Id="rId996" Type="http://schemas.openxmlformats.org/officeDocument/2006/relationships/hyperlink" Target="https://youtu.be/GeA1qwx3X04" TargetMode="External"/><Relationship Id="rId995" Type="http://schemas.openxmlformats.org/officeDocument/2006/relationships/hyperlink" Target="https://youtu.be/8UOU1vAnRIg" TargetMode="External"/><Relationship Id="rId999" Type="http://schemas.openxmlformats.org/officeDocument/2006/relationships/hyperlink" Target="https://youtu.be/AkCS-Wfj1Hw" TargetMode="External"/><Relationship Id="rId990" Type="http://schemas.openxmlformats.org/officeDocument/2006/relationships/hyperlink" Target="https://youtu.be/R7u9j4Kc2VU" TargetMode="External"/><Relationship Id="rId1580" Type="http://schemas.openxmlformats.org/officeDocument/2006/relationships/hyperlink" Target="https://clips.twitch.tv/ShyLittleChowderPJSalt-fsCeX3yRRNvgEpkV" TargetMode="External"/><Relationship Id="rId1581" Type="http://schemas.openxmlformats.org/officeDocument/2006/relationships/hyperlink" Target="https://www.twitch.tv/videos/1125737270" TargetMode="External"/><Relationship Id="rId1582" Type="http://schemas.openxmlformats.org/officeDocument/2006/relationships/hyperlink" Target="https://youtu.be/lmHTDvHTONg" TargetMode="External"/><Relationship Id="rId994" Type="http://schemas.openxmlformats.org/officeDocument/2006/relationships/hyperlink" Target="https://www.twitch.tv/videos/438700084?filter=highlights&amp;sort=time" TargetMode="External"/><Relationship Id="rId1583" Type="http://schemas.openxmlformats.org/officeDocument/2006/relationships/hyperlink" Target="https://clips.twitch.tv/ObservantHardGaurPastaThat-VbXS3fSk3ul3PXTo" TargetMode="External"/><Relationship Id="rId993" Type="http://schemas.openxmlformats.org/officeDocument/2006/relationships/hyperlink" Target="https://www.youtube.com/watch?v=TmJcLfX6nvQ" TargetMode="External"/><Relationship Id="rId1584" Type="http://schemas.openxmlformats.org/officeDocument/2006/relationships/hyperlink" Target="https://youtu.be/JVmlKykxL10" TargetMode="External"/><Relationship Id="rId992" Type="http://schemas.openxmlformats.org/officeDocument/2006/relationships/hyperlink" Target="https://youtube.com/shorts/zPtOQKzHIW8?feature=share" TargetMode="External"/><Relationship Id="rId1585" Type="http://schemas.openxmlformats.org/officeDocument/2006/relationships/hyperlink" Target="https://youtu.be/cllk37Nar0g" TargetMode="External"/><Relationship Id="rId991" Type="http://schemas.openxmlformats.org/officeDocument/2006/relationships/hyperlink" Target="https://youtu.be/z5R5cDHy6os" TargetMode="External"/><Relationship Id="rId1586" Type="http://schemas.openxmlformats.org/officeDocument/2006/relationships/hyperlink" Target="https://youtu.be/b09edm_A4cI" TargetMode="External"/><Relationship Id="rId1532" Type="http://schemas.openxmlformats.org/officeDocument/2006/relationships/hyperlink" Target="https://youtu.be/bqnOhkvDyGg" TargetMode="External"/><Relationship Id="rId2863" Type="http://schemas.openxmlformats.org/officeDocument/2006/relationships/hyperlink" Target="https://youtu.be/fsLuR8sk6wo" TargetMode="External"/><Relationship Id="rId1533" Type="http://schemas.openxmlformats.org/officeDocument/2006/relationships/hyperlink" Target="https://youtu.be/Db9MT50RlTw" TargetMode="External"/><Relationship Id="rId2864" Type="http://schemas.openxmlformats.org/officeDocument/2006/relationships/hyperlink" Target="https://youtu.be/ieajwFpfUXo" TargetMode="External"/><Relationship Id="rId1534" Type="http://schemas.openxmlformats.org/officeDocument/2006/relationships/hyperlink" Target="https://youtu.be/1oDiXs88pCY" TargetMode="External"/><Relationship Id="rId2865" Type="http://schemas.openxmlformats.org/officeDocument/2006/relationships/hyperlink" Target="https://www.youtube.com/watch?v=Y9vn9Y_h5BA" TargetMode="External"/><Relationship Id="rId1535" Type="http://schemas.openxmlformats.org/officeDocument/2006/relationships/hyperlink" Target="https://youtu.be/kzj0vlJ7ymE" TargetMode="External"/><Relationship Id="rId2866" Type="http://schemas.openxmlformats.org/officeDocument/2006/relationships/hyperlink" Target="https://www.youtube.com/watch?v=18yP13y__jk" TargetMode="External"/><Relationship Id="rId1536" Type="http://schemas.openxmlformats.org/officeDocument/2006/relationships/hyperlink" Target="https://youtu.be/rAJYFxf_aGk" TargetMode="External"/><Relationship Id="rId2867" Type="http://schemas.openxmlformats.org/officeDocument/2006/relationships/hyperlink" Target="https://youtu.be/KlGDPvfEacw" TargetMode="External"/><Relationship Id="rId1537" Type="http://schemas.openxmlformats.org/officeDocument/2006/relationships/hyperlink" Target="https://www.twitch.tv/videos/1160444884" TargetMode="External"/><Relationship Id="rId2868" Type="http://schemas.openxmlformats.org/officeDocument/2006/relationships/hyperlink" Target="https://youtu.be/XjR4DYaI_gA" TargetMode="External"/><Relationship Id="rId1538" Type="http://schemas.openxmlformats.org/officeDocument/2006/relationships/hyperlink" Target="https://youtu.be/M8NNlWgE7Ec" TargetMode="External"/><Relationship Id="rId2869" Type="http://schemas.openxmlformats.org/officeDocument/2006/relationships/hyperlink" Target="https://youtu.be/BKbev06F3m8" TargetMode="External"/><Relationship Id="rId1539" Type="http://schemas.openxmlformats.org/officeDocument/2006/relationships/hyperlink" Target="https://youtu.be/mahJ2Kepn44" TargetMode="External"/><Relationship Id="rId949" Type="http://schemas.openxmlformats.org/officeDocument/2006/relationships/hyperlink" Target="https://youtu.be/P_f0_l88NWU" TargetMode="External"/><Relationship Id="rId948" Type="http://schemas.openxmlformats.org/officeDocument/2006/relationships/hyperlink" Target="https://youtu.be/-svqIJeAEj4" TargetMode="External"/><Relationship Id="rId943" Type="http://schemas.openxmlformats.org/officeDocument/2006/relationships/hyperlink" Target="https://youtu.be/9gozY2-zXkk" TargetMode="External"/><Relationship Id="rId942" Type="http://schemas.openxmlformats.org/officeDocument/2006/relationships/hyperlink" Target="https://youtu.be/yph6D6wDf94" TargetMode="External"/><Relationship Id="rId941" Type="http://schemas.openxmlformats.org/officeDocument/2006/relationships/hyperlink" Target="https://youtu.be/qws0hq0kCVI" TargetMode="External"/><Relationship Id="rId940" Type="http://schemas.openxmlformats.org/officeDocument/2006/relationships/hyperlink" Target="https://youtu.be/-mK09zAJ_v0" TargetMode="External"/><Relationship Id="rId947" Type="http://schemas.openxmlformats.org/officeDocument/2006/relationships/hyperlink" Target="https://youtu.be/_U3-cnpmxZg" TargetMode="External"/><Relationship Id="rId946" Type="http://schemas.openxmlformats.org/officeDocument/2006/relationships/hyperlink" Target="https://youtu.be/NaIf1LkSjQ4" TargetMode="External"/><Relationship Id="rId945" Type="http://schemas.openxmlformats.org/officeDocument/2006/relationships/hyperlink" Target="https://youtu.be/Rg8wVe1WNlo" TargetMode="External"/><Relationship Id="rId944" Type="http://schemas.openxmlformats.org/officeDocument/2006/relationships/hyperlink" Target="https://youtu.be/dPdmztlNoT4" TargetMode="External"/><Relationship Id="rId2860" Type="http://schemas.openxmlformats.org/officeDocument/2006/relationships/hyperlink" Target="https://youtu.be/7VV4yzQV6B8" TargetMode="External"/><Relationship Id="rId1530" Type="http://schemas.openxmlformats.org/officeDocument/2006/relationships/hyperlink" Target="https://youtu.be/cglmrOESoXw" TargetMode="External"/><Relationship Id="rId2861" Type="http://schemas.openxmlformats.org/officeDocument/2006/relationships/hyperlink" Target="https://youtu.be/yYgJO43PiR0" TargetMode="External"/><Relationship Id="rId1531" Type="http://schemas.openxmlformats.org/officeDocument/2006/relationships/hyperlink" Target="https://youtu.be/XTQSEPesUK8" TargetMode="External"/><Relationship Id="rId2862" Type="http://schemas.openxmlformats.org/officeDocument/2006/relationships/hyperlink" Target="https://youtu.be/AaZj0nu2fB4" TargetMode="External"/><Relationship Id="rId1521" Type="http://schemas.openxmlformats.org/officeDocument/2006/relationships/hyperlink" Target="https://youtu.be/j28XGO4YMtY" TargetMode="External"/><Relationship Id="rId2852" Type="http://schemas.openxmlformats.org/officeDocument/2006/relationships/hyperlink" Target="https://www.youtube.com/watch?v=0_j6X1W8qbY" TargetMode="External"/><Relationship Id="rId1522" Type="http://schemas.openxmlformats.org/officeDocument/2006/relationships/hyperlink" Target="https://youtu.be/X--ZqeRpwpk" TargetMode="External"/><Relationship Id="rId2853" Type="http://schemas.openxmlformats.org/officeDocument/2006/relationships/hyperlink" Target="https://www.youtube.com/watch?v=Qj-RNDUODy0" TargetMode="External"/><Relationship Id="rId1523" Type="http://schemas.openxmlformats.org/officeDocument/2006/relationships/hyperlink" Target="https://www.youtube.com/watch?v=3jemAEIzsc4" TargetMode="External"/><Relationship Id="rId2854" Type="http://schemas.openxmlformats.org/officeDocument/2006/relationships/hyperlink" Target="https://www.youtube.com/watch?v=QgBd1JipnEU" TargetMode="External"/><Relationship Id="rId1524" Type="http://schemas.openxmlformats.org/officeDocument/2006/relationships/hyperlink" Target="https://youtu.be/W8actl5B-TQ" TargetMode="External"/><Relationship Id="rId2855" Type="http://schemas.openxmlformats.org/officeDocument/2006/relationships/hyperlink" Target="https://www.youtube.com/watch?v=DOBavWk1ges" TargetMode="External"/><Relationship Id="rId1525" Type="http://schemas.openxmlformats.org/officeDocument/2006/relationships/hyperlink" Target="https://youtu.be/2dcoUbjAoTM" TargetMode="External"/><Relationship Id="rId2856" Type="http://schemas.openxmlformats.org/officeDocument/2006/relationships/hyperlink" Target="https://www.youtube.com/watch?v=YxifVTkwzAw" TargetMode="External"/><Relationship Id="rId1526" Type="http://schemas.openxmlformats.org/officeDocument/2006/relationships/hyperlink" Target="https://youtu.be/hgJMiaPyN6M" TargetMode="External"/><Relationship Id="rId2857" Type="http://schemas.openxmlformats.org/officeDocument/2006/relationships/hyperlink" Target="https://www.youtube.com/watch?v=NzfBfbabf2g" TargetMode="External"/><Relationship Id="rId1527" Type="http://schemas.openxmlformats.org/officeDocument/2006/relationships/hyperlink" Target="https://youtu.be/0Dge4F9rCFw" TargetMode="External"/><Relationship Id="rId2858" Type="http://schemas.openxmlformats.org/officeDocument/2006/relationships/hyperlink" Target="https://youtu.be/nvZHnEp3KPs" TargetMode="External"/><Relationship Id="rId1528" Type="http://schemas.openxmlformats.org/officeDocument/2006/relationships/hyperlink" Target="https://youtu.be/UkJdOKDmTO4" TargetMode="External"/><Relationship Id="rId2859" Type="http://schemas.openxmlformats.org/officeDocument/2006/relationships/hyperlink" Target="https://youtu.be/7nND3fN067c" TargetMode="External"/><Relationship Id="rId1529" Type="http://schemas.openxmlformats.org/officeDocument/2006/relationships/hyperlink" Target="https://youtu.be/zDa47CZ6kZE" TargetMode="External"/><Relationship Id="rId939" Type="http://schemas.openxmlformats.org/officeDocument/2006/relationships/hyperlink" Target="https://youtu.be/iTRADg-My-0" TargetMode="External"/><Relationship Id="rId938" Type="http://schemas.openxmlformats.org/officeDocument/2006/relationships/hyperlink" Target="https://youtu.be/G5m9wYb9T68" TargetMode="External"/><Relationship Id="rId937" Type="http://schemas.openxmlformats.org/officeDocument/2006/relationships/hyperlink" Target="https://youtu.be/zHWhQKKsN6A" TargetMode="External"/><Relationship Id="rId932" Type="http://schemas.openxmlformats.org/officeDocument/2006/relationships/hyperlink" Target="https://youtu.be/w24tLS6_Gyw" TargetMode="External"/><Relationship Id="rId931" Type="http://schemas.openxmlformats.org/officeDocument/2006/relationships/hyperlink" Target="https://youtu.be/hnKKRjK056w" TargetMode="External"/><Relationship Id="rId930" Type="http://schemas.openxmlformats.org/officeDocument/2006/relationships/hyperlink" Target="https://www.youtube.com/watch?v=eEkLGxE62vg" TargetMode="External"/><Relationship Id="rId936" Type="http://schemas.openxmlformats.org/officeDocument/2006/relationships/hyperlink" Target="https://youtu.be/5FQ35-yKd98" TargetMode="External"/><Relationship Id="rId935" Type="http://schemas.openxmlformats.org/officeDocument/2006/relationships/hyperlink" Target="https://youtu.be/RPNLhL9Mwx8" TargetMode="External"/><Relationship Id="rId934" Type="http://schemas.openxmlformats.org/officeDocument/2006/relationships/hyperlink" Target="https://youtu.be/bEnkKuin0AU" TargetMode="External"/><Relationship Id="rId933" Type="http://schemas.openxmlformats.org/officeDocument/2006/relationships/hyperlink" Target="https://youtu.be/2qsci_GLiAo" TargetMode="External"/><Relationship Id="rId2850" Type="http://schemas.openxmlformats.org/officeDocument/2006/relationships/hyperlink" Target="https://www.youtube.com/watch?v=jMU9XsCR1gQ" TargetMode="External"/><Relationship Id="rId1520" Type="http://schemas.openxmlformats.org/officeDocument/2006/relationships/hyperlink" Target="https://www.youtube.com/watch?v=2aowKiOObuM" TargetMode="External"/><Relationship Id="rId2851" Type="http://schemas.openxmlformats.org/officeDocument/2006/relationships/hyperlink" Target="https://www.youtube.com/watch?v=u2ssBHrem_A" TargetMode="External"/><Relationship Id="rId1554" Type="http://schemas.openxmlformats.org/officeDocument/2006/relationships/hyperlink" Target="https://youtu.be/JxaktrK2KTM" TargetMode="External"/><Relationship Id="rId2885" Type="http://schemas.openxmlformats.org/officeDocument/2006/relationships/hyperlink" Target="https://www.youtube.com/watch?v=e7XFn4XL8Bo" TargetMode="External"/><Relationship Id="rId1555" Type="http://schemas.openxmlformats.org/officeDocument/2006/relationships/hyperlink" Target="https://youtu.be/5QxvGVBxe-4" TargetMode="External"/><Relationship Id="rId2886" Type="http://schemas.openxmlformats.org/officeDocument/2006/relationships/hyperlink" Target="https://clips.twitch.tv/HandsomeHotSardineKeyboardCat-d5m03tlMt9kIhJ92" TargetMode="External"/><Relationship Id="rId1556" Type="http://schemas.openxmlformats.org/officeDocument/2006/relationships/hyperlink" Target="https://www.twitch.tv/videos/1184193274" TargetMode="External"/><Relationship Id="rId2887" Type="http://schemas.openxmlformats.org/officeDocument/2006/relationships/hyperlink" Target="https://www.youtube.com/watch?v=buvh--DbEL0" TargetMode="External"/><Relationship Id="rId1557" Type="http://schemas.openxmlformats.org/officeDocument/2006/relationships/hyperlink" Target="https://youtu.be/LCowgF1NuuI" TargetMode="External"/><Relationship Id="rId2888" Type="http://schemas.openxmlformats.org/officeDocument/2006/relationships/hyperlink" Target="https://www.youtube.com/watch?v=fTbM8qvfhQs" TargetMode="External"/><Relationship Id="rId1558" Type="http://schemas.openxmlformats.org/officeDocument/2006/relationships/hyperlink" Target="https://www.twitch.tv/videos/1160383779" TargetMode="External"/><Relationship Id="rId2889" Type="http://schemas.openxmlformats.org/officeDocument/2006/relationships/hyperlink" Target="https://www.youtube.com/watch?v=wOOJs_3BKAs" TargetMode="External"/><Relationship Id="rId1559" Type="http://schemas.openxmlformats.org/officeDocument/2006/relationships/hyperlink" Target="https://www.twitch.tv/videos/1162232325" TargetMode="External"/><Relationship Id="rId965" Type="http://schemas.openxmlformats.org/officeDocument/2006/relationships/hyperlink" Target="https://youtu.be/-T8cMTO_X8g" TargetMode="External"/><Relationship Id="rId964" Type="http://schemas.openxmlformats.org/officeDocument/2006/relationships/hyperlink" Target="https://youtu.be/9f3KCgPWL5s" TargetMode="External"/><Relationship Id="rId963" Type="http://schemas.openxmlformats.org/officeDocument/2006/relationships/hyperlink" Target="https://youtu.be/bFplU7J2Png" TargetMode="External"/><Relationship Id="rId962" Type="http://schemas.openxmlformats.org/officeDocument/2006/relationships/hyperlink" Target="https://youtu.be/5BnGTK-Ziok" TargetMode="External"/><Relationship Id="rId969" Type="http://schemas.openxmlformats.org/officeDocument/2006/relationships/hyperlink" Target="https://youtu.be/m9X5EAT9WY4" TargetMode="External"/><Relationship Id="rId968" Type="http://schemas.openxmlformats.org/officeDocument/2006/relationships/hyperlink" Target="https://www.youtube.com/watch?v=nSl8-LNPHaY" TargetMode="External"/><Relationship Id="rId967" Type="http://schemas.openxmlformats.org/officeDocument/2006/relationships/hyperlink" Target="https://youtu.be/Xe9GAmaNsnk" TargetMode="External"/><Relationship Id="rId966" Type="http://schemas.openxmlformats.org/officeDocument/2006/relationships/hyperlink" Target="https://youtu.be/1AVnmQ81psc" TargetMode="External"/><Relationship Id="rId2880" Type="http://schemas.openxmlformats.org/officeDocument/2006/relationships/hyperlink" Target="https://youtu.be/7IzSZLsf5TI" TargetMode="External"/><Relationship Id="rId961" Type="http://schemas.openxmlformats.org/officeDocument/2006/relationships/hyperlink" Target="https://youtu.be/XzNiTmWKKeI" TargetMode="External"/><Relationship Id="rId1550" Type="http://schemas.openxmlformats.org/officeDocument/2006/relationships/hyperlink" Target="https://youtu.be/zefTpJyc9oM" TargetMode="External"/><Relationship Id="rId2881" Type="http://schemas.openxmlformats.org/officeDocument/2006/relationships/hyperlink" Target="https://youtu.be/ejAD7XyDiSQ" TargetMode="External"/><Relationship Id="rId960" Type="http://schemas.openxmlformats.org/officeDocument/2006/relationships/hyperlink" Target="https://youtu.be/n3WNt5BGJEA" TargetMode="External"/><Relationship Id="rId1551" Type="http://schemas.openxmlformats.org/officeDocument/2006/relationships/hyperlink" Target="https://youtu.be/XFDg8CGpYlg" TargetMode="External"/><Relationship Id="rId2882" Type="http://schemas.openxmlformats.org/officeDocument/2006/relationships/hyperlink" Target="https://www.youtube.com/watch?v=SLXLOZVtVZY" TargetMode="External"/><Relationship Id="rId1552" Type="http://schemas.openxmlformats.org/officeDocument/2006/relationships/hyperlink" Target="https://youtu.be/4Zbg69--xh8" TargetMode="External"/><Relationship Id="rId2883" Type="http://schemas.openxmlformats.org/officeDocument/2006/relationships/hyperlink" Target="https://youtu.be/6D0CmdR4vvA" TargetMode="External"/><Relationship Id="rId1553" Type="http://schemas.openxmlformats.org/officeDocument/2006/relationships/hyperlink" Target="https://youtu.be/2sRu4sA8Uj8" TargetMode="External"/><Relationship Id="rId2884" Type="http://schemas.openxmlformats.org/officeDocument/2006/relationships/hyperlink" Target="https://youtu.be/LuRZ0G12E-k" TargetMode="External"/><Relationship Id="rId1543" Type="http://schemas.openxmlformats.org/officeDocument/2006/relationships/hyperlink" Target="https://youtu.be/03iDs8Ajosw" TargetMode="External"/><Relationship Id="rId2874" Type="http://schemas.openxmlformats.org/officeDocument/2006/relationships/hyperlink" Target="https://youtu.be/oxoWIcEabdM" TargetMode="External"/><Relationship Id="rId1544" Type="http://schemas.openxmlformats.org/officeDocument/2006/relationships/hyperlink" Target="https://youtu.be/PNw9G9FjoFs" TargetMode="External"/><Relationship Id="rId2875" Type="http://schemas.openxmlformats.org/officeDocument/2006/relationships/hyperlink" Target="https://youtu.be/6MOiAslVHMw" TargetMode="External"/><Relationship Id="rId1545" Type="http://schemas.openxmlformats.org/officeDocument/2006/relationships/hyperlink" Target="https://youtu.be/CVxNfJLH3Ys" TargetMode="External"/><Relationship Id="rId2876" Type="http://schemas.openxmlformats.org/officeDocument/2006/relationships/hyperlink" Target="https://youtu.be/wzGIZS_G-kg" TargetMode="External"/><Relationship Id="rId1546" Type="http://schemas.openxmlformats.org/officeDocument/2006/relationships/hyperlink" Target="https://youtu.be/oX3mXBI5d_s" TargetMode="External"/><Relationship Id="rId2877" Type="http://schemas.openxmlformats.org/officeDocument/2006/relationships/hyperlink" Target="https://youtu.be/YBDWO0cjlEo" TargetMode="External"/><Relationship Id="rId1547" Type="http://schemas.openxmlformats.org/officeDocument/2006/relationships/hyperlink" Target="https://youtu.be/nzAydYYQitQ" TargetMode="External"/><Relationship Id="rId2878" Type="http://schemas.openxmlformats.org/officeDocument/2006/relationships/hyperlink" Target="https://youtu.be/b8CKxMG-vfg" TargetMode="External"/><Relationship Id="rId1548" Type="http://schemas.openxmlformats.org/officeDocument/2006/relationships/hyperlink" Target="https://youtu.be/Uirbw05oUPg" TargetMode="External"/><Relationship Id="rId2879" Type="http://schemas.openxmlformats.org/officeDocument/2006/relationships/hyperlink" Target="https://youtu.be/0pX-41NbyEo" TargetMode="External"/><Relationship Id="rId1549" Type="http://schemas.openxmlformats.org/officeDocument/2006/relationships/hyperlink" Target="https://youtu.be/WZPtWcc1y_Q" TargetMode="External"/><Relationship Id="rId959" Type="http://schemas.openxmlformats.org/officeDocument/2006/relationships/hyperlink" Target="https://youtu.be/xEiyFB_CODw" TargetMode="External"/><Relationship Id="rId954" Type="http://schemas.openxmlformats.org/officeDocument/2006/relationships/hyperlink" Target="https://youtu.be/3yzvkDoAnf4" TargetMode="External"/><Relationship Id="rId953" Type="http://schemas.openxmlformats.org/officeDocument/2006/relationships/hyperlink" Target="https://www.youtube.com/watch?v=DNZ-FkJ01J8" TargetMode="External"/><Relationship Id="rId952" Type="http://schemas.openxmlformats.org/officeDocument/2006/relationships/hyperlink" Target="https://youtu.be/YKcnirOW3Hg" TargetMode="External"/><Relationship Id="rId951" Type="http://schemas.openxmlformats.org/officeDocument/2006/relationships/hyperlink" Target="https://youtu.be/IIv89nliYFA" TargetMode="External"/><Relationship Id="rId958" Type="http://schemas.openxmlformats.org/officeDocument/2006/relationships/hyperlink" Target="https://www.twitch.tv/videos/1845842727" TargetMode="External"/><Relationship Id="rId957" Type="http://schemas.openxmlformats.org/officeDocument/2006/relationships/hyperlink" Target="https://youtu.be/FzQM5ZIU5oc" TargetMode="External"/><Relationship Id="rId956" Type="http://schemas.openxmlformats.org/officeDocument/2006/relationships/hyperlink" Target="https://youtu.be/f3yI2ykOZ_A" TargetMode="External"/><Relationship Id="rId955" Type="http://schemas.openxmlformats.org/officeDocument/2006/relationships/hyperlink" Target="https://youtu.be/XWjaVNv63sE" TargetMode="External"/><Relationship Id="rId950" Type="http://schemas.openxmlformats.org/officeDocument/2006/relationships/hyperlink" Target="https://youtu.be/2oqAfjjqG-g" TargetMode="External"/><Relationship Id="rId2870" Type="http://schemas.openxmlformats.org/officeDocument/2006/relationships/hyperlink" Target="https://clips.twitch.tv/SpineyConsiderateLadiesOneHand-DdJcYa04uXIMUw1b" TargetMode="External"/><Relationship Id="rId1540" Type="http://schemas.openxmlformats.org/officeDocument/2006/relationships/hyperlink" Target="https://www.twitch.tv/videos/1161331776" TargetMode="External"/><Relationship Id="rId2871" Type="http://schemas.openxmlformats.org/officeDocument/2006/relationships/hyperlink" Target="https://youtu.be/lKWhqixgpOI" TargetMode="External"/><Relationship Id="rId1541" Type="http://schemas.openxmlformats.org/officeDocument/2006/relationships/hyperlink" Target="https://www.twitch.tv/videos/1160443741" TargetMode="External"/><Relationship Id="rId2872" Type="http://schemas.openxmlformats.org/officeDocument/2006/relationships/hyperlink" Target="https://youtu.be/vBOwbhgREek" TargetMode="External"/><Relationship Id="rId1542" Type="http://schemas.openxmlformats.org/officeDocument/2006/relationships/hyperlink" Target="https://www.youtube.com/watch?v=0k3pooKawD8" TargetMode="External"/><Relationship Id="rId2873" Type="http://schemas.openxmlformats.org/officeDocument/2006/relationships/hyperlink" Target="https://youtu.be/InN6JrMrD1Y" TargetMode="External"/><Relationship Id="rId2027" Type="http://schemas.openxmlformats.org/officeDocument/2006/relationships/hyperlink" Target="https://www.youtube.com/watch?v=ggr9NAK1kNA" TargetMode="External"/><Relationship Id="rId3359" Type="http://schemas.openxmlformats.org/officeDocument/2006/relationships/hyperlink" Target="https://youtu.be/OZGCU7a4RPY" TargetMode="External"/><Relationship Id="rId2028" Type="http://schemas.openxmlformats.org/officeDocument/2006/relationships/hyperlink" Target="https://youtu.be/Z3vKAnQ97c4" TargetMode="External"/><Relationship Id="rId3358" Type="http://schemas.openxmlformats.org/officeDocument/2006/relationships/hyperlink" Target="https://youtu.be/ETYZi1vWOyw?si=DjSt60DiCGudvec1" TargetMode="External"/><Relationship Id="rId2029" Type="http://schemas.openxmlformats.org/officeDocument/2006/relationships/hyperlink" Target="https://www.youtube.com/watch?v=EkY8bkvmYJ0" TargetMode="External"/><Relationship Id="rId107" Type="http://schemas.openxmlformats.org/officeDocument/2006/relationships/hyperlink" Target="https://www.youtube.com/watch?v=STrqWAMi1Ks" TargetMode="External"/><Relationship Id="rId106" Type="http://schemas.openxmlformats.org/officeDocument/2006/relationships/hyperlink" Target="https://youtu.be/4_cIaSy34RA" TargetMode="External"/><Relationship Id="rId105" Type="http://schemas.openxmlformats.org/officeDocument/2006/relationships/hyperlink" Target="https://www.youtube.com/watch?v=6HDUGeivs8U" TargetMode="External"/><Relationship Id="rId104" Type="http://schemas.openxmlformats.org/officeDocument/2006/relationships/hyperlink" Target="https://youtu.be/dr-hQYEJb0I" TargetMode="External"/><Relationship Id="rId109" Type="http://schemas.openxmlformats.org/officeDocument/2006/relationships/hyperlink" Target="https://www.youtube.com/watch?v=9J8XB-II8J4" TargetMode="External"/><Relationship Id="rId108" Type="http://schemas.openxmlformats.org/officeDocument/2006/relationships/hyperlink" Target="https://www.youtube.com/watch?v=H_YKny6JZxg" TargetMode="External"/><Relationship Id="rId3351" Type="http://schemas.openxmlformats.org/officeDocument/2006/relationships/hyperlink" Target="https://youtu.be/2UeJDp4iGH0?si=iuTipt3nz5wam-Z2" TargetMode="External"/><Relationship Id="rId2020" Type="http://schemas.openxmlformats.org/officeDocument/2006/relationships/hyperlink" Target="https://clips.twitch.tv/AggressiveSeductiveSnailCharlieBitMe-_5d5Zi6hek5z9U-6" TargetMode="External"/><Relationship Id="rId3350" Type="http://schemas.openxmlformats.org/officeDocument/2006/relationships/hyperlink" Target="https://clips.twitch.tv/AnnoyingThoughtfulAmazonDuDudu-wqpqPbwlm3aK78kS" TargetMode="External"/><Relationship Id="rId2021" Type="http://schemas.openxmlformats.org/officeDocument/2006/relationships/hyperlink" Target="https://www.youtube.com/watch?v=D4iLhFQFJLA" TargetMode="External"/><Relationship Id="rId3353" Type="http://schemas.openxmlformats.org/officeDocument/2006/relationships/hyperlink" Target="https://youtu.be/96nVi2MEUxY" TargetMode="External"/><Relationship Id="rId2022" Type="http://schemas.openxmlformats.org/officeDocument/2006/relationships/hyperlink" Target="https://youtu.be/t0V3BY6CZmc" TargetMode="External"/><Relationship Id="rId3352" Type="http://schemas.openxmlformats.org/officeDocument/2006/relationships/hyperlink" Target="https://youtu.be/Log8qYsdK6g" TargetMode="External"/><Relationship Id="rId103" Type="http://schemas.openxmlformats.org/officeDocument/2006/relationships/hyperlink" Target="https://www.youtube.com/watch?v=iNFAVUTRE8Y" TargetMode="External"/><Relationship Id="rId2023" Type="http://schemas.openxmlformats.org/officeDocument/2006/relationships/hyperlink" Target="https://youtu.be/vO6SbOtKlxY" TargetMode="External"/><Relationship Id="rId3355" Type="http://schemas.openxmlformats.org/officeDocument/2006/relationships/hyperlink" Target="https://youtu.be/YvXvueIUcrQ?si=yTTpgTQhR6Um_7_G" TargetMode="External"/><Relationship Id="rId102" Type="http://schemas.openxmlformats.org/officeDocument/2006/relationships/hyperlink" Target="https://youtu.be/VaNfdrhh250" TargetMode="External"/><Relationship Id="rId2024" Type="http://schemas.openxmlformats.org/officeDocument/2006/relationships/hyperlink" Target="https://youtu.be/5QuzH4L7a0E" TargetMode="External"/><Relationship Id="rId3354" Type="http://schemas.openxmlformats.org/officeDocument/2006/relationships/hyperlink" Target="https://clips.twitch.tv/ExuberantBoxyAsteriskHassanChop-Gt1dcfITEwf4leaE" TargetMode="External"/><Relationship Id="rId101" Type="http://schemas.openxmlformats.org/officeDocument/2006/relationships/hyperlink" Target="https://youtu.be/OH87TMV2Xkc" TargetMode="External"/><Relationship Id="rId2025" Type="http://schemas.openxmlformats.org/officeDocument/2006/relationships/hyperlink" Target="https://youtu.be/vTB6Lzinka8" TargetMode="External"/><Relationship Id="rId3357" Type="http://schemas.openxmlformats.org/officeDocument/2006/relationships/hyperlink" Target="https://www.twitch.tv/videos/1207701165" TargetMode="External"/><Relationship Id="rId100" Type="http://schemas.openxmlformats.org/officeDocument/2006/relationships/hyperlink" Target="https://www.youtube.com/watch?v=VJ3ney_w3eI" TargetMode="External"/><Relationship Id="rId2026" Type="http://schemas.openxmlformats.org/officeDocument/2006/relationships/hyperlink" Target="https://youtu.be/iUt9WhwPUCg" TargetMode="External"/><Relationship Id="rId3356" Type="http://schemas.openxmlformats.org/officeDocument/2006/relationships/hyperlink" Target="https://youtu.be/PsCQX0aROzc?si=EETnGn84DMJgpG4K" TargetMode="External"/><Relationship Id="rId2016" Type="http://schemas.openxmlformats.org/officeDocument/2006/relationships/hyperlink" Target="https://clips.twitch.tv/GleamingFaintTroutLitty-u_qg7VQO9EDCUjK_" TargetMode="External"/><Relationship Id="rId3348" Type="http://schemas.openxmlformats.org/officeDocument/2006/relationships/hyperlink" Target="https://youtu.be/tCxfGJ-WQmU" TargetMode="External"/><Relationship Id="rId2017" Type="http://schemas.openxmlformats.org/officeDocument/2006/relationships/hyperlink" Target="https://clips.twitch.tv/SpeedyBrainySpiderHoneyBadger-dguIxvn7bOnnV1u6" TargetMode="External"/><Relationship Id="rId3347" Type="http://schemas.openxmlformats.org/officeDocument/2006/relationships/hyperlink" Target="https://www.twitch.tv/videos/1253747682" TargetMode="External"/><Relationship Id="rId2018" Type="http://schemas.openxmlformats.org/officeDocument/2006/relationships/hyperlink" Target="https://clips.twitch.tv/SassySucculentCroissantStinkyCheese-77FbM87OHU7avas3" TargetMode="External"/><Relationship Id="rId2019" Type="http://schemas.openxmlformats.org/officeDocument/2006/relationships/hyperlink" Target="https://youtu.be/0HBjmkxy_mI" TargetMode="External"/><Relationship Id="rId3349" Type="http://schemas.openxmlformats.org/officeDocument/2006/relationships/hyperlink" Target="https://youtu.be/7PUaYJbrA9s" TargetMode="External"/><Relationship Id="rId3340" Type="http://schemas.openxmlformats.org/officeDocument/2006/relationships/hyperlink" Target="https://www.twitch.tv/videos/1460806233" TargetMode="External"/><Relationship Id="rId2010" Type="http://schemas.openxmlformats.org/officeDocument/2006/relationships/hyperlink" Target="https://www.twitch.tv/videos/1673271963" TargetMode="External"/><Relationship Id="rId3342" Type="http://schemas.openxmlformats.org/officeDocument/2006/relationships/hyperlink" Target="https://youtu.be/tnqOox8OBB0" TargetMode="External"/><Relationship Id="rId2011" Type="http://schemas.openxmlformats.org/officeDocument/2006/relationships/hyperlink" Target="https://youtu.be/hmDM9MU0g3s" TargetMode="External"/><Relationship Id="rId3341" Type="http://schemas.openxmlformats.org/officeDocument/2006/relationships/hyperlink" Target="https://youtu.be/qlmCdJa-I5c" TargetMode="External"/><Relationship Id="rId2012" Type="http://schemas.openxmlformats.org/officeDocument/2006/relationships/hyperlink" Target="https://youtu.be/8xfCXE2g4YY" TargetMode="External"/><Relationship Id="rId3344" Type="http://schemas.openxmlformats.org/officeDocument/2006/relationships/hyperlink" Target="https://youtu.be/Y6AcMsmJE_M?si=I1WWw40x3fhzWjHp" TargetMode="External"/><Relationship Id="rId2013" Type="http://schemas.openxmlformats.org/officeDocument/2006/relationships/hyperlink" Target="https://clips.twitch.tv/TangibleRepleteButterFUNgineer-VsiTR6vbZLimqu5s" TargetMode="External"/><Relationship Id="rId3343" Type="http://schemas.openxmlformats.org/officeDocument/2006/relationships/hyperlink" Target="https://youtu.be/pD9XOt8-FZo" TargetMode="External"/><Relationship Id="rId2014" Type="http://schemas.openxmlformats.org/officeDocument/2006/relationships/hyperlink" Target="https://clips.twitch.tv/CogentDiligentChimpanzeeNotLikeThis-wiQLQG705NtdCAdA" TargetMode="External"/><Relationship Id="rId3346" Type="http://schemas.openxmlformats.org/officeDocument/2006/relationships/hyperlink" Target="https://youtu.be/y7jpX_C0uXw?si=-mcc5p9x3XqxzUBc" TargetMode="External"/><Relationship Id="rId2015" Type="http://schemas.openxmlformats.org/officeDocument/2006/relationships/hyperlink" Target="https://clips.twitch.tv/RoundScrumptiousQuailSuperVinlin-hS43szO7CxLXRnaa" TargetMode="External"/><Relationship Id="rId3345" Type="http://schemas.openxmlformats.org/officeDocument/2006/relationships/hyperlink" Target="https://youtu.be/_bDKS86UQO0" TargetMode="External"/><Relationship Id="rId2049" Type="http://schemas.openxmlformats.org/officeDocument/2006/relationships/hyperlink" Target="https://www.youtube.com/watch?v=LP5bk7m3Bdc" TargetMode="External"/><Relationship Id="rId129" Type="http://schemas.openxmlformats.org/officeDocument/2006/relationships/hyperlink" Target="https://youtu.be/EiRqaF5rtGU" TargetMode="External"/><Relationship Id="rId128" Type="http://schemas.openxmlformats.org/officeDocument/2006/relationships/hyperlink" Target="https://youtu.be/SuwnsFeiJvE" TargetMode="External"/><Relationship Id="rId127" Type="http://schemas.openxmlformats.org/officeDocument/2006/relationships/hyperlink" Target="https://youtu.be/5FNL5H3p7v8" TargetMode="External"/><Relationship Id="rId126" Type="http://schemas.openxmlformats.org/officeDocument/2006/relationships/hyperlink" Target="https://youtu.be/gHggGb_JpFM" TargetMode="External"/><Relationship Id="rId3371" Type="http://schemas.openxmlformats.org/officeDocument/2006/relationships/hyperlink" Target="https://youtu.be/UDQz7kCJvR8" TargetMode="External"/><Relationship Id="rId2040" Type="http://schemas.openxmlformats.org/officeDocument/2006/relationships/hyperlink" Target="https://youtu.be/yGm7u16MJfI" TargetMode="External"/><Relationship Id="rId3370" Type="http://schemas.openxmlformats.org/officeDocument/2006/relationships/hyperlink" Target="https://youtu.be/mYzJU-sWJSo" TargetMode="External"/><Relationship Id="rId121" Type="http://schemas.openxmlformats.org/officeDocument/2006/relationships/hyperlink" Target="https://youtu.be/4u-kMD71yT8" TargetMode="External"/><Relationship Id="rId2041" Type="http://schemas.openxmlformats.org/officeDocument/2006/relationships/hyperlink" Target="https://www.youtube.com/watch?v=D1uO68t1_9E" TargetMode="External"/><Relationship Id="rId3373" Type="http://schemas.openxmlformats.org/officeDocument/2006/relationships/hyperlink" Target="https://youtu.be/9CE1fcOgskc" TargetMode="External"/><Relationship Id="rId120" Type="http://schemas.openxmlformats.org/officeDocument/2006/relationships/hyperlink" Target="https://youtu.be/jfMVo6Z3VLY" TargetMode="External"/><Relationship Id="rId2042" Type="http://schemas.openxmlformats.org/officeDocument/2006/relationships/hyperlink" Target="https://youtu.be/O4NTBfuxH50" TargetMode="External"/><Relationship Id="rId3372" Type="http://schemas.openxmlformats.org/officeDocument/2006/relationships/hyperlink" Target="https://youtu.be/UeQdaOSfhqQ" TargetMode="External"/><Relationship Id="rId2043" Type="http://schemas.openxmlformats.org/officeDocument/2006/relationships/hyperlink" Target="https://www.youtube.com/watch?v=i6xSyGHqMKQ" TargetMode="External"/><Relationship Id="rId3375" Type="http://schemas.openxmlformats.org/officeDocument/2006/relationships/hyperlink" Target="https://youtu.be/miExYfqR64E" TargetMode="External"/><Relationship Id="rId2044" Type="http://schemas.openxmlformats.org/officeDocument/2006/relationships/hyperlink" Target="https://youtu.be/KlyoH2fSpAY" TargetMode="External"/><Relationship Id="rId3374" Type="http://schemas.openxmlformats.org/officeDocument/2006/relationships/hyperlink" Target="https://youtu.be/bEtJQK0rkxo" TargetMode="External"/><Relationship Id="rId125" Type="http://schemas.openxmlformats.org/officeDocument/2006/relationships/hyperlink" Target="https://youtu.be/KzMih6XxXbw" TargetMode="External"/><Relationship Id="rId2045" Type="http://schemas.openxmlformats.org/officeDocument/2006/relationships/hyperlink" Target="https://youtu.be/-D5SqQbUgxs" TargetMode="External"/><Relationship Id="rId3377" Type="http://schemas.openxmlformats.org/officeDocument/2006/relationships/hyperlink" Target="https://youtu.be/9BdlAgvdzrY" TargetMode="External"/><Relationship Id="rId124" Type="http://schemas.openxmlformats.org/officeDocument/2006/relationships/hyperlink" Target="https://youtu.be/QmBya8cz5LM" TargetMode="External"/><Relationship Id="rId2046" Type="http://schemas.openxmlformats.org/officeDocument/2006/relationships/hyperlink" Target="https://youtu.be/2NQ0u11b-iM" TargetMode="External"/><Relationship Id="rId3376" Type="http://schemas.openxmlformats.org/officeDocument/2006/relationships/hyperlink" Target="https://www.youtube.com/watch?v=Vq9jDB675Ac" TargetMode="External"/><Relationship Id="rId123" Type="http://schemas.openxmlformats.org/officeDocument/2006/relationships/hyperlink" Target="https://youtu.be/LUjrBxBTZss" TargetMode="External"/><Relationship Id="rId2047" Type="http://schemas.openxmlformats.org/officeDocument/2006/relationships/hyperlink" Target="https://www.youtube.com/watch?v=VxbAWE1hhjQ" TargetMode="External"/><Relationship Id="rId3379" Type="http://schemas.openxmlformats.org/officeDocument/2006/relationships/hyperlink" Target="https://youtu.be/fYoR2wp4hxQ" TargetMode="External"/><Relationship Id="rId122" Type="http://schemas.openxmlformats.org/officeDocument/2006/relationships/hyperlink" Target="https://youtu.be/U6CWT4ozXxo" TargetMode="External"/><Relationship Id="rId2048" Type="http://schemas.openxmlformats.org/officeDocument/2006/relationships/hyperlink" Target="https://youtu.be/N1cIcD5__m8" TargetMode="External"/><Relationship Id="rId3378" Type="http://schemas.openxmlformats.org/officeDocument/2006/relationships/hyperlink" Target="https://youtu.be/sVyD7rZ_lQY" TargetMode="External"/><Relationship Id="rId2038" Type="http://schemas.openxmlformats.org/officeDocument/2006/relationships/hyperlink" Target="https://youtu.be/fmEsMKFQZQM" TargetMode="External"/><Relationship Id="rId2039" Type="http://schemas.openxmlformats.org/officeDocument/2006/relationships/hyperlink" Target="https://www.youtube.com/watch?v=V8KL-6CByWw" TargetMode="External"/><Relationship Id="rId3369" Type="http://schemas.openxmlformats.org/officeDocument/2006/relationships/hyperlink" Target="https://www.youtube.com/watch?v=kPNwdDX3Bps" TargetMode="External"/><Relationship Id="rId118" Type="http://schemas.openxmlformats.org/officeDocument/2006/relationships/hyperlink" Target="https://youtu.be/u8rS36rWfW0" TargetMode="External"/><Relationship Id="rId117" Type="http://schemas.openxmlformats.org/officeDocument/2006/relationships/hyperlink" Target="https://youtu.be/4AIc-eAxh4o" TargetMode="External"/><Relationship Id="rId116" Type="http://schemas.openxmlformats.org/officeDocument/2006/relationships/hyperlink" Target="https://youtu.be/VJ2Syy1Rs4U" TargetMode="External"/><Relationship Id="rId115" Type="http://schemas.openxmlformats.org/officeDocument/2006/relationships/hyperlink" Target="https://youtu.be/LZw4JeufRCg" TargetMode="External"/><Relationship Id="rId3360" Type="http://schemas.openxmlformats.org/officeDocument/2006/relationships/hyperlink" Target="https://youtu.be/g8xqA7r4r_s?si=IE64A5KdncBZpH0_" TargetMode="External"/><Relationship Id="rId119" Type="http://schemas.openxmlformats.org/officeDocument/2006/relationships/hyperlink" Target="https://youtu.be/WWsJDBnpRdI" TargetMode="External"/><Relationship Id="rId110" Type="http://schemas.openxmlformats.org/officeDocument/2006/relationships/hyperlink" Target="https://www.youtube.com/watch?v=_nyhsMG87ik" TargetMode="External"/><Relationship Id="rId2030" Type="http://schemas.openxmlformats.org/officeDocument/2006/relationships/hyperlink" Target="https://youtu.be/hzThAcMPmgA" TargetMode="External"/><Relationship Id="rId3362" Type="http://schemas.openxmlformats.org/officeDocument/2006/relationships/hyperlink" Target="https://youtu.be/QdeI18gsMZU?si=qLdoR9t8JoucZN2e" TargetMode="External"/><Relationship Id="rId2031" Type="http://schemas.openxmlformats.org/officeDocument/2006/relationships/hyperlink" Target="https://youtu.be/XXrQzUlRhAY" TargetMode="External"/><Relationship Id="rId3361" Type="http://schemas.openxmlformats.org/officeDocument/2006/relationships/hyperlink" Target="https://youtu.be/ckqGSQqnSbQ?si=8Iy5YvFP2dGI8Mkn" TargetMode="External"/><Relationship Id="rId2032" Type="http://schemas.openxmlformats.org/officeDocument/2006/relationships/hyperlink" Target="https://youtu.be/69lCotuQa4k" TargetMode="External"/><Relationship Id="rId3364" Type="http://schemas.openxmlformats.org/officeDocument/2006/relationships/hyperlink" Target="https://youtu.be/WDlXk90u5Bc?si=feDmgRohE1PGPIN1" TargetMode="External"/><Relationship Id="rId2033" Type="http://schemas.openxmlformats.org/officeDocument/2006/relationships/hyperlink" Target="https://youtu.be/AmaJqtJBSfg" TargetMode="External"/><Relationship Id="rId3363" Type="http://schemas.openxmlformats.org/officeDocument/2006/relationships/hyperlink" Target="https://youtu.be/U87gdhTxhAM?si=4avAylyFpFk6KlNC" TargetMode="External"/><Relationship Id="rId114" Type="http://schemas.openxmlformats.org/officeDocument/2006/relationships/hyperlink" Target="https://youtu.be/jEp9bNV8FH8" TargetMode="External"/><Relationship Id="rId2034" Type="http://schemas.openxmlformats.org/officeDocument/2006/relationships/hyperlink" Target="https://youtu.be/Qb_xZappa9E" TargetMode="External"/><Relationship Id="rId3366" Type="http://schemas.openxmlformats.org/officeDocument/2006/relationships/hyperlink" Target="https://clips.twitch.tv/CleanSpeedySquirrelNerfRedBlaster-wAymz7ty7RNzWK-2" TargetMode="External"/><Relationship Id="rId113" Type="http://schemas.openxmlformats.org/officeDocument/2006/relationships/hyperlink" Target="https://www.youtube.com/watch?v=b7l45NFR5U8" TargetMode="External"/><Relationship Id="rId2035" Type="http://schemas.openxmlformats.org/officeDocument/2006/relationships/hyperlink" Target="https://youtu.be/HLTflWd81wU" TargetMode="External"/><Relationship Id="rId3365" Type="http://schemas.openxmlformats.org/officeDocument/2006/relationships/hyperlink" Target="https://youtu.be/wgmqieTlGak" TargetMode="External"/><Relationship Id="rId112" Type="http://schemas.openxmlformats.org/officeDocument/2006/relationships/hyperlink" Target="https://www.youtube.com/watch?v=AvF34zmlZig" TargetMode="External"/><Relationship Id="rId2036" Type="http://schemas.openxmlformats.org/officeDocument/2006/relationships/hyperlink" Target="https://www.youtube.com/watch?v=vKZP43yzPTg" TargetMode="External"/><Relationship Id="rId3368" Type="http://schemas.openxmlformats.org/officeDocument/2006/relationships/hyperlink" Target="https://twitter.com/Samura1man/status/1271734162496516096" TargetMode="External"/><Relationship Id="rId111" Type="http://schemas.openxmlformats.org/officeDocument/2006/relationships/hyperlink" Target="https://www.youtube.com/watch?v=y6tAqsNqoRk" TargetMode="External"/><Relationship Id="rId2037" Type="http://schemas.openxmlformats.org/officeDocument/2006/relationships/hyperlink" Target="https://youtu.be/BEkZKPxC6Ys" TargetMode="External"/><Relationship Id="rId3367" Type="http://schemas.openxmlformats.org/officeDocument/2006/relationships/hyperlink" Target="https://www.youtube.com/watch?v=DIcjtHJf4AI" TargetMode="External"/><Relationship Id="rId3315" Type="http://schemas.openxmlformats.org/officeDocument/2006/relationships/hyperlink" Target="https://youtu.be/CPj2_3SQQH0" TargetMode="External"/><Relationship Id="rId3314" Type="http://schemas.openxmlformats.org/officeDocument/2006/relationships/hyperlink" Target="https://youtu.be/JE-MOlrG9rQ" TargetMode="External"/><Relationship Id="rId3317" Type="http://schemas.openxmlformats.org/officeDocument/2006/relationships/hyperlink" Target="https://youtu.be/InsBFCrFdLQ" TargetMode="External"/><Relationship Id="rId3316" Type="http://schemas.openxmlformats.org/officeDocument/2006/relationships/hyperlink" Target="https://youtu.be/O-YOfvZs49o" TargetMode="External"/><Relationship Id="rId3319" Type="http://schemas.openxmlformats.org/officeDocument/2006/relationships/hyperlink" Target="https://youtu.be/ZYluNBhBo9A" TargetMode="External"/><Relationship Id="rId3318" Type="http://schemas.openxmlformats.org/officeDocument/2006/relationships/hyperlink" Target="https://youtu.be/uatrSwIUKDc" TargetMode="External"/><Relationship Id="rId3311" Type="http://schemas.openxmlformats.org/officeDocument/2006/relationships/hyperlink" Target="https://youtu.be/qS2AEjLfcD8" TargetMode="External"/><Relationship Id="rId3310" Type="http://schemas.openxmlformats.org/officeDocument/2006/relationships/hyperlink" Target="https://youtu.be/BHsY7fDItdY" TargetMode="External"/><Relationship Id="rId3313" Type="http://schemas.openxmlformats.org/officeDocument/2006/relationships/hyperlink" Target="https://youtu.be/BFC8g-DaB4A" TargetMode="External"/><Relationship Id="rId3312" Type="http://schemas.openxmlformats.org/officeDocument/2006/relationships/hyperlink" Target="https://youtu.be/FNvAjb6gfYc" TargetMode="External"/><Relationship Id="rId3304" Type="http://schemas.openxmlformats.org/officeDocument/2006/relationships/hyperlink" Target="https://youtu.be/gXXxm7tPaRE" TargetMode="External"/><Relationship Id="rId3303" Type="http://schemas.openxmlformats.org/officeDocument/2006/relationships/hyperlink" Target="https://youtu.be/_5AETbvKx1Y" TargetMode="External"/><Relationship Id="rId3306" Type="http://schemas.openxmlformats.org/officeDocument/2006/relationships/hyperlink" Target="https://youtu.be/e6rJY421L1Q" TargetMode="External"/><Relationship Id="rId3305" Type="http://schemas.openxmlformats.org/officeDocument/2006/relationships/hyperlink" Target="https://youtu.be/NZ9lpNZBN6k" TargetMode="External"/><Relationship Id="rId3308" Type="http://schemas.openxmlformats.org/officeDocument/2006/relationships/hyperlink" Target="https://youtu.be/9P-SfT1elNo" TargetMode="External"/><Relationship Id="rId3307" Type="http://schemas.openxmlformats.org/officeDocument/2006/relationships/hyperlink" Target="https://youtu.be/u8pIVg9rCkc" TargetMode="External"/><Relationship Id="rId3309" Type="http://schemas.openxmlformats.org/officeDocument/2006/relationships/hyperlink" Target="https://youtu.be/1LyYCvfR7Fk" TargetMode="External"/><Relationship Id="rId3300" Type="http://schemas.openxmlformats.org/officeDocument/2006/relationships/hyperlink" Target="https://youtu.be/HP3O4N-AQZc" TargetMode="External"/><Relationship Id="rId3302" Type="http://schemas.openxmlformats.org/officeDocument/2006/relationships/hyperlink" Target="https://youtu.be/-tRSlbW-NAw" TargetMode="External"/><Relationship Id="rId3301" Type="http://schemas.openxmlformats.org/officeDocument/2006/relationships/hyperlink" Target="https://youtu.be/sJku-3yPlDc" TargetMode="External"/><Relationship Id="rId2005" Type="http://schemas.openxmlformats.org/officeDocument/2006/relationships/hyperlink" Target="https://youtu.be/pU6oNCbzYRM" TargetMode="External"/><Relationship Id="rId3337" Type="http://schemas.openxmlformats.org/officeDocument/2006/relationships/hyperlink" Target="https://youtu.be/L5KFF_6302E" TargetMode="External"/><Relationship Id="rId2006" Type="http://schemas.openxmlformats.org/officeDocument/2006/relationships/hyperlink" Target="https://youtu.be/c7uJvrms9lM" TargetMode="External"/><Relationship Id="rId3336" Type="http://schemas.openxmlformats.org/officeDocument/2006/relationships/hyperlink" Target="https://youtu.be/cBNsS10llbg" TargetMode="External"/><Relationship Id="rId2007" Type="http://schemas.openxmlformats.org/officeDocument/2006/relationships/hyperlink" Target="https://youtu.be/qihbGigM93o" TargetMode="External"/><Relationship Id="rId3339" Type="http://schemas.openxmlformats.org/officeDocument/2006/relationships/hyperlink" Target="https://youtu.be/8kAPcI0sVo4" TargetMode="External"/><Relationship Id="rId2008" Type="http://schemas.openxmlformats.org/officeDocument/2006/relationships/hyperlink" Target="https://youtu.be/ign8o0WQZBE" TargetMode="External"/><Relationship Id="rId3338" Type="http://schemas.openxmlformats.org/officeDocument/2006/relationships/hyperlink" Target="https://youtu.be/PIcAVkxTJkM" TargetMode="External"/><Relationship Id="rId2009" Type="http://schemas.openxmlformats.org/officeDocument/2006/relationships/hyperlink" Target="https://youtu.be/Lix4jwmz3PI" TargetMode="External"/><Relationship Id="rId3331" Type="http://schemas.openxmlformats.org/officeDocument/2006/relationships/hyperlink" Target="https://youtu.be/Fbj8d2_w-Lg" TargetMode="External"/><Relationship Id="rId2000" Type="http://schemas.openxmlformats.org/officeDocument/2006/relationships/hyperlink" Target="https://youtu.be/SwIE08yW4rw" TargetMode="External"/><Relationship Id="rId3330" Type="http://schemas.openxmlformats.org/officeDocument/2006/relationships/hyperlink" Target="https://youtu.be/FuJwJXH4fBc" TargetMode="External"/><Relationship Id="rId2001" Type="http://schemas.openxmlformats.org/officeDocument/2006/relationships/hyperlink" Target="https://www.twitch.tv/videos/1624277531" TargetMode="External"/><Relationship Id="rId3333" Type="http://schemas.openxmlformats.org/officeDocument/2006/relationships/hyperlink" Target="https://youtu.be/ceF49l7ToEM" TargetMode="External"/><Relationship Id="rId2002" Type="http://schemas.openxmlformats.org/officeDocument/2006/relationships/hyperlink" Target="https://youtu.be/Y0uR6UzPscw" TargetMode="External"/><Relationship Id="rId3332" Type="http://schemas.openxmlformats.org/officeDocument/2006/relationships/hyperlink" Target="https://youtu.be/qsMq1e98Vqk" TargetMode="External"/><Relationship Id="rId2003" Type="http://schemas.openxmlformats.org/officeDocument/2006/relationships/hyperlink" Target="https://youtu.be/69ODlZoqeU8" TargetMode="External"/><Relationship Id="rId3335" Type="http://schemas.openxmlformats.org/officeDocument/2006/relationships/hyperlink" Target="https://youtu.be/T9E3KVuY3nk" TargetMode="External"/><Relationship Id="rId2004" Type="http://schemas.openxmlformats.org/officeDocument/2006/relationships/hyperlink" Target="https://youtu.be/pRfjUF7SKeY" TargetMode="External"/><Relationship Id="rId3334" Type="http://schemas.openxmlformats.org/officeDocument/2006/relationships/hyperlink" Target="https://youtu.be/eT23JDdPU5Y" TargetMode="External"/><Relationship Id="rId3326" Type="http://schemas.openxmlformats.org/officeDocument/2006/relationships/hyperlink" Target="https://youtu.be/heRgxUjOxr4" TargetMode="External"/><Relationship Id="rId3325" Type="http://schemas.openxmlformats.org/officeDocument/2006/relationships/hyperlink" Target="https://youtu.be/pzNVImszI5A" TargetMode="External"/><Relationship Id="rId3328" Type="http://schemas.openxmlformats.org/officeDocument/2006/relationships/hyperlink" Target="https://youtu.be/2k_uSmCXMAs" TargetMode="External"/><Relationship Id="rId3327" Type="http://schemas.openxmlformats.org/officeDocument/2006/relationships/hyperlink" Target="https://youtu.be/og-NgPQ62Pk" TargetMode="External"/><Relationship Id="rId3329" Type="http://schemas.openxmlformats.org/officeDocument/2006/relationships/hyperlink" Target="https://youtu.be/h_ZwMDatTD4" TargetMode="External"/><Relationship Id="rId3320" Type="http://schemas.openxmlformats.org/officeDocument/2006/relationships/hyperlink" Target="https://youtu.be/9vSa36-LDQw" TargetMode="External"/><Relationship Id="rId3322" Type="http://schemas.openxmlformats.org/officeDocument/2006/relationships/hyperlink" Target="https://youtu.be/IOkYplnaPzo" TargetMode="External"/><Relationship Id="rId3321" Type="http://schemas.openxmlformats.org/officeDocument/2006/relationships/hyperlink" Target="https://youtu.be/110gjjURfvI" TargetMode="External"/><Relationship Id="rId3324" Type="http://schemas.openxmlformats.org/officeDocument/2006/relationships/hyperlink" Target="https://youtu.be/iPq4Fkezf9o" TargetMode="External"/><Relationship Id="rId3323" Type="http://schemas.openxmlformats.org/officeDocument/2006/relationships/hyperlink" Target="https://youtu.be/0KsmRlkm06g" TargetMode="External"/><Relationship Id="rId2090" Type="http://schemas.openxmlformats.org/officeDocument/2006/relationships/hyperlink" Target="https://youtu.be/QJ4iT1gHcZ8?si=ZlUyzSP6EUC2zCbM&amp;t=7" TargetMode="External"/><Relationship Id="rId2091" Type="http://schemas.openxmlformats.org/officeDocument/2006/relationships/hyperlink" Target="https://youtu.be/MwKjCAQ8IAk" TargetMode="External"/><Relationship Id="rId2092" Type="http://schemas.openxmlformats.org/officeDocument/2006/relationships/hyperlink" Target="https://youtu.be/WH8jwRgt2kU" TargetMode="External"/><Relationship Id="rId2093" Type="http://schemas.openxmlformats.org/officeDocument/2006/relationships/hyperlink" Target="https://youtu.be/CbIXhtKEIas?t=7" TargetMode="External"/><Relationship Id="rId2094" Type="http://schemas.openxmlformats.org/officeDocument/2006/relationships/hyperlink" Target="https://youtu.be/uHhGZJ41VEk" TargetMode="External"/><Relationship Id="rId2095" Type="http://schemas.openxmlformats.org/officeDocument/2006/relationships/hyperlink" Target="https://www.youtube.com/watch?v=Xh1FcjkvYCs" TargetMode="External"/><Relationship Id="rId2096" Type="http://schemas.openxmlformats.org/officeDocument/2006/relationships/hyperlink" Target="https://youtu.be/ooGIdAyg3XU" TargetMode="External"/><Relationship Id="rId2097" Type="http://schemas.openxmlformats.org/officeDocument/2006/relationships/hyperlink" Target="https://youtu.be/fAL2qyQiCzQ" TargetMode="External"/><Relationship Id="rId2098" Type="http://schemas.openxmlformats.org/officeDocument/2006/relationships/hyperlink" Target="https://youtu.be/fAL2qyQiCzQ?t=21" TargetMode="External"/><Relationship Id="rId2099" Type="http://schemas.openxmlformats.org/officeDocument/2006/relationships/hyperlink" Target="https://youtu.be/HF7g91NNs9g" TargetMode="External"/><Relationship Id="rId3391" Type="http://schemas.openxmlformats.org/officeDocument/2006/relationships/hyperlink" Target="https://youtu.be/mF124RG60nQ" TargetMode="External"/><Relationship Id="rId2060" Type="http://schemas.openxmlformats.org/officeDocument/2006/relationships/hyperlink" Target="https://youtu.be/WXpzdXqKUzY" TargetMode="External"/><Relationship Id="rId3390" Type="http://schemas.openxmlformats.org/officeDocument/2006/relationships/hyperlink" Target="https://youtu.be/prEpqvZQgLQ" TargetMode="External"/><Relationship Id="rId2061" Type="http://schemas.openxmlformats.org/officeDocument/2006/relationships/hyperlink" Target="https://youtu.be/WXpzdXqKUzY" TargetMode="External"/><Relationship Id="rId3393" Type="http://schemas.openxmlformats.org/officeDocument/2006/relationships/hyperlink" Target="https://www.youtube.com/watch?v=ftePd1cjfoQ" TargetMode="External"/><Relationship Id="rId2062" Type="http://schemas.openxmlformats.org/officeDocument/2006/relationships/hyperlink" Target="https://youtu.be/nmvqOVTOQXE" TargetMode="External"/><Relationship Id="rId3392" Type="http://schemas.openxmlformats.org/officeDocument/2006/relationships/hyperlink" Target="https://youtu.be/_DhWYRq0LwA" TargetMode="External"/><Relationship Id="rId2063" Type="http://schemas.openxmlformats.org/officeDocument/2006/relationships/hyperlink" Target="https://youtu.be/MgaXIbE5RmY" TargetMode="External"/><Relationship Id="rId3395" Type="http://schemas.openxmlformats.org/officeDocument/2006/relationships/hyperlink" Target="https://youtu.be/gzOBWrCUX4g" TargetMode="External"/><Relationship Id="rId2064" Type="http://schemas.openxmlformats.org/officeDocument/2006/relationships/hyperlink" Target="https://youtu.be/QkSUnlGmEvc" TargetMode="External"/><Relationship Id="rId3394" Type="http://schemas.openxmlformats.org/officeDocument/2006/relationships/hyperlink" Target="https://youtu.be/9oaIhANWDzo" TargetMode="External"/><Relationship Id="rId2065" Type="http://schemas.openxmlformats.org/officeDocument/2006/relationships/hyperlink" Target="https://www.youtube.com/watch?v=9ob_SrLj2Po" TargetMode="External"/><Relationship Id="rId3397" Type="http://schemas.openxmlformats.org/officeDocument/2006/relationships/hyperlink" Target="https://youtu.be/QWmK3VCxdP8" TargetMode="External"/><Relationship Id="rId2066" Type="http://schemas.openxmlformats.org/officeDocument/2006/relationships/hyperlink" Target="https://youtu.be/Wh1RcERZztc" TargetMode="External"/><Relationship Id="rId3396" Type="http://schemas.openxmlformats.org/officeDocument/2006/relationships/hyperlink" Target="https://youtu.be/uQb2vYe8YII" TargetMode="External"/><Relationship Id="rId2067" Type="http://schemas.openxmlformats.org/officeDocument/2006/relationships/hyperlink" Target="https://youtu.be/HJGOVo_rpNY" TargetMode="External"/><Relationship Id="rId3399" Type="http://schemas.openxmlformats.org/officeDocument/2006/relationships/hyperlink" Target="https://youtu.be/Sc_oJ7DMHOk" TargetMode="External"/><Relationship Id="rId2068" Type="http://schemas.openxmlformats.org/officeDocument/2006/relationships/hyperlink" Target="https://youtu.be/hPP_OvrK6Jw" TargetMode="External"/><Relationship Id="rId3398" Type="http://schemas.openxmlformats.org/officeDocument/2006/relationships/hyperlink" Target="https://youtu.be/QCZ15YXP7O0" TargetMode="External"/><Relationship Id="rId2069" Type="http://schemas.openxmlformats.org/officeDocument/2006/relationships/hyperlink" Target="https://youtu.be/11edTlMh5l0" TargetMode="External"/><Relationship Id="rId3380" Type="http://schemas.openxmlformats.org/officeDocument/2006/relationships/hyperlink" Target="https://youtu.be/TrxUurtXieo" TargetMode="External"/><Relationship Id="rId2050" Type="http://schemas.openxmlformats.org/officeDocument/2006/relationships/hyperlink" Target="https://youtu.be/OyCQx3t6ZYE" TargetMode="External"/><Relationship Id="rId3382" Type="http://schemas.openxmlformats.org/officeDocument/2006/relationships/hyperlink" Target="https://youtu.be/XIuPXMHoVU0" TargetMode="External"/><Relationship Id="rId2051" Type="http://schemas.openxmlformats.org/officeDocument/2006/relationships/hyperlink" Target="https://youtu.be/sIHSoJVmB2E" TargetMode="External"/><Relationship Id="rId3381" Type="http://schemas.openxmlformats.org/officeDocument/2006/relationships/hyperlink" Target="https://youtu.be/fvXb3xHb3Os" TargetMode="External"/><Relationship Id="rId2052" Type="http://schemas.openxmlformats.org/officeDocument/2006/relationships/hyperlink" Target="https://youtu.be/UElhts5cLgE" TargetMode="External"/><Relationship Id="rId3384" Type="http://schemas.openxmlformats.org/officeDocument/2006/relationships/hyperlink" Target="https://www.youtube.com/watch?v=Rr8Jt2JByPI" TargetMode="External"/><Relationship Id="rId2053" Type="http://schemas.openxmlformats.org/officeDocument/2006/relationships/hyperlink" Target="https://youtu.be/BijQPe2xCBA" TargetMode="External"/><Relationship Id="rId3383" Type="http://schemas.openxmlformats.org/officeDocument/2006/relationships/hyperlink" Target="https://youtu.be/2t3V_BAcyNg" TargetMode="External"/><Relationship Id="rId2054" Type="http://schemas.openxmlformats.org/officeDocument/2006/relationships/hyperlink" Target="https://www.youtube.com/watch?v=bl2IPYHW4a0" TargetMode="External"/><Relationship Id="rId3386" Type="http://schemas.openxmlformats.org/officeDocument/2006/relationships/hyperlink" Target="https://youtu.be/iKTeySuLwAI" TargetMode="External"/><Relationship Id="rId2055" Type="http://schemas.openxmlformats.org/officeDocument/2006/relationships/hyperlink" Target="https://www.youtube.com/watch?v=Dk1WHR8onsg" TargetMode="External"/><Relationship Id="rId3385" Type="http://schemas.openxmlformats.org/officeDocument/2006/relationships/hyperlink" Target="https://www.youtube.com/watch?v=Wm_ugLL7HvQ" TargetMode="External"/><Relationship Id="rId2056" Type="http://schemas.openxmlformats.org/officeDocument/2006/relationships/hyperlink" Target="https://youtu.be/znbCPPEhrKshttps://youtu.be/znbCPPEhrKs" TargetMode="External"/><Relationship Id="rId3388" Type="http://schemas.openxmlformats.org/officeDocument/2006/relationships/hyperlink" Target="https://youtu.be/ZmY_5WSb6yM" TargetMode="External"/><Relationship Id="rId2057" Type="http://schemas.openxmlformats.org/officeDocument/2006/relationships/hyperlink" Target="https://youtu.be/w3w8fr_MI3A" TargetMode="External"/><Relationship Id="rId3387" Type="http://schemas.openxmlformats.org/officeDocument/2006/relationships/hyperlink" Target="https://youtu.be/czwc5nX4nvk" TargetMode="External"/><Relationship Id="rId2058" Type="http://schemas.openxmlformats.org/officeDocument/2006/relationships/hyperlink" Target="https://youtu.be/P-GlvpOjSLM" TargetMode="External"/><Relationship Id="rId2059" Type="http://schemas.openxmlformats.org/officeDocument/2006/relationships/hyperlink" Target="https://youtu.be/rd3MAr5qpX8" TargetMode="External"/><Relationship Id="rId3389" Type="http://schemas.openxmlformats.org/officeDocument/2006/relationships/hyperlink" Target="https://youtu.be/5VwqykDW0oQ" TargetMode="External"/><Relationship Id="rId2080" Type="http://schemas.openxmlformats.org/officeDocument/2006/relationships/hyperlink" Target="https://www.youtube.com/watch?v=EjziplTUc-U&amp;feature=youtu.be" TargetMode="External"/><Relationship Id="rId2081" Type="http://schemas.openxmlformats.org/officeDocument/2006/relationships/hyperlink" Target="https://www.youtube.com/watch?v=__n8RFq565g" TargetMode="External"/><Relationship Id="rId2082" Type="http://schemas.openxmlformats.org/officeDocument/2006/relationships/hyperlink" Target="https://youtu.be/Rnb5iaz4D2Q" TargetMode="External"/><Relationship Id="rId2083" Type="http://schemas.openxmlformats.org/officeDocument/2006/relationships/hyperlink" Target="https://youtu.be/Oo9vDlOj1tA?si=tD2Mz_9oEQmekEuB&amp;t=6" TargetMode="External"/><Relationship Id="rId2084" Type="http://schemas.openxmlformats.org/officeDocument/2006/relationships/hyperlink" Target="https://youtu.be/TnO4Xtzo9O4?si=10CeZxJ3_3Dvjrf9&amp;t=1" TargetMode="External"/><Relationship Id="rId2085" Type="http://schemas.openxmlformats.org/officeDocument/2006/relationships/hyperlink" Target="https://youtu.be/418hKZDiUWU" TargetMode="External"/><Relationship Id="rId2086" Type="http://schemas.openxmlformats.org/officeDocument/2006/relationships/hyperlink" Target="https://youtu.be/tVGCL0jGJVw" TargetMode="External"/><Relationship Id="rId2087" Type="http://schemas.openxmlformats.org/officeDocument/2006/relationships/hyperlink" Target="https://youtu.be/eovNcQ0BceQ" TargetMode="External"/><Relationship Id="rId2088" Type="http://schemas.openxmlformats.org/officeDocument/2006/relationships/hyperlink" Target="https://youtu.be/bh_Y5TleOHs?t=1" TargetMode="External"/><Relationship Id="rId2089" Type="http://schemas.openxmlformats.org/officeDocument/2006/relationships/hyperlink" Target="https://youtu.be/PA_tshXYGPc" TargetMode="External"/><Relationship Id="rId2070" Type="http://schemas.openxmlformats.org/officeDocument/2006/relationships/hyperlink" Target="https://youtu.be/1DsD4Nbjs7w" TargetMode="External"/><Relationship Id="rId2071" Type="http://schemas.openxmlformats.org/officeDocument/2006/relationships/hyperlink" Target="https://youtu.be/WIz3d6iOZj8" TargetMode="External"/><Relationship Id="rId2072" Type="http://schemas.openxmlformats.org/officeDocument/2006/relationships/hyperlink" Target="https://youtu.be/T88iE4H970c" TargetMode="External"/><Relationship Id="rId2073" Type="http://schemas.openxmlformats.org/officeDocument/2006/relationships/hyperlink" Target="https://youtu.be/QfVyCVzRPzQ" TargetMode="External"/><Relationship Id="rId2074" Type="http://schemas.openxmlformats.org/officeDocument/2006/relationships/hyperlink" Target="https://www.youtube.com/watch?v=DfDKZAEfdU4" TargetMode="External"/><Relationship Id="rId2075" Type="http://schemas.openxmlformats.org/officeDocument/2006/relationships/hyperlink" Target="https://www.youtube.com/watch?v=NhsBidR86vU" TargetMode="External"/><Relationship Id="rId2076" Type="http://schemas.openxmlformats.org/officeDocument/2006/relationships/hyperlink" Target="https://www.twitch.tv/videos/954151463" TargetMode="External"/><Relationship Id="rId2077" Type="http://schemas.openxmlformats.org/officeDocument/2006/relationships/hyperlink" Target="https://youtu.be/7Mb7dM-BrA4" TargetMode="External"/><Relationship Id="rId2078" Type="http://schemas.openxmlformats.org/officeDocument/2006/relationships/hyperlink" Target="https://youtu.be/nFjlj-sDjoA" TargetMode="External"/><Relationship Id="rId2079" Type="http://schemas.openxmlformats.org/officeDocument/2006/relationships/hyperlink" Target="https://youtu.be/KRdWpr02SxQ?t=5" TargetMode="External"/><Relationship Id="rId2940" Type="http://schemas.openxmlformats.org/officeDocument/2006/relationships/hyperlink" Target="https://twitter.com/Reborn_Frog/status/1583054746327216128" TargetMode="External"/><Relationship Id="rId1610" Type="http://schemas.openxmlformats.org/officeDocument/2006/relationships/hyperlink" Target="https://youtu.be/jsIro9kogT8" TargetMode="External"/><Relationship Id="rId2941" Type="http://schemas.openxmlformats.org/officeDocument/2006/relationships/hyperlink" Target="https://twitter.com/Reborn_Frog/status/1434918648292859910" TargetMode="External"/><Relationship Id="rId1611" Type="http://schemas.openxmlformats.org/officeDocument/2006/relationships/hyperlink" Target="https://youtu.be/Gq6YQEliOpU" TargetMode="External"/><Relationship Id="rId2942" Type="http://schemas.openxmlformats.org/officeDocument/2006/relationships/hyperlink" Target="https://twitter.com/Reborn_Frog/status/1423658706487574535" TargetMode="External"/><Relationship Id="rId1612" Type="http://schemas.openxmlformats.org/officeDocument/2006/relationships/hyperlink" Target="https://youtu.be/dZHKqSdo0M0" TargetMode="External"/><Relationship Id="rId2943" Type="http://schemas.openxmlformats.org/officeDocument/2006/relationships/hyperlink" Target="https://www.twitch.tv/videos/1113071263" TargetMode="External"/><Relationship Id="rId1613" Type="http://schemas.openxmlformats.org/officeDocument/2006/relationships/hyperlink" Target="https://youtu.be/JjQwrpHUqL0" TargetMode="External"/><Relationship Id="rId2944" Type="http://schemas.openxmlformats.org/officeDocument/2006/relationships/hyperlink" Target="https://twitter.com/Reborn_Frog/status/1447190642082258948" TargetMode="External"/><Relationship Id="rId1614" Type="http://schemas.openxmlformats.org/officeDocument/2006/relationships/hyperlink" Target="https://youtu.be/ZIjxMb7FtkI" TargetMode="External"/><Relationship Id="rId2945" Type="http://schemas.openxmlformats.org/officeDocument/2006/relationships/hyperlink" Target="https://www.youtube.com/watch?v=wozEi1FdQNY" TargetMode="External"/><Relationship Id="rId1615" Type="http://schemas.openxmlformats.org/officeDocument/2006/relationships/hyperlink" Target="https://youtu.be/AQ5hA3D9dRc" TargetMode="External"/><Relationship Id="rId2946" Type="http://schemas.openxmlformats.org/officeDocument/2006/relationships/hyperlink" Target="https://twitter.com/froidtofu/status/1385946074615926788" TargetMode="External"/><Relationship Id="rId1616" Type="http://schemas.openxmlformats.org/officeDocument/2006/relationships/hyperlink" Target="https://youtu.be/ZqjYKjHRiQ4" TargetMode="External"/><Relationship Id="rId2947" Type="http://schemas.openxmlformats.org/officeDocument/2006/relationships/hyperlink" Target="https://twitter.com/froidtofu/status/1447607796015382529" TargetMode="External"/><Relationship Id="rId907" Type="http://schemas.openxmlformats.org/officeDocument/2006/relationships/hyperlink" Target="https://youtu.be/ax5iIWGrlV4" TargetMode="External"/><Relationship Id="rId1617" Type="http://schemas.openxmlformats.org/officeDocument/2006/relationships/hyperlink" Target="https://youtu.be/qcfVmgA2Lvs" TargetMode="External"/><Relationship Id="rId2948" Type="http://schemas.openxmlformats.org/officeDocument/2006/relationships/hyperlink" Target="https://www.youtube.com/watch?v=IA2OoXn2Kv8" TargetMode="External"/><Relationship Id="rId906" Type="http://schemas.openxmlformats.org/officeDocument/2006/relationships/hyperlink" Target="https://youtu.be/DC9kSemmQcE" TargetMode="External"/><Relationship Id="rId1618" Type="http://schemas.openxmlformats.org/officeDocument/2006/relationships/hyperlink" Target="https://youtu.be/tccaFtDBFqE" TargetMode="External"/><Relationship Id="rId2949" Type="http://schemas.openxmlformats.org/officeDocument/2006/relationships/hyperlink" Target="https://twitter.com/froidtofu/status/1447963036619214848" TargetMode="External"/><Relationship Id="rId905" Type="http://schemas.openxmlformats.org/officeDocument/2006/relationships/hyperlink" Target="https://youtu.be/Kj-It4K_OhM" TargetMode="External"/><Relationship Id="rId1619" Type="http://schemas.openxmlformats.org/officeDocument/2006/relationships/hyperlink" Target="https://youtu.be/fzjJLGaCZF4" TargetMode="External"/><Relationship Id="rId904" Type="http://schemas.openxmlformats.org/officeDocument/2006/relationships/hyperlink" Target="https://youtu.be/7HKPmumexX4" TargetMode="External"/><Relationship Id="rId909" Type="http://schemas.openxmlformats.org/officeDocument/2006/relationships/hyperlink" Target="https://youtu.be/2-cd43D1IpY" TargetMode="External"/><Relationship Id="rId908" Type="http://schemas.openxmlformats.org/officeDocument/2006/relationships/hyperlink" Target="https://youtu.be/zHo-zAkPFYw" TargetMode="External"/><Relationship Id="rId903" Type="http://schemas.openxmlformats.org/officeDocument/2006/relationships/hyperlink" Target="https://youtu.be/k0aPIKi_9iw" TargetMode="External"/><Relationship Id="rId902" Type="http://schemas.openxmlformats.org/officeDocument/2006/relationships/hyperlink" Target="https://youtu.be/83rPbAUrS5c" TargetMode="External"/><Relationship Id="rId901" Type="http://schemas.openxmlformats.org/officeDocument/2006/relationships/hyperlink" Target="https://youtu.be/nZCT6AUpD5Y" TargetMode="External"/><Relationship Id="rId900" Type="http://schemas.openxmlformats.org/officeDocument/2006/relationships/hyperlink" Target="https://youtu.be/GnhxYIoLuXk" TargetMode="External"/><Relationship Id="rId2930" Type="http://schemas.openxmlformats.org/officeDocument/2006/relationships/hyperlink" Target="https://www.twitch.tv/videos/1175701251" TargetMode="External"/><Relationship Id="rId1600" Type="http://schemas.openxmlformats.org/officeDocument/2006/relationships/hyperlink" Target="https://youtu.be/TkDvOMK9hNQ" TargetMode="External"/><Relationship Id="rId2931" Type="http://schemas.openxmlformats.org/officeDocument/2006/relationships/hyperlink" Target="https://www.twitch.tv/videos/1030220263" TargetMode="External"/><Relationship Id="rId1601" Type="http://schemas.openxmlformats.org/officeDocument/2006/relationships/hyperlink" Target="https://youtu.be/YjLq0SbxmNk" TargetMode="External"/><Relationship Id="rId2932" Type="http://schemas.openxmlformats.org/officeDocument/2006/relationships/hyperlink" Target="https://www.twitch.tv/videos/1175701248" TargetMode="External"/><Relationship Id="rId1602" Type="http://schemas.openxmlformats.org/officeDocument/2006/relationships/hyperlink" Target="https://youtu.be/ESaWgtJH2bY" TargetMode="External"/><Relationship Id="rId2933" Type="http://schemas.openxmlformats.org/officeDocument/2006/relationships/hyperlink" Target="https://www.twitch.tv/videos/1175701250" TargetMode="External"/><Relationship Id="rId1603" Type="http://schemas.openxmlformats.org/officeDocument/2006/relationships/hyperlink" Target="https://youtu.be/b5VoeYPRJq8" TargetMode="External"/><Relationship Id="rId2934" Type="http://schemas.openxmlformats.org/officeDocument/2006/relationships/hyperlink" Target="https://www.twitch.tv/videos/1175701252" TargetMode="External"/><Relationship Id="rId1604" Type="http://schemas.openxmlformats.org/officeDocument/2006/relationships/hyperlink" Target="https://youtu.be/1YhwtzLmIUU" TargetMode="External"/><Relationship Id="rId2935" Type="http://schemas.openxmlformats.org/officeDocument/2006/relationships/hyperlink" Target="https://www.twitch.tv/videos/1175701252?t=00h00m21s" TargetMode="External"/><Relationship Id="rId1605" Type="http://schemas.openxmlformats.org/officeDocument/2006/relationships/hyperlink" Target="https://youtu.be/87U_INt_7RE" TargetMode="External"/><Relationship Id="rId2936" Type="http://schemas.openxmlformats.org/officeDocument/2006/relationships/hyperlink" Target="https://twitter.com/Reborn_Frog/status/1423669018343264258" TargetMode="External"/><Relationship Id="rId1606" Type="http://schemas.openxmlformats.org/officeDocument/2006/relationships/hyperlink" Target="https://youtu.be/pwkumbdbfqo" TargetMode="External"/><Relationship Id="rId2937" Type="http://schemas.openxmlformats.org/officeDocument/2006/relationships/hyperlink" Target="https://twitter.com/Reborn_Frog/status/1447962818146226180" TargetMode="External"/><Relationship Id="rId1607" Type="http://schemas.openxmlformats.org/officeDocument/2006/relationships/hyperlink" Target="https://youtu.be/96WGeA5rDy8" TargetMode="External"/><Relationship Id="rId2938" Type="http://schemas.openxmlformats.org/officeDocument/2006/relationships/hyperlink" Target="https://twitter.com/Reborn_Frog/status/1400021630357688324" TargetMode="External"/><Relationship Id="rId1608" Type="http://schemas.openxmlformats.org/officeDocument/2006/relationships/hyperlink" Target="https://youtu.be/F85FT2oYsu8" TargetMode="External"/><Relationship Id="rId2939" Type="http://schemas.openxmlformats.org/officeDocument/2006/relationships/hyperlink" Target="https://twitter.com/Reborn_Frog/status/1534569660230017025" TargetMode="External"/><Relationship Id="rId1609" Type="http://schemas.openxmlformats.org/officeDocument/2006/relationships/hyperlink" Target="https://youtu.be/zOY1unVEAkE" TargetMode="External"/><Relationship Id="rId1631" Type="http://schemas.openxmlformats.org/officeDocument/2006/relationships/hyperlink" Target="https://youtu.be/LCbplIAXwtM" TargetMode="External"/><Relationship Id="rId2962" Type="http://schemas.openxmlformats.org/officeDocument/2006/relationships/hyperlink" Target="https://twitter.com/otqkesan_/status/1551150171639398400?s=20&amp;t=qLYbjo7WrfpUk3VFC4nJ5A" TargetMode="External"/><Relationship Id="rId1632" Type="http://schemas.openxmlformats.org/officeDocument/2006/relationships/hyperlink" Target="https://youtu.be/h2lxWPAAZC8" TargetMode="External"/><Relationship Id="rId2963" Type="http://schemas.openxmlformats.org/officeDocument/2006/relationships/hyperlink" Target="https://twitter.com/otqkesan_/status/1512355205823623170?s=20&amp;t=AXb5wxjeegJAML4SiMsGIA" TargetMode="External"/><Relationship Id="rId1633" Type="http://schemas.openxmlformats.org/officeDocument/2006/relationships/hyperlink" Target="https://youtu.be/FZoKuR4m-Aw" TargetMode="External"/><Relationship Id="rId2964" Type="http://schemas.openxmlformats.org/officeDocument/2006/relationships/hyperlink" Target="https://twitter.com/otqkesan_/status/1448256394625384451?s=20" TargetMode="External"/><Relationship Id="rId1634" Type="http://schemas.openxmlformats.org/officeDocument/2006/relationships/hyperlink" Target="https://youtu.be/piQ0JtpLMrU" TargetMode="External"/><Relationship Id="rId2965" Type="http://schemas.openxmlformats.org/officeDocument/2006/relationships/hyperlink" Target="https://twitter.com/otqkesan_/status/1552342730357243904?s=20&amp;t=owHOkeaQ3QOpBMLEP9ivGw" TargetMode="External"/><Relationship Id="rId1635" Type="http://schemas.openxmlformats.org/officeDocument/2006/relationships/hyperlink" Target="https://youtu.be/Q6JTs1bKpa8" TargetMode="External"/><Relationship Id="rId2966" Type="http://schemas.openxmlformats.org/officeDocument/2006/relationships/hyperlink" Target="https://youtu.be/fcjGRlbwJFs" TargetMode="External"/><Relationship Id="rId1636" Type="http://schemas.openxmlformats.org/officeDocument/2006/relationships/hyperlink" Target="https://youtu.be/iHzY7gDup4c" TargetMode="External"/><Relationship Id="rId2967" Type="http://schemas.openxmlformats.org/officeDocument/2006/relationships/hyperlink" Target="https://youtu.be/8lSIo8FbQls" TargetMode="External"/><Relationship Id="rId1637" Type="http://schemas.openxmlformats.org/officeDocument/2006/relationships/hyperlink" Target="https://youtu.be/vEa91Rsi8kE" TargetMode="External"/><Relationship Id="rId2968" Type="http://schemas.openxmlformats.org/officeDocument/2006/relationships/hyperlink" Target="https://youtu.be/YmB2FTJid2Q" TargetMode="External"/><Relationship Id="rId1638" Type="http://schemas.openxmlformats.org/officeDocument/2006/relationships/hyperlink" Target="https://youtu.be/ypvpZ6zCblI" TargetMode="External"/><Relationship Id="rId2969" Type="http://schemas.openxmlformats.org/officeDocument/2006/relationships/hyperlink" Target="https://clips.twitch.tv/CooperativeConsiderateGoldfishOSsloth-DO0S9fK1Db2caNvA" TargetMode="External"/><Relationship Id="rId929" Type="http://schemas.openxmlformats.org/officeDocument/2006/relationships/hyperlink" Target="https://youtu.be/MPlNTwHHCGk" TargetMode="External"/><Relationship Id="rId1639" Type="http://schemas.openxmlformats.org/officeDocument/2006/relationships/hyperlink" Target="https://youtu.be/IzvKi65Ag5g" TargetMode="External"/><Relationship Id="rId928" Type="http://schemas.openxmlformats.org/officeDocument/2006/relationships/hyperlink" Target="https://youtu.be/bNpZK_MlQRg" TargetMode="External"/><Relationship Id="rId927" Type="http://schemas.openxmlformats.org/officeDocument/2006/relationships/hyperlink" Target="https://www.youtube.com/watch?v=QpiouoEYElw&amp;ab_channel=frededish" TargetMode="External"/><Relationship Id="rId926" Type="http://schemas.openxmlformats.org/officeDocument/2006/relationships/hyperlink" Target="https://youtu.be/SJjzPBhhwWM" TargetMode="External"/><Relationship Id="rId921" Type="http://schemas.openxmlformats.org/officeDocument/2006/relationships/hyperlink" Target="https://www.youtube.com/watch?v=Nhub3tKdJTw&amp;ab_channel=frededish" TargetMode="External"/><Relationship Id="rId920" Type="http://schemas.openxmlformats.org/officeDocument/2006/relationships/hyperlink" Target="https://youtu.be/TSB8odfaCW8" TargetMode="External"/><Relationship Id="rId925" Type="http://schemas.openxmlformats.org/officeDocument/2006/relationships/hyperlink" Target="https://youtu.be/e3MSHViMtDw?t=19" TargetMode="External"/><Relationship Id="rId924" Type="http://schemas.openxmlformats.org/officeDocument/2006/relationships/hyperlink" Target="https://youtu.be/SS2FpPAQTFM" TargetMode="External"/><Relationship Id="rId923" Type="http://schemas.openxmlformats.org/officeDocument/2006/relationships/hyperlink" Target="https://youtu.be/pjuSqRrbQw0" TargetMode="External"/><Relationship Id="rId922" Type="http://schemas.openxmlformats.org/officeDocument/2006/relationships/hyperlink" Target="https://youtu.be/luLYzzXJ5zk" TargetMode="External"/><Relationship Id="rId2960" Type="http://schemas.openxmlformats.org/officeDocument/2006/relationships/hyperlink" Target="https://twitter.com/otqkesan_/status/1509641709160136704?s=20&amp;t=DXf-pGT_AC639nNzoJmlrg" TargetMode="External"/><Relationship Id="rId1630" Type="http://schemas.openxmlformats.org/officeDocument/2006/relationships/hyperlink" Target="https://youtu.be/vr1swYWXvk8" TargetMode="External"/><Relationship Id="rId2961" Type="http://schemas.openxmlformats.org/officeDocument/2006/relationships/hyperlink" Target="https://youtu.be/m8uNFFWGXs8" TargetMode="External"/><Relationship Id="rId1620" Type="http://schemas.openxmlformats.org/officeDocument/2006/relationships/hyperlink" Target="https://youtu.be/ywM0MtG82Ew" TargetMode="External"/><Relationship Id="rId2951" Type="http://schemas.openxmlformats.org/officeDocument/2006/relationships/hyperlink" Target="https://twitter.com/otqkesan_/status/1508213958393864196?s=20&amp;t=fUoqnObXxhQMpD_DZ9ralg" TargetMode="External"/><Relationship Id="rId1621" Type="http://schemas.openxmlformats.org/officeDocument/2006/relationships/hyperlink" Target="https://youtu.be/nFdD--MDTek" TargetMode="External"/><Relationship Id="rId2952" Type="http://schemas.openxmlformats.org/officeDocument/2006/relationships/hyperlink" Target="https://twitter.com/otqkesan_/status/1460882274895892481?s=20" TargetMode="External"/><Relationship Id="rId1622" Type="http://schemas.openxmlformats.org/officeDocument/2006/relationships/hyperlink" Target="https://youtu.be/Uu8MnX2A_sg" TargetMode="External"/><Relationship Id="rId2953" Type="http://schemas.openxmlformats.org/officeDocument/2006/relationships/hyperlink" Target="https://youtu.be/CBwzmfxQE4I" TargetMode="External"/><Relationship Id="rId1623" Type="http://schemas.openxmlformats.org/officeDocument/2006/relationships/hyperlink" Target="https://youtu.be/yqqNoT2MORg" TargetMode="External"/><Relationship Id="rId2954" Type="http://schemas.openxmlformats.org/officeDocument/2006/relationships/hyperlink" Target="https://twitter.com/otqkesan_/status/1536661052997660674?s=20&amp;t=-dcuuq0VImjvNMwrHMH92A" TargetMode="External"/><Relationship Id="rId1624" Type="http://schemas.openxmlformats.org/officeDocument/2006/relationships/hyperlink" Target="https://youtu.be/Ow2BIncZ5PE" TargetMode="External"/><Relationship Id="rId2955" Type="http://schemas.openxmlformats.org/officeDocument/2006/relationships/hyperlink" Target="https://twitter.com/otqkesan_/status/1509747073658527752?s=20&amp;t=sne1R5zpDkF10cvOG-ggDw" TargetMode="External"/><Relationship Id="rId1625" Type="http://schemas.openxmlformats.org/officeDocument/2006/relationships/hyperlink" Target="https://youtu.be/ZdGBqu8tl-0" TargetMode="External"/><Relationship Id="rId2956" Type="http://schemas.openxmlformats.org/officeDocument/2006/relationships/hyperlink" Target="https://twitter.com/otqkesan_/status/1626582749569220610?s=20" TargetMode="External"/><Relationship Id="rId1626" Type="http://schemas.openxmlformats.org/officeDocument/2006/relationships/hyperlink" Target="https://youtu.be/AFCAB2Fcfv8" TargetMode="External"/><Relationship Id="rId2957" Type="http://schemas.openxmlformats.org/officeDocument/2006/relationships/hyperlink" Target="https://twitter.com/otqkesan_/status/1461701099186839563?s=20" TargetMode="External"/><Relationship Id="rId1627" Type="http://schemas.openxmlformats.org/officeDocument/2006/relationships/hyperlink" Target="https://youtu.be/E37kr7WDdz4" TargetMode="External"/><Relationship Id="rId2958" Type="http://schemas.openxmlformats.org/officeDocument/2006/relationships/hyperlink" Target="https://twitter.com/otqkesan_/status/1483035495043330051?s=20" TargetMode="External"/><Relationship Id="rId918" Type="http://schemas.openxmlformats.org/officeDocument/2006/relationships/hyperlink" Target="https://youtu.be/bkETDn1KFAM" TargetMode="External"/><Relationship Id="rId1628" Type="http://schemas.openxmlformats.org/officeDocument/2006/relationships/hyperlink" Target="https://youtu.be/TQo836tIyZ4" TargetMode="External"/><Relationship Id="rId2959" Type="http://schemas.openxmlformats.org/officeDocument/2006/relationships/hyperlink" Target="https://youtu.be/5pEbV8f4Eyg" TargetMode="External"/><Relationship Id="rId917" Type="http://schemas.openxmlformats.org/officeDocument/2006/relationships/hyperlink" Target="https://youtu.be/lyLMMVjAffg" TargetMode="External"/><Relationship Id="rId1629" Type="http://schemas.openxmlformats.org/officeDocument/2006/relationships/hyperlink" Target="https://youtu.be/UqD3Oahfo8A" TargetMode="External"/><Relationship Id="rId916" Type="http://schemas.openxmlformats.org/officeDocument/2006/relationships/hyperlink" Target="https://youtu.be/njZog1RRUjE" TargetMode="External"/><Relationship Id="rId915" Type="http://schemas.openxmlformats.org/officeDocument/2006/relationships/hyperlink" Target="https://youtu.be/Zy-gz7mebF4" TargetMode="External"/><Relationship Id="rId919" Type="http://schemas.openxmlformats.org/officeDocument/2006/relationships/hyperlink" Target="https://youtu.be/ZtVmc1h2JCY?t=12" TargetMode="External"/><Relationship Id="rId910" Type="http://schemas.openxmlformats.org/officeDocument/2006/relationships/hyperlink" Target="https://youtu.be/Q78CschdSSM" TargetMode="External"/><Relationship Id="rId914" Type="http://schemas.openxmlformats.org/officeDocument/2006/relationships/hyperlink" Target="https://www.youtube.com/watch?v=DfpHrf9wBXM" TargetMode="External"/><Relationship Id="rId913" Type="http://schemas.openxmlformats.org/officeDocument/2006/relationships/hyperlink" Target="https://youtu.be/IR_jGnNQm7M" TargetMode="External"/><Relationship Id="rId912" Type="http://schemas.openxmlformats.org/officeDocument/2006/relationships/hyperlink" Target="https://youtu.be/1SWv-HdCZwI" TargetMode="External"/><Relationship Id="rId911" Type="http://schemas.openxmlformats.org/officeDocument/2006/relationships/hyperlink" Target="https://youtu.be/TsQqqpW92RA" TargetMode="External"/><Relationship Id="rId2950" Type="http://schemas.openxmlformats.org/officeDocument/2006/relationships/hyperlink" Target="https://www.twitch.tv/videos/1176327079" TargetMode="External"/><Relationship Id="rId2900" Type="http://schemas.openxmlformats.org/officeDocument/2006/relationships/hyperlink" Target="https://youtu.be/MTzkGoZVGHA" TargetMode="External"/><Relationship Id="rId2901" Type="http://schemas.openxmlformats.org/officeDocument/2006/relationships/hyperlink" Target="https://youtu.be/fgyU-y5uHPQ" TargetMode="External"/><Relationship Id="rId2902" Type="http://schemas.openxmlformats.org/officeDocument/2006/relationships/hyperlink" Target="https://www.youtube.com/watch?v=bG4hb_A3akM" TargetMode="External"/><Relationship Id="rId2903" Type="http://schemas.openxmlformats.org/officeDocument/2006/relationships/hyperlink" Target="http://youtu.be/HYHGcPg6j0w" TargetMode="External"/><Relationship Id="rId2904" Type="http://schemas.openxmlformats.org/officeDocument/2006/relationships/hyperlink" Target="https://www.youtube.com/watch?v=-hpfsFt_GiI" TargetMode="External"/><Relationship Id="rId2905" Type="http://schemas.openxmlformats.org/officeDocument/2006/relationships/hyperlink" Target="https://www.youtube.com/watch?v=SeCxvExFJWI" TargetMode="External"/><Relationship Id="rId2906" Type="http://schemas.openxmlformats.org/officeDocument/2006/relationships/hyperlink" Target="https://youtu.be/Gyu9gUc51c0" TargetMode="External"/><Relationship Id="rId2907" Type="http://schemas.openxmlformats.org/officeDocument/2006/relationships/hyperlink" Target="http://youtu.be/AsODTUrJJCM" TargetMode="External"/><Relationship Id="rId2908" Type="http://schemas.openxmlformats.org/officeDocument/2006/relationships/hyperlink" Target="https://www.youtube.com/watch?v=VPMYThog5es" TargetMode="External"/><Relationship Id="rId2909" Type="http://schemas.openxmlformats.org/officeDocument/2006/relationships/hyperlink" Target="https://www.youtube.com/watch?v=g_4oAXMnKbc" TargetMode="External"/><Relationship Id="rId2920" Type="http://schemas.openxmlformats.org/officeDocument/2006/relationships/hyperlink" Target="https://www.youtube.com/watch?v=9nHyAz9xaVw&amp;ab_channel=Corginess" TargetMode="External"/><Relationship Id="rId2921" Type="http://schemas.openxmlformats.org/officeDocument/2006/relationships/hyperlink" Target="https://www.youtube.com/watch?v=sddMacPxLyU&amp;ab_channel=Corginess" TargetMode="External"/><Relationship Id="rId2922" Type="http://schemas.openxmlformats.org/officeDocument/2006/relationships/hyperlink" Target="https://www.youtube.com/watch?v=6Hw9XPkA6JY" TargetMode="External"/><Relationship Id="rId2923" Type="http://schemas.openxmlformats.org/officeDocument/2006/relationships/hyperlink" Target="https://www.youtube.com/watch?v=ysERuA3k8EA&amp;ab_channel=Corginess" TargetMode="External"/><Relationship Id="rId2924" Type="http://schemas.openxmlformats.org/officeDocument/2006/relationships/hyperlink" Target="https://www.youtube.com/watch?v=9CNteerIuco&amp;ab_channel=Corginess" TargetMode="External"/><Relationship Id="rId2925" Type="http://schemas.openxmlformats.org/officeDocument/2006/relationships/hyperlink" Target="https://www.twitch.tv/videos/1175701247?t=00h00m15s" TargetMode="External"/><Relationship Id="rId2926" Type="http://schemas.openxmlformats.org/officeDocument/2006/relationships/hyperlink" Target="https://www.twitch.tv/videos/1113067619" TargetMode="External"/><Relationship Id="rId2927" Type="http://schemas.openxmlformats.org/officeDocument/2006/relationships/hyperlink" Target="https://www.twitch.tv/videos/1175701249" TargetMode="External"/><Relationship Id="rId2928" Type="http://schemas.openxmlformats.org/officeDocument/2006/relationships/hyperlink" Target="https://twitter.com/Reborn_Frog/status/1620738511191306241" TargetMode="External"/><Relationship Id="rId2929" Type="http://schemas.openxmlformats.org/officeDocument/2006/relationships/hyperlink" Target="https://twitter.com/Reborn_Frog/status/1551595028581355521" TargetMode="External"/><Relationship Id="rId2910" Type="http://schemas.openxmlformats.org/officeDocument/2006/relationships/hyperlink" Target="https://www.youtube.com/watch?v=ycOzTsbJQqo" TargetMode="External"/><Relationship Id="rId2911" Type="http://schemas.openxmlformats.org/officeDocument/2006/relationships/hyperlink" Target="https://youtu.be/NMSMOXLoL9A" TargetMode="External"/><Relationship Id="rId2912" Type="http://schemas.openxmlformats.org/officeDocument/2006/relationships/hyperlink" Target="https://www.youtube.com/watch?v=X6u__Yz8sVI" TargetMode="External"/><Relationship Id="rId2913" Type="http://schemas.openxmlformats.org/officeDocument/2006/relationships/hyperlink" Target="https://www.youtube.com/watch?v=NsSBbR6HnrA" TargetMode="External"/><Relationship Id="rId2914" Type="http://schemas.openxmlformats.org/officeDocument/2006/relationships/hyperlink" Target="https://www.youtube.com/watch?v=wQ_DrJWEX4g" TargetMode="External"/><Relationship Id="rId2915" Type="http://schemas.openxmlformats.org/officeDocument/2006/relationships/hyperlink" Target="https://www.youtube.com/watch?v=KpOFGRSZDbQ" TargetMode="External"/><Relationship Id="rId2916" Type="http://schemas.openxmlformats.org/officeDocument/2006/relationships/hyperlink" Target="https://www.youtube.com/watch?v=eyH8IIIp2Qw&amp;ab_channel=Corginess" TargetMode="External"/><Relationship Id="rId2917" Type="http://schemas.openxmlformats.org/officeDocument/2006/relationships/hyperlink" Target="https://youtu.be/fHdrYzIpPHs" TargetMode="External"/><Relationship Id="rId2918" Type="http://schemas.openxmlformats.org/officeDocument/2006/relationships/hyperlink" Target="https://www.youtube.com/watch?v=4LDUhkdA9Fo&amp;ab_channel=Corginess" TargetMode="External"/><Relationship Id="rId2919" Type="http://schemas.openxmlformats.org/officeDocument/2006/relationships/hyperlink" Target="https://www.youtube.com/watch?v=victlwna2Xk&amp;ab_channel=Corginess" TargetMode="External"/><Relationship Id="rId1697" Type="http://schemas.openxmlformats.org/officeDocument/2006/relationships/hyperlink" Target="https://youtu.be/Xlg5DmmwG9U?si=Xsqvtg7FDeQilHaQ&amp;t=61" TargetMode="External"/><Relationship Id="rId1698" Type="http://schemas.openxmlformats.org/officeDocument/2006/relationships/hyperlink" Target="https://youtu.be/aDawbukRGQY?si=1Ml4q779TbriB3Tv&amp;t=72" TargetMode="External"/><Relationship Id="rId1699" Type="http://schemas.openxmlformats.org/officeDocument/2006/relationships/hyperlink" Target="https://youtu.be/LLTf7_DkR8o?si=lX062dVWd5W8KLSZ&amp;t=91" TargetMode="External"/><Relationship Id="rId866" Type="http://schemas.openxmlformats.org/officeDocument/2006/relationships/hyperlink" Target="https://youtu.be/gVjqnuiRQFw" TargetMode="External"/><Relationship Id="rId865" Type="http://schemas.openxmlformats.org/officeDocument/2006/relationships/hyperlink" Target="https://youtu.be/WfOnFJfAdHI" TargetMode="External"/><Relationship Id="rId864" Type="http://schemas.openxmlformats.org/officeDocument/2006/relationships/hyperlink" Target="https://x.com/inkstarLum/status/1814604617306808797" TargetMode="External"/><Relationship Id="rId863" Type="http://schemas.openxmlformats.org/officeDocument/2006/relationships/hyperlink" Target="https://youtu.be/6MC81JoS0Mw" TargetMode="External"/><Relationship Id="rId869" Type="http://schemas.openxmlformats.org/officeDocument/2006/relationships/hyperlink" Target="https://youtu.be/AMvAgo1dwEI" TargetMode="External"/><Relationship Id="rId868" Type="http://schemas.openxmlformats.org/officeDocument/2006/relationships/hyperlink" Target="https://youtu.be/y4KBHA9gtvM" TargetMode="External"/><Relationship Id="rId867" Type="http://schemas.openxmlformats.org/officeDocument/2006/relationships/hyperlink" Target="https://youtu.be/2zG9qeaqTPo" TargetMode="External"/><Relationship Id="rId1690" Type="http://schemas.openxmlformats.org/officeDocument/2006/relationships/hyperlink" Target="https://youtu.be/H4h6T2tuXpc?si=xvPohmNdK2QrM3PT&amp;t=15" TargetMode="External"/><Relationship Id="rId1691" Type="http://schemas.openxmlformats.org/officeDocument/2006/relationships/hyperlink" Target="https://youtu.be/w6Ur1S6rSws?si=jQPSwmqOzEmxvqaw&amp;t=79" TargetMode="External"/><Relationship Id="rId1692" Type="http://schemas.openxmlformats.org/officeDocument/2006/relationships/hyperlink" Target="https://youtu.be/vywtM49PLm4?si=R09D2VAZIh3fX4bO&amp;t=59" TargetMode="External"/><Relationship Id="rId862" Type="http://schemas.openxmlformats.org/officeDocument/2006/relationships/hyperlink" Target="https://www.twitch.tv/videos/1868986049" TargetMode="External"/><Relationship Id="rId1693" Type="http://schemas.openxmlformats.org/officeDocument/2006/relationships/hyperlink" Target="https://youtu.be/uVtWjaF4LXs?si=E14GakYVVNl_-aRZ&amp;t=46" TargetMode="External"/><Relationship Id="rId861" Type="http://schemas.openxmlformats.org/officeDocument/2006/relationships/hyperlink" Target="https://www.twitch.tv/inkstaralt/clip/CrunchyObliqueCiderBigBrother-Eb5G8HAQovFRORpW" TargetMode="External"/><Relationship Id="rId1694" Type="http://schemas.openxmlformats.org/officeDocument/2006/relationships/hyperlink" Target="https://youtu.be/sQUM37U9tuE?si=6WEAetABQM2KAN3o&amp;t=60" TargetMode="External"/><Relationship Id="rId860" Type="http://schemas.openxmlformats.org/officeDocument/2006/relationships/hyperlink" Target="https://youtu.be/HFYEp8Cwuu0" TargetMode="External"/><Relationship Id="rId1695" Type="http://schemas.openxmlformats.org/officeDocument/2006/relationships/hyperlink" Target="https://www.twitch.tv/videos/2403609904" TargetMode="External"/><Relationship Id="rId1696" Type="http://schemas.openxmlformats.org/officeDocument/2006/relationships/hyperlink" Target="https://youtu.be/E2GihTB7GZ8?si=joax6WrEQFJpYJPK&amp;t=88" TargetMode="External"/><Relationship Id="rId1686" Type="http://schemas.openxmlformats.org/officeDocument/2006/relationships/hyperlink" Target="https://youtu.be/Kwzddz2gOM8?si=CICIWHWtWSzQQmoq&amp;t=56" TargetMode="External"/><Relationship Id="rId1687" Type="http://schemas.openxmlformats.org/officeDocument/2006/relationships/hyperlink" Target="https://www.twitch.tv/videos/2158157496" TargetMode="External"/><Relationship Id="rId1688" Type="http://schemas.openxmlformats.org/officeDocument/2006/relationships/hyperlink" Target="https://youtu.be/h8Z3ezHg4xQ?si=6rOWl0O42oL9QvXW&amp;t=68" TargetMode="External"/><Relationship Id="rId1689" Type="http://schemas.openxmlformats.org/officeDocument/2006/relationships/hyperlink" Target="https://youtu.be/uBNeZAJgjks?si=Zu2LmTdlkV_eE4ZK&amp;t=54" TargetMode="External"/><Relationship Id="rId855" Type="http://schemas.openxmlformats.org/officeDocument/2006/relationships/hyperlink" Target="https://clips.twitch.tv/DoubtfulShinyWaffleHotPokket-N2tseDieOcZCbjHn" TargetMode="External"/><Relationship Id="rId854" Type="http://schemas.openxmlformats.org/officeDocument/2006/relationships/hyperlink" Target="https://youtu.be/q1J17if5PjY" TargetMode="External"/><Relationship Id="rId853" Type="http://schemas.openxmlformats.org/officeDocument/2006/relationships/hyperlink" Target="https://youtu.be/JBUHkS0fFTY" TargetMode="External"/><Relationship Id="rId852" Type="http://schemas.openxmlformats.org/officeDocument/2006/relationships/hyperlink" Target="https://youtu.be/U7gE8zZT8-c" TargetMode="External"/><Relationship Id="rId859" Type="http://schemas.openxmlformats.org/officeDocument/2006/relationships/hyperlink" Target="https://clips.twitch.tv/SmallLovelyCougarBIRB-6_9gHW52giC2iYJG" TargetMode="External"/><Relationship Id="rId858" Type="http://schemas.openxmlformats.org/officeDocument/2006/relationships/hyperlink" Target="https://youtu.be/_PKXM_0aL0E" TargetMode="External"/><Relationship Id="rId857" Type="http://schemas.openxmlformats.org/officeDocument/2006/relationships/hyperlink" Target="https://x.com/inkstarLum/status/1711611764117573820?s=20" TargetMode="External"/><Relationship Id="rId856" Type="http://schemas.openxmlformats.org/officeDocument/2006/relationships/hyperlink" Target="https://youtu.be/2G3nKK9Vq08" TargetMode="External"/><Relationship Id="rId1680" Type="http://schemas.openxmlformats.org/officeDocument/2006/relationships/hyperlink" Target="https://www.twitch.tv/videos/2814797265" TargetMode="External"/><Relationship Id="rId1681" Type="http://schemas.openxmlformats.org/officeDocument/2006/relationships/hyperlink" Target="https://youtu.be/91CBjA9J4Sk?si=78cHC20P0MunhkLZ&amp;t=79" TargetMode="External"/><Relationship Id="rId851" Type="http://schemas.openxmlformats.org/officeDocument/2006/relationships/hyperlink" Target="https://youtu.be/utklSFv5H7I" TargetMode="External"/><Relationship Id="rId1682" Type="http://schemas.openxmlformats.org/officeDocument/2006/relationships/hyperlink" Target="https://youtu.be/mVQZL4xqxbw?si=8b2zqbiwQdQtQb8R&amp;t=63" TargetMode="External"/><Relationship Id="rId850" Type="http://schemas.openxmlformats.org/officeDocument/2006/relationships/hyperlink" Target="https://www.twitch.tv/inkstar/clip/SuspiciousZealousSquidAMPTropPunch-KU0hW33_ztkCLJbJ" TargetMode="External"/><Relationship Id="rId1683" Type="http://schemas.openxmlformats.org/officeDocument/2006/relationships/hyperlink" Target="https://youtu.be/IQXthLIfs1Y?si=mAQtdZ3KypwwhlGt&amp;t=92" TargetMode="External"/><Relationship Id="rId1684" Type="http://schemas.openxmlformats.org/officeDocument/2006/relationships/hyperlink" Target="https://youtu.be/xov9tDnHJzw?si=dHdXit1dWJBSBXpc&amp;t=38" TargetMode="External"/><Relationship Id="rId1685" Type="http://schemas.openxmlformats.org/officeDocument/2006/relationships/hyperlink" Target="https://www.twitch.tv/videos/2596450175" TargetMode="External"/><Relationship Id="rId3414" Type="http://schemas.openxmlformats.org/officeDocument/2006/relationships/hyperlink" Target="https://youtu.be/HIeVgcy-xtw" TargetMode="External"/><Relationship Id="rId3413" Type="http://schemas.openxmlformats.org/officeDocument/2006/relationships/hyperlink" Target="https://youtu.be/YPMd_F15dOM" TargetMode="External"/><Relationship Id="rId3416" Type="http://schemas.openxmlformats.org/officeDocument/2006/relationships/hyperlink" Target="https://youtu.be/c1nqEpTKr0E" TargetMode="External"/><Relationship Id="rId3415" Type="http://schemas.openxmlformats.org/officeDocument/2006/relationships/hyperlink" Target="https://youtu.be/5sBu6lUT9RE" TargetMode="External"/><Relationship Id="rId3418" Type="http://schemas.openxmlformats.org/officeDocument/2006/relationships/hyperlink" Target="https://youtu.be/kbMDUx7MwXE" TargetMode="External"/><Relationship Id="rId3417" Type="http://schemas.openxmlformats.org/officeDocument/2006/relationships/hyperlink" Target="https://youtu.be/sp1sPQlZ4J0" TargetMode="External"/><Relationship Id="rId3419" Type="http://schemas.openxmlformats.org/officeDocument/2006/relationships/hyperlink" Target="https://youtu.be/kbMDUx7MwXE" TargetMode="External"/><Relationship Id="rId888" Type="http://schemas.openxmlformats.org/officeDocument/2006/relationships/hyperlink" Target="https://www.youtube.com/watch?v=hp5e6W_gInQ" TargetMode="External"/><Relationship Id="rId887" Type="http://schemas.openxmlformats.org/officeDocument/2006/relationships/hyperlink" Target="https://youtu.be/XcQURnrBsEE" TargetMode="External"/><Relationship Id="rId886" Type="http://schemas.openxmlformats.org/officeDocument/2006/relationships/hyperlink" Target="https://youtu.be/J-7K943NxUc" TargetMode="External"/><Relationship Id="rId885" Type="http://schemas.openxmlformats.org/officeDocument/2006/relationships/hyperlink" Target="https://youtu.be/dt0nPEhw_28" TargetMode="External"/><Relationship Id="rId889" Type="http://schemas.openxmlformats.org/officeDocument/2006/relationships/hyperlink" Target="https://youtu.be/WGZR3q1qmy8" TargetMode="External"/><Relationship Id="rId880" Type="http://schemas.openxmlformats.org/officeDocument/2006/relationships/hyperlink" Target="https://youtu.be/qXTC3c4_020" TargetMode="External"/><Relationship Id="rId884" Type="http://schemas.openxmlformats.org/officeDocument/2006/relationships/hyperlink" Target="https://youtu.be/8ptLDQFudnE" TargetMode="External"/><Relationship Id="rId3410" Type="http://schemas.openxmlformats.org/officeDocument/2006/relationships/hyperlink" Target="https://youtu.be/KpqQOIm_K_g" TargetMode="External"/><Relationship Id="rId883" Type="http://schemas.openxmlformats.org/officeDocument/2006/relationships/hyperlink" Target="https://youtu.be/UgoWmGFAS9M" TargetMode="External"/><Relationship Id="rId882" Type="http://schemas.openxmlformats.org/officeDocument/2006/relationships/hyperlink" Target="https://youtu.be/RRV1CACuMgQ?t=52" TargetMode="External"/><Relationship Id="rId3412" Type="http://schemas.openxmlformats.org/officeDocument/2006/relationships/hyperlink" Target="https://youtu.be/KtqbanHvemo" TargetMode="External"/><Relationship Id="rId881" Type="http://schemas.openxmlformats.org/officeDocument/2006/relationships/hyperlink" Target="https://youtu.be/2KLJRH1MTzs" TargetMode="External"/><Relationship Id="rId3411" Type="http://schemas.openxmlformats.org/officeDocument/2006/relationships/hyperlink" Target="https://youtu.be/01NeQiQX0LU" TargetMode="External"/><Relationship Id="rId3403" Type="http://schemas.openxmlformats.org/officeDocument/2006/relationships/hyperlink" Target="https://youtu.be/iMMzhLJFgX4" TargetMode="External"/><Relationship Id="rId3402" Type="http://schemas.openxmlformats.org/officeDocument/2006/relationships/hyperlink" Target="https://youtu.be/THguJsZpdGg" TargetMode="External"/><Relationship Id="rId3405" Type="http://schemas.openxmlformats.org/officeDocument/2006/relationships/hyperlink" Target="https://youtu.be/QaWlWaT7l7k" TargetMode="External"/><Relationship Id="rId3404" Type="http://schemas.openxmlformats.org/officeDocument/2006/relationships/hyperlink" Target="https://youtu.be/2Yd9N52a0y4" TargetMode="External"/><Relationship Id="rId3407" Type="http://schemas.openxmlformats.org/officeDocument/2006/relationships/hyperlink" Target="https://youtu.be/7OAvWxNTvOI" TargetMode="External"/><Relationship Id="rId3406" Type="http://schemas.openxmlformats.org/officeDocument/2006/relationships/hyperlink" Target="https://youtu.be/IBrNUCftk2g" TargetMode="External"/><Relationship Id="rId3409" Type="http://schemas.openxmlformats.org/officeDocument/2006/relationships/hyperlink" Target="https://youtu.be/qz7q29iw0_A" TargetMode="External"/><Relationship Id="rId3408" Type="http://schemas.openxmlformats.org/officeDocument/2006/relationships/hyperlink" Target="https://youtu.be/2p8Y3AU75vY" TargetMode="External"/><Relationship Id="rId877" Type="http://schemas.openxmlformats.org/officeDocument/2006/relationships/hyperlink" Target="https://youtu.be/ZDftSYccQE8" TargetMode="External"/><Relationship Id="rId876" Type="http://schemas.openxmlformats.org/officeDocument/2006/relationships/hyperlink" Target="https://youtu.be/LXqGwMZSJe4" TargetMode="External"/><Relationship Id="rId875" Type="http://schemas.openxmlformats.org/officeDocument/2006/relationships/hyperlink" Target="https://youtu.be/LyRV8Meq1G0" TargetMode="External"/><Relationship Id="rId874" Type="http://schemas.openxmlformats.org/officeDocument/2006/relationships/hyperlink" Target="https://youtu.be/CDsvg5U6NgI" TargetMode="External"/><Relationship Id="rId879" Type="http://schemas.openxmlformats.org/officeDocument/2006/relationships/hyperlink" Target="https://youtu.be/ozwb7tFnVdE" TargetMode="External"/><Relationship Id="rId878" Type="http://schemas.openxmlformats.org/officeDocument/2006/relationships/hyperlink" Target="https://youtu.be/l_Cclto7v5A" TargetMode="External"/><Relationship Id="rId873" Type="http://schemas.openxmlformats.org/officeDocument/2006/relationships/hyperlink" Target="https://youtu.be/OxyRiiNTsZE" TargetMode="External"/><Relationship Id="rId872" Type="http://schemas.openxmlformats.org/officeDocument/2006/relationships/hyperlink" Target="https://youtu.be/oNkVEQKJUtQ" TargetMode="External"/><Relationship Id="rId871" Type="http://schemas.openxmlformats.org/officeDocument/2006/relationships/hyperlink" Target="https://youtu.be/9gpASI6mXLA" TargetMode="External"/><Relationship Id="rId3401" Type="http://schemas.openxmlformats.org/officeDocument/2006/relationships/hyperlink" Target="https://youtu.be/RIzlArMTv18" TargetMode="External"/><Relationship Id="rId870" Type="http://schemas.openxmlformats.org/officeDocument/2006/relationships/hyperlink" Target="https://youtu.be/DmxeBzyIJs4" TargetMode="External"/><Relationship Id="rId3400" Type="http://schemas.openxmlformats.org/officeDocument/2006/relationships/hyperlink" Target="https://youtu.be/gYAsKhAbCIw" TargetMode="External"/><Relationship Id="rId1653" Type="http://schemas.openxmlformats.org/officeDocument/2006/relationships/hyperlink" Target="https://youtu.be/_UxpkHRvMQM" TargetMode="External"/><Relationship Id="rId2984" Type="http://schemas.openxmlformats.org/officeDocument/2006/relationships/hyperlink" Target="https://youtu.be/RNiMvaQVcoc" TargetMode="External"/><Relationship Id="rId1654" Type="http://schemas.openxmlformats.org/officeDocument/2006/relationships/hyperlink" Target="https://youtu.be/nlhLZdCIzV0" TargetMode="External"/><Relationship Id="rId2985" Type="http://schemas.openxmlformats.org/officeDocument/2006/relationships/hyperlink" Target="https://youtu.be/ordp-uT82Ag" TargetMode="External"/><Relationship Id="rId1655" Type="http://schemas.openxmlformats.org/officeDocument/2006/relationships/hyperlink" Target="https://youtu.be/31iGg6JwVD0" TargetMode="External"/><Relationship Id="rId2986" Type="http://schemas.openxmlformats.org/officeDocument/2006/relationships/hyperlink" Target="https://www.twitch.tv/videos/1623880272" TargetMode="External"/><Relationship Id="rId1656" Type="http://schemas.openxmlformats.org/officeDocument/2006/relationships/hyperlink" Target="https://youtu.be/BNsw-uqyLfU" TargetMode="External"/><Relationship Id="rId2987" Type="http://schemas.openxmlformats.org/officeDocument/2006/relationships/hyperlink" Target="https://www.twitch.tv/videos/1632818182" TargetMode="External"/><Relationship Id="rId1657" Type="http://schemas.openxmlformats.org/officeDocument/2006/relationships/hyperlink" Target="https://youtu.be/jWF-MtWvj44" TargetMode="External"/><Relationship Id="rId2988" Type="http://schemas.openxmlformats.org/officeDocument/2006/relationships/hyperlink" Target="https://www.twitch.tv/videos/1624073687" TargetMode="External"/><Relationship Id="rId1658" Type="http://schemas.openxmlformats.org/officeDocument/2006/relationships/hyperlink" Target="https://youtu.be/bbTyv5hKt_M" TargetMode="External"/><Relationship Id="rId2989" Type="http://schemas.openxmlformats.org/officeDocument/2006/relationships/hyperlink" Target="https://www.twitch.tv/videos/1624405057" TargetMode="External"/><Relationship Id="rId1659" Type="http://schemas.openxmlformats.org/officeDocument/2006/relationships/hyperlink" Target="https://youtu.be/aQgcGqo96t4" TargetMode="External"/><Relationship Id="rId829" Type="http://schemas.openxmlformats.org/officeDocument/2006/relationships/hyperlink" Target="https://x.com/inkstarLum/status/1805505660488139168" TargetMode="External"/><Relationship Id="rId828" Type="http://schemas.openxmlformats.org/officeDocument/2006/relationships/hyperlink" Target="https://youtu.be/opkXa3rDnTo" TargetMode="External"/><Relationship Id="rId827" Type="http://schemas.openxmlformats.org/officeDocument/2006/relationships/hyperlink" Target="https://www.twitch.tv/videos/2010679041" TargetMode="External"/><Relationship Id="rId822" Type="http://schemas.openxmlformats.org/officeDocument/2006/relationships/hyperlink" Target="https://www.twitch.tv/inkstar/clip/VenomousTallOtterGivePLZ-GT22QV3sOmDmo5hH" TargetMode="External"/><Relationship Id="rId821" Type="http://schemas.openxmlformats.org/officeDocument/2006/relationships/hyperlink" Target="https://clips.twitch.tv/SincereProudWallabyPJSalt-0ndaJ47jfDC-phEE" TargetMode="External"/><Relationship Id="rId820" Type="http://schemas.openxmlformats.org/officeDocument/2006/relationships/hyperlink" Target="https://vxtwitter.com/inkstarLum/status/1861351530714243076" TargetMode="External"/><Relationship Id="rId826" Type="http://schemas.openxmlformats.org/officeDocument/2006/relationships/hyperlink" Target="https://x.com/inkstarLum/status/1807249029727998213" TargetMode="External"/><Relationship Id="rId825" Type="http://schemas.openxmlformats.org/officeDocument/2006/relationships/hyperlink" Target="https://x.com/inkstarLum/status/1769568699483398307?s=20" TargetMode="External"/><Relationship Id="rId824" Type="http://schemas.openxmlformats.org/officeDocument/2006/relationships/hyperlink" Target="https://x.com/inkstarLum/status/1767846221774008475?s=20" TargetMode="External"/><Relationship Id="rId823" Type="http://schemas.openxmlformats.org/officeDocument/2006/relationships/hyperlink" Target="https://x.com/NoVidNoDidNoVid/status/1768129355644031042?s=20" TargetMode="External"/><Relationship Id="rId2980" Type="http://schemas.openxmlformats.org/officeDocument/2006/relationships/hyperlink" Target="https://clips.twitch.tv/AthleticYummyJaguarRalpherZ-KE8ObkWnAAOVvlOA" TargetMode="External"/><Relationship Id="rId1650" Type="http://schemas.openxmlformats.org/officeDocument/2006/relationships/hyperlink" Target="https://youtu.be/sa0aOUxzwYo" TargetMode="External"/><Relationship Id="rId2981" Type="http://schemas.openxmlformats.org/officeDocument/2006/relationships/hyperlink" Target="https://youtu.be/tvihn2dsyqA" TargetMode="External"/><Relationship Id="rId1651" Type="http://schemas.openxmlformats.org/officeDocument/2006/relationships/hyperlink" Target="https://youtu.be/YWMdgPCpRyc" TargetMode="External"/><Relationship Id="rId2982" Type="http://schemas.openxmlformats.org/officeDocument/2006/relationships/hyperlink" Target="https://youtu.be/1cOuRzVzcE8" TargetMode="External"/><Relationship Id="rId1652" Type="http://schemas.openxmlformats.org/officeDocument/2006/relationships/hyperlink" Target="https://youtu.be/FAOHSZG4Ahg" TargetMode="External"/><Relationship Id="rId2983" Type="http://schemas.openxmlformats.org/officeDocument/2006/relationships/hyperlink" Target="https://youtu.be/nEeLpTRXpvo" TargetMode="External"/><Relationship Id="rId1642" Type="http://schemas.openxmlformats.org/officeDocument/2006/relationships/hyperlink" Target="https://youtu.be/ywhM1gtjs-w" TargetMode="External"/><Relationship Id="rId2973" Type="http://schemas.openxmlformats.org/officeDocument/2006/relationships/hyperlink" Target="https://www.twitch.tv/videos/1628903048" TargetMode="External"/><Relationship Id="rId1643" Type="http://schemas.openxmlformats.org/officeDocument/2006/relationships/hyperlink" Target="https://youtu.be/w-pDaOweHak" TargetMode="External"/><Relationship Id="rId2974" Type="http://schemas.openxmlformats.org/officeDocument/2006/relationships/hyperlink" Target="https://clips.twitch.tv/PhilanthropicCharmingFishKippa-bjFYCIzgNaxXnecZ" TargetMode="External"/><Relationship Id="rId1644" Type="http://schemas.openxmlformats.org/officeDocument/2006/relationships/hyperlink" Target="https://youtu.be/ay95QYP-Zj0" TargetMode="External"/><Relationship Id="rId2975" Type="http://schemas.openxmlformats.org/officeDocument/2006/relationships/hyperlink" Target="https://youtu.be/_qc8NXWCj14" TargetMode="External"/><Relationship Id="rId1645" Type="http://schemas.openxmlformats.org/officeDocument/2006/relationships/hyperlink" Target="https://youtu.be/Gi-uIgkEpkg" TargetMode="External"/><Relationship Id="rId2976" Type="http://schemas.openxmlformats.org/officeDocument/2006/relationships/hyperlink" Target="https://www.twitch.tv/videos/1270543463" TargetMode="External"/><Relationship Id="rId1646" Type="http://schemas.openxmlformats.org/officeDocument/2006/relationships/hyperlink" Target="https://youtu.be/3lfRGLYiubc" TargetMode="External"/><Relationship Id="rId2977" Type="http://schemas.openxmlformats.org/officeDocument/2006/relationships/hyperlink" Target="https://clips.twitch.tv/AliveToughSageResidentSleeper-hbRuIMEkoIpxXiTL" TargetMode="External"/><Relationship Id="rId1647" Type="http://schemas.openxmlformats.org/officeDocument/2006/relationships/hyperlink" Target="https://youtu.be/Gvk3kM9d6vs" TargetMode="External"/><Relationship Id="rId2978" Type="http://schemas.openxmlformats.org/officeDocument/2006/relationships/hyperlink" Target="https://www.twitch.tv/videos/1773827910" TargetMode="External"/><Relationship Id="rId1648" Type="http://schemas.openxmlformats.org/officeDocument/2006/relationships/hyperlink" Target="https://youtu.be/crpiJHgGrMQ" TargetMode="External"/><Relationship Id="rId2979" Type="http://schemas.openxmlformats.org/officeDocument/2006/relationships/hyperlink" Target="https://youtu.be/HCPBXe8NwSc" TargetMode="External"/><Relationship Id="rId1649" Type="http://schemas.openxmlformats.org/officeDocument/2006/relationships/hyperlink" Target="https://youtu.be/_rnQPr8577c" TargetMode="External"/><Relationship Id="rId819" Type="http://schemas.openxmlformats.org/officeDocument/2006/relationships/hyperlink" Target="https://vxtwitter.com/inkstarLum/status/1831981362078941656" TargetMode="External"/><Relationship Id="rId818" Type="http://schemas.openxmlformats.org/officeDocument/2006/relationships/hyperlink" Target="https://clips.twitch.tv/ArbitraryRealPeppermintDatSheffy-3wDeSNkKihjOnqTd" TargetMode="External"/><Relationship Id="rId817" Type="http://schemas.openxmlformats.org/officeDocument/2006/relationships/hyperlink" Target="https://clips.twitch.tv/NiceZanyLaptopMikeHogu-5GQscXuTB947s_C_" TargetMode="External"/><Relationship Id="rId816" Type="http://schemas.openxmlformats.org/officeDocument/2006/relationships/hyperlink" Target="https://www.twitch.tv/inkstar/clip/SarcasticRacyPlumageUncleNox-NMv8E79NBTzTflIL" TargetMode="External"/><Relationship Id="rId811" Type="http://schemas.openxmlformats.org/officeDocument/2006/relationships/hyperlink" Target="https://youtu.be/p-1C5JmSNyI" TargetMode="External"/><Relationship Id="rId810" Type="http://schemas.openxmlformats.org/officeDocument/2006/relationships/hyperlink" Target="https://clips.twitch.tv/TawdryPiliableWoodpeckerImGlitch-Dl7Jr8na-Vcq7khT" TargetMode="External"/><Relationship Id="rId815" Type="http://schemas.openxmlformats.org/officeDocument/2006/relationships/hyperlink" Target="https://x.com/inkstarLum/status/1832352332140703766" TargetMode="External"/><Relationship Id="rId814" Type="http://schemas.openxmlformats.org/officeDocument/2006/relationships/hyperlink" Target="https://clips.twitch.tv/LuckyCogentAdminChefFrank-KGGjXqGrS1KTFUML" TargetMode="External"/><Relationship Id="rId813" Type="http://schemas.openxmlformats.org/officeDocument/2006/relationships/hyperlink" Target="https://youtu.be/xrBXX7tFyfY" TargetMode="External"/><Relationship Id="rId812" Type="http://schemas.openxmlformats.org/officeDocument/2006/relationships/hyperlink" Target="https://x.com/inkstarLum/status/1805002791716528633" TargetMode="External"/><Relationship Id="rId2970" Type="http://schemas.openxmlformats.org/officeDocument/2006/relationships/hyperlink" Target="https://www.youtube.com/watch?v=I5OBY9P4kfk" TargetMode="External"/><Relationship Id="rId1640" Type="http://schemas.openxmlformats.org/officeDocument/2006/relationships/hyperlink" Target="https://youtu.be/OyubLupZ1gs" TargetMode="External"/><Relationship Id="rId2971" Type="http://schemas.openxmlformats.org/officeDocument/2006/relationships/hyperlink" Target="https://youtu.be/VV7F1zK-rhY" TargetMode="External"/><Relationship Id="rId1641" Type="http://schemas.openxmlformats.org/officeDocument/2006/relationships/hyperlink" Target="https://youtu.be/34f0axSWzxw" TargetMode="External"/><Relationship Id="rId2972" Type="http://schemas.openxmlformats.org/officeDocument/2006/relationships/hyperlink" Target="https://www.twitch.tv/videos/1628995922" TargetMode="External"/><Relationship Id="rId1675" Type="http://schemas.openxmlformats.org/officeDocument/2006/relationships/hyperlink" Target="https://www.youtube.com/watch?v=kqKtoogO5QM" TargetMode="External"/><Relationship Id="rId1676" Type="http://schemas.openxmlformats.org/officeDocument/2006/relationships/hyperlink" Target="https://youtu.be/kaxbwfjOa7U?si=JeOYDDIG8TH4L7Dg&amp;t=74" TargetMode="External"/><Relationship Id="rId1677" Type="http://schemas.openxmlformats.org/officeDocument/2006/relationships/hyperlink" Target="https://youtu.be/OZ5_KJewdOs?si=q0CMdQLW9xr49Uz-&amp;t=38" TargetMode="External"/><Relationship Id="rId1678" Type="http://schemas.openxmlformats.org/officeDocument/2006/relationships/hyperlink" Target="https://youtu.be/Q5bFw4mRUPE?si=-33ZEC1fqsw8p5g5&amp;t=38" TargetMode="External"/><Relationship Id="rId1679" Type="http://schemas.openxmlformats.org/officeDocument/2006/relationships/hyperlink" Target="https://www.twitch.tv/videos/2404994164" TargetMode="External"/><Relationship Id="rId849" Type="http://schemas.openxmlformats.org/officeDocument/2006/relationships/hyperlink" Target="https://youtu.be/c9py8Ztuw98" TargetMode="External"/><Relationship Id="rId844" Type="http://schemas.openxmlformats.org/officeDocument/2006/relationships/hyperlink" Target="https://www.twitch.tv/videos/2741339212" TargetMode="External"/><Relationship Id="rId843" Type="http://schemas.openxmlformats.org/officeDocument/2006/relationships/hyperlink" Target="https://x.com/inkstarLum/status/1751221277925449837?s=20" TargetMode="External"/><Relationship Id="rId842" Type="http://schemas.openxmlformats.org/officeDocument/2006/relationships/hyperlink" Target="https://www.twitch.tv/videos/2741348080" TargetMode="External"/><Relationship Id="rId841" Type="http://schemas.openxmlformats.org/officeDocument/2006/relationships/hyperlink" Target="https://youtu.be/JA-sgoCHNk4" TargetMode="External"/><Relationship Id="rId848" Type="http://schemas.openxmlformats.org/officeDocument/2006/relationships/hyperlink" Target="https://www.twitch.tv/inkstar/clip/PricklyJollyChickenFrankerZ--ftQATbo8D7t_4fU" TargetMode="External"/><Relationship Id="rId847" Type="http://schemas.openxmlformats.org/officeDocument/2006/relationships/hyperlink" Target="https://youtu.be/KuSgjVsjUCo" TargetMode="External"/><Relationship Id="rId846" Type="http://schemas.openxmlformats.org/officeDocument/2006/relationships/hyperlink" Target="https://clips.twitch.tv/FriendlyDifferentGarlicRaccAttack-6YCSuTZxvzXL6h5E" TargetMode="External"/><Relationship Id="rId845" Type="http://schemas.openxmlformats.org/officeDocument/2006/relationships/hyperlink" Target="https://x.com/inkstarLum/status/1879710452240023564" TargetMode="External"/><Relationship Id="rId1670" Type="http://schemas.openxmlformats.org/officeDocument/2006/relationships/hyperlink" Target="https://youtu.be/cWVmriJ0-tU" TargetMode="External"/><Relationship Id="rId840" Type="http://schemas.openxmlformats.org/officeDocument/2006/relationships/hyperlink" Target="https://clips.twitch.tv/KitschyPowerfulPoxMcaT-kXt_DBq4NQs0wJhw" TargetMode="External"/><Relationship Id="rId1671" Type="http://schemas.openxmlformats.org/officeDocument/2006/relationships/hyperlink" Target="https://youtu.be/LyQeFqToXO8" TargetMode="External"/><Relationship Id="rId1672" Type="http://schemas.openxmlformats.org/officeDocument/2006/relationships/hyperlink" Target="https://youtu.be/CS3VSnhR56g" TargetMode="External"/><Relationship Id="rId1673" Type="http://schemas.openxmlformats.org/officeDocument/2006/relationships/hyperlink" Target="https://youtu.be/v7YmhszjVIs" TargetMode="External"/><Relationship Id="rId1674" Type="http://schemas.openxmlformats.org/officeDocument/2006/relationships/hyperlink" Target="https://youtu.be/HP746GsDOgw?si=JRTZSsX7PVOXiX07&amp;t=63" TargetMode="External"/><Relationship Id="rId1664" Type="http://schemas.openxmlformats.org/officeDocument/2006/relationships/hyperlink" Target="https://youtu.be/lqo9BM5TzqU" TargetMode="External"/><Relationship Id="rId2995" Type="http://schemas.openxmlformats.org/officeDocument/2006/relationships/hyperlink" Target="https://www.youtube.com/watch?v=S2yri_1-_YA" TargetMode="External"/><Relationship Id="rId1665" Type="http://schemas.openxmlformats.org/officeDocument/2006/relationships/hyperlink" Target="https://youtu.be/tzbM2JhO9j8" TargetMode="External"/><Relationship Id="rId2996" Type="http://schemas.openxmlformats.org/officeDocument/2006/relationships/hyperlink" Target="https://www.twitch.tv/videos/1780302978" TargetMode="External"/><Relationship Id="rId1666" Type="http://schemas.openxmlformats.org/officeDocument/2006/relationships/hyperlink" Target="https://youtu.be/VL4ymXGZ9CM" TargetMode="External"/><Relationship Id="rId2997" Type="http://schemas.openxmlformats.org/officeDocument/2006/relationships/hyperlink" Target="https://clips.twitch.tv/WimpyFilthyWrenchStinkyCheese-B3XE-70fD1bF9W8_" TargetMode="External"/><Relationship Id="rId1667" Type="http://schemas.openxmlformats.org/officeDocument/2006/relationships/hyperlink" Target="https://youtu.be/a77pCypmreI" TargetMode="External"/><Relationship Id="rId2998" Type="http://schemas.openxmlformats.org/officeDocument/2006/relationships/hyperlink" Target="https://clips.twitch.tv/ColorfulKindSalmonOptimizePrime-tj72s6jVvWGJqwc9" TargetMode="External"/><Relationship Id="rId1668" Type="http://schemas.openxmlformats.org/officeDocument/2006/relationships/hyperlink" Target="https://youtu.be/b65syJ1KUGA" TargetMode="External"/><Relationship Id="rId2999" Type="http://schemas.openxmlformats.org/officeDocument/2006/relationships/hyperlink" Target="https://clips.twitch.tv/FurryThirstyGaurUncleNox-62xsKc6hM-iBI_O-" TargetMode="External"/><Relationship Id="rId1669" Type="http://schemas.openxmlformats.org/officeDocument/2006/relationships/hyperlink" Target="https://youtu.be/4hYJdvrQa0I" TargetMode="External"/><Relationship Id="rId839" Type="http://schemas.openxmlformats.org/officeDocument/2006/relationships/hyperlink" Target="https://www.twitch.tv/videos/2823746336" TargetMode="External"/><Relationship Id="rId838" Type="http://schemas.openxmlformats.org/officeDocument/2006/relationships/hyperlink" Target="https://clips.twitch.tv/SmoggyLitigiousWrenYee-sRHIOk-8jGmskUvz" TargetMode="External"/><Relationship Id="rId833" Type="http://schemas.openxmlformats.org/officeDocument/2006/relationships/hyperlink" Target="https://clips.twitch.tv/KawaiiPlacidMonitorPJSalt-mhKC6iRjJ5hOMC48" TargetMode="External"/><Relationship Id="rId832" Type="http://schemas.openxmlformats.org/officeDocument/2006/relationships/hyperlink" Target="https://www.twitch.tv/videos/1872029328" TargetMode="External"/><Relationship Id="rId831" Type="http://schemas.openxmlformats.org/officeDocument/2006/relationships/hyperlink" Target="https://x.com/inkstarLum/status/1807522604842193205" TargetMode="External"/><Relationship Id="rId830" Type="http://schemas.openxmlformats.org/officeDocument/2006/relationships/hyperlink" Target="https://www.twitch.tv/videos/2781266650" TargetMode="External"/><Relationship Id="rId837" Type="http://schemas.openxmlformats.org/officeDocument/2006/relationships/hyperlink" Target="https://www.twitch.tv/videos/2783603944" TargetMode="External"/><Relationship Id="rId836" Type="http://schemas.openxmlformats.org/officeDocument/2006/relationships/hyperlink" Target="https://x.com/inkstarLum/status/1768171081377136966?s=20" TargetMode="External"/><Relationship Id="rId835" Type="http://schemas.openxmlformats.org/officeDocument/2006/relationships/hyperlink" Target="https://x.com/NoVidNoDidNoVid/status/1769569284177760430?s=20" TargetMode="External"/><Relationship Id="rId834" Type="http://schemas.openxmlformats.org/officeDocument/2006/relationships/hyperlink" Target="https://x.com/NoVidNoDidNoVid/status/1772186251535196506?s=20" TargetMode="External"/><Relationship Id="rId2990" Type="http://schemas.openxmlformats.org/officeDocument/2006/relationships/hyperlink" Target="https://www.youtube.com/watch?v=MLuAfQJjr3E" TargetMode="External"/><Relationship Id="rId1660" Type="http://schemas.openxmlformats.org/officeDocument/2006/relationships/hyperlink" Target="https://youtu.be/nLTpbUh2ayY" TargetMode="External"/><Relationship Id="rId2991" Type="http://schemas.openxmlformats.org/officeDocument/2006/relationships/hyperlink" Target="https://youtu.be/xDvK9BajRjc" TargetMode="External"/><Relationship Id="rId1661" Type="http://schemas.openxmlformats.org/officeDocument/2006/relationships/hyperlink" Target="https://youtu.be/YWBDB6jLhH4" TargetMode="External"/><Relationship Id="rId2992" Type="http://schemas.openxmlformats.org/officeDocument/2006/relationships/hyperlink" Target="https://youtu.be/HHwB7otTMRM" TargetMode="External"/><Relationship Id="rId1662" Type="http://schemas.openxmlformats.org/officeDocument/2006/relationships/hyperlink" Target="https://youtu.be/rpqgCJNdV8E" TargetMode="External"/><Relationship Id="rId2993" Type="http://schemas.openxmlformats.org/officeDocument/2006/relationships/hyperlink" Target="https://youtu.be/7XF8xomlpwQ" TargetMode="External"/><Relationship Id="rId1663" Type="http://schemas.openxmlformats.org/officeDocument/2006/relationships/hyperlink" Target="https://youtu.be/tVp-zQR5r7M" TargetMode="External"/><Relationship Id="rId2994" Type="http://schemas.openxmlformats.org/officeDocument/2006/relationships/hyperlink" Target="https://www.twitch.tv/videos/1632815303" TargetMode="External"/><Relationship Id="rId2148" Type="http://schemas.openxmlformats.org/officeDocument/2006/relationships/hyperlink" Target="https://www.youtube.com/watch?v=xV2agPnHkDA" TargetMode="External"/><Relationship Id="rId2149" Type="http://schemas.openxmlformats.org/officeDocument/2006/relationships/hyperlink" Target="https://www.youtube.com/watch?v=dlv33IZ6J_s&amp;feature=youtu.be&amp;ab_channel=SMSArchives" TargetMode="External"/><Relationship Id="rId3479" Type="http://schemas.openxmlformats.org/officeDocument/2006/relationships/hyperlink" Target="https://youtu.be/v4WAFhv1CUc" TargetMode="External"/><Relationship Id="rId3470" Type="http://schemas.openxmlformats.org/officeDocument/2006/relationships/hyperlink" Target="https://youtu.be/PGz_glAduMU" TargetMode="External"/><Relationship Id="rId2140" Type="http://schemas.openxmlformats.org/officeDocument/2006/relationships/hyperlink" Target="https://youtu.be/al6NoRPtBE8" TargetMode="External"/><Relationship Id="rId3472" Type="http://schemas.openxmlformats.org/officeDocument/2006/relationships/hyperlink" Target="https://youtu.be/Hou7T2Odnm8" TargetMode="External"/><Relationship Id="rId2141" Type="http://schemas.openxmlformats.org/officeDocument/2006/relationships/hyperlink" Target="https://youtu.be/j0GesILKNu4" TargetMode="External"/><Relationship Id="rId3471" Type="http://schemas.openxmlformats.org/officeDocument/2006/relationships/hyperlink" Target="https://youtu.be/PMkwmdFwsWY" TargetMode="External"/><Relationship Id="rId2142" Type="http://schemas.openxmlformats.org/officeDocument/2006/relationships/hyperlink" Target="https://youtu.be/TtxZ7emUcqw" TargetMode="External"/><Relationship Id="rId3474" Type="http://schemas.openxmlformats.org/officeDocument/2006/relationships/hyperlink" Target="https://youtu.be/qGbyJi5bkJE" TargetMode="External"/><Relationship Id="rId2143" Type="http://schemas.openxmlformats.org/officeDocument/2006/relationships/hyperlink" Target="https://youtu.be/GfPC6_lKKfk" TargetMode="External"/><Relationship Id="rId3473" Type="http://schemas.openxmlformats.org/officeDocument/2006/relationships/hyperlink" Target="https://youtu.be/G-hYFrIO8Ec" TargetMode="External"/><Relationship Id="rId2144" Type="http://schemas.openxmlformats.org/officeDocument/2006/relationships/hyperlink" Target="https://youtu.be/C4qyaS4230Y" TargetMode="External"/><Relationship Id="rId3476" Type="http://schemas.openxmlformats.org/officeDocument/2006/relationships/hyperlink" Target="https://youtu.be/79U8vkFMLFw" TargetMode="External"/><Relationship Id="rId2145" Type="http://schemas.openxmlformats.org/officeDocument/2006/relationships/hyperlink" Target="https://youtu.be/ktcDF4JUbgE" TargetMode="External"/><Relationship Id="rId3475" Type="http://schemas.openxmlformats.org/officeDocument/2006/relationships/hyperlink" Target="https://youtu.be/eK_oyFP-B7c" TargetMode="External"/><Relationship Id="rId2146" Type="http://schemas.openxmlformats.org/officeDocument/2006/relationships/hyperlink" Target="https://youtu.be/9H5GFkLuO50" TargetMode="External"/><Relationship Id="rId3478" Type="http://schemas.openxmlformats.org/officeDocument/2006/relationships/hyperlink" Target="https://youtu.be/zw7IMG-cM2U" TargetMode="External"/><Relationship Id="rId2147" Type="http://schemas.openxmlformats.org/officeDocument/2006/relationships/hyperlink" Target="https://www.youtube.com/watch?v=ZqdXrHuevIU&amp;feature=youtu.be&amp;ab_channel=SMSArchives" TargetMode="External"/><Relationship Id="rId3477" Type="http://schemas.openxmlformats.org/officeDocument/2006/relationships/hyperlink" Target="https://youtu.be/jY1qlyQPmEQ" TargetMode="External"/><Relationship Id="rId2137" Type="http://schemas.openxmlformats.org/officeDocument/2006/relationships/hyperlink" Target="https://youtu.be/XlhXHiyoWWw" TargetMode="External"/><Relationship Id="rId3469" Type="http://schemas.openxmlformats.org/officeDocument/2006/relationships/hyperlink" Target="https://youtu.be/XyZWFEAU4q4" TargetMode="External"/><Relationship Id="rId2138" Type="http://schemas.openxmlformats.org/officeDocument/2006/relationships/hyperlink" Target="https://youtu.be/61Hl0q45SK4" TargetMode="External"/><Relationship Id="rId3468" Type="http://schemas.openxmlformats.org/officeDocument/2006/relationships/hyperlink" Target="https://youtu.be/RY2K8CVPLYo" TargetMode="External"/><Relationship Id="rId2139" Type="http://schemas.openxmlformats.org/officeDocument/2006/relationships/hyperlink" Target="https://youtu.be/U2Oh1Dsyd-8" TargetMode="External"/><Relationship Id="rId3461" Type="http://schemas.openxmlformats.org/officeDocument/2006/relationships/hyperlink" Target="https://youtu.be/Fv0GlUdCWLA" TargetMode="External"/><Relationship Id="rId2130" Type="http://schemas.openxmlformats.org/officeDocument/2006/relationships/hyperlink" Target="https://www.youtube.com/watch?v=4Gjr-WXd_0U" TargetMode="External"/><Relationship Id="rId3460" Type="http://schemas.openxmlformats.org/officeDocument/2006/relationships/hyperlink" Target="https://youtu.be/43QwNfvtpdw" TargetMode="External"/><Relationship Id="rId2131" Type="http://schemas.openxmlformats.org/officeDocument/2006/relationships/hyperlink" Target="https://youtu.be/mu3rBszSqVA" TargetMode="External"/><Relationship Id="rId3463" Type="http://schemas.openxmlformats.org/officeDocument/2006/relationships/hyperlink" Target="https://youtu.be/EGKPgAzLMy8" TargetMode="External"/><Relationship Id="rId2132" Type="http://schemas.openxmlformats.org/officeDocument/2006/relationships/hyperlink" Target="https://youtu.be/8WiZASgkDk0" TargetMode="External"/><Relationship Id="rId3462" Type="http://schemas.openxmlformats.org/officeDocument/2006/relationships/hyperlink" Target="https://youtu.be/EGKPgAzLMy8" TargetMode="External"/><Relationship Id="rId2133" Type="http://schemas.openxmlformats.org/officeDocument/2006/relationships/hyperlink" Target="https://youtu.be/0vZiSpuhpks&amp;t=2s" TargetMode="External"/><Relationship Id="rId3465" Type="http://schemas.openxmlformats.org/officeDocument/2006/relationships/hyperlink" Target="https://youtu.be/Tt6_KpZu2V4" TargetMode="External"/><Relationship Id="rId2134" Type="http://schemas.openxmlformats.org/officeDocument/2006/relationships/hyperlink" Target="https://youtu.be/hdOnEdSIMIs" TargetMode="External"/><Relationship Id="rId3464" Type="http://schemas.openxmlformats.org/officeDocument/2006/relationships/hyperlink" Target="https://youtu.be/rw0W3BpcbK0" TargetMode="External"/><Relationship Id="rId2135" Type="http://schemas.openxmlformats.org/officeDocument/2006/relationships/hyperlink" Target="https://youtu.be/0nsSCOsgVVM" TargetMode="External"/><Relationship Id="rId3467" Type="http://schemas.openxmlformats.org/officeDocument/2006/relationships/hyperlink" Target="https://youtu.be/L8KC10KJkSo" TargetMode="External"/><Relationship Id="rId2136" Type="http://schemas.openxmlformats.org/officeDocument/2006/relationships/hyperlink" Target="https://www.twitch.tv/videos/1177318701" TargetMode="External"/><Relationship Id="rId3466" Type="http://schemas.openxmlformats.org/officeDocument/2006/relationships/hyperlink" Target="https://youtu.be/L8KC10KJkSo" TargetMode="External"/><Relationship Id="rId3490" Type="http://schemas.openxmlformats.org/officeDocument/2006/relationships/hyperlink" Target="https://youtu.be/8lQ-ZQlB5qI" TargetMode="External"/><Relationship Id="rId2160" Type="http://schemas.openxmlformats.org/officeDocument/2006/relationships/hyperlink" Target="https://www.youtube.com/watch?v=JXia7kQ28II" TargetMode="External"/><Relationship Id="rId3492" Type="http://schemas.openxmlformats.org/officeDocument/2006/relationships/hyperlink" Target="https://www.youtube.com/watch?v=jvdFWQScL4g" TargetMode="External"/><Relationship Id="rId2161" Type="http://schemas.openxmlformats.org/officeDocument/2006/relationships/hyperlink" Target="https://www.youtube.com/watch?v=k9Fgim94pCw&amp;ab_channel=SMSArchives" TargetMode="External"/><Relationship Id="rId3491" Type="http://schemas.openxmlformats.org/officeDocument/2006/relationships/hyperlink" Target="https://youtu.be/nO17MpWSVpE" TargetMode="External"/><Relationship Id="rId2162" Type="http://schemas.openxmlformats.org/officeDocument/2006/relationships/hyperlink" Target="https://www.youtube.com/watch?v=mFV8v-ndoew&amp;feature=youtu.be&amp;ab_channel=SMSArchives" TargetMode="External"/><Relationship Id="rId3494" Type="http://schemas.openxmlformats.org/officeDocument/2006/relationships/hyperlink" Target="https://youtu.be/iqxAAuoszW0" TargetMode="External"/><Relationship Id="rId2163" Type="http://schemas.openxmlformats.org/officeDocument/2006/relationships/hyperlink" Target="https://www.youtube.com/watch?v=Neje54NUTa0" TargetMode="External"/><Relationship Id="rId3493" Type="http://schemas.openxmlformats.org/officeDocument/2006/relationships/hyperlink" Target="https://www.youtube.com/watch?v=c1a0JbGeYQw" TargetMode="External"/><Relationship Id="rId2164" Type="http://schemas.openxmlformats.org/officeDocument/2006/relationships/hyperlink" Target="https://www.youtube.com/watch?v=ilkcD1ohFwQ" TargetMode="External"/><Relationship Id="rId3496" Type="http://schemas.openxmlformats.org/officeDocument/2006/relationships/hyperlink" Target="https://www.youtube.com/watch?v=8nEu-AX89xQ" TargetMode="External"/><Relationship Id="rId2165" Type="http://schemas.openxmlformats.org/officeDocument/2006/relationships/hyperlink" Target="https://www.youtube.com/watch?v=nM1TlOIauFA&amp;feature=youtu.be&amp;ab_channel=SMSArchives" TargetMode="External"/><Relationship Id="rId3495" Type="http://schemas.openxmlformats.org/officeDocument/2006/relationships/hyperlink" Target="https://youtu.be/p6taesLvQnI" TargetMode="External"/><Relationship Id="rId2166" Type="http://schemas.openxmlformats.org/officeDocument/2006/relationships/hyperlink" Target="https://www.youtube.com/watch?v=p-Ar33YOtr8&amp;ab_channel=SMSArchives" TargetMode="External"/><Relationship Id="rId3498" Type="http://schemas.openxmlformats.org/officeDocument/2006/relationships/hyperlink" Target="https://www.youtube.com/watch?v=oYJmt9xuN2s" TargetMode="External"/><Relationship Id="rId2167" Type="http://schemas.openxmlformats.org/officeDocument/2006/relationships/hyperlink" Target="https://www.youtube.com/watch?v=fEciwUqJu6c&amp;feature=youtu.be&amp;ab_channel=SMSArchives" TargetMode="External"/><Relationship Id="rId3497" Type="http://schemas.openxmlformats.org/officeDocument/2006/relationships/hyperlink" Target="https://www.youtube.com/watch?v=5n5G5Prn4E4" TargetMode="External"/><Relationship Id="rId2168" Type="http://schemas.openxmlformats.org/officeDocument/2006/relationships/hyperlink" Target="https://www.youtube.com/watch?v=lFc4WXRqAeI&amp;ab_channel=SMSArchives" TargetMode="External"/><Relationship Id="rId2169" Type="http://schemas.openxmlformats.org/officeDocument/2006/relationships/hyperlink" Target="https://www.youtube.com/watch?v=Ofroqsq8YzQ&amp;feature=youtu.be&amp;ab_channel=SMSArchives" TargetMode="External"/><Relationship Id="rId3499" Type="http://schemas.openxmlformats.org/officeDocument/2006/relationships/hyperlink" Target="https://www.youtube.com/watch?v=a5SKsvLsNUU" TargetMode="External"/><Relationship Id="rId2159" Type="http://schemas.openxmlformats.org/officeDocument/2006/relationships/hyperlink" Target="https://www.youtube.com/watch?v=GqGRD9rDpr8&amp;ab_channel=SMSArchives" TargetMode="External"/><Relationship Id="rId3481" Type="http://schemas.openxmlformats.org/officeDocument/2006/relationships/hyperlink" Target="https://youtu.be/fUdSxtmkG4s" TargetMode="External"/><Relationship Id="rId2150" Type="http://schemas.openxmlformats.org/officeDocument/2006/relationships/hyperlink" Target="https://www.youtube.com/watch?v=xKLFocaOqn0&amp;feature=youtu.be&amp;ab_channel=SMSArchives" TargetMode="External"/><Relationship Id="rId3480" Type="http://schemas.openxmlformats.org/officeDocument/2006/relationships/hyperlink" Target="https://youtu.be/XTLu7QB1Q_8" TargetMode="External"/><Relationship Id="rId2151" Type="http://schemas.openxmlformats.org/officeDocument/2006/relationships/hyperlink" Target="https://www.youtube.com/watch?v=xUVVxphs6V0" TargetMode="External"/><Relationship Id="rId3483" Type="http://schemas.openxmlformats.org/officeDocument/2006/relationships/hyperlink" Target="https://youtu.be/bA5UNeRyQ3M" TargetMode="External"/><Relationship Id="rId2152" Type="http://schemas.openxmlformats.org/officeDocument/2006/relationships/hyperlink" Target="https://www.youtube.com/watch?v=bdjSWhTyhd8" TargetMode="External"/><Relationship Id="rId3482" Type="http://schemas.openxmlformats.org/officeDocument/2006/relationships/hyperlink" Target="https://youtu.be/M0os9HTNx5I" TargetMode="External"/><Relationship Id="rId2153" Type="http://schemas.openxmlformats.org/officeDocument/2006/relationships/hyperlink" Target="https://www.youtube.com/watch?v=GflRKnkCMa4&amp;ab_channel=SMSArchives" TargetMode="External"/><Relationship Id="rId3485" Type="http://schemas.openxmlformats.org/officeDocument/2006/relationships/hyperlink" Target="https://youtu.be/-NaQCbQQMvc" TargetMode="External"/><Relationship Id="rId2154" Type="http://schemas.openxmlformats.org/officeDocument/2006/relationships/hyperlink" Target="https://www.youtube.com/watch?v=0Y8k4eXbCYs&amp;feature=youtu.be&amp;ab_channel=SMSArchives" TargetMode="External"/><Relationship Id="rId3484" Type="http://schemas.openxmlformats.org/officeDocument/2006/relationships/hyperlink" Target="https://youtu.be/ASWXsh2Lemk" TargetMode="External"/><Relationship Id="rId2155" Type="http://schemas.openxmlformats.org/officeDocument/2006/relationships/hyperlink" Target="https://www.youtube.com/watch?v=Qh9w94x857Q" TargetMode="External"/><Relationship Id="rId3487" Type="http://schemas.openxmlformats.org/officeDocument/2006/relationships/hyperlink" Target="https://youtu.be/gHxZJZ8lOCA" TargetMode="External"/><Relationship Id="rId2156" Type="http://schemas.openxmlformats.org/officeDocument/2006/relationships/hyperlink" Target="https://www.youtube.com/watch?v=OtFD1cM5--s" TargetMode="External"/><Relationship Id="rId3486" Type="http://schemas.openxmlformats.org/officeDocument/2006/relationships/hyperlink" Target="https://youtu.be/BoXKmi-E1jE" TargetMode="External"/><Relationship Id="rId2157" Type="http://schemas.openxmlformats.org/officeDocument/2006/relationships/hyperlink" Target="https://www.youtube.com/watch?v=QnU9winSYm8&amp;feature=youtu.be&amp;ab_channel=SMSArchives" TargetMode="External"/><Relationship Id="rId3489" Type="http://schemas.openxmlformats.org/officeDocument/2006/relationships/hyperlink" Target="https://youtu.be/5jM0EgimauY" TargetMode="External"/><Relationship Id="rId2158" Type="http://schemas.openxmlformats.org/officeDocument/2006/relationships/hyperlink" Target="https://www.youtube.com/watch?v=hpPXKGTSRzc&amp;ab_channel=SMSArchives" TargetMode="External"/><Relationship Id="rId3488" Type="http://schemas.openxmlformats.org/officeDocument/2006/relationships/hyperlink" Target="https://youtu.be/cEVs027alRU" TargetMode="External"/><Relationship Id="rId2104" Type="http://schemas.openxmlformats.org/officeDocument/2006/relationships/hyperlink" Target="https://youtu.be/kEpzmZ-I0Zk" TargetMode="External"/><Relationship Id="rId3436" Type="http://schemas.openxmlformats.org/officeDocument/2006/relationships/hyperlink" Target="https://youtu.be/7K-re3OdSN0" TargetMode="External"/><Relationship Id="rId2105" Type="http://schemas.openxmlformats.org/officeDocument/2006/relationships/hyperlink" Target="https://youtu.be/GKqW88T8Gus?si=QPK1ng0LstTFsB7l&amp;t=4" TargetMode="External"/><Relationship Id="rId3435" Type="http://schemas.openxmlformats.org/officeDocument/2006/relationships/hyperlink" Target="https://youtu.be/hVgd3hos45M" TargetMode="External"/><Relationship Id="rId2106" Type="http://schemas.openxmlformats.org/officeDocument/2006/relationships/hyperlink" Target="https://youtu.be/VLBdXdJoPZA?si=v70QzcASvKeuqElh&amp;t=7" TargetMode="External"/><Relationship Id="rId3438" Type="http://schemas.openxmlformats.org/officeDocument/2006/relationships/hyperlink" Target="https://youtu.be/mJxnxexXk1w" TargetMode="External"/><Relationship Id="rId2107" Type="http://schemas.openxmlformats.org/officeDocument/2006/relationships/hyperlink" Target="https://youtu.be/67mgMNNVC3E" TargetMode="External"/><Relationship Id="rId3437" Type="http://schemas.openxmlformats.org/officeDocument/2006/relationships/hyperlink" Target="https://youtu.be/1i_AVBjJUxM" TargetMode="External"/><Relationship Id="rId2108" Type="http://schemas.openxmlformats.org/officeDocument/2006/relationships/hyperlink" Target="https://youtu.be/HR_Dz5DuM4Y?si=3C5Js0A0MJYSHNRI&amp;t=7" TargetMode="External"/><Relationship Id="rId2109" Type="http://schemas.openxmlformats.org/officeDocument/2006/relationships/hyperlink" Target="https://www.youtube.com/watch?v=LK5B8bbYXcc" TargetMode="External"/><Relationship Id="rId3439" Type="http://schemas.openxmlformats.org/officeDocument/2006/relationships/hyperlink" Target="https://youtu.be/14XtK7BAy94" TargetMode="External"/><Relationship Id="rId3430" Type="http://schemas.openxmlformats.org/officeDocument/2006/relationships/hyperlink" Target="https://youtu.be/R6qJaEgyXcs" TargetMode="External"/><Relationship Id="rId2100" Type="http://schemas.openxmlformats.org/officeDocument/2006/relationships/hyperlink" Target="https://youtu.be/qmQs3aakNwA" TargetMode="External"/><Relationship Id="rId3432" Type="http://schemas.openxmlformats.org/officeDocument/2006/relationships/hyperlink" Target="https://youtu.be/qHrR4WiaAvE" TargetMode="External"/><Relationship Id="rId2101" Type="http://schemas.openxmlformats.org/officeDocument/2006/relationships/hyperlink" Target="https://youtu.be/SsgsZC1KL_Y" TargetMode="External"/><Relationship Id="rId3431" Type="http://schemas.openxmlformats.org/officeDocument/2006/relationships/hyperlink" Target="https://youtu.be/j7-8YNFT0co" TargetMode="External"/><Relationship Id="rId2102" Type="http://schemas.openxmlformats.org/officeDocument/2006/relationships/hyperlink" Target="https://youtu.be/c8ZnYtXPMa0" TargetMode="External"/><Relationship Id="rId3434" Type="http://schemas.openxmlformats.org/officeDocument/2006/relationships/hyperlink" Target="https://youtu.be/KonmYHL9k-I" TargetMode="External"/><Relationship Id="rId2103" Type="http://schemas.openxmlformats.org/officeDocument/2006/relationships/hyperlink" Target="https://youtu.be/NFE2gu_82P0" TargetMode="External"/><Relationship Id="rId3433" Type="http://schemas.openxmlformats.org/officeDocument/2006/relationships/hyperlink" Target="https://youtu.be/Bsr_tRNbUK0" TargetMode="External"/><Relationship Id="rId3425" Type="http://schemas.openxmlformats.org/officeDocument/2006/relationships/hyperlink" Target="https://youtu.be/ludIvyZW0sw" TargetMode="External"/><Relationship Id="rId3424" Type="http://schemas.openxmlformats.org/officeDocument/2006/relationships/hyperlink" Target="https://youtu.be/MQ4431xDyKg" TargetMode="External"/><Relationship Id="rId3427" Type="http://schemas.openxmlformats.org/officeDocument/2006/relationships/hyperlink" Target="https://youtu.be/Sp05l_QXKZg" TargetMode="External"/><Relationship Id="rId3426" Type="http://schemas.openxmlformats.org/officeDocument/2006/relationships/hyperlink" Target="https://youtu.be/wnb2S-ZM6U4" TargetMode="External"/><Relationship Id="rId3429" Type="http://schemas.openxmlformats.org/officeDocument/2006/relationships/hyperlink" Target="https://youtu.be/dk2mn7vS6Kk" TargetMode="External"/><Relationship Id="rId3428" Type="http://schemas.openxmlformats.org/officeDocument/2006/relationships/hyperlink" Target="https://youtu.be/c8LC4B9Vvkg" TargetMode="External"/><Relationship Id="rId899" Type="http://schemas.openxmlformats.org/officeDocument/2006/relationships/hyperlink" Target="https://youtu.be/xizsD7lwCUI?t=15" TargetMode="External"/><Relationship Id="rId898" Type="http://schemas.openxmlformats.org/officeDocument/2006/relationships/hyperlink" Target="https://youtu.be/xizsD7lwCUI" TargetMode="External"/><Relationship Id="rId897" Type="http://schemas.openxmlformats.org/officeDocument/2006/relationships/hyperlink" Target="https://youtu.be/-aqgEfzkVAg" TargetMode="External"/><Relationship Id="rId896" Type="http://schemas.openxmlformats.org/officeDocument/2006/relationships/hyperlink" Target="https://youtu.be/G-eH1jMDwbo?t=3" TargetMode="External"/><Relationship Id="rId891" Type="http://schemas.openxmlformats.org/officeDocument/2006/relationships/hyperlink" Target="https://youtu.be/WYuA_C--zYg" TargetMode="External"/><Relationship Id="rId890" Type="http://schemas.openxmlformats.org/officeDocument/2006/relationships/hyperlink" Target="https://youtu.be/3jYAmHn5jLQ" TargetMode="External"/><Relationship Id="rId895" Type="http://schemas.openxmlformats.org/officeDocument/2006/relationships/hyperlink" Target="https://youtu.be/h7tydleE5Wk" TargetMode="External"/><Relationship Id="rId3421" Type="http://schemas.openxmlformats.org/officeDocument/2006/relationships/hyperlink" Target="https://youtu.be/kUpiYpqjSf4" TargetMode="External"/><Relationship Id="rId894" Type="http://schemas.openxmlformats.org/officeDocument/2006/relationships/hyperlink" Target="https://www.youtube.com/watch?v=1SxI5-meOeo" TargetMode="External"/><Relationship Id="rId3420" Type="http://schemas.openxmlformats.org/officeDocument/2006/relationships/hyperlink" Target="https://youtu.be/jGysVsWZTkg" TargetMode="External"/><Relationship Id="rId893" Type="http://schemas.openxmlformats.org/officeDocument/2006/relationships/hyperlink" Target="https://youtu.be/FBSg1_1VGIk" TargetMode="External"/><Relationship Id="rId3423" Type="http://schemas.openxmlformats.org/officeDocument/2006/relationships/hyperlink" Target="https://youtu.be/bXwkS_c6hb0" TargetMode="External"/><Relationship Id="rId892" Type="http://schemas.openxmlformats.org/officeDocument/2006/relationships/hyperlink" Target="https://youtu.be/W_gKZ51fVWI" TargetMode="External"/><Relationship Id="rId3422" Type="http://schemas.openxmlformats.org/officeDocument/2006/relationships/hyperlink" Target="https://youtu.be/5ItCib67nd4" TargetMode="External"/><Relationship Id="rId2126" Type="http://schemas.openxmlformats.org/officeDocument/2006/relationships/hyperlink" Target="https://youtu.be/SEMuE2SKDh4?t=3" TargetMode="External"/><Relationship Id="rId3458" Type="http://schemas.openxmlformats.org/officeDocument/2006/relationships/hyperlink" Target="https://youtu.be/6QfuRdE1v30" TargetMode="External"/><Relationship Id="rId2127" Type="http://schemas.openxmlformats.org/officeDocument/2006/relationships/hyperlink" Target="https://youtu.be/Z9wQRly2xxQ" TargetMode="External"/><Relationship Id="rId3457" Type="http://schemas.openxmlformats.org/officeDocument/2006/relationships/hyperlink" Target="https://youtu.be/_26rl5qmXvE" TargetMode="External"/><Relationship Id="rId2128" Type="http://schemas.openxmlformats.org/officeDocument/2006/relationships/hyperlink" Target="https://youtu.be/MJxU63xtx4M?si=TiJnDXLd0cj7oPNX&amp;t=2" TargetMode="External"/><Relationship Id="rId2129" Type="http://schemas.openxmlformats.org/officeDocument/2006/relationships/hyperlink" Target="https://www.youtube.com/watch?v=4DUoko6V8WA" TargetMode="External"/><Relationship Id="rId3459" Type="http://schemas.openxmlformats.org/officeDocument/2006/relationships/hyperlink" Target="https://youtu.be/yZNmINgE6po" TargetMode="External"/><Relationship Id="rId3450" Type="http://schemas.openxmlformats.org/officeDocument/2006/relationships/hyperlink" Target="https://youtu.be/bdjwNG4SOD4" TargetMode="External"/><Relationship Id="rId2120" Type="http://schemas.openxmlformats.org/officeDocument/2006/relationships/hyperlink" Target="https://youtu.be/qyL2kZ5EUKE?t=3" TargetMode="External"/><Relationship Id="rId3452" Type="http://schemas.openxmlformats.org/officeDocument/2006/relationships/hyperlink" Target="https://youtu.be/PuOsxOKZETM" TargetMode="External"/><Relationship Id="rId2121" Type="http://schemas.openxmlformats.org/officeDocument/2006/relationships/hyperlink" Target="https://youtu.be/Bj3aRHVLU6c?si=6ywvT1ig-ljY_krq&amp;t=6" TargetMode="External"/><Relationship Id="rId3451" Type="http://schemas.openxmlformats.org/officeDocument/2006/relationships/hyperlink" Target="https://youtu.be/a-ov8VvP0fA" TargetMode="External"/><Relationship Id="rId2122" Type="http://schemas.openxmlformats.org/officeDocument/2006/relationships/hyperlink" Target="https://youtu.be/dI0cLKdOpw0?si=hoim_3OvB5196IDI&amp;t=4" TargetMode="External"/><Relationship Id="rId3454" Type="http://schemas.openxmlformats.org/officeDocument/2006/relationships/hyperlink" Target="https://youtu.be/7TnlhMZVrAE" TargetMode="External"/><Relationship Id="rId2123" Type="http://schemas.openxmlformats.org/officeDocument/2006/relationships/hyperlink" Target="https://youtu.be/7zLcEkoBU64" TargetMode="External"/><Relationship Id="rId3453" Type="http://schemas.openxmlformats.org/officeDocument/2006/relationships/hyperlink" Target="https://youtu.be/GKSb0XVXlTs" TargetMode="External"/><Relationship Id="rId2124" Type="http://schemas.openxmlformats.org/officeDocument/2006/relationships/hyperlink" Target="https://youtu.be/U-qU2t0sQiQ" TargetMode="External"/><Relationship Id="rId3456" Type="http://schemas.openxmlformats.org/officeDocument/2006/relationships/hyperlink" Target="https://youtu.be/-mCCIXSfa0k" TargetMode="External"/><Relationship Id="rId2125" Type="http://schemas.openxmlformats.org/officeDocument/2006/relationships/hyperlink" Target="https://youtu.be/RD61eQAUq8o" TargetMode="External"/><Relationship Id="rId3455" Type="http://schemas.openxmlformats.org/officeDocument/2006/relationships/hyperlink" Target="https://youtu.be/sIo2yh0HbEQ" TargetMode="External"/><Relationship Id="rId2115" Type="http://schemas.openxmlformats.org/officeDocument/2006/relationships/hyperlink" Target="https://youtu.be/12TkTraXNH0" TargetMode="External"/><Relationship Id="rId3447" Type="http://schemas.openxmlformats.org/officeDocument/2006/relationships/hyperlink" Target="https://clips.twitch.tv/OilyResoluteWrenWow" TargetMode="External"/><Relationship Id="rId2116" Type="http://schemas.openxmlformats.org/officeDocument/2006/relationships/hyperlink" Target="https://youtu.be/tKBmDPgpVcY?t=4" TargetMode="External"/><Relationship Id="rId3446" Type="http://schemas.openxmlformats.org/officeDocument/2006/relationships/hyperlink" Target="https://clips.twitch.tv/SparklyCallousCheeseHassaanChop" TargetMode="External"/><Relationship Id="rId2117" Type="http://schemas.openxmlformats.org/officeDocument/2006/relationships/hyperlink" Target="https://youtu.be/BzIt9nEA_ZU" TargetMode="External"/><Relationship Id="rId3449" Type="http://schemas.openxmlformats.org/officeDocument/2006/relationships/hyperlink" Target="https://youtu.be/Ogs8AESDOGI" TargetMode="External"/><Relationship Id="rId2118" Type="http://schemas.openxmlformats.org/officeDocument/2006/relationships/hyperlink" Target="https://youtu.be/4fzoBOV0BdE" TargetMode="External"/><Relationship Id="rId3448" Type="http://schemas.openxmlformats.org/officeDocument/2006/relationships/hyperlink" Target="https://youtu.be/x9mjutITnto" TargetMode="External"/><Relationship Id="rId2119" Type="http://schemas.openxmlformats.org/officeDocument/2006/relationships/hyperlink" Target="https://youtu.be/w6TCqAWWFdo" TargetMode="External"/><Relationship Id="rId3441" Type="http://schemas.openxmlformats.org/officeDocument/2006/relationships/hyperlink" Target="https://youtu.be/EQfi7qNj_BI" TargetMode="External"/><Relationship Id="rId2110" Type="http://schemas.openxmlformats.org/officeDocument/2006/relationships/hyperlink" Target="https://youtu.be/ldZCJid8doU" TargetMode="External"/><Relationship Id="rId3440" Type="http://schemas.openxmlformats.org/officeDocument/2006/relationships/hyperlink" Target="https://youtu.be/AhrASTid91E" TargetMode="External"/><Relationship Id="rId2111" Type="http://schemas.openxmlformats.org/officeDocument/2006/relationships/hyperlink" Target="https://youtu.be/FYv8NUcPRjw" TargetMode="External"/><Relationship Id="rId3443" Type="http://schemas.openxmlformats.org/officeDocument/2006/relationships/hyperlink" Target="https://youtu.be/M6YztZoaTSc" TargetMode="External"/><Relationship Id="rId2112" Type="http://schemas.openxmlformats.org/officeDocument/2006/relationships/hyperlink" Target="https://www.youtube.com/watch?v=H63IjnifF0g" TargetMode="External"/><Relationship Id="rId3442" Type="http://schemas.openxmlformats.org/officeDocument/2006/relationships/hyperlink" Target="https://youtu.be/rUQqqvBx88E" TargetMode="External"/><Relationship Id="rId2113" Type="http://schemas.openxmlformats.org/officeDocument/2006/relationships/hyperlink" Target="https://youtu.be/JZfvgk9YFVE" TargetMode="External"/><Relationship Id="rId3445" Type="http://schemas.openxmlformats.org/officeDocument/2006/relationships/hyperlink" Target="https://youtu.be/WbEtprLGID0" TargetMode="External"/><Relationship Id="rId2114" Type="http://schemas.openxmlformats.org/officeDocument/2006/relationships/hyperlink" Target="https://youtu.be/ewwN3diiU_w" TargetMode="External"/><Relationship Id="rId3444" Type="http://schemas.openxmlformats.org/officeDocument/2006/relationships/hyperlink" Target="https://youtu.be/2O1PA2iX0zY"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youtu.be/tQivsNd1hsI" TargetMode="External"/><Relationship Id="rId391" Type="http://schemas.openxmlformats.org/officeDocument/2006/relationships/hyperlink" Target="https://clips.twitch.tv/InquisitiveVainTruffleSeemsGood" TargetMode="External"/><Relationship Id="rId390" Type="http://schemas.openxmlformats.org/officeDocument/2006/relationships/hyperlink" Target="https://www.twitch.tv/aether10n/clip/WildLazyBibimbapRuleFive-chSMui_U8CPiOAPW" TargetMode="External"/><Relationship Id="rId385" Type="http://schemas.openxmlformats.org/officeDocument/2006/relationships/hyperlink" Target="https://clips.twitch.tv/WealthyFurtiveSpindleNerfBlueBlaster-DeacKBMeiHr8mXf4" TargetMode="External"/><Relationship Id="rId384" Type="http://schemas.openxmlformats.org/officeDocument/2006/relationships/hyperlink" Target="https://youtu.be/lGpzbfDV7ps" TargetMode="External"/><Relationship Id="rId383" Type="http://schemas.openxmlformats.org/officeDocument/2006/relationships/hyperlink" Target="https://youtu.be/HJ_P8aQ-IHM" TargetMode="External"/><Relationship Id="rId382" Type="http://schemas.openxmlformats.org/officeDocument/2006/relationships/hyperlink" Target="https://www.twitch.tv/aether10n/clip/StupidEasyMinkBuddhaBar-i5fWYIwghWE3X-vq" TargetMode="External"/><Relationship Id="rId389" Type="http://schemas.openxmlformats.org/officeDocument/2006/relationships/hyperlink" Target="https://youtu.be/HwtgbRja6sI" TargetMode="External"/><Relationship Id="rId388" Type="http://schemas.openxmlformats.org/officeDocument/2006/relationships/hyperlink" Target="https://x.com/inkstarLum/status/1734814634891481333?s=20" TargetMode="External"/><Relationship Id="rId387" Type="http://schemas.openxmlformats.org/officeDocument/2006/relationships/hyperlink" Target="https://www.youtube.com/watch?v=6t74qrlbNYQ&amp;ab_channel=SMSArchives" TargetMode="External"/><Relationship Id="rId386" Type="http://schemas.openxmlformats.org/officeDocument/2006/relationships/hyperlink" Target="https://youtu.be/U5TuZZooES4" TargetMode="External"/><Relationship Id="rId381" Type="http://schemas.openxmlformats.org/officeDocument/2006/relationships/hyperlink" Target="https://youtu.be/iaWbBNLJVsE" TargetMode="External"/><Relationship Id="rId380" Type="http://schemas.openxmlformats.org/officeDocument/2006/relationships/hyperlink" Target="https://youtu.be/HJ_P8aQ-IHM" TargetMode="External"/><Relationship Id="rId379" Type="http://schemas.openxmlformats.org/officeDocument/2006/relationships/hyperlink" Target="https://youtu.be/7WU4HgzT4DM" TargetMode="External"/><Relationship Id="rId374" Type="http://schemas.openxmlformats.org/officeDocument/2006/relationships/hyperlink" Target="https://youtu.be/shnKesqNhb4" TargetMode="External"/><Relationship Id="rId373" Type="http://schemas.openxmlformats.org/officeDocument/2006/relationships/hyperlink" Target="https://www.twitch.tv/aether10n/clip/BadImpartialOilTooSpicy-qcrHp0q1s1_crM20" TargetMode="External"/><Relationship Id="rId372" Type="http://schemas.openxmlformats.org/officeDocument/2006/relationships/hyperlink" Target="https://www.twitch.tv/aether10n/clip/BadImpartialOilTooSpicy-qcrHp0q1s1_crM20" TargetMode="External"/><Relationship Id="rId371" Type="http://schemas.openxmlformats.org/officeDocument/2006/relationships/hyperlink" Target="https://www.youtube.com/watch?v=RQfAP4sGsRI" TargetMode="External"/><Relationship Id="rId378" Type="http://schemas.openxmlformats.org/officeDocument/2006/relationships/hyperlink" Target="https://youtu.be/TK8ZQuweREc" TargetMode="External"/><Relationship Id="rId377" Type="http://schemas.openxmlformats.org/officeDocument/2006/relationships/hyperlink" Target="https://www.twitch.tv/aether10n/clip/PhilanthropicTentativeDinosaurTheTarFu-rp_JsFDPexXb4QGj" TargetMode="External"/><Relationship Id="rId376" Type="http://schemas.openxmlformats.org/officeDocument/2006/relationships/hyperlink" Target="https://youtu.be/YqWcOJN1C80" TargetMode="External"/><Relationship Id="rId375" Type="http://schemas.openxmlformats.org/officeDocument/2006/relationships/hyperlink" Target="https://youtu.be/shnKesqNhb4" TargetMode="External"/><Relationship Id="rId396" Type="http://schemas.openxmlformats.org/officeDocument/2006/relationships/hyperlink" Target="https://www.twitch.tv/aether10n/clip/AgileFlaccidCheetahJebaited--eTK-vuFkGDy_pIG" TargetMode="External"/><Relationship Id="rId395" Type="http://schemas.openxmlformats.org/officeDocument/2006/relationships/hyperlink" Target="https://clips.twitch.tv/WealthyFurtiveSpindleNerfBlueBlaster-DeacKBMeiHr8mXf4" TargetMode="External"/><Relationship Id="rId394" Type="http://schemas.openxmlformats.org/officeDocument/2006/relationships/hyperlink" Target="https://youtu.be/UVYdN43OpeI" TargetMode="External"/><Relationship Id="rId393" Type="http://schemas.openxmlformats.org/officeDocument/2006/relationships/hyperlink" Target="https://www.youtube.com/watch?v=6NMd3Hsxvo4" TargetMode="External"/><Relationship Id="rId399" Type="http://schemas.openxmlformats.org/officeDocument/2006/relationships/hyperlink" Target="https://youtu.be/kGWst-4NRLE" TargetMode="External"/><Relationship Id="rId398" Type="http://schemas.openxmlformats.org/officeDocument/2006/relationships/hyperlink" Target="https://youtu.be/cdAG3eJmUu8" TargetMode="External"/><Relationship Id="rId397" Type="http://schemas.openxmlformats.org/officeDocument/2006/relationships/hyperlink" Target="https://www.youtube.com/watch?v=4OqNmNgyDyw" TargetMode="External"/><Relationship Id="rId1730" Type="http://schemas.openxmlformats.org/officeDocument/2006/relationships/hyperlink" Target="https://youtu.be/2YPRZ-2WMtY" TargetMode="External"/><Relationship Id="rId1731" Type="http://schemas.openxmlformats.org/officeDocument/2006/relationships/hyperlink" Target="https://youtu.be/2YPRZ-2WMtY" TargetMode="External"/><Relationship Id="rId1732" Type="http://schemas.openxmlformats.org/officeDocument/2006/relationships/hyperlink" Target="https://youtu.be/ZtaRvjVQJo8" TargetMode="External"/><Relationship Id="rId1733" Type="http://schemas.openxmlformats.org/officeDocument/2006/relationships/hyperlink" Target="https://youtu.be/ZtaRvjVQJo8" TargetMode="External"/><Relationship Id="rId1734" Type="http://schemas.openxmlformats.org/officeDocument/2006/relationships/hyperlink" Target="https://clips.twitch.tv/ArtisticTenuousCoffeeKAPOW-EM938bYJ2R6vJ3X3" TargetMode="External"/><Relationship Id="rId1735" Type="http://schemas.openxmlformats.org/officeDocument/2006/relationships/hyperlink" Target="https://youtu.be/1rr8frtKHu8" TargetMode="External"/><Relationship Id="rId1736" Type="http://schemas.openxmlformats.org/officeDocument/2006/relationships/hyperlink" Target="https://clips.twitch.tv/ArtisticTenuousCoffeeKAPOW-EM938bYJ2R6vJ3X3" TargetMode="External"/><Relationship Id="rId1737" Type="http://schemas.openxmlformats.org/officeDocument/2006/relationships/hyperlink" Target="https://youtu.be/bUDUMMtDllA" TargetMode="External"/><Relationship Id="rId1738" Type="http://schemas.openxmlformats.org/officeDocument/2006/relationships/hyperlink" Target="https://clips.twitch.tv/GoodAssiduousAlpacaSeemsGood-TGnbvZPx9mWxkLeW" TargetMode="External"/><Relationship Id="rId1739" Type="http://schemas.openxmlformats.org/officeDocument/2006/relationships/hyperlink" Target="https://clips.twitch.tv/GoodAssiduousAlpacaSeemsGood-TGnbvZPx9mWxkLeW" TargetMode="External"/><Relationship Id="rId1720" Type="http://schemas.openxmlformats.org/officeDocument/2006/relationships/hyperlink" Target="https://www.youtube.com/watch?v=-VCTQ99kxFM" TargetMode="External"/><Relationship Id="rId1721" Type="http://schemas.openxmlformats.org/officeDocument/2006/relationships/hyperlink" Target="https://www.youtube.com/watch?v=q8_1FvsuuYE" TargetMode="External"/><Relationship Id="rId1722" Type="http://schemas.openxmlformats.org/officeDocument/2006/relationships/hyperlink" Target="https://youtu.be/KyXyCDQolGI" TargetMode="External"/><Relationship Id="rId1723" Type="http://schemas.openxmlformats.org/officeDocument/2006/relationships/hyperlink" Target="https://youtu.be/B7EdTLDF-w8" TargetMode="External"/><Relationship Id="rId1724" Type="http://schemas.openxmlformats.org/officeDocument/2006/relationships/hyperlink" Target="https://youtu.be/D6ibcmQskoQ" TargetMode="External"/><Relationship Id="rId1725" Type="http://schemas.openxmlformats.org/officeDocument/2006/relationships/hyperlink" Target="https://www.youtube.com/watch?v=PyOjKtmMa0k" TargetMode="External"/><Relationship Id="rId1726" Type="http://schemas.openxmlformats.org/officeDocument/2006/relationships/hyperlink" Target="https://www.youtube.com/watch?v=q8_1FvsuuYE" TargetMode="External"/><Relationship Id="rId1727" Type="http://schemas.openxmlformats.org/officeDocument/2006/relationships/hyperlink" Target="https://www.twitch.tv/inkslop/clip/SpotlessYummyTrayANELE-C4dSpDfowShbFbqm" TargetMode="External"/><Relationship Id="rId1728" Type="http://schemas.openxmlformats.org/officeDocument/2006/relationships/hyperlink" Target="https://youtu.be/Cm4D0haH8L8" TargetMode="External"/><Relationship Id="rId1729" Type="http://schemas.openxmlformats.org/officeDocument/2006/relationships/hyperlink" Target="https://www.twitch.tv/inkslop/clip/SpotlessYummyTrayANELE-C4dSpDfowShbFbqm" TargetMode="External"/><Relationship Id="rId1759" Type="http://schemas.openxmlformats.org/officeDocument/2006/relationships/table" Target="../tables/table4.xml"/><Relationship Id="rId1741" Type="http://schemas.openxmlformats.org/officeDocument/2006/relationships/hyperlink" Target="https://youtu.be/LwzmBPAiIMk" TargetMode="External"/><Relationship Id="rId1742" Type="http://schemas.openxmlformats.org/officeDocument/2006/relationships/hyperlink" Target="https://clips.twitch.tv/ImpossibleProtectiveZucchiniTTours-xaEMi-6kkVi1P-4h" TargetMode="External"/><Relationship Id="rId1743" Type="http://schemas.openxmlformats.org/officeDocument/2006/relationships/hyperlink" Target="https://youtu.be/vLYGP3AR_5M" TargetMode="External"/><Relationship Id="rId1744" Type="http://schemas.openxmlformats.org/officeDocument/2006/relationships/hyperlink" Target="https://www.youtube.com/watch?v=cIP9ywhJs_M" TargetMode="External"/><Relationship Id="rId1745" Type="http://schemas.openxmlformats.org/officeDocument/2006/relationships/hyperlink" Target="https://youtu.be/3J55s_mLgKM" TargetMode="External"/><Relationship Id="rId1746" Type="http://schemas.openxmlformats.org/officeDocument/2006/relationships/hyperlink" Target="https://youtu.be/3J55s_mLgKM" TargetMode="External"/><Relationship Id="rId1747" Type="http://schemas.openxmlformats.org/officeDocument/2006/relationships/drawing" Target="../drawings/drawing3.xml"/><Relationship Id="rId1748" Type="http://schemas.openxmlformats.org/officeDocument/2006/relationships/vmlDrawing" Target="../drawings/vmlDrawing2.vml"/><Relationship Id="rId1740" Type="http://schemas.openxmlformats.org/officeDocument/2006/relationships/hyperlink" Target="https://clips.twitch.tv/ImpossibleProtectiveZucchiniTTours-xaEMi-6kkVi1P-4h" TargetMode="External"/><Relationship Id="rId1710" Type="http://schemas.openxmlformats.org/officeDocument/2006/relationships/hyperlink" Target="https://youtu.be/KWNTLN9BQZ8" TargetMode="External"/><Relationship Id="rId1711" Type="http://schemas.openxmlformats.org/officeDocument/2006/relationships/hyperlink" Target="https://www.youtube.com/watch?v=b5XLa5pW6mk" TargetMode="External"/><Relationship Id="rId1712" Type="http://schemas.openxmlformats.org/officeDocument/2006/relationships/hyperlink" Target="https://www.twitch.tv/warspyking/clip/ClumsyTubularCookieThunBeast-80Rz2XlR1horOklq" TargetMode="External"/><Relationship Id="rId1713" Type="http://schemas.openxmlformats.org/officeDocument/2006/relationships/hyperlink" Target="https://youtu.be/VFKg7Mj3_p4" TargetMode="External"/><Relationship Id="rId1714" Type="http://schemas.openxmlformats.org/officeDocument/2006/relationships/hyperlink" Target="https://www.twitch.tv/warspyking/clip/ClumsyTubularCookieThunBeast-80Rz2XlR1horOklq" TargetMode="External"/><Relationship Id="rId1715" Type="http://schemas.openxmlformats.org/officeDocument/2006/relationships/hyperlink" Target="https://www.twitch.tv/inkstar/clip/GiantMagnificentOilWOOP-CzJ_OB2Iw5bm4pZP" TargetMode="External"/><Relationship Id="rId1716" Type="http://schemas.openxmlformats.org/officeDocument/2006/relationships/hyperlink" Target="https://youtu.be/KX40sqTSipY" TargetMode="External"/><Relationship Id="rId1717" Type="http://schemas.openxmlformats.org/officeDocument/2006/relationships/hyperlink" Target="https://www.twitch.tv/inkstar/clip/GiantMagnificentOilWOOP-CzJ_OB2Iw5bm4pZP" TargetMode="External"/><Relationship Id="rId1718" Type="http://schemas.openxmlformats.org/officeDocument/2006/relationships/hyperlink" Target="https://youtu.be/uI-xscpEras" TargetMode="External"/><Relationship Id="rId1719" Type="http://schemas.openxmlformats.org/officeDocument/2006/relationships/hyperlink" Target="https://www.twitch.tv/aether10n/clip/GenerousArborealAlfalfaRuleFive-g-VLsgFoEgc3uepv" TargetMode="External"/><Relationship Id="rId1700" Type="http://schemas.openxmlformats.org/officeDocument/2006/relationships/hyperlink" Target="https://youtu.be/Y8o-2qmr_7U" TargetMode="External"/><Relationship Id="rId1701" Type="http://schemas.openxmlformats.org/officeDocument/2006/relationships/hyperlink" Target="https://www.youtube.com/watch?v=3gqu-DOJrGg&amp;t=2032s" TargetMode="External"/><Relationship Id="rId1702" Type="http://schemas.openxmlformats.org/officeDocument/2006/relationships/hyperlink" Target="https://www.youtube.com/watch?v=3gqu-DOJrGg&amp;t=2032s" TargetMode="External"/><Relationship Id="rId1703" Type="http://schemas.openxmlformats.org/officeDocument/2006/relationships/hyperlink" Target="https://www.twitch.tv/inkstar/clip/EvilArborealCaribouDxAbomb--J5cRsR-lB1wZytf" TargetMode="External"/><Relationship Id="rId1704" Type="http://schemas.openxmlformats.org/officeDocument/2006/relationships/hyperlink" Target="https://youtu.be/zgcYwcr1fJc" TargetMode="External"/><Relationship Id="rId1705" Type="http://schemas.openxmlformats.org/officeDocument/2006/relationships/hyperlink" Target="https://www.twitch.tv/inkstar/clip/EvilArborealCaribouDxAbomb--J5cRsR-lB1wZytf" TargetMode="External"/><Relationship Id="rId1706" Type="http://schemas.openxmlformats.org/officeDocument/2006/relationships/hyperlink" Target="https://youtu.be/kHU3tgqVirw" TargetMode="External"/><Relationship Id="rId1707" Type="http://schemas.openxmlformats.org/officeDocument/2006/relationships/hyperlink" Target="https://youtu.be/kHU3tgqVirw" TargetMode="External"/><Relationship Id="rId1708" Type="http://schemas.openxmlformats.org/officeDocument/2006/relationships/hyperlink" Target="https://www.twitch.tv/warspyking/clip/FuriousTallMouseWoofer--MIhtu8T8HnCKxHM" TargetMode="External"/><Relationship Id="rId1709" Type="http://schemas.openxmlformats.org/officeDocument/2006/relationships/hyperlink" Target="https://youtu.be/vBxvh2XXMoQ" TargetMode="External"/><Relationship Id="rId40" Type="http://schemas.openxmlformats.org/officeDocument/2006/relationships/hyperlink" Target="https://www.twitch.tv/psionick_/clip/PunchySecretiveCiderSuperVinlin-OdOLBql3mqHmaGOe" TargetMode="External"/><Relationship Id="rId42" Type="http://schemas.openxmlformats.org/officeDocument/2006/relationships/hyperlink" Target="https://www.youtube.com/watch?v=vc_WQwhdBv0" TargetMode="External"/><Relationship Id="rId41" Type="http://schemas.openxmlformats.org/officeDocument/2006/relationships/hyperlink" Target="https://youtu.be/yCW3whyj-5w" TargetMode="External"/><Relationship Id="rId44" Type="http://schemas.openxmlformats.org/officeDocument/2006/relationships/hyperlink" Target="https://www.twitch.tv/aether10n/clip/BombasticFantasticPhonePrimeMe-Hzs2FpcbYz-mSEoj" TargetMode="External"/><Relationship Id="rId43" Type="http://schemas.openxmlformats.org/officeDocument/2006/relationships/hyperlink" Target="https://youtu.be/X4ABX6vGW8Q" TargetMode="External"/><Relationship Id="rId46" Type="http://schemas.openxmlformats.org/officeDocument/2006/relationships/hyperlink" Target="https://www.youtube.com/watch?v=vc_WQwhdBv0" TargetMode="External"/><Relationship Id="rId45" Type="http://schemas.openxmlformats.org/officeDocument/2006/relationships/hyperlink" Target="https://youtu.be/84gFIIZ5NKE" TargetMode="External"/><Relationship Id="rId48" Type="http://schemas.openxmlformats.org/officeDocument/2006/relationships/hyperlink" Target="https://twitter.com/siemke01/status/1419378976947048448" TargetMode="External"/><Relationship Id="rId47" Type="http://schemas.openxmlformats.org/officeDocument/2006/relationships/hyperlink" Target="https://www.youtube.com/watch?v=VF8N6dxDcoM" TargetMode="External"/><Relationship Id="rId49" Type="http://schemas.openxmlformats.org/officeDocument/2006/relationships/hyperlink" Target="https://youtu.be/73Lk2Hbbt8Q" TargetMode="External"/><Relationship Id="rId31" Type="http://schemas.openxmlformats.org/officeDocument/2006/relationships/hyperlink" Target="https://youtu.be/9eAMTFIRCHk" TargetMode="External"/><Relationship Id="rId30" Type="http://schemas.openxmlformats.org/officeDocument/2006/relationships/hyperlink" Target="https://www.twitch.tv/aether10n/clip/WonderfulBovineOstrichGOWSkull-dYMR64O2JicMel6W" TargetMode="External"/><Relationship Id="rId33" Type="http://schemas.openxmlformats.org/officeDocument/2006/relationships/hyperlink" Target="https://youtu.be/nIYwea9VQV0" TargetMode="External"/><Relationship Id="rId32" Type="http://schemas.openxmlformats.org/officeDocument/2006/relationships/hyperlink" Target="https://www.twitch.tv/inkstaralt/clip/ExuberantJazzyPlumberPoooound-8uvELn7lGHahLtB-" TargetMode="External"/><Relationship Id="rId35" Type="http://schemas.openxmlformats.org/officeDocument/2006/relationships/hyperlink" Target="https://www.twitch.tv/inkstaralt/clip/ExuberantJazzyPlumberPoooound-8uvELn7lGHahLtB-" TargetMode="External"/><Relationship Id="rId34" Type="http://schemas.openxmlformats.org/officeDocument/2006/relationships/hyperlink" Target="https://youtu.be/5jSY6sOGNEA" TargetMode="External"/><Relationship Id="rId37" Type="http://schemas.openxmlformats.org/officeDocument/2006/relationships/hyperlink" Target="https://www.youtube.com/watch?v=KiJT3-Nzom4" TargetMode="External"/><Relationship Id="rId36" Type="http://schemas.openxmlformats.org/officeDocument/2006/relationships/hyperlink" Target="https://www.twitch.tv/aether10n/clip/GentleMotionlessArugulaBlargNaut-rLd-GKveNUMsg125" TargetMode="External"/><Relationship Id="rId39" Type="http://schemas.openxmlformats.org/officeDocument/2006/relationships/hyperlink" Target="https://www.youtube.com/watch?v=fAvSKMg2ZHc" TargetMode="External"/><Relationship Id="rId38" Type="http://schemas.openxmlformats.org/officeDocument/2006/relationships/hyperlink" Target="https://www.youtube.com/watch?v=979kPisaznQ" TargetMode="External"/><Relationship Id="rId20" Type="http://schemas.openxmlformats.org/officeDocument/2006/relationships/hyperlink" Target="https://youtu.be/LZw4JeufRCg" TargetMode="External"/><Relationship Id="rId22" Type="http://schemas.openxmlformats.org/officeDocument/2006/relationships/hyperlink" Target="https://youtu.be/2BymxhYd6-Y" TargetMode="External"/><Relationship Id="rId21" Type="http://schemas.openxmlformats.org/officeDocument/2006/relationships/hyperlink" Target="https://youtu.be/cllk37Nar0g" TargetMode="External"/><Relationship Id="rId24" Type="http://schemas.openxmlformats.org/officeDocument/2006/relationships/hyperlink" Target="https://www.twitch.tv/videos/1845928120" TargetMode="External"/><Relationship Id="rId23" Type="http://schemas.openxmlformats.org/officeDocument/2006/relationships/hyperlink" Target="https://youtu.be/LZw4JeufRCg" TargetMode="External"/><Relationship Id="rId26" Type="http://schemas.openxmlformats.org/officeDocument/2006/relationships/hyperlink" Target="https://www.youtube.com/watch?v=Pr5wztlhHVs" TargetMode="External"/><Relationship Id="rId25" Type="http://schemas.openxmlformats.org/officeDocument/2006/relationships/hyperlink" Target="https://youtu.be/uauwVLCDgKQ" TargetMode="External"/><Relationship Id="rId28" Type="http://schemas.openxmlformats.org/officeDocument/2006/relationships/hyperlink" Target="https://youtu.be/D-aU85AxA9w" TargetMode="External"/><Relationship Id="rId27" Type="http://schemas.openxmlformats.org/officeDocument/2006/relationships/hyperlink" Target="https://www.youtube.com/watch?v=gVjqnuiRQFw" TargetMode="External"/><Relationship Id="rId29" Type="http://schemas.openxmlformats.org/officeDocument/2006/relationships/hyperlink" Target="https://youtu.be/9eAMTFIRCHk" TargetMode="External"/><Relationship Id="rId11" Type="http://schemas.openxmlformats.org/officeDocument/2006/relationships/hyperlink" Target="https://www.youtube.com/watch?v=77olFcJThrs" TargetMode="External"/><Relationship Id="rId10" Type="http://schemas.openxmlformats.org/officeDocument/2006/relationships/hyperlink" Target="https://twitter.com/Qbe_Root/status/1339352203979612161" TargetMode="External"/><Relationship Id="rId13" Type="http://schemas.openxmlformats.org/officeDocument/2006/relationships/hyperlink" Target="https://youtu.be/8XohI1Bk9Xs" TargetMode="External"/><Relationship Id="rId12" Type="http://schemas.openxmlformats.org/officeDocument/2006/relationships/hyperlink" Target="https://youtu.be/D_f3Jal19zc" TargetMode="External"/><Relationship Id="rId15" Type="http://schemas.openxmlformats.org/officeDocument/2006/relationships/hyperlink" Target="https://www.youtube.com/watch?v=77olFcJThrs" TargetMode="External"/><Relationship Id="rId14" Type="http://schemas.openxmlformats.org/officeDocument/2006/relationships/hyperlink" Target="https://www.twitch.tv/aether10n/clip/ConsiderateTallEyeballM4xHeh-EqWo8GHs_ALElel_" TargetMode="External"/><Relationship Id="rId17" Type="http://schemas.openxmlformats.org/officeDocument/2006/relationships/hyperlink" Target="https://www.twitch.tv/videos/1593075195" TargetMode="External"/><Relationship Id="rId16" Type="http://schemas.openxmlformats.org/officeDocument/2006/relationships/hyperlink" Target="https://twitter.com/Qbe_Root/status/1340076811242364931" TargetMode="External"/><Relationship Id="rId19" Type="http://schemas.openxmlformats.org/officeDocument/2006/relationships/hyperlink" Target="https://youtu.be/FukI8o69p34" TargetMode="External"/><Relationship Id="rId18" Type="http://schemas.openxmlformats.org/officeDocument/2006/relationships/hyperlink" Target="https://www.twitch.tv/videos/1251823426" TargetMode="External"/><Relationship Id="rId84" Type="http://schemas.openxmlformats.org/officeDocument/2006/relationships/hyperlink" Target="https://www.youtube.com/watch?v=U0i6C8VO50k" TargetMode="External"/><Relationship Id="rId83" Type="http://schemas.openxmlformats.org/officeDocument/2006/relationships/hyperlink" Target="https://youtu.be/bPBANR4C3Zk" TargetMode="External"/><Relationship Id="rId86" Type="http://schemas.openxmlformats.org/officeDocument/2006/relationships/hyperlink" Target="https://www.youtube.com/watch?v=SNlH6PIOGPU" TargetMode="External"/><Relationship Id="rId85" Type="http://schemas.openxmlformats.org/officeDocument/2006/relationships/hyperlink" Target="https://youtu.be/p8CIPMYGbhs?si=m5TpBPJBAtjjdFk7" TargetMode="External"/><Relationship Id="rId88" Type="http://schemas.openxmlformats.org/officeDocument/2006/relationships/hyperlink" Target="https://youtu.be/IM1FPrZqrxA" TargetMode="External"/><Relationship Id="rId87" Type="http://schemas.openxmlformats.org/officeDocument/2006/relationships/hyperlink" Target="https://clips.twitch.tv/InterestingAssiduousCarabeefJebaited-J9_FXiDU7QodAkji" TargetMode="External"/><Relationship Id="rId89" Type="http://schemas.openxmlformats.org/officeDocument/2006/relationships/hyperlink" Target="https://youtu.be/DRnhoenosf4" TargetMode="External"/><Relationship Id="rId80" Type="http://schemas.openxmlformats.org/officeDocument/2006/relationships/hyperlink" Target="https://clips.twitch.tv/LaconicOutstandingOwlPhilosoraptor-WAyzU_EViA6RhWOI" TargetMode="External"/><Relationship Id="rId82" Type="http://schemas.openxmlformats.org/officeDocument/2006/relationships/hyperlink" Target="https://www.youtube.com/watch?v=U0i6C8VO50k" TargetMode="External"/><Relationship Id="rId81" Type="http://schemas.openxmlformats.org/officeDocument/2006/relationships/hyperlink" Target="https://youtu.be/hOHr0r6me4E" TargetMode="External"/><Relationship Id="rId73" Type="http://schemas.openxmlformats.org/officeDocument/2006/relationships/hyperlink" Target="https://www.twitch.tv/videos/2308073993" TargetMode="External"/><Relationship Id="rId1763" Type="http://schemas.openxmlformats.org/officeDocument/2006/relationships/table" Target="../tables/table8.xml"/><Relationship Id="rId72" Type="http://schemas.openxmlformats.org/officeDocument/2006/relationships/hyperlink" Target="https://youtu.be/VJ2Syy1Rs4U" TargetMode="External"/><Relationship Id="rId1764" Type="http://schemas.openxmlformats.org/officeDocument/2006/relationships/table" Target="../tables/table9.xml"/><Relationship Id="rId75" Type="http://schemas.openxmlformats.org/officeDocument/2006/relationships/hyperlink" Target="https://clips.twitch.tv/ConfidentLazyPeafowlPupper-Gi7fipLQhMSEdcWT" TargetMode="External"/><Relationship Id="rId1765" Type="http://schemas.openxmlformats.org/officeDocument/2006/relationships/table" Target="../tables/table10.xml"/><Relationship Id="rId74" Type="http://schemas.openxmlformats.org/officeDocument/2006/relationships/hyperlink" Target="https://youtu.be/Pl_BW2NZnl8" TargetMode="External"/><Relationship Id="rId1766" Type="http://schemas.openxmlformats.org/officeDocument/2006/relationships/table" Target="../tables/table11.xml"/><Relationship Id="rId77" Type="http://schemas.openxmlformats.org/officeDocument/2006/relationships/hyperlink" Target="https://www.youtube.com/watch?v=tkQbymSQ2xo" TargetMode="External"/><Relationship Id="rId1767" Type="http://schemas.openxmlformats.org/officeDocument/2006/relationships/table" Target="../tables/table12.xml"/><Relationship Id="rId76" Type="http://schemas.openxmlformats.org/officeDocument/2006/relationships/hyperlink" Target="https://www.twitch.tv/aether10n/clip/SpicyAgreeableSnoodTriHard-8MTT269q1GrECWf7" TargetMode="External"/><Relationship Id="rId1768" Type="http://schemas.openxmlformats.org/officeDocument/2006/relationships/table" Target="../tables/table13.xml"/><Relationship Id="rId79" Type="http://schemas.openxmlformats.org/officeDocument/2006/relationships/hyperlink" Target="https://twitter.com/Qbe_Root/status/1346163615884337153" TargetMode="External"/><Relationship Id="rId78" Type="http://schemas.openxmlformats.org/officeDocument/2006/relationships/hyperlink" Target="https://youtu.be/1ke6t7nhPGI" TargetMode="External"/><Relationship Id="rId71" Type="http://schemas.openxmlformats.org/officeDocument/2006/relationships/hyperlink" Target="https://youtu.be/tPMViYriHd0" TargetMode="External"/><Relationship Id="rId70" Type="http://schemas.openxmlformats.org/officeDocument/2006/relationships/hyperlink" Target="https://youtu.be/b09edm_A4cI" TargetMode="External"/><Relationship Id="rId1760" Type="http://schemas.openxmlformats.org/officeDocument/2006/relationships/table" Target="../tables/table5.xml"/><Relationship Id="rId1761" Type="http://schemas.openxmlformats.org/officeDocument/2006/relationships/table" Target="../tables/table6.xml"/><Relationship Id="rId1762" Type="http://schemas.openxmlformats.org/officeDocument/2006/relationships/table" Target="../tables/table7.xml"/><Relationship Id="rId62" Type="http://schemas.openxmlformats.org/officeDocument/2006/relationships/hyperlink" Target="https://www.youtube.com/watch?v=yr1XNlG6O-Q&amp;ab_channel=SMSArchives" TargetMode="External"/><Relationship Id="rId61" Type="http://schemas.openxmlformats.org/officeDocument/2006/relationships/hyperlink" Target="https://youtu.be/gG07ARXwEIs" TargetMode="External"/><Relationship Id="rId64" Type="http://schemas.openxmlformats.org/officeDocument/2006/relationships/hyperlink" Target="https://clips.twitch.tv/BigAdorableMagpieGrammarKing-70K3qDrbZxZ8n1Lv" TargetMode="External"/><Relationship Id="rId63" Type="http://schemas.openxmlformats.org/officeDocument/2006/relationships/hyperlink" Target="https://www.twitch.tv/videos/849430099" TargetMode="External"/><Relationship Id="rId66" Type="http://schemas.openxmlformats.org/officeDocument/2006/relationships/hyperlink" Target="https://youtu.be/MT9EJFRcn0I" TargetMode="External"/><Relationship Id="rId65" Type="http://schemas.openxmlformats.org/officeDocument/2006/relationships/hyperlink" Target="https://www.twitch.tv/aether10n/clip/WonderfulDeliciousNoodleMrDestructoid-SEviyzHos4wlxG5o" TargetMode="External"/><Relationship Id="rId68" Type="http://schemas.openxmlformats.org/officeDocument/2006/relationships/hyperlink" Target="https://www.twitch.tv/videos/1596378402" TargetMode="External"/><Relationship Id="rId67" Type="http://schemas.openxmlformats.org/officeDocument/2006/relationships/hyperlink" Target="https://twitter.com/Qbe_Root/status/1343632344905822208" TargetMode="External"/><Relationship Id="rId60" Type="http://schemas.openxmlformats.org/officeDocument/2006/relationships/hyperlink" Target="https://youtu.be/gG07ARXwEIs" TargetMode="External"/><Relationship Id="rId69" Type="http://schemas.openxmlformats.org/officeDocument/2006/relationships/hyperlink" Target="https://www.twitch.tv/videos/2308073993" TargetMode="External"/><Relationship Id="rId51" Type="http://schemas.openxmlformats.org/officeDocument/2006/relationships/hyperlink" Target="https://youtu.be/73Lk2Hbbt8Q" TargetMode="External"/><Relationship Id="rId50" Type="http://schemas.openxmlformats.org/officeDocument/2006/relationships/hyperlink" Target="https://www.twitch.tv/aether10n/clip/RefinedVastEchidnaNerfRedBlaster-b2ryg0BF-nelx721" TargetMode="External"/><Relationship Id="rId53" Type="http://schemas.openxmlformats.org/officeDocument/2006/relationships/hyperlink" Target="https://youtu.be/YQOIqUUSQK0" TargetMode="External"/><Relationship Id="rId52" Type="http://schemas.openxmlformats.org/officeDocument/2006/relationships/hyperlink" Target="https://www.youtube.com/watch?v=hB0ELU0J3_A" TargetMode="External"/><Relationship Id="rId55" Type="http://schemas.openxmlformats.org/officeDocument/2006/relationships/hyperlink" Target="https://youtu.be/uauwVLCDgKQ" TargetMode="External"/><Relationship Id="rId54" Type="http://schemas.openxmlformats.org/officeDocument/2006/relationships/hyperlink" Target="https://youtu.be/LZw4JeufRCg" TargetMode="External"/><Relationship Id="rId57" Type="http://schemas.openxmlformats.org/officeDocument/2006/relationships/hyperlink" Target="https://www.youtube.com/watch?v=hB0ELU0J3_A" TargetMode="External"/><Relationship Id="rId56" Type="http://schemas.openxmlformats.org/officeDocument/2006/relationships/hyperlink" Target="https://www.twitch.tv/aether10n/clip/SteamyCrepuscularDumplingsOSkomodo-LfM-w_FvWBUR6TYI" TargetMode="External"/><Relationship Id="rId59" Type="http://schemas.openxmlformats.org/officeDocument/2006/relationships/hyperlink" Target="https://www.youtube.com/watch?v=EX4FFLoRWlU" TargetMode="External"/><Relationship Id="rId58" Type="http://schemas.openxmlformats.org/officeDocument/2006/relationships/hyperlink" Target="https://www.youtube.com/watch?v=8HgdgvFMnhQ" TargetMode="External"/><Relationship Id="rId349" Type="http://schemas.openxmlformats.org/officeDocument/2006/relationships/hyperlink" Target="https://youtu.be/5i283A7Q5po" TargetMode="External"/><Relationship Id="rId348" Type="http://schemas.openxmlformats.org/officeDocument/2006/relationships/hyperlink" Target="https://youtu.be/em68h3GaSpM" TargetMode="External"/><Relationship Id="rId347" Type="http://schemas.openxmlformats.org/officeDocument/2006/relationships/hyperlink" Target="https://youtu.be/vibJzpJuL7A" TargetMode="External"/><Relationship Id="rId346" Type="http://schemas.openxmlformats.org/officeDocument/2006/relationships/hyperlink" Target="https://youtu.be/nUU7_1auW2s" TargetMode="External"/><Relationship Id="rId341" Type="http://schemas.openxmlformats.org/officeDocument/2006/relationships/hyperlink" Target="https://youtu.be/jQnBpg4roIs?t=7" TargetMode="External"/><Relationship Id="rId340" Type="http://schemas.openxmlformats.org/officeDocument/2006/relationships/hyperlink" Target="https://youtu.be/inkqpHSY2JE?t=7" TargetMode="External"/><Relationship Id="rId345" Type="http://schemas.openxmlformats.org/officeDocument/2006/relationships/hyperlink" Target="https://www.youtube.com/watch?v=-q789BJOZcg" TargetMode="External"/><Relationship Id="rId344" Type="http://schemas.openxmlformats.org/officeDocument/2006/relationships/hyperlink" Target="https://clips.twitch.tv/AggressiveNimbleElephantAsianGlow-1S4QiEIxfh8TCJf0" TargetMode="External"/><Relationship Id="rId343" Type="http://schemas.openxmlformats.org/officeDocument/2006/relationships/hyperlink" Target="https://youtu.be/Z7L7WO6qGeo?t=6" TargetMode="External"/><Relationship Id="rId342" Type="http://schemas.openxmlformats.org/officeDocument/2006/relationships/hyperlink" Target="https://youtu.be/J36MrqU7iUo" TargetMode="External"/><Relationship Id="rId338" Type="http://schemas.openxmlformats.org/officeDocument/2006/relationships/hyperlink" Target="https://youtu.be/LXClbNqqj2A" TargetMode="External"/><Relationship Id="rId337" Type="http://schemas.openxmlformats.org/officeDocument/2006/relationships/hyperlink" Target="https://youtu.be/dMdy2STqilE" TargetMode="External"/><Relationship Id="rId336" Type="http://schemas.openxmlformats.org/officeDocument/2006/relationships/hyperlink" Target="https://youtu.be/vCVshApiYFQ" TargetMode="External"/><Relationship Id="rId335" Type="http://schemas.openxmlformats.org/officeDocument/2006/relationships/hyperlink" Target="https://youtu.be/L-ftLnK4xHk" TargetMode="External"/><Relationship Id="rId339" Type="http://schemas.openxmlformats.org/officeDocument/2006/relationships/hyperlink" Target="https://youtu.be/LXClbNqqj2A" TargetMode="External"/><Relationship Id="rId330" Type="http://schemas.openxmlformats.org/officeDocument/2006/relationships/hyperlink" Target="https://youtu.be/jtzmpiHfFZo" TargetMode="External"/><Relationship Id="rId334" Type="http://schemas.openxmlformats.org/officeDocument/2006/relationships/hyperlink" Target="https://youtu.be/V6gNDjItdW8" TargetMode="External"/><Relationship Id="rId333" Type="http://schemas.openxmlformats.org/officeDocument/2006/relationships/hyperlink" Target="https://youtu.be/fPeAZqiDa0o" TargetMode="External"/><Relationship Id="rId332" Type="http://schemas.openxmlformats.org/officeDocument/2006/relationships/hyperlink" Target="https://youtu.be/Tdqyv405-fM" TargetMode="External"/><Relationship Id="rId331" Type="http://schemas.openxmlformats.org/officeDocument/2006/relationships/hyperlink" Target="https://youtu.be/Tdqyv405-fM" TargetMode="External"/><Relationship Id="rId370" Type="http://schemas.openxmlformats.org/officeDocument/2006/relationships/hyperlink" Target="https://youtu.be/i8GWVtaRy84" TargetMode="External"/><Relationship Id="rId369" Type="http://schemas.openxmlformats.org/officeDocument/2006/relationships/hyperlink" Target="https://www.twitch.tv/aether10n/clip/CarefulDreamyHerdRalpherZ-S8-sRPHBO3UN4C7r" TargetMode="External"/><Relationship Id="rId368" Type="http://schemas.openxmlformats.org/officeDocument/2006/relationships/hyperlink" Target="https://x.com/NoVidNoDidNoVid/status/1788099391238307992" TargetMode="External"/><Relationship Id="rId363" Type="http://schemas.openxmlformats.org/officeDocument/2006/relationships/hyperlink" Target="https://youtu.be/jBBF8gQYcc0" TargetMode="External"/><Relationship Id="rId362" Type="http://schemas.openxmlformats.org/officeDocument/2006/relationships/hyperlink" Target="https://www.youtube.com/watch?v=MQMqDw7gkNM" TargetMode="External"/><Relationship Id="rId361" Type="http://schemas.openxmlformats.org/officeDocument/2006/relationships/hyperlink" Target="https://www.twitch.tv/aether10n/clip/OutstandingSavageBadgerDancingBanana-x7p41b0mEAhuZJvY" TargetMode="External"/><Relationship Id="rId360" Type="http://schemas.openxmlformats.org/officeDocument/2006/relationships/hyperlink" Target="https://www.twitch.tv/inkstar/clip/ShakingGiantTurnipWOOP-m-n3MKJ0ozzeA2SF" TargetMode="External"/><Relationship Id="rId367" Type="http://schemas.openxmlformats.org/officeDocument/2006/relationships/hyperlink" Target="https://x.com/NoVidNoDidNoVid/status/1788099391238307992" TargetMode="External"/><Relationship Id="rId366" Type="http://schemas.openxmlformats.org/officeDocument/2006/relationships/hyperlink" Target="https://www.youtube.com/watch?v=ladg-n5rE3c" TargetMode="External"/><Relationship Id="rId365" Type="http://schemas.openxmlformats.org/officeDocument/2006/relationships/hyperlink" Target="https://www.twitch.tv/aether10n/clip/SincereDrabPterodactylPupper-SY_yQUkioPZ9RZy8" TargetMode="External"/><Relationship Id="rId364" Type="http://schemas.openxmlformats.org/officeDocument/2006/relationships/hyperlink" Target="https://youtu.be/jBBF8gQYcc0" TargetMode="External"/><Relationship Id="rId95" Type="http://schemas.openxmlformats.org/officeDocument/2006/relationships/hyperlink" Target="https://youtu.be/QbtGza0169Y" TargetMode="External"/><Relationship Id="rId94" Type="http://schemas.openxmlformats.org/officeDocument/2006/relationships/hyperlink" Target="https://www.twitch.tv/videos/893601826" TargetMode="External"/><Relationship Id="rId97" Type="http://schemas.openxmlformats.org/officeDocument/2006/relationships/hyperlink" Target="https://www.twitch.tv/aether10n/clip/GeniusPrettyGoshawkJonCarnage-ps9Kky8gvvqldHQ4" TargetMode="External"/><Relationship Id="rId96" Type="http://schemas.openxmlformats.org/officeDocument/2006/relationships/hyperlink" Target="https://clips.twitch.tv/WiseNastyDumplingsSMOrc-VM5ip6rrVmTBfuoQ" TargetMode="External"/><Relationship Id="rId99" Type="http://schemas.openxmlformats.org/officeDocument/2006/relationships/hyperlink" Target="https://youtu.be/y4KBHA9gtvM" TargetMode="External"/><Relationship Id="rId98" Type="http://schemas.openxmlformats.org/officeDocument/2006/relationships/hyperlink" Target="https://youtu.be/Qbx0Wo9ZKPE" TargetMode="External"/><Relationship Id="rId91" Type="http://schemas.openxmlformats.org/officeDocument/2006/relationships/hyperlink" Target="https://youtu.be/D8Qfh_vGPvo" TargetMode="External"/><Relationship Id="rId90" Type="http://schemas.openxmlformats.org/officeDocument/2006/relationships/hyperlink" Target="https://clips.twitch.tv/ColorfulSilkyClipzPraiseIt" TargetMode="External"/><Relationship Id="rId93" Type="http://schemas.openxmlformats.org/officeDocument/2006/relationships/hyperlink" Target="https://www.youtube.com/watch?v=LYRcn1yGfyk&amp;feature=youtu.be&amp;ab_channel=SMSArchives" TargetMode="External"/><Relationship Id="rId92" Type="http://schemas.openxmlformats.org/officeDocument/2006/relationships/hyperlink" Target="https://youtu.be/CBKn7DXTJGo" TargetMode="External"/><Relationship Id="rId359" Type="http://schemas.openxmlformats.org/officeDocument/2006/relationships/hyperlink" Target="https://youtu.be/5b41TX1ejM0" TargetMode="External"/><Relationship Id="rId358" Type="http://schemas.openxmlformats.org/officeDocument/2006/relationships/hyperlink" Target="https://www.twitch.tv/inkstar/clip/ShakingGiantTurnipWOOP-m-n3MKJ0ozzeA2SF" TargetMode="External"/><Relationship Id="rId357" Type="http://schemas.openxmlformats.org/officeDocument/2006/relationships/hyperlink" Target="https://www.twitch.tv/stranded_64/clip/LovelyWildKangarooAMPTropPunch-lFV06YEP6IgDu8y3?filter=clips&amp;range=all" TargetMode="External"/><Relationship Id="rId352" Type="http://schemas.openxmlformats.org/officeDocument/2006/relationships/hyperlink" Target="https://www.youtube.com/watch?v=-q789BJOZcg" TargetMode="External"/><Relationship Id="rId351" Type="http://schemas.openxmlformats.org/officeDocument/2006/relationships/hyperlink" Target="https://youtu.be/3m1qFSqnLnk" TargetMode="External"/><Relationship Id="rId350" Type="http://schemas.openxmlformats.org/officeDocument/2006/relationships/hyperlink" Target="https://clips.twitch.tv/CarelessAgitatedAubergineBCWarrior-F_rqdwS7YK3Q0oiM" TargetMode="External"/><Relationship Id="rId356" Type="http://schemas.openxmlformats.org/officeDocument/2006/relationships/hyperlink" Target="https://www.twitch.tv/aether10n/clip/OpenBoldHamburgerPRChase-xKYttVndhSJCDXfY" TargetMode="External"/><Relationship Id="rId355" Type="http://schemas.openxmlformats.org/officeDocument/2006/relationships/hyperlink" Target="https://youtu.be/KEgNPDlsdlo" TargetMode="External"/><Relationship Id="rId354" Type="http://schemas.openxmlformats.org/officeDocument/2006/relationships/hyperlink" Target="https://youtu.be/BaGDNLVT0XU" TargetMode="External"/><Relationship Id="rId353" Type="http://schemas.openxmlformats.org/officeDocument/2006/relationships/hyperlink" Target="https://youtu.be/KEgNPDlsdlo" TargetMode="External"/><Relationship Id="rId305" Type="http://schemas.openxmlformats.org/officeDocument/2006/relationships/hyperlink" Target="https://www.youtube.com/watch?v=91ZBIHTzROE" TargetMode="External"/><Relationship Id="rId304" Type="http://schemas.openxmlformats.org/officeDocument/2006/relationships/hyperlink" Target="https://youtu.be/dTodHeBckjE" TargetMode="External"/><Relationship Id="rId303" Type="http://schemas.openxmlformats.org/officeDocument/2006/relationships/hyperlink" Target="https://www.youtube.com/watch?v=91ZBIHTzROE" TargetMode="External"/><Relationship Id="rId302" Type="http://schemas.openxmlformats.org/officeDocument/2006/relationships/hyperlink" Target="https://www.youtube.com/watch?v=EEheoFLHJZ0" TargetMode="External"/><Relationship Id="rId309" Type="http://schemas.openxmlformats.org/officeDocument/2006/relationships/hyperlink" Target="https://youtu.be/w1hWs74EQXY" TargetMode="External"/><Relationship Id="rId308" Type="http://schemas.openxmlformats.org/officeDocument/2006/relationships/hyperlink" Target="https://youtu.be/91ZBIHTzROE?si=xmGwOkezkedZ2PQB" TargetMode="External"/><Relationship Id="rId307" Type="http://schemas.openxmlformats.org/officeDocument/2006/relationships/hyperlink" Target="https://www.youtube.com/watch?v=zHRMlAFFKEU" TargetMode="External"/><Relationship Id="rId306" Type="http://schemas.openxmlformats.org/officeDocument/2006/relationships/hyperlink" Target="https://www.youtube.com/watch?v=zHRMlAFFKEU" TargetMode="External"/><Relationship Id="rId301" Type="http://schemas.openxmlformats.org/officeDocument/2006/relationships/hyperlink" Target="https://www.youtube.com/watch?v=mg6WwwCOKr4&amp;feature=youtu.be&amp;ab_channel=SMSArchives" TargetMode="External"/><Relationship Id="rId300" Type="http://schemas.openxmlformats.org/officeDocument/2006/relationships/hyperlink" Target="https://youtu.be/m0whgLJ2zkU" TargetMode="External"/><Relationship Id="rId327" Type="http://schemas.openxmlformats.org/officeDocument/2006/relationships/hyperlink" Target="https://www.youtube.com/watch?v=e6jf1Yz4Voc" TargetMode="External"/><Relationship Id="rId326" Type="http://schemas.openxmlformats.org/officeDocument/2006/relationships/hyperlink" Target="https://youtu.be/PklLHiKZWIk" TargetMode="External"/><Relationship Id="rId325" Type="http://schemas.openxmlformats.org/officeDocument/2006/relationships/hyperlink" Target="https://youtu.be/fm7hC-C5Dtg" TargetMode="External"/><Relationship Id="rId324" Type="http://schemas.openxmlformats.org/officeDocument/2006/relationships/hyperlink" Target="https://youtu.be/YQJv_9wRAtE" TargetMode="External"/><Relationship Id="rId329" Type="http://schemas.openxmlformats.org/officeDocument/2006/relationships/hyperlink" Target="https://youtu.be/EqzWlXBxVgI" TargetMode="External"/><Relationship Id="rId328" Type="http://schemas.openxmlformats.org/officeDocument/2006/relationships/hyperlink" Target="https://youtu.be/EqzWlXBxVgI" TargetMode="External"/><Relationship Id="rId323" Type="http://schemas.openxmlformats.org/officeDocument/2006/relationships/hyperlink" Target="https://www.twitch.tv/aether10n/clip/LitigiousEphemeralHareLitFam-zAgw086MdQKURtEc" TargetMode="External"/><Relationship Id="rId322" Type="http://schemas.openxmlformats.org/officeDocument/2006/relationships/hyperlink" Target="https://youtu.be/GYtfWsFquKo?si=PQszZgLBE1X7sGQq" TargetMode="External"/><Relationship Id="rId321" Type="http://schemas.openxmlformats.org/officeDocument/2006/relationships/hyperlink" Target="https://youtu.be/joyIBylYdxI" TargetMode="External"/><Relationship Id="rId320" Type="http://schemas.openxmlformats.org/officeDocument/2006/relationships/hyperlink" Target="https://www.twitch.tv/videos/856683768" TargetMode="External"/><Relationship Id="rId316" Type="http://schemas.openxmlformats.org/officeDocument/2006/relationships/hyperlink" Target="https://youtu.be/z91wsnK53qc" TargetMode="External"/><Relationship Id="rId315" Type="http://schemas.openxmlformats.org/officeDocument/2006/relationships/hyperlink" Target="https://youtu.be/SuwnsFeiJvE" TargetMode="External"/><Relationship Id="rId314" Type="http://schemas.openxmlformats.org/officeDocument/2006/relationships/hyperlink" Target="https://youtu.be/1decqV2G2Xg" TargetMode="External"/><Relationship Id="rId313" Type="http://schemas.openxmlformats.org/officeDocument/2006/relationships/hyperlink" Target="https://youtu.be/utF3FS2axoM" TargetMode="External"/><Relationship Id="rId319" Type="http://schemas.openxmlformats.org/officeDocument/2006/relationships/hyperlink" Target="https://youtu.be/3CXpuK9wyAU" TargetMode="External"/><Relationship Id="rId318" Type="http://schemas.openxmlformats.org/officeDocument/2006/relationships/hyperlink" Target="https://youtu.be/joyIBylYdxI" TargetMode="External"/><Relationship Id="rId317" Type="http://schemas.openxmlformats.org/officeDocument/2006/relationships/hyperlink" Target="https://youtu.be/iAe6a9Ez46A" TargetMode="External"/><Relationship Id="rId312" Type="http://schemas.openxmlformats.org/officeDocument/2006/relationships/hyperlink" Target="https://www.youtube.com/watch?v=SuwnsFeiJvE" TargetMode="External"/><Relationship Id="rId311" Type="http://schemas.openxmlformats.org/officeDocument/2006/relationships/hyperlink" Target="https://youtu.be/91ZBIHTzROE?si=xmGwOkezkedZ2PQB" TargetMode="External"/><Relationship Id="rId310" Type="http://schemas.openxmlformats.org/officeDocument/2006/relationships/hyperlink" Target="https://youtu.be/Ur4epSiKr5U" TargetMode="External"/><Relationship Id="rId297" Type="http://schemas.openxmlformats.org/officeDocument/2006/relationships/hyperlink" Target="https://www.youtube.com/watch?v=hY_EM0i2vtI&amp;ab_channel=SMSArchives" TargetMode="External"/><Relationship Id="rId296" Type="http://schemas.openxmlformats.org/officeDocument/2006/relationships/hyperlink" Target="https://www.youtube.com/watch?v=PyJQ_gGiZR8&amp;feature=youtu.be" TargetMode="External"/><Relationship Id="rId295" Type="http://schemas.openxmlformats.org/officeDocument/2006/relationships/hyperlink" Target="https://www.youtube.com/watch?v=PyJQ_gGiZR8&amp;feature=youtu.be" TargetMode="External"/><Relationship Id="rId294" Type="http://schemas.openxmlformats.org/officeDocument/2006/relationships/hyperlink" Target="https://www.youtube.com/watch?v=zHRMlAFFKEU" TargetMode="External"/><Relationship Id="rId299" Type="http://schemas.openxmlformats.org/officeDocument/2006/relationships/hyperlink" Target="https://www.youtube.com/watch?v=mg6WwwCOKr4&amp;feature=youtu.be&amp;ab_channel=SMSArchives" TargetMode="External"/><Relationship Id="rId298" Type="http://schemas.openxmlformats.org/officeDocument/2006/relationships/hyperlink" Target="https://www.youtube.com/watch?v=hY_EM0i2vtI&amp;ab_channel=SMSArchives" TargetMode="External"/><Relationship Id="rId271" Type="http://schemas.openxmlformats.org/officeDocument/2006/relationships/hyperlink" Target="https://www.youtube.com/watch?v=puC_0IjhS7Y" TargetMode="External"/><Relationship Id="rId270" Type="http://schemas.openxmlformats.org/officeDocument/2006/relationships/hyperlink" Target="https://youtu.be/gGmXKDagtPY" TargetMode="External"/><Relationship Id="rId269" Type="http://schemas.openxmlformats.org/officeDocument/2006/relationships/hyperlink" Target="https://youtu.be/a7-SiZhtDgc" TargetMode="External"/><Relationship Id="rId264" Type="http://schemas.openxmlformats.org/officeDocument/2006/relationships/hyperlink" Target="https://www.youtube.com/watch?v=ZcgyFLGlht4" TargetMode="External"/><Relationship Id="rId263" Type="http://schemas.openxmlformats.org/officeDocument/2006/relationships/hyperlink" Target="https://www.twitch.tv/aether10n/clip/GracefulSavageCamelPRChase-CjOoWejkTqrm0y6y" TargetMode="External"/><Relationship Id="rId262" Type="http://schemas.openxmlformats.org/officeDocument/2006/relationships/hyperlink" Target="https://www.youtube.com/watch?v=6E8p-6Xj7Co&amp;feature=youtu.be&amp;ab_channel=SMSArchives" TargetMode="External"/><Relationship Id="rId261" Type="http://schemas.openxmlformats.org/officeDocument/2006/relationships/hyperlink" Target="https://www.youtube.com/watch?v=ZcgyFLGlht4" TargetMode="External"/><Relationship Id="rId268" Type="http://schemas.openxmlformats.org/officeDocument/2006/relationships/hyperlink" Target="https://clips.twitch.tv/AnimatedBoxyKittenTBCheesePull-0UHkbWxTomWj3w1z" TargetMode="External"/><Relationship Id="rId267" Type="http://schemas.openxmlformats.org/officeDocument/2006/relationships/hyperlink" Target="https://youtu.be/U6CWT4ozXxo" TargetMode="External"/><Relationship Id="rId266" Type="http://schemas.openxmlformats.org/officeDocument/2006/relationships/hyperlink" Target="https://youtu.be/7o7Kk2EfQsg" TargetMode="External"/><Relationship Id="rId265" Type="http://schemas.openxmlformats.org/officeDocument/2006/relationships/hyperlink" Target="https://clips.twitch.tv/AnimatedBoxyKittenTBCheesePull-0UHkbWxTomWj3w1z" TargetMode="External"/><Relationship Id="rId260" Type="http://schemas.openxmlformats.org/officeDocument/2006/relationships/hyperlink" Target="https://youtu.be/hz2unkDO8uk" TargetMode="External"/><Relationship Id="rId259" Type="http://schemas.openxmlformats.org/officeDocument/2006/relationships/hyperlink" Target="https://www.youtube.com/watch?v=IMoC5nkLcqg" TargetMode="External"/><Relationship Id="rId258" Type="http://schemas.openxmlformats.org/officeDocument/2006/relationships/hyperlink" Target="https://www.youtube.com/watch?v=HOK1KJY8IrU" TargetMode="External"/><Relationship Id="rId253" Type="http://schemas.openxmlformats.org/officeDocument/2006/relationships/hyperlink" Target="https://youtu.be/picRx1Yapv8" TargetMode="External"/><Relationship Id="rId252" Type="http://schemas.openxmlformats.org/officeDocument/2006/relationships/hyperlink" Target="https://youtu.be/MgaSIuc_MDc" TargetMode="External"/><Relationship Id="rId251" Type="http://schemas.openxmlformats.org/officeDocument/2006/relationships/hyperlink" Target="https://www.youtube.com/watch?v=hz2unkDO8uk" TargetMode="External"/><Relationship Id="rId250" Type="http://schemas.openxmlformats.org/officeDocument/2006/relationships/hyperlink" Target="https://clips.twitch.tv/TastyDistinctPheasantTBTacoLeft-XdXPJ6QdJfiumtV7" TargetMode="External"/><Relationship Id="rId257" Type="http://schemas.openxmlformats.org/officeDocument/2006/relationships/hyperlink" Target="https://youtu.be/8bxKDxQmUfI" TargetMode="External"/><Relationship Id="rId256" Type="http://schemas.openxmlformats.org/officeDocument/2006/relationships/hyperlink" Target="https://www.youtube.com/watch?v=wn_bd-K_Mvs" TargetMode="External"/><Relationship Id="rId255" Type="http://schemas.openxmlformats.org/officeDocument/2006/relationships/hyperlink" Target="https://youtu.be/MmjESmz-s9A" TargetMode="External"/><Relationship Id="rId254" Type="http://schemas.openxmlformats.org/officeDocument/2006/relationships/hyperlink" Target="https://youtu.be/N12RzHwXRPA" TargetMode="External"/><Relationship Id="rId293" Type="http://schemas.openxmlformats.org/officeDocument/2006/relationships/hyperlink" Target="https://clips.twitch.tv/StormyGoldenSrirachaKappa-GKROduFRYv0-z8_k" TargetMode="External"/><Relationship Id="rId292" Type="http://schemas.openxmlformats.org/officeDocument/2006/relationships/hyperlink" Target="https://www.youtube.com/watch?v=Qm8EZgZx1-M&amp;feature=youtu.be&amp;ab_channel=SMSArchives" TargetMode="External"/><Relationship Id="rId291" Type="http://schemas.openxmlformats.org/officeDocument/2006/relationships/hyperlink" Target="https://youtu.be/di3E3mBAumI" TargetMode="External"/><Relationship Id="rId290" Type="http://schemas.openxmlformats.org/officeDocument/2006/relationships/hyperlink" Target="https://youtu.be/AY6s3rmBLps" TargetMode="External"/><Relationship Id="rId286" Type="http://schemas.openxmlformats.org/officeDocument/2006/relationships/hyperlink" Target="https://clips.twitch.tv/OilyScaryPieResidentSleeper-W7FG-E8r3-KyJ3ms" TargetMode="External"/><Relationship Id="rId285" Type="http://schemas.openxmlformats.org/officeDocument/2006/relationships/hyperlink" Target="https://www.twitch.tv/aether10n/clip/BreakableSeductiveAuberginePartyTime-ORNN6IVDaoXrXtsy" TargetMode="External"/><Relationship Id="rId284" Type="http://schemas.openxmlformats.org/officeDocument/2006/relationships/hyperlink" Target="https://clips.twitch.tv/FuriousBetterKleePermaSmug" TargetMode="External"/><Relationship Id="rId283" Type="http://schemas.openxmlformats.org/officeDocument/2006/relationships/hyperlink" Target="https://youtu.be/MGO4QOVh8H4" TargetMode="External"/><Relationship Id="rId289" Type="http://schemas.openxmlformats.org/officeDocument/2006/relationships/hyperlink" Target="https://www.youtube.com/watch?v=zHRMlAFFKEU" TargetMode="External"/><Relationship Id="rId288" Type="http://schemas.openxmlformats.org/officeDocument/2006/relationships/hyperlink" Target="https://youtu.be/vxUcO89hn5s" TargetMode="External"/><Relationship Id="rId287" Type="http://schemas.openxmlformats.org/officeDocument/2006/relationships/hyperlink" Target="https://youtu.be/vxUcO89hn5s" TargetMode="External"/><Relationship Id="rId282" Type="http://schemas.openxmlformats.org/officeDocument/2006/relationships/hyperlink" Target="https://youtu.be/kvWGEgZduCU" TargetMode="External"/><Relationship Id="rId281" Type="http://schemas.openxmlformats.org/officeDocument/2006/relationships/hyperlink" Target="https://youtu.be/DA4Li-5eKwg" TargetMode="External"/><Relationship Id="rId280" Type="http://schemas.openxmlformats.org/officeDocument/2006/relationships/hyperlink" Target="https://youtu.be/kvWGEgZduCU" TargetMode="External"/><Relationship Id="rId275" Type="http://schemas.openxmlformats.org/officeDocument/2006/relationships/hyperlink" Target="https://youtu.be/bLIbKYXmnMo" TargetMode="External"/><Relationship Id="rId274" Type="http://schemas.openxmlformats.org/officeDocument/2006/relationships/hyperlink" Target="https://youtu.be/YCxO9xnCqc0" TargetMode="External"/><Relationship Id="rId273" Type="http://schemas.openxmlformats.org/officeDocument/2006/relationships/hyperlink" Target="https://youtu.be/TphHSyuMaZ0" TargetMode="External"/><Relationship Id="rId272" Type="http://schemas.openxmlformats.org/officeDocument/2006/relationships/hyperlink" Target="https://clips.twitch.tv/BlushingTrustworthyHornetHeyGirl" TargetMode="External"/><Relationship Id="rId279" Type="http://schemas.openxmlformats.org/officeDocument/2006/relationships/hyperlink" Target="https://youtu.be/c14W4AdIfUc" TargetMode="External"/><Relationship Id="rId278" Type="http://schemas.openxmlformats.org/officeDocument/2006/relationships/hyperlink" Target="https://youtu.be/6B5W4qJZUQE" TargetMode="External"/><Relationship Id="rId277" Type="http://schemas.openxmlformats.org/officeDocument/2006/relationships/hyperlink" Target="https://youtu.be/O8sa80woZN4" TargetMode="External"/><Relationship Id="rId276" Type="http://schemas.openxmlformats.org/officeDocument/2006/relationships/hyperlink" Target="https://youtu.be/O8sa80woZN4" TargetMode="External"/><Relationship Id="rId1059" Type="http://schemas.openxmlformats.org/officeDocument/2006/relationships/hyperlink" Target="https://www.youtube.com/watch?v=QOQaL1VwzRA" TargetMode="External"/><Relationship Id="rId228" Type="http://schemas.openxmlformats.org/officeDocument/2006/relationships/hyperlink" Target="https://youtu.be/wHIseB7YqdE" TargetMode="External"/><Relationship Id="rId227" Type="http://schemas.openxmlformats.org/officeDocument/2006/relationships/hyperlink" Target="https://clips.twitch.tv/BenevolentHeartlessMosquitoPartyTime" TargetMode="External"/><Relationship Id="rId226" Type="http://schemas.openxmlformats.org/officeDocument/2006/relationships/hyperlink" Target="https://youtu.be/iv6_41aPYWU" TargetMode="External"/><Relationship Id="rId225" Type="http://schemas.openxmlformats.org/officeDocument/2006/relationships/hyperlink" Target="https://youtu.be/fPccFOyZC60" TargetMode="External"/><Relationship Id="rId229" Type="http://schemas.openxmlformats.org/officeDocument/2006/relationships/hyperlink" Target="https://www.youtube.com/watch?v=xMprl48ulxI" TargetMode="External"/><Relationship Id="rId1050" Type="http://schemas.openxmlformats.org/officeDocument/2006/relationships/hyperlink" Target="https://youtu.be/3nrQUBAa2uU" TargetMode="External"/><Relationship Id="rId220" Type="http://schemas.openxmlformats.org/officeDocument/2006/relationships/hyperlink" Target="https://clips.twitch.tv/PlausibleGiftedNightingaleStoneLightning" TargetMode="External"/><Relationship Id="rId1051" Type="http://schemas.openxmlformats.org/officeDocument/2006/relationships/hyperlink" Target="https://youtu.be/mAUm7J2ETQE" TargetMode="External"/><Relationship Id="rId1052" Type="http://schemas.openxmlformats.org/officeDocument/2006/relationships/hyperlink" Target="https://www.youtube.com/watch?v=TQawjRliIAg" TargetMode="External"/><Relationship Id="rId1053" Type="http://schemas.openxmlformats.org/officeDocument/2006/relationships/hyperlink" Target="https://www.youtube.com/watch?v=l1oHkskow4M" TargetMode="External"/><Relationship Id="rId1054" Type="http://schemas.openxmlformats.org/officeDocument/2006/relationships/hyperlink" Target="https://youtu.be/IzvKi65Ag5g" TargetMode="External"/><Relationship Id="rId224" Type="http://schemas.openxmlformats.org/officeDocument/2006/relationships/hyperlink" Target="https://youtu.be/tUhvMNmgg1k" TargetMode="External"/><Relationship Id="rId1055" Type="http://schemas.openxmlformats.org/officeDocument/2006/relationships/hyperlink" Target="https://youtu.be/ecKz1OkF8sU" TargetMode="External"/><Relationship Id="rId223" Type="http://schemas.openxmlformats.org/officeDocument/2006/relationships/hyperlink" Target="https://youtu.be/rHtUcI8cqag" TargetMode="External"/><Relationship Id="rId1056" Type="http://schemas.openxmlformats.org/officeDocument/2006/relationships/hyperlink" Target="https://clips.twitch.tv/GlamorousLovelyDadBigBrother-RCxKPG5AZigTfqbl" TargetMode="External"/><Relationship Id="rId222" Type="http://schemas.openxmlformats.org/officeDocument/2006/relationships/hyperlink" Target="https://youtu.be/iv6_41aPYWU" TargetMode="External"/><Relationship Id="rId1057" Type="http://schemas.openxmlformats.org/officeDocument/2006/relationships/hyperlink" Target="https://www.youtube.com/watch?v=6y2SP-DSf5Q" TargetMode="External"/><Relationship Id="rId221" Type="http://schemas.openxmlformats.org/officeDocument/2006/relationships/hyperlink" Target="https://youtu.be/MEzfJVVofMI" TargetMode="External"/><Relationship Id="rId1058" Type="http://schemas.openxmlformats.org/officeDocument/2006/relationships/hyperlink" Target="https://www.youtube.com/watch?v=l1oHkskow4M" TargetMode="External"/><Relationship Id="rId1048" Type="http://schemas.openxmlformats.org/officeDocument/2006/relationships/hyperlink" Target="https://www.youtube.com/watch?v=Iuk5KARA-1o&amp;feature=youtu.be&amp;ab_channel=SMSArchives" TargetMode="External"/><Relationship Id="rId1049" Type="http://schemas.openxmlformats.org/officeDocument/2006/relationships/hyperlink" Target="https://youtu.be/mAUm7J2ETQE" TargetMode="External"/><Relationship Id="rId217" Type="http://schemas.openxmlformats.org/officeDocument/2006/relationships/hyperlink" Target="https://youtu.be/GijhM4FiDgE" TargetMode="External"/><Relationship Id="rId216" Type="http://schemas.openxmlformats.org/officeDocument/2006/relationships/hyperlink" Target="https://youtu.be/Z4ie9RrtCf8" TargetMode="External"/><Relationship Id="rId215" Type="http://schemas.openxmlformats.org/officeDocument/2006/relationships/hyperlink" Target="https://www.twitch.tv/aether10n/clip/StupidAttractiveFinchSpicyBoy-jssteq_nPOKiOUWB" TargetMode="External"/><Relationship Id="rId214" Type="http://schemas.openxmlformats.org/officeDocument/2006/relationships/hyperlink" Target="https://clips.twitch.tv/SquareDeliciousAxeWTRuck-ArkI5oMoXCRBgBIU" TargetMode="External"/><Relationship Id="rId219" Type="http://schemas.openxmlformats.org/officeDocument/2006/relationships/hyperlink" Target="https://youtu.be/GijhM4FiDgE" TargetMode="External"/><Relationship Id="rId218" Type="http://schemas.openxmlformats.org/officeDocument/2006/relationships/hyperlink" Target="https://youtu.be/HX4QZeY51fg" TargetMode="External"/><Relationship Id="rId1040" Type="http://schemas.openxmlformats.org/officeDocument/2006/relationships/hyperlink" Target="https://www.youtube.com/watch?v=nD6fxOMLxLA&amp;ab_channel=BlazeAlt" TargetMode="External"/><Relationship Id="rId1041" Type="http://schemas.openxmlformats.org/officeDocument/2006/relationships/hyperlink" Target="https://youtu.be/luFsHTw66HQ?t=6" TargetMode="External"/><Relationship Id="rId1042" Type="http://schemas.openxmlformats.org/officeDocument/2006/relationships/hyperlink" Target="https://youtu.be/b8zw6bYdtBM" TargetMode="External"/><Relationship Id="rId1043" Type="http://schemas.openxmlformats.org/officeDocument/2006/relationships/hyperlink" Target="https://youtu.be/FUOJ9T_mei0" TargetMode="External"/><Relationship Id="rId213" Type="http://schemas.openxmlformats.org/officeDocument/2006/relationships/hyperlink" Target="https://youtu.be/Psq0REdZISs" TargetMode="External"/><Relationship Id="rId1044" Type="http://schemas.openxmlformats.org/officeDocument/2006/relationships/hyperlink" Target="https://youtu.be/aj2X7eIdy4o" TargetMode="External"/><Relationship Id="rId212" Type="http://schemas.openxmlformats.org/officeDocument/2006/relationships/hyperlink" Target="https://youtu.be/Qyvo6hRADRY" TargetMode="External"/><Relationship Id="rId1045" Type="http://schemas.openxmlformats.org/officeDocument/2006/relationships/hyperlink" Target="https://youtu.be/LH1QFjM2AZ4" TargetMode="External"/><Relationship Id="rId211" Type="http://schemas.openxmlformats.org/officeDocument/2006/relationships/hyperlink" Target="https://youtu.be/Psq0REdZISs" TargetMode="External"/><Relationship Id="rId1046" Type="http://schemas.openxmlformats.org/officeDocument/2006/relationships/hyperlink" Target="https://clips.twitch.tv/UgliestResilientLampBIRB-qySPQsjLil7DSM4h" TargetMode="External"/><Relationship Id="rId210" Type="http://schemas.openxmlformats.org/officeDocument/2006/relationships/hyperlink" Target="https://youtu.be/1A03ua1F3lQ" TargetMode="External"/><Relationship Id="rId1047" Type="http://schemas.openxmlformats.org/officeDocument/2006/relationships/hyperlink" Target="https://www.youtube.com/watch?v=Iuk5KARA-1o&amp;feature=youtu.be&amp;ab_channel=SMSArchives" TargetMode="External"/><Relationship Id="rId249" Type="http://schemas.openxmlformats.org/officeDocument/2006/relationships/hyperlink" Target="https://youtu.be/YSIJt-HfJWg" TargetMode="External"/><Relationship Id="rId248" Type="http://schemas.openxmlformats.org/officeDocument/2006/relationships/hyperlink" Target="https://www.twitch.tv/aether10n/clip/BoringHungryStinkbugPartyTime-vzdmULt0a7ofaQ4c" TargetMode="External"/><Relationship Id="rId247" Type="http://schemas.openxmlformats.org/officeDocument/2006/relationships/hyperlink" Target="https://clips.twitch.tv/FamousAdventurousShrimpCeilingCat--mtPe4uPcnSLqz7P" TargetMode="External"/><Relationship Id="rId1070" Type="http://schemas.openxmlformats.org/officeDocument/2006/relationships/hyperlink" Target="https://youtu.be/XouAjCLePjc" TargetMode="External"/><Relationship Id="rId1071" Type="http://schemas.openxmlformats.org/officeDocument/2006/relationships/hyperlink" Target="https://youtu.be/XpNHHc2UYro" TargetMode="External"/><Relationship Id="rId1072" Type="http://schemas.openxmlformats.org/officeDocument/2006/relationships/hyperlink" Target="https://www.youtube.com/watch?v=QoOYXS2lpB4" TargetMode="External"/><Relationship Id="rId242" Type="http://schemas.openxmlformats.org/officeDocument/2006/relationships/hyperlink" Target="https://youtu.be/ioQWDuOmghs" TargetMode="External"/><Relationship Id="rId1073" Type="http://schemas.openxmlformats.org/officeDocument/2006/relationships/hyperlink" Target="https://clips.twitch.tv/HumbleArborealSkunkImGlitch-6sreVUGb13ce_XAt" TargetMode="External"/><Relationship Id="rId241" Type="http://schemas.openxmlformats.org/officeDocument/2006/relationships/hyperlink" Target="https://youtu.be/VcmrtRGQjL0" TargetMode="External"/><Relationship Id="rId1074" Type="http://schemas.openxmlformats.org/officeDocument/2006/relationships/hyperlink" Target="https://youtu.be/xljwjDCRCWE" TargetMode="External"/><Relationship Id="rId240" Type="http://schemas.openxmlformats.org/officeDocument/2006/relationships/hyperlink" Target="https://youtu.be/Nagk5HrRwYQ" TargetMode="External"/><Relationship Id="rId1075" Type="http://schemas.openxmlformats.org/officeDocument/2006/relationships/hyperlink" Target="https://youtu.be/pp0KPykSZDA" TargetMode="External"/><Relationship Id="rId1076" Type="http://schemas.openxmlformats.org/officeDocument/2006/relationships/hyperlink" Target="https://youtu.be/iS_g58YJeeM" TargetMode="External"/><Relationship Id="rId246" Type="http://schemas.openxmlformats.org/officeDocument/2006/relationships/hyperlink" Target="https://youtu.be/QlP6ARCzisI" TargetMode="External"/><Relationship Id="rId1077" Type="http://schemas.openxmlformats.org/officeDocument/2006/relationships/hyperlink" Target="https://youtu.be/kqGNTr0zSXU" TargetMode="External"/><Relationship Id="rId245" Type="http://schemas.openxmlformats.org/officeDocument/2006/relationships/hyperlink" Target="https://youtu.be/71dsFdbh-Os" TargetMode="External"/><Relationship Id="rId1078" Type="http://schemas.openxmlformats.org/officeDocument/2006/relationships/hyperlink" Target="https://youtu.be/fd7WpviGvAE" TargetMode="External"/><Relationship Id="rId244" Type="http://schemas.openxmlformats.org/officeDocument/2006/relationships/hyperlink" Target="https://youtu.be/CcNH_IJ40fc" TargetMode="External"/><Relationship Id="rId1079" Type="http://schemas.openxmlformats.org/officeDocument/2006/relationships/hyperlink" Target="https://clips.twitch.tv/MistySuspiciousGarlicStoneLightning" TargetMode="External"/><Relationship Id="rId243" Type="http://schemas.openxmlformats.org/officeDocument/2006/relationships/hyperlink" Target="https://youtu.be/71dsFdbh-Os" TargetMode="External"/><Relationship Id="rId239" Type="http://schemas.openxmlformats.org/officeDocument/2006/relationships/hyperlink" Target="https://youtu.be/uD9RRsYVkJ4" TargetMode="External"/><Relationship Id="rId238" Type="http://schemas.openxmlformats.org/officeDocument/2006/relationships/hyperlink" Target="https://clips.twitch.tv/InexpensiveAmericanGorillaBatChest-9P8Y_4KkjiyK_W9k" TargetMode="External"/><Relationship Id="rId237" Type="http://schemas.openxmlformats.org/officeDocument/2006/relationships/hyperlink" Target="https://youtu.be/qW2i6vDQtB4" TargetMode="External"/><Relationship Id="rId236" Type="http://schemas.openxmlformats.org/officeDocument/2006/relationships/hyperlink" Target="https://clips.twitch.tv/PlausibleJollyNarwhalPicoMause" TargetMode="External"/><Relationship Id="rId1060" Type="http://schemas.openxmlformats.org/officeDocument/2006/relationships/hyperlink" Target="https://youtu.be/e4WB_48pwMw" TargetMode="External"/><Relationship Id="rId1061" Type="http://schemas.openxmlformats.org/officeDocument/2006/relationships/hyperlink" Target="https://www.youtube.com/watch?v=jUZqyIEcO0I" TargetMode="External"/><Relationship Id="rId231" Type="http://schemas.openxmlformats.org/officeDocument/2006/relationships/hyperlink" Target="https://youtu.be/qqOjbEjdmiw" TargetMode="External"/><Relationship Id="rId1062" Type="http://schemas.openxmlformats.org/officeDocument/2006/relationships/hyperlink" Target="https://youtu.be/RNntRlUJgdU" TargetMode="External"/><Relationship Id="rId230" Type="http://schemas.openxmlformats.org/officeDocument/2006/relationships/hyperlink" Target="https://clips.twitch.tv/ExpensiveGiantFalconHoneyBadger-ePliFfN7JgsfhBPj" TargetMode="External"/><Relationship Id="rId1063" Type="http://schemas.openxmlformats.org/officeDocument/2006/relationships/hyperlink" Target="https://youtu.be/YC80n-RLn3s" TargetMode="External"/><Relationship Id="rId1064" Type="http://schemas.openxmlformats.org/officeDocument/2006/relationships/hyperlink" Target="https://youtu.be/Fmm9XbXbi7Y?t=8" TargetMode="External"/><Relationship Id="rId1065" Type="http://schemas.openxmlformats.org/officeDocument/2006/relationships/hyperlink" Target="https://youtu.be/Rm2vpxvRIZ8" TargetMode="External"/><Relationship Id="rId235" Type="http://schemas.openxmlformats.org/officeDocument/2006/relationships/hyperlink" Target="https://www.twitch.tv/videos/745635228" TargetMode="External"/><Relationship Id="rId1066" Type="http://schemas.openxmlformats.org/officeDocument/2006/relationships/hyperlink" Target="https://youtu.be/KfOcx0LBP6E" TargetMode="External"/><Relationship Id="rId234" Type="http://schemas.openxmlformats.org/officeDocument/2006/relationships/hyperlink" Target="https://youtu.be/qqOjbEjdmiw" TargetMode="External"/><Relationship Id="rId1067" Type="http://schemas.openxmlformats.org/officeDocument/2006/relationships/hyperlink" Target="https://www.twitch.tv/aether10n/clip/TenderCrowdedSpindleTooSpicy-MXhyz4TkHK0K5E8j" TargetMode="External"/><Relationship Id="rId233" Type="http://schemas.openxmlformats.org/officeDocument/2006/relationships/hyperlink" Target="https://youtu.be/AiU3yivYBNA" TargetMode="External"/><Relationship Id="rId1068" Type="http://schemas.openxmlformats.org/officeDocument/2006/relationships/hyperlink" Target="https://youtu.be/6IWpCSzymnA" TargetMode="External"/><Relationship Id="rId232" Type="http://schemas.openxmlformats.org/officeDocument/2006/relationships/hyperlink" Target="https://youtu.be/kyrrjg6Savw" TargetMode="External"/><Relationship Id="rId1069" Type="http://schemas.openxmlformats.org/officeDocument/2006/relationships/hyperlink" Target="https://youtu.be/XpNHHc2UYro" TargetMode="External"/><Relationship Id="rId1015" Type="http://schemas.openxmlformats.org/officeDocument/2006/relationships/hyperlink" Target="https://www.twitch.tv/inkstar/clip/BoringAliveLeopardYee-RvhtjaEfIhmxDBbu" TargetMode="External"/><Relationship Id="rId1016" Type="http://schemas.openxmlformats.org/officeDocument/2006/relationships/hyperlink" Target="https://www.youtube.com/watch?v=3t94ZAhZ1hA" TargetMode="External"/><Relationship Id="rId1017" Type="http://schemas.openxmlformats.org/officeDocument/2006/relationships/hyperlink" Target="https://www.youtube.com/watch?v=OBKF_vxU_Cw" TargetMode="External"/><Relationship Id="rId1018" Type="http://schemas.openxmlformats.org/officeDocument/2006/relationships/hyperlink" Target="https://youtu.be/2sfFBuyhVzo" TargetMode="External"/><Relationship Id="rId1019" Type="http://schemas.openxmlformats.org/officeDocument/2006/relationships/hyperlink" Target="https://youtu.be/adTpGTFXkN4" TargetMode="External"/><Relationship Id="rId1010" Type="http://schemas.openxmlformats.org/officeDocument/2006/relationships/hyperlink" Target="https://www.youtube.com/watch?v=qfuz3l5onHY" TargetMode="External"/><Relationship Id="rId1011" Type="http://schemas.openxmlformats.org/officeDocument/2006/relationships/hyperlink" Target="https://youtu.be/y53Fs4k6xnA" TargetMode="External"/><Relationship Id="rId1012" Type="http://schemas.openxmlformats.org/officeDocument/2006/relationships/hyperlink" Target="https://youtu.be/y53Fs4k6xnA" TargetMode="External"/><Relationship Id="rId1013" Type="http://schemas.openxmlformats.org/officeDocument/2006/relationships/hyperlink" Target="https://www.youtube.com/watch?v=JxOEAkgM3KQ" TargetMode="External"/><Relationship Id="rId1014" Type="http://schemas.openxmlformats.org/officeDocument/2006/relationships/hyperlink" Target="https://www.twitch.tv/inkstar/clip/BoringAliveLeopardYee-RvhtjaEfIhmxDBbu" TargetMode="External"/><Relationship Id="rId1004" Type="http://schemas.openxmlformats.org/officeDocument/2006/relationships/hyperlink" Target="https://www.twitch.tv/pumpsovergains/clip/ExpensiveStormyCatCoolStoryBob-xBWdRcJiSesiyTTm?filter=clips&amp;range=7d&amp;sort=time" TargetMode="External"/><Relationship Id="rId1005" Type="http://schemas.openxmlformats.org/officeDocument/2006/relationships/hyperlink" Target="https://www.youtube.com/watch?v=pdUstevAtnQ" TargetMode="External"/><Relationship Id="rId1006" Type="http://schemas.openxmlformats.org/officeDocument/2006/relationships/hyperlink" Target="https://youtu.be/85ZtdZ99JSM" TargetMode="External"/><Relationship Id="rId1007" Type="http://schemas.openxmlformats.org/officeDocument/2006/relationships/hyperlink" Target="https://youtu.be/SF450e0O65I" TargetMode="External"/><Relationship Id="rId1008" Type="http://schemas.openxmlformats.org/officeDocument/2006/relationships/hyperlink" Target="https://youtu.be/jsIQ0vhHCCs" TargetMode="External"/><Relationship Id="rId1009" Type="http://schemas.openxmlformats.org/officeDocument/2006/relationships/hyperlink" Target="https://www.youtube.com/watch?v=PitIqcA7J30" TargetMode="External"/><Relationship Id="rId1000" Type="http://schemas.openxmlformats.org/officeDocument/2006/relationships/hyperlink" Target="https://youtu.be/y53Fs4k6xnA" TargetMode="External"/><Relationship Id="rId1001" Type="http://schemas.openxmlformats.org/officeDocument/2006/relationships/hyperlink" Target="https://youtu.be/Vco4hwHBWBI" TargetMode="External"/><Relationship Id="rId1002" Type="http://schemas.openxmlformats.org/officeDocument/2006/relationships/hyperlink" Target="https://youtu.be/uootZr0Klvc?si=GnCY-JH_9fLWEh6Z" TargetMode="External"/><Relationship Id="rId1003" Type="http://schemas.openxmlformats.org/officeDocument/2006/relationships/hyperlink" Target="https://www.youtube.com/watch?v=A-mpCdEtOo4" TargetMode="External"/><Relationship Id="rId1037" Type="http://schemas.openxmlformats.org/officeDocument/2006/relationships/hyperlink" Target="https://youtu.be/77LDenxDAqs" TargetMode="External"/><Relationship Id="rId1038" Type="http://schemas.openxmlformats.org/officeDocument/2006/relationships/hyperlink" Target="https://youtu.be/U1s7iyFeDYw" TargetMode="External"/><Relationship Id="rId1039" Type="http://schemas.openxmlformats.org/officeDocument/2006/relationships/hyperlink" Target="https://www.youtube.com/watch?v=lQH3n97OXOw" TargetMode="External"/><Relationship Id="rId206" Type="http://schemas.openxmlformats.org/officeDocument/2006/relationships/hyperlink" Target="https://clips.twitch.tv/SoftMildVelociraptorM4xHeh" TargetMode="External"/><Relationship Id="rId205" Type="http://schemas.openxmlformats.org/officeDocument/2006/relationships/hyperlink" Target="https://youtu.be/9wNfReNVtE4" TargetMode="External"/><Relationship Id="rId204" Type="http://schemas.openxmlformats.org/officeDocument/2006/relationships/hyperlink" Target="https://youtu.be/9wNfReNVtE4" TargetMode="External"/><Relationship Id="rId203" Type="http://schemas.openxmlformats.org/officeDocument/2006/relationships/hyperlink" Target="https://youtu.be/_K2svVKDjsM" TargetMode="External"/><Relationship Id="rId209" Type="http://schemas.openxmlformats.org/officeDocument/2006/relationships/hyperlink" Target="https://clips.twitch.tv/WonderfulDistinctCoffeeBloodTrail" TargetMode="External"/><Relationship Id="rId208" Type="http://schemas.openxmlformats.org/officeDocument/2006/relationships/hyperlink" Target="https://youtu.be/BmsVJMvXxNw" TargetMode="External"/><Relationship Id="rId207" Type="http://schemas.openxmlformats.org/officeDocument/2006/relationships/hyperlink" Target="https://youtu.be/1A03ua1F3lQ" TargetMode="External"/><Relationship Id="rId1030" Type="http://schemas.openxmlformats.org/officeDocument/2006/relationships/hyperlink" Target="https://youtu.be/_HULD2HMJ-o" TargetMode="External"/><Relationship Id="rId1031" Type="http://schemas.openxmlformats.org/officeDocument/2006/relationships/hyperlink" Target="https://clips.twitch.tv/ImportantOilyNightingalePupper" TargetMode="External"/><Relationship Id="rId1032" Type="http://schemas.openxmlformats.org/officeDocument/2006/relationships/hyperlink" Target="https://youtu.be/H3fIC0pnQJY" TargetMode="External"/><Relationship Id="rId202" Type="http://schemas.openxmlformats.org/officeDocument/2006/relationships/hyperlink" Target="https://www.twitch.tv/aether10n/clip/SincereScaryWheelImGlitch-T6VMzLcFZRm1Utbj" TargetMode="External"/><Relationship Id="rId1033" Type="http://schemas.openxmlformats.org/officeDocument/2006/relationships/hyperlink" Target="https://youtu.be/0ZLzPKq1T3g" TargetMode="External"/><Relationship Id="rId201" Type="http://schemas.openxmlformats.org/officeDocument/2006/relationships/hyperlink" Target="https://clips.twitch.tv/GracefulAliveWoodcockDoritosChip" TargetMode="External"/><Relationship Id="rId1034" Type="http://schemas.openxmlformats.org/officeDocument/2006/relationships/hyperlink" Target="https://youtu.be/blF2ZjQva2g?t=5" TargetMode="External"/><Relationship Id="rId200" Type="http://schemas.openxmlformats.org/officeDocument/2006/relationships/hyperlink" Target="https://youtu.be/igxiTsu0qKc" TargetMode="External"/><Relationship Id="rId1035" Type="http://schemas.openxmlformats.org/officeDocument/2006/relationships/hyperlink" Target="https://youtu.be/s3KIbAx9-jI" TargetMode="External"/><Relationship Id="rId1036" Type="http://schemas.openxmlformats.org/officeDocument/2006/relationships/hyperlink" Target="https://youtu.be/U1s7iyFeDYw" TargetMode="External"/><Relationship Id="rId1026" Type="http://schemas.openxmlformats.org/officeDocument/2006/relationships/hyperlink" Target="https://youtu.be/V240YyJFaEI" TargetMode="External"/><Relationship Id="rId1027" Type="http://schemas.openxmlformats.org/officeDocument/2006/relationships/hyperlink" Target="https://clips.twitch.tv/ExpensiveColdDurianHeyGuys--6sIzzZ4T4U5AePj" TargetMode="External"/><Relationship Id="rId1028" Type="http://schemas.openxmlformats.org/officeDocument/2006/relationships/hyperlink" Target="https://youtu.be/-mHdWlySoq4" TargetMode="External"/><Relationship Id="rId1029" Type="http://schemas.openxmlformats.org/officeDocument/2006/relationships/hyperlink" Target="https://youtu.be/1SWv-HdCZwI" TargetMode="External"/><Relationship Id="rId1020" Type="http://schemas.openxmlformats.org/officeDocument/2006/relationships/hyperlink" Target="https://youtu.be/PoXy5LvAYjE" TargetMode="External"/><Relationship Id="rId1021" Type="http://schemas.openxmlformats.org/officeDocument/2006/relationships/hyperlink" Target="https://clips.twitch.tv/WealthyNiceSalamanderOpieOP" TargetMode="External"/><Relationship Id="rId1022" Type="http://schemas.openxmlformats.org/officeDocument/2006/relationships/hyperlink" Target="https://clips.twitch.tv/ProtectiveColorfulWebTTours-3LEDJsbJ-gLcIaxD" TargetMode="External"/><Relationship Id="rId1023" Type="http://schemas.openxmlformats.org/officeDocument/2006/relationships/hyperlink" Target="https://youtu.be/H3fIC0pnQJY" TargetMode="External"/><Relationship Id="rId1024" Type="http://schemas.openxmlformats.org/officeDocument/2006/relationships/hyperlink" Target="https://youtu.be/ypvpZ6zCblI" TargetMode="External"/><Relationship Id="rId1025" Type="http://schemas.openxmlformats.org/officeDocument/2006/relationships/hyperlink" Target="https://youtu.be/wfiuMImDFXU" TargetMode="External"/><Relationship Id="rId1090" Type="http://schemas.openxmlformats.org/officeDocument/2006/relationships/hyperlink" Target="https://youtu.be/ZuAxFGqWwxw" TargetMode="External"/><Relationship Id="rId1091" Type="http://schemas.openxmlformats.org/officeDocument/2006/relationships/hyperlink" Target="https://www.youtube.com/watch?v=-AUXBW8KSPY&amp;ab_channel=BlazeAlt" TargetMode="External"/><Relationship Id="rId1092" Type="http://schemas.openxmlformats.org/officeDocument/2006/relationships/hyperlink" Target="https://youtu.be/UC_4dhW19Zo?t=17" TargetMode="External"/><Relationship Id="rId1093" Type="http://schemas.openxmlformats.org/officeDocument/2006/relationships/hyperlink" Target="https://youtu.be/twQiyzzweO0" TargetMode="External"/><Relationship Id="rId1094" Type="http://schemas.openxmlformats.org/officeDocument/2006/relationships/hyperlink" Target="https://youtu.be/UC_4dhW19Zo?t=17" TargetMode="External"/><Relationship Id="rId1095" Type="http://schemas.openxmlformats.org/officeDocument/2006/relationships/hyperlink" Target="https://youtu.be/LeYXoTjngGk" TargetMode="External"/><Relationship Id="rId1096" Type="http://schemas.openxmlformats.org/officeDocument/2006/relationships/hyperlink" Target="https://www.youtube.com/watch?v=KTYkpWDpQmA" TargetMode="External"/><Relationship Id="rId1097" Type="http://schemas.openxmlformats.org/officeDocument/2006/relationships/hyperlink" Target="https://youtu.be/34f0axSWzxw" TargetMode="External"/><Relationship Id="rId1098" Type="http://schemas.openxmlformats.org/officeDocument/2006/relationships/hyperlink" Target="https://youtu.be/34f0axSWzxw" TargetMode="External"/><Relationship Id="rId1099" Type="http://schemas.openxmlformats.org/officeDocument/2006/relationships/hyperlink" Target="https://youtu.be/qNKf5o4ujCw&amp;t=2154" TargetMode="External"/><Relationship Id="rId1080" Type="http://schemas.openxmlformats.org/officeDocument/2006/relationships/hyperlink" Target="https://youtu.be/VEf959-p1qM" TargetMode="External"/><Relationship Id="rId1081" Type="http://schemas.openxmlformats.org/officeDocument/2006/relationships/hyperlink" Target="https://youtu.be/pLeVLw7ZCi4" TargetMode="External"/><Relationship Id="rId1082" Type="http://schemas.openxmlformats.org/officeDocument/2006/relationships/hyperlink" Target="https://youtu.be/fSXdWR563nk" TargetMode="External"/><Relationship Id="rId1083" Type="http://schemas.openxmlformats.org/officeDocument/2006/relationships/hyperlink" Target="https://www.youtube.com/watch?v=a46h4NnnmFE" TargetMode="External"/><Relationship Id="rId1084" Type="http://schemas.openxmlformats.org/officeDocument/2006/relationships/hyperlink" Target="https://clips.twitch.tv/MistySuspiciousGarlicStoneLightning" TargetMode="External"/><Relationship Id="rId1085" Type="http://schemas.openxmlformats.org/officeDocument/2006/relationships/hyperlink" Target="https://www.youtube.com/watch?v=-AUXBW8KSPY&amp;ab_channel=BlazeAlt" TargetMode="External"/><Relationship Id="rId1086" Type="http://schemas.openxmlformats.org/officeDocument/2006/relationships/hyperlink" Target="https://youtu.be/eh_--IjQfIM" TargetMode="External"/><Relationship Id="rId1087" Type="http://schemas.openxmlformats.org/officeDocument/2006/relationships/hyperlink" Target="https://youtu.be/UC_4dhW19Zo" TargetMode="External"/><Relationship Id="rId1088" Type="http://schemas.openxmlformats.org/officeDocument/2006/relationships/hyperlink" Target="https://youtu.be/6OZ9Tus20Ug" TargetMode="External"/><Relationship Id="rId1089" Type="http://schemas.openxmlformats.org/officeDocument/2006/relationships/hyperlink" Target="https://www.youtube.com/watch?v=1fdp3O_QDxA" TargetMode="External"/><Relationship Id="rId509" Type="http://schemas.openxmlformats.org/officeDocument/2006/relationships/hyperlink" Target="https://www.twitch.tv/videos/1810124946" TargetMode="External"/><Relationship Id="rId508" Type="http://schemas.openxmlformats.org/officeDocument/2006/relationships/hyperlink" Target="https://youtu.be/UgoWmGFAS9M" TargetMode="External"/><Relationship Id="rId503" Type="http://schemas.openxmlformats.org/officeDocument/2006/relationships/hyperlink" Target="https://www.youtube.com/watch?v=hIhcHQYrlXA" TargetMode="External"/><Relationship Id="rId502" Type="http://schemas.openxmlformats.org/officeDocument/2006/relationships/hyperlink" Target="https://www.youtube.com/watch?v=-wVESQbymOo" TargetMode="External"/><Relationship Id="rId501" Type="http://schemas.openxmlformats.org/officeDocument/2006/relationships/hyperlink" Target="https://www.twitch.tv/aether10n/clip/SmoggyDarlingCrabOpieOP-rR4ieNqHfw3U7xZC" TargetMode="External"/><Relationship Id="rId500" Type="http://schemas.openxmlformats.org/officeDocument/2006/relationships/hyperlink" Target="https://youtu.be/LaMvBuhMiVE" TargetMode="External"/><Relationship Id="rId507" Type="http://schemas.openxmlformats.org/officeDocument/2006/relationships/hyperlink" Target="https://youtu.be/aksFqSaiyV8" TargetMode="External"/><Relationship Id="rId506" Type="http://schemas.openxmlformats.org/officeDocument/2006/relationships/hyperlink" Target="https://youtu.be/yM7eFNu04pY" TargetMode="External"/><Relationship Id="rId505" Type="http://schemas.openxmlformats.org/officeDocument/2006/relationships/hyperlink" Target="https://youtu.be/ypNscnGduFI" TargetMode="External"/><Relationship Id="rId504" Type="http://schemas.openxmlformats.org/officeDocument/2006/relationships/hyperlink" Target="https://www.youtube.com/watch?v=n9upMOsSvj4" TargetMode="External"/><Relationship Id="rId1114" Type="http://schemas.openxmlformats.org/officeDocument/2006/relationships/hyperlink" Target="https://youtu.be/p9cibphshqo" TargetMode="External"/><Relationship Id="rId1115" Type="http://schemas.openxmlformats.org/officeDocument/2006/relationships/hyperlink" Target="https://youtu.be/B420px-FJoY" TargetMode="External"/><Relationship Id="rId1116" Type="http://schemas.openxmlformats.org/officeDocument/2006/relationships/hyperlink" Target="https://youtu.be/DqT1pQ2LpeI" TargetMode="External"/><Relationship Id="rId1117" Type="http://schemas.openxmlformats.org/officeDocument/2006/relationships/hyperlink" Target="https://www.twitch.tv/aether10n/clip/TastyHelplessDuckCopyThis-HE7wl9otZ4DSSSYf" TargetMode="External"/><Relationship Id="rId1118" Type="http://schemas.openxmlformats.org/officeDocument/2006/relationships/hyperlink" Target="https://youtu.be/VW9PaRDbOTk" TargetMode="External"/><Relationship Id="rId1119" Type="http://schemas.openxmlformats.org/officeDocument/2006/relationships/hyperlink" Target="https://www.youtube.com/watch?v=vwsNeVrYny8" TargetMode="External"/><Relationship Id="rId525" Type="http://schemas.openxmlformats.org/officeDocument/2006/relationships/hyperlink" Target="https://www.youtube.com/watch?v=_0rcL0hLJRI&amp;ab_channel=SMSArchives" TargetMode="External"/><Relationship Id="rId524" Type="http://schemas.openxmlformats.org/officeDocument/2006/relationships/hyperlink" Target="https://www.youtube.com/watch?v=yDo8VwLJ7FY" TargetMode="External"/><Relationship Id="rId523" Type="http://schemas.openxmlformats.org/officeDocument/2006/relationships/hyperlink" Target="https://youtu.be/0W5pWtLW_m0" TargetMode="External"/><Relationship Id="rId522" Type="http://schemas.openxmlformats.org/officeDocument/2006/relationships/hyperlink" Target="https://www.twitch.tv/inkstaralt/clip/OptimisticDeafRabbitDogFace-0UQzeRJJYqmEjDd2" TargetMode="External"/><Relationship Id="rId529" Type="http://schemas.openxmlformats.org/officeDocument/2006/relationships/hyperlink" Target="https://youtu.be/Ppzp61W2pkw" TargetMode="External"/><Relationship Id="rId528" Type="http://schemas.openxmlformats.org/officeDocument/2006/relationships/hyperlink" Target="https://www.youtube.com/watch?v=j6VrOuXBUnA" TargetMode="External"/><Relationship Id="rId527" Type="http://schemas.openxmlformats.org/officeDocument/2006/relationships/hyperlink" Target="https://clips.twitch.tv/StrongPrettyDeerLeeroyJenkins-L18Iq20VbprK73-p" TargetMode="External"/><Relationship Id="rId526" Type="http://schemas.openxmlformats.org/officeDocument/2006/relationships/hyperlink" Target="https://www.youtube.com/watch?v=_0rcL0hLJRI&amp;ab_channel=SMSArchives" TargetMode="External"/><Relationship Id="rId521" Type="http://schemas.openxmlformats.org/officeDocument/2006/relationships/hyperlink" Target="https://www.youtube.com/watch?v=kpxMbm8UtAw" TargetMode="External"/><Relationship Id="rId1110" Type="http://schemas.openxmlformats.org/officeDocument/2006/relationships/hyperlink" Target="https://youtu.be/oxzyRCiJT4U" TargetMode="External"/><Relationship Id="rId520" Type="http://schemas.openxmlformats.org/officeDocument/2006/relationships/hyperlink" Target="https://youtu.be/RwKVvVVtiZo" TargetMode="External"/><Relationship Id="rId1111" Type="http://schemas.openxmlformats.org/officeDocument/2006/relationships/hyperlink" Target="https://clips.twitch.tv/VastDirtyNuggetsChocolateRain-ZLxE4oGsUNm4b5MN" TargetMode="External"/><Relationship Id="rId1112" Type="http://schemas.openxmlformats.org/officeDocument/2006/relationships/hyperlink" Target="https://youtu.be/MWllXmaWm0s" TargetMode="External"/><Relationship Id="rId1113" Type="http://schemas.openxmlformats.org/officeDocument/2006/relationships/hyperlink" Target="https://www.youtube.com/watch?v=WVv0CC-wTH4" TargetMode="External"/><Relationship Id="rId1103" Type="http://schemas.openxmlformats.org/officeDocument/2006/relationships/hyperlink" Target="https://youtu.be/KOYyQ7fWnCc" TargetMode="External"/><Relationship Id="rId1104" Type="http://schemas.openxmlformats.org/officeDocument/2006/relationships/hyperlink" Target="https://www.youtube.com/watch?v=s8L_TFur0KM&amp;feature=youtu.be&amp;ab_channel=SMSArchives" TargetMode="External"/><Relationship Id="rId1105" Type="http://schemas.openxmlformats.org/officeDocument/2006/relationships/hyperlink" Target="https://www.twitch.tv/inkstar/clip/BlazingTenderInternDendiFace-GbD5MELQEox-J7jm" TargetMode="External"/><Relationship Id="rId1106" Type="http://schemas.openxmlformats.org/officeDocument/2006/relationships/hyperlink" Target="https://youtu.be/hKfJ2tYwrhw" TargetMode="External"/><Relationship Id="rId1107" Type="http://schemas.openxmlformats.org/officeDocument/2006/relationships/hyperlink" Target="https://twitter.com/Qbe_Root/status/1404248275818061826" TargetMode="External"/><Relationship Id="rId1108" Type="http://schemas.openxmlformats.org/officeDocument/2006/relationships/hyperlink" Target="https://www.youtube.com/watch?v=x9eWLUDK3Ds" TargetMode="External"/><Relationship Id="rId1109" Type="http://schemas.openxmlformats.org/officeDocument/2006/relationships/hyperlink" Target="https://www.youtube.com/watch?v=iwKvAUOwQRk" TargetMode="External"/><Relationship Id="rId519" Type="http://schemas.openxmlformats.org/officeDocument/2006/relationships/hyperlink" Target="https://www.twitch.tv/inkstaralt/clip/OptimisticDeafRabbitDogFace-0UQzeRJJYqmEjDd2" TargetMode="External"/><Relationship Id="rId514" Type="http://schemas.openxmlformats.org/officeDocument/2006/relationships/hyperlink" Target="https://www.twitch.tv/inkstaralt/clip/ColdRichWoodpeckerSSSsss-B0VUsT_Llk23zo7l" TargetMode="External"/><Relationship Id="rId513" Type="http://schemas.openxmlformats.org/officeDocument/2006/relationships/hyperlink" Target="https://youtu.be/oMs4H6G26mY" TargetMode="External"/><Relationship Id="rId512" Type="http://schemas.openxmlformats.org/officeDocument/2006/relationships/hyperlink" Target="https://clips.twitch.tv/CrepuscularTriangularWallabyMikeHogu-QbB5xBhygnGb8czG" TargetMode="External"/><Relationship Id="rId511" Type="http://schemas.openxmlformats.org/officeDocument/2006/relationships/hyperlink" Target="https://youtu.be/yM7eFNu04pY" TargetMode="External"/><Relationship Id="rId518" Type="http://schemas.openxmlformats.org/officeDocument/2006/relationships/hyperlink" Target="https://www.youtube.com/watch?v=ilkcD1ohFwQ" TargetMode="External"/><Relationship Id="rId517" Type="http://schemas.openxmlformats.org/officeDocument/2006/relationships/hyperlink" Target="https://www.twitch.tv/inkstaralt/clip/ColdRichWoodpeckerSSSsss-B0VUsT_Llk23zo7l" TargetMode="External"/><Relationship Id="rId516" Type="http://schemas.openxmlformats.org/officeDocument/2006/relationships/hyperlink" Target="https://youtu.be/kpxMbm8UtAw" TargetMode="External"/><Relationship Id="rId515" Type="http://schemas.openxmlformats.org/officeDocument/2006/relationships/hyperlink" Target="https://youtu.be/PyjfSCorV5k" TargetMode="External"/><Relationship Id="rId510" Type="http://schemas.openxmlformats.org/officeDocument/2006/relationships/hyperlink" Target="https://youtu.be/y2ToyAmG1Z0" TargetMode="External"/><Relationship Id="rId1100" Type="http://schemas.openxmlformats.org/officeDocument/2006/relationships/hyperlink" Target="https://www.youtube.com/watch?v=5MyAV76XpjE&amp;feature=youtu.be&amp;ab_channel=SMSArchives" TargetMode="External"/><Relationship Id="rId1101" Type="http://schemas.openxmlformats.org/officeDocument/2006/relationships/hyperlink" Target="https://youtu.be/rqsZQs7Rkes" TargetMode="External"/><Relationship Id="rId1102" Type="http://schemas.openxmlformats.org/officeDocument/2006/relationships/hyperlink" Target="https://www.twitch.tv/inkstar/clip/BlazingTenderInternDendiFace-GbD5MELQEox-J7jm" TargetMode="External"/><Relationship Id="rId590" Type="http://schemas.openxmlformats.org/officeDocument/2006/relationships/hyperlink" Target="https://youtu.be/SVybssrepNo" TargetMode="External"/><Relationship Id="rId589" Type="http://schemas.openxmlformats.org/officeDocument/2006/relationships/hyperlink" Target="https://youtu.be/azoZh1WaTVs" TargetMode="External"/><Relationship Id="rId588" Type="http://schemas.openxmlformats.org/officeDocument/2006/relationships/hyperlink" Target="https://youtu.be/CXrbvrfcxfQ" TargetMode="External"/><Relationship Id="rId1170" Type="http://schemas.openxmlformats.org/officeDocument/2006/relationships/hyperlink" Target="https://youtu.be/crpiJHgGrMQ" TargetMode="External"/><Relationship Id="rId1171" Type="http://schemas.openxmlformats.org/officeDocument/2006/relationships/hyperlink" Target="https://youtu.be/IGtEc4Md5A0" TargetMode="External"/><Relationship Id="rId583" Type="http://schemas.openxmlformats.org/officeDocument/2006/relationships/hyperlink" Target="https://youtu.be/3DTdNlTxkEw" TargetMode="External"/><Relationship Id="rId1172" Type="http://schemas.openxmlformats.org/officeDocument/2006/relationships/hyperlink" Target="https://clips.twitch.tv/KawaiiPlacidMonitorPJSalt-mhKC6iRjJ5hOMC48" TargetMode="External"/><Relationship Id="rId582" Type="http://schemas.openxmlformats.org/officeDocument/2006/relationships/hyperlink" Target="https://youtu.be/psVqdkPdc2Y" TargetMode="External"/><Relationship Id="rId1173" Type="http://schemas.openxmlformats.org/officeDocument/2006/relationships/hyperlink" Target="https://youtu.be/gz3vByPTKuo" TargetMode="External"/><Relationship Id="rId581" Type="http://schemas.openxmlformats.org/officeDocument/2006/relationships/hyperlink" Target="https://youtu.be/t9YQYIfgXoE" TargetMode="External"/><Relationship Id="rId1174" Type="http://schemas.openxmlformats.org/officeDocument/2006/relationships/hyperlink" Target="https://clips.twitch.tv/GiftedNaiveSrirachaBibleThump" TargetMode="External"/><Relationship Id="rId580" Type="http://schemas.openxmlformats.org/officeDocument/2006/relationships/hyperlink" Target="https://youtu.be/jsIro9kogT8" TargetMode="External"/><Relationship Id="rId1175" Type="http://schemas.openxmlformats.org/officeDocument/2006/relationships/hyperlink" Target="https://clips.twitch.tv/DirtyThankfulBasenjiSoBayed-nhy_jX9qq5W1SNyY" TargetMode="External"/><Relationship Id="rId587" Type="http://schemas.openxmlformats.org/officeDocument/2006/relationships/hyperlink" Target="https://youtu.be/SVybssrepNo" TargetMode="External"/><Relationship Id="rId1176" Type="http://schemas.openxmlformats.org/officeDocument/2006/relationships/hyperlink" Target="https://youtu.be/NXynaSDqhMI" TargetMode="External"/><Relationship Id="rId586" Type="http://schemas.openxmlformats.org/officeDocument/2006/relationships/hyperlink" Target="https://youtu.be/yKTIjGg13jA" TargetMode="External"/><Relationship Id="rId1177" Type="http://schemas.openxmlformats.org/officeDocument/2006/relationships/hyperlink" Target="https://youtu.be/2NGdCcueesk" TargetMode="External"/><Relationship Id="rId585" Type="http://schemas.openxmlformats.org/officeDocument/2006/relationships/hyperlink" Target="https://youtu.be/QQ_jJmzpcYE" TargetMode="External"/><Relationship Id="rId1178" Type="http://schemas.openxmlformats.org/officeDocument/2006/relationships/hyperlink" Target="https://youtu.be/lYUHLdDB-mo" TargetMode="External"/><Relationship Id="rId584" Type="http://schemas.openxmlformats.org/officeDocument/2006/relationships/hyperlink" Target="https://youtu.be/EaiycbXKao0" TargetMode="External"/><Relationship Id="rId1179" Type="http://schemas.openxmlformats.org/officeDocument/2006/relationships/hyperlink" Target="https://clips.twitch.tv/PlainYummyKuduDeIlluminati" TargetMode="External"/><Relationship Id="rId1169" Type="http://schemas.openxmlformats.org/officeDocument/2006/relationships/hyperlink" Target="https://youtu.be/diXmhH7mF-s" TargetMode="External"/><Relationship Id="rId579" Type="http://schemas.openxmlformats.org/officeDocument/2006/relationships/hyperlink" Target="https://youtu.be/yKTIjGg13jA" TargetMode="External"/><Relationship Id="rId578" Type="http://schemas.openxmlformats.org/officeDocument/2006/relationships/hyperlink" Target="https://youtu.be/8__y2Qad2Og" TargetMode="External"/><Relationship Id="rId577" Type="http://schemas.openxmlformats.org/officeDocument/2006/relationships/hyperlink" Target="https://youtu.be/f8z9IgcsC3w" TargetMode="External"/><Relationship Id="rId1160" Type="http://schemas.openxmlformats.org/officeDocument/2006/relationships/hyperlink" Target="https://youtu.be/8e6cmL87aKg" TargetMode="External"/><Relationship Id="rId572" Type="http://schemas.openxmlformats.org/officeDocument/2006/relationships/hyperlink" Target="https://youtu.be/CGy2fVWesj0" TargetMode="External"/><Relationship Id="rId1161" Type="http://schemas.openxmlformats.org/officeDocument/2006/relationships/hyperlink" Target="https://www.twitch.tv/inkstar/clip/CrackyHealthyPizzaPermaSmug-Xk4bvib1EvMdsx0H" TargetMode="External"/><Relationship Id="rId571" Type="http://schemas.openxmlformats.org/officeDocument/2006/relationships/hyperlink" Target="https://youtu.be/xknzl-aZiJ0" TargetMode="External"/><Relationship Id="rId1162" Type="http://schemas.openxmlformats.org/officeDocument/2006/relationships/hyperlink" Target="https://youtu.be/s9zcYL-iOPw?si=Y2fzadksMt3rvn2h" TargetMode="External"/><Relationship Id="rId570" Type="http://schemas.openxmlformats.org/officeDocument/2006/relationships/hyperlink" Target="https://youtu.be/dyMv749BLQ0" TargetMode="External"/><Relationship Id="rId1163" Type="http://schemas.openxmlformats.org/officeDocument/2006/relationships/hyperlink" Target="https://www.youtube.com/watch?v=IVppjA2JcIM" TargetMode="External"/><Relationship Id="rId1164" Type="http://schemas.openxmlformats.org/officeDocument/2006/relationships/hyperlink" Target="https://youtu.be/Gvk3kM9d6vs" TargetMode="External"/><Relationship Id="rId576" Type="http://schemas.openxmlformats.org/officeDocument/2006/relationships/hyperlink" Target="https://youtu.be/4xTf97v4cGY" TargetMode="External"/><Relationship Id="rId1165" Type="http://schemas.openxmlformats.org/officeDocument/2006/relationships/hyperlink" Target="https://youtu.be/VO2ADXYrIF8" TargetMode="External"/><Relationship Id="rId575" Type="http://schemas.openxmlformats.org/officeDocument/2006/relationships/hyperlink" Target="https://clips.twitch.tv/MoistQuaintTruffleDoritosChip" TargetMode="External"/><Relationship Id="rId1166" Type="http://schemas.openxmlformats.org/officeDocument/2006/relationships/hyperlink" Target="https://youtu.be/NggDKh_3G24" TargetMode="External"/><Relationship Id="rId574" Type="http://schemas.openxmlformats.org/officeDocument/2006/relationships/hyperlink" Target="https://youtu.be/m45SeeT15mk" TargetMode="External"/><Relationship Id="rId1167" Type="http://schemas.openxmlformats.org/officeDocument/2006/relationships/hyperlink" Target="https://www.youtube.com/watch?v=IVppjA2JcIM" TargetMode="External"/><Relationship Id="rId573" Type="http://schemas.openxmlformats.org/officeDocument/2006/relationships/hyperlink" Target="https://youtu.be/zOY1unVEAkE" TargetMode="External"/><Relationship Id="rId1168" Type="http://schemas.openxmlformats.org/officeDocument/2006/relationships/hyperlink" Target="https://youtu.be/TimHtxCkrCY" TargetMode="External"/><Relationship Id="rId1190" Type="http://schemas.openxmlformats.org/officeDocument/2006/relationships/hyperlink" Target="https://youtu.be/xPsv1plmq-E" TargetMode="External"/><Relationship Id="rId1191" Type="http://schemas.openxmlformats.org/officeDocument/2006/relationships/hyperlink" Target="https://youtu.be/fWubNtmkL1o" TargetMode="External"/><Relationship Id="rId1192" Type="http://schemas.openxmlformats.org/officeDocument/2006/relationships/hyperlink" Target="https://youtu.be/cJ-pBJL4zaI" TargetMode="External"/><Relationship Id="rId1193" Type="http://schemas.openxmlformats.org/officeDocument/2006/relationships/hyperlink" Target="https://www.twitch.tv/psionick_/clip/SavoryGenerousSamosaTwitchRPG-Wl28XMJprTZbIUpf" TargetMode="External"/><Relationship Id="rId1194" Type="http://schemas.openxmlformats.org/officeDocument/2006/relationships/hyperlink" Target="https://clips.twitch.tv/ArborealAgileGalagoPipeHype-NapmxC-S3q11Jt3_" TargetMode="External"/><Relationship Id="rId1195" Type="http://schemas.openxmlformats.org/officeDocument/2006/relationships/hyperlink" Target="https://youtu.be/rTAY7UEVBC0" TargetMode="External"/><Relationship Id="rId1196" Type="http://schemas.openxmlformats.org/officeDocument/2006/relationships/hyperlink" Target="https://clips.twitch.tv/AlluringBovineRingNomNom" TargetMode="External"/><Relationship Id="rId1197" Type="http://schemas.openxmlformats.org/officeDocument/2006/relationships/hyperlink" Target="https://clips.twitch.tv/PleasantSwissOctopusHassanChop-2s8gFKDvZu4e8IlS" TargetMode="External"/><Relationship Id="rId1198" Type="http://schemas.openxmlformats.org/officeDocument/2006/relationships/hyperlink" Target="https://www.twitch.tv/aether10n/clip/RefinedBeautifulApeMikeHogu-z83zAzqrYEdyG5ni" TargetMode="External"/><Relationship Id="rId1199" Type="http://schemas.openxmlformats.org/officeDocument/2006/relationships/hyperlink" Target="https://youtu.be/GuoEdRqCJUA" TargetMode="External"/><Relationship Id="rId599" Type="http://schemas.openxmlformats.org/officeDocument/2006/relationships/hyperlink" Target="https://youtu.be/oac-PkrzALo" TargetMode="External"/><Relationship Id="rId1180" Type="http://schemas.openxmlformats.org/officeDocument/2006/relationships/hyperlink" Target="https://www.twitch.tv/aether10n/clip/CreativeSparklyAntelopeMcaT-19kTJk1TACaTruo4" TargetMode="External"/><Relationship Id="rId1181" Type="http://schemas.openxmlformats.org/officeDocument/2006/relationships/hyperlink" Target="https://www.twitch.tv/aether10n/clip/CreativeSparklyAntelopeMcaT-19kTJk1TACaTruo4" TargetMode="External"/><Relationship Id="rId1182" Type="http://schemas.openxmlformats.org/officeDocument/2006/relationships/hyperlink" Target="https://youtu.be/piKroXFDh_g" TargetMode="External"/><Relationship Id="rId594" Type="http://schemas.openxmlformats.org/officeDocument/2006/relationships/hyperlink" Target="https://youtu.be/1-eSJVzzM0s" TargetMode="External"/><Relationship Id="rId1183" Type="http://schemas.openxmlformats.org/officeDocument/2006/relationships/hyperlink" Target="https://youtu.be/_rnQPr8577c" TargetMode="External"/><Relationship Id="rId593" Type="http://schemas.openxmlformats.org/officeDocument/2006/relationships/hyperlink" Target="https://www.youtube.com/watch?v=GxNlLITW9h8" TargetMode="External"/><Relationship Id="rId1184" Type="http://schemas.openxmlformats.org/officeDocument/2006/relationships/hyperlink" Target="https://youtu.be/GoFK2SUM8wY" TargetMode="External"/><Relationship Id="rId592" Type="http://schemas.openxmlformats.org/officeDocument/2006/relationships/hyperlink" Target="https://youtu.be/vDXyRMvfnaU" TargetMode="External"/><Relationship Id="rId1185" Type="http://schemas.openxmlformats.org/officeDocument/2006/relationships/hyperlink" Target="https://youtu.be/piKroXFDh_g" TargetMode="External"/><Relationship Id="rId591" Type="http://schemas.openxmlformats.org/officeDocument/2006/relationships/hyperlink" Target="https://www.twitch.tv/videos/890369851" TargetMode="External"/><Relationship Id="rId1186" Type="http://schemas.openxmlformats.org/officeDocument/2006/relationships/hyperlink" Target="https://clips.twitch.tv/ConcernedGloriousShrimpBudBlast-r9tB7gQiY9FEuOJo" TargetMode="External"/><Relationship Id="rId598" Type="http://schemas.openxmlformats.org/officeDocument/2006/relationships/hyperlink" Target="https://youtu.be/qOGRg7jwEbU" TargetMode="External"/><Relationship Id="rId1187" Type="http://schemas.openxmlformats.org/officeDocument/2006/relationships/hyperlink" Target="https://youtu.be/Mq0IH4pIWKY" TargetMode="External"/><Relationship Id="rId597" Type="http://schemas.openxmlformats.org/officeDocument/2006/relationships/hyperlink" Target="https://youtu.be/Gq6YQEliOpU" TargetMode="External"/><Relationship Id="rId1188" Type="http://schemas.openxmlformats.org/officeDocument/2006/relationships/hyperlink" Target="https://clips.twitch.tv/SweetDeafHumanTwitchRPG" TargetMode="External"/><Relationship Id="rId596" Type="http://schemas.openxmlformats.org/officeDocument/2006/relationships/hyperlink" Target="https://youtu.be/oac-PkrzALo" TargetMode="External"/><Relationship Id="rId1189" Type="http://schemas.openxmlformats.org/officeDocument/2006/relationships/hyperlink" Target="https://youtu.be/f_8GqHaONtY" TargetMode="External"/><Relationship Id="rId595" Type="http://schemas.openxmlformats.org/officeDocument/2006/relationships/hyperlink" Target="https://www.twitch.tv/videos/890369851" TargetMode="External"/><Relationship Id="rId1136" Type="http://schemas.openxmlformats.org/officeDocument/2006/relationships/hyperlink" Target="https://youtu.be/77VtvQsu_l4" TargetMode="External"/><Relationship Id="rId1137" Type="http://schemas.openxmlformats.org/officeDocument/2006/relationships/hyperlink" Target="https://www.youtube.com/watch?v=XDB0Q-95aYQ" TargetMode="External"/><Relationship Id="rId1138" Type="http://schemas.openxmlformats.org/officeDocument/2006/relationships/hyperlink" Target="https://clips.twitch.tv/JollyHeartlessRadicchioYouDontSay-DnTtZQb3yYj2G9y0" TargetMode="External"/><Relationship Id="rId1139" Type="http://schemas.openxmlformats.org/officeDocument/2006/relationships/hyperlink" Target="https://www.youtube.com/watch?v=_HQgQjbTLjM" TargetMode="External"/><Relationship Id="rId547" Type="http://schemas.openxmlformats.org/officeDocument/2006/relationships/hyperlink" Target="https://youtu.be/kgdFo-Rr8zE" TargetMode="External"/><Relationship Id="rId546" Type="http://schemas.openxmlformats.org/officeDocument/2006/relationships/hyperlink" Target="https://youtu.be/HWTfLToZMEw" TargetMode="External"/><Relationship Id="rId545" Type="http://schemas.openxmlformats.org/officeDocument/2006/relationships/hyperlink" Target="https://youtu.be/oqSoo8shf5E" TargetMode="External"/><Relationship Id="rId544" Type="http://schemas.openxmlformats.org/officeDocument/2006/relationships/hyperlink" Target="https://www.youtube.com/watch?v=3sIlIgRGsO4" TargetMode="External"/><Relationship Id="rId549" Type="http://schemas.openxmlformats.org/officeDocument/2006/relationships/hyperlink" Target="https://youtu.be/tJkEfz431oM" TargetMode="External"/><Relationship Id="rId548" Type="http://schemas.openxmlformats.org/officeDocument/2006/relationships/hyperlink" Target="https://youtu.be/DMmQF4bfdXk" TargetMode="External"/><Relationship Id="rId1130" Type="http://schemas.openxmlformats.org/officeDocument/2006/relationships/hyperlink" Target="https://youtu.be/ay95QYP-Zj0" TargetMode="External"/><Relationship Id="rId1131" Type="http://schemas.openxmlformats.org/officeDocument/2006/relationships/hyperlink" Target="https://youtu.be/JLmadWZDG3c" TargetMode="External"/><Relationship Id="rId543" Type="http://schemas.openxmlformats.org/officeDocument/2006/relationships/hyperlink" Target="https://youtu.be/JhVWra7g52o" TargetMode="External"/><Relationship Id="rId1132" Type="http://schemas.openxmlformats.org/officeDocument/2006/relationships/hyperlink" Target="https://www.youtube.com/watch?v=YsdtURJn1xU&amp;feature=youtu.be&amp;ab_channel=SMSArchives" TargetMode="External"/><Relationship Id="rId542" Type="http://schemas.openxmlformats.org/officeDocument/2006/relationships/hyperlink" Target="https://clips.twitch.tv/SmoggySplendidRavenDogFace-tmlMoCV-g_6KtMSK" TargetMode="External"/><Relationship Id="rId1133" Type="http://schemas.openxmlformats.org/officeDocument/2006/relationships/hyperlink" Target="https://www.youtube.com/watch?v=M79AHF5qCvY" TargetMode="External"/><Relationship Id="rId541" Type="http://schemas.openxmlformats.org/officeDocument/2006/relationships/hyperlink" Target="https://youtu.be/lI720L0pgPs" TargetMode="External"/><Relationship Id="rId1134" Type="http://schemas.openxmlformats.org/officeDocument/2006/relationships/hyperlink" Target="https://youtu.be/Gi-uIgkEpkg" TargetMode="External"/><Relationship Id="rId540" Type="http://schemas.openxmlformats.org/officeDocument/2006/relationships/hyperlink" Target="https://youtu.be/thAQ0QN9CCI" TargetMode="External"/><Relationship Id="rId1135" Type="http://schemas.openxmlformats.org/officeDocument/2006/relationships/hyperlink" Target="https://www.youtube.com/watch?v=VMuEtyCscuM" TargetMode="External"/><Relationship Id="rId1125" Type="http://schemas.openxmlformats.org/officeDocument/2006/relationships/hyperlink" Target="https://youtu.be/HJCHtf50t14" TargetMode="External"/><Relationship Id="rId1126" Type="http://schemas.openxmlformats.org/officeDocument/2006/relationships/hyperlink" Target="https://youtu.be/YgCTRfuRDaA" TargetMode="External"/><Relationship Id="rId1127" Type="http://schemas.openxmlformats.org/officeDocument/2006/relationships/hyperlink" Target="https://youtu.be/YG0aj2XJ_zk" TargetMode="External"/><Relationship Id="rId1128" Type="http://schemas.openxmlformats.org/officeDocument/2006/relationships/hyperlink" Target="https://www.youtube.com/watch?v=CZssXRsQhI4" TargetMode="External"/><Relationship Id="rId1129" Type="http://schemas.openxmlformats.org/officeDocument/2006/relationships/hyperlink" Target="https://www.youtube.com/watch?v=YsdtURJn1xU&amp;feature=youtu.be&amp;ab_channel=SMSArchives" TargetMode="External"/><Relationship Id="rId536" Type="http://schemas.openxmlformats.org/officeDocument/2006/relationships/hyperlink" Target="https://www.youtube.com/watch?v=9Mg_6zbqw68&amp;feature=youtu.be&amp;ab_channel=SMSArchives" TargetMode="External"/><Relationship Id="rId535" Type="http://schemas.openxmlformats.org/officeDocument/2006/relationships/hyperlink" Target="https://www.youtube.com/watch?v=skcVI4_NGxk&amp;ab_channel=InkstarTwo" TargetMode="External"/><Relationship Id="rId534" Type="http://schemas.openxmlformats.org/officeDocument/2006/relationships/hyperlink" Target="https://www.youtube.com/watch?v=A6BicvgEOJc" TargetMode="External"/><Relationship Id="rId533" Type="http://schemas.openxmlformats.org/officeDocument/2006/relationships/hyperlink" Target="https://clips.twitch.tv/GoodNurturingMeerkatFeelsBadMan" TargetMode="External"/><Relationship Id="rId539" Type="http://schemas.openxmlformats.org/officeDocument/2006/relationships/hyperlink" Target="https://clips.twitch.tv/SmoggySplendidRavenDogFace-tmlMoCV-g_6KtMSK" TargetMode="External"/><Relationship Id="rId538" Type="http://schemas.openxmlformats.org/officeDocument/2006/relationships/hyperlink" Target="https://youtu.be/N9_Ir9Dilcc?t=154" TargetMode="External"/><Relationship Id="rId537" Type="http://schemas.openxmlformats.org/officeDocument/2006/relationships/hyperlink" Target="https://youtu.be/skcVI4_NGxk" TargetMode="External"/><Relationship Id="rId1120" Type="http://schemas.openxmlformats.org/officeDocument/2006/relationships/hyperlink" Target="https://twitter.com/Qbe_Root/status/1242199278610788353" TargetMode="External"/><Relationship Id="rId532" Type="http://schemas.openxmlformats.org/officeDocument/2006/relationships/hyperlink" Target="https://clips.twitch.tv/SpotlessTriumphantGaurBudStar--xpKsXkMvpl2e0RE" TargetMode="External"/><Relationship Id="rId1121" Type="http://schemas.openxmlformats.org/officeDocument/2006/relationships/hyperlink" Target="https://youtu.be/_U38RXAaHgY" TargetMode="External"/><Relationship Id="rId531" Type="http://schemas.openxmlformats.org/officeDocument/2006/relationships/hyperlink" Target="https://www.youtube.com/watch?v=a1XOO8sZNYE&amp;feature=youtu.be&amp;ab_channel=SMSArchives" TargetMode="External"/><Relationship Id="rId1122" Type="http://schemas.openxmlformats.org/officeDocument/2006/relationships/hyperlink" Target="https://youtu.be/w-pDaOweHak" TargetMode="External"/><Relationship Id="rId530" Type="http://schemas.openxmlformats.org/officeDocument/2006/relationships/hyperlink" Target="https://www.youtube.com/watch?v=a1XOO8sZNYE&amp;feature=youtu.be&amp;ab_channel=SMSArchives" TargetMode="External"/><Relationship Id="rId1123" Type="http://schemas.openxmlformats.org/officeDocument/2006/relationships/hyperlink" Target="https://youtu.be/G-3wIeZGwFY" TargetMode="External"/><Relationship Id="rId1124" Type="http://schemas.openxmlformats.org/officeDocument/2006/relationships/hyperlink" Target="https://youtu.be/nxGLMDXr0XA" TargetMode="External"/><Relationship Id="rId1158" Type="http://schemas.openxmlformats.org/officeDocument/2006/relationships/hyperlink" Target="https://www.youtube.com/watch?v=HGHAevcTYJA" TargetMode="External"/><Relationship Id="rId1159" Type="http://schemas.openxmlformats.org/officeDocument/2006/relationships/hyperlink" Target="https://www.twitch.tv/inkstar/clip/CrackyHealthyPizzaPermaSmug-Xk4bvib1EvMdsx0H" TargetMode="External"/><Relationship Id="rId569" Type="http://schemas.openxmlformats.org/officeDocument/2006/relationships/hyperlink" Target="https://youtu.be/KrettlTfhBY" TargetMode="External"/><Relationship Id="rId568" Type="http://schemas.openxmlformats.org/officeDocument/2006/relationships/hyperlink" Target="https://youtu.be/jUoN6om1PxE" TargetMode="External"/><Relationship Id="rId567" Type="http://schemas.openxmlformats.org/officeDocument/2006/relationships/hyperlink" Target="https://youtu.be/F85FT2oYsu8" TargetMode="External"/><Relationship Id="rId566" Type="http://schemas.openxmlformats.org/officeDocument/2006/relationships/hyperlink" Target="https://youtu.be/KrettlTfhBY" TargetMode="External"/><Relationship Id="rId561" Type="http://schemas.openxmlformats.org/officeDocument/2006/relationships/hyperlink" Target="https://www.youtube.com/watch?v=jH2L4juA1t4&amp;ab_channel=SMSArchives" TargetMode="External"/><Relationship Id="rId1150" Type="http://schemas.openxmlformats.org/officeDocument/2006/relationships/hyperlink" Target="https://www.twitch.tv/inkstar/clip/BlushingOpenButterflyAMPTropPunch-apzUMbE8WN8ePxu-" TargetMode="External"/><Relationship Id="rId560" Type="http://schemas.openxmlformats.org/officeDocument/2006/relationships/hyperlink" Target="https://www.youtube.com/watch?v=bQXX4EJ04rY" TargetMode="External"/><Relationship Id="rId1151" Type="http://schemas.openxmlformats.org/officeDocument/2006/relationships/hyperlink" Target="https://youtu.be/3lfRGLYiubc" TargetMode="External"/><Relationship Id="rId1152" Type="http://schemas.openxmlformats.org/officeDocument/2006/relationships/hyperlink" Target="https://youtu.be/qCzEexPhnKQ" TargetMode="External"/><Relationship Id="rId1153" Type="http://schemas.openxmlformats.org/officeDocument/2006/relationships/hyperlink" Target="https://youtu.be/sEI2c0TH8WQ" TargetMode="External"/><Relationship Id="rId565" Type="http://schemas.openxmlformats.org/officeDocument/2006/relationships/hyperlink" Target="https://youtu.be/dcNViWNsH1A" TargetMode="External"/><Relationship Id="rId1154" Type="http://schemas.openxmlformats.org/officeDocument/2006/relationships/hyperlink" Target="https://www.twitch.tv/inkstar/clip/BlushingOpenButterflyAMPTropPunch-apzUMbE8WN8ePxu-" TargetMode="External"/><Relationship Id="rId564" Type="http://schemas.openxmlformats.org/officeDocument/2006/relationships/hyperlink" Target="https://youtu.be/VjSA7XxxBXc" TargetMode="External"/><Relationship Id="rId1155" Type="http://schemas.openxmlformats.org/officeDocument/2006/relationships/hyperlink" Target="https://youtu.be/pCbtVM3MKc0" TargetMode="External"/><Relationship Id="rId563" Type="http://schemas.openxmlformats.org/officeDocument/2006/relationships/hyperlink" Target="https://youtu.be/ddeEFsCOm9Q" TargetMode="External"/><Relationship Id="rId1156" Type="http://schemas.openxmlformats.org/officeDocument/2006/relationships/hyperlink" Target="https://www.youtube.com/watch?v=yMa3qFDjhe8" TargetMode="External"/><Relationship Id="rId562" Type="http://schemas.openxmlformats.org/officeDocument/2006/relationships/hyperlink" Target="https://youtu.be/9MA0wssCE4w" TargetMode="External"/><Relationship Id="rId1157" Type="http://schemas.openxmlformats.org/officeDocument/2006/relationships/hyperlink" Target="https://www.twitch.tv/shadowmario27/clip/SarcasticAgitatedNostrilRickroll-7DAp447grWNpKNt4" TargetMode="External"/><Relationship Id="rId1147" Type="http://schemas.openxmlformats.org/officeDocument/2006/relationships/hyperlink" Target="https://youtu.be/F73lmlcaOLE" TargetMode="External"/><Relationship Id="rId1148" Type="http://schemas.openxmlformats.org/officeDocument/2006/relationships/hyperlink" Target="https://www.twitch.tv/inkstar/clip/TardyPhilanthropicKittenDancingBaby-5zeOXtPtnRPMkn6i" TargetMode="External"/><Relationship Id="rId1149" Type="http://schemas.openxmlformats.org/officeDocument/2006/relationships/hyperlink" Target="https://www.youtube.com/watch?v=nLiLd6_bPzk" TargetMode="External"/><Relationship Id="rId558" Type="http://schemas.openxmlformats.org/officeDocument/2006/relationships/hyperlink" Target="https://www.youtube.com/watch?v=8BrDAvD-IV4" TargetMode="External"/><Relationship Id="rId557" Type="http://schemas.openxmlformats.org/officeDocument/2006/relationships/hyperlink" Target="https://www.youtube.com/watch?v=hNOd6v4dfiA" TargetMode="External"/><Relationship Id="rId556" Type="http://schemas.openxmlformats.org/officeDocument/2006/relationships/hyperlink" Target="https://www.twitch.tv/ssantaaries/clip/BlazingUnusualAnacondaSaltBae-TwcQbf16q9u-y6gC" TargetMode="External"/><Relationship Id="rId555" Type="http://schemas.openxmlformats.org/officeDocument/2006/relationships/hyperlink" Target="https://youtu.be/4aqw-ew_sN0" TargetMode="External"/><Relationship Id="rId559" Type="http://schemas.openxmlformats.org/officeDocument/2006/relationships/hyperlink" Target="https://youtu.be/96WGeA5rDy8" TargetMode="External"/><Relationship Id="rId550" Type="http://schemas.openxmlformats.org/officeDocument/2006/relationships/hyperlink" Target="https://youtu.be/DMmQF4bfdXk" TargetMode="External"/><Relationship Id="rId1140" Type="http://schemas.openxmlformats.org/officeDocument/2006/relationships/hyperlink" Target="https://x.com/175akane/status/1895102522722791579" TargetMode="External"/><Relationship Id="rId1141" Type="http://schemas.openxmlformats.org/officeDocument/2006/relationships/hyperlink" Target="https://youtu.be/yXAy_bJjzKw" TargetMode="External"/><Relationship Id="rId1142" Type="http://schemas.openxmlformats.org/officeDocument/2006/relationships/hyperlink" Target="https://x.com/175akane/status/1895102522722791579" TargetMode="External"/><Relationship Id="rId554" Type="http://schemas.openxmlformats.org/officeDocument/2006/relationships/hyperlink" Target="https://youtu.be/eCqXZSJbD5M" TargetMode="External"/><Relationship Id="rId1143" Type="http://schemas.openxmlformats.org/officeDocument/2006/relationships/hyperlink" Target="https://youtu.be/9io9LJ1awUw" TargetMode="External"/><Relationship Id="rId553" Type="http://schemas.openxmlformats.org/officeDocument/2006/relationships/hyperlink" Target="https://youtu.be/mybjZ1zHSGk" TargetMode="External"/><Relationship Id="rId1144" Type="http://schemas.openxmlformats.org/officeDocument/2006/relationships/hyperlink" Target="https://www.youtube.com/watch?v=O-X1HBQPGGE" TargetMode="External"/><Relationship Id="rId552" Type="http://schemas.openxmlformats.org/officeDocument/2006/relationships/hyperlink" Target="https://youtu.be/pwkumbdbfqo" TargetMode="External"/><Relationship Id="rId1145" Type="http://schemas.openxmlformats.org/officeDocument/2006/relationships/hyperlink" Target="https://www.youtube.com/watch?v=O-X1HBQPGGE" TargetMode="External"/><Relationship Id="rId551" Type="http://schemas.openxmlformats.org/officeDocument/2006/relationships/hyperlink" Target="https://www.youtube.com/watch?v=hNOd6v4dfiA" TargetMode="External"/><Relationship Id="rId1146" Type="http://schemas.openxmlformats.org/officeDocument/2006/relationships/hyperlink" Target="https://www.twitch.tv/inkstar/clip/TardyPhilanthropicKittenDancingBaby-5zeOXtPtnRPMkn6i" TargetMode="External"/><Relationship Id="rId495" Type="http://schemas.openxmlformats.org/officeDocument/2006/relationships/hyperlink" Target="https://www.twitch.tv/videos/856683769" TargetMode="External"/><Relationship Id="rId494" Type="http://schemas.openxmlformats.org/officeDocument/2006/relationships/hyperlink" Target="https://www.youtube.com/watch?v=nlpVGIHQnu0&amp;feature=youtu.be&amp;ab_channel=SMSArchives" TargetMode="External"/><Relationship Id="rId493" Type="http://schemas.openxmlformats.org/officeDocument/2006/relationships/hyperlink" Target="https://www.youtube.com/watch?v=TchMnAGP8Bk" TargetMode="External"/><Relationship Id="rId492" Type="http://schemas.openxmlformats.org/officeDocument/2006/relationships/hyperlink" Target="https://youtu.be/UsuIF4nmvII" TargetMode="External"/><Relationship Id="rId499" Type="http://schemas.openxmlformats.org/officeDocument/2006/relationships/hyperlink" Target="https://youtu.be/1YhwtzLmIUU" TargetMode="External"/><Relationship Id="rId498" Type="http://schemas.openxmlformats.org/officeDocument/2006/relationships/hyperlink" Target="https://youtu.be/LaMvBuhMiVE" TargetMode="External"/><Relationship Id="rId497" Type="http://schemas.openxmlformats.org/officeDocument/2006/relationships/hyperlink" Target="https://www.youtube.com/watch?v=_mPUbAGmz0g" TargetMode="External"/><Relationship Id="rId496" Type="http://schemas.openxmlformats.org/officeDocument/2006/relationships/hyperlink" Target="https://www.youtube.com/watch?v=TchMnAGP8Bk" TargetMode="External"/><Relationship Id="rId1213" Type="http://schemas.openxmlformats.org/officeDocument/2006/relationships/hyperlink" Target="https://www.youtube.com/watch?v=bDft59WCb6A&amp;ab_channel=BlazeRol" TargetMode="External"/><Relationship Id="rId1214" Type="http://schemas.openxmlformats.org/officeDocument/2006/relationships/hyperlink" Target="https://www.twitch.tv/videos/808225933" TargetMode="External"/><Relationship Id="rId1215" Type="http://schemas.openxmlformats.org/officeDocument/2006/relationships/hyperlink" Target="https://youtu.be/6dZGaGMo8gE" TargetMode="External"/><Relationship Id="rId1216" Type="http://schemas.openxmlformats.org/officeDocument/2006/relationships/hyperlink" Target="https://youtu.be/YWMdgPCpRyc" TargetMode="External"/><Relationship Id="rId1217" Type="http://schemas.openxmlformats.org/officeDocument/2006/relationships/hyperlink" Target="https://www.twitch.tv/videos/1809192497" TargetMode="External"/><Relationship Id="rId1218" Type="http://schemas.openxmlformats.org/officeDocument/2006/relationships/hyperlink" Target="https://www.youtube.com/watch?v=EK8_-Ah8QII" TargetMode="External"/><Relationship Id="rId1219" Type="http://schemas.openxmlformats.org/officeDocument/2006/relationships/hyperlink" Target="https://youtu.be/f4AreuHKFlM?si=th9x5nJrRudH4ENQ" TargetMode="External"/><Relationship Id="rId1210" Type="http://schemas.openxmlformats.org/officeDocument/2006/relationships/hyperlink" Target="https://youtu.be/jFqmAvCUMNo" TargetMode="External"/><Relationship Id="rId1211" Type="http://schemas.openxmlformats.org/officeDocument/2006/relationships/hyperlink" Target="https://youtu.be/yGcUiqA0QE4" TargetMode="External"/><Relationship Id="rId1212" Type="http://schemas.openxmlformats.org/officeDocument/2006/relationships/hyperlink" Target="https://www.youtube.com/watch?v=bDft59WCb6A&amp;ab_channel=BlazeRol" TargetMode="External"/><Relationship Id="rId1202" Type="http://schemas.openxmlformats.org/officeDocument/2006/relationships/hyperlink" Target="https://youtu.be/QutJOE7YxzU" TargetMode="External"/><Relationship Id="rId1203" Type="http://schemas.openxmlformats.org/officeDocument/2006/relationships/hyperlink" Target="https://youtu.be/JmmZFbgP4ps" TargetMode="External"/><Relationship Id="rId1204" Type="http://schemas.openxmlformats.org/officeDocument/2006/relationships/hyperlink" Target="https://youtu.be/tqJiUe6JxZ8" TargetMode="External"/><Relationship Id="rId1205" Type="http://schemas.openxmlformats.org/officeDocument/2006/relationships/hyperlink" Target="https://youtu.be/yGcUiqA0QE4" TargetMode="External"/><Relationship Id="rId1206" Type="http://schemas.openxmlformats.org/officeDocument/2006/relationships/hyperlink" Target="https://youtu.be/fLuUbbUxI24" TargetMode="External"/><Relationship Id="rId1207" Type="http://schemas.openxmlformats.org/officeDocument/2006/relationships/hyperlink" Target="https://youtu.be/-kB5hGjfQSU" TargetMode="External"/><Relationship Id="rId1208" Type="http://schemas.openxmlformats.org/officeDocument/2006/relationships/hyperlink" Target="https://youtu.be/dsfx15_DZFk" TargetMode="External"/><Relationship Id="rId1209" Type="http://schemas.openxmlformats.org/officeDocument/2006/relationships/hyperlink" Target="https://www.twitch.tv/videos/869291377" TargetMode="External"/><Relationship Id="rId1200" Type="http://schemas.openxmlformats.org/officeDocument/2006/relationships/hyperlink" Target="https://youtu.be/pjuSqRrbQw0" TargetMode="External"/><Relationship Id="rId1201" Type="http://schemas.openxmlformats.org/officeDocument/2006/relationships/hyperlink" Target="https://youtu.be/tqJiUe6JxZ8" TargetMode="External"/><Relationship Id="rId1235" Type="http://schemas.openxmlformats.org/officeDocument/2006/relationships/hyperlink" Target="https://youtu.be/1_5JGmRlN6w" TargetMode="External"/><Relationship Id="rId1236" Type="http://schemas.openxmlformats.org/officeDocument/2006/relationships/hyperlink" Target="https://youtu.be/3_nPcJFpNh4" TargetMode="External"/><Relationship Id="rId1237" Type="http://schemas.openxmlformats.org/officeDocument/2006/relationships/hyperlink" Target="https://youtu.be/7NJwryCrDdc" TargetMode="External"/><Relationship Id="rId1238" Type="http://schemas.openxmlformats.org/officeDocument/2006/relationships/hyperlink" Target="https://www.youtube.com/watch?v=JaKadV3160s" TargetMode="External"/><Relationship Id="rId1239" Type="http://schemas.openxmlformats.org/officeDocument/2006/relationships/hyperlink" Target="https://www.youtube.com/watch?v=X1Nvz0OVjbo" TargetMode="External"/><Relationship Id="rId409" Type="http://schemas.openxmlformats.org/officeDocument/2006/relationships/hyperlink" Target="https://www.youtube.com/watch?v=_0uxws2cszE" TargetMode="External"/><Relationship Id="rId404" Type="http://schemas.openxmlformats.org/officeDocument/2006/relationships/hyperlink" Target="https://clips.twitch.tv/TolerantSpineyAubergineBibleThump" TargetMode="External"/><Relationship Id="rId403" Type="http://schemas.openxmlformats.org/officeDocument/2006/relationships/hyperlink" Target="https://www.twitch.tv/aether10n/clip/SecretiveMotionlessFlamingoEleGiggle-dX_i24ZwR7hKqBhM" TargetMode="External"/><Relationship Id="rId402" Type="http://schemas.openxmlformats.org/officeDocument/2006/relationships/hyperlink" Target="https://youtu.be/aTY3e-8Ur2E" TargetMode="External"/><Relationship Id="rId401" Type="http://schemas.openxmlformats.org/officeDocument/2006/relationships/hyperlink" Target="https://clips.twitch.tv/SpineyKnottyHorseradishSoBayed" TargetMode="External"/><Relationship Id="rId408" Type="http://schemas.openxmlformats.org/officeDocument/2006/relationships/hyperlink" Target="https://youtu.be/3xl0rorWTjk" TargetMode="External"/><Relationship Id="rId407" Type="http://schemas.openxmlformats.org/officeDocument/2006/relationships/hyperlink" Target="https://www.youtube.com/watch?v=4aJoVSWl9HI" TargetMode="External"/><Relationship Id="rId406" Type="http://schemas.openxmlformats.org/officeDocument/2006/relationships/hyperlink" Target="https://youtu.be/hgxqNrMqpxU" TargetMode="External"/><Relationship Id="rId405" Type="http://schemas.openxmlformats.org/officeDocument/2006/relationships/hyperlink" Target="https://youtu.be/-gQZLsXAGa4" TargetMode="External"/><Relationship Id="rId1230" Type="http://schemas.openxmlformats.org/officeDocument/2006/relationships/hyperlink" Target="https://www.twitch.tv/videos/2102431211" TargetMode="External"/><Relationship Id="rId400" Type="http://schemas.openxmlformats.org/officeDocument/2006/relationships/hyperlink" Target="https://clips.twitch.tv/ElegantHardSnailDatSheffy" TargetMode="External"/><Relationship Id="rId1231" Type="http://schemas.openxmlformats.org/officeDocument/2006/relationships/hyperlink" Target="https://www.youtube.com/watch?v=M8W-R2v9qjI" TargetMode="External"/><Relationship Id="rId1232" Type="http://schemas.openxmlformats.org/officeDocument/2006/relationships/hyperlink" Target="https://www.youtube.com/watch?v=PAhmHx8a5HI" TargetMode="External"/><Relationship Id="rId1233" Type="http://schemas.openxmlformats.org/officeDocument/2006/relationships/hyperlink" Target="https://www.youtube.com/watch?v=gtrWpTdNVUg&amp;ab_channel=BlazeAlt" TargetMode="External"/><Relationship Id="rId1234" Type="http://schemas.openxmlformats.org/officeDocument/2006/relationships/hyperlink" Target="https://www.youtube.com/watch?v=ktspqYDiUWU&amp;ab_channel=BlazeAlt" TargetMode="External"/><Relationship Id="rId1224" Type="http://schemas.openxmlformats.org/officeDocument/2006/relationships/hyperlink" Target="https://youtu.be/FAOHSZG4Ahg" TargetMode="External"/><Relationship Id="rId1225" Type="http://schemas.openxmlformats.org/officeDocument/2006/relationships/hyperlink" Target="https://x.com/inkstarLum/status/1768171081377136966?s=20" TargetMode="External"/><Relationship Id="rId1226" Type="http://schemas.openxmlformats.org/officeDocument/2006/relationships/hyperlink" Target="https://www.youtube.com/watch?v=gtrWpTdNVUg&amp;ab_channel=BlazeAlt" TargetMode="External"/><Relationship Id="rId1227" Type="http://schemas.openxmlformats.org/officeDocument/2006/relationships/hyperlink" Target="https://youtu.be/d4K-W3OcMiQ" TargetMode="External"/><Relationship Id="rId1228" Type="http://schemas.openxmlformats.org/officeDocument/2006/relationships/hyperlink" Target="https://youtu.be/Q_V-NqI0qKI" TargetMode="External"/><Relationship Id="rId1229" Type="http://schemas.openxmlformats.org/officeDocument/2006/relationships/hyperlink" Target="https://youtu.be/kCGtwQCkd8M" TargetMode="External"/><Relationship Id="rId1220" Type="http://schemas.openxmlformats.org/officeDocument/2006/relationships/hyperlink" Target="https://youtu.be/f4AreuHKFlM?si=th9x5nJrRudH4ENQ" TargetMode="External"/><Relationship Id="rId1221" Type="http://schemas.openxmlformats.org/officeDocument/2006/relationships/hyperlink" Target="https://youtu.be/pH_L2HTbpSw" TargetMode="External"/><Relationship Id="rId1222" Type="http://schemas.openxmlformats.org/officeDocument/2006/relationships/hyperlink" Target="https://youtu.be/pH_L2HTbpSw" TargetMode="External"/><Relationship Id="rId1223" Type="http://schemas.openxmlformats.org/officeDocument/2006/relationships/hyperlink" Target="https://x.com/inkstarLum/status/1768171081377136966?s=20" TargetMode="External"/><Relationship Id="rId469" Type="http://schemas.openxmlformats.org/officeDocument/2006/relationships/hyperlink" Target="https://www.youtube.com/watch?v=Q8qm2_AF_dQ" TargetMode="External"/><Relationship Id="rId468" Type="http://schemas.openxmlformats.org/officeDocument/2006/relationships/hyperlink" Target="https://www.youtube.com/watch?v=NI-NJqZps9Q" TargetMode="External"/><Relationship Id="rId467" Type="http://schemas.openxmlformats.org/officeDocument/2006/relationships/hyperlink" Target="https://www.twitch.tv/aether10n/clip/AlertPeacefulWasabiNononoCat-08996oDwELHvoZkv" TargetMode="External"/><Relationship Id="rId1290" Type="http://schemas.openxmlformats.org/officeDocument/2006/relationships/hyperlink" Target="https://youtu.be/W2qcH9W0i-s" TargetMode="External"/><Relationship Id="rId1291" Type="http://schemas.openxmlformats.org/officeDocument/2006/relationships/hyperlink" Target="https://youtu.be/uNx6NSup6aM" TargetMode="External"/><Relationship Id="rId1292" Type="http://schemas.openxmlformats.org/officeDocument/2006/relationships/hyperlink" Target="https://youtu.be/a2MRHB-JXU0" TargetMode="External"/><Relationship Id="rId462" Type="http://schemas.openxmlformats.org/officeDocument/2006/relationships/hyperlink" Target="https://www.twitch.tv/aether10n/clip/GloriousSplendidCamelRickroll-b_9cf9_5XTNLJNUR" TargetMode="External"/><Relationship Id="rId1293" Type="http://schemas.openxmlformats.org/officeDocument/2006/relationships/hyperlink" Target="https://clips.twitch.tv/FantasticSleepyCourgetteDatSheffy" TargetMode="External"/><Relationship Id="rId461" Type="http://schemas.openxmlformats.org/officeDocument/2006/relationships/hyperlink" Target="https://youtu.be/wghWha2LlQw" TargetMode="External"/><Relationship Id="rId1294" Type="http://schemas.openxmlformats.org/officeDocument/2006/relationships/hyperlink" Target="https://youtu.be/xOek-DUeh94?t=7" TargetMode="External"/><Relationship Id="rId460" Type="http://schemas.openxmlformats.org/officeDocument/2006/relationships/hyperlink" Target="https://www.youtube.com/watch?v=FyBi2NFueT8&amp;feature=youtu.be" TargetMode="External"/><Relationship Id="rId1295" Type="http://schemas.openxmlformats.org/officeDocument/2006/relationships/hyperlink" Target="https://youtu.be/D2-wF0sDV0U" TargetMode="External"/><Relationship Id="rId1296" Type="http://schemas.openxmlformats.org/officeDocument/2006/relationships/hyperlink" Target="https://www.twitch.tv/aether10n/clip/CrazyPuzzledGuanacoYouWHY-MXJO81Azr6ySA-zX" TargetMode="External"/><Relationship Id="rId466" Type="http://schemas.openxmlformats.org/officeDocument/2006/relationships/hyperlink" Target="https://youtu.be/IHfq0qyUhxY" TargetMode="External"/><Relationship Id="rId1297" Type="http://schemas.openxmlformats.org/officeDocument/2006/relationships/hyperlink" Target="https://www.youtube.com/watch?v=BxN9IYgkrlk" TargetMode="External"/><Relationship Id="rId465" Type="http://schemas.openxmlformats.org/officeDocument/2006/relationships/hyperlink" Target="https://www.youtube.com/watch?v=NZZVHtzpGf8&amp;feature=youtu.be" TargetMode="External"/><Relationship Id="rId1298" Type="http://schemas.openxmlformats.org/officeDocument/2006/relationships/hyperlink" Target="https://www.youtube.com/watch?v=vye8WFMG2MY&amp;feature=youtu.be&amp;ab_channel=SMSArchives" TargetMode="External"/><Relationship Id="rId464" Type="http://schemas.openxmlformats.org/officeDocument/2006/relationships/hyperlink" Target="https://youtu.be/o55fBVwFGds" TargetMode="External"/><Relationship Id="rId1299" Type="http://schemas.openxmlformats.org/officeDocument/2006/relationships/hyperlink" Target="https://www.youtube.com/watch?v=vye8WFMG2MY&amp;feature=youtu.be&amp;ab_channel=SMSArchives" TargetMode="External"/><Relationship Id="rId463" Type="http://schemas.openxmlformats.org/officeDocument/2006/relationships/hyperlink" Target="https://www.youtube.com/watch?v=Q8qm2_AF_dQ" TargetMode="External"/><Relationship Id="rId459" Type="http://schemas.openxmlformats.org/officeDocument/2006/relationships/hyperlink" Target="https://www.youtube.com/watch?v=FyBi2NFueT8&amp;feature=youtu.be" TargetMode="External"/><Relationship Id="rId458" Type="http://schemas.openxmlformats.org/officeDocument/2006/relationships/hyperlink" Target="https://www.twitch.tv/aether10n/clip/BeautifulFamousArtichokeHoneyBadger-elvDNhSRj5C9_fkZ" TargetMode="External"/><Relationship Id="rId457" Type="http://schemas.openxmlformats.org/officeDocument/2006/relationships/hyperlink" Target="https://www.twitch.tv/inkstar/clip/CoySincereLettuceTBTacoLeft-e4p42wsWccRsq9Ps" TargetMode="External"/><Relationship Id="rId456" Type="http://schemas.openxmlformats.org/officeDocument/2006/relationships/hyperlink" Target="https://www.twitch.tv/inkstar/clip/CoySincereLettuceTBTacoLeft-e4p42wsWccRsq9Ps" TargetMode="External"/><Relationship Id="rId1280" Type="http://schemas.openxmlformats.org/officeDocument/2006/relationships/hyperlink" Target="https://youtu.be/pLwKgRC1wcQ?si=MiabHgRiAXN8vLHS" TargetMode="External"/><Relationship Id="rId1281" Type="http://schemas.openxmlformats.org/officeDocument/2006/relationships/hyperlink" Target="https://youtu.be/6gDUknvuEMg" TargetMode="External"/><Relationship Id="rId451" Type="http://schemas.openxmlformats.org/officeDocument/2006/relationships/hyperlink" Target="https://youtu.be/cyARbOEbcGg" TargetMode="External"/><Relationship Id="rId1282" Type="http://schemas.openxmlformats.org/officeDocument/2006/relationships/hyperlink" Target="https://clips.twitch.tv/CautiousFriendlyFrogTheThing-6Jrgc8jtaiq8q8CQ" TargetMode="External"/><Relationship Id="rId450" Type="http://schemas.openxmlformats.org/officeDocument/2006/relationships/hyperlink" Target="https://www.twitch.tv/planktonsecretformula/clip/ToughNeighborlyMushroomPunchTrees-ZudYht4OExB1Ie7s" TargetMode="External"/><Relationship Id="rId1283" Type="http://schemas.openxmlformats.org/officeDocument/2006/relationships/hyperlink" Target="https://youtu.be/LSvQoslgvzg" TargetMode="External"/><Relationship Id="rId1284" Type="http://schemas.openxmlformats.org/officeDocument/2006/relationships/hyperlink" Target="https://clips.twitch.tv/FantasticSleepyCourgetteDatSheffy" TargetMode="External"/><Relationship Id="rId1285" Type="http://schemas.openxmlformats.org/officeDocument/2006/relationships/hyperlink" Target="https://youtu.be/nlhLZdCIzV0" TargetMode="External"/><Relationship Id="rId455" Type="http://schemas.openxmlformats.org/officeDocument/2006/relationships/hyperlink" Target="https://youtu.be/OM-F4f6zQao" TargetMode="External"/><Relationship Id="rId1286" Type="http://schemas.openxmlformats.org/officeDocument/2006/relationships/hyperlink" Target="https://youtu.be/gRYcsS32LEE" TargetMode="External"/><Relationship Id="rId454" Type="http://schemas.openxmlformats.org/officeDocument/2006/relationships/hyperlink" Target="https://clips.twitch.tv/DarlingBusyElephantRickroll" TargetMode="External"/><Relationship Id="rId1287" Type="http://schemas.openxmlformats.org/officeDocument/2006/relationships/hyperlink" Target="https://clips.twitch.tv/HardColdWatercressKappa-JBoKqGvZ-Zv53GMh" TargetMode="External"/><Relationship Id="rId453" Type="http://schemas.openxmlformats.org/officeDocument/2006/relationships/hyperlink" Target="https://youtu.be/ivUTsBzfDHg" TargetMode="External"/><Relationship Id="rId1288" Type="http://schemas.openxmlformats.org/officeDocument/2006/relationships/hyperlink" Target="https://youtu.be/pnewRURW5ps" TargetMode="External"/><Relationship Id="rId452" Type="http://schemas.openxmlformats.org/officeDocument/2006/relationships/hyperlink" Target="https://youtu.be/qXTC3c4_020" TargetMode="External"/><Relationship Id="rId1289" Type="http://schemas.openxmlformats.org/officeDocument/2006/relationships/hyperlink" Target="https://youtu.be/DKv_4rurSS0" TargetMode="External"/><Relationship Id="rId491" Type="http://schemas.openxmlformats.org/officeDocument/2006/relationships/hyperlink" Target="https://youtu.be/UsuIF4nmvII" TargetMode="External"/><Relationship Id="rId490" Type="http://schemas.openxmlformats.org/officeDocument/2006/relationships/hyperlink" Target="https://youtu.be/zIoDxqcx17s" TargetMode="External"/><Relationship Id="rId489" Type="http://schemas.openxmlformats.org/officeDocument/2006/relationships/hyperlink" Target="https://youtu.be/QvN0zOZzm3E" TargetMode="External"/><Relationship Id="rId484" Type="http://schemas.openxmlformats.org/officeDocument/2006/relationships/hyperlink" Target="https://clips.twitch.tv/ProudGorgeousPanJKanStyle-9IQRDaMr0xql6Q4q" TargetMode="External"/><Relationship Id="rId483" Type="http://schemas.openxmlformats.org/officeDocument/2006/relationships/hyperlink" Target="https://youtu.be/rhH-obBC7Xs" TargetMode="External"/><Relationship Id="rId482" Type="http://schemas.openxmlformats.org/officeDocument/2006/relationships/hyperlink" Target="https://x.com/inkstarLum/status/1776195262429687861" TargetMode="External"/><Relationship Id="rId481" Type="http://schemas.openxmlformats.org/officeDocument/2006/relationships/hyperlink" Target="https://youtu.be/jz0wywOgWQo" TargetMode="External"/><Relationship Id="rId488" Type="http://schemas.openxmlformats.org/officeDocument/2006/relationships/hyperlink" Target="https://www.youtube.com/watch?v=mBiqa6naBR0" TargetMode="External"/><Relationship Id="rId487" Type="http://schemas.openxmlformats.org/officeDocument/2006/relationships/hyperlink" Target="https://youtu.be/HhtAzPsIKGw" TargetMode="External"/><Relationship Id="rId486" Type="http://schemas.openxmlformats.org/officeDocument/2006/relationships/hyperlink" Target="https://x.com/inkstarLum/status/1776195262429687861" TargetMode="External"/><Relationship Id="rId485" Type="http://schemas.openxmlformats.org/officeDocument/2006/relationships/hyperlink" Target="https://www.youtube.com/watch?v=fHBpa4uY7Q4&amp;ab_channel=SMSArchives" TargetMode="External"/><Relationship Id="rId480" Type="http://schemas.openxmlformats.org/officeDocument/2006/relationships/hyperlink" Target="https://clips.twitch.tv/AttractiveSourHorseAliens-8MAdcbWd07IbjGRo" TargetMode="External"/><Relationship Id="rId479" Type="http://schemas.openxmlformats.org/officeDocument/2006/relationships/hyperlink" Target="https://www.youtube.com/watch?v=r_uswKCtAME&amp;ab_channel=SMSArchives" TargetMode="External"/><Relationship Id="rId478" Type="http://schemas.openxmlformats.org/officeDocument/2006/relationships/hyperlink" Target="https://www.youtube.com/watch?v=r_uswKCtAME&amp;ab_channel=SMSArchives" TargetMode="External"/><Relationship Id="rId473" Type="http://schemas.openxmlformats.org/officeDocument/2006/relationships/hyperlink" Target="https://www.youtube.com/watch?v=WqAXi6iCEwI" TargetMode="External"/><Relationship Id="rId472" Type="http://schemas.openxmlformats.org/officeDocument/2006/relationships/hyperlink" Target="https://youtu.be/qbES-1fpez4" TargetMode="External"/><Relationship Id="rId471" Type="http://schemas.openxmlformats.org/officeDocument/2006/relationships/hyperlink" Target="https://youtu.be/sLMhwY_FnEE" TargetMode="External"/><Relationship Id="rId470" Type="http://schemas.openxmlformats.org/officeDocument/2006/relationships/hyperlink" Target="https://youtu.be/qbES-1fpez4" TargetMode="External"/><Relationship Id="rId477" Type="http://schemas.openxmlformats.org/officeDocument/2006/relationships/hyperlink" Target="https://www.twitch.tv/videos/612666609" TargetMode="External"/><Relationship Id="rId476" Type="http://schemas.openxmlformats.org/officeDocument/2006/relationships/hyperlink" Target="https://youtu.be/IykrRIN2X6c" TargetMode="External"/><Relationship Id="rId475" Type="http://schemas.openxmlformats.org/officeDocument/2006/relationships/hyperlink" Target="https://youtu.be/IykrRIN2X6c" TargetMode="External"/><Relationship Id="rId474" Type="http://schemas.openxmlformats.org/officeDocument/2006/relationships/hyperlink" Target="https://clips.twitch.tv/TolerantProtectiveCobraUWot-kWAtwkWnge7PZSrc" TargetMode="External"/><Relationship Id="rId1257" Type="http://schemas.openxmlformats.org/officeDocument/2006/relationships/hyperlink" Target="https://youtu.be/qVPBC4Ih0h8" TargetMode="External"/><Relationship Id="rId1258" Type="http://schemas.openxmlformats.org/officeDocument/2006/relationships/hyperlink" Target="https://youtu.be/mhrWJKYZoko" TargetMode="External"/><Relationship Id="rId1259" Type="http://schemas.openxmlformats.org/officeDocument/2006/relationships/hyperlink" Target="https://www.youtube.com/watch?v=KBQE1RNMXCk" TargetMode="External"/><Relationship Id="rId426" Type="http://schemas.openxmlformats.org/officeDocument/2006/relationships/hyperlink" Target="https://youtu.be/qqRX8pnVdmo" TargetMode="External"/><Relationship Id="rId425" Type="http://schemas.openxmlformats.org/officeDocument/2006/relationships/hyperlink" Target="https://youtu.be/Rc6VWDe0WjU" TargetMode="External"/><Relationship Id="rId424" Type="http://schemas.openxmlformats.org/officeDocument/2006/relationships/hyperlink" Target="https://youtu.be/N5ZBogC9UIs" TargetMode="External"/><Relationship Id="rId423" Type="http://schemas.openxmlformats.org/officeDocument/2006/relationships/hyperlink" Target="https://youtu.be/YjLq0SbxmNk" TargetMode="External"/><Relationship Id="rId429" Type="http://schemas.openxmlformats.org/officeDocument/2006/relationships/hyperlink" Target="https://clips.twitch.tv/ComfortableAmorphousReindeerShazBotstix-wHF6gyV4iRvB2YCw" TargetMode="External"/><Relationship Id="rId428" Type="http://schemas.openxmlformats.org/officeDocument/2006/relationships/hyperlink" Target="https://www.twitch.tv/ssantaaries/clip/ConsiderateAnimatedGorillaKappaClaus-DES7GEUcN_uNheoA" TargetMode="External"/><Relationship Id="rId427" Type="http://schemas.openxmlformats.org/officeDocument/2006/relationships/hyperlink" Target="https://youtu.be/dDiol5m4OFw" TargetMode="External"/><Relationship Id="rId1250" Type="http://schemas.openxmlformats.org/officeDocument/2006/relationships/hyperlink" Target="https://youtu.be/fKJtOX5VTVs" TargetMode="External"/><Relationship Id="rId1251" Type="http://schemas.openxmlformats.org/officeDocument/2006/relationships/hyperlink" Target="https://youtu.be/fKJtOX5VTVs" TargetMode="External"/><Relationship Id="rId1252" Type="http://schemas.openxmlformats.org/officeDocument/2006/relationships/hyperlink" Target="https://youtu.be/_8mHUGcCLXk" TargetMode="External"/><Relationship Id="rId422" Type="http://schemas.openxmlformats.org/officeDocument/2006/relationships/hyperlink" Target="https://youtu.be/Rc6VWDe0WjU" TargetMode="External"/><Relationship Id="rId1253" Type="http://schemas.openxmlformats.org/officeDocument/2006/relationships/hyperlink" Target="https://youtu.be/d1pIDOnKiNA" TargetMode="External"/><Relationship Id="rId421" Type="http://schemas.openxmlformats.org/officeDocument/2006/relationships/hyperlink" Target="https://www.twitch.tv/aether10n/clip/CoweringGlamorousSheepSSSsss-idoS80iAIkvYDnuL" TargetMode="External"/><Relationship Id="rId1254" Type="http://schemas.openxmlformats.org/officeDocument/2006/relationships/hyperlink" Target="https://www.twitch.tv/ssantaaries/clip/BlitheDignifiedGiraffeStoneLightning-V562fuLoYebX-PpU" TargetMode="External"/><Relationship Id="rId420" Type="http://schemas.openxmlformats.org/officeDocument/2006/relationships/hyperlink" Target="https://clips.twitch.tv/SarcasticJollyFishDuDudu-5bAWp_X3vkdNSoFw" TargetMode="External"/><Relationship Id="rId1255" Type="http://schemas.openxmlformats.org/officeDocument/2006/relationships/hyperlink" Target="https://youtu.be/qhsk0_xApu4" TargetMode="External"/><Relationship Id="rId1256" Type="http://schemas.openxmlformats.org/officeDocument/2006/relationships/hyperlink" Target="https://youtu.be/SwOZUM215a4" TargetMode="External"/><Relationship Id="rId1246" Type="http://schemas.openxmlformats.org/officeDocument/2006/relationships/hyperlink" Target="https://youtu.be/NL7vDlxqFC4" TargetMode="External"/><Relationship Id="rId1247" Type="http://schemas.openxmlformats.org/officeDocument/2006/relationships/hyperlink" Target="https://youtu.be/xOek-DUeh94?t=7" TargetMode="External"/><Relationship Id="rId1248" Type="http://schemas.openxmlformats.org/officeDocument/2006/relationships/hyperlink" Target="https://clips.twitch.tv/GenerousSaltySoybeanVoHiYo-zcwH8eSvkOHDfK7t" TargetMode="External"/><Relationship Id="rId1249" Type="http://schemas.openxmlformats.org/officeDocument/2006/relationships/hyperlink" Target="https://twitter.com/Qbe_Root/status/1338624368889516033" TargetMode="External"/><Relationship Id="rId415" Type="http://schemas.openxmlformats.org/officeDocument/2006/relationships/hyperlink" Target="https://clips.twitch.tv/PhilanthropicCharmingFishKippa-bjFYCIzgNaxXnecZ" TargetMode="External"/><Relationship Id="rId414" Type="http://schemas.openxmlformats.org/officeDocument/2006/relationships/hyperlink" Target="https://twitter.com/Qbe_Root/status/1346645199200641025" TargetMode="External"/><Relationship Id="rId413" Type="http://schemas.openxmlformats.org/officeDocument/2006/relationships/hyperlink" Target="https://youtu.be/tWnEJ552jZY" TargetMode="External"/><Relationship Id="rId412" Type="http://schemas.openxmlformats.org/officeDocument/2006/relationships/hyperlink" Target="https://www.twitch.tv/videos/840944056" TargetMode="External"/><Relationship Id="rId419" Type="http://schemas.openxmlformats.org/officeDocument/2006/relationships/hyperlink" Target="https://youtu.be/PK4_NQplfSc" TargetMode="External"/><Relationship Id="rId418" Type="http://schemas.openxmlformats.org/officeDocument/2006/relationships/hyperlink" Target="https://youtu.be/xNRvRftBNUo" TargetMode="External"/><Relationship Id="rId417" Type="http://schemas.openxmlformats.org/officeDocument/2006/relationships/hyperlink" Target="https://youtu.be/xNRvRftBNUo" TargetMode="External"/><Relationship Id="rId416" Type="http://schemas.openxmlformats.org/officeDocument/2006/relationships/hyperlink" Target="https://clips.twitch.tv/TolerantSpineyAubergineBibleThump" TargetMode="External"/><Relationship Id="rId1240" Type="http://schemas.openxmlformats.org/officeDocument/2006/relationships/hyperlink" Target="https://www.youtube.com/watch?v=ktspqYDiUWU&amp;ab_channel=BlazeAlt" TargetMode="External"/><Relationship Id="rId1241" Type="http://schemas.openxmlformats.org/officeDocument/2006/relationships/hyperlink" Target="https://youtu.be/o8vEvZIvDbg" TargetMode="External"/><Relationship Id="rId411" Type="http://schemas.openxmlformats.org/officeDocument/2006/relationships/hyperlink" Target="https://www.twitch.tv/aether10n/clip/HeartlessLazyHarePeteZaroll-9PE7wfgOLmCoGYtY" TargetMode="External"/><Relationship Id="rId1242" Type="http://schemas.openxmlformats.org/officeDocument/2006/relationships/hyperlink" Target="https://youtu.be/o8vEvZIvDbg" TargetMode="External"/><Relationship Id="rId410" Type="http://schemas.openxmlformats.org/officeDocument/2006/relationships/hyperlink" Target="https://clips.twitch.tv/RepleteDeafAntStinkyCheese-anfsxm0s2l94J31M" TargetMode="External"/><Relationship Id="rId1243" Type="http://schemas.openxmlformats.org/officeDocument/2006/relationships/hyperlink" Target="https://youtu.be/D7QvsLp60gM" TargetMode="External"/><Relationship Id="rId1244" Type="http://schemas.openxmlformats.org/officeDocument/2006/relationships/hyperlink" Target="https://youtu.be/ABAwt06qHCA" TargetMode="External"/><Relationship Id="rId1245" Type="http://schemas.openxmlformats.org/officeDocument/2006/relationships/hyperlink" Target="https://youtu.be/yHmKt-zuhNU" TargetMode="External"/><Relationship Id="rId1279" Type="http://schemas.openxmlformats.org/officeDocument/2006/relationships/hyperlink" Target="https://youtu.be/g0TzG3AIDzM" TargetMode="External"/><Relationship Id="rId448" Type="http://schemas.openxmlformats.org/officeDocument/2006/relationships/hyperlink" Target="https://clips.twitch.tv/OpenSpunkyChipmunkCharlietheUnicorn-RAP3dbZVmU3T3u9N" TargetMode="External"/><Relationship Id="rId447" Type="http://schemas.openxmlformats.org/officeDocument/2006/relationships/hyperlink" Target="https://youtu.be/Sl0Ip2EdlzE" TargetMode="External"/><Relationship Id="rId446" Type="http://schemas.openxmlformats.org/officeDocument/2006/relationships/hyperlink" Target="https://clips.twitch.tv/AbrasiveFaintWalrusDeIlluminati-Ui-LhTee6YXHRMeJ" TargetMode="External"/><Relationship Id="rId445" Type="http://schemas.openxmlformats.org/officeDocument/2006/relationships/hyperlink" Target="https://youtu.be/opifkfe-dIg" TargetMode="External"/><Relationship Id="rId449" Type="http://schemas.openxmlformats.org/officeDocument/2006/relationships/hyperlink" Target="https://clips.twitch.tv/InventiveEnthusiasticGarageSquadGoals-26jYPHA8EYeT8qir" TargetMode="External"/><Relationship Id="rId1270" Type="http://schemas.openxmlformats.org/officeDocument/2006/relationships/hyperlink" Target="https://youtu.be/2WfyXESh6_g" TargetMode="External"/><Relationship Id="rId440" Type="http://schemas.openxmlformats.org/officeDocument/2006/relationships/hyperlink" Target="https://youtu.be/ndEtha1Ip-w" TargetMode="External"/><Relationship Id="rId1271" Type="http://schemas.openxmlformats.org/officeDocument/2006/relationships/hyperlink" Target="https://www.youtube.com/watch?v=qKpHpTvJ0CE&amp;feature=youtu.be&amp;ab_channel=SMSArchives" TargetMode="External"/><Relationship Id="rId1272" Type="http://schemas.openxmlformats.org/officeDocument/2006/relationships/hyperlink" Target="https://www.youtube.com/watch?v=j6qBJ-9nvnE" TargetMode="External"/><Relationship Id="rId1273" Type="http://schemas.openxmlformats.org/officeDocument/2006/relationships/hyperlink" Target="https://youtu.be/zw7IMG-cM2U" TargetMode="External"/><Relationship Id="rId1274" Type="http://schemas.openxmlformats.org/officeDocument/2006/relationships/hyperlink" Target="https://www.youtube.com/watch?v=WPlkURzFGl4" TargetMode="External"/><Relationship Id="rId444" Type="http://schemas.openxmlformats.org/officeDocument/2006/relationships/hyperlink" Target="https://youtu.be/5jJnXigEYDQ" TargetMode="External"/><Relationship Id="rId1275" Type="http://schemas.openxmlformats.org/officeDocument/2006/relationships/hyperlink" Target="https://youtu.be/mN__5d2W06g" TargetMode="External"/><Relationship Id="rId443" Type="http://schemas.openxmlformats.org/officeDocument/2006/relationships/hyperlink" Target="https://youtu.be/ESaWgtJH2bY" TargetMode="External"/><Relationship Id="rId1276" Type="http://schemas.openxmlformats.org/officeDocument/2006/relationships/hyperlink" Target="https://www.youtube.com/watch?v=WPlkURzFGl4" TargetMode="External"/><Relationship Id="rId442" Type="http://schemas.openxmlformats.org/officeDocument/2006/relationships/hyperlink" Target="https://www.youtube.com/watch?v=uvqnls4dHKg" TargetMode="External"/><Relationship Id="rId1277" Type="http://schemas.openxmlformats.org/officeDocument/2006/relationships/hyperlink" Target="https://www.youtube.com/watch?v=g64Lv1yuMVk" TargetMode="External"/><Relationship Id="rId441" Type="http://schemas.openxmlformats.org/officeDocument/2006/relationships/hyperlink" Target="https://youtu.be/j3XBEoJRtLY" TargetMode="External"/><Relationship Id="rId1278" Type="http://schemas.openxmlformats.org/officeDocument/2006/relationships/hyperlink" Target="https://youtu.be/xMNY-4KA8TA" TargetMode="External"/><Relationship Id="rId1268" Type="http://schemas.openxmlformats.org/officeDocument/2006/relationships/hyperlink" Target="https://www.twitch.tv/aether10n/clip/BoringCautiousHeronVoteNay-I-oO-nDiPalIllQ8" TargetMode="External"/><Relationship Id="rId1269" Type="http://schemas.openxmlformats.org/officeDocument/2006/relationships/hyperlink" Target="https://youtu.be/zw7IMG-cM2U" TargetMode="External"/><Relationship Id="rId437" Type="http://schemas.openxmlformats.org/officeDocument/2006/relationships/hyperlink" Target="https://www.twitch.tv/aether10n/clip/ThoughtfulBoldLardPastaThat-94jLJblM8OQLEdLL" TargetMode="External"/><Relationship Id="rId436" Type="http://schemas.openxmlformats.org/officeDocument/2006/relationships/hyperlink" Target="https://www.youtube.com/watch?v=SpbulNjmJbo" TargetMode="External"/><Relationship Id="rId435" Type="http://schemas.openxmlformats.org/officeDocument/2006/relationships/hyperlink" Target="https://twitter.com/Qbe_Root/status/1407173593981652993" TargetMode="External"/><Relationship Id="rId434" Type="http://schemas.openxmlformats.org/officeDocument/2006/relationships/hyperlink" Target="https://youtu.be/lbpf60bY-Yg" TargetMode="External"/><Relationship Id="rId439" Type="http://schemas.openxmlformats.org/officeDocument/2006/relationships/hyperlink" Target="https://youtu.be/j3XBEoJRtLY" TargetMode="External"/><Relationship Id="rId438" Type="http://schemas.openxmlformats.org/officeDocument/2006/relationships/hyperlink" Target="https://www.youtube.com/watch?v=SpbulNjmJbo" TargetMode="External"/><Relationship Id="rId1260" Type="http://schemas.openxmlformats.org/officeDocument/2006/relationships/hyperlink" Target="https://youtu.be/bvT2H20WTh4" TargetMode="External"/><Relationship Id="rId1261" Type="http://schemas.openxmlformats.org/officeDocument/2006/relationships/hyperlink" Target="https://www.youtube.com/watch?v=ZuZfUFOHDs4" TargetMode="External"/><Relationship Id="rId1262" Type="http://schemas.openxmlformats.org/officeDocument/2006/relationships/hyperlink" Target="https://youtu.be/_UxpkHRvMQM" TargetMode="External"/><Relationship Id="rId1263" Type="http://schemas.openxmlformats.org/officeDocument/2006/relationships/hyperlink" Target="https://youtu.be/_UxpkHRvMQM" TargetMode="External"/><Relationship Id="rId433" Type="http://schemas.openxmlformats.org/officeDocument/2006/relationships/hyperlink" Target="https://youtu.be/rS1P4GYv0oY" TargetMode="External"/><Relationship Id="rId1264" Type="http://schemas.openxmlformats.org/officeDocument/2006/relationships/hyperlink" Target="https://youtu.be/i3fo9ed4F_o" TargetMode="External"/><Relationship Id="rId432" Type="http://schemas.openxmlformats.org/officeDocument/2006/relationships/hyperlink" Target="https://youtu.be/Q6MfUYaIsQ8" TargetMode="External"/><Relationship Id="rId1265" Type="http://schemas.openxmlformats.org/officeDocument/2006/relationships/hyperlink" Target="https://www.youtube.com/watch?v=LnGiZJF2iY8" TargetMode="External"/><Relationship Id="rId431" Type="http://schemas.openxmlformats.org/officeDocument/2006/relationships/hyperlink" Target="https://www.twitch.tv/aether10n/clip/YawningLachrymoseStarShazBotstix-Njn9uK7Bs1W9whBG" TargetMode="External"/><Relationship Id="rId1266" Type="http://schemas.openxmlformats.org/officeDocument/2006/relationships/hyperlink" Target="https://youtu.be/_oPoBaLf3yU" TargetMode="External"/><Relationship Id="rId430" Type="http://schemas.openxmlformats.org/officeDocument/2006/relationships/hyperlink" Target="https://clips.twitch.tv/AlertDistinctAniseFeelsBadMan-H0m9VrGJgE1HsWfv" TargetMode="External"/><Relationship Id="rId1267" Type="http://schemas.openxmlformats.org/officeDocument/2006/relationships/hyperlink" Target="https://youtu.be/JMsQZoMRIjA?si=4sEEE698Hkz2n34y" TargetMode="External"/><Relationship Id="rId1" Type="http://schemas.openxmlformats.org/officeDocument/2006/relationships/comments" Target="../comments2.xml"/><Relationship Id="rId2" Type="http://schemas.openxmlformats.org/officeDocument/2006/relationships/hyperlink" Target="https://youtu.be/jEp9bNV8FH8" TargetMode="External"/><Relationship Id="rId3" Type="http://schemas.openxmlformats.org/officeDocument/2006/relationships/hyperlink" Target="https://youtu.be/JVmlKykxL10" TargetMode="External"/><Relationship Id="rId4" Type="http://schemas.openxmlformats.org/officeDocument/2006/relationships/hyperlink" Target="https://youtu.be/jEp9bNV8FH8" TargetMode="External"/><Relationship Id="rId9" Type="http://schemas.openxmlformats.org/officeDocument/2006/relationships/hyperlink" Target="https://youtu.be/eJ4RdGWmMa8" TargetMode="External"/><Relationship Id="rId5" Type="http://schemas.openxmlformats.org/officeDocument/2006/relationships/hyperlink" Target="https://clips.twitch.tv/EvilSpoopyMangoBCWarrior-sdg4SIpJW9P8JSzL" TargetMode="External"/><Relationship Id="rId6" Type="http://schemas.openxmlformats.org/officeDocument/2006/relationships/hyperlink" Target="https://youtu.be/jsv2bOqJh9U" TargetMode="External"/><Relationship Id="rId7" Type="http://schemas.openxmlformats.org/officeDocument/2006/relationships/hyperlink" Target="https://youtu.be/OjCkDgDbths" TargetMode="External"/><Relationship Id="rId8" Type="http://schemas.openxmlformats.org/officeDocument/2006/relationships/hyperlink" Target="https://youtu.be/Xa48shzFfm0" TargetMode="External"/><Relationship Id="rId808" Type="http://schemas.openxmlformats.org/officeDocument/2006/relationships/hyperlink" Target="https://youtu.be/NfQkd-C-_aM" TargetMode="External"/><Relationship Id="rId807" Type="http://schemas.openxmlformats.org/officeDocument/2006/relationships/hyperlink" Target="https://www.twitch.tv/aether10n/clip/DependableBoxyPresidentMrDestructoid-tQ_VVN0oOhepluxl" TargetMode="External"/><Relationship Id="rId806" Type="http://schemas.openxmlformats.org/officeDocument/2006/relationships/hyperlink" Target="https://clips.twitch.tv/AntediluvianLachrymoseGazellePlanking-lZ4VqK5mIF7O-HHY" TargetMode="External"/><Relationship Id="rId805" Type="http://schemas.openxmlformats.org/officeDocument/2006/relationships/hyperlink" Target="https://www.twitch.tv/videos/619511051" TargetMode="External"/><Relationship Id="rId809" Type="http://schemas.openxmlformats.org/officeDocument/2006/relationships/hyperlink" Target="https://youtu.be/wZNEwbgR9dA" TargetMode="External"/><Relationship Id="rId800" Type="http://schemas.openxmlformats.org/officeDocument/2006/relationships/hyperlink" Target="https://youtu.be/E37kr7WDdz4" TargetMode="External"/><Relationship Id="rId804" Type="http://schemas.openxmlformats.org/officeDocument/2006/relationships/hyperlink" Target="https://www.youtube.com/watch?v=FPAnKKWIYTg&amp;ab_channel=SMSArchives" TargetMode="External"/><Relationship Id="rId803" Type="http://schemas.openxmlformats.org/officeDocument/2006/relationships/hyperlink" Target="https://www.youtube.com/watch?v=FPAnKKWIYTg&amp;ab_channel=SMSArchives" TargetMode="External"/><Relationship Id="rId802" Type="http://schemas.openxmlformats.org/officeDocument/2006/relationships/hyperlink" Target="https://youtu.be/rNfnEd8D4rc" TargetMode="External"/><Relationship Id="rId801" Type="http://schemas.openxmlformats.org/officeDocument/2006/relationships/hyperlink" Target="https://youtu.be/cHTgyDs6HJs" TargetMode="External"/><Relationship Id="rId1334" Type="http://schemas.openxmlformats.org/officeDocument/2006/relationships/hyperlink" Target="https://youtu.be/31iGg6JwVD0" TargetMode="External"/><Relationship Id="rId1335" Type="http://schemas.openxmlformats.org/officeDocument/2006/relationships/hyperlink" Target="https://www.youtube.com/watch?v=hRCDsXj44WI" TargetMode="External"/><Relationship Id="rId1336" Type="http://schemas.openxmlformats.org/officeDocument/2006/relationships/hyperlink" Target="https://youtu.be/8Y5Ph2vnEBE" TargetMode="External"/><Relationship Id="rId1337" Type="http://schemas.openxmlformats.org/officeDocument/2006/relationships/hyperlink" Target="https://clips.twitch.tv/DepressedMiniaturePotatoBigBrother-BMOL-MO0RjCxjoI4" TargetMode="External"/><Relationship Id="rId1338" Type="http://schemas.openxmlformats.org/officeDocument/2006/relationships/hyperlink" Target="https://youtu.be/TOopvpfnb90" TargetMode="External"/><Relationship Id="rId1339" Type="http://schemas.openxmlformats.org/officeDocument/2006/relationships/hyperlink" Target="https://www.youtube.com/watch?v=x2-SXpYJI6M" TargetMode="External"/><Relationship Id="rId745" Type="http://schemas.openxmlformats.org/officeDocument/2006/relationships/hyperlink" Target="https://www.youtube.com/watch?v=sEMBQnszKug" TargetMode="External"/><Relationship Id="rId744" Type="http://schemas.openxmlformats.org/officeDocument/2006/relationships/hyperlink" Target="https://youtu.be/hDajJn8KKwQ" TargetMode="External"/><Relationship Id="rId743" Type="http://schemas.openxmlformats.org/officeDocument/2006/relationships/hyperlink" Target="https://www.twitch.tv/inkstar/clip/RockyCooperativeMooseBigBrother-AILE5KD8Qa8auKmW" TargetMode="External"/><Relationship Id="rId742" Type="http://schemas.openxmlformats.org/officeDocument/2006/relationships/hyperlink" Target="https://www.youtube.com/watch?v=ovvys5XDMuY&amp;feature=youtu.be&amp;ab_channel=SMSArchives" TargetMode="External"/><Relationship Id="rId749" Type="http://schemas.openxmlformats.org/officeDocument/2006/relationships/hyperlink" Target="https://clips.twitch.tv/BusySavoryRatMcaT" TargetMode="External"/><Relationship Id="rId748" Type="http://schemas.openxmlformats.org/officeDocument/2006/relationships/hyperlink" Target="https://www.youtube.com/watch?v=c7AI7nh75kI" TargetMode="External"/><Relationship Id="rId747" Type="http://schemas.openxmlformats.org/officeDocument/2006/relationships/hyperlink" Target="https://www.youtube.com/watch?v=o3E5f6Irucc" TargetMode="External"/><Relationship Id="rId746" Type="http://schemas.openxmlformats.org/officeDocument/2006/relationships/hyperlink" Target="https://www.twitch.tv/videos/1082848802?filter=highlights&amp;sort=time" TargetMode="External"/><Relationship Id="rId741" Type="http://schemas.openxmlformats.org/officeDocument/2006/relationships/hyperlink" Target="https://youtu.be/ywfc7waggKc" TargetMode="External"/><Relationship Id="rId1330" Type="http://schemas.openxmlformats.org/officeDocument/2006/relationships/hyperlink" Target="https://clips.twitch.tv/AmericanSmoggyMeerkatWholeWheat-ZCu1oZIXMktbs8CL" TargetMode="External"/><Relationship Id="rId740" Type="http://schemas.openxmlformats.org/officeDocument/2006/relationships/hyperlink" Target="https://www.twitch.tv/inkstar/clip/RockyCooperativeMooseBigBrother-AILE5KD8Qa8auKmW" TargetMode="External"/><Relationship Id="rId1331" Type="http://schemas.openxmlformats.org/officeDocument/2006/relationships/hyperlink" Target="https://www.twitch.tv/aether10n/clip/FlirtySuperCarrotArsonNoSexy-X-Z05RzutkIUJueU" TargetMode="External"/><Relationship Id="rId1332" Type="http://schemas.openxmlformats.org/officeDocument/2006/relationships/hyperlink" Target="https://youtu.be/D725_B1n0GM" TargetMode="External"/><Relationship Id="rId1333" Type="http://schemas.openxmlformats.org/officeDocument/2006/relationships/hyperlink" Target="https://clips.twitch.tv/DepressedMiniaturePotatoBigBrother-BMOL-MO0RjCxjoI4" TargetMode="External"/><Relationship Id="rId1323" Type="http://schemas.openxmlformats.org/officeDocument/2006/relationships/hyperlink" Target="https://www.youtube.com/watch?v=cBP-KfubET4&amp;feature=youtu.be&amp;ab_channel=SMSArchives" TargetMode="External"/><Relationship Id="rId1324" Type="http://schemas.openxmlformats.org/officeDocument/2006/relationships/hyperlink" Target="https://clips.twitch.tv/FaintFitOstrichKeepo-L3yy2Sj35Eq1RYLP" TargetMode="External"/><Relationship Id="rId1325" Type="http://schemas.openxmlformats.org/officeDocument/2006/relationships/hyperlink" Target="https://www.twitch.tv/aether10n/clip/EncouragingPeppyEggJKanStyle-Rz-2K29Jgbv0uXz-" TargetMode="External"/><Relationship Id="rId1326" Type="http://schemas.openxmlformats.org/officeDocument/2006/relationships/hyperlink" Target="https://youtu.be/H36MF9fXNek" TargetMode="External"/><Relationship Id="rId1327" Type="http://schemas.openxmlformats.org/officeDocument/2006/relationships/hyperlink" Target="https://youtu.be/YKhYKlk0DN4" TargetMode="External"/><Relationship Id="rId1328" Type="http://schemas.openxmlformats.org/officeDocument/2006/relationships/hyperlink" Target="https://clips.twitch.tv/AmericanSmoggyMeerkatWholeWheat-ZCu1oZIXMktbs8CL" TargetMode="External"/><Relationship Id="rId1329" Type="http://schemas.openxmlformats.org/officeDocument/2006/relationships/hyperlink" Target="https://www.youtube.com/watch?v=Pnj2t4CQGiM&amp;feature=youtu.be&amp;ab_channel=SMSArchives" TargetMode="External"/><Relationship Id="rId739" Type="http://schemas.openxmlformats.org/officeDocument/2006/relationships/hyperlink" Target="https://www.youtube.com/watch?v=qoDHZCUcBhQ" TargetMode="External"/><Relationship Id="rId734" Type="http://schemas.openxmlformats.org/officeDocument/2006/relationships/hyperlink" Target="https://youtu.be/YD-o9RHPZWo" TargetMode="External"/><Relationship Id="rId733" Type="http://schemas.openxmlformats.org/officeDocument/2006/relationships/hyperlink" Target="https://youtu.be/sDPkawvhuRo" TargetMode="External"/><Relationship Id="rId732" Type="http://schemas.openxmlformats.org/officeDocument/2006/relationships/hyperlink" Target="https://youtu.be/t7D3CoBhB2Q" TargetMode="External"/><Relationship Id="rId731" Type="http://schemas.openxmlformats.org/officeDocument/2006/relationships/hyperlink" Target="https://youtu.be/yqqNoT2MORg" TargetMode="External"/><Relationship Id="rId738" Type="http://schemas.openxmlformats.org/officeDocument/2006/relationships/hyperlink" Target="https://youtu.be/ejR-jSUrN78" TargetMode="External"/><Relationship Id="rId737" Type="http://schemas.openxmlformats.org/officeDocument/2006/relationships/hyperlink" Target="https://youtu.be/-cZziOaZ-0M" TargetMode="External"/><Relationship Id="rId736" Type="http://schemas.openxmlformats.org/officeDocument/2006/relationships/hyperlink" Target="https://youtu.be/7CUKmCF5tCE" TargetMode="External"/><Relationship Id="rId735" Type="http://schemas.openxmlformats.org/officeDocument/2006/relationships/hyperlink" Target="https://clips.twitch.tv/DifferentHeadstrongOtterTheRinger-Lc-AwESx1kJLCz3w" TargetMode="External"/><Relationship Id="rId730" Type="http://schemas.openxmlformats.org/officeDocument/2006/relationships/hyperlink" Target="https://www.youtube.com/watch?v=sEMBQnszKug" TargetMode="External"/><Relationship Id="rId1320" Type="http://schemas.openxmlformats.org/officeDocument/2006/relationships/hyperlink" Target="https://youtu.be/8-hWzmC6QZY" TargetMode="External"/><Relationship Id="rId1321" Type="http://schemas.openxmlformats.org/officeDocument/2006/relationships/hyperlink" Target="https://clips.twitch.tv/FaintFitOstrichKeepo-L3yy2Sj35Eq1RYLP" TargetMode="External"/><Relationship Id="rId1322" Type="http://schemas.openxmlformats.org/officeDocument/2006/relationships/hyperlink" Target="https://youtu.be/VU76y1qot-A" TargetMode="External"/><Relationship Id="rId1356" Type="http://schemas.openxmlformats.org/officeDocument/2006/relationships/hyperlink" Target="https://youtu.be/bbTyv5hKt_M" TargetMode="External"/><Relationship Id="rId1357" Type="http://schemas.openxmlformats.org/officeDocument/2006/relationships/hyperlink" Target="https://www.youtube.com/watch?v=Ji5c99CvARE" TargetMode="External"/><Relationship Id="rId1358" Type="http://schemas.openxmlformats.org/officeDocument/2006/relationships/hyperlink" Target="https://www.twitch.tv/videos/2741339212" TargetMode="External"/><Relationship Id="rId1359" Type="http://schemas.openxmlformats.org/officeDocument/2006/relationships/hyperlink" Target="https://youtu.be/5vUNzwaesc8" TargetMode="External"/><Relationship Id="rId767" Type="http://schemas.openxmlformats.org/officeDocument/2006/relationships/hyperlink" Target="https://youtu.be/6vU227TStFg" TargetMode="External"/><Relationship Id="rId766" Type="http://schemas.openxmlformats.org/officeDocument/2006/relationships/hyperlink" Target="https://youtu.be/Tb1UuARxtkA" TargetMode="External"/><Relationship Id="rId765" Type="http://schemas.openxmlformats.org/officeDocument/2006/relationships/hyperlink" Target="https://youtu.be/En4P9k1DYGM" TargetMode="External"/><Relationship Id="rId764" Type="http://schemas.openxmlformats.org/officeDocument/2006/relationships/hyperlink" Target="https://youtu.be/NGaRQQz-bvE" TargetMode="External"/><Relationship Id="rId769" Type="http://schemas.openxmlformats.org/officeDocument/2006/relationships/hyperlink" Target="https://youtu.be/gEY-LOqHxXg" TargetMode="External"/><Relationship Id="rId768" Type="http://schemas.openxmlformats.org/officeDocument/2006/relationships/hyperlink" Target="https://youtu.be/vbzDX09kUEo" TargetMode="External"/><Relationship Id="rId1350" Type="http://schemas.openxmlformats.org/officeDocument/2006/relationships/hyperlink" Target="https://youtu.be/ZD38xZvhuTY" TargetMode="External"/><Relationship Id="rId1351" Type="http://schemas.openxmlformats.org/officeDocument/2006/relationships/hyperlink" Target="https://youtu.be/DTClS_qtBNg" TargetMode="External"/><Relationship Id="rId763" Type="http://schemas.openxmlformats.org/officeDocument/2006/relationships/hyperlink" Target="https://www.twitch.tv/videos/1001046282" TargetMode="External"/><Relationship Id="rId1352" Type="http://schemas.openxmlformats.org/officeDocument/2006/relationships/hyperlink" Target="https://youtu.be/8Hf-tUfqgeg" TargetMode="External"/><Relationship Id="rId762" Type="http://schemas.openxmlformats.org/officeDocument/2006/relationships/hyperlink" Target="https://www.twitch.tv/inkstar/clip/GeniusHeartlessOysterKAPOW-q5E1Ypyz6FPDOlK4" TargetMode="External"/><Relationship Id="rId1353" Type="http://schemas.openxmlformats.org/officeDocument/2006/relationships/hyperlink" Target="https://youtu.be/q3IUc8chiVo" TargetMode="External"/><Relationship Id="rId761" Type="http://schemas.openxmlformats.org/officeDocument/2006/relationships/hyperlink" Target="https://youtu.be/UNibrH7ZgHQ" TargetMode="External"/><Relationship Id="rId1354" Type="http://schemas.openxmlformats.org/officeDocument/2006/relationships/hyperlink" Target="https://youtu.be/tatoriHF17g" TargetMode="External"/><Relationship Id="rId760" Type="http://schemas.openxmlformats.org/officeDocument/2006/relationships/hyperlink" Target="https://youtu.be/8uRf1H32Zmc" TargetMode="External"/><Relationship Id="rId1355" Type="http://schemas.openxmlformats.org/officeDocument/2006/relationships/hyperlink" Target="https://youtu.be/b_fjcdwVo9c" TargetMode="External"/><Relationship Id="rId1345" Type="http://schemas.openxmlformats.org/officeDocument/2006/relationships/hyperlink" Target="https://youtu.be/ue06_CM8LBI" TargetMode="External"/><Relationship Id="rId1346" Type="http://schemas.openxmlformats.org/officeDocument/2006/relationships/hyperlink" Target="https://clips.twitch.tv/PlainEntertainingMartenFunRun-JV2tg9yRROTkgLJp" TargetMode="External"/><Relationship Id="rId1347" Type="http://schemas.openxmlformats.org/officeDocument/2006/relationships/hyperlink" Target="https://www.twitch.tv/aether10n/clip/DaintyGleamingPlumageOptimizePrime-3wbUx7aq_a_aktOD" TargetMode="External"/><Relationship Id="rId1348" Type="http://schemas.openxmlformats.org/officeDocument/2006/relationships/hyperlink" Target="https://youtu.be/8Hf-tUfqgeg" TargetMode="External"/><Relationship Id="rId1349" Type="http://schemas.openxmlformats.org/officeDocument/2006/relationships/hyperlink" Target="https://youtu.be/BNsw-uqyLfU" TargetMode="External"/><Relationship Id="rId756" Type="http://schemas.openxmlformats.org/officeDocument/2006/relationships/hyperlink" Target="https://www.youtube.com/watch?v=1_5L-Qvj2KI" TargetMode="External"/><Relationship Id="rId755" Type="http://schemas.openxmlformats.org/officeDocument/2006/relationships/hyperlink" Target="https://www.youtube.com/watch?v=xSTMLY2u_-Q&amp;feature=youtu.be" TargetMode="External"/><Relationship Id="rId754" Type="http://schemas.openxmlformats.org/officeDocument/2006/relationships/hyperlink" Target="https://youtu.be/FwuSAFWHkkw" TargetMode="External"/><Relationship Id="rId753" Type="http://schemas.openxmlformats.org/officeDocument/2006/relationships/hyperlink" Target="https://clips.twitch.tv/WrongVenomousWebArgieB8-R1ntVzqX_RbcPyMz" TargetMode="External"/><Relationship Id="rId759" Type="http://schemas.openxmlformats.org/officeDocument/2006/relationships/hyperlink" Target="https://youtu.be/Ow2BIncZ5PE" TargetMode="External"/><Relationship Id="rId758" Type="http://schemas.openxmlformats.org/officeDocument/2006/relationships/hyperlink" Target="https://www.twitch.tv/inkstar/clip/GeniusHeartlessOysterKAPOW-q5E1Ypyz6FPDOlK4" TargetMode="External"/><Relationship Id="rId757" Type="http://schemas.openxmlformats.org/officeDocument/2006/relationships/hyperlink" Target="https://www.youtube.com/watch?v=1_5L-Qvj2KI" TargetMode="External"/><Relationship Id="rId1340" Type="http://schemas.openxmlformats.org/officeDocument/2006/relationships/hyperlink" Target="https://clips.twitch.tv/TriangularLuckyPepperoniDxCat-knGjDZY028Z5_WR-" TargetMode="External"/><Relationship Id="rId752" Type="http://schemas.openxmlformats.org/officeDocument/2006/relationships/hyperlink" Target="https://clips.twitch.tv/SparklingGracefulGoblinPartyTime-7n1EsEuLDgbrzEkD" TargetMode="External"/><Relationship Id="rId1341" Type="http://schemas.openxmlformats.org/officeDocument/2006/relationships/hyperlink" Target="https://www.twitch.tv/aether10n/clip/LightBashfulRamenFutureMan-A9OUDttYahXDNux7" TargetMode="External"/><Relationship Id="rId751" Type="http://schemas.openxmlformats.org/officeDocument/2006/relationships/hyperlink" Target="https://www.youtube.com/watch?v=o3E5f6Irucc" TargetMode="External"/><Relationship Id="rId1342" Type="http://schemas.openxmlformats.org/officeDocument/2006/relationships/hyperlink" Target="https://youtu.be/1XmqPaMOiiY" TargetMode="External"/><Relationship Id="rId750" Type="http://schemas.openxmlformats.org/officeDocument/2006/relationships/hyperlink" Target="https://www.twitch.tv/aether10n/clip/ExuberantArborealChinchillaPogChamp-JvSijYvuN6yTG9Rr" TargetMode="External"/><Relationship Id="rId1343" Type="http://schemas.openxmlformats.org/officeDocument/2006/relationships/hyperlink" Target="https://youtu.be/OwsTTjQaO3w" TargetMode="External"/><Relationship Id="rId1344" Type="http://schemas.openxmlformats.org/officeDocument/2006/relationships/hyperlink" Target="https://clips.twitch.tv/PlainEntertainingMartenFunRun-JV2tg9yRROTkgLJp" TargetMode="External"/><Relationship Id="rId709" Type="http://schemas.openxmlformats.org/officeDocument/2006/relationships/hyperlink" Target="https://x.com/inkstarLum/status/1805002791716528633" TargetMode="External"/><Relationship Id="rId708" Type="http://schemas.openxmlformats.org/officeDocument/2006/relationships/hyperlink" Target="https://youtu.be/nFdD--MDTek" TargetMode="External"/><Relationship Id="rId707" Type="http://schemas.openxmlformats.org/officeDocument/2006/relationships/hyperlink" Target="https://x.com/inkstarLum/status/1805002791716528633" TargetMode="External"/><Relationship Id="rId706" Type="http://schemas.openxmlformats.org/officeDocument/2006/relationships/hyperlink" Target="https://clips.twitch.tv/AntsyUnsightlyAntelopeNotATK" TargetMode="External"/><Relationship Id="rId701" Type="http://schemas.openxmlformats.org/officeDocument/2006/relationships/hyperlink" Target="https://youtu.be/2ED26P-b1Nw" TargetMode="External"/><Relationship Id="rId700" Type="http://schemas.openxmlformats.org/officeDocument/2006/relationships/hyperlink" Target="https://youtu.be/g4IOPGi3Z78" TargetMode="External"/><Relationship Id="rId705" Type="http://schemas.openxmlformats.org/officeDocument/2006/relationships/hyperlink" Target="https://clips.twitch.tv/ColorfulInterestingEmuRitzMitz" TargetMode="External"/><Relationship Id="rId704" Type="http://schemas.openxmlformats.org/officeDocument/2006/relationships/hyperlink" Target="https://youtu.be/uCjc_GJny4I" TargetMode="External"/><Relationship Id="rId703" Type="http://schemas.openxmlformats.org/officeDocument/2006/relationships/hyperlink" Target="https://youtu.be/H1gHKKF0jUU" TargetMode="External"/><Relationship Id="rId702" Type="http://schemas.openxmlformats.org/officeDocument/2006/relationships/hyperlink" Target="https://youtu.be/2ED26P-b1Nw" TargetMode="External"/><Relationship Id="rId1312" Type="http://schemas.openxmlformats.org/officeDocument/2006/relationships/hyperlink" Target="https://www.youtube.com/watch?v=EkyD3UJG5FA" TargetMode="External"/><Relationship Id="rId1313" Type="http://schemas.openxmlformats.org/officeDocument/2006/relationships/hyperlink" Target="https://youtu.be/dEDkFfC3I-A" TargetMode="External"/><Relationship Id="rId1314" Type="http://schemas.openxmlformats.org/officeDocument/2006/relationships/hyperlink" Target="https://www.youtube.com/watch?v=n7lzjZ9mb4k" TargetMode="External"/><Relationship Id="rId1315" Type="http://schemas.openxmlformats.org/officeDocument/2006/relationships/hyperlink" Target="https://youtu.be/RcFElzSKBCE" TargetMode="External"/><Relationship Id="rId1316" Type="http://schemas.openxmlformats.org/officeDocument/2006/relationships/hyperlink" Target="https://youtu.be/SBmIdDRShp4" TargetMode="External"/><Relationship Id="rId1317" Type="http://schemas.openxmlformats.org/officeDocument/2006/relationships/hyperlink" Target="https://www.twitch.tv/aether10n/clip/SteamyDeliciousSagePogChamp-MI3FWidpBfWzXOpU" TargetMode="External"/><Relationship Id="rId1318" Type="http://schemas.openxmlformats.org/officeDocument/2006/relationships/hyperlink" Target="https://youtu.be/yfazR8c_Jpw" TargetMode="External"/><Relationship Id="rId1319" Type="http://schemas.openxmlformats.org/officeDocument/2006/relationships/hyperlink" Target="https://www.youtube.com/watch?v=EkyD3UJG5FA" TargetMode="External"/><Relationship Id="rId729" Type="http://schemas.openxmlformats.org/officeDocument/2006/relationships/hyperlink" Target="https://youtu.be/0SdmxBStK6Q" TargetMode="External"/><Relationship Id="rId728" Type="http://schemas.openxmlformats.org/officeDocument/2006/relationships/hyperlink" Target="https://www.twitch.tv/aether10n/clip/CloudyFrailWolverineVoteNay-D8PLB5mnKR_MxdyX" TargetMode="External"/><Relationship Id="rId723" Type="http://schemas.openxmlformats.org/officeDocument/2006/relationships/hyperlink" Target="https://www.youtube.com/watch?v=sEMBQnszKug" TargetMode="External"/><Relationship Id="rId722" Type="http://schemas.openxmlformats.org/officeDocument/2006/relationships/hyperlink" Target="https://www.youtube.com/watch?v=BV2xw-joFR0" TargetMode="External"/><Relationship Id="rId721" Type="http://schemas.openxmlformats.org/officeDocument/2006/relationships/hyperlink" Target="https://www.youtube.com/watch?v=gkNrjiU7IqM" TargetMode="External"/><Relationship Id="rId720" Type="http://schemas.openxmlformats.org/officeDocument/2006/relationships/hyperlink" Target="https://youtu.be/SdpYg6f9g1I" TargetMode="External"/><Relationship Id="rId727" Type="http://schemas.openxmlformats.org/officeDocument/2006/relationships/hyperlink" Target="https://clips.twitch.tv/CloudyEnergeticNoodleNononoCat-n2VDdiE0bRYiT4LY" TargetMode="External"/><Relationship Id="rId726" Type="http://schemas.openxmlformats.org/officeDocument/2006/relationships/hyperlink" Target="https://youtu.be/LN4qCj9UWyY" TargetMode="External"/><Relationship Id="rId725" Type="http://schemas.openxmlformats.org/officeDocument/2006/relationships/hyperlink" Target="https://youtu.be/XMGmoWpoTVg" TargetMode="External"/><Relationship Id="rId724" Type="http://schemas.openxmlformats.org/officeDocument/2006/relationships/hyperlink" Target="https://youtu.be/Uu8MnX2A_sg" TargetMode="External"/><Relationship Id="rId1310" Type="http://schemas.openxmlformats.org/officeDocument/2006/relationships/hyperlink" Target="https://youtu.be/sD-nP1XZk-I" TargetMode="External"/><Relationship Id="rId1311" Type="http://schemas.openxmlformats.org/officeDocument/2006/relationships/hyperlink" Target="https://www.youtube.com/watch?v=F-55FJzm_gA" TargetMode="External"/><Relationship Id="rId1301" Type="http://schemas.openxmlformats.org/officeDocument/2006/relationships/hyperlink" Target="https://youtu.be/BRYGZD8Aw8Q" TargetMode="External"/><Relationship Id="rId1302" Type="http://schemas.openxmlformats.org/officeDocument/2006/relationships/hyperlink" Target="https://youtu.be/sGpE0IBf-cg" TargetMode="External"/><Relationship Id="rId1303" Type="http://schemas.openxmlformats.org/officeDocument/2006/relationships/hyperlink" Target="https://youtu.be/i4SOT8lEbJ8" TargetMode="External"/><Relationship Id="rId1304" Type="http://schemas.openxmlformats.org/officeDocument/2006/relationships/hyperlink" Target="https://youtu.be/PKy8Rx4VBs4" TargetMode="External"/><Relationship Id="rId1305" Type="http://schemas.openxmlformats.org/officeDocument/2006/relationships/hyperlink" Target="https://www.youtube.com/watch?v=WtYDIiRwpow" TargetMode="External"/><Relationship Id="rId1306" Type="http://schemas.openxmlformats.org/officeDocument/2006/relationships/hyperlink" Target="https://www.youtube.com/watch?v=Ln4jjibr1K0" TargetMode="External"/><Relationship Id="rId1307" Type="http://schemas.openxmlformats.org/officeDocument/2006/relationships/hyperlink" Target="https://www.youtube.com/watch?v=RNAqhWK9Ins" TargetMode="External"/><Relationship Id="rId1308" Type="http://schemas.openxmlformats.org/officeDocument/2006/relationships/hyperlink" Target="https://youtu.be/PblheYQD9qM" TargetMode="External"/><Relationship Id="rId1309" Type="http://schemas.openxmlformats.org/officeDocument/2006/relationships/hyperlink" Target="https://youtu.be/PblheYQD9qM" TargetMode="External"/><Relationship Id="rId719" Type="http://schemas.openxmlformats.org/officeDocument/2006/relationships/hyperlink" Target="https://clips.twitch.tv/LazyBombasticGarbageAMPEnergyCherry-5lqKrR82MALq2b-v" TargetMode="External"/><Relationship Id="rId718" Type="http://schemas.openxmlformats.org/officeDocument/2006/relationships/hyperlink" Target="https://youtu.be/i4Utv1yyKBE" TargetMode="External"/><Relationship Id="rId717" Type="http://schemas.openxmlformats.org/officeDocument/2006/relationships/hyperlink" Target="https://www.youtube.com/watch?v=gkNrjiU7IqM" TargetMode="External"/><Relationship Id="rId712" Type="http://schemas.openxmlformats.org/officeDocument/2006/relationships/hyperlink" Target="https://twitter.com/Qbe_Root/status/1401171758330355718" TargetMode="External"/><Relationship Id="rId711" Type="http://schemas.openxmlformats.org/officeDocument/2006/relationships/hyperlink" Target="https://www.youtube.com/watch?v=-aqgEfzkVAg&amp;ab_channel=frededish" TargetMode="External"/><Relationship Id="rId710" Type="http://schemas.openxmlformats.org/officeDocument/2006/relationships/hyperlink" Target="https://youtu.be/Ev_tzMFl7Mo" TargetMode="External"/><Relationship Id="rId716" Type="http://schemas.openxmlformats.org/officeDocument/2006/relationships/hyperlink" Target="https://clips.twitch.tv/EagerArbitraryWatercressWholeWheat-gtoSHimDN1AEPZcW" TargetMode="External"/><Relationship Id="rId715" Type="http://schemas.openxmlformats.org/officeDocument/2006/relationships/hyperlink" Target="https://youtu.be/WsC9mdp15iA" TargetMode="External"/><Relationship Id="rId714" Type="http://schemas.openxmlformats.org/officeDocument/2006/relationships/hyperlink" Target="https://clips.twitch.tv/EagerArbitraryWatercressWholeWheat-gtoSHimDN1AEPZcW" TargetMode="External"/><Relationship Id="rId713" Type="http://schemas.openxmlformats.org/officeDocument/2006/relationships/hyperlink" Target="https://youtu.be/33j_ITo0EQ0" TargetMode="External"/><Relationship Id="rId1300" Type="http://schemas.openxmlformats.org/officeDocument/2006/relationships/hyperlink" Target="https://www.twitch.tv/inkstar/clip/SeductiveWonderfulFungusNotATK-_5nVhVUpxAADgmaq" TargetMode="External"/><Relationship Id="rId1378" Type="http://schemas.openxmlformats.org/officeDocument/2006/relationships/hyperlink" Target="https://youtu.be/CwbLgREWKVs" TargetMode="External"/><Relationship Id="rId1379" Type="http://schemas.openxmlformats.org/officeDocument/2006/relationships/hyperlink" Target="https://www.youtube.com/watch?v=c99cCXZCmK4" TargetMode="External"/><Relationship Id="rId789" Type="http://schemas.openxmlformats.org/officeDocument/2006/relationships/hyperlink" Target="https://youtu.be/cBK0qQ14qnY" TargetMode="External"/><Relationship Id="rId788" Type="http://schemas.openxmlformats.org/officeDocument/2006/relationships/hyperlink" Target="https://youtu.be/A_yQLnPvXXE" TargetMode="External"/><Relationship Id="rId787" Type="http://schemas.openxmlformats.org/officeDocument/2006/relationships/hyperlink" Target="https://www.youtube.com/watch?v=Ysrd_D2YPF0" TargetMode="External"/><Relationship Id="rId786" Type="http://schemas.openxmlformats.org/officeDocument/2006/relationships/hyperlink" Target="https://youtu.be/y_-TwELbUww" TargetMode="External"/><Relationship Id="rId781" Type="http://schemas.openxmlformats.org/officeDocument/2006/relationships/hyperlink" Target="https://youtu.be/k33m68V_slY" TargetMode="External"/><Relationship Id="rId1370" Type="http://schemas.openxmlformats.org/officeDocument/2006/relationships/hyperlink" Target="https://youtu.be/_-CeL_OF9PE" TargetMode="External"/><Relationship Id="rId780" Type="http://schemas.openxmlformats.org/officeDocument/2006/relationships/hyperlink" Target="https://youtu.be/BrYWarX8tuI" TargetMode="External"/><Relationship Id="rId1371" Type="http://schemas.openxmlformats.org/officeDocument/2006/relationships/hyperlink" Target="https://clips.twitch.tv/VibrantBrightThymeStinkyCheese-x2GYoSaGQWXd9TQP" TargetMode="External"/><Relationship Id="rId1372" Type="http://schemas.openxmlformats.org/officeDocument/2006/relationships/hyperlink" Target="https://youtu.be/U9qXLAXAd7k" TargetMode="External"/><Relationship Id="rId1373" Type="http://schemas.openxmlformats.org/officeDocument/2006/relationships/hyperlink" Target="https://youtu.be/MPlNTwHHCGk" TargetMode="External"/><Relationship Id="rId785" Type="http://schemas.openxmlformats.org/officeDocument/2006/relationships/hyperlink" Target="https://www.youtube.com/watch?v=oqAI1AnVGTw" TargetMode="External"/><Relationship Id="rId1374" Type="http://schemas.openxmlformats.org/officeDocument/2006/relationships/hyperlink" Target="https://www.youtube.com/watch?v=prChNmUbKCc" TargetMode="External"/><Relationship Id="rId784" Type="http://schemas.openxmlformats.org/officeDocument/2006/relationships/hyperlink" Target="https://youtu.be/ow4dPH8yC9s" TargetMode="External"/><Relationship Id="rId1375" Type="http://schemas.openxmlformats.org/officeDocument/2006/relationships/hyperlink" Target="https://youtu.be/aQgcGqo96t4" TargetMode="External"/><Relationship Id="rId783" Type="http://schemas.openxmlformats.org/officeDocument/2006/relationships/hyperlink" Target="https://youtu.be/OHyWgRVZf7I" TargetMode="External"/><Relationship Id="rId1376" Type="http://schemas.openxmlformats.org/officeDocument/2006/relationships/hyperlink" Target="https://youtu.be/RUEB2vlTuT0" TargetMode="External"/><Relationship Id="rId782" Type="http://schemas.openxmlformats.org/officeDocument/2006/relationships/hyperlink" Target="https://clips.twitch.tv/CooperativeNastyPterodactylWOOP-nlp9xtnzKIkAzJr3" TargetMode="External"/><Relationship Id="rId1377" Type="http://schemas.openxmlformats.org/officeDocument/2006/relationships/hyperlink" Target="https://www.twitch.tv/videos/1280710333" TargetMode="External"/><Relationship Id="rId1367" Type="http://schemas.openxmlformats.org/officeDocument/2006/relationships/hyperlink" Target="https://youtu.be/cTFRTeFZ_J8" TargetMode="External"/><Relationship Id="rId1368" Type="http://schemas.openxmlformats.org/officeDocument/2006/relationships/hyperlink" Target="https://youtu.be/9xdcEVyiBHI" TargetMode="External"/><Relationship Id="rId1369" Type="http://schemas.openxmlformats.org/officeDocument/2006/relationships/hyperlink" Target="https://clips.twitch.tv/FaithfulAgitatedSardineSeemsGood-k1jxuaQOQXlfuVn-" TargetMode="External"/><Relationship Id="rId778" Type="http://schemas.openxmlformats.org/officeDocument/2006/relationships/hyperlink" Target="https://www.youtube.com/watch?v=Uv0aJlkhDAY" TargetMode="External"/><Relationship Id="rId777" Type="http://schemas.openxmlformats.org/officeDocument/2006/relationships/hyperlink" Target="https://youtu.be/YKbzldVDfBY" TargetMode="External"/><Relationship Id="rId776" Type="http://schemas.openxmlformats.org/officeDocument/2006/relationships/hyperlink" Target="https://www.youtube.com/watch?v=Uv0aJlkhDAY" TargetMode="External"/><Relationship Id="rId775" Type="http://schemas.openxmlformats.org/officeDocument/2006/relationships/hyperlink" Target="https://www.youtube.com/watch?v=-HXrRIdElHs" TargetMode="External"/><Relationship Id="rId779" Type="http://schemas.openxmlformats.org/officeDocument/2006/relationships/hyperlink" Target="https://clips.twitch.tv/ExquisiteCourteousFlyUnSane" TargetMode="External"/><Relationship Id="rId770" Type="http://schemas.openxmlformats.org/officeDocument/2006/relationships/hyperlink" Target="https://www.youtube.com/watch?v=0xab_hR2IwQ" TargetMode="External"/><Relationship Id="rId1360" Type="http://schemas.openxmlformats.org/officeDocument/2006/relationships/hyperlink" Target="https://www.twitch.tv/videos/2749304556" TargetMode="External"/><Relationship Id="rId1361" Type="http://schemas.openxmlformats.org/officeDocument/2006/relationships/hyperlink" Target="https://youtu.be/8PXAkt1k_-A" TargetMode="External"/><Relationship Id="rId1362" Type="http://schemas.openxmlformats.org/officeDocument/2006/relationships/hyperlink" Target="https://www.twitch.tv/videos/2749304556" TargetMode="External"/><Relationship Id="rId774" Type="http://schemas.openxmlformats.org/officeDocument/2006/relationships/hyperlink" Target="https://youtu.be/7ufGKXIomdw" TargetMode="External"/><Relationship Id="rId1363" Type="http://schemas.openxmlformats.org/officeDocument/2006/relationships/hyperlink" Target="https://youtu.be/lYi4TdoiTuI" TargetMode="External"/><Relationship Id="rId773" Type="http://schemas.openxmlformats.org/officeDocument/2006/relationships/hyperlink" Target="https://clips.twitch.tv/ArtsyOddSowKlappa-Q5bwhL96fj9B2j_I" TargetMode="External"/><Relationship Id="rId1364" Type="http://schemas.openxmlformats.org/officeDocument/2006/relationships/hyperlink" Target="https://youtu.be/lYi4TdoiTuI" TargetMode="External"/><Relationship Id="rId772" Type="http://schemas.openxmlformats.org/officeDocument/2006/relationships/hyperlink" Target="https://youtu.be/Rh3IMEE-cI8" TargetMode="External"/><Relationship Id="rId1365" Type="http://schemas.openxmlformats.org/officeDocument/2006/relationships/hyperlink" Target="https://youtu.be/saeB2BJyl3w" TargetMode="External"/><Relationship Id="rId771" Type="http://schemas.openxmlformats.org/officeDocument/2006/relationships/hyperlink" Target="https://www.youtube.com/watch?v=-HXrRIdElHs" TargetMode="External"/><Relationship Id="rId1366" Type="http://schemas.openxmlformats.org/officeDocument/2006/relationships/hyperlink" Target="https://youtu.be/jWF-MtWvj44" TargetMode="External"/><Relationship Id="rId1390" Type="http://schemas.openxmlformats.org/officeDocument/2006/relationships/hyperlink" Target="https://www.youtube.com/watch?v=JZndNaKt5Ls" TargetMode="External"/><Relationship Id="rId1391" Type="http://schemas.openxmlformats.org/officeDocument/2006/relationships/hyperlink" Target="https://youtu.be/_ZkoUbYRWrk" TargetMode="External"/><Relationship Id="rId1392" Type="http://schemas.openxmlformats.org/officeDocument/2006/relationships/hyperlink" Target="https://www.youtube.com/watch?v=Ue1Nbckte5I" TargetMode="External"/><Relationship Id="rId1393" Type="http://schemas.openxmlformats.org/officeDocument/2006/relationships/hyperlink" Target="https://www.twitch.tv/aether10n/clip/RealTolerantEchidnaVoHiYo-Hqg1_-U6ZAgvw4jt" TargetMode="External"/><Relationship Id="rId1394" Type="http://schemas.openxmlformats.org/officeDocument/2006/relationships/hyperlink" Target="https://youtu.be/BO18jxRH70M" TargetMode="External"/><Relationship Id="rId1395" Type="http://schemas.openxmlformats.org/officeDocument/2006/relationships/hyperlink" Target="https://www.youtube.com/watch?v=uEdt3LvXS-I" TargetMode="External"/><Relationship Id="rId1396" Type="http://schemas.openxmlformats.org/officeDocument/2006/relationships/hyperlink" Target="https://www.youtube.com/watch?v=OoD4qy-ngWw&amp;feature=youtu.be&amp;ab_channel=SMSArchives" TargetMode="External"/><Relationship Id="rId1397" Type="http://schemas.openxmlformats.org/officeDocument/2006/relationships/hyperlink" Target="https://youtu.be/rNaDwery3FE" TargetMode="External"/><Relationship Id="rId1398" Type="http://schemas.openxmlformats.org/officeDocument/2006/relationships/hyperlink" Target="https://youtu.be/rNaDwery3FE" TargetMode="External"/><Relationship Id="rId1399" Type="http://schemas.openxmlformats.org/officeDocument/2006/relationships/hyperlink" Target="https://youtu.be/x7CDVxiIMcw" TargetMode="External"/><Relationship Id="rId1389" Type="http://schemas.openxmlformats.org/officeDocument/2006/relationships/hyperlink" Target="https://youtu.be/Viy4GiOKJXw" TargetMode="External"/><Relationship Id="rId799" Type="http://schemas.openxmlformats.org/officeDocument/2006/relationships/hyperlink" Target="https://youtu.be/cHTgyDs6HJs" TargetMode="External"/><Relationship Id="rId798" Type="http://schemas.openxmlformats.org/officeDocument/2006/relationships/hyperlink" Target="https://www.youtube.com/watch?v=W1_DUKh4Uw0" TargetMode="External"/><Relationship Id="rId797" Type="http://schemas.openxmlformats.org/officeDocument/2006/relationships/hyperlink" Target="https://youtu.be/X4YBjn8dELU" TargetMode="External"/><Relationship Id="rId1380" Type="http://schemas.openxmlformats.org/officeDocument/2006/relationships/hyperlink" Target="https://www.youtube.com/watch?v=prChNmUbKCc" TargetMode="External"/><Relationship Id="rId792" Type="http://schemas.openxmlformats.org/officeDocument/2006/relationships/hyperlink" Target="https://youtu.be/T-zfU5tN5_s" TargetMode="External"/><Relationship Id="rId1381" Type="http://schemas.openxmlformats.org/officeDocument/2006/relationships/hyperlink" Target="https://www.youtube.com/watch?v=g8xqA7r4r_s" TargetMode="External"/><Relationship Id="rId791" Type="http://schemas.openxmlformats.org/officeDocument/2006/relationships/hyperlink" Target="https://youtu.be/IcsxITnRlDI" TargetMode="External"/><Relationship Id="rId1382" Type="http://schemas.openxmlformats.org/officeDocument/2006/relationships/hyperlink" Target="https://www.youtube.com/watch?v=g8xqA7r4r_s" TargetMode="External"/><Relationship Id="rId790" Type="http://schemas.openxmlformats.org/officeDocument/2006/relationships/hyperlink" Target="https://www.twitch.tv/videos/1094609126" TargetMode="External"/><Relationship Id="rId1383" Type="http://schemas.openxmlformats.org/officeDocument/2006/relationships/hyperlink" Target="https://youtu.be/tJDFV1A7was" TargetMode="External"/><Relationship Id="rId1384" Type="http://schemas.openxmlformats.org/officeDocument/2006/relationships/hyperlink" Target="https://www.youtube.com/watch?v=Z6OBxMRNy1o" TargetMode="External"/><Relationship Id="rId796" Type="http://schemas.openxmlformats.org/officeDocument/2006/relationships/hyperlink" Target="https://youtu.be/AFCAB2Fcfv8" TargetMode="External"/><Relationship Id="rId1385" Type="http://schemas.openxmlformats.org/officeDocument/2006/relationships/hyperlink" Target="https://www.twitch.tv/aether10n/clip/ArborealHyperTomatoFreakinStinkin-i8cJ2yY4z-aIlgPv" TargetMode="External"/><Relationship Id="rId795" Type="http://schemas.openxmlformats.org/officeDocument/2006/relationships/hyperlink" Target="https://youtu.be/AFCAB2Fcfv8" TargetMode="External"/><Relationship Id="rId1386" Type="http://schemas.openxmlformats.org/officeDocument/2006/relationships/hyperlink" Target="https://www.youtube.com/watch?v=JZndNaKt5Ls" TargetMode="External"/><Relationship Id="rId794" Type="http://schemas.openxmlformats.org/officeDocument/2006/relationships/hyperlink" Target="https://www.youtube.com/watch?v=eo--zL00DgM" TargetMode="External"/><Relationship Id="rId1387" Type="http://schemas.openxmlformats.org/officeDocument/2006/relationships/hyperlink" Target="https://youtu.be/streEO2vZtI" TargetMode="External"/><Relationship Id="rId793" Type="http://schemas.openxmlformats.org/officeDocument/2006/relationships/hyperlink" Target="https://www.youtube.com/watch?v=eo--zL00DgM" TargetMode="External"/><Relationship Id="rId1388" Type="http://schemas.openxmlformats.org/officeDocument/2006/relationships/hyperlink" Target="https://youtu.be/f3lYWpZEEgI?si=M_bvwPGHYXWFfha4&amp;t=24" TargetMode="External"/><Relationship Id="rId1455" Type="http://schemas.openxmlformats.org/officeDocument/2006/relationships/hyperlink" Target="https://youtu.be/_iKhHERDn-k" TargetMode="External"/><Relationship Id="rId1456" Type="http://schemas.openxmlformats.org/officeDocument/2006/relationships/hyperlink" Target="https://youtu.be/JJujtnxFUXg" TargetMode="External"/><Relationship Id="rId1457" Type="http://schemas.openxmlformats.org/officeDocument/2006/relationships/hyperlink" Target="https://youtu.be/hLSXNf9Tyrs" TargetMode="External"/><Relationship Id="rId1458" Type="http://schemas.openxmlformats.org/officeDocument/2006/relationships/hyperlink" Target="https://youtu.be/oWQXsAIPCvw" TargetMode="External"/><Relationship Id="rId1459" Type="http://schemas.openxmlformats.org/officeDocument/2006/relationships/hyperlink" Target="https://youtu.be/2Um5c2WuWvI" TargetMode="External"/><Relationship Id="rId629" Type="http://schemas.openxmlformats.org/officeDocument/2006/relationships/hyperlink" Target="https://youtu.be/pfhIHpIZbko" TargetMode="External"/><Relationship Id="rId624" Type="http://schemas.openxmlformats.org/officeDocument/2006/relationships/hyperlink" Target="https://www.twitch.tv/videos/1463163448" TargetMode="External"/><Relationship Id="rId623" Type="http://schemas.openxmlformats.org/officeDocument/2006/relationships/hyperlink" Target="https://youtu.be/5dMNpk8GIXE" TargetMode="External"/><Relationship Id="rId622" Type="http://schemas.openxmlformats.org/officeDocument/2006/relationships/hyperlink" Target="https://youtu.be/AQ5hA3D9dRc" TargetMode="External"/><Relationship Id="rId621" Type="http://schemas.openxmlformats.org/officeDocument/2006/relationships/hyperlink" Target="https://youtu.be/U1NfQesgLXk" TargetMode="External"/><Relationship Id="rId628" Type="http://schemas.openxmlformats.org/officeDocument/2006/relationships/hyperlink" Target="https://youtu.be/O5y2VBcztV8" TargetMode="External"/><Relationship Id="rId627" Type="http://schemas.openxmlformats.org/officeDocument/2006/relationships/hyperlink" Target="https://youtu.be/KqbN_8JLv5c" TargetMode="External"/><Relationship Id="rId626" Type="http://schemas.openxmlformats.org/officeDocument/2006/relationships/hyperlink" Target="https://youtu.be/U1NfQesgLXk" TargetMode="External"/><Relationship Id="rId625" Type="http://schemas.openxmlformats.org/officeDocument/2006/relationships/hyperlink" Target="https://www.twitch.tv/ssantaaries/clip/SnappyKawaiiHareTTours-qX0q3AoB5G3hihhs" TargetMode="External"/><Relationship Id="rId1450" Type="http://schemas.openxmlformats.org/officeDocument/2006/relationships/hyperlink" Target="https://youtu.be/PjJ5qtUp7UA" TargetMode="External"/><Relationship Id="rId620" Type="http://schemas.openxmlformats.org/officeDocument/2006/relationships/hyperlink" Target="https://youtu.be/VnhGKcTSCJA" TargetMode="External"/><Relationship Id="rId1451" Type="http://schemas.openxmlformats.org/officeDocument/2006/relationships/hyperlink" Target="https://youtu.be/KeVM5h8wzD4" TargetMode="External"/><Relationship Id="rId1452" Type="http://schemas.openxmlformats.org/officeDocument/2006/relationships/hyperlink" Target="https://youtu.be/Ctn3rI5RKbg" TargetMode="External"/><Relationship Id="rId1453" Type="http://schemas.openxmlformats.org/officeDocument/2006/relationships/hyperlink" Target="https://youtu.be/osb0MUIpTXA" TargetMode="External"/><Relationship Id="rId1454" Type="http://schemas.openxmlformats.org/officeDocument/2006/relationships/hyperlink" Target="https://clips.twitch.tv/UnsightlyEmpathicPineappleBrokeBack--m-hDZdSRLdX1K6b" TargetMode="External"/><Relationship Id="rId1444" Type="http://schemas.openxmlformats.org/officeDocument/2006/relationships/hyperlink" Target="https://www.youtube.com/watch?v=4SGAQETyNZ0" TargetMode="External"/><Relationship Id="rId1445" Type="http://schemas.openxmlformats.org/officeDocument/2006/relationships/hyperlink" Target="https://clips.twitch.tv/SweetHonorableFungusThunBeast-EqIPETChLfP9dMVx" TargetMode="External"/><Relationship Id="rId1446" Type="http://schemas.openxmlformats.org/officeDocument/2006/relationships/hyperlink" Target="https://www.twitch.tv/jpeppp/clip/AmericanDoubtfulLadiesPipeHype?filter=clips&amp;range=all&amp;sort=time" TargetMode="External"/><Relationship Id="rId1447" Type="http://schemas.openxmlformats.org/officeDocument/2006/relationships/hyperlink" Target="https://youtu.be/iIxItO2qyp0" TargetMode="External"/><Relationship Id="rId1448" Type="http://schemas.openxmlformats.org/officeDocument/2006/relationships/hyperlink" Target="https://www.youtube.com/watch?v=VpV6xsgvGRA" TargetMode="External"/><Relationship Id="rId1449" Type="http://schemas.openxmlformats.org/officeDocument/2006/relationships/hyperlink" Target="https://youtu.be/osb0MUIpTXA" TargetMode="External"/><Relationship Id="rId619" Type="http://schemas.openxmlformats.org/officeDocument/2006/relationships/hyperlink" Target="https://youtu.be/VnhGKcTSCJA" TargetMode="External"/><Relationship Id="rId618" Type="http://schemas.openxmlformats.org/officeDocument/2006/relationships/hyperlink" Target="https://www.twitch.tv/videos/1264188127" TargetMode="External"/><Relationship Id="rId613" Type="http://schemas.openxmlformats.org/officeDocument/2006/relationships/hyperlink" Target="https://www.twitch.tv/videos/1264390392" TargetMode="External"/><Relationship Id="rId612" Type="http://schemas.openxmlformats.org/officeDocument/2006/relationships/hyperlink" Target="https://youtu.be/FRkMJt_hjwQ" TargetMode="External"/><Relationship Id="rId611" Type="http://schemas.openxmlformats.org/officeDocument/2006/relationships/hyperlink" Target="https://youtu.be/KHD8om8X8e8" TargetMode="External"/><Relationship Id="rId610" Type="http://schemas.openxmlformats.org/officeDocument/2006/relationships/hyperlink" Target="https://youtu.be/ZIjxMb7FtkI" TargetMode="External"/><Relationship Id="rId617" Type="http://schemas.openxmlformats.org/officeDocument/2006/relationships/hyperlink" Target="https://youtu.be/NjwbuFAek2Q" TargetMode="External"/><Relationship Id="rId616" Type="http://schemas.openxmlformats.org/officeDocument/2006/relationships/hyperlink" Target="https://twitter.com/Reed_QT/status/1212701917551497216?s=20" TargetMode="External"/><Relationship Id="rId615" Type="http://schemas.openxmlformats.org/officeDocument/2006/relationships/hyperlink" Target="https://youtu.be/itp-7tbNTFk" TargetMode="External"/><Relationship Id="rId614" Type="http://schemas.openxmlformats.org/officeDocument/2006/relationships/hyperlink" Target="https://youtu.be/pKukn4aCQng" TargetMode="External"/><Relationship Id="rId1440" Type="http://schemas.openxmlformats.org/officeDocument/2006/relationships/hyperlink" Target="https://youtu.be/n9Pgok3_gLk" TargetMode="External"/><Relationship Id="rId1441" Type="http://schemas.openxmlformats.org/officeDocument/2006/relationships/hyperlink" Target="https://www.youtube.com/watch?v=7798HAhO4wU&amp;feature=youtu.be&amp;ab_channel=SMSArchives" TargetMode="External"/><Relationship Id="rId1442" Type="http://schemas.openxmlformats.org/officeDocument/2006/relationships/hyperlink" Target="https://clips.twitch.tv/MildWittyHerbsLitFam-1tUBUJoQnTtzkoSc" TargetMode="External"/><Relationship Id="rId1443" Type="http://schemas.openxmlformats.org/officeDocument/2006/relationships/hyperlink" Target="https://youtu.be/BIwB8aMG3fk" TargetMode="External"/><Relationship Id="rId1477" Type="http://schemas.openxmlformats.org/officeDocument/2006/relationships/hyperlink" Target="https://youtu.be/80CjYSyiwxo" TargetMode="External"/><Relationship Id="rId1478" Type="http://schemas.openxmlformats.org/officeDocument/2006/relationships/hyperlink" Target="https://clips.twitch.tv/NaiveSuperEyeballUWot-FjpYnzacEzYqQuiE" TargetMode="External"/><Relationship Id="rId1479" Type="http://schemas.openxmlformats.org/officeDocument/2006/relationships/hyperlink" Target="https://youtu.be/NdyFOs0CNzA" TargetMode="External"/><Relationship Id="rId646" Type="http://schemas.openxmlformats.org/officeDocument/2006/relationships/hyperlink" Target="https://youtu.be/CpkY5Gke1Fs" TargetMode="External"/><Relationship Id="rId645" Type="http://schemas.openxmlformats.org/officeDocument/2006/relationships/hyperlink" Target="https://clips.twitch.tv/FaithfulDeterminedPeanutAsianGlow-K87dbZLe5-UZ8WRH" TargetMode="External"/><Relationship Id="rId644" Type="http://schemas.openxmlformats.org/officeDocument/2006/relationships/hyperlink" Target="https://www.youtube.com/watch?v=oCo7JR3BcuI" TargetMode="External"/><Relationship Id="rId643" Type="http://schemas.openxmlformats.org/officeDocument/2006/relationships/hyperlink" Target="https://www.twitch.tv/videos/780053931" TargetMode="External"/><Relationship Id="rId649" Type="http://schemas.openxmlformats.org/officeDocument/2006/relationships/hyperlink" Target="https://clips.twitch.tv/FairColorfulRaisinImGlitch" TargetMode="External"/><Relationship Id="rId648" Type="http://schemas.openxmlformats.org/officeDocument/2006/relationships/hyperlink" Target="https://youtu.be/tcRMlaWH3Fk" TargetMode="External"/><Relationship Id="rId647" Type="http://schemas.openxmlformats.org/officeDocument/2006/relationships/hyperlink" Target="https://youtu.be/ValV62Hjv28" TargetMode="External"/><Relationship Id="rId1470" Type="http://schemas.openxmlformats.org/officeDocument/2006/relationships/hyperlink" Target="https://youtu.be/zbdC7rooh2Y?si=865g6-C8lEOoEopW" TargetMode="External"/><Relationship Id="rId1471" Type="http://schemas.openxmlformats.org/officeDocument/2006/relationships/hyperlink" Target="https://youtu.be/2qsci_GLiAo" TargetMode="External"/><Relationship Id="rId1472" Type="http://schemas.openxmlformats.org/officeDocument/2006/relationships/hyperlink" Target="https://youtu.be/ymTj7oKg9AA" TargetMode="External"/><Relationship Id="rId642" Type="http://schemas.openxmlformats.org/officeDocument/2006/relationships/hyperlink" Target="https://youtu.be/PjCd_IhCqcs" TargetMode="External"/><Relationship Id="rId1473" Type="http://schemas.openxmlformats.org/officeDocument/2006/relationships/hyperlink" Target="https://www.twitch.tv/videos/1601827892" TargetMode="External"/><Relationship Id="rId641" Type="http://schemas.openxmlformats.org/officeDocument/2006/relationships/hyperlink" Target="https://youtu.be/NraFiFbLSIc" TargetMode="External"/><Relationship Id="rId1474" Type="http://schemas.openxmlformats.org/officeDocument/2006/relationships/hyperlink" Target="https://youtu.be/ZVx314GtAOQ" TargetMode="External"/><Relationship Id="rId640" Type="http://schemas.openxmlformats.org/officeDocument/2006/relationships/hyperlink" Target="https://youtu.be/PU5uEqDv0vQ" TargetMode="External"/><Relationship Id="rId1475" Type="http://schemas.openxmlformats.org/officeDocument/2006/relationships/hyperlink" Target="https://youtu.be/tVp-zQR5r7M" TargetMode="External"/><Relationship Id="rId1476" Type="http://schemas.openxmlformats.org/officeDocument/2006/relationships/hyperlink" Target="https://youtu.be/3DqzAPYrpF4" TargetMode="External"/><Relationship Id="rId1466" Type="http://schemas.openxmlformats.org/officeDocument/2006/relationships/hyperlink" Target="https://youtu.be/nvtBwUPOOjs" TargetMode="External"/><Relationship Id="rId1467" Type="http://schemas.openxmlformats.org/officeDocument/2006/relationships/hyperlink" Target="https://www.youtube.com/watch?v=kbs-FSaXOdo" TargetMode="External"/><Relationship Id="rId1468" Type="http://schemas.openxmlformats.org/officeDocument/2006/relationships/hyperlink" Target="https://youtu.be/vhC33um_174" TargetMode="External"/><Relationship Id="rId1469" Type="http://schemas.openxmlformats.org/officeDocument/2006/relationships/hyperlink" Target="https://youtu.be/Kyud9n21QFM" TargetMode="External"/><Relationship Id="rId635" Type="http://schemas.openxmlformats.org/officeDocument/2006/relationships/hyperlink" Target="https://youtu.be/CJ-XiNXqLXA" TargetMode="External"/><Relationship Id="rId634" Type="http://schemas.openxmlformats.org/officeDocument/2006/relationships/hyperlink" Target="https://youtu.be/CJ-XiNXqLXA" TargetMode="External"/><Relationship Id="rId633" Type="http://schemas.openxmlformats.org/officeDocument/2006/relationships/hyperlink" Target="https://www.youtube.com/watch?v=-hkKJhM7MPg" TargetMode="External"/><Relationship Id="rId632" Type="http://schemas.openxmlformats.org/officeDocument/2006/relationships/hyperlink" Target="https://www.twitch.tv/aether10n/clip/MiniatureFineShrewDoubleRainbow-K28IJIIvZv3-6VJD" TargetMode="External"/><Relationship Id="rId639" Type="http://schemas.openxmlformats.org/officeDocument/2006/relationships/hyperlink" Target="https://youtu.be/ZqjYKjHRiQ4" TargetMode="External"/><Relationship Id="rId638" Type="http://schemas.openxmlformats.org/officeDocument/2006/relationships/hyperlink" Target="https://clips.twitch.tv/FairColorfulRaisinImGlitch" TargetMode="External"/><Relationship Id="rId637" Type="http://schemas.openxmlformats.org/officeDocument/2006/relationships/hyperlink" Target="https://youtu.be/gfmGQXdEiW8" TargetMode="External"/><Relationship Id="rId636" Type="http://schemas.openxmlformats.org/officeDocument/2006/relationships/hyperlink" Target="https://www.youtube.com/watch?v=VSdxDKNpZ70&amp;feature=youtu.be&amp;ab_channel=SMSArchives" TargetMode="External"/><Relationship Id="rId1460" Type="http://schemas.openxmlformats.org/officeDocument/2006/relationships/hyperlink" Target="https://youtu.be/JJujtnxFUXg" TargetMode="External"/><Relationship Id="rId1461" Type="http://schemas.openxmlformats.org/officeDocument/2006/relationships/hyperlink" Target="https://clips.twitch.tv/HyperEvilThymeVoHiYo-po11OK77dQEmShef" TargetMode="External"/><Relationship Id="rId631" Type="http://schemas.openxmlformats.org/officeDocument/2006/relationships/hyperlink" Target="https://youtu.be/TwBlTaxo2n0" TargetMode="External"/><Relationship Id="rId1462" Type="http://schemas.openxmlformats.org/officeDocument/2006/relationships/hyperlink" Target="https://youtu.be/y1GKQSO9qU0" TargetMode="External"/><Relationship Id="rId630" Type="http://schemas.openxmlformats.org/officeDocument/2006/relationships/hyperlink" Target="https://youtu.be/O5y2VBcztV8" TargetMode="External"/><Relationship Id="rId1463" Type="http://schemas.openxmlformats.org/officeDocument/2006/relationships/hyperlink" Target="https://youtu.be/ZgRlEQwomQ8" TargetMode="External"/><Relationship Id="rId1464" Type="http://schemas.openxmlformats.org/officeDocument/2006/relationships/hyperlink" Target="https://youtu.be/2qsci_GLiAo" TargetMode="External"/><Relationship Id="rId1465" Type="http://schemas.openxmlformats.org/officeDocument/2006/relationships/hyperlink" Target="https://youtu.be/tO1cwoEMcz0" TargetMode="External"/><Relationship Id="rId1411" Type="http://schemas.openxmlformats.org/officeDocument/2006/relationships/hyperlink" Target="https://youtu.be/tEfRl3QnhGA" TargetMode="External"/><Relationship Id="rId1412" Type="http://schemas.openxmlformats.org/officeDocument/2006/relationships/hyperlink" Target="https://youtu.be/tEfRl3QnhGA" TargetMode="External"/><Relationship Id="rId1413" Type="http://schemas.openxmlformats.org/officeDocument/2006/relationships/hyperlink" Target="https://youtu.be/_Gl10yuQ8FY" TargetMode="External"/><Relationship Id="rId1414" Type="http://schemas.openxmlformats.org/officeDocument/2006/relationships/hyperlink" Target="https://www.twitch.tv/aether10n/clip/PluckyTalentedOcelotWow-QBkhDjegsr0wiVIa" TargetMode="External"/><Relationship Id="rId1415" Type="http://schemas.openxmlformats.org/officeDocument/2006/relationships/hyperlink" Target="https://youtu.be/kHROQLQTclw" TargetMode="External"/><Relationship Id="rId1416" Type="http://schemas.openxmlformats.org/officeDocument/2006/relationships/hyperlink" Target="https://www.youtube.com/watch?v=gOpcrDbfoSk" TargetMode="External"/><Relationship Id="rId1417" Type="http://schemas.openxmlformats.org/officeDocument/2006/relationships/hyperlink" Target="https://www.youtube.com/watch?v=gGx9lxWwUa0" TargetMode="External"/><Relationship Id="rId1418" Type="http://schemas.openxmlformats.org/officeDocument/2006/relationships/hyperlink" Target="https://youtu.be/Bz_l6_86h-Q" TargetMode="External"/><Relationship Id="rId1419" Type="http://schemas.openxmlformats.org/officeDocument/2006/relationships/hyperlink" Target="https://youtu.be/Bz_l6_86h-Q" TargetMode="External"/><Relationship Id="rId1410" Type="http://schemas.openxmlformats.org/officeDocument/2006/relationships/hyperlink" Target="https://www.twitch.tv/jjsrl/clip/MuddyRoughGrasshopperOneHand-PfA0nue3cvmB_Jty" TargetMode="External"/><Relationship Id="rId1400" Type="http://schemas.openxmlformats.org/officeDocument/2006/relationships/hyperlink" Target="https://clips.twitch.tv/GiftedRudeWebThisIsSparta-BzGe-Sy_N0q2Ld62" TargetMode="External"/><Relationship Id="rId1401" Type="http://schemas.openxmlformats.org/officeDocument/2006/relationships/hyperlink" Target="https://youtu.be/2RtyVMkalQs" TargetMode="External"/><Relationship Id="rId1402" Type="http://schemas.openxmlformats.org/officeDocument/2006/relationships/hyperlink" Target="https://youtu.be/Gqm-krmqD4k" TargetMode="External"/><Relationship Id="rId1403" Type="http://schemas.openxmlformats.org/officeDocument/2006/relationships/hyperlink" Target="https://www.youtube.com/watch?v=MPFjI-ghjRA" TargetMode="External"/><Relationship Id="rId1404" Type="http://schemas.openxmlformats.org/officeDocument/2006/relationships/hyperlink" Target="https://www.youtube.com/watch?v=TZbdrUxQdY0" TargetMode="External"/><Relationship Id="rId1405" Type="http://schemas.openxmlformats.org/officeDocument/2006/relationships/hyperlink" Target="https://youtu.be/7pW1uKfNIHE" TargetMode="External"/><Relationship Id="rId1406" Type="http://schemas.openxmlformats.org/officeDocument/2006/relationships/hyperlink" Target="https://youtu.be/YMXdBLGHEEc" TargetMode="External"/><Relationship Id="rId1407" Type="http://schemas.openxmlformats.org/officeDocument/2006/relationships/hyperlink" Target="https://youtu.be/WSeZ9m3uFA4" TargetMode="External"/><Relationship Id="rId1408" Type="http://schemas.openxmlformats.org/officeDocument/2006/relationships/hyperlink" Target="https://youtu.be/YMXdBLGHEEc" TargetMode="External"/><Relationship Id="rId1409" Type="http://schemas.openxmlformats.org/officeDocument/2006/relationships/hyperlink" Target="https://www.twitch.tv/aether10n/clip/HeartlessElatedWrenchThisIsSparta-EiiREW7NJaRnAYVJ" TargetMode="External"/><Relationship Id="rId1433" Type="http://schemas.openxmlformats.org/officeDocument/2006/relationships/hyperlink" Target="https://youtu.be/U0nS3g0zOvI" TargetMode="External"/><Relationship Id="rId1434" Type="http://schemas.openxmlformats.org/officeDocument/2006/relationships/hyperlink" Target="https://youtu.be/Vix-gMQfukI?si=6dlzLJh2a-1zjeG8" TargetMode="External"/><Relationship Id="rId1435" Type="http://schemas.openxmlformats.org/officeDocument/2006/relationships/hyperlink" Target="https://youtu.be/U0nS3g0zOvI" TargetMode="External"/><Relationship Id="rId1436" Type="http://schemas.openxmlformats.org/officeDocument/2006/relationships/hyperlink" Target="https://twitter.com/Qbe_Root/status/1267201521541959680" TargetMode="External"/><Relationship Id="rId1437" Type="http://schemas.openxmlformats.org/officeDocument/2006/relationships/hyperlink" Target="https://youtu.be/Un8GBYhUU3E?si=_9oMA0fSL4zoQw4f" TargetMode="External"/><Relationship Id="rId1438" Type="http://schemas.openxmlformats.org/officeDocument/2006/relationships/hyperlink" Target="https://www.youtube.com/watch?v=7798HAhO4wU&amp;feature=youtu.be&amp;ab_channel=SMSArchives" TargetMode="External"/><Relationship Id="rId1439" Type="http://schemas.openxmlformats.org/officeDocument/2006/relationships/hyperlink" Target="https://youtu.be/YWBDB6jLhH4" TargetMode="External"/><Relationship Id="rId609" Type="http://schemas.openxmlformats.org/officeDocument/2006/relationships/hyperlink" Target="https://youtu.be/itp-7tbNTFk" TargetMode="External"/><Relationship Id="rId608" Type="http://schemas.openxmlformats.org/officeDocument/2006/relationships/hyperlink" Target="https://www.youtube.com/watch?v=7fiUAbn1pfI" TargetMode="External"/><Relationship Id="rId607" Type="http://schemas.openxmlformats.org/officeDocument/2006/relationships/hyperlink" Target="https://youtu.be/V6sH7WJTO5Y" TargetMode="External"/><Relationship Id="rId602" Type="http://schemas.openxmlformats.org/officeDocument/2006/relationships/hyperlink" Target="https://www.twitch.tv/videos/856673687" TargetMode="External"/><Relationship Id="rId601" Type="http://schemas.openxmlformats.org/officeDocument/2006/relationships/hyperlink" Target="https://youtu.be/dZHKqSdo0M0" TargetMode="External"/><Relationship Id="rId600" Type="http://schemas.openxmlformats.org/officeDocument/2006/relationships/hyperlink" Target="https://youtu.be/0kHrRzKBn6g" TargetMode="External"/><Relationship Id="rId606" Type="http://schemas.openxmlformats.org/officeDocument/2006/relationships/hyperlink" Target="https://youtu.be/JjQwrpHUqL0" TargetMode="External"/><Relationship Id="rId605" Type="http://schemas.openxmlformats.org/officeDocument/2006/relationships/hyperlink" Target="https://youtu.be/zX6u_Z7hoEc" TargetMode="External"/><Relationship Id="rId604" Type="http://schemas.openxmlformats.org/officeDocument/2006/relationships/hyperlink" Target="https://www.twitch.tv/videos/1024638839" TargetMode="External"/><Relationship Id="rId603" Type="http://schemas.openxmlformats.org/officeDocument/2006/relationships/hyperlink" Target="https://www.youtube.com/watch?v=4McFQ7EXzkk" TargetMode="External"/><Relationship Id="rId1430" Type="http://schemas.openxmlformats.org/officeDocument/2006/relationships/hyperlink" Target="https://youtu.be/M822PVs1H2w" TargetMode="External"/><Relationship Id="rId1431" Type="http://schemas.openxmlformats.org/officeDocument/2006/relationships/hyperlink" Target="https://youtu.be/ZuU1SRn-vGM" TargetMode="External"/><Relationship Id="rId1432" Type="http://schemas.openxmlformats.org/officeDocument/2006/relationships/hyperlink" Target="https://youtu.be/elaYSWhDvFA" TargetMode="External"/><Relationship Id="rId1422" Type="http://schemas.openxmlformats.org/officeDocument/2006/relationships/hyperlink" Target="https://youtu.be/4cDf1smVSUE" TargetMode="External"/><Relationship Id="rId1423" Type="http://schemas.openxmlformats.org/officeDocument/2006/relationships/hyperlink" Target="https://www.twitch.tv/aether10n/clip/FragileKathishPotRalpherZ-Q2x8vYX1ORzqttzN" TargetMode="External"/><Relationship Id="rId1424" Type="http://schemas.openxmlformats.org/officeDocument/2006/relationships/hyperlink" Target="https://youtu.be/kvu97FX2j0I" TargetMode="External"/><Relationship Id="rId1425" Type="http://schemas.openxmlformats.org/officeDocument/2006/relationships/hyperlink" Target="https://youtu.be/BwT0G0Js7bA" TargetMode="External"/><Relationship Id="rId1426" Type="http://schemas.openxmlformats.org/officeDocument/2006/relationships/hyperlink" Target="https://youtu.be/DaG7nFFVfzk" TargetMode="External"/><Relationship Id="rId1427" Type="http://schemas.openxmlformats.org/officeDocument/2006/relationships/hyperlink" Target="https://youtu.be/DaG7nFFVfzk" TargetMode="External"/><Relationship Id="rId1428" Type="http://schemas.openxmlformats.org/officeDocument/2006/relationships/hyperlink" Target="https://youtu.be/ZuU1SRn-vGM" TargetMode="External"/><Relationship Id="rId1429" Type="http://schemas.openxmlformats.org/officeDocument/2006/relationships/hyperlink" Target="https://youtu.be/7mi3rKCeBsI" TargetMode="External"/><Relationship Id="rId1420" Type="http://schemas.openxmlformats.org/officeDocument/2006/relationships/hyperlink" Target="https://youtu.be/KXv-tmNS8TM" TargetMode="External"/><Relationship Id="rId1421" Type="http://schemas.openxmlformats.org/officeDocument/2006/relationships/hyperlink" Target="https://youtu.be/tcfld4v8t2Q" TargetMode="External"/><Relationship Id="rId699" Type="http://schemas.openxmlformats.org/officeDocument/2006/relationships/hyperlink" Target="https://youtu.be/x-k4Bjyv388" TargetMode="External"/><Relationship Id="rId698" Type="http://schemas.openxmlformats.org/officeDocument/2006/relationships/hyperlink" Target="https://youtu.be/x-k4Bjyv388" TargetMode="External"/><Relationship Id="rId693" Type="http://schemas.openxmlformats.org/officeDocument/2006/relationships/hyperlink" Target="https://youtu.be/dPF00ycInFI" TargetMode="External"/><Relationship Id="rId692" Type="http://schemas.openxmlformats.org/officeDocument/2006/relationships/hyperlink" Target="https://youtu.be/sU4vaAxT7UM" TargetMode="External"/><Relationship Id="rId691" Type="http://schemas.openxmlformats.org/officeDocument/2006/relationships/hyperlink" Target="https://youtu.be/KjNogRhrE7o" TargetMode="External"/><Relationship Id="rId690" Type="http://schemas.openxmlformats.org/officeDocument/2006/relationships/hyperlink" Target="https://youtu.be/ywM0MtG82Ew" TargetMode="External"/><Relationship Id="rId697" Type="http://schemas.openxmlformats.org/officeDocument/2006/relationships/hyperlink" Target="https://youtu.be/YDxrxFj0Jv0" TargetMode="External"/><Relationship Id="rId696" Type="http://schemas.openxmlformats.org/officeDocument/2006/relationships/hyperlink" Target="https://youtu.be/dPF00ycInFI" TargetMode="External"/><Relationship Id="rId695" Type="http://schemas.openxmlformats.org/officeDocument/2006/relationships/hyperlink" Target="https://youtu.be/CGnFPQNDQfo" TargetMode="External"/><Relationship Id="rId694" Type="http://schemas.openxmlformats.org/officeDocument/2006/relationships/hyperlink" Target="https://youtu.be/uokFysnxkns" TargetMode="External"/><Relationship Id="rId1499" Type="http://schemas.openxmlformats.org/officeDocument/2006/relationships/hyperlink" Target="https://youtu.be/XJPRsCvWvWI" TargetMode="External"/><Relationship Id="rId668" Type="http://schemas.openxmlformats.org/officeDocument/2006/relationships/hyperlink" Target="https://youtu.be/BRXVvNWBHQM" TargetMode="External"/><Relationship Id="rId667" Type="http://schemas.openxmlformats.org/officeDocument/2006/relationships/hyperlink" Target="https://youtu.be/Xu8Ao983E4A" TargetMode="External"/><Relationship Id="rId666" Type="http://schemas.openxmlformats.org/officeDocument/2006/relationships/hyperlink" Target="https://youtu.be/iBxubJeUngI" TargetMode="External"/><Relationship Id="rId665" Type="http://schemas.openxmlformats.org/officeDocument/2006/relationships/hyperlink" Target="https://youtu.be/eqBfv6kOuq0" TargetMode="External"/><Relationship Id="rId669" Type="http://schemas.openxmlformats.org/officeDocument/2006/relationships/hyperlink" Target="https://youtu.be/Cgbw0t2unaM" TargetMode="External"/><Relationship Id="rId1490" Type="http://schemas.openxmlformats.org/officeDocument/2006/relationships/hyperlink" Target="https://youtu.be/iDo6x9K8B4I" TargetMode="External"/><Relationship Id="rId660" Type="http://schemas.openxmlformats.org/officeDocument/2006/relationships/hyperlink" Target="https://www.youtube.com/watch?v=l8w62fXge88" TargetMode="External"/><Relationship Id="rId1491" Type="http://schemas.openxmlformats.org/officeDocument/2006/relationships/hyperlink" Target="https://www.youtube.com/watch?v=_sGFnkXOmWA&amp;feature=youtu.be&amp;ab_channel=SMSArchives" TargetMode="External"/><Relationship Id="rId1492" Type="http://schemas.openxmlformats.org/officeDocument/2006/relationships/hyperlink" Target="https://youtu.be/NdyFOs0CNzA" TargetMode="External"/><Relationship Id="rId1493" Type="http://schemas.openxmlformats.org/officeDocument/2006/relationships/hyperlink" Target="https://youtu.be/bDV8fM7A1eA" TargetMode="External"/><Relationship Id="rId1494" Type="http://schemas.openxmlformats.org/officeDocument/2006/relationships/hyperlink" Target="https://youtu.be/7pMKee3TeoI" TargetMode="External"/><Relationship Id="rId664" Type="http://schemas.openxmlformats.org/officeDocument/2006/relationships/hyperlink" Target="https://youtu.be/vTpWxxEdx-8" TargetMode="External"/><Relationship Id="rId1495" Type="http://schemas.openxmlformats.org/officeDocument/2006/relationships/hyperlink" Target="https://youtu.be/Xo4t95JdZqM" TargetMode="External"/><Relationship Id="rId663" Type="http://schemas.openxmlformats.org/officeDocument/2006/relationships/hyperlink" Target="https://youtu.be/RMKSoa356Sg" TargetMode="External"/><Relationship Id="rId1496" Type="http://schemas.openxmlformats.org/officeDocument/2006/relationships/hyperlink" Target="https://youtu.be/Wfk3pXadilY" TargetMode="External"/><Relationship Id="rId662" Type="http://schemas.openxmlformats.org/officeDocument/2006/relationships/hyperlink" Target="https://youtu.be/4SFPJQOfmYE" TargetMode="External"/><Relationship Id="rId1497" Type="http://schemas.openxmlformats.org/officeDocument/2006/relationships/hyperlink" Target="https://www.youtube.com/watch?v=6M4ARzKlbFE" TargetMode="External"/><Relationship Id="rId661" Type="http://schemas.openxmlformats.org/officeDocument/2006/relationships/hyperlink" Target="https://youtu.be/vTpWxxEdx-8" TargetMode="External"/><Relationship Id="rId1498" Type="http://schemas.openxmlformats.org/officeDocument/2006/relationships/hyperlink" Target="https://www.youtube.com/watch?v=etTxUYPYcg4" TargetMode="External"/><Relationship Id="rId1488" Type="http://schemas.openxmlformats.org/officeDocument/2006/relationships/hyperlink" Target="https://youtu.be/RPNLhL9Mwx8" TargetMode="External"/><Relationship Id="rId1489" Type="http://schemas.openxmlformats.org/officeDocument/2006/relationships/hyperlink" Target="https://youtu.be/7pMKee3TeoI" TargetMode="External"/><Relationship Id="rId657" Type="http://schemas.openxmlformats.org/officeDocument/2006/relationships/hyperlink" Target="https://www.twitch.tv/videos/1062261583" TargetMode="External"/><Relationship Id="rId656" Type="http://schemas.openxmlformats.org/officeDocument/2006/relationships/hyperlink" Target="https://youtu.be/zcG6KElMBT4" TargetMode="External"/><Relationship Id="rId655" Type="http://schemas.openxmlformats.org/officeDocument/2006/relationships/hyperlink" Target="https://clips.twitch.tv/PricklyHelpfulOrangeRlyTho-klp6JQH6Wt_q38gr" TargetMode="External"/><Relationship Id="rId654" Type="http://schemas.openxmlformats.org/officeDocument/2006/relationships/hyperlink" Target="https://youtu.be/qnF0xdadvQY" TargetMode="External"/><Relationship Id="rId659" Type="http://schemas.openxmlformats.org/officeDocument/2006/relationships/hyperlink" Target="https://youtu.be/vNhatPMB6m8" TargetMode="External"/><Relationship Id="rId658" Type="http://schemas.openxmlformats.org/officeDocument/2006/relationships/hyperlink" Target="https://www.youtube.com/watch?v=QhAGIDRaOXM" TargetMode="External"/><Relationship Id="rId1480" Type="http://schemas.openxmlformats.org/officeDocument/2006/relationships/hyperlink" Target="https://youtu.be/bEnkKuin0AU" TargetMode="External"/><Relationship Id="rId1481" Type="http://schemas.openxmlformats.org/officeDocument/2006/relationships/hyperlink" Target="https://clips.twitch.tv/SparklingSmilingWallabyCoolStoryBob-_ensxpQ0szxamxyd" TargetMode="External"/><Relationship Id="rId1482" Type="http://schemas.openxmlformats.org/officeDocument/2006/relationships/hyperlink" Target="https://youtu.be/lqo9BM5TzqU" TargetMode="External"/><Relationship Id="rId1483" Type="http://schemas.openxmlformats.org/officeDocument/2006/relationships/hyperlink" Target="https://youtu.be/Awt0kRubMRs" TargetMode="External"/><Relationship Id="rId653" Type="http://schemas.openxmlformats.org/officeDocument/2006/relationships/hyperlink" Target="https://www.twitch.tv/aether10n/clip/LightCoyMallardHotPokket-SHKbG5De8diMybl9" TargetMode="External"/><Relationship Id="rId1484" Type="http://schemas.openxmlformats.org/officeDocument/2006/relationships/hyperlink" Target="https://youtu.be/yaUZ7zMs4j0" TargetMode="External"/><Relationship Id="rId652" Type="http://schemas.openxmlformats.org/officeDocument/2006/relationships/hyperlink" Target="https://clips.twitch.tv/GlutenFreeNaiveMoonNerfBlueBlaster-zwl3N2FIDvdOzgkC" TargetMode="External"/><Relationship Id="rId1485" Type="http://schemas.openxmlformats.org/officeDocument/2006/relationships/hyperlink" Target="https://clips.twitch.tv/SparklingSmilingWallabyCoolStoryBob-_ensxpQ0szxamxyd" TargetMode="External"/><Relationship Id="rId651" Type="http://schemas.openxmlformats.org/officeDocument/2006/relationships/hyperlink" Target="https://www.twitch.tv/videos/780053930" TargetMode="External"/><Relationship Id="rId1486" Type="http://schemas.openxmlformats.org/officeDocument/2006/relationships/hyperlink" Target="https://youtu.be/uM1I8GG5zVk" TargetMode="External"/><Relationship Id="rId650" Type="http://schemas.openxmlformats.org/officeDocument/2006/relationships/hyperlink" Target="https://youtu.be/Ek3-OIBbd_s" TargetMode="External"/><Relationship Id="rId1487" Type="http://schemas.openxmlformats.org/officeDocument/2006/relationships/hyperlink" Target="https://youtu.be/3ASpf58HwCg" TargetMode="External"/><Relationship Id="rId689" Type="http://schemas.openxmlformats.org/officeDocument/2006/relationships/hyperlink" Target="https://www.youtube.com/watch?v=cuxp4og-e9I" TargetMode="External"/><Relationship Id="rId688" Type="http://schemas.openxmlformats.org/officeDocument/2006/relationships/hyperlink" Target="https://youtu.be/azAp4GAinUA" TargetMode="External"/><Relationship Id="rId687" Type="http://schemas.openxmlformats.org/officeDocument/2006/relationships/hyperlink" Target="https://www.youtube.com/watch?v=tVg0AtjUCLU&amp;feature=youtu.be" TargetMode="External"/><Relationship Id="rId682" Type="http://schemas.openxmlformats.org/officeDocument/2006/relationships/hyperlink" Target="https://youtu.be/WjT8sgQZIU0" TargetMode="External"/><Relationship Id="rId681" Type="http://schemas.openxmlformats.org/officeDocument/2006/relationships/hyperlink" Target="https://youtu.be/HU1bJX2TyJg" TargetMode="External"/><Relationship Id="rId680" Type="http://schemas.openxmlformats.org/officeDocument/2006/relationships/hyperlink" Target="https://youtu.be/HU1bJX2TyJg" TargetMode="External"/><Relationship Id="rId686" Type="http://schemas.openxmlformats.org/officeDocument/2006/relationships/hyperlink" Target="https://www.twitch.tv/ssantaaries/clip/ImportantHungryCheesePJSugar-VScP3SsSs4TP48r6" TargetMode="External"/><Relationship Id="rId685" Type="http://schemas.openxmlformats.org/officeDocument/2006/relationships/hyperlink" Target="https://youtu.be/Q_MyVwQo4yM" TargetMode="External"/><Relationship Id="rId684" Type="http://schemas.openxmlformats.org/officeDocument/2006/relationships/hyperlink" Target="https://youtu.be/fEVEtyTrceo" TargetMode="External"/><Relationship Id="rId683" Type="http://schemas.openxmlformats.org/officeDocument/2006/relationships/hyperlink" Target="https://youtu.be/tccaFtDBFqE" TargetMode="External"/><Relationship Id="rId679" Type="http://schemas.openxmlformats.org/officeDocument/2006/relationships/hyperlink" Target="https://www.youtube.com/watch?v=H4iAqO54Z9k&amp;t=182s" TargetMode="External"/><Relationship Id="rId678" Type="http://schemas.openxmlformats.org/officeDocument/2006/relationships/hyperlink" Target="https://www.youtube.com/watch?v=RqAsb8giAqw" TargetMode="External"/><Relationship Id="rId677" Type="http://schemas.openxmlformats.org/officeDocument/2006/relationships/hyperlink" Target="https://youtu.be/Vaz9RLUdUKI" TargetMode="External"/><Relationship Id="rId676" Type="http://schemas.openxmlformats.org/officeDocument/2006/relationships/hyperlink" Target="https://youtu.be/9W_8SvkVmls" TargetMode="External"/><Relationship Id="rId671" Type="http://schemas.openxmlformats.org/officeDocument/2006/relationships/hyperlink" Target="https://clips.twitch.tv/CallousGleamingCakeNomNom" TargetMode="External"/><Relationship Id="rId670" Type="http://schemas.openxmlformats.org/officeDocument/2006/relationships/hyperlink" Target="https://youtu.be/OebPbR5cDM4" TargetMode="External"/><Relationship Id="rId675" Type="http://schemas.openxmlformats.org/officeDocument/2006/relationships/hyperlink" Target="https://youtu.be/fzjJLGaCZF4" TargetMode="External"/><Relationship Id="rId674" Type="http://schemas.openxmlformats.org/officeDocument/2006/relationships/hyperlink" Target="https://www.youtube.com/watch?v=Vaz9RLUdUKI" TargetMode="External"/><Relationship Id="rId673" Type="http://schemas.openxmlformats.org/officeDocument/2006/relationships/hyperlink" Target="https://www.youtube.com/watch?v=YgJo9NzadSQ" TargetMode="External"/><Relationship Id="rId672" Type="http://schemas.openxmlformats.org/officeDocument/2006/relationships/hyperlink" Target="https://youtu.be/qcfVmgA2Lvs" TargetMode="External"/><Relationship Id="rId190" Type="http://schemas.openxmlformats.org/officeDocument/2006/relationships/hyperlink" Target="https://youtu.be/yh1BLcpJOmo" TargetMode="External"/><Relationship Id="rId194" Type="http://schemas.openxmlformats.org/officeDocument/2006/relationships/hyperlink" Target="https://clips.twitch.tv/OddSolidHamsterResidentSleeper-feahy9m-g9XtsI-M" TargetMode="External"/><Relationship Id="rId193" Type="http://schemas.openxmlformats.org/officeDocument/2006/relationships/hyperlink" Target="https://youtu.be/jjEXwrTelwI" TargetMode="External"/><Relationship Id="rId192" Type="http://schemas.openxmlformats.org/officeDocument/2006/relationships/hyperlink" Target="https://youtu.be/RxKPWe1nMt8" TargetMode="External"/><Relationship Id="rId191" Type="http://schemas.openxmlformats.org/officeDocument/2006/relationships/hyperlink" Target="https://youtu.be/769SOyoDtAc" TargetMode="External"/><Relationship Id="rId187" Type="http://schemas.openxmlformats.org/officeDocument/2006/relationships/hyperlink" Target="https://youtu.be/C-OLM675WHA" TargetMode="External"/><Relationship Id="rId186" Type="http://schemas.openxmlformats.org/officeDocument/2006/relationships/hyperlink" Target="https://youtu.be/C-OLM675WHA" TargetMode="External"/><Relationship Id="rId185" Type="http://schemas.openxmlformats.org/officeDocument/2006/relationships/hyperlink" Target="https://www.youtube.com/watch?v=fS0fvzU0e8I" TargetMode="External"/><Relationship Id="rId184" Type="http://schemas.openxmlformats.org/officeDocument/2006/relationships/hyperlink" Target="https://www.twitch.tv/aether10n/clip/ConsiderateFrailScorpionDxAbomb-okw3YgkDKjL8aTvB" TargetMode="External"/><Relationship Id="rId189" Type="http://schemas.openxmlformats.org/officeDocument/2006/relationships/hyperlink" Target="https://www.twitch.tv/aether10n/clip/PeacefulExcitedEelRlyTho-mDs61yt13Iygn46M" TargetMode="External"/><Relationship Id="rId188" Type="http://schemas.openxmlformats.org/officeDocument/2006/relationships/hyperlink" Target="https://clips.twitch.tv/LazyDarkHabaneroWTRuck" TargetMode="External"/><Relationship Id="rId183" Type="http://schemas.openxmlformats.org/officeDocument/2006/relationships/hyperlink" Target="https://clips.twitch.tv/PlumpWrongDiamondFutureMan" TargetMode="External"/><Relationship Id="rId182" Type="http://schemas.openxmlformats.org/officeDocument/2006/relationships/hyperlink" Target="https://youtu.be/T3p63lcT5Do" TargetMode="External"/><Relationship Id="rId181" Type="http://schemas.openxmlformats.org/officeDocument/2006/relationships/hyperlink" Target="https://youtu.be/hSI5Y4GvtzE" TargetMode="External"/><Relationship Id="rId180" Type="http://schemas.openxmlformats.org/officeDocument/2006/relationships/hyperlink" Target="https://youtu.be/hSI5Y4GvtzE" TargetMode="External"/><Relationship Id="rId176" Type="http://schemas.openxmlformats.org/officeDocument/2006/relationships/hyperlink" Target="https://youtu.be/R7m0lR0ZdGw" TargetMode="External"/><Relationship Id="rId175" Type="http://schemas.openxmlformats.org/officeDocument/2006/relationships/hyperlink" Target="https://www.youtube.com/watch?v=Wqb8rH0gEus&amp;ab_channel=SMSArchives" TargetMode="External"/><Relationship Id="rId174" Type="http://schemas.openxmlformats.org/officeDocument/2006/relationships/hyperlink" Target="https://youtu.be/kWUc7a_g4fk" TargetMode="External"/><Relationship Id="rId173" Type="http://schemas.openxmlformats.org/officeDocument/2006/relationships/hyperlink" Target="https://youtu.be/kWUc7a_g4fk" TargetMode="External"/><Relationship Id="rId179" Type="http://schemas.openxmlformats.org/officeDocument/2006/relationships/hyperlink" Target="https://www.youtube.com/watch?v=2YLmOy5Xb5c" TargetMode="External"/><Relationship Id="rId178" Type="http://schemas.openxmlformats.org/officeDocument/2006/relationships/hyperlink" Target="https://youtu.be/-b8ycr6RpXg" TargetMode="External"/><Relationship Id="rId177" Type="http://schemas.openxmlformats.org/officeDocument/2006/relationships/hyperlink" Target="https://youtu.be/GhKyC7jycqg" TargetMode="External"/><Relationship Id="rId198" Type="http://schemas.openxmlformats.org/officeDocument/2006/relationships/hyperlink" Target="https://youtu.be/YRowQo7Wb_U" TargetMode="External"/><Relationship Id="rId197" Type="http://schemas.openxmlformats.org/officeDocument/2006/relationships/hyperlink" Target="https://youtu.be/igxiTsu0qKc" TargetMode="External"/><Relationship Id="rId196" Type="http://schemas.openxmlformats.org/officeDocument/2006/relationships/hyperlink" Target="https://clips.twitch.tv/ProductiveAthleticCrocodileSmoocherZ-aNWyLY9N14ubgGJg" TargetMode="External"/><Relationship Id="rId195" Type="http://schemas.openxmlformats.org/officeDocument/2006/relationships/hyperlink" Target="https://www.twitch.tv/aether10n/clip/TameMotionlessGaragePlanking-OPonOmDME3znpLca" TargetMode="External"/><Relationship Id="rId199" Type="http://schemas.openxmlformats.org/officeDocument/2006/relationships/hyperlink" Target="https://www.twitch.tv/videos/603976626" TargetMode="External"/><Relationship Id="rId150" Type="http://schemas.openxmlformats.org/officeDocument/2006/relationships/hyperlink" Target="https://www.youtube.com/watch?v=jgwqCA9FLpc" TargetMode="External"/><Relationship Id="rId149" Type="http://schemas.openxmlformats.org/officeDocument/2006/relationships/hyperlink" Target="https://youtu.be/uW7vd-S5W_g" TargetMode="External"/><Relationship Id="rId148" Type="http://schemas.openxmlformats.org/officeDocument/2006/relationships/hyperlink" Target="https://www.twitch.tv/aether10n/clip/ProudTawdryDonkeyYee-btYP63fRQOgZBZJC" TargetMode="External"/><Relationship Id="rId143" Type="http://schemas.openxmlformats.org/officeDocument/2006/relationships/hyperlink" Target="https://youtu.be/xVEgIQtLGGo" TargetMode="External"/><Relationship Id="rId142" Type="http://schemas.openxmlformats.org/officeDocument/2006/relationships/hyperlink" Target="https://youtu.be/AMvAgo1dwEI" TargetMode="External"/><Relationship Id="rId141" Type="http://schemas.openxmlformats.org/officeDocument/2006/relationships/hyperlink" Target="https://youtu.be/UkxHNcrOnOM" TargetMode="External"/><Relationship Id="rId140" Type="http://schemas.openxmlformats.org/officeDocument/2006/relationships/hyperlink" Target="https://youtu.be/ghqODYL8Srg" TargetMode="External"/><Relationship Id="rId147" Type="http://schemas.openxmlformats.org/officeDocument/2006/relationships/hyperlink" Target="https://youtu.be/uW7vd-S5W_g" TargetMode="External"/><Relationship Id="rId146" Type="http://schemas.openxmlformats.org/officeDocument/2006/relationships/hyperlink" Target="https://clips.twitch.tv/SullenMildPassionfruitStoneLightning-lVkzTjmimDRdBaAo" TargetMode="External"/><Relationship Id="rId145" Type="http://schemas.openxmlformats.org/officeDocument/2006/relationships/hyperlink" Target="https://www.youtube.com/watch?v=jEwYvHAaFr0" TargetMode="External"/><Relationship Id="rId144" Type="http://schemas.openxmlformats.org/officeDocument/2006/relationships/hyperlink" Target="https://twitter.com/Qbe_Root/status/1424895162757615617" TargetMode="External"/><Relationship Id="rId139" Type="http://schemas.openxmlformats.org/officeDocument/2006/relationships/hyperlink" Target="https://youtu.be/Nox9kjgDI40?si=8sE0_N0kx_z1zwkT" TargetMode="External"/><Relationship Id="rId138" Type="http://schemas.openxmlformats.org/officeDocument/2006/relationships/hyperlink" Target="https://youtu.be/spShig1LGP8" TargetMode="External"/><Relationship Id="rId137" Type="http://schemas.openxmlformats.org/officeDocument/2006/relationships/hyperlink" Target="https://youtu.be/UA6s24Tjs9w" TargetMode="External"/><Relationship Id="rId132" Type="http://schemas.openxmlformats.org/officeDocument/2006/relationships/hyperlink" Target="https://youtu.be/bK2GuomVNRY" TargetMode="External"/><Relationship Id="rId131" Type="http://schemas.openxmlformats.org/officeDocument/2006/relationships/hyperlink" Target="https://clips.twitch.tv/SuperGracefulChickenWOOP-RkQZZH9ICL5xKDM8" TargetMode="External"/><Relationship Id="rId130" Type="http://schemas.openxmlformats.org/officeDocument/2006/relationships/hyperlink" Target="https://www.youtube.com/watch?v=OW5rsfv8Yms" TargetMode="External"/><Relationship Id="rId136" Type="http://schemas.openxmlformats.org/officeDocument/2006/relationships/hyperlink" Target="https://www.twitch.tv/inkstar/clip/VibrantRefinedManateeDBstyle-ZZ4URD_YfGiYlQcP" TargetMode="External"/><Relationship Id="rId135" Type="http://schemas.openxmlformats.org/officeDocument/2006/relationships/hyperlink" Target="https://youtu.be/bK2GuomVNRY" TargetMode="External"/><Relationship Id="rId134" Type="http://schemas.openxmlformats.org/officeDocument/2006/relationships/hyperlink" Target="https://youtu.be/-Wn_nlaNiMQ" TargetMode="External"/><Relationship Id="rId133" Type="http://schemas.openxmlformats.org/officeDocument/2006/relationships/hyperlink" Target="https://youtu.be/ytL6DLaL0fs" TargetMode="External"/><Relationship Id="rId172" Type="http://schemas.openxmlformats.org/officeDocument/2006/relationships/hyperlink" Target="https://youtu.be/Ffgo1tv3vGs" TargetMode="External"/><Relationship Id="rId171" Type="http://schemas.openxmlformats.org/officeDocument/2006/relationships/hyperlink" Target="https://youtu.be/gU_Hr6d9fu8" TargetMode="External"/><Relationship Id="rId170" Type="http://schemas.openxmlformats.org/officeDocument/2006/relationships/hyperlink" Target="https://www.youtube.com/watch?v=LPXGJX4dY9I&amp;ab_channel=SMSArchives" TargetMode="External"/><Relationship Id="rId165" Type="http://schemas.openxmlformats.org/officeDocument/2006/relationships/hyperlink" Target="https://youtu.be/a7XrRbR-Kdw?feature=shared" TargetMode="External"/><Relationship Id="rId164" Type="http://schemas.openxmlformats.org/officeDocument/2006/relationships/hyperlink" Target="https://youtu.be/1huQ5X64O_w" TargetMode="External"/><Relationship Id="rId163" Type="http://schemas.openxmlformats.org/officeDocument/2006/relationships/hyperlink" Target="https://youtu.be/14tkCl0z8As" TargetMode="External"/><Relationship Id="rId162" Type="http://schemas.openxmlformats.org/officeDocument/2006/relationships/hyperlink" Target="https://www.youtube.com/watch?v=reZj0vp63J4&amp;feature=youtu.be&amp;ab_channel=SMSArchives" TargetMode="External"/><Relationship Id="rId169" Type="http://schemas.openxmlformats.org/officeDocument/2006/relationships/hyperlink" Target="https://youtu.be/wGxpUlj4izo" TargetMode="External"/><Relationship Id="rId168" Type="http://schemas.openxmlformats.org/officeDocument/2006/relationships/hyperlink" Target="https://youtu.be/7DAZWBU5Kp0" TargetMode="External"/><Relationship Id="rId167" Type="http://schemas.openxmlformats.org/officeDocument/2006/relationships/hyperlink" Target="https://youtu.be/ZZQ53mLE-vw?t=4" TargetMode="External"/><Relationship Id="rId166" Type="http://schemas.openxmlformats.org/officeDocument/2006/relationships/hyperlink" Target="https://www.youtube.com/watch?v=u9G5f8gkDL4&amp;feature=youtu.be&amp;ab_channel=SMSArchives" TargetMode="External"/><Relationship Id="rId161" Type="http://schemas.openxmlformats.org/officeDocument/2006/relationships/hyperlink" Target="https://www.youtube.com/watch?v=reZj0vp63J4" TargetMode="External"/><Relationship Id="rId160" Type="http://schemas.openxmlformats.org/officeDocument/2006/relationships/hyperlink" Target="https://www.youtube.com/watch?v=M3kTLyyjS_8" TargetMode="External"/><Relationship Id="rId159" Type="http://schemas.openxmlformats.org/officeDocument/2006/relationships/hyperlink" Target="https://www.youtube.com/watch?v=CLvtX0UXNIM" TargetMode="External"/><Relationship Id="rId154" Type="http://schemas.openxmlformats.org/officeDocument/2006/relationships/hyperlink" Target="https://youtu.be/FlAaG9As5a8" TargetMode="External"/><Relationship Id="rId153" Type="http://schemas.openxmlformats.org/officeDocument/2006/relationships/hyperlink" Target="https://youtu.be/aHiAu9mzT7I?t=7" TargetMode="External"/><Relationship Id="rId152" Type="http://schemas.openxmlformats.org/officeDocument/2006/relationships/hyperlink" Target="https://www.youtube.com/watch?v=jgwqCA9FLpc" TargetMode="External"/><Relationship Id="rId151" Type="http://schemas.openxmlformats.org/officeDocument/2006/relationships/hyperlink" Target="https://www.twitch.tv/aether10n/clip/UnsightlySnappyDinosaurRuleFive-oc3oXMaJIS0j_EQq" TargetMode="External"/><Relationship Id="rId158" Type="http://schemas.openxmlformats.org/officeDocument/2006/relationships/hyperlink" Target="https://www.youtube.com/watch?v=37h-M8R5CW8&amp;feature=youtu.be&amp;ab_channel=SMSArchives" TargetMode="External"/><Relationship Id="rId157" Type="http://schemas.openxmlformats.org/officeDocument/2006/relationships/hyperlink" Target="https://youtu.be/IKCrZywp8wk" TargetMode="External"/><Relationship Id="rId156" Type="http://schemas.openxmlformats.org/officeDocument/2006/relationships/hyperlink" Target="https://www.youtube.com/watch?v=M3kTLyyjS_8" TargetMode="External"/><Relationship Id="rId155" Type="http://schemas.openxmlformats.org/officeDocument/2006/relationships/hyperlink" Target="https://www.twitch.tv/aether10n/clip/ImpartialFancyWormAsianGlow-or59HcLmk-hyxPQk" TargetMode="External"/><Relationship Id="rId1510" Type="http://schemas.openxmlformats.org/officeDocument/2006/relationships/hyperlink" Target="https://clips.twitch.tv/FunFilthyHerringPicoMause-5CS6RTHfNlvZK2Qq" TargetMode="External"/><Relationship Id="rId1511" Type="http://schemas.openxmlformats.org/officeDocument/2006/relationships/hyperlink" Target="https://www.twitch.tv/fech8763/clip/BenevolentEasyWatermelonFailFish?filter=clips&amp;range=all&amp;sort=time" TargetMode="External"/><Relationship Id="rId1512" Type="http://schemas.openxmlformats.org/officeDocument/2006/relationships/hyperlink" Target="https://youtu.be/uA-PPzdV66c" TargetMode="External"/><Relationship Id="rId1513" Type="http://schemas.openxmlformats.org/officeDocument/2006/relationships/hyperlink" Target="https://youtu.be/uA-PPzdV66c" TargetMode="External"/><Relationship Id="rId1514" Type="http://schemas.openxmlformats.org/officeDocument/2006/relationships/hyperlink" Target="https://clips.twitch.tv/ConfidentRelievedGoblinNononoCat-lWNlVySfGUvshW8W" TargetMode="External"/><Relationship Id="rId1515" Type="http://schemas.openxmlformats.org/officeDocument/2006/relationships/hyperlink" Target="https://www.youtube.com/watch?v=BanNtsjIhb4&amp;feature=youtu.be&amp;ab_channel=SMSArchives" TargetMode="External"/><Relationship Id="rId1516" Type="http://schemas.openxmlformats.org/officeDocument/2006/relationships/hyperlink" Target="https://clips.twitch.tv/ConfidentRelievedGoblinNononoCat-lWNlVySfGUvshW8W" TargetMode="External"/><Relationship Id="rId1517" Type="http://schemas.openxmlformats.org/officeDocument/2006/relationships/hyperlink" Target="https://youtu.be/hHITvO7XueU" TargetMode="External"/><Relationship Id="rId1518" Type="http://schemas.openxmlformats.org/officeDocument/2006/relationships/hyperlink" Target="https://youtu.be/TX8Oe2Rwyuw" TargetMode="External"/><Relationship Id="rId1519" Type="http://schemas.openxmlformats.org/officeDocument/2006/relationships/hyperlink" Target="https://youtu.be/Ay4FY71sJJo" TargetMode="External"/><Relationship Id="rId1500" Type="http://schemas.openxmlformats.org/officeDocument/2006/relationships/hyperlink" Target="https://twitter.com/inkstarLum/status/1713868539566899289" TargetMode="External"/><Relationship Id="rId1501" Type="http://schemas.openxmlformats.org/officeDocument/2006/relationships/hyperlink" Target="https://youtu.be/rnd5uC2ODd4" TargetMode="External"/><Relationship Id="rId1502" Type="http://schemas.openxmlformats.org/officeDocument/2006/relationships/hyperlink" Target="https://youtu.be/IVozaNgTvUE" TargetMode="External"/><Relationship Id="rId1503" Type="http://schemas.openxmlformats.org/officeDocument/2006/relationships/hyperlink" Target="https://www.youtube.com/watch?v=sqTuGwDvVjI&amp;feature=youtu.be&amp;ab_channel=SMSArchives" TargetMode="External"/><Relationship Id="rId1504" Type="http://schemas.openxmlformats.org/officeDocument/2006/relationships/hyperlink" Target="https://x.com/inkstarLum/status/1713868539566899289?s=20" TargetMode="External"/><Relationship Id="rId1505" Type="http://schemas.openxmlformats.org/officeDocument/2006/relationships/hyperlink" Target="https://youtu.be/pXkmcZIsCgA" TargetMode="External"/><Relationship Id="rId1506" Type="http://schemas.openxmlformats.org/officeDocument/2006/relationships/hyperlink" Target="https://youtu.be/Ep8IDi5o2Ec" TargetMode="External"/><Relationship Id="rId1507" Type="http://schemas.openxmlformats.org/officeDocument/2006/relationships/hyperlink" Target="https://youtu.be/gPYL3ON-eEU" TargetMode="External"/><Relationship Id="rId1508" Type="http://schemas.openxmlformats.org/officeDocument/2006/relationships/hyperlink" Target="https://youtu.be/_zy6O8EMW9o" TargetMode="External"/><Relationship Id="rId1509" Type="http://schemas.openxmlformats.org/officeDocument/2006/relationships/hyperlink" Target="https://youtu.be/Vn-avrb6ChU" TargetMode="External"/><Relationship Id="rId1576" Type="http://schemas.openxmlformats.org/officeDocument/2006/relationships/hyperlink" Target="https://www.twitch.tv/videos/2804884779" TargetMode="External"/><Relationship Id="rId1577" Type="http://schemas.openxmlformats.org/officeDocument/2006/relationships/hyperlink" Target="https://youtu.be/-UCXhbcQfkQ" TargetMode="External"/><Relationship Id="rId1578" Type="http://schemas.openxmlformats.org/officeDocument/2006/relationships/hyperlink" Target="https://www.youtube.com/watch?v=_x8uBJYB3rw" TargetMode="External"/><Relationship Id="rId1579" Type="http://schemas.openxmlformats.org/officeDocument/2006/relationships/hyperlink" Target="https://www.twitch.tv/videos/2804884779" TargetMode="External"/><Relationship Id="rId987" Type="http://schemas.openxmlformats.org/officeDocument/2006/relationships/hyperlink" Target="https://clips.twitch.tv/RoundKitschyCrabJonCarnage" TargetMode="External"/><Relationship Id="rId986" Type="http://schemas.openxmlformats.org/officeDocument/2006/relationships/hyperlink" Target="https://clips.twitch.tv/PrettiestHyperPassionfruitPhilosoraptor-zgIpEATPca60AcdA" TargetMode="External"/><Relationship Id="rId985" Type="http://schemas.openxmlformats.org/officeDocument/2006/relationships/hyperlink" Target="https://youtu.be/yLJr0yYVVxI" TargetMode="External"/><Relationship Id="rId984" Type="http://schemas.openxmlformats.org/officeDocument/2006/relationships/hyperlink" Target="https://clips.twitch.tv/AverageInexpensivePlumberTwitchRPG-KqG7b_u4MkB4IKiJ" TargetMode="External"/><Relationship Id="rId989" Type="http://schemas.openxmlformats.org/officeDocument/2006/relationships/hyperlink" Target="https://youtu.be/obM0WDl_1s4" TargetMode="External"/><Relationship Id="rId988" Type="http://schemas.openxmlformats.org/officeDocument/2006/relationships/hyperlink" Target="https://www.twitch.tv/aether10n/clip/SnappyDifficultLettucePeteZarollTie-OViNSZx4TB0-R4hy" TargetMode="External"/><Relationship Id="rId1570" Type="http://schemas.openxmlformats.org/officeDocument/2006/relationships/hyperlink" Target="https://youtu.be/n5s23mXJ58o" TargetMode="External"/><Relationship Id="rId1571" Type="http://schemas.openxmlformats.org/officeDocument/2006/relationships/hyperlink" Target="https://youtu.be/lks9ErI0TtM" TargetMode="External"/><Relationship Id="rId983" Type="http://schemas.openxmlformats.org/officeDocument/2006/relationships/hyperlink" Target="https://youtu.be/wnFz7_SR_wA" TargetMode="External"/><Relationship Id="rId1572" Type="http://schemas.openxmlformats.org/officeDocument/2006/relationships/hyperlink" Target="https://www.youtube.com/watch?v=Gtva9pJkYT8" TargetMode="External"/><Relationship Id="rId982" Type="http://schemas.openxmlformats.org/officeDocument/2006/relationships/hyperlink" Target="https://youtu.be/jYp1YA6aYEI" TargetMode="External"/><Relationship Id="rId1573" Type="http://schemas.openxmlformats.org/officeDocument/2006/relationships/hyperlink" Target="https://www.youtube.com/watch?v=pSdduI28TV0" TargetMode="External"/><Relationship Id="rId981" Type="http://schemas.openxmlformats.org/officeDocument/2006/relationships/hyperlink" Target="https://youtu.be/R5YCV-rEwyc" TargetMode="External"/><Relationship Id="rId1574" Type="http://schemas.openxmlformats.org/officeDocument/2006/relationships/hyperlink" Target="https://www.youtube.com/watch?v=3F2muoR_V9w" TargetMode="External"/><Relationship Id="rId980" Type="http://schemas.openxmlformats.org/officeDocument/2006/relationships/hyperlink" Target="https://youtu.be/wnFz7_SR_wA" TargetMode="External"/><Relationship Id="rId1575" Type="http://schemas.openxmlformats.org/officeDocument/2006/relationships/hyperlink" Target="https://youtu.be/VbQuQcZvtbo" TargetMode="External"/><Relationship Id="rId1565" Type="http://schemas.openxmlformats.org/officeDocument/2006/relationships/hyperlink" Target="https://youtu.be/UkJdOKDmTO4" TargetMode="External"/><Relationship Id="rId1566" Type="http://schemas.openxmlformats.org/officeDocument/2006/relationships/hyperlink" Target="https://youtu.be/Xy-2rHEx6Kk" TargetMode="External"/><Relationship Id="rId1567" Type="http://schemas.openxmlformats.org/officeDocument/2006/relationships/hyperlink" Target="https://www.twitch.tv/videos/2030169824" TargetMode="External"/><Relationship Id="rId1568" Type="http://schemas.openxmlformats.org/officeDocument/2006/relationships/hyperlink" Target="https://youtu.be/tAAvzoOfUkg" TargetMode="External"/><Relationship Id="rId1569" Type="http://schemas.openxmlformats.org/officeDocument/2006/relationships/hyperlink" Target="https://youtu.be/rAB7TqLFJuw?si=TDTsZP6wLrlhUNzX" TargetMode="External"/><Relationship Id="rId976" Type="http://schemas.openxmlformats.org/officeDocument/2006/relationships/hyperlink" Target="https://youtu.be/cFAGM_tkFfQ" TargetMode="External"/><Relationship Id="rId975" Type="http://schemas.openxmlformats.org/officeDocument/2006/relationships/hyperlink" Target="https://www.youtube.com/watch?v=ieByzYZpBvM" TargetMode="External"/><Relationship Id="rId974" Type="http://schemas.openxmlformats.org/officeDocument/2006/relationships/hyperlink" Target="https://youtu.be/1g-6FMuEbKo" TargetMode="External"/><Relationship Id="rId973" Type="http://schemas.openxmlformats.org/officeDocument/2006/relationships/hyperlink" Target="https://clips.twitch.tv/HomelyAnnoyingGaragePlanking-MF1j1_aC2S-6-UOm" TargetMode="External"/><Relationship Id="rId979" Type="http://schemas.openxmlformats.org/officeDocument/2006/relationships/hyperlink" Target="https://www.twitch.tv/aether10n/clip/MistyFragileGrassNerfBlueBlaster-PaZH608EL9bDX8nI" TargetMode="External"/><Relationship Id="rId978" Type="http://schemas.openxmlformats.org/officeDocument/2006/relationships/hyperlink" Target="https://www.youtube.com/watch?v=S17TMSeaNTM" TargetMode="External"/><Relationship Id="rId977" Type="http://schemas.openxmlformats.org/officeDocument/2006/relationships/hyperlink" Target="https://youtu.be/Is8NqhibN8U" TargetMode="External"/><Relationship Id="rId1560" Type="http://schemas.openxmlformats.org/officeDocument/2006/relationships/hyperlink" Target="https://youtu.be/7487BVlZ3jQ" TargetMode="External"/><Relationship Id="rId972" Type="http://schemas.openxmlformats.org/officeDocument/2006/relationships/hyperlink" Target="https://clips.twitch.tv/RacyLaconicDumplingsUncleNox-_SP4ET9Bken7MYDb" TargetMode="External"/><Relationship Id="rId1561" Type="http://schemas.openxmlformats.org/officeDocument/2006/relationships/hyperlink" Target="https://www.youtube.com/watch?v=fZ8dHKCXFgA&amp;feature=youtu.be&amp;ab_channel=SMSArchives" TargetMode="External"/><Relationship Id="rId971" Type="http://schemas.openxmlformats.org/officeDocument/2006/relationships/hyperlink" Target="https://youtu.be/FAK9lsxbQhY" TargetMode="External"/><Relationship Id="rId1562" Type="http://schemas.openxmlformats.org/officeDocument/2006/relationships/hyperlink" Target="https://www.youtube.com/watch?v=fZ8dHKCXFgA&amp;feature=youtu.be&amp;ab_channel=SMSArchives" TargetMode="External"/><Relationship Id="rId970" Type="http://schemas.openxmlformats.org/officeDocument/2006/relationships/hyperlink" Target="https://youtu.be/Rn7yvpNUrrk" TargetMode="External"/><Relationship Id="rId1563" Type="http://schemas.openxmlformats.org/officeDocument/2006/relationships/hyperlink" Target="https://youtu.be/Xy-2rHEx6Kk" TargetMode="External"/><Relationship Id="rId1564" Type="http://schemas.openxmlformats.org/officeDocument/2006/relationships/hyperlink" Target="https://youtu.be/CS3VSnhR56g" TargetMode="External"/><Relationship Id="rId1598" Type="http://schemas.openxmlformats.org/officeDocument/2006/relationships/hyperlink" Target="https://youtu.be/iLGsEwZu7rM" TargetMode="External"/><Relationship Id="rId1599" Type="http://schemas.openxmlformats.org/officeDocument/2006/relationships/hyperlink" Target="https://www.youtube.com/watch?v=hcTcNFer4OU&amp;feature=youtu.be" TargetMode="External"/><Relationship Id="rId1590" Type="http://schemas.openxmlformats.org/officeDocument/2006/relationships/hyperlink" Target="https://youtu.be/8mtRTj2BYn0" TargetMode="External"/><Relationship Id="rId1591" Type="http://schemas.openxmlformats.org/officeDocument/2006/relationships/hyperlink" Target="https://clips.twitch.tv/RelatedCoyWaspOhMyDog-Jn-IO2hOlpCeg8LO" TargetMode="External"/><Relationship Id="rId1592" Type="http://schemas.openxmlformats.org/officeDocument/2006/relationships/hyperlink" Target="https://youtu.be/84gmAUcAD6Y" TargetMode="External"/><Relationship Id="rId1593" Type="http://schemas.openxmlformats.org/officeDocument/2006/relationships/hyperlink" Target="https://youtu.be/Kk8g_-PNVdk" TargetMode="External"/><Relationship Id="rId1594" Type="http://schemas.openxmlformats.org/officeDocument/2006/relationships/hyperlink" Target="https://youtu.be/foVg2cBpyeA" TargetMode="External"/><Relationship Id="rId1595" Type="http://schemas.openxmlformats.org/officeDocument/2006/relationships/hyperlink" Target="https://www.youtube.com/watch?v=9kxYuxGiQNM" TargetMode="External"/><Relationship Id="rId1596" Type="http://schemas.openxmlformats.org/officeDocument/2006/relationships/hyperlink" Target="https://youtu.be/6BHwPzwPmWQ" TargetMode="External"/><Relationship Id="rId1597" Type="http://schemas.openxmlformats.org/officeDocument/2006/relationships/hyperlink" Target="https://youtu.be/6BHwPzwPmWQ" TargetMode="External"/><Relationship Id="rId1587" Type="http://schemas.openxmlformats.org/officeDocument/2006/relationships/hyperlink" Target="https://youtu.be/foVg2cBpyeA" TargetMode="External"/><Relationship Id="rId1588" Type="http://schemas.openxmlformats.org/officeDocument/2006/relationships/hyperlink" Target="https://youtu.be/v7YmhszjVIs" TargetMode="External"/><Relationship Id="rId1589" Type="http://schemas.openxmlformats.org/officeDocument/2006/relationships/hyperlink" Target="https://youtu.be/zDa47CZ6kZE" TargetMode="External"/><Relationship Id="rId998" Type="http://schemas.openxmlformats.org/officeDocument/2006/relationships/hyperlink" Target="https://www.youtube.com/watch?v=uxCc-wmMTmM" TargetMode="External"/><Relationship Id="rId997" Type="http://schemas.openxmlformats.org/officeDocument/2006/relationships/hyperlink" Target="https://youtu.be/Y1PakxBY1VU" TargetMode="External"/><Relationship Id="rId996" Type="http://schemas.openxmlformats.org/officeDocument/2006/relationships/hyperlink" Target="https://youtu.be/KyLpq9PHrRo" TargetMode="External"/><Relationship Id="rId995" Type="http://schemas.openxmlformats.org/officeDocument/2006/relationships/hyperlink" Target="https://youtu.be/TsQqqpW92RA" TargetMode="External"/><Relationship Id="rId999" Type="http://schemas.openxmlformats.org/officeDocument/2006/relationships/hyperlink" Target="https://www.youtube.com/watch?v=pdUstevAtnQ" TargetMode="External"/><Relationship Id="rId990" Type="http://schemas.openxmlformats.org/officeDocument/2006/relationships/hyperlink" Target="https://youtu.be/AEgBM31Inm8" TargetMode="External"/><Relationship Id="rId1580" Type="http://schemas.openxmlformats.org/officeDocument/2006/relationships/hyperlink" Target="https://youtu.be/F_b2Hy-bsn8" TargetMode="External"/><Relationship Id="rId1581" Type="http://schemas.openxmlformats.org/officeDocument/2006/relationships/hyperlink" Target="https://youtu.be/3QYNV827jxk" TargetMode="External"/><Relationship Id="rId1582" Type="http://schemas.openxmlformats.org/officeDocument/2006/relationships/hyperlink" Target="https://youtu.be/j8LdFygZFfU" TargetMode="External"/><Relationship Id="rId994" Type="http://schemas.openxmlformats.org/officeDocument/2006/relationships/hyperlink" Target="https://youtu.be/2iD0cMJxAZQ" TargetMode="External"/><Relationship Id="rId1583" Type="http://schemas.openxmlformats.org/officeDocument/2006/relationships/hyperlink" Target="https://www.youtube.com/watch?v=DlUkCPGFGQk" TargetMode="External"/><Relationship Id="rId993" Type="http://schemas.openxmlformats.org/officeDocument/2006/relationships/hyperlink" Target="https://youtu.be/MaVR6cozgeg" TargetMode="External"/><Relationship Id="rId1584" Type="http://schemas.openxmlformats.org/officeDocument/2006/relationships/hyperlink" Target="https://youtu.be/nO0zfCsMG4c" TargetMode="External"/><Relationship Id="rId992" Type="http://schemas.openxmlformats.org/officeDocument/2006/relationships/hyperlink" Target="https://youtu.be/MaVR6cozgeg" TargetMode="External"/><Relationship Id="rId1585" Type="http://schemas.openxmlformats.org/officeDocument/2006/relationships/hyperlink" Target="https://youtu.be/nO0zfCsMG4c" TargetMode="External"/><Relationship Id="rId991" Type="http://schemas.openxmlformats.org/officeDocument/2006/relationships/hyperlink" Target="https://youtu.be/pg2U4CLwDnE" TargetMode="External"/><Relationship Id="rId1586" Type="http://schemas.openxmlformats.org/officeDocument/2006/relationships/hyperlink" Target="https://youtu.be/tbvTUyC2vMc" TargetMode="External"/><Relationship Id="rId1532" Type="http://schemas.openxmlformats.org/officeDocument/2006/relationships/hyperlink" Target="https://youtu.be/TtbKVZj2o3k" TargetMode="External"/><Relationship Id="rId1533" Type="http://schemas.openxmlformats.org/officeDocument/2006/relationships/hyperlink" Target="https://youtu.be/BQscRiGi4hc" TargetMode="External"/><Relationship Id="rId1534" Type="http://schemas.openxmlformats.org/officeDocument/2006/relationships/hyperlink" Target="https://youtu.be/tFgAtSSQHpQ" TargetMode="External"/><Relationship Id="rId1535" Type="http://schemas.openxmlformats.org/officeDocument/2006/relationships/hyperlink" Target="https://www.youtube.com/watch?v=k5V8na3uoBY" TargetMode="External"/><Relationship Id="rId1536" Type="http://schemas.openxmlformats.org/officeDocument/2006/relationships/hyperlink" Target="https://www.youtube.com/watch?v=BJNJgSLnXTM" TargetMode="External"/><Relationship Id="rId1537" Type="http://schemas.openxmlformats.org/officeDocument/2006/relationships/hyperlink" Target="https://youtu.be/a77pCypmreI" TargetMode="External"/><Relationship Id="rId1538" Type="http://schemas.openxmlformats.org/officeDocument/2006/relationships/hyperlink" Target="https://youtu.be/vRTP-4qZ-TE" TargetMode="External"/><Relationship Id="rId1539" Type="http://schemas.openxmlformats.org/officeDocument/2006/relationships/hyperlink" Target="https://youtu.be/dpYU8IDFLKY" TargetMode="External"/><Relationship Id="rId949" Type="http://schemas.openxmlformats.org/officeDocument/2006/relationships/hyperlink" Target="https://www.youtube.com/watch?v=afmk_kr71ko" TargetMode="External"/><Relationship Id="rId948" Type="http://schemas.openxmlformats.org/officeDocument/2006/relationships/hyperlink" Target="https://www.youtube.com/watch?v=oYyV4G_HB7w&amp;ab_channel=BlazeAlt" TargetMode="External"/><Relationship Id="rId943" Type="http://schemas.openxmlformats.org/officeDocument/2006/relationships/hyperlink" Target="https://clips.twitch.tv/BadObedientDovePicoMause-R8eTabHgjJpoeuW3" TargetMode="External"/><Relationship Id="rId942" Type="http://schemas.openxmlformats.org/officeDocument/2006/relationships/hyperlink" Target="https://www.youtube.com/watch?v=YtydVV2eG8U" TargetMode="External"/><Relationship Id="rId941" Type="http://schemas.openxmlformats.org/officeDocument/2006/relationships/hyperlink" Target="https://youtu.be/kbSFJmvFmYw" TargetMode="External"/><Relationship Id="rId940" Type="http://schemas.openxmlformats.org/officeDocument/2006/relationships/hyperlink" Target="https://youtu.be/pgzyaXmzsKs" TargetMode="External"/><Relationship Id="rId947" Type="http://schemas.openxmlformats.org/officeDocument/2006/relationships/hyperlink" Target="https://www.youtube.com/watch?v=IZRDfJxIzn4" TargetMode="External"/><Relationship Id="rId946" Type="http://schemas.openxmlformats.org/officeDocument/2006/relationships/hyperlink" Target="https://twitter.com/Qbe_Root/status/1404251571966328832" TargetMode="External"/><Relationship Id="rId945" Type="http://schemas.openxmlformats.org/officeDocument/2006/relationships/hyperlink" Target="https://clips.twitch.tv/AverageCrunchyCattleHeyGirl-I1-DzZfWoUgs66Sn" TargetMode="External"/><Relationship Id="rId944" Type="http://schemas.openxmlformats.org/officeDocument/2006/relationships/hyperlink" Target="https://youtu.be/47FTWeFTY78" TargetMode="External"/><Relationship Id="rId1530" Type="http://schemas.openxmlformats.org/officeDocument/2006/relationships/hyperlink" Target="https://youtu.be/MHOSL-gR_ZE" TargetMode="External"/><Relationship Id="rId1531" Type="http://schemas.openxmlformats.org/officeDocument/2006/relationships/hyperlink" Target="https://youtu.be/6fp0twJPjPo" TargetMode="External"/><Relationship Id="rId1521" Type="http://schemas.openxmlformats.org/officeDocument/2006/relationships/hyperlink" Target="https://youtu.be/fpEEA8nWq0Q" TargetMode="External"/><Relationship Id="rId1522" Type="http://schemas.openxmlformats.org/officeDocument/2006/relationships/hyperlink" Target="https://www.youtube.com/watch?v=BTK27xUh2So&amp;feature=youtu.be&amp;ab_channel=SMSArchives" TargetMode="External"/><Relationship Id="rId1523" Type="http://schemas.openxmlformats.org/officeDocument/2006/relationships/hyperlink" Target="https://www.twitch.tv/aether10n/clip/ScaryConsiderateFiddleheadsDxCat-f8GjA5Tm09xtdZUY" TargetMode="External"/><Relationship Id="rId1524" Type="http://schemas.openxmlformats.org/officeDocument/2006/relationships/hyperlink" Target="https://www.youtube.com/watch?v=4YO7lfEtNd8" TargetMode="External"/><Relationship Id="rId1525" Type="http://schemas.openxmlformats.org/officeDocument/2006/relationships/hyperlink" Target="https://youtu.be/Ay4FY71sJJo" TargetMode="External"/><Relationship Id="rId1526" Type="http://schemas.openxmlformats.org/officeDocument/2006/relationships/hyperlink" Target="https://clips.twitch.tv/FurryThirstyGaurUncleNox-62xsKc6hM-iBI_O-" TargetMode="External"/><Relationship Id="rId1527" Type="http://schemas.openxmlformats.org/officeDocument/2006/relationships/hyperlink" Target="https://www.youtube.com/watch?v=k5V8na3uoBY" TargetMode="External"/><Relationship Id="rId1528" Type="http://schemas.openxmlformats.org/officeDocument/2006/relationships/hyperlink" Target="https://youtu.be/VL4ymXGZ9CM" TargetMode="External"/><Relationship Id="rId1529" Type="http://schemas.openxmlformats.org/officeDocument/2006/relationships/hyperlink" Target="https://www.youtube.com/watch?v=-QrOv5szwRs&amp;feature=youtu.be&amp;ab_channel=SMSArchives" TargetMode="External"/><Relationship Id="rId939" Type="http://schemas.openxmlformats.org/officeDocument/2006/relationships/hyperlink" Target="https://youtu.be/c6EhE4xRT_A" TargetMode="External"/><Relationship Id="rId938" Type="http://schemas.openxmlformats.org/officeDocument/2006/relationships/hyperlink" Target="https://www.youtube.com/watch?v=afmk_kr71ko" TargetMode="External"/><Relationship Id="rId937" Type="http://schemas.openxmlformats.org/officeDocument/2006/relationships/hyperlink" Target="https://youtu.be/mjRN8CUWyiA" TargetMode="External"/><Relationship Id="rId932" Type="http://schemas.openxmlformats.org/officeDocument/2006/relationships/hyperlink" Target="https://www.youtube.com/watch?v=p4yVIAcOVZo" TargetMode="External"/><Relationship Id="rId931" Type="http://schemas.openxmlformats.org/officeDocument/2006/relationships/hyperlink" Target="https://youtu.be/MIksklPl0zc?si=8-tEr9Kiau6M-IAv" TargetMode="External"/><Relationship Id="rId930" Type="http://schemas.openxmlformats.org/officeDocument/2006/relationships/hyperlink" Target="https://youtu.be/VOb_HIsYMEk" TargetMode="External"/><Relationship Id="rId936" Type="http://schemas.openxmlformats.org/officeDocument/2006/relationships/hyperlink" Target="https://www.youtube.com/watch?v=p4yVIAcOVZo" TargetMode="External"/><Relationship Id="rId935" Type="http://schemas.openxmlformats.org/officeDocument/2006/relationships/hyperlink" Target="https://youtu.be/GSc6VtIUdK8" TargetMode="External"/><Relationship Id="rId934" Type="http://schemas.openxmlformats.org/officeDocument/2006/relationships/hyperlink" Target="https://youtu.be/g2MZrCUee-s" TargetMode="External"/><Relationship Id="rId933" Type="http://schemas.openxmlformats.org/officeDocument/2006/relationships/hyperlink" Target="https://youtu.be/piQ0JtpLMrU" TargetMode="External"/><Relationship Id="rId1520" Type="http://schemas.openxmlformats.org/officeDocument/2006/relationships/hyperlink" Target="https://youtu.be/phvKkRyVEV4" TargetMode="External"/><Relationship Id="rId1554" Type="http://schemas.openxmlformats.org/officeDocument/2006/relationships/hyperlink" Target="https://youtu.be/cWVmriJ0-tU" TargetMode="External"/><Relationship Id="rId1555" Type="http://schemas.openxmlformats.org/officeDocument/2006/relationships/hyperlink" Target="https://youtu.be/qQm2BH-evQ0" TargetMode="External"/><Relationship Id="rId1556" Type="http://schemas.openxmlformats.org/officeDocument/2006/relationships/hyperlink" Target="https://youtu.be/WpmrZiHdUmg" TargetMode="External"/><Relationship Id="rId1557" Type="http://schemas.openxmlformats.org/officeDocument/2006/relationships/hyperlink" Target="https://youtu.be/8WTflQ-UW8o" TargetMode="External"/><Relationship Id="rId1558" Type="http://schemas.openxmlformats.org/officeDocument/2006/relationships/hyperlink" Target="https://youtu.be/7487BVlZ3jQ" TargetMode="External"/><Relationship Id="rId1559" Type="http://schemas.openxmlformats.org/officeDocument/2006/relationships/hyperlink" Target="https://www.twitch.tv/videos/805711247" TargetMode="External"/><Relationship Id="rId965" Type="http://schemas.openxmlformats.org/officeDocument/2006/relationships/hyperlink" Target="https://www.youtube.com/watch?v=b6aUCV1EJJc" TargetMode="External"/><Relationship Id="rId964" Type="http://schemas.openxmlformats.org/officeDocument/2006/relationships/hyperlink" Target="https://www.youtube.com/watch?v=eoLM8htDm8A" TargetMode="External"/><Relationship Id="rId963" Type="http://schemas.openxmlformats.org/officeDocument/2006/relationships/hyperlink" Target="https://youtu.be/j6T5dBzLJQc" TargetMode="External"/><Relationship Id="rId962" Type="http://schemas.openxmlformats.org/officeDocument/2006/relationships/hyperlink" Target="https://youtu.be/aYQQbnDNHUs" TargetMode="External"/><Relationship Id="rId969" Type="http://schemas.openxmlformats.org/officeDocument/2006/relationships/hyperlink" Target="https://youtu.be/o-H2DTwTB0k" TargetMode="External"/><Relationship Id="rId968" Type="http://schemas.openxmlformats.org/officeDocument/2006/relationships/hyperlink" Target="https://youtu.be/iHzY7gDup4c" TargetMode="External"/><Relationship Id="rId967" Type="http://schemas.openxmlformats.org/officeDocument/2006/relationships/hyperlink" Target="https://youtu.be/Rn7yvpNUrrk" TargetMode="External"/><Relationship Id="rId966" Type="http://schemas.openxmlformats.org/officeDocument/2006/relationships/hyperlink" Target="https://www.youtube.com/watch?v=b6aUCV1EJJc" TargetMode="External"/><Relationship Id="rId961" Type="http://schemas.openxmlformats.org/officeDocument/2006/relationships/hyperlink" Target="https://youtu.be/j6T5dBzLJQc" TargetMode="External"/><Relationship Id="rId1550" Type="http://schemas.openxmlformats.org/officeDocument/2006/relationships/hyperlink" Target="https://www.youtube.com/watch?v=fcbTy4CZXv4" TargetMode="External"/><Relationship Id="rId960" Type="http://schemas.openxmlformats.org/officeDocument/2006/relationships/hyperlink" Target="https://www.youtube.com/watch?v=JBcbuHHG8XU&amp;ab_channel=BlazeAlt" TargetMode="External"/><Relationship Id="rId1551" Type="http://schemas.openxmlformats.org/officeDocument/2006/relationships/hyperlink" Target="https://youtu.be/BnHhD0LrPMw" TargetMode="External"/><Relationship Id="rId1552" Type="http://schemas.openxmlformats.org/officeDocument/2006/relationships/hyperlink" Target="https://www.youtube.com/watch?v=BMSXJYuCAok" TargetMode="External"/><Relationship Id="rId1553" Type="http://schemas.openxmlformats.org/officeDocument/2006/relationships/hyperlink" Target="https://www.youtube.com/watch?v=4AA621TpKiM" TargetMode="External"/><Relationship Id="rId1543" Type="http://schemas.openxmlformats.org/officeDocument/2006/relationships/hyperlink" Target="https://youtu.be/b65syJ1KUGA" TargetMode="External"/><Relationship Id="rId1544" Type="http://schemas.openxmlformats.org/officeDocument/2006/relationships/hyperlink" Target="https://x.com/175akane/status/1895098244394316126" TargetMode="External"/><Relationship Id="rId1545" Type="http://schemas.openxmlformats.org/officeDocument/2006/relationships/hyperlink" Target="https://www.twitch.tv/inkstar/clip/MotionlessMildFennelBibleThump-uP9k_t7gPZiBywfx" TargetMode="External"/><Relationship Id="rId1546" Type="http://schemas.openxmlformats.org/officeDocument/2006/relationships/hyperlink" Target="https://youtu.be/4hYJdvrQa0I" TargetMode="External"/><Relationship Id="rId1547" Type="http://schemas.openxmlformats.org/officeDocument/2006/relationships/hyperlink" Target="https://www.twitch.tv/inkstar/clip/MotionlessMildFennelBibleThump-uP9k_t7gPZiBywfx" TargetMode="External"/><Relationship Id="rId1548" Type="http://schemas.openxmlformats.org/officeDocument/2006/relationships/hyperlink" Target="https://youtu.be/4oISpHWupWc" TargetMode="External"/><Relationship Id="rId1549" Type="http://schemas.openxmlformats.org/officeDocument/2006/relationships/hyperlink" Target="https://www.youtube.com/watch?v=NVot0WUxsoM&amp;feature=youtu.be&amp;ab_channel=SMSArchives" TargetMode="External"/><Relationship Id="rId959" Type="http://schemas.openxmlformats.org/officeDocument/2006/relationships/hyperlink" Target="https://www.youtube.com/watch?v=VwH4aOrxFP8" TargetMode="External"/><Relationship Id="rId954" Type="http://schemas.openxmlformats.org/officeDocument/2006/relationships/hyperlink" Target="https://www.youtube.com/watch?v=JBcbuHHG8XU&amp;ab_channel=BlazeAlt" TargetMode="External"/><Relationship Id="rId953" Type="http://schemas.openxmlformats.org/officeDocument/2006/relationships/hyperlink" Target="https://clips.twitch.tv/VenomousLachrymoseSkunkMoreCowbell" TargetMode="External"/><Relationship Id="rId952" Type="http://schemas.openxmlformats.org/officeDocument/2006/relationships/hyperlink" Target="https://x.com/inkstarLum/status/1807522604842193205" TargetMode="External"/><Relationship Id="rId951" Type="http://schemas.openxmlformats.org/officeDocument/2006/relationships/hyperlink" Target="https://youtu.be/_KW0uTwWX7U" TargetMode="External"/><Relationship Id="rId958" Type="http://schemas.openxmlformats.org/officeDocument/2006/relationships/hyperlink" Target="https://twitter.com/Qbe_Root/status/1404248275818061826" TargetMode="External"/><Relationship Id="rId957" Type="http://schemas.openxmlformats.org/officeDocument/2006/relationships/hyperlink" Target="https://youtu.be/xc3Z1ebr3Vw" TargetMode="External"/><Relationship Id="rId956" Type="http://schemas.openxmlformats.org/officeDocument/2006/relationships/hyperlink" Target="https://www.youtube.com/watch?v=FzDKDXTxIF4&amp;feature=youtu.be&amp;ab_channel=SMSArchives" TargetMode="External"/><Relationship Id="rId955" Type="http://schemas.openxmlformats.org/officeDocument/2006/relationships/hyperlink" Target="https://youtu.be/o7ERiclTF6s" TargetMode="External"/><Relationship Id="rId950" Type="http://schemas.openxmlformats.org/officeDocument/2006/relationships/hyperlink" Target="https://x.com/inkstarLum/status/1807522604842193205" TargetMode="External"/><Relationship Id="rId1540" Type="http://schemas.openxmlformats.org/officeDocument/2006/relationships/hyperlink" Target="https://youtu.be/b65syJ1KUGA" TargetMode="External"/><Relationship Id="rId1541" Type="http://schemas.openxmlformats.org/officeDocument/2006/relationships/hyperlink" Target="https://youtu.be/b65syJ1KUGA" TargetMode="External"/><Relationship Id="rId1542" Type="http://schemas.openxmlformats.org/officeDocument/2006/relationships/hyperlink" Target="https://x.com/175akane/status/1895098244394316126" TargetMode="External"/><Relationship Id="rId107" Type="http://schemas.openxmlformats.org/officeDocument/2006/relationships/hyperlink" Target="https://youtu.be/tglJP5itMAU" TargetMode="External"/><Relationship Id="rId106" Type="http://schemas.openxmlformats.org/officeDocument/2006/relationships/hyperlink" Target="https://youtu.be/gzdnV0_HfsY" TargetMode="External"/><Relationship Id="rId105" Type="http://schemas.openxmlformats.org/officeDocument/2006/relationships/hyperlink" Target="https://youtu.be/87yNCxM673E" TargetMode="External"/><Relationship Id="rId104" Type="http://schemas.openxmlformats.org/officeDocument/2006/relationships/hyperlink" Target="https://clips.twitch.tv/ColorfulSilkyClipzPraiseIt" TargetMode="External"/><Relationship Id="rId109" Type="http://schemas.openxmlformats.org/officeDocument/2006/relationships/hyperlink" Target="https://www.twitch.tv/aether10n/clip/MoistMistyAlmondBudStar-QyDpT-im0EhV2p12" TargetMode="External"/><Relationship Id="rId108" Type="http://schemas.openxmlformats.org/officeDocument/2006/relationships/hyperlink" Target="https://youtu.be/EsztVbgZc64" TargetMode="External"/><Relationship Id="rId103" Type="http://schemas.openxmlformats.org/officeDocument/2006/relationships/hyperlink" Target="https://clips.twitch.tv/ExcitedTawdryDragonflyBuddhaBar-tkBE4aS_--k_r3NR" TargetMode="External"/><Relationship Id="rId102" Type="http://schemas.openxmlformats.org/officeDocument/2006/relationships/hyperlink" Target="https://www.twitch.tv/psionick_/clip/IncredulousKathishMetalBatChest-kv25dorgIeRjCfcn" TargetMode="External"/><Relationship Id="rId101" Type="http://schemas.openxmlformats.org/officeDocument/2006/relationships/hyperlink" Target="https://clips.twitch.tv/CooperativeConsiderateGoldfishOSsloth-DO0S9fK1Db2caNvA" TargetMode="External"/><Relationship Id="rId100" Type="http://schemas.openxmlformats.org/officeDocument/2006/relationships/hyperlink" Target="https://www.youtube.com/watch?v=7x7-EXlbZb8" TargetMode="External"/><Relationship Id="rId129" Type="http://schemas.openxmlformats.org/officeDocument/2006/relationships/hyperlink" Target="https://youtu.be/VVcKd2rhZvA" TargetMode="External"/><Relationship Id="rId128" Type="http://schemas.openxmlformats.org/officeDocument/2006/relationships/hyperlink" Target="https://youtu.be/8IzWAzW1TCE" TargetMode="External"/><Relationship Id="rId127" Type="http://schemas.openxmlformats.org/officeDocument/2006/relationships/hyperlink" Target="https://youtu.be/rsldpLoXwy0?t=6" TargetMode="External"/><Relationship Id="rId126" Type="http://schemas.openxmlformats.org/officeDocument/2006/relationships/hyperlink" Target="https://www.youtube.com/watch?v=sYZ6Fg8wA_0" TargetMode="External"/><Relationship Id="rId121" Type="http://schemas.openxmlformats.org/officeDocument/2006/relationships/hyperlink" Target="https://youtu.be/9p2UxRJvDaU" TargetMode="External"/><Relationship Id="rId120" Type="http://schemas.openxmlformats.org/officeDocument/2006/relationships/hyperlink" Target="https://www.youtube.com/watch?v=LoBMKpgDc4M" TargetMode="External"/><Relationship Id="rId125" Type="http://schemas.openxmlformats.org/officeDocument/2006/relationships/hyperlink" Target="https://www.twitch.tv/aether10n/clip/BovineCovertGarbagePicoMause-Q_0Q01NOJZMyZq8g" TargetMode="External"/><Relationship Id="rId124" Type="http://schemas.openxmlformats.org/officeDocument/2006/relationships/hyperlink" Target="https://clips.twitch.tv/ConcernedKnottyNostrilRaccAttack-c-tluIg1mFEQhuna" TargetMode="External"/><Relationship Id="rId123" Type="http://schemas.openxmlformats.org/officeDocument/2006/relationships/hyperlink" Target="https://youtu.be/2mV-gWR7TLE" TargetMode="External"/><Relationship Id="rId122" Type="http://schemas.openxmlformats.org/officeDocument/2006/relationships/hyperlink" Target="https://youtu.be/7q9tWbySXik" TargetMode="External"/><Relationship Id="rId118" Type="http://schemas.openxmlformats.org/officeDocument/2006/relationships/hyperlink" Target="https://youtu.be/2zG9qeaqTPo" TargetMode="External"/><Relationship Id="rId117" Type="http://schemas.openxmlformats.org/officeDocument/2006/relationships/hyperlink" Target="https://www.twitch.tv/aether10n/clip/SpoopyConsiderateSrirachaNotATK-OYvK5pZgW62I1M-i" TargetMode="External"/><Relationship Id="rId116" Type="http://schemas.openxmlformats.org/officeDocument/2006/relationships/hyperlink" Target="https://www.youtube.com/watch?v=29k7hMhCnGU" TargetMode="External"/><Relationship Id="rId115" Type="http://schemas.openxmlformats.org/officeDocument/2006/relationships/hyperlink" Target="https://youtu.be/IQ_N7P5HouE" TargetMode="External"/><Relationship Id="rId119" Type="http://schemas.openxmlformats.org/officeDocument/2006/relationships/hyperlink" Target="https://www.youtube.com/watch?v=Yt9okVsWrcY" TargetMode="External"/><Relationship Id="rId110" Type="http://schemas.openxmlformats.org/officeDocument/2006/relationships/hyperlink" Target="https://youtu.be/tglJP5itMAU" TargetMode="External"/><Relationship Id="rId114" Type="http://schemas.openxmlformats.org/officeDocument/2006/relationships/hyperlink" Target="https://youtu.be/VJ2Syy1Rs4U" TargetMode="External"/><Relationship Id="rId113" Type="http://schemas.openxmlformats.org/officeDocument/2006/relationships/hyperlink" Target="https://youtu.be/_k9s4tshC4g" TargetMode="External"/><Relationship Id="rId112" Type="http://schemas.openxmlformats.org/officeDocument/2006/relationships/hyperlink" Target="https://www.youtube.com/watch?v=LoBMKpgDc4M" TargetMode="External"/><Relationship Id="rId111" Type="http://schemas.openxmlformats.org/officeDocument/2006/relationships/hyperlink" Target="https://twitter.com/Qbe_Root/status/1343634715119673346" TargetMode="External"/><Relationship Id="rId1610" Type="http://schemas.openxmlformats.org/officeDocument/2006/relationships/hyperlink" Target="https://www.youtube.com/watch?v=Wp7eZKq7B0g" TargetMode="External"/><Relationship Id="rId1611" Type="http://schemas.openxmlformats.org/officeDocument/2006/relationships/hyperlink" Target="https://youtu.be/wUbxoT-_Ka4?si=ya6MiO3ekHO5i1aD" TargetMode="External"/><Relationship Id="rId1612" Type="http://schemas.openxmlformats.org/officeDocument/2006/relationships/hyperlink" Target="https://www.youtube.com/watch?v=x9C3Vksljgg" TargetMode="External"/><Relationship Id="rId1613" Type="http://schemas.openxmlformats.org/officeDocument/2006/relationships/hyperlink" Target="https://www.youtube.com/watch?v=x9C3Vksljgg" TargetMode="External"/><Relationship Id="rId1614" Type="http://schemas.openxmlformats.org/officeDocument/2006/relationships/hyperlink" Target="https://www.twitch.tv/inkstar/clip/VastCrepuscularSushiPipeHype-Imd_diqh-fCie2-P" TargetMode="External"/><Relationship Id="rId1615" Type="http://schemas.openxmlformats.org/officeDocument/2006/relationships/hyperlink" Target="https://clips.twitch.tv/AdorableStupidBobaCoolStoryBob-1Ku-LnXmTl-vKKP1" TargetMode="External"/><Relationship Id="rId1616" Type="http://schemas.openxmlformats.org/officeDocument/2006/relationships/hyperlink" Target="https://www.twitch.tv/inkstar/clip/VastCrepuscularSushiPipeHype-Imd_diqh-fCie2-P" TargetMode="External"/><Relationship Id="rId907" Type="http://schemas.openxmlformats.org/officeDocument/2006/relationships/hyperlink" Target="https://youtu.be/f6AGBG-zDuA" TargetMode="External"/><Relationship Id="rId1617" Type="http://schemas.openxmlformats.org/officeDocument/2006/relationships/hyperlink" Target="https://www.youtube.com/watch?v=kQj1nHa8jcM&amp;ab_channel=SMSArchives" TargetMode="External"/><Relationship Id="rId906" Type="http://schemas.openxmlformats.org/officeDocument/2006/relationships/hyperlink" Target="https://youtu.be/VgV7nF9TyBI" TargetMode="External"/><Relationship Id="rId1618" Type="http://schemas.openxmlformats.org/officeDocument/2006/relationships/hyperlink" Target="https://www.youtube.com/watch?v=OpTA_7UxBBY&amp;feature=youtu.be&amp;ab_channel=SMSArchives" TargetMode="External"/><Relationship Id="rId905" Type="http://schemas.openxmlformats.org/officeDocument/2006/relationships/hyperlink" Target="https://youtu.be/i9mYDPZfNqQ" TargetMode="External"/><Relationship Id="rId1619" Type="http://schemas.openxmlformats.org/officeDocument/2006/relationships/hyperlink" Target="https://www.twitch.tv/inkstar/clip/SeductiveAbnegateFiddleheadsMoreCowbell-x_2PMJnytMc-LQlp" TargetMode="External"/><Relationship Id="rId904" Type="http://schemas.openxmlformats.org/officeDocument/2006/relationships/hyperlink" Target="https://youtu.be/LCbplIAXwtM" TargetMode="External"/><Relationship Id="rId909" Type="http://schemas.openxmlformats.org/officeDocument/2006/relationships/hyperlink" Target="https://youtu.be/uotPT754BXw" TargetMode="External"/><Relationship Id="rId908" Type="http://schemas.openxmlformats.org/officeDocument/2006/relationships/hyperlink" Target="https://youtu.be/DCVSHisD9Qg" TargetMode="External"/><Relationship Id="rId903" Type="http://schemas.openxmlformats.org/officeDocument/2006/relationships/hyperlink" Target="https://youtu.be/f6AGBG-zDuA" TargetMode="External"/><Relationship Id="rId902" Type="http://schemas.openxmlformats.org/officeDocument/2006/relationships/hyperlink" Target="https://www.youtube.com/watch?v=RUgqny8h0sQ" TargetMode="External"/><Relationship Id="rId901" Type="http://schemas.openxmlformats.org/officeDocument/2006/relationships/hyperlink" Target="https://youtu.be/2Jw4VLpW0j0" TargetMode="External"/><Relationship Id="rId900" Type="http://schemas.openxmlformats.org/officeDocument/2006/relationships/hyperlink" Target="https://youtu.be/HG3hv0ssIsE?si=owrXympLAXpc-o60" TargetMode="External"/><Relationship Id="rId1600" Type="http://schemas.openxmlformats.org/officeDocument/2006/relationships/hyperlink" Target="https://youtu.be/eiCkNYWehy4" TargetMode="External"/><Relationship Id="rId1601" Type="http://schemas.openxmlformats.org/officeDocument/2006/relationships/hyperlink" Target="https://www.youtube.com/watch?v=hcTcNFer4OU&amp;feature=youtu.be" TargetMode="External"/><Relationship Id="rId1602" Type="http://schemas.openxmlformats.org/officeDocument/2006/relationships/hyperlink" Target="https://www.youtube.com/watch?v=cglmrOESoXw" TargetMode="External"/><Relationship Id="rId1603" Type="http://schemas.openxmlformats.org/officeDocument/2006/relationships/hyperlink" Target="https://www.youtube.com/watch?v=cglmrOESoXw" TargetMode="External"/><Relationship Id="rId1604" Type="http://schemas.openxmlformats.org/officeDocument/2006/relationships/hyperlink" Target="https://www.youtube.com/watch?v=ZkG3KBpCrzc&amp;feature=youtu.be&amp;ab_channel=SMSArchives" TargetMode="External"/><Relationship Id="rId1605" Type="http://schemas.openxmlformats.org/officeDocument/2006/relationships/hyperlink" Target="https://www.youtube.com/watch?v=ZkG3KBpCrzc&amp;feature=youtu.be&amp;ab_channel=SMSArchives" TargetMode="External"/><Relationship Id="rId1606" Type="http://schemas.openxmlformats.org/officeDocument/2006/relationships/hyperlink" Target="https://www.youtube.com/watch?v=WiA_s8jlj7A" TargetMode="External"/><Relationship Id="rId1607" Type="http://schemas.openxmlformats.org/officeDocument/2006/relationships/hyperlink" Target="https://www.twitch.tv/inkstar/clip/CrispyCulturedPandaStoneLightning-lyWta_WLqXhBTwAt" TargetMode="External"/><Relationship Id="rId1608" Type="http://schemas.openxmlformats.org/officeDocument/2006/relationships/hyperlink" Target="https://youtu.be/ONge9Un7EcM" TargetMode="External"/><Relationship Id="rId1609" Type="http://schemas.openxmlformats.org/officeDocument/2006/relationships/hyperlink" Target="https://www.twitch.tv/inkstar/clip/CrispyCulturedPandaStoneLightning-lyWta_WLqXhBTwAt" TargetMode="External"/><Relationship Id="rId1631" Type="http://schemas.openxmlformats.org/officeDocument/2006/relationships/hyperlink" Target="https://youtu.be/GMvPH3mzKms" TargetMode="External"/><Relationship Id="rId1632" Type="http://schemas.openxmlformats.org/officeDocument/2006/relationships/hyperlink" Target="https://youtu.be/kKX5vObntZM" TargetMode="External"/><Relationship Id="rId1633" Type="http://schemas.openxmlformats.org/officeDocument/2006/relationships/hyperlink" Target="https://youtu.be/T51w4EliQe0" TargetMode="External"/><Relationship Id="rId1634" Type="http://schemas.openxmlformats.org/officeDocument/2006/relationships/hyperlink" Target="https://youtu.be/0LjLuRGKBuU" TargetMode="External"/><Relationship Id="rId1635" Type="http://schemas.openxmlformats.org/officeDocument/2006/relationships/hyperlink" Target="https://youtu.be/9ZyY3FpK88M" TargetMode="External"/><Relationship Id="rId1636" Type="http://schemas.openxmlformats.org/officeDocument/2006/relationships/hyperlink" Target="https://www.youtube.com/watch?v=OzWJBH1XaE8" TargetMode="External"/><Relationship Id="rId1637" Type="http://schemas.openxmlformats.org/officeDocument/2006/relationships/hyperlink" Target="https://youtu.be/kKX5vObntZM" TargetMode="External"/><Relationship Id="rId1638" Type="http://schemas.openxmlformats.org/officeDocument/2006/relationships/hyperlink" Target="https://www.youtube.com/watch?v=4YZEJjbRrKE" TargetMode="External"/><Relationship Id="rId929" Type="http://schemas.openxmlformats.org/officeDocument/2006/relationships/hyperlink" Target="https://youtu.be/tbR5m33JaLY" TargetMode="External"/><Relationship Id="rId1639" Type="http://schemas.openxmlformats.org/officeDocument/2006/relationships/hyperlink" Target="https://www.youtube.com/watch?v=oZbSXPTi3Bs" TargetMode="External"/><Relationship Id="rId928" Type="http://schemas.openxmlformats.org/officeDocument/2006/relationships/hyperlink" Target="https://youtu.be/tbR5m33JaLY" TargetMode="External"/><Relationship Id="rId927" Type="http://schemas.openxmlformats.org/officeDocument/2006/relationships/hyperlink" Target="https://clips.twitch.tv/PreciousCrepuscularHamCharlieBitMe" TargetMode="External"/><Relationship Id="rId926" Type="http://schemas.openxmlformats.org/officeDocument/2006/relationships/hyperlink" Target="https://youtu.be/VOb_HIsYMEk" TargetMode="External"/><Relationship Id="rId921" Type="http://schemas.openxmlformats.org/officeDocument/2006/relationships/hyperlink" Target="https://youtu.be/h2lxWPAAZC8" TargetMode="External"/><Relationship Id="rId920" Type="http://schemas.openxmlformats.org/officeDocument/2006/relationships/hyperlink" Target="https://youtu.be/QmQyQ-YDsuU" TargetMode="External"/><Relationship Id="rId925" Type="http://schemas.openxmlformats.org/officeDocument/2006/relationships/hyperlink" Target="https://youtu.be/uy9rheWl06I?si=_xn1ai-mSLZfMXCC" TargetMode="External"/><Relationship Id="rId924" Type="http://schemas.openxmlformats.org/officeDocument/2006/relationships/hyperlink" Target="https://www.youtube.com/watch?v=tOde7xFobrg&amp;feature=youtu.be&amp;ab_channel=SMSArchives" TargetMode="External"/><Relationship Id="rId923" Type="http://schemas.openxmlformats.org/officeDocument/2006/relationships/hyperlink" Target="https://youtu.be/FZoKuR4m-Aw" TargetMode="External"/><Relationship Id="rId922" Type="http://schemas.openxmlformats.org/officeDocument/2006/relationships/hyperlink" Target="https://clips.twitch.tv/PreciousCrepuscularHamCharlieBitMe" TargetMode="External"/><Relationship Id="rId1630" Type="http://schemas.openxmlformats.org/officeDocument/2006/relationships/hyperlink" Target="https://youtu.be/GMvPH3mzKms" TargetMode="External"/><Relationship Id="rId1620" Type="http://schemas.openxmlformats.org/officeDocument/2006/relationships/hyperlink" Target="https://www.youtube.com/watch?v=OpTA_7UxBBY&amp;feature=youtu.be&amp;ab_channel=SMSArchives" TargetMode="External"/><Relationship Id="rId1621" Type="http://schemas.openxmlformats.org/officeDocument/2006/relationships/hyperlink" Target="https://www.youtube.com/watch?v=IQdhRYyb4go" TargetMode="External"/><Relationship Id="rId1622" Type="http://schemas.openxmlformats.org/officeDocument/2006/relationships/hyperlink" Target="https://www.youtube.com/watch?v=IQdhRYyb4go" TargetMode="External"/><Relationship Id="rId1623" Type="http://schemas.openxmlformats.org/officeDocument/2006/relationships/hyperlink" Target="https://www.youtube.com/watch?v=CQPQZc9PKjw" TargetMode="External"/><Relationship Id="rId1624" Type="http://schemas.openxmlformats.org/officeDocument/2006/relationships/hyperlink" Target="https://www.youtube.com/watch?v=CQPQZc9PKjw" TargetMode="External"/><Relationship Id="rId1625" Type="http://schemas.openxmlformats.org/officeDocument/2006/relationships/hyperlink" Target="https://www.youtube.com/watch?v=wvfjcRVL5Tg" TargetMode="External"/><Relationship Id="rId1626" Type="http://schemas.openxmlformats.org/officeDocument/2006/relationships/hyperlink" Target="https://www.youtube.com/watch?v=wvfjcRVL5Tg" TargetMode="External"/><Relationship Id="rId1627" Type="http://schemas.openxmlformats.org/officeDocument/2006/relationships/hyperlink" Target="https://www.youtube.com/watch?v=s6IL-ns6Ls4&amp;feature=youtu.be&amp;ab_channel=SMSArchives" TargetMode="External"/><Relationship Id="rId918" Type="http://schemas.openxmlformats.org/officeDocument/2006/relationships/hyperlink" Target="https://youtu.be/llg8sjZwJsI" TargetMode="External"/><Relationship Id="rId1628" Type="http://schemas.openxmlformats.org/officeDocument/2006/relationships/hyperlink" Target="https://www.youtube.com/watch?v=s6IL-ns6Ls4&amp;feature=youtu.be&amp;ab_channel=SMSArchives" TargetMode="External"/><Relationship Id="rId917" Type="http://schemas.openxmlformats.org/officeDocument/2006/relationships/hyperlink" Target="https://youtu.be/WXAd-urRBGY" TargetMode="External"/><Relationship Id="rId1629" Type="http://schemas.openxmlformats.org/officeDocument/2006/relationships/hyperlink" Target="https://youtu.be/UAaPTc80xqw?t=8" TargetMode="External"/><Relationship Id="rId916" Type="http://schemas.openxmlformats.org/officeDocument/2006/relationships/hyperlink" Target="https://www.twitch.tv/ssantaaries/clip/FriendlyInquisitiveFalconJKanStyle-YNTbv2vx5J4r8ryn" TargetMode="External"/><Relationship Id="rId915" Type="http://schemas.openxmlformats.org/officeDocument/2006/relationships/hyperlink" Target="https://youtu.be/hG_ot6lap08" TargetMode="External"/><Relationship Id="rId919" Type="http://schemas.openxmlformats.org/officeDocument/2006/relationships/hyperlink" Target="https://youtu.be/llg8sjZwJsI" TargetMode="External"/><Relationship Id="rId910" Type="http://schemas.openxmlformats.org/officeDocument/2006/relationships/hyperlink" Target="https://youtu.be/txUsEqcaBoQ" TargetMode="External"/><Relationship Id="rId914" Type="http://schemas.openxmlformats.org/officeDocument/2006/relationships/hyperlink" Target="https://youtu.be/h2lxWPAAZC8" TargetMode="External"/><Relationship Id="rId913" Type="http://schemas.openxmlformats.org/officeDocument/2006/relationships/hyperlink" Target="https://youtu.be/WXAd-urRBGY" TargetMode="External"/><Relationship Id="rId912" Type="http://schemas.openxmlformats.org/officeDocument/2006/relationships/hyperlink" Target="https://youtu.be/llg8sjZwJsI" TargetMode="External"/><Relationship Id="rId911" Type="http://schemas.openxmlformats.org/officeDocument/2006/relationships/hyperlink" Target="https://youtu.be/-zgunwYMEvE" TargetMode="External"/><Relationship Id="rId1697" Type="http://schemas.openxmlformats.org/officeDocument/2006/relationships/hyperlink" Target="https://www.youtube.com/watch?v=glGhyszoz8s" TargetMode="External"/><Relationship Id="rId1698" Type="http://schemas.openxmlformats.org/officeDocument/2006/relationships/hyperlink" Target="https://clips.twitch.tv/MoistSuperDonkeyPhilosoraptor-jrGYmeVt_OOP23B-" TargetMode="External"/><Relationship Id="rId1699" Type="http://schemas.openxmlformats.org/officeDocument/2006/relationships/hyperlink" Target="https://youtu.be/Y8o-2qmr_7U" TargetMode="External"/><Relationship Id="rId866" Type="http://schemas.openxmlformats.org/officeDocument/2006/relationships/hyperlink" Target="https://youtu.be/AAe-UhT8RE8" TargetMode="External"/><Relationship Id="rId865" Type="http://schemas.openxmlformats.org/officeDocument/2006/relationships/hyperlink" Target="https://youtu.be/r8a_Y7dQwGc" TargetMode="External"/><Relationship Id="rId864" Type="http://schemas.openxmlformats.org/officeDocument/2006/relationships/hyperlink" Target="https://clips.twitch.tv/ResourcefulResourcefulKaleKeyboardCat-yoF7T0xqz9U5LtK2" TargetMode="External"/><Relationship Id="rId863" Type="http://schemas.openxmlformats.org/officeDocument/2006/relationships/hyperlink" Target="https://youtu.be/VlX_1X6k1og" TargetMode="External"/><Relationship Id="rId869" Type="http://schemas.openxmlformats.org/officeDocument/2006/relationships/hyperlink" Target="https://www.youtube.com/watch?v=yacYtuskVso&amp;t=92" TargetMode="External"/><Relationship Id="rId868" Type="http://schemas.openxmlformats.org/officeDocument/2006/relationships/hyperlink" Target="https://youtu.be/12uHMeHcCt0" TargetMode="External"/><Relationship Id="rId867" Type="http://schemas.openxmlformats.org/officeDocument/2006/relationships/hyperlink" Target="https://youtu.be/O40upq_B08g" TargetMode="External"/><Relationship Id="rId1690" Type="http://schemas.openxmlformats.org/officeDocument/2006/relationships/hyperlink" Target="https://youtu.be/9et-D9erwf0" TargetMode="External"/><Relationship Id="rId1691" Type="http://schemas.openxmlformats.org/officeDocument/2006/relationships/hyperlink" Target="https://youtu.be/rJCTvJQAJAI" TargetMode="External"/><Relationship Id="rId1692" Type="http://schemas.openxmlformats.org/officeDocument/2006/relationships/hyperlink" Target="https://youtu.be/rJCTvJQAJAI" TargetMode="External"/><Relationship Id="rId862" Type="http://schemas.openxmlformats.org/officeDocument/2006/relationships/hyperlink" Target="https://www.youtube.com/watch?v=yacYtuskVso&amp;t=92s" TargetMode="External"/><Relationship Id="rId1693" Type="http://schemas.openxmlformats.org/officeDocument/2006/relationships/hyperlink" Target="https://www.twitch.tv/inkslop/clip/GloriousIntelligentCroissantDatBoi-rgbrV7PzIHnzIP4w" TargetMode="External"/><Relationship Id="rId861" Type="http://schemas.openxmlformats.org/officeDocument/2006/relationships/hyperlink" Target="https://youtu.be/mjrN6UHMuWg" TargetMode="External"/><Relationship Id="rId1694" Type="http://schemas.openxmlformats.org/officeDocument/2006/relationships/hyperlink" Target="https://youtu.be/3A4fRuy_uQ8" TargetMode="External"/><Relationship Id="rId860" Type="http://schemas.openxmlformats.org/officeDocument/2006/relationships/hyperlink" Target="https://www.youtube.com/watch?v=U36Xdyf9eLM" TargetMode="External"/><Relationship Id="rId1695" Type="http://schemas.openxmlformats.org/officeDocument/2006/relationships/hyperlink" Target="https://www.twitch.tv/inkslop/clip/GloriousIntelligentCroissantDatBoi-rgbrV7PzIHnzIP4w" TargetMode="External"/><Relationship Id="rId1696" Type="http://schemas.openxmlformats.org/officeDocument/2006/relationships/hyperlink" Target="https://youtu.be/r3QCIKx-vOk" TargetMode="External"/><Relationship Id="rId1686" Type="http://schemas.openxmlformats.org/officeDocument/2006/relationships/hyperlink" Target="https://www.youtube.com/watch?v=vf0VNnfO3Ak" TargetMode="External"/><Relationship Id="rId1687" Type="http://schemas.openxmlformats.org/officeDocument/2006/relationships/hyperlink" Target="https://youtu.be/ItREFRANLdg" TargetMode="External"/><Relationship Id="rId1688" Type="http://schemas.openxmlformats.org/officeDocument/2006/relationships/hyperlink" Target="https://youtu.be/ItREFRANLdg" TargetMode="External"/><Relationship Id="rId1689" Type="http://schemas.openxmlformats.org/officeDocument/2006/relationships/hyperlink" Target="https://youtu.be/9et-D9erwf0" TargetMode="External"/><Relationship Id="rId855" Type="http://schemas.openxmlformats.org/officeDocument/2006/relationships/hyperlink" Target="https://x.com/NoVidNoDidNoVid/status/1832344043004506145" TargetMode="External"/><Relationship Id="rId854" Type="http://schemas.openxmlformats.org/officeDocument/2006/relationships/hyperlink" Target="https://youtu.be/drrgdFIAhcY" TargetMode="External"/><Relationship Id="rId853" Type="http://schemas.openxmlformats.org/officeDocument/2006/relationships/hyperlink" Target="https://x.com/NoVidNoDidNoVid/status/1832344043004506145" TargetMode="External"/><Relationship Id="rId852" Type="http://schemas.openxmlformats.org/officeDocument/2006/relationships/hyperlink" Target="https://www.youtube.com/watch?v=XtM9r8G5uZE" TargetMode="External"/><Relationship Id="rId859" Type="http://schemas.openxmlformats.org/officeDocument/2006/relationships/hyperlink" Target="https://youtu.be/O40upq_B08g" TargetMode="External"/><Relationship Id="rId858" Type="http://schemas.openxmlformats.org/officeDocument/2006/relationships/hyperlink" Target="https://youtu.be/BQCKRfpztFM" TargetMode="External"/><Relationship Id="rId857" Type="http://schemas.openxmlformats.org/officeDocument/2006/relationships/hyperlink" Target="https://youtu.be/br_0gfC2ANk" TargetMode="External"/><Relationship Id="rId856" Type="http://schemas.openxmlformats.org/officeDocument/2006/relationships/hyperlink" Target="https://www.youtube.com/watch?v=98kA5EcsFIk" TargetMode="External"/><Relationship Id="rId1680" Type="http://schemas.openxmlformats.org/officeDocument/2006/relationships/hyperlink" Target="https://youtu.be/7LclDQkIkYU" TargetMode="External"/><Relationship Id="rId1681" Type="http://schemas.openxmlformats.org/officeDocument/2006/relationships/hyperlink" Target="https://www.youtube.com/watch?v=vf0VNnfO3Ak" TargetMode="External"/><Relationship Id="rId851" Type="http://schemas.openxmlformats.org/officeDocument/2006/relationships/hyperlink" Target="https://youtu.be/LVWCQgi0L-o" TargetMode="External"/><Relationship Id="rId1682" Type="http://schemas.openxmlformats.org/officeDocument/2006/relationships/hyperlink" Target="https://youtu.be/hunKEz-6AGI" TargetMode="External"/><Relationship Id="rId850" Type="http://schemas.openxmlformats.org/officeDocument/2006/relationships/hyperlink" Target="https://youtu.be/LVWCQgi0L-o" TargetMode="External"/><Relationship Id="rId1683" Type="http://schemas.openxmlformats.org/officeDocument/2006/relationships/hyperlink" Target="https://clips.twitch.tv/JollySilkyAniseTBTacoLeft-J6HX7xY5l-8m9d60" TargetMode="External"/><Relationship Id="rId1684" Type="http://schemas.openxmlformats.org/officeDocument/2006/relationships/hyperlink" Target="https://www.youtube.com/watch?v=bygDghuzAGQ" TargetMode="External"/><Relationship Id="rId1685" Type="http://schemas.openxmlformats.org/officeDocument/2006/relationships/hyperlink" Target="https://www.youtube.com/watch?v=iSi_quRJz2g&amp;ab_channel=SMSArchives" TargetMode="External"/><Relationship Id="rId888" Type="http://schemas.openxmlformats.org/officeDocument/2006/relationships/hyperlink" Target="https://www.twitch.tv/aether10n/clip/OddKathishPresidentPermaSmug-KBU78E5VewGeDgVD" TargetMode="External"/><Relationship Id="rId887" Type="http://schemas.openxmlformats.org/officeDocument/2006/relationships/hyperlink" Target="https://clips.twitch.tv/BelovedSpookyJackalKippa-_KkLbwjr3OzVjiF4" TargetMode="External"/><Relationship Id="rId886" Type="http://schemas.openxmlformats.org/officeDocument/2006/relationships/hyperlink" Target="https://youtu.be/SjCEv-auZMc" TargetMode="External"/><Relationship Id="rId885" Type="http://schemas.openxmlformats.org/officeDocument/2006/relationships/hyperlink" Target="https://clips.twitch.tv/NeighborlySuperWoodcockCmonBruh-qeGYsXV1WTlUHtMO" TargetMode="External"/><Relationship Id="rId889" Type="http://schemas.openxmlformats.org/officeDocument/2006/relationships/hyperlink" Target="https://youtu.be/Cke2f2h42Ro" TargetMode="External"/><Relationship Id="rId880" Type="http://schemas.openxmlformats.org/officeDocument/2006/relationships/hyperlink" Target="https://clips.twitch.tv/EnthusiasticBelovedPhoneFunRun-MC7Yp_tJXP_BpWwK" TargetMode="External"/><Relationship Id="rId884" Type="http://schemas.openxmlformats.org/officeDocument/2006/relationships/hyperlink" Target="https://youtu.be/QTpj3zZGHHc" TargetMode="External"/><Relationship Id="rId883" Type="http://schemas.openxmlformats.org/officeDocument/2006/relationships/hyperlink" Target="https://youtu.be/APzKq_CD0q4" TargetMode="External"/><Relationship Id="rId882" Type="http://schemas.openxmlformats.org/officeDocument/2006/relationships/hyperlink" Target="https://www.youtube.com/watch?v=5GP15z6C5YY" TargetMode="External"/><Relationship Id="rId881" Type="http://schemas.openxmlformats.org/officeDocument/2006/relationships/hyperlink" Target="https://youtu.be/PSR8d6nBOfQ" TargetMode="External"/><Relationship Id="rId877" Type="http://schemas.openxmlformats.org/officeDocument/2006/relationships/hyperlink" Target="https://clips.twitch.tv/FantasticPoisedPigRiPepperonis-wvZoah9_RniFY7ay" TargetMode="External"/><Relationship Id="rId876" Type="http://schemas.openxmlformats.org/officeDocument/2006/relationships/hyperlink" Target="https://youtu.be/lal_goibTZQ" TargetMode="External"/><Relationship Id="rId875" Type="http://schemas.openxmlformats.org/officeDocument/2006/relationships/hyperlink" Target="https://clips.twitch.tv/AltruisticPunchyTaroDansGame-KyF6ZzcCkPOQUeOP" TargetMode="External"/><Relationship Id="rId874" Type="http://schemas.openxmlformats.org/officeDocument/2006/relationships/hyperlink" Target="https://youtu.be/JA2XOvmdhP8" TargetMode="External"/><Relationship Id="rId879" Type="http://schemas.openxmlformats.org/officeDocument/2006/relationships/hyperlink" Target="https://youtu.be/RzlVqd8meSA" TargetMode="External"/><Relationship Id="rId878" Type="http://schemas.openxmlformats.org/officeDocument/2006/relationships/hyperlink" Target="https://clips.twitch.tv/EnthusiasticBelovedPhoneFunRun-MC7Yp_tJXP_BpWwK" TargetMode="External"/><Relationship Id="rId873" Type="http://schemas.openxmlformats.org/officeDocument/2006/relationships/hyperlink" Target="https://clips.twitch.tv/AltruisticPunchyTaroDansGame-KyF6ZzcCkPOQUeOP" TargetMode="External"/><Relationship Id="rId872" Type="http://schemas.openxmlformats.org/officeDocument/2006/relationships/hyperlink" Target="https://youtu.be/BEA7ZEwgay0" TargetMode="External"/><Relationship Id="rId871" Type="http://schemas.openxmlformats.org/officeDocument/2006/relationships/hyperlink" Target="https://youtu.be/2iLl9FPmb_M" TargetMode="External"/><Relationship Id="rId870" Type="http://schemas.openxmlformats.org/officeDocument/2006/relationships/hyperlink" Target="https://clips.twitch.tv/DeterminedEndearingEggRlyTho-sgKJwt6uN0vG2CCK" TargetMode="External"/><Relationship Id="rId1653" Type="http://schemas.openxmlformats.org/officeDocument/2006/relationships/hyperlink" Target="https://youtu.be/Muxnsa6HyOg" TargetMode="External"/><Relationship Id="rId1654" Type="http://schemas.openxmlformats.org/officeDocument/2006/relationships/hyperlink" Target="https://x.com/inkstarLum/status/1746791604630028327?s=20" TargetMode="External"/><Relationship Id="rId1655" Type="http://schemas.openxmlformats.org/officeDocument/2006/relationships/hyperlink" Target="https://youtu.be/ohXH1vfTvII" TargetMode="External"/><Relationship Id="rId1656" Type="http://schemas.openxmlformats.org/officeDocument/2006/relationships/hyperlink" Target="https://clips.twitch.tv/PlayfulBoredSalamanderWholeWheat" TargetMode="External"/><Relationship Id="rId1657" Type="http://schemas.openxmlformats.org/officeDocument/2006/relationships/hyperlink" Target="https://youtu.be/zVBF9xHkT10" TargetMode="External"/><Relationship Id="rId1658" Type="http://schemas.openxmlformats.org/officeDocument/2006/relationships/hyperlink" Target="https://www.youtube.com/watch?v=s4sYOmDATnE" TargetMode="External"/><Relationship Id="rId1659" Type="http://schemas.openxmlformats.org/officeDocument/2006/relationships/hyperlink" Target="https://www.youtube.com/watch?v=umdkqOKct6s" TargetMode="External"/><Relationship Id="rId829" Type="http://schemas.openxmlformats.org/officeDocument/2006/relationships/hyperlink" Target="https://www.twitch.tv/videos/858206031" TargetMode="External"/><Relationship Id="rId828" Type="http://schemas.openxmlformats.org/officeDocument/2006/relationships/hyperlink" Target="https://www.youtube.com/watch?v=Xez7zuPnhFs" TargetMode="External"/><Relationship Id="rId827" Type="http://schemas.openxmlformats.org/officeDocument/2006/relationships/hyperlink" Target="https://youtu.be/krPrARIZkpE" TargetMode="External"/><Relationship Id="rId822" Type="http://schemas.openxmlformats.org/officeDocument/2006/relationships/hyperlink" Target="https://www.twitch.tv/lotfysms/clip/StupidFastLorisBCWarrior-HnKXLaimsSz4vhKA" TargetMode="External"/><Relationship Id="rId821" Type="http://schemas.openxmlformats.org/officeDocument/2006/relationships/hyperlink" Target="https://www.youtube.com/watch?v=v_k4PyWa-v8&amp;feature=youtu.be" TargetMode="External"/><Relationship Id="rId820" Type="http://schemas.openxmlformats.org/officeDocument/2006/relationships/hyperlink" Target="https://www.youtube.com/watch?v=SaPHT9aS3Zk" TargetMode="External"/><Relationship Id="rId826" Type="http://schemas.openxmlformats.org/officeDocument/2006/relationships/hyperlink" Target="https://www.youtube.com/watch?v=bLntip6c3cM&amp;feature=youtu.be" TargetMode="External"/><Relationship Id="rId825" Type="http://schemas.openxmlformats.org/officeDocument/2006/relationships/hyperlink" Target="https://www.youtube.com/watch?v=bLntip6c3cM" TargetMode="External"/><Relationship Id="rId824" Type="http://schemas.openxmlformats.org/officeDocument/2006/relationships/hyperlink" Target="https://www.youtube.com/watch?v=v_k4PyWa-v8&amp;feature=youtu.be" TargetMode="External"/><Relationship Id="rId823" Type="http://schemas.openxmlformats.org/officeDocument/2006/relationships/hyperlink" Target="https://youtu.be/PeiDodR-cOo" TargetMode="External"/><Relationship Id="rId1650" Type="http://schemas.openxmlformats.org/officeDocument/2006/relationships/hyperlink" Target="https://youtu.be/wcEM9uE522w" TargetMode="External"/><Relationship Id="rId1651" Type="http://schemas.openxmlformats.org/officeDocument/2006/relationships/hyperlink" Target="https://youtu.be/YOynMNzYQfo" TargetMode="External"/><Relationship Id="rId1652" Type="http://schemas.openxmlformats.org/officeDocument/2006/relationships/hyperlink" Target="https://youtu.be/YOynMNzYQfo" TargetMode="External"/><Relationship Id="rId1642" Type="http://schemas.openxmlformats.org/officeDocument/2006/relationships/hyperlink" Target="https://youtu.be/Zt72DgCMRr4" TargetMode="External"/><Relationship Id="rId1643" Type="http://schemas.openxmlformats.org/officeDocument/2006/relationships/hyperlink" Target="https://youtu.be/G2rw4aWcpxY" TargetMode="External"/><Relationship Id="rId1644" Type="http://schemas.openxmlformats.org/officeDocument/2006/relationships/hyperlink" Target="https://youtu.be/S2iLJ4lyzlA" TargetMode="External"/><Relationship Id="rId1645" Type="http://schemas.openxmlformats.org/officeDocument/2006/relationships/hyperlink" Target="https://youtu.be/NH0ahwsf718" TargetMode="External"/><Relationship Id="rId1646" Type="http://schemas.openxmlformats.org/officeDocument/2006/relationships/hyperlink" Target="https://youtu.be/G2rw4aWcpxY" TargetMode="External"/><Relationship Id="rId1647" Type="http://schemas.openxmlformats.org/officeDocument/2006/relationships/hyperlink" Target="https://www.youtube.com/watch?v=3cokSh5LaVs" TargetMode="External"/><Relationship Id="rId1648" Type="http://schemas.openxmlformats.org/officeDocument/2006/relationships/hyperlink" Target="https://www.youtube.com/watch?v=m-NJgNhWbUg" TargetMode="External"/><Relationship Id="rId1649" Type="http://schemas.openxmlformats.org/officeDocument/2006/relationships/hyperlink" Target="https://www.youtube.com/watch?v=FJcnBQ2EAE8" TargetMode="External"/><Relationship Id="rId819" Type="http://schemas.openxmlformats.org/officeDocument/2006/relationships/hyperlink" Target="https://youtu.be/G-wdEZNJzVc" TargetMode="External"/><Relationship Id="rId818" Type="http://schemas.openxmlformats.org/officeDocument/2006/relationships/hyperlink" Target="https://youtu.be/TWoHlQ92h9Q" TargetMode="External"/><Relationship Id="rId817" Type="http://schemas.openxmlformats.org/officeDocument/2006/relationships/hyperlink" Target="https://www.twitch.tv/aether10n/clip/TallFilthyLatteKappaRoss-MNxuGpQeZ7ArWUQS" TargetMode="External"/><Relationship Id="rId816" Type="http://schemas.openxmlformats.org/officeDocument/2006/relationships/hyperlink" Target="https://clips.twitch.tv/FlirtyHandsomeDunlinDendiFace-kJAZpcey5Npw62mo" TargetMode="External"/><Relationship Id="rId811" Type="http://schemas.openxmlformats.org/officeDocument/2006/relationships/hyperlink" Target="https://youtu.be/TQo836tIyZ4" TargetMode="External"/><Relationship Id="rId810" Type="http://schemas.openxmlformats.org/officeDocument/2006/relationships/hyperlink" Target="https://youtu.be/qgWRAu3ul_c?t=21" TargetMode="External"/><Relationship Id="rId815" Type="http://schemas.openxmlformats.org/officeDocument/2006/relationships/hyperlink" Target="https://youtu.be/KeUeFm8pgn4" TargetMode="External"/><Relationship Id="rId814" Type="http://schemas.openxmlformats.org/officeDocument/2006/relationships/hyperlink" Target="https://youtu.be/ZIFgUlRAmu8" TargetMode="External"/><Relationship Id="rId813" Type="http://schemas.openxmlformats.org/officeDocument/2006/relationships/hyperlink" Target="https://youtu.be/fNkxLw3fgCI" TargetMode="External"/><Relationship Id="rId812" Type="http://schemas.openxmlformats.org/officeDocument/2006/relationships/hyperlink" Target="https://youtu.be/7OefaDdLpEA" TargetMode="External"/><Relationship Id="rId1640" Type="http://schemas.openxmlformats.org/officeDocument/2006/relationships/hyperlink" Target="https://youtu.be/T0A9oRMEdno" TargetMode="External"/><Relationship Id="rId1641" Type="http://schemas.openxmlformats.org/officeDocument/2006/relationships/hyperlink" Target="https://youtu.be/Zt72DgCMRr4" TargetMode="External"/><Relationship Id="rId1675" Type="http://schemas.openxmlformats.org/officeDocument/2006/relationships/hyperlink" Target="https://youtu.be/2w3KSdOuDXQ" TargetMode="External"/><Relationship Id="rId1676" Type="http://schemas.openxmlformats.org/officeDocument/2006/relationships/hyperlink" Target="https://youtu.be/2w3KSdOuDXQ" TargetMode="External"/><Relationship Id="rId1677" Type="http://schemas.openxmlformats.org/officeDocument/2006/relationships/hyperlink" Target="https://youtu.be/d5SPyMB6j_o" TargetMode="External"/><Relationship Id="rId1678" Type="http://schemas.openxmlformats.org/officeDocument/2006/relationships/hyperlink" Target="https://youtu.be/d5SPyMB6j_o" TargetMode="External"/><Relationship Id="rId1679" Type="http://schemas.openxmlformats.org/officeDocument/2006/relationships/hyperlink" Target="https://youtu.be/VlGSJ7oj0LY" TargetMode="External"/><Relationship Id="rId849" Type="http://schemas.openxmlformats.org/officeDocument/2006/relationships/hyperlink" Target="https://www.youtube.com/watch?v=0D1WmuC6U4U" TargetMode="External"/><Relationship Id="rId844" Type="http://schemas.openxmlformats.org/officeDocument/2006/relationships/hyperlink" Target="https://youtu.be/Kj-It4K_OhM" TargetMode="External"/><Relationship Id="rId843" Type="http://schemas.openxmlformats.org/officeDocument/2006/relationships/hyperlink" Target="https://www.youtube.com/watch?v=O40upq_B08g" TargetMode="External"/><Relationship Id="rId842" Type="http://schemas.openxmlformats.org/officeDocument/2006/relationships/hyperlink" Target="https://youtu.be/nuCK63baSJE" TargetMode="External"/><Relationship Id="rId841" Type="http://schemas.openxmlformats.org/officeDocument/2006/relationships/hyperlink" Target="https://youtu.be/MuEnxiM27do" TargetMode="External"/><Relationship Id="rId848" Type="http://schemas.openxmlformats.org/officeDocument/2006/relationships/hyperlink" Target="https://www.youtube.com/watch?v=0D1WmuC6U4U" TargetMode="External"/><Relationship Id="rId847" Type="http://schemas.openxmlformats.org/officeDocument/2006/relationships/hyperlink" Target="https://youtu.be/lal_goibTZQ" TargetMode="External"/><Relationship Id="rId846" Type="http://schemas.openxmlformats.org/officeDocument/2006/relationships/hyperlink" Target="https://www.youtube.com/watch?v=lal_goibTZQ" TargetMode="External"/><Relationship Id="rId845" Type="http://schemas.openxmlformats.org/officeDocument/2006/relationships/hyperlink" Target="https://www.youtube.com/watch?v=Q2AsFoe34RU" TargetMode="External"/><Relationship Id="rId1670" Type="http://schemas.openxmlformats.org/officeDocument/2006/relationships/hyperlink" Target="https://cdn.discordapp.com/attachments/316530740063895554/1508352623516979300/Gelato_to_Pianta_front_side_SpinY_19.185.mp4?ex=6a153a59&amp;is=6a13e8d9&amp;hm=53eba90a4cb9605e5e59dfeb77f8fb697b1ec69758e50604b2675ffbb483a7d9&amp;" TargetMode="External"/><Relationship Id="rId840" Type="http://schemas.openxmlformats.org/officeDocument/2006/relationships/hyperlink" Target="https://www.youtube.com/watch?v=Q2AsFoe34RU" TargetMode="External"/><Relationship Id="rId1671" Type="http://schemas.openxmlformats.org/officeDocument/2006/relationships/hyperlink" Target="https://youtu.be/mtPLaPYM5bE" TargetMode="External"/><Relationship Id="rId1672" Type="http://schemas.openxmlformats.org/officeDocument/2006/relationships/hyperlink" Target="https://youtu.be/mtPLaPYM5bE" TargetMode="External"/><Relationship Id="rId1673" Type="http://schemas.openxmlformats.org/officeDocument/2006/relationships/hyperlink" Target="https://youtu.be/3e65Ym3gNJQ" TargetMode="External"/><Relationship Id="rId1674" Type="http://schemas.openxmlformats.org/officeDocument/2006/relationships/hyperlink" Target="https://youtu.be/3e65Ym3gNJQ" TargetMode="External"/><Relationship Id="rId1664" Type="http://schemas.openxmlformats.org/officeDocument/2006/relationships/hyperlink" Target="https://youtu.be/RBbHHzCiO54" TargetMode="External"/><Relationship Id="rId1665" Type="http://schemas.openxmlformats.org/officeDocument/2006/relationships/hyperlink" Target="https://www.youtube.com/watch?v=z9Cply6-a14" TargetMode="External"/><Relationship Id="rId1666" Type="http://schemas.openxmlformats.org/officeDocument/2006/relationships/hyperlink" Target="https://youtu.be/zwUKiy2wr3A" TargetMode="External"/><Relationship Id="rId1667" Type="http://schemas.openxmlformats.org/officeDocument/2006/relationships/hyperlink" Target="https://youtu.be/zwUKiy2wr3A" TargetMode="External"/><Relationship Id="rId1668" Type="http://schemas.openxmlformats.org/officeDocument/2006/relationships/hyperlink" Target="https://youtu.be/J4BzX00buXY" TargetMode="External"/><Relationship Id="rId1669" Type="http://schemas.openxmlformats.org/officeDocument/2006/relationships/hyperlink" Target="https://youtu.be/J4BzX00buXY" TargetMode="External"/><Relationship Id="rId839" Type="http://schemas.openxmlformats.org/officeDocument/2006/relationships/hyperlink" Target="https://youtu.be/Bv90oc-1vaw" TargetMode="External"/><Relationship Id="rId838" Type="http://schemas.openxmlformats.org/officeDocument/2006/relationships/hyperlink" Target="https://youtu.be/0D1WmuC6U4U" TargetMode="External"/><Relationship Id="rId833" Type="http://schemas.openxmlformats.org/officeDocument/2006/relationships/hyperlink" Target="https://youtu.be/UqD3Oahfo8A" TargetMode="External"/><Relationship Id="rId832" Type="http://schemas.openxmlformats.org/officeDocument/2006/relationships/hyperlink" Target="https://youtu.be/UqD3Oahfo8A" TargetMode="External"/><Relationship Id="rId831" Type="http://schemas.openxmlformats.org/officeDocument/2006/relationships/hyperlink" Target="https://youtu.be/R1jkpbFra_k" TargetMode="External"/><Relationship Id="rId830" Type="http://schemas.openxmlformats.org/officeDocument/2006/relationships/hyperlink" Target="https://youtu.be/R1jkpbFra_k" TargetMode="External"/><Relationship Id="rId837" Type="http://schemas.openxmlformats.org/officeDocument/2006/relationships/hyperlink" Target="https://youtu.be/yHQXj8dLEcI" TargetMode="External"/><Relationship Id="rId836" Type="http://schemas.openxmlformats.org/officeDocument/2006/relationships/hyperlink" Target="https://youtu.be/NuQnnIyWGNo" TargetMode="External"/><Relationship Id="rId835" Type="http://schemas.openxmlformats.org/officeDocument/2006/relationships/hyperlink" Target="https://www.twitch.tv/videos/2440315971" TargetMode="External"/><Relationship Id="rId834" Type="http://schemas.openxmlformats.org/officeDocument/2006/relationships/hyperlink" Target="https://youtu.be/CbOKw_Wf8YY" TargetMode="External"/><Relationship Id="rId1660" Type="http://schemas.openxmlformats.org/officeDocument/2006/relationships/hyperlink" Target="https://youtu.be/MjxV6lP4DeM" TargetMode="External"/><Relationship Id="rId1661" Type="http://schemas.openxmlformats.org/officeDocument/2006/relationships/hyperlink" Target="https://youtu.be/MjxV6lP4DeM" TargetMode="External"/><Relationship Id="rId1662" Type="http://schemas.openxmlformats.org/officeDocument/2006/relationships/hyperlink" Target="https://youtu.be/C1hWokBPYPE" TargetMode="External"/><Relationship Id="rId1663" Type="http://schemas.openxmlformats.org/officeDocument/2006/relationships/hyperlink" Target="https://youtu.be/C1hWokBPYPE" TargetMode="External"/><Relationship Id="rId899" Type="http://schemas.openxmlformats.org/officeDocument/2006/relationships/hyperlink" Target="https://www.youtube.com/watch?v=-2zUSpdrK8M" TargetMode="External"/><Relationship Id="rId898" Type="http://schemas.openxmlformats.org/officeDocument/2006/relationships/hyperlink" Target="https://www.youtube.com/watch?v=wDCLEN8_slI&amp;feature=youtu.be&amp;ab_channel=SMSArchives" TargetMode="External"/><Relationship Id="rId897" Type="http://schemas.openxmlformats.org/officeDocument/2006/relationships/hyperlink" Target="https://youtu.be/LNkZPZUIAkw" TargetMode="External"/><Relationship Id="rId896" Type="http://schemas.openxmlformats.org/officeDocument/2006/relationships/hyperlink" Target="https://youtu.be/groLCkV50c8" TargetMode="External"/><Relationship Id="rId891" Type="http://schemas.openxmlformats.org/officeDocument/2006/relationships/hyperlink" Target="https://twitter.com/Qbe_Root/status/1397707786499276801" TargetMode="External"/><Relationship Id="rId890" Type="http://schemas.openxmlformats.org/officeDocument/2006/relationships/hyperlink" Target="https://www.youtube.com/watch?v=AbAClhLPIME" TargetMode="External"/><Relationship Id="rId895" Type="http://schemas.openxmlformats.org/officeDocument/2006/relationships/hyperlink" Target="https://www.youtube.com/watch?v=M_TEDO1EzXc" TargetMode="External"/><Relationship Id="rId894" Type="http://schemas.openxmlformats.org/officeDocument/2006/relationships/hyperlink" Target="https://youtu.be/C5p48IfRW8A" TargetMode="External"/><Relationship Id="rId893" Type="http://schemas.openxmlformats.org/officeDocument/2006/relationships/hyperlink" Target="https://youtu.be/8V-QD8QCveU" TargetMode="External"/><Relationship Id="rId892" Type="http://schemas.openxmlformats.org/officeDocument/2006/relationships/hyperlink" Target="https://youtu.be/nEeLpTRXpvo"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youtu.be/Gc6Edb-27Vc" TargetMode="External"/><Relationship Id="rId391" Type="http://schemas.openxmlformats.org/officeDocument/2006/relationships/hyperlink" Target="https://youtu.be/UdJqKYSajz8" TargetMode="External"/><Relationship Id="rId390" Type="http://schemas.openxmlformats.org/officeDocument/2006/relationships/hyperlink" Target="https://youtu.be/6eknxjcNn8s" TargetMode="External"/><Relationship Id="rId385" Type="http://schemas.openxmlformats.org/officeDocument/2006/relationships/hyperlink" Target="https://youtu.be/sAd0b2EDuNI" TargetMode="External"/><Relationship Id="rId384" Type="http://schemas.openxmlformats.org/officeDocument/2006/relationships/hyperlink" Target="https://youtu.be/6iOxYY-DAns" TargetMode="External"/><Relationship Id="rId383" Type="http://schemas.openxmlformats.org/officeDocument/2006/relationships/hyperlink" Target="https://www.youtube.com/watch?v=jun1Hm7ck3w" TargetMode="External"/><Relationship Id="rId382" Type="http://schemas.openxmlformats.org/officeDocument/2006/relationships/hyperlink" Target="https://youtu.be/ZOFNidm6s-g" TargetMode="External"/><Relationship Id="rId389" Type="http://schemas.openxmlformats.org/officeDocument/2006/relationships/hyperlink" Target="https://youtu.be/NOvdveeHuPo" TargetMode="External"/><Relationship Id="rId388" Type="http://schemas.openxmlformats.org/officeDocument/2006/relationships/hyperlink" Target="https://youtu.be/QVVVluQ19zU" TargetMode="External"/><Relationship Id="rId387" Type="http://schemas.openxmlformats.org/officeDocument/2006/relationships/hyperlink" Target="https://youtu.be/4VdtR-Lv0as" TargetMode="External"/><Relationship Id="rId386" Type="http://schemas.openxmlformats.org/officeDocument/2006/relationships/hyperlink" Target="https://youtu.be/TH1o50knPxs" TargetMode="External"/><Relationship Id="rId381" Type="http://schemas.openxmlformats.org/officeDocument/2006/relationships/hyperlink" Target="https://youtu.be/WnWs04kawSw" TargetMode="External"/><Relationship Id="rId380" Type="http://schemas.openxmlformats.org/officeDocument/2006/relationships/hyperlink" Target="https://youtu.be/blxMHpUwLWU" TargetMode="External"/><Relationship Id="rId379" Type="http://schemas.openxmlformats.org/officeDocument/2006/relationships/hyperlink" Target="https://youtu.be/VF-RKyB7j5M" TargetMode="External"/><Relationship Id="rId374" Type="http://schemas.openxmlformats.org/officeDocument/2006/relationships/hyperlink" Target="https://youtu.be/F4VHRtqDYCU" TargetMode="External"/><Relationship Id="rId373" Type="http://schemas.openxmlformats.org/officeDocument/2006/relationships/hyperlink" Target="https://youtu.be/p-5jgniWrWI" TargetMode="External"/><Relationship Id="rId372" Type="http://schemas.openxmlformats.org/officeDocument/2006/relationships/hyperlink" Target="https://youtu.be/_CpOb3C-qp4" TargetMode="External"/><Relationship Id="rId371" Type="http://schemas.openxmlformats.org/officeDocument/2006/relationships/hyperlink" Target="https://www.youtube.com/watch?v=-cFyR-1UETs" TargetMode="External"/><Relationship Id="rId378" Type="http://schemas.openxmlformats.org/officeDocument/2006/relationships/hyperlink" Target="https://youtu.be/ZjYkK3T4E3g" TargetMode="External"/><Relationship Id="rId377" Type="http://schemas.openxmlformats.org/officeDocument/2006/relationships/hyperlink" Target="https://youtu.be/xxLRyN7-xHA" TargetMode="External"/><Relationship Id="rId376" Type="http://schemas.openxmlformats.org/officeDocument/2006/relationships/hyperlink" Target="https://youtu.be/dg-EdfjuW0k" TargetMode="External"/><Relationship Id="rId375" Type="http://schemas.openxmlformats.org/officeDocument/2006/relationships/hyperlink" Target="https://www.youtube.com/watch?v=8ES5McXInsc" TargetMode="External"/><Relationship Id="rId396" Type="http://schemas.openxmlformats.org/officeDocument/2006/relationships/hyperlink" Target="https://youtu.be/DJrj-s45v38" TargetMode="External"/><Relationship Id="rId395" Type="http://schemas.openxmlformats.org/officeDocument/2006/relationships/hyperlink" Target="https://youtu.be/vqGTCFvxk8o" TargetMode="External"/><Relationship Id="rId394" Type="http://schemas.openxmlformats.org/officeDocument/2006/relationships/hyperlink" Target="https://youtu.be/7ervRRkT8W4" TargetMode="External"/><Relationship Id="rId393" Type="http://schemas.openxmlformats.org/officeDocument/2006/relationships/hyperlink" Target="https://youtu.be/E-V4z3QdoKg" TargetMode="External"/><Relationship Id="rId399" Type="http://schemas.openxmlformats.org/officeDocument/2006/relationships/hyperlink" Target="https://youtu.be/GHtQZalhLK4" TargetMode="External"/><Relationship Id="rId398" Type="http://schemas.openxmlformats.org/officeDocument/2006/relationships/hyperlink" Target="https://youtu.be/2GBAWXJCDj4" TargetMode="External"/><Relationship Id="rId397" Type="http://schemas.openxmlformats.org/officeDocument/2006/relationships/hyperlink" Target="https://youtu.be/rczyCGBG9Vo" TargetMode="External"/><Relationship Id="rId40" Type="http://schemas.openxmlformats.org/officeDocument/2006/relationships/hyperlink" Target="https://www.youtube.com/watch?v=pd_Onqk79v8" TargetMode="External"/><Relationship Id="rId42" Type="http://schemas.openxmlformats.org/officeDocument/2006/relationships/hyperlink" Target="https://youtu.be/Zz1OZS2HPt0" TargetMode="External"/><Relationship Id="rId41" Type="http://schemas.openxmlformats.org/officeDocument/2006/relationships/hyperlink" Target="https://www.youtube.com/watch?v=5avtiSpGUzk" TargetMode="External"/><Relationship Id="rId44" Type="http://schemas.openxmlformats.org/officeDocument/2006/relationships/hyperlink" Target="https://youtu.be/7Rd6ULfazrw?si=di8JnExUsCqYxNNe" TargetMode="External"/><Relationship Id="rId43" Type="http://schemas.openxmlformats.org/officeDocument/2006/relationships/hyperlink" Target="https://youtu.be/KBVG67mmPtA" TargetMode="External"/><Relationship Id="rId46" Type="http://schemas.openxmlformats.org/officeDocument/2006/relationships/hyperlink" Target="https://youtu.be/mUGc-jRiOM8?si=v9p5TMMXz5LkRTOu" TargetMode="External"/><Relationship Id="rId45" Type="http://schemas.openxmlformats.org/officeDocument/2006/relationships/hyperlink" Target="https://youtu.be/jDkvqrCmbXs?si=rdwbHccKyrbSZPj3" TargetMode="External"/><Relationship Id="rId48" Type="http://schemas.openxmlformats.org/officeDocument/2006/relationships/hyperlink" Target="https://clips.twitch.tv/LuckyCrepuscularPepperOptimizePrime-z5HEfSrTrQNFRlQZ" TargetMode="External"/><Relationship Id="rId47" Type="http://schemas.openxmlformats.org/officeDocument/2006/relationships/hyperlink" Target="https://youtu.be/HwtfKdV711I?si=eKVKGBoh5_cpEg8N" TargetMode="External"/><Relationship Id="rId49" Type="http://schemas.openxmlformats.org/officeDocument/2006/relationships/hyperlink" Target="https://youtu.be/nCJheSL-IYM?si=Xn763U4U9feQ3twO" TargetMode="External"/><Relationship Id="rId31" Type="http://schemas.openxmlformats.org/officeDocument/2006/relationships/hyperlink" Target="https://youtu.be/1Yut48DcvQs" TargetMode="External"/><Relationship Id="rId30" Type="http://schemas.openxmlformats.org/officeDocument/2006/relationships/hyperlink" Target="https://youtu.be/imTSeZTdbQI" TargetMode="External"/><Relationship Id="rId33" Type="http://schemas.openxmlformats.org/officeDocument/2006/relationships/hyperlink" Target="https://youtu.be/DvRWE9Fd320" TargetMode="External"/><Relationship Id="rId32" Type="http://schemas.openxmlformats.org/officeDocument/2006/relationships/hyperlink" Target="https://www.youtube.com/watch?v=_FkHCxffgC8" TargetMode="External"/><Relationship Id="rId35" Type="http://schemas.openxmlformats.org/officeDocument/2006/relationships/hyperlink" Target="https://youtu.be/FeqRw8zeIpo" TargetMode="External"/><Relationship Id="rId34" Type="http://schemas.openxmlformats.org/officeDocument/2006/relationships/hyperlink" Target="https://youtu.be/9TMEnOKy9VY" TargetMode="External"/><Relationship Id="rId37" Type="http://schemas.openxmlformats.org/officeDocument/2006/relationships/hyperlink" Target="https://youtu.be/eLH0_E-MWq0" TargetMode="External"/><Relationship Id="rId36" Type="http://schemas.openxmlformats.org/officeDocument/2006/relationships/hyperlink" Target="https://youtu.be/2oLT32zNV7E" TargetMode="External"/><Relationship Id="rId39" Type="http://schemas.openxmlformats.org/officeDocument/2006/relationships/hyperlink" Target="https://www.youtube.com/watch?v=Iox2ipRtjQE" TargetMode="External"/><Relationship Id="rId38" Type="http://schemas.openxmlformats.org/officeDocument/2006/relationships/hyperlink" Target="https://youtu.be/DhSExa6Kp6o" TargetMode="External"/><Relationship Id="rId20" Type="http://schemas.openxmlformats.org/officeDocument/2006/relationships/hyperlink" Target="https://youtu.be/CeT6mt5Mt6Q" TargetMode="External"/><Relationship Id="rId22" Type="http://schemas.openxmlformats.org/officeDocument/2006/relationships/hyperlink" Target="https://youtu.be/wP3nsqfIvJM" TargetMode="External"/><Relationship Id="rId21" Type="http://schemas.openxmlformats.org/officeDocument/2006/relationships/hyperlink" Target="https://youtu.be/Hgjo28AKO14" TargetMode="External"/><Relationship Id="rId24" Type="http://schemas.openxmlformats.org/officeDocument/2006/relationships/hyperlink" Target="https://youtu.be/-P2KGWskBdk" TargetMode="External"/><Relationship Id="rId23" Type="http://schemas.openxmlformats.org/officeDocument/2006/relationships/hyperlink" Target="https://youtu.be/mNstEicv7CU" TargetMode="External"/><Relationship Id="rId26" Type="http://schemas.openxmlformats.org/officeDocument/2006/relationships/hyperlink" Target="https://www.youtube.com/watch?v=2rAHomoLc_k" TargetMode="External"/><Relationship Id="rId25" Type="http://schemas.openxmlformats.org/officeDocument/2006/relationships/hyperlink" Target="https://www.youtube.com/watch?v=2geS9RfTlqM" TargetMode="External"/><Relationship Id="rId28" Type="http://schemas.openxmlformats.org/officeDocument/2006/relationships/hyperlink" Target="https://youtu.be/P-f7epNZCzg" TargetMode="External"/><Relationship Id="rId27" Type="http://schemas.openxmlformats.org/officeDocument/2006/relationships/hyperlink" Target="https://www.youtube.com/watch?v=jIjhnNswIu4" TargetMode="External"/><Relationship Id="rId29" Type="http://schemas.openxmlformats.org/officeDocument/2006/relationships/hyperlink" Target="https://www.youtube.com/watch?v=wRBjOvj8wxI" TargetMode="External"/><Relationship Id="rId11" Type="http://schemas.openxmlformats.org/officeDocument/2006/relationships/hyperlink" Target="https://youtu.be/emrYn9LZu6M" TargetMode="External"/><Relationship Id="rId10" Type="http://schemas.openxmlformats.org/officeDocument/2006/relationships/hyperlink" Target="https://youtu.be/H6ovBv20JvM" TargetMode="External"/><Relationship Id="rId13" Type="http://schemas.openxmlformats.org/officeDocument/2006/relationships/hyperlink" Target="https://youtu.be/a2bUTmNx8b4" TargetMode="External"/><Relationship Id="rId12" Type="http://schemas.openxmlformats.org/officeDocument/2006/relationships/hyperlink" Target="https://www.youtube.com/watch?v=L6pz8YUpzK0" TargetMode="External"/><Relationship Id="rId15" Type="http://schemas.openxmlformats.org/officeDocument/2006/relationships/hyperlink" Target="https://youtu.be/bSffiqFey8k" TargetMode="External"/><Relationship Id="rId14" Type="http://schemas.openxmlformats.org/officeDocument/2006/relationships/hyperlink" Target="https://youtu.be/xns7BSND0Lk" TargetMode="External"/><Relationship Id="rId17" Type="http://schemas.openxmlformats.org/officeDocument/2006/relationships/hyperlink" Target="https://youtu.be/0O-_U6aETls" TargetMode="External"/><Relationship Id="rId16" Type="http://schemas.openxmlformats.org/officeDocument/2006/relationships/hyperlink" Target="https://www.youtube.com/watch?v=1ThHt4M6yXM" TargetMode="External"/><Relationship Id="rId19" Type="http://schemas.openxmlformats.org/officeDocument/2006/relationships/hyperlink" Target="https://youtu.be/tAjAo1ft_eM" TargetMode="External"/><Relationship Id="rId18" Type="http://schemas.openxmlformats.org/officeDocument/2006/relationships/hyperlink" Target="https://youtu.be/ie5ZhiiktGY" TargetMode="External"/><Relationship Id="rId84" Type="http://schemas.openxmlformats.org/officeDocument/2006/relationships/hyperlink" Target="https://youtu.be/-UVmbU_fwYM?si=Qc2BlPO9m2dJMSzR" TargetMode="External"/><Relationship Id="rId83" Type="http://schemas.openxmlformats.org/officeDocument/2006/relationships/hyperlink" Target="https://youtu.be/3Zq8pJOgAjU?si=FqqlaRHKm6kc0Ozo" TargetMode="External"/><Relationship Id="rId86" Type="http://schemas.openxmlformats.org/officeDocument/2006/relationships/hyperlink" Target="https://youtu.be/EL3bJhllmuU?si=c7ngSnnOrX-4SqD3" TargetMode="External"/><Relationship Id="rId85" Type="http://schemas.openxmlformats.org/officeDocument/2006/relationships/hyperlink" Target="https://www.twitch.tv/shadowmario27/clip/NaiveHomelyLettuceRaccAttack-3yUIH7BlHtFm4pT-" TargetMode="External"/><Relationship Id="rId88" Type="http://schemas.openxmlformats.org/officeDocument/2006/relationships/hyperlink" Target="https://www.twitch.tv/shadowmario27/clip/CuteAbstemiousPassionfruitRaccAttack-5fsOyjpia8OH0i--" TargetMode="External"/><Relationship Id="rId87" Type="http://schemas.openxmlformats.org/officeDocument/2006/relationships/hyperlink" Target="https://www.twitch.tv/shadowmario27/clip/FitDiligentBaconPMSTwin-ZhFJVl9cDoirFCmD" TargetMode="External"/><Relationship Id="rId89" Type="http://schemas.openxmlformats.org/officeDocument/2006/relationships/hyperlink" Target="https://clips.twitch.tv/CrunchyTacitTapirDuDudu-ECSgEavnWFm6kYye" TargetMode="External"/><Relationship Id="rId80" Type="http://schemas.openxmlformats.org/officeDocument/2006/relationships/hyperlink" Target="https://youtu.be/hWnexEQLfSU" TargetMode="External"/><Relationship Id="rId82" Type="http://schemas.openxmlformats.org/officeDocument/2006/relationships/hyperlink" Target="https://clips.twitch.tv/GleamingBigPanWutFace-OM46L44T06_e23Qq" TargetMode="External"/><Relationship Id="rId81" Type="http://schemas.openxmlformats.org/officeDocument/2006/relationships/hyperlink" Target="https://youtu.be/tsIYSEOCSE4?si=aOE5B3dY0VkWnnRE" TargetMode="External"/><Relationship Id="rId73" Type="http://schemas.openxmlformats.org/officeDocument/2006/relationships/hyperlink" Target="https://youtu.be/-quXo2TrU_k?si=jgcMsQKvHs5O9HLy" TargetMode="External"/><Relationship Id="rId72" Type="http://schemas.openxmlformats.org/officeDocument/2006/relationships/hyperlink" Target="https://youtu.be/uNeafoX11Ts?si=9IvLkHCi8K0TYtzY" TargetMode="External"/><Relationship Id="rId75" Type="http://schemas.openxmlformats.org/officeDocument/2006/relationships/hyperlink" Target="https://youtu.be/HqZg6Ge4K_o?si=v2ESKfJVIkkjqxmb" TargetMode="External"/><Relationship Id="rId74" Type="http://schemas.openxmlformats.org/officeDocument/2006/relationships/hyperlink" Target="https://youtu.be/oX4nejH5bNk?si=RYy-sqw1KFCwwr7U" TargetMode="External"/><Relationship Id="rId77" Type="http://schemas.openxmlformats.org/officeDocument/2006/relationships/hyperlink" Target="https://youtu.be/TaZ9DVRBu8k?si=_BOfqaShpRxvxdQ_" TargetMode="External"/><Relationship Id="rId76" Type="http://schemas.openxmlformats.org/officeDocument/2006/relationships/hyperlink" Target="https://youtu.be/TThxzaysnRo?si=4-IRnYp9Eyz58LSs" TargetMode="External"/><Relationship Id="rId79" Type="http://schemas.openxmlformats.org/officeDocument/2006/relationships/hyperlink" Target="https://youtu.be/oLpCZTvsWz0?si=3eMGCgRcUaugCXZQ" TargetMode="External"/><Relationship Id="rId78" Type="http://schemas.openxmlformats.org/officeDocument/2006/relationships/hyperlink" Target="https://youtu.be/EEPxT0HBHos?si=JfDgs3kqLOeblG-9" TargetMode="External"/><Relationship Id="rId71" Type="http://schemas.openxmlformats.org/officeDocument/2006/relationships/hyperlink" Target="https://youtu.be/LxGjCftAYxU" TargetMode="External"/><Relationship Id="rId70" Type="http://schemas.openxmlformats.org/officeDocument/2006/relationships/hyperlink" Target="https://clips.twitch.tv/CuriousRealMeatloafPanicBasket-WA2WawURkir5INHX" TargetMode="External"/><Relationship Id="rId62" Type="http://schemas.openxmlformats.org/officeDocument/2006/relationships/hyperlink" Target="https://youtu.be/IJlxVmBO2a4?si=dt5h2z7mvsb6XUy-" TargetMode="External"/><Relationship Id="rId61" Type="http://schemas.openxmlformats.org/officeDocument/2006/relationships/hyperlink" Target="https://clips.twitch.tv/AnnoyingPowerfulBubbleteaTheTarFu-0AXeaRn8IQ-IjUCB" TargetMode="External"/><Relationship Id="rId64" Type="http://schemas.openxmlformats.org/officeDocument/2006/relationships/hyperlink" Target="https://youtu.be/k9h1ux56Axo" TargetMode="External"/><Relationship Id="rId63" Type="http://schemas.openxmlformats.org/officeDocument/2006/relationships/hyperlink" Target="https://youtu.be/Rb2Pz69HFe0?si=z4fqF8HEfjVxk8sa" TargetMode="External"/><Relationship Id="rId66" Type="http://schemas.openxmlformats.org/officeDocument/2006/relationships/hyperlink" Target="https://www.twitch.tv/videos/1989666204" TargetMode="External"/><Relationship Id="rId65" Type="http://schemas.openxmlformats.org/officeDocument/2006/relationships/hyperlink" Target="https://youtu.be/ZUqCPGIi9yQ" TargetMode="External"/><Relationship Id="rId68" Type="http://schemas.openxmlformats.org/officeDocument/2006/relationships/hyperlink" Target="https://youtu.be/JZBROHnD58w?si=O_890EIimpyF7-r9" TargetMode="External"/><Relationship Id="rId67" Type="http://schemas.openxmlformats.org/officeDocument/2006/relationships/hyperlink" Target="https://youtu.be/J4KeNw3KxhQ?si=t8-zkQ48fOs5Vhhf" TargetMode="External"/><Relationship Id="rId60" Type="http://schemas.openxmlformats.org/officeDocument/2006/relationships/hyperlink" Target="https://youtu.be/ZUHy5kp2SyQ?si=lYclaXNFDkwpPdPd" TargetMode="External"/><Relationship Id="rId69" Type="http://schemas.openxmlformats.org/officeDocument/2006/relationships/hyperlink" Target="https://clips.twitch.tv/LightTangibleDragonfruitBrainSlug-vNhEfTfHWQCIXcgc" TargetMode="External"/><Relationship Id="rId51" Type="http://schemas.openxmlformats.org/officeDocument/2006/relationships/hyperlink" Target="https://www.twitch.tv/videos/1059885255" TargetMode="External"/><Relationship Id="rId50" Type="http://schemas.openxmlformats.org/officeDocument/2006/relationships/hyperlink" Target="https://clips.twitch.tv/UgliestJoyousEelPastaThat--vlsRLXq859sK__z" TargetMode="External"/><Relationship Id="rId53" Type="http://schemas.openxmlformats.org/officeDocument/2006/relationships/hyperlink" Target="https://youtu.be/TYHJ7yYMUeI?si=kiNtyyL4LDcmIMTW" TargetMode="External"/><Relationship Id="rId52" Type="http://schemas.openxmlformats.org/officeDocument/2006/relationships/hyperlink" Target="https://www.twitch.tv/videos/1083862188" TargetMode="External"/><Relationship Id="rId55" Type="http://schemas.openxmlformats.org/officeDocument/2006/relationships/hyperlink" Target="https://youtu.be/YRhRsxFECNk?si=64n8feaDBNkIgByx" TargetMode="External"/><Relationship Id="rId54" Type="http://schemas.openxmlformats.org/officeDocument/2006/relationships/hyperlink" Target="https://youtu.be/GT0OQIoeCok" TargetMode="External"/><Relationship Id="rId57" Type="http://schemas.openxmlformats.org/officeDocument/2006/relationships/hyperlink" Target="https://clips.twitch.tv/TardyBrainyTrayPMSTwin-CylzBvz2kvhYYDXe" TargetMode="External"/><Relationship Id="rId56" Type="http://schemas.openxmlformats.org/officeDocument/2006/relationships/hyperlink" Target="https://youtu.be/WdfhbkPXiE4" TargetMode="External"/><Relationship Id="rId59" Type="http://schemas.openxmlformats.org/officeDocument/2006/relationships/hyperlink" Target="https://youtu.be/avCQNpk-uAk?si=4SSl-Hv2tMwdWMcA" TargetMode="External"/><Relationship Id="rId58" Type="http://schemas.openxmlformats.org/officeDocument/2006/relationships/hyperlink" Target="https://youtu.be/ip979YJMhR8?si=ktOPloxKkAbdaYKJ" TargetMode="External"/><Relationship Id="rId349" Type="http://schemas.openxmlformats.org/officeDocument/2006/relationships/hyperlink" Target="https://www.twitch.tv/videos/1088163189" TargetMode="External"/><Relationship Id="rId348" Type="http://schemas.openxmlformats.org/officeDocument/2006/relationships/hyperlink" Target="https://www.youtube.com/watch?v=jGPn-ke54Ok&amp;feature=youtu.be&amp;ab_channel=SMSArchives" TargetMode="External"/><Relationship Id="rId347" Type="http://schemas.openxmlformats.org/officeDocument/2006/relationships/hyperlink" Target="https://www.youtube.com/watch?v=Zzq1o_M3hkM&amp;feature=youtu.be&amp;ab_channel=SMSArchives" TargetMode="External"/><Relationship Id="rId346" Type="http://schemas.openxmlformats.org/officeDocument/2006/relationships/hyperlink" Target="https://www.youtube.com/watch?v=TivHn6YabB4&amp;feature=youtu.be&amp;ab_channel=SMSArchives" TargetMode="External"/><Relationship Id="rId341" Type="http://schemas.openxmlformats.org/officeDocument/2006/relationships/hyperlink" Target="https://www.youtube.com/watch?v=YXNgiVD0NQw&amp;ab_channel=SMSArchives" TargetMode="External"/><Relationship Id="rId340" Type="http://schemas.openxmlformats.org/officeDocument/2006/relationships/hyperlink" Target="https://www.youtube.com/watch?v=J8g7nwKQNcg&amp;feature=youtu.be&amp;ab_channel=SMSArchives" TargetMode="External"/><Relationship Id="rId345" Type="http://schemas.openxmlformats.org/officeDocument/2006/relationships/hyperlink" Target="https://www.youtube.com/watch?v=2v_GdnvFXjo&amp;ab_channel=SMSArchives" TargetMode="External"/><Relationship Id="rId344" Type="http://schemas.openxmlformats.org/officeDocument/2006/relationships/hyperlink" Target="https://www.youtube.com/watch?v=iLwa7Co_RB4&amp;ab_channel=SMSArchives" TargetMode="External"/><Relationship Id="rId343" Type="http://schemas.openxmlformats.org/officeDocument/2006/relationships/hyperlink" Target="https://www.youtube.com/watch?v=CtsATKb-3js&amp;feature=youtu.be&amp;ab_channel=SMSArchives" TargetMode="External"/><Relationship Id="rId342" Type="http://schemas.openxmlformats.org/officeDocument/2006/relationships/hyperlink" Target="https://www.youtube.com/watch?v=Wkj2ydTSdBg&amp;feature=youtu.be&amp;ab_channel=SMSArchives" TargetMode="External"/><Relationship Id="rId338" Type="http://schemas.openxmlformats.org/officeDocument/2006/relationships/hyperlink" Target="https://www.youtube.com/watch?v=97qtJFpHl6c&amp;feature=youtu.be&amp;ab_channel=SMSArchives" TargetMode="External"/><Relationship Id="rId337" Type="http://schemas.openxmlformats.org/officeDocument/2006/relationships/hyperlink" Target="https://www.youtube.com/watch?v=N6wNkFIrOfY&amp;feature=youtu.be&amp;ab_channel=SMSArchives" TargetMode="External"/><Relationship Id="rId336" Type="http://schemas.openxmlformats.org/officeDocument/2006/relationships/hyperlink" Target="https://www.youtube.com/watch?v=4mWXyEGhpvI&amp;feature=youtu.be" TargetMode="External"/><Relationship Id="rId335" Type="http://schemas.openxmlformats.org/officeDocument/2006/relationships/hyperlink" Target="https://www.youtube.com/watch?v=S0LqHbzKtSE&amp;ab_channel=SMSArchives" TargetMode="External"/><Relationship Id="rId339" Type="http://schemas.openxmlformats.org/officeDocument/2006/relationships/hyperlink" Target="https://www.youtube.com/watch?v=kgfUKLsJqg4&amp;ab_channel=SMSArchives" TargetMode="External"/><Relationship Id="rId330" Type="http://schemas.openxmlformats.org/officeDocument/2006/relationships/hyperlink" Target="https://www.youtube.com/watch?v=kWLFkLuCaUA&amp;ab_channel=SMSArchives" TargetMode="External"/><Relationship Id="rId334" Type="http://schemas.openxmlformats.org/officeDocument/2006/relationships/hyperlink" Target="https://www.youtube.com/watch?v=9BG0RIluX3k&amp;ab_channel=SMSArchives" TargetMode="External"/><Relationship Id="rId333" Type="http://schemas.openxmlformats.org/officeDocument/2006/relationships/hyperlink" Target="https://youtu.be/fltEMbuzQ_A" TargetMode="External"/><Relationship Id="rId332" Type="http://schemas.openxmlformats.org/officeDocument/2006/relationships/hyperlink" Target="https://www.youtube.com/watch?v=vt69diqretk&amp;ab_channel=SMSArchives" TargetMode="External"/><Relationship Id="rId331" Type="http://schemas.openxmlformats.org/officeDocument/2006/relationships/hyperlink" Target="https://www.youtube.com/watch?v=lT3j28Tpg-o&amp;feature=youtu.be" TargetMode="External"/><Relationship Id="rId370" Type="http://schemas.openxmlformats.org/officeDocument/2006/relationships/hyperlink" Target="https://youtu.be/XNeUYbFhleQ?t=21" TargetMode="External"/><Relationship Id="rId369" Type="http://schemas.openxmlformats.org/officeDocument/2006/relationships/hyperlink" Target="https://youtu.be/wHunBo6Vjy8" TargetMode="External"/><Relationship Id="rId368" Type="http://schemas.openxmlformats.org/officeDocument/2006/relationships/hyperlink" Target="https://youtu.be/FvTKoZyzXJs" TargetMode="External"/><Relationship Id="rId363" Type="http://schemas.openxmlformats.org/officeDocument/2006/relationships/hyperlink" Target="https://www.youtube.com/watch?v=5i-Ww7kwlpo" TargetMode="External"/><Relationship Id="rId362" Type="http://schemas.openxmlformats.org/officeDocument/2006/relationships/hyperlink" Target="https://youtu.be/uJ3H32JcqmM" TargetMode="External"/><Relationship Id="rId361" Type="http://schemas.openxmlformats.org/officeDocument/2006/relationships/hyperlink" Target="https://www.twitch.tv/videos/1485767503" TargetMode="External"/><Relationship Id="rId360" Type="http://schemas.openxmlformats.org/officeDocument/2006/relationships/hyperlink" Target="https://youtu.be/Rxp26i7COLE" TargetMode="External"/><Relationship Id="rId367" Type="http://schemas.openxmlformats.org/officeDocument/2006/relationships/hyperlink" Target="https://youtu.be/gEq0l-ixE7M" TargetMode="External"/><Relationship Id="rId366" Type="http://schemas.openxmlformats.org/officeDocument/2006/relationships/hyperlink" Target="https://youtu.be/bMnP00yptKc" TargetMode="External"/><Relationship Id="rId365" Type="http://schemas.openxmlformats.org/officeDocument/2006/relationships/hyperlink" Target="https://youtu.be/Gzge2SYGHUg" TargetMode="External"/><Relationship Id="rId364" Type="http://schemas.openxmlformats.org/officeDocument/2006/relationships/hyperlink" Target="https://youtu.be/P5U382BHW3I" TargetMode="External"/><Relationship Id="rId95" Type="http://schemas.openxmlformats.org/officeDocument/2006/relationships/hyperlink" Target="https://clips.twitch.tv/LivelyCallousDumplingsSquadGoals-Vv-Z-Z2ZQl5lkmNu" TargetMode="External"/><Relationship Id="rId94" Type="http://schemas.openxmlformats.org/officeDocument/2006/relationships/hyperlink" Target="https://www.twitch.tv/inkstar/clip/PlausibleSplendidRadicchioPJSugar-79VfrPdesb8yL61T" TargetMode="External"/><Relationship Id="rId97" Type="http://schemas.openxmlformats.org/officeDocument/2006/relationships/hyperlink" Target="https://www.twitch.tv/videos/2714324985" TargetMode="External"/><Relationship Id="rId96" Type="http://schemas.openxmlformats.org/officeDocument/2006/relationships/hyperlink" Target="https://www.twitch.tv/videos/2748542820" TargetMode="External"/><Relationship Id="rId99" Type="http://schemas.openxmlformats.org/officeDocument/2006/relationships/hyperlink" Target="https://www.twitch.tv/videos/2492832865" TargetMode="External"/><Relationship Id="rId98" Type="http://schemas.openxmlformats.org/officeDocument/2006/relationships/hyperlink" Target="https://youtu.be/ZkTGoXe6wig" TargetMode="External"/><Relationship Id="rId91" Type="http://schemas.openxmlformats.org/officeDocument/2006/relationships/hyperlink" Target="https://www.twitch.tv/videos/2492862336" TargetMode="External"/><Relationship Id="rId90" Type="http://schemas.openxmlformats.org/officeDocument/2006/relationships/hyperlink" Target="https://www.twitch.tv/videos/2434255033" TargetMode="External"/><Relationship Id="rId93" Type="http://schemas.openxmlformats.org/officeDocument/2006/relationships/hyperlink" Target="https://www.twitch.tv/inkstar/clip/PrettyThankfulMinkGOWSkull-pXaE25IXODJ8QThA" TargetMode="External"/><Relationship Id="rId92" Type="http://schemas.openxmlformats.org/officeDocument/2006/relationships/hyperlink" Target="https://www.twitch.tv/videos/2746906023" TargetMode="External"/><Relationship Id="rId359" Type="http://schemas.openxmlformats.org/officeDocument/2006/relationships/hyperlink" Target="https://www.twitch.tv/videos/1086897061" TargetMode="External"/><Relationship Id="rId358" Type="http://schemas.openxmlformats.org/officeDocument/2006/relationships/hyperlink" Target="https://youtu.be/ErpGWKRxyno" TargetMode="External"/><Relationship Id="rId357" Type="http://schemas.openxmlformats.org/officeDocument/2006/relationships/hyperlink" Target="https://www.twitch.tv/videos/1148939636" TargetMode="External"/><Relationship Id="rId352" Type="http://schemas.openxmlformats.org/officeDocument/2006/relationships/hyperlink" Target="https://youtu.be/QE0BxXALwkM" TargetMode="External"/><Relationship Id="rId351" Type="http://schemas.openxmlformats.org/officeDocument/2006/relationships/hyperlink" Target="https://youtu.be/aWsieX6BNKc" TargetMode="External"/><Relationship Id="rId350" Type="http://schemas.openxmlformats.org/officeDocument/2006/relationships/hyperlink" Target="https://youtu.be/e5CSFEP76og" TargetMode="External"/><Relationship Id="rId356" Type="http://schemas.openxmlformats.org/officeDocument/2006/relationships/hyperlink" Target="https://www.twitch.tv/videos/1148929754" TargetMode="External"/><Relationship Id="rId355" Type="http://schemas.openxmlformats.org/officeDocument/2006/relationships/hyperlink" Target="https://www.twitch.tv/videos/2644783446" TargetMode="External"/><Relationship Id="rId354" Type="http://schemas.openxmlformats.org/officeDocument/2006/relationships/hyperlink" Target="https://youtu.be/qO8cM21al0Y" TargetMode="External"/><Relationship Id="rId353" Type="http://schemas.openxmlformats.org/officeDocument/2006/relationships/hyperlink" Target="https://www.twitch.tv/videos/1148803940" TargetMode="External"/><Relationship Id="rId305" Type="http://schemas.openxmlformats.org/officeDocument/2006/relationships/hyperlink" Target="https://www.twitch.tv/videos/1878109031" TargetMode="External"/><Relationship Id="rId304" Type="http://schemas.openxmlformats.org/officeDocument/2006/relationships/hyperlink" Target="https://www.twitch.tv/videos/1681909364" TargetMode="External"/><Relationship Id="rId303" Type="http://schemas.openxmlformats.org/officeDocument/2006/relationships/hyperlink" Target="https://www.twitch.tv/videos/1876944908" TargetMode="External"/><Relationship Id="rId302" Type="http://schemas.openxmlformats.org/officeDocument/2006/relationships/hyperlink" Target="https://www.twitch.tv/videos/1876001368" TargetMode="External"/><Relationship Id="rId309" Type="http://schemas.openxmlformats.org/officeDocument/2006/relationships/hyperlink" Target="https://www.twitch.tv/videos/1882131717" TargetMode="External"/><Relationship Id="rId308" Type="http://schemas.openxmlformats.org/officeDocument/2006/relationships/hyperlink" Target="https://www.twitch.tv/videos/1878987025" TargetMode="External"/><Relationship Id="rId307" Type="http://schemas.openxmlformats.org/officeDocument/2006/relationships/hyperlink" Target="https://www.twitch.tv/videos/1878847685" TargetMode="External"/><Relationship Id="rId306" Type="http://schemas.openxmlformats.org/officeDocument/2006/relationships/hyperlink" Target="https://www.twitch.tv/videos/1877788941" TargetMode="External"/><Relationship Id="rId301" Type="http://schemas.openxmlformats.org/officeDocument/2006/relationships/hyperlink" Target="https://clips.twitch.tv/LaconicZanyAppleShadyLulu-DRB-EgiMuy0d-30A" TargetMode="External"/><Relationship Id="rId300" Type="http://schemas.openxmlformats.org/officeDocument/2006/relationships/hyperlink" Target="https://www.twitch.tv/videos/1677466080" TargetMode="External"/><Relationship Id="rId327" Type="http://schemas.openxmlformats.org/officeDocument/2006/relationships/hyperlink" Target="https://www.youtube.com/watch?v=aG6qh19mgXE&amp;ab_channel=SMSArchives" TargetMode="External"/><Relationship Id="rId326" Type="http://schemas.openxmlformats.org/officeDocument/2006/relationships/hyperlink" Target="https://www.twitch.tv/videos/1600843917" TargetMode="External"/><Relationship Id="rId325" Type="http://schemas.openxmlformats.org/officeDocument/2006/relationships/hyperlink" Target="https://www.twitch.tv/videos/1625861441" TargetMode="External"/><Relationship Id="rId324" Type="http://schemas.openxmlformats.org/officeDocument/2006/relationships/hyperlink" Target="https://www.twitch.tv/videos/1884008447" TargetMode="External"/><Relationship Id="rId329" Type="http://schemas.openxmlformats.org/officeDocument/2006/relationships/hyperlink" Target="https://www.youtube.com/watch?v=EDWKP8ao93M&amp;ab_channel=SMSArchives" TargetMode="External"/><Relationship Id="rId328" Type="http://schemas.openxmlformats.org/officeDocument/2006/relationships/hyperlink" Target="https://www.youtube.com/watch?v=SydLV3JQgeg&amp;feature=youtu.be&amp;ab_channel=SMSArchives" TargetMode="External"/><Relationship Id="rId323" Type="http://schemas.openxmlformats.org/officeDocument/2006/relationships/hyperlink" Target="https://www.twitch.tv/videos/1601007582" TargetMode="External"/><Relationship Id="rId322" Type="http://schemas.openxmlformats.org/officeDocument/2006/relationships/hyperlink" Target="https://www.twitch.tv/videos/1883989981" TargetMode="External"/><Relationship Id="rId321" Type="http://schemas.openxmlformats.org/officeDocument/2006/relationships/hyperlink" Target="https://www.twitch.tv/videos/1883982623" TargetMode="External"/><Relationship Id="rId320" Type="http://schemas.openxmlformats.org/officeDocument/2006/relationships/hyperlink" Target="https://www.twitch.tv/videos/1883981726" TargetMode="External"/><Relationship Id="rId316" Type="http://schemas.openxmlformats.org/officeDocument/2006/relationships/hyperlink" Target="https://www.twitch.tv/videos/1861368348" TargetMode="External"/><Relationship Id="rId315" Type="http://schemas.openxmlformats.org/officeDocument/2006/relationships/hyperlink" Target="https://www.twitch.tv/videos/1883346340" TargetMode="External"/><Relationship Id="rId314" Type="http://schemas.openxmlformats.org/officeDocument/2006/relationships/hyperlink" Target="https://www.twitch.tv/videos/1665906903" TargetMode="External"/><Relationship Id="rId313" Type="http://schemas.openxmlformats.org/officeDocument/2006/relationships/hyperlink" Target="https://www.twitch.tv/videos/1881352023" TargetMode="External"/><Relationship Id="rId319" Type="http://schemas.openxmlformats.org/officeDocument/2006/relationships/hyperlink" Target="https://www.twitch.tv/videos/1883963586" TargetMode="External"/><Relationship Id="rId318" Type="http://schemas.openxmlformats.org/officeDocument/2006/relationships/hyperlink" Target="https://www.twitch.tv/videos/1883032558" TargetMode="External"/><Relationship Id="rId317" Type="http://schemas.openxmlformats.org/officeDocument/2006/relationships/hyperlink" Target="https://www.twitch.tv/videos/1591712031" TargetMode="External"/><Relationship Id="rId312" Type="http://schemas.openxmlformats.org/officeDocument/2006/relationships/hyperlink" Target="https://www.twitch.tv/videos/1881392867" TargetMode="External"/><Relationship Id="rId311" Type="http://schemas.openxmlformats.org/officeDocument/2006/relationships/hyperlink" Target="https://www.twitch.tv/videos/1659331260" TargetMode="External"/><Relationship Id="rId310" Type="http://schemas.openxmlformats.org/officeDocument/2006/relationships/hyperlink" Target="https://clips.twitch.tv/TransparentBoxySharkANELE-IlBWtvoaERTXchxC" TargetMode="External"/><Relationship Id="rId297" Type="http://schemas.openxmlformats.org/officeDocument/2006/relationships/hyperlink" Target="https://www.twitch.tv/videos/1875184638" TargetMode="External"/><Relationship Id="rId296" Type="http://schemas.openxmlformats.org/officeDocument/2006/relationships/hyperlink" Target="https://www.twitch.tv/videos/1874537137" TargetMode="External"/><Relationship Id="rId295" Type="http://schemas.openxmlformats.org/officeDocument/2006/relationships/hyperlink" Target="https://www.twitch.tv/videos/1681889824" TargetMode="External"/><Relationship Id="rId294" Type="http://schemas.openxmlformats.org/officeDocument/2006/relationships/hyperlink" Target="https://www.twitch.tv/videos/1874409573" TargetMode="External"/><Relationship Id="rId299" Type="http://schemas.openxmlformats.org/officeDocument/2006/relationships/hyperlink" Target="https://www.twitch.tv/videos/1677465042" TargetMode="External"/><Relationship Id="rId298" Type="http://schemas.openxmlformats.org/officeDocument/2006/relationships/hyperlink" Target="https://www.twitch.tv/videos/1677463645" TargetMode="External"/><Relationship Id="rId271" Type="http://schemas.openxmlformats.org/officeDocument/2006/relationships/hyperlink" Target="https://clips.twitch.tv/PlausibleShortSamosaBuddhaBar-JaAK09PT1J98Icnn" TargetMode="External"/><Relationship Id="rId270" Type="http://schemas.openxmlformats.org/officeDocument/2006/relationships/hyperlink" Target="https://youtu.be/jK-xf1exv8w" TargetMode="External"/><Relationship Id="rId269" Type="http://schemas.openxmlformats.org/officeDocument/2006/relationships/hyperlink" Target="https://youtu.be/tCtPr6TtuR0" TargetMode="External"/><Relationship Id="rId264" Type="http://schemas.openxmlformats.org/officeDocument/2006/relationships/hyperlink" Target="https://youtu.be/zxzEPogxmw8" TargetMode="External"/><Relationship Id="rId263" Type="http://schemas.openxmlformats.org/officeDocument/2006/relationships/hyperlink" Target="https://youtu.be/ZvE3Wtn2NDQ" TargetMode="External"/><Relationship Id="rId262" Type="http://schemas.openxmlformats.org/officeDocument/2006/relationships/hyperlink" Target="https://youtu.be/noWc40GGntQ" TargetMode="External"/><Relationship Id="rId261" Type="http://schemas.openxmlformats.org/officeDocument/2006/relationships/hyperlink" Target="https://youtu.be/KFLZ5tqS9ao" TargetMode="External"/><Relationship Id="rId268" Type="http://schemas.openxmlformats.org/officeDocument/2006/relationships/hyperlink" Target="https://youtu.be/qGIiFN8GfXI" TargetMode="External"/><Relationship Id="rId267" Type="http://schemas.openxmlformats.org/officeDocument/2006/relationships/hyperlink" Target="https://youtu.be/PavZIDsUMdc?si=HC8jZeyZMjfGeDHV" TargetMode="External"/><Relationship Id="rId266" Type="http://schemas.openxmlformats.org/officeDocument/2006/relationships/hyperlink" Target="https://youtu.be/8dqPjEdxoEs" TargetMode="External"/><Relationship Id="rId265" Type="http://schemas.openxmlformats.org/officeDocument/2006/relationships/hyperlink" Target="https://youtu.be/fGHpKPfu2GM" TargetMode="External"/><Relationship Id="rId260" Type="http://schemas.openxmlformats.org/officeDocument/2006/relationships/hyperlink" Target="https://youtu.be/KnJ9vS5jZIs" TargetMode="External"/><Relationship Id="rId259" Type="http://schemas.openxmlformats.org/officeDocument/2006/relationships/hyperlink" Target="https://youtu.be/qi9aH1pwivI" TargetMode="External"/><Relationship Id="rId258" Type="http://schemas.openxmlformats.org/officeDocument/2006/relationships/hyperlink" Target="https://youtu.be/Um6O-Vz4LmM" TargetMode="External"/><Relationship Id="rId253" Type="http://schemas.openxmlformats.org/officeDocument/2006/relationships/hyperlink" Target="https://youtu.be/TdyvRZ0hJdY" TargetMode="External"/><Relationship Id="rId252" Type="http://schemas.openxmlformats.org/officeDocument/2006/relationships/hyperlink" Target="https://youtu.be/92LeTxCH0d4" TargetMode="External"/><Relationship Id="rId251" Type="http://schemas.openxmlformats.org/officeDocument/2006/relationships/hyperlink" Target="https://youtu.be/Ui0BsjCrbqY" TargetMode="External"/><Relationship Id="rId250" Type="http://schemas.openxmlformats.org/officeDocument/2006/relationships/hyperlink" Target="https://youtu.be/aeGDPvRm_jA" TargetMode="External"/><Relationship Id="rId257" Type="http://schemas.openxmlformats.org/officeDocument/2006/relationships/hyperlink" Target="https://youtu.be/okOCCzl0IXQ" TargetMode="External"/><Relationship Id="rId256" Type="http://schemas.openxmlformats.org/officeDocument/2006/relationships/hyperlink" Target="https://youtu.be/fmSex2HNHlc" TargetMode="External"/><Relationship Id="rId255" Type="http://schemas.openxmlformats.org/officeDocument/2006/relationships/hyperlink" Target="https://youtu.be/UXGyTZYg7Qk" TargetMode="External"/><Relationship Id="rId254" Type="http://schemas.openxmlformats.org/officeDocument/2006/relationships/hyperlink" Target="https://youtu.be/he5_vMLfoxI" TargetMode="External"/><Relationship Id="rId293" Type="http://schemas.openxmlformats.org/officeDocument/2006/relationships/hyperlink" Target="https://www.twitch.tv/videos/1871154892" TargetMode="External"/><Relationship Id="rId292" Type="http://schemas.openxmlformats.org/officeDocument/2006/relationships/hyperlink" Target="https://www.twitch.tv/videos/1870996711" TargetMode="External"/><Relationship Id="rId291" Type="http://schemas.openxmlformats.org/officeDocument/2006/relationships/hyperlink" Target="https://www.twitch.tv/videos/1870965339" TargetMode="External"/><Relationship Id="rId290" Type="http://schemas.openxmlformats.org/officeDocument/2006/relationships/hyperlink" Target="https://www.twitch.tv/videos/1591715417" TargetMode="External"/><Relationship Id="rId286" Type="http://schemas.openxmlformats.org/officeDocument/2006/relationships/hyperlink" Target="https://www.twitch.tv/videos/1870056444" TargetMode="External"/><Relationship Id="rId285" Type="http://schemas.openxmlformats.org/officeDocument/2006/relationships/hyperlink" Target="https://www.twitch.tv/videos/1869407266" TargetMode="External"/><Relationship Id="rId284" Type="http://schemas.openxmlformats.org/officeDocument/2006/relationships/hyperlink" Target="https://www.twitch.tv/videos/1869321548" TargetMode="External"/><Relationship Id="rId283" Type="http://schemas.openxmlformats.org/officeDocument/2006/relationships/hyperlink" Target="https://clips.twitch.tv/InventiveBrightDadShadyLulu-AZXssRDEl6jfZH34" TargetMode="External"/><Relationship Id="rId289" Type="http://schemas.openxmlformats.org/officeDocument/2006/relationships/hyperlink" Target="https://www.twitch.tv/videos/1871153526" TargetMode="External"/><Relationship Id="rId288" Type="http://schemas.openxmlformats.org/officeDocument/2006/relationships/hyperlink" Target="https://www.twitch.tv/videos/1870299308" TargetMode="External"/><Relationship Id="rId287" Type="http://schemas.openxmlformats.org/officeDocument/2006/relationships/hyperlink" Target="https://www.twitch.tv/videos/1871065837" TargetMode="External"/><Relationship Id="rId282" Type="http://schemas.openxmlformats.org/officeDocument/2006/relationships/hyperlink" Target="https://youtu.be/VQq7zSjPwLk" TargetMode="External"/><Relationship Id="rId281" Type="http://schemas.openxmlformats.org/officeDocument/2006/relationships/hyperlink" Target="https://www.twitch.tv/videos/1869322979" TargetMode="External"/><Relationship Id="rId280" Type="http://schemas.openxmlformats.org/officeDocument/2006/relationships/hyperlink" Target="https://www.twitch.tv/videos/1867782855" TargetMode="External"/><Relationship Id="rId275" Type="http://schemas.openxmlformats.org/officeDocument/2006/relationships/hyperlink" Target="https://youtu.be/AycEZe1u2ds" TargetMode="External"/><Relationship Id="rId274" Type="http://schemas.openxmlformats.org/officeDocument/2006/relationships/hyperlink" Target="https://youtu.be/U_M_Nn3NLOA" TargetMode="External"/><Relationship Id="rId273" Type="http://schemas.openxmlformats.org/officeDocument/2006/relationships/hyperlink" Target="https://youtu.be/6LzR7uR9zOM" TargetMode="External"/><Relationship Id="rId272" Type="http://schemas.openxmlformats.org/officeDocument/2006/relationships/hyperlink" Target="https://youtu.be/0of59Lz-NV4" TargetMode="External"/><Relationship Id="rId279" Type="http://schemas.openxmlformats.org/officeDocument/2006/relationships/hyperlink" Target="https://www.twitch.tv/videos/1862324880" TargetMode="External"/><Relationship Id="rId278" Type="http://schemas.openxmlformats.org/officeDocument/2006/relationships/hyperlink" Target="https://www.twitch.tv/videos/1863240617" TargetMode="External"/><Relationship Id="rId277" Type="http://schemas.openxmlformats.org/officeDocument/2006/relationships/hyperlink" Target="https://www.twitch.tv/videos/1863312705" TargetMode="External"/><Relationship Id="rId276" Type="http://schemas.openxmlformats.org/officeDocument/2006/relationships/hyperlink" Target="https://www.twitch.tv/videos/1863277546" TargetMode="External"/><Relationship Id="rId228" Type="http://schemas.openxmlformats.org/officeDocument/2006/relationships/hyperlink" Target="https://clips.twitch.tv/AntediluvianDarkPanYouWHY" TargetMode="External"/><Relationship Id="rId227" Type="http://schemas.openxmlformats.org/officeDocument/2006/relationships/hyperlink" Target="https://www.twitch.tv/videos/1079901284" TargetMode="External"/><Relationship Id="rId226" Type="http://schemas.openxmlformats.org/officeDocument/2006/relationships/hyperlink" Target="https://www.twitch.tv/videos/1072721178" TargetMode="External"/><Relationship Id="rId225" Type="http://schemas.openxmlformats.org/officeDocument/2006/relationships/hyperlink" Target="https://www.twitch.tv/videos/1523735488" TargetMode="External"/><Relationship Id="rId229" Type="http://schemas.openxmlformats.org/officeDocument/2006/relationships/hyperlink" Target="https://www.twitch.tv/videos/646482221" TargetMode="External"/><Relationship Id="rId220" Type="http://schemas.openxmlformats.org/officeDocument/2006/relationships/hyperlink" Target="https://www.twitch.tv/videos/1525136172" TargetMode="External"/><Relationship Id="rId224" Type="http://schemas.openxmlformats.org/officeDocument/2006/relationships/hyperlink" Target="https://clips.twitch.tv/ComfortableTenuousSamosaGivePLZ-5WW04dZatYVd3F4d" TargetMode="External"/><Relationship Id="rId223" Type="http://schemas.openxmlformats.org/officeDocument/2006/relationships/hyperlink" Target="https://clips.twitch.tv/TiredFrigidHabaneroDAESuppy-dAuicOgs_ogDeDEN" TargetMode="External"/><Relationship Id="rId222" Type="http://schemas.openxmlformats.org/officeDocument/2006/relationships/hyperlink" Target="https://www.twitch.tv/videos/1737996620" TargetMode="External"/><Relationship Id="rId221" Type="http://schemas.openxmlformats.org/officeDocument/2006/relationships/hyperlink" Target="https://www.twitch.tv/videos/1080025299" TargetMode="External"/><Relationship Id="rId217" Type="http://schemas.openxmlformats.org/officeDocument/2006/relationships/hyperlink" Target="https://www.twitch.tv/videos/1081646952" TargetMode="External"/><Relationship Id="rId216" Type="http://schemas.openxmlformats.org/officeDocument/2006/relationships/hyperlink" Target="https://clips.twitch.tv/ShakingTenaciousBarracudaThisIsSparta-OQTgoSc6R99uoAAB" TargetMode="External"/><Relationship Id="rId215" Type="http://schemas.openxmlformats.org/officeDocument/2006/relationships/hyperlink" Target="https://www.twitch.tv/videos/646482218" TargetMode="External"/><Relationship Id="rId214" Type="http://schemas.openxmlformats.org/officeDocument/2006/relationships/hyperlink" Target="https://www.twitch.tv/videos/1870106438" TargetMode="External"/><Relationship Id="rId219" Type="http://schemas.openxmlformats.org/officeDocument/2006/relationships/hyperlink" Target="https://clips.twitch.tv/LaconicGenerousPandaOhMyDog-hnc49JCARBvw128s" TargetMode="External"/><Relationship Id="rId218" Type="http://schemas.openxmlformats.org/officeDocument/2006/relationships/hyperlink" Target="https://www.twitch.tv/videos/646482216" TargetMode="External"/><Relationship Id="rId213" Type="http://schemas.openxmlformats.org/officeDocument/2006/relationships/hyperlink" Target="https://www.twitch.tv/videos/1081676179" TargetMode="External"/><Relationship Id="rId212" Type="http://schemas.openxmlformats.org/officeDocument/2006/relationships/hyperlink" Target="https://www.twitch.tv/videos/1081728922" TargetMode="External"/><Relationship Id="rId211" Type="http://schemas.openxmlformats.org/officeDocument/2006/relationships/hyperlink" Target="https://www.twitch.tv/videos/646482215" TargetMode="External"/><Relationship Id="rId210" Type="http://schemas.openxmlformats.org/officeDocument/2006/relationships/hyperlink" Target="https://clips.twitch.tv/RacyWimpyStorkCopyThis-9nRYkd7b5X1KGLBu" TargetMode="External"/><Relationship Id="rId249" Type="http://schemas.openxmlformats.org/officeDocument/2006/relationships/hyperlink" Target="https://youtu.be/6zi3zqMW6SU" TargetMode="External"/><Relationship Id="rId248" Type="http://schemas.openxmlformats.org/officeDocument/2006/relationships/hyperlink" Target="https://youtu.be/xfDJkZBy2uI" TargetMode="External"/><Relationship Id="rId247" Type="http://schemas.openxmlformats.org/officeDocument/2006/relationships/hyperlink" Target="https://youtu.be/CqTsMAlVwzU" TargetMode="External"/><Relationship Id="rId242" Type="http://schemas.openxmlformats.org/officeDocument/2006/relationships/hyperlink" Target="https://youtu.be/S0Ttn97TAuI" TargetMode="External"/><Relationship Id="rId241" Type="http://schemas.openxmlformats.org/officeDocument/2006/relationships/hyperlink" Target="https://youtu.be/DAmtlhgAdSA" TargetMode="External"/><Relationship Id="rId240" Type="http://schemas.openxmlformats.org/officeDocument/2006/relationships/hyperlink" Target="https://youtu.be/EHxLL_FK0FA" TargetMode="External"/><Relationship Id="rId246" Type="http://schemas.openxmlformats.org/officeDocument/2006/relationships/hyperlink" Target="https://youtu.be/OECjxcG1m68" TargetMode="External"/><Relationship Id="rId245" Type="http://schemas.openxmlformats.org/officeDocument/2006/relationships/hyperlink" Target="https://youtu.be/MoMPU0yI5I8" TargetMode="External"/><Relationship Id="rId244" Type="http://schemas.openxmlformats.org/officeDocument/2006/relationships/hyperlink" Target="https://youtu.be/R76gpui2bvw" TargetMode="External"/><Relationship Id="rId243" Type="http://schemas.openxmlformats.org/officeDocument/2006/relationships/hyperlink" Target="https://youtu.be/-eDawrCN4s4" TargetMode="External"/><Relationship Id="rId239" Type="http://schemas.openxmlformats.org/officeDocument/2006/relationships/hyperlink" Target="https://youtu.be/sQkquDMrnzI" TargetMode="External"/><Relationship Id="rId238" Type="http://schemas.openxmlformats.org/officeDocument/2006/relationships/hyperlink" Target="https://youtu.be/0KnpntO-c5E" TargetMode="External"/><Relationship Id="rId237" Type="http://schemas.openxmlformats.org/officeDocument/2006/relationships/hyperlink" Target="https://youtu.be/_7FR18-jRbI" TargetMode="External"/><Relationship Id="rId236" Type="http://schemas.openxmlformats.org/officeDocument/2006/relationships/hyperlink" Target="https://youtu.be/7u431YOt_XM" TargetMode="External"/><Relationship Id="rId231" Type="http://schemas.openxmlformats.org/officeDocument/2006/relationships/hyperlink" Target="https://clips.twitch.tv/PatientFragileMacaroniFreakinStinkin" TargetMode="External"/><Relationship Id="rId230" Type="http://schemas.openxmlformats.org/officeDocument/2006/relationships/hyperlink" Target="https://www.twitch.tv/videos/1072691962" TargetMode="External"/><Relationship Id="rId235" Type="http://schemas.openxmlformats.org/officeDocument/2006/relationships/hyperlink" Target="https://youtu.be/2jkMX6nkBd0" TargetMode="External"/><Relationship Id="rId234" Type="http://schemas.openxmlformats.org/officeDocument/2006/relationships/hyperlink" Target="https://youtu.be/Pp6Rkq9wk-g" TargetMode="External"/><Relationship Id="rId233" Type="http://schemas.openxmlformats.org/officeDocument/2006/relationships/hyperlink" Target="https://youtu.be/XlQK9e_Q7PU" TargetMode="External"/><Relationship Id="rId232" Type="http://schemas.openxmlformats.org/officeDocument/2006/relationships/hyperlink" Target="https://youtu.be/hd2UkgmHfhg" TargetMode="External"/><Relationship Id="rId206" Type="http://schemas.openxmlformats.org/officeDocument/2006/relationships/hyperlink" Target="https://www.twitch.tv/videos/1999431972" TargetMode="External"/><Relationship Id="rId205" Type="http://schemas.openxmlformats.org/officeDocument/2006/relationships/hyperlink" Target="https://www.twitch.tv/videos/1747038905" TargetMode="External"/><Relationship Id="rId204" Type="http://schemas.openxmlformats.org/officeDocument/2006/relationships/hyperlink" Target="https://www.twitch.tv/videos/1534320339" TargetMode="External"/><Relationship Id="rId203" Type="http://schemas.openxmlformats.org/officeDocument/2006/relationships/hyperlink" Target="https://www.twitch.tv/videos/1557021826" TargetMode="External"/><Relationship Id="rId209" Type="http://schemas.openxmlformats.org/officeDocument/2006/relationships/hyperlink" Target="https://www.twitch.tv/videos/1534320341" TargetMode="External"/><Relationship Id="rId208" Type="http://schemas.openxmlformats.org/officeDocument/2006/relationships/hyperlink" Target="https://youtu.be/8km7MIJ60Tg" TargetMode="External"/><Relationship Id="rId207" Type="http://schemas.openxmlformats.org/officeDocument/2006/relationships/hyperlink" Target="https://clips.twitch.tv/EvilHedonisticWitchOneHand-gqJI9TKI-qoqWf-s" TargetMode="External"/><Relationship Id="rId202" Type="http://schemas.openxmlformats.org/officeDocument/2006/relationships/hyperlink" Target="https://clips.twitch.tv/HomelyTemperedHerringPoooound-DYQHCB8m9_vL8rMo" TargetMode="External"/><Relationship Id="rId201" Type="http://schemas.openxmlformats.org/officeDocument/2006/relationships/hyperlink" Target="https://www.twitch.tv/videos/646506121" TargetMode="External"/><Relationship Id="rId200" Type="http://schemas.openxmlformats.org/officeDocument/2006/relationships/hyperlink" Target="https://www.twitch.tv/videos/1534320340" TargetMode="External"/><Relationship Id="rId509" Type="http://schemas.openxmlformats.org/officeDocument/2006/relationships/vmlDrawing" Target="../drawings/vmlDrawing3.vml"/><Relationship Id="rId508" Type="http://schemas.openxmlformats.org/officeDocument/2006/relationships/drawing" Target="../drawings/drawing4.xml"/><Relationship Id="rId503" Type="http://schemas.openxmlformats.org/officeDocument/2006/relationships/hyperlink" Target="https://www.twitch.tv/videos/1490084959" TargetMode="External"/><Relationship Id="rId502" Type="http://schemas.openxmlformats.org/officeDocument/2006/relationships/hyperlink" Target="https://www.youtube.com/watch?v=cGEEp-McMu4" TargetMode="External"/><Relationship Id="rId501" Type="http://schemas.openxmlformats.org/officeDocument/2006/relationships/hyperlink" Target="https://www.youtube.com/watch?v=qDh7JdUxZAc" TargetMode="External"/><Relationship Id="rId500" Type="http://schemas.openxmlformats.org/officeDocument/2006/relationships/hyperlink" Target="https://www.youtube.com/watch?v=L3tW60x852c" TargetMode="External"/><Relationship Id="rId507" Type="http://schemas.openxmlformats.org/officeDocument/2006/relationships/hyperlink" Target="https://youtu.be/Lk6RSOSNXnU" TargetMode="External"/><Relationship Id="rId506" Type="http://schemas.openxmlformats.org/officeDocument/2006/relationships/hyperlink" Target="https://youtu.be/OBc4-Sw5tBE" TargetMode="External"/><Relationship Id="rId505" Type="http://schemas.openxmlformats.org/officeDocument/2006/relationships/hyperlink" Target="https://youtu.be/aXxNNhtEggI" TargetMode="External"/><Relationship Id="rId504" Type="http://schemas.openxmlformats.org/officeDocument/2006/relationships/hyperlink" Target="https://youtu.be/-R-qzARMwdk?si=hfb5Yxg9BuJcm-7O" TargetMode="External"/><Relationship Id="rId525" Type="http://schemas.openxmlformats.org/officeDocument/2006/relationships/table" Target="../tables/table20.xml"/><Relationship Id="rId524" Type="http://schemas.openxmlformats.org/officeDocument/2006/relationships/table" Target="../tables/table19.xml"/><Relationship Id="rId523" Type="http://schemas.openxmlformats.org/officeDocument/2006/relationships/table" Target="../tables/table18.xml"/><Relationship Id="rId522" Type="http://schemas.openxmlformats.org/officeDocument/2006/relationships/table" Target="../tables/table17.xml"/><Relationship Id="rId527" Type="http://schemas.openxmlformats.org/officeDocument/2006/relationships/table" Target="../tables/table22.xml"/><Relationship Id="rId526" Type="http://schemas.openxmlformats.org/officeDocument/2006/relationships/table" Target="../tables/table21.xml"/><Relationship Id="rId521" Type="http://schemas.openxmlformats.org/officeDocument/2006/relationships/table" Target="../tables/table16.xml"/><Relationship Id="rId520" Type="http://schemas.openxmlformats.org/officeDocument/2006/relationships/table" Target="../tables/table15.xml"/><Relationship Id="rId519" Type="http://schemas.openxmlformats.org/officeDocument/2006/relationships/table" Target="../tables/table14.xml"/><Relationship Id="rId495" Type="http://schemas.openxmlformats.org/officeDocument/2006/relationships/hyperlink" Target="https://www.twitch.tv/videos/1104516174" TargetMode="External"/><Relationship Id="rId494" Type="http://schemas.openxmlformats.org/officeDocument/2006/relationships/hyperlink" Target="https://www.youtube.com/watch?v=pnZueKgkcEw" TargetMode="External"/><Relationship Id="rId493" Type="http://schemas.openxmlformats.org/officeDocument/2006/relationships/hyperlink" Target="https://www.youtube.com/watch?v=poAHtxaE0-U" TargetMode="External"/><Relationship Id="rId492" Type="http://schemas.openxmlformats.org/officeDocument/2006/relationships/hyperlink" Target="https://youtu.be/WP5LcO1a4qc" TargetMode="External"/><Relationship Id="rId499" Type="http://schemas.openxmlformats.org/officeDocument/2006/relationships/hyperlink" Target="https://www.youtube.com/watch?v=8jyW1y-XKwk" TargetMode="External"/><Relationship Id="rId498" Type="http://schemas.openxmlformats.org/officeDocument/2006/relationships/hyperlink" Target="https://youtu.be/PzEEpxYFDUM" TargetMode="External"/><Relationship Id="rId497" Type="http://schemas.openxmlformats.org/officeDocument/2006/relationships/hyperlink" Target="https://youtu.be/6IGl0mAv8wQ" TargetMode="External"/><Relationship Id="rId496" Type="http://schemas.openxmlformats.org/officeDocument/2006/relationships/hyperlink" Target="https://youtu.be/MNRyewVs4L0" TargetMode="External"/><Relationship Id="rId409" Type="http://schemas.openxmlformats.org/officeDocument/2006/relationships/hyperlink" Target="https://www.youtube.com/watch?v=VI_rokmNcf4" TargetMode="External"/><Relationship Id="rId404" Type="http://schemas.openxmlformats.org/officeDocument/2006/relationships/hyperlink" Target="https://youtu.be/mnKuR1y1kKE" TargetMode="External"/><Relationship Id="rId403" Type="http://schemas.openxmlformats.org/officeDocument/2006/relationships/hyperlink" Target="https://youtu.be/sJBlSQc1lfs" TargetMode="External"/><Relationship Id="rId402" Type="http://schemas.openxmlformats.org/officeDocument/2006/relationships/hyperlink" Target="https://youtu.be/EXHiGmPqTzM" TargetMode="External"/><Relationship Id="rId401" Type="http://schemas.openxmlformats.org/officeDocument/2006/relationships/hyperlink" Target="https://youtu.be/Q12CKPUZJJM" TargetMode="External"/><Relationship Id="rId408" Type="http://schemas.openxmlformats.org/officeDocument/2006/relationships/hyperlink" Target="https://youtu.be/RExDzneoaL8" TargetMode="External"/><Relationship Id="rId407" Type="http://schemas.openxmlformats.org/officeDocument/2006/relationships/hyperlink" Target="https://youtu.be/I4FclzH8BFk" TargetMode="External"/><Relationship Id="rId406" Type="http://schemas.openxmlformats.org/officeDocument/2006/relationships/hyperlink" Target="https://www.youtube.com/watch?v=fSltGMZTKEo" TargetMode="External"/><Relationship Id="rId405" Type="http://schemas.openxmlformats.org/officeDocument/2006/relationships/hyperlink" Target="https://www.youtube.com/watch?v=En8K75IO6X4" TargetMode="External"/><Relationship Id="rId400" Type="http://schemas.openxmlformats.org/officeDocument/2006/relationships/hyperlink" Target="https://youtu.be/t-JiV8Y60OI" TargetMode="External"/><Relationship Id="rId469" Type="http://schemas.openxmlformats.org/officeDocument/2006/relationships/hyperlink" Target="https://www.youtube.com/watch?v=2vfy2JQf-yE" TargetMode="External"/><Relationship Id="rId468" Type="http://schemas.openxmlformats.org/officeDocument/2006/relationships/hyperlink" Target="https://www.youtube.com/watch?v=ZIZrWFoOwM8" TargetMode="External"/><Relationship Id="rId467" Type="http://schemas.openxmlformats.org/officeDocument/2006/relationships/hyperlink" Target="https://www.youtube.com/watch?v=sGsjZh_wUWE" TargetMode="External"/><Relationship Id="rId462" Type="http://schemas.openxmlformats.org/officeDocument/2006/relationships/hyperlink" Target="https://youtu.be/HtPMXq04Vbw" TargetMode="External"/><Relationship Id="rId461" Type="http://schemas.openxmlformats.org/officeDocument/2006/relationships/hyperlink" Target="https://www.youtube.com/watch?v=jjRGwZiNTVE" TargetMode="External"/><Relationship Id="rId460" Type="http://schemas.openxmlformats.org/officeDocument/2006/relationships/hyperlink" Target="https://www.youtube.com/watch?v=qqas5vdQvvQ" TargetMode="External"/><Relationship Id="rId466" Type="http://schemas.openxmlformats.org/officeDocument/2006/relationships/hyperlink" Target="https://youtu.be/0SebDy9Xm3Y" TargetMode="External"/><Relationship Id="rId465" Type="http://schemas.openxmlformats.org/officeDocument/2006/relationships/hyperlink" Target="https://clips.twitch.tv/EnjoyableUnusualTaroYee-V-4uF0FOsl6_5gMy" TargetMode="External"/><Relationship Id="rId464" Type="http://schemas.openxmlformats.org/officeDocument/2006/relationships/hyperlink" Target="https://youtu.be/mGyuqX6J_jg" TargetMode="External"/><Relationship Id="rId463" Type="http://schemas.openxmlformats.org/officeDocument/2006/relationships/hyperlink" Target="https://youtu.be/TMbITKemGYY" TargetMode="External"/><Relationship Id="rId459" Type="http://schemas.openxmlformats.org/officeDocument/2006/relationships/hyperlink" Target="https://www.youtube.com/watch?v=ZXBHLYydDIY" TargetMode="External"/><Relationship Id="rId458" Type="http://schemas.openxmlformats.org/officeDocument/2006/relationships/hyperlink" Target="https://www.youtube.com/watch?v=pR9YZpBM1LY" TargetMode="External"/><Relationship Id="rId457" Type="http://schemas.openxmlformats.org/officeDocument/2006/relationships/hyperlink" Target="https://www.youtube.com/watch?v=5waaqsFWljU" TargetMode="External"/><Relationship Id="rId456" Type="http://schemas.openxmlformats.org/officeDocument/2006/relationships/hyperlink" Target="https://youtu.be/zYgQIWh_Qfo" TargetMode="External"/><Relationship Id="rId451" Type="http://schemas.openxmlformats.org/officeDocument/2006/relationships/hyperlink" Target="https://www.twitch.tv/videos/2027420493" TargetMode="External"/><Relationship Id="rId450" Type="http://schemas.openxmlformats.org/officeDocument/2006/relationships/hyperlink" Target="https://www.youtube.com/watch?v=b9R5LIO4Bbo" TargetMode="External"/><Relationship Id="rId455" Type="http://schemas.openxmlformats.org/officeDocument/2006/relationships/hyperlink" Target="https://youtu.be/XBfAw2Rk7IQ" TargetMode="External"/><Relationship Id="rId454" Type="http://schemas.openxmlformats.org/officeDocument/2006/relationships/hyperlink" Target="https://www.twitch.tv/videos/2027555883" TargetMode="External"/><Relationship Id="rId453" Type="http://schemas.openxmlformats.org/officeDocument/2006/relationships/hyperlink" Target="https://www.twitch.tv/videos/2038085324" TargetMode="External"/><Relationship Id="rId452" Type="http://schemas.openxmlformats.org/officeDocument/2006/relationships/hyperlink" Target="https://www.twitch.tv/videos/2026549344" TargetMode="External"/><Relationship Id="rId491" Type="http://schemas.openxmlformats.org/officeDocument/2006/relationships/hyperlink" Target="https://www.youtube.com/watch?v=fOg9hUvWRlY" TargetMode="External"/><Relationship Id="rId490" Type="http://schemas.openxmlformats.org/officeDocument/2006/relationships/hyperlink" Target="https://youtu.be/rBGZlSA9Yes" TargetMode="External"/><Relationship Id="rId489" Type="http://schemas.openxmlformats.org/officeDocument/2006/relationships/hyperlink" Target="https://youtu.be/6Hhqz2URoHE" TargetMode="External"/><Relationship Id="rId484" Type="http://schemas.openxmlformats.org/officeDocument/2006/relationships/hyperlink" Target="https://youtu.be/d7zJQgm11Dg" TargetMode="External"/><Relationship Id="rId483" Type="http://schemas.openxmlformats.org/officeDocument/2006/relationships/hyperlink" Target="https://youtu.be/Y_3dz-1nwbk" TargetMode="External"/><Relationship Id="rId482" Type="http://schemas.openxmlformats.org/officeDocument/2006/relationships/hyperlink" Target="https://youtu.be/wKhrSjHjoQs" TargetMode="External"/><Relationship Id="rId481" Type="http://schemas.openxmlformats.org/officeDocument/2006/relationships/hyperlink" Target="https://youtu.be/mv6_XoJTZ70" TargetMode="External"/><Relationship Id="rId488" Type="http://schemas.openxmlformats.org/officeDocument/2006/relationships/hyperlink" Target="https://youtu.be/OFShDPm_gHU" TargetMode="External"/><Relationship Id="rId487" Type="http://schemas.openxmlformats.org/officeDocument/2006/relationships/hyperlink" Target="https://youtu.be/JH_aHyk7xmc" TargetMode="External"/><Relationship Id="rId486" Type="http://schemas.openxmlformats.org/officeDocument/2006/relationships/hyperlink" Target="https://youtu.be/TxY4M77jYv4" TargetMode="External"/><Relationship Id="rId485" Type="http://schemas.openxmlformats.org/officeDocument/2006/relationships/hyperlink" Target="https://youtu.be/3Ni75mhVtLA" TargetMode="External"/><Relationship Id="rId480" Type="http://schemas.openxmlformats.org/officeDocument/2006/relationships/hyperlink" Target="https://www.youtube.com/watch?v=GL-X42EXGow" TargetMode="External"/><Relationship Id="rId479" Type="http://schemas.openxmlformats.org/officeDocument/2006/relationships/hyperlink" Target="https://www.youtube.com/watch?v=fDpcqPs7B1w" TargetMode="External"/><Relationship Id="rId478" Type="http://schemas.openxmlformats.org/officeDocument/2006/relationships/hyperlink" Target="https://www.youtube.com/watch?v=_MsfaSj0obw" TargetMode="External"/><Relationship Id="rId473" Type="http://schemas.openxmlformats.org/officeDocument/2006/relationships/hyperlink" Target="https://www.youtube.com/watch?v=UTKvI4Dkhm4" TargetMode="External"/><Relationship Id="rId472" Type="http://schemas.openxmlformats.org/officeDocument/2006/relationships/hyperlink" Target="https://www.twitch.tv/darkman_/clip/EphemeralDirtySlothKappaPride-yazu4wG_mUZ2eW_b" TargetMode="External"/><Relationship Id="rId471" Type="http://schemas.openxmlformats.org/officeDocument/2006/relationships/hyperlink" Target="https://www.youtube.com/watch?v=nUtpmF-k3Vo" TargetMode="External"/><Relationship Id="rId470" Type="http://schemas.openxmlformats.org/officeDocument/2006/relationships/hyperlink" Target="https://www.youtube.com/watch?v=gBzddppQszI" TargetMode="External"/><Relationship Id="rId477" Type="http://schemas.openxmlformats.org/officeDocument/2006/relationships/hyperlink" Target="https://www.youtube.com/watch?v=hmc2h7fpRsw" TargetMode="External"/><Relationship Id="rId476" Type="http://schemas.openxmlformats.org/officeDocument/2006/relationships/hyperlink" Target="https://www.youtube.com/watch?v=4KG6kmn4XoE" TargetMode="External"/><Relationship Id="rId475" Type="http://schemas.openxmlformats.org/officeDocument/2006/relationships/hyperlink" Target="https://www.twitch.tv/videos/1072696365" TargetMode="External"/><Relationship Id="rId474" Type="http://schemas.openxmlformats.org/officeDocument/2006/relationships/hyperlink" Target="https://www.twitch.tv/videos/1073704294" TargetMode="External"/><Relationship Id="rId426" Type="http://schemas.openxmlformats.org/officeDocument/2006/relationships/hyperlink" Target="https://www.twitch.tv/videos/1773827910" TargetMode="External"/><Relationship Id="rId425" Type="http://schemas.openxmlformats.org/officeDocument/2006/relationships/hyperlink" Target="https://youtu.be/MAgNxiCdxo0" TargetMode="External"/><Relationship Id="rId424" Type="http://schemas.openxmlformats.org/officeDocument/2006/relationships/hyperlink" Target="https://youtu.be/e1HZP83u_gs" TargetMode="External"/><Relationship Id="rId423" Type="http://schemas.openxmlformats.org/officeDocument/2006/relationships/hyperlink" Target="https://youtu.be/ARtseB0sWSY" TargetMode="External"/><Relationship Id="rId429" Type="http://schemas.openxmlformats.org/officeDocument/2006/relationships/hyperlink" Target="https://www.twitch.tv/videos/1496772282" TargetMode="External"/><Relationship Id="rId428" Type="http://schemas.openxmlformats.org/officeDocument/2006/relationships/hyperlink" Target="https://www.twitch.tv/videos/1756689496" TargetMode="External"/><Relationship Id="rId427" Type="http://schemas.openxmlformats.org/officeDocument/2006/relationships/hyperlink" Target="https://www.youtube.com/watch?v=-o61U_Tz80I" TargetMode="External"/><Relationship Id="rId422" Type="http://schemas.openxmlformats.org/officeDocument/2006/relationships/hyperlink" Target="https://youtu.be/0fWdezD2WOQ" TargetMode="External"/><Relationship Id="rId421" Type="http://schemas.openxmlformats.org/officeDocument/2006/relationships/hyperlink" Target="https://youtu.be/klKZkuPGpZs" TargetMode="External"/><Relationship Id="rId420" Type="http://schemas.openxmlformats.org/officeDocument/2006/relationships/hyperlink" Target="https://youtu.be/DpVAYIVNZ-A" TargetMode="External"/><Relationship Id="rId415" Type="http://schemas.openxmlformats.org/officeDocument/2006/relationships/hyperlink" Target="https://youtu.be/KKhzz8jl2eo" TargetMode="External"/><Relationship Id="rId414" Type="http://schemas.openxmlformats.org/officeDocument/2006/relationships/hyperlink" Target="https://youtu.be/dA5ME2yiDaQ" TargetMode="External"/><Relationship Id="rId413" Type="http://schemas.openxmlformats.org/officeDocument/2006/relationships/hyperlink" Target="https://www.youtube.com/watch?v=Jf8EA_GPhvM" TargetMode="External"/><Relationship Id="rId412" Type="http://schemas.openxmlformats.org/officeDocument/2006/relationships/hyperlink" Target="https://youtu.be/HASLBJhf4Lw" TargetMode="External"/><Relationship Id="rId419" Type="http://schemas.openxmlformats.org/officeDocument/2006/relationships/hyperlink" Target="https://youtu.be/1WUqOV964Bc" TargetMode="External"/><Relationship Id="rId418" Type="http://schemas.openxmlformats.org/officeDocument/2006/relationships/hyperlink" Target="https://youtu.be/yPvt3CA817g" TargetMode="External"/><Relationship Id="rId417" Type="http://schemas.openxmlformats.org/officeDocument/2006/relationships/hyperlink" Target="https://youtu.be/4mjUgVa1H8A" TargetMode="External"/><Relationship Id="rId416" Type="http://schemas.openxmlformats.org/officeDocument/2006/relationships/hyperlink" Target="https://youtu.be/3_MCoy2VNN0" TargetMode="External"/><Relationship Id="rId411" Type="http://schemas.openxmlformats.org/officeDocument/2006/relationships/hyperlink" Target="https://youtu.be/JEsHL_PJSko" TargetMode="External"/><Relationship Id="rId410" Type="http://schemas.openxmlformats.org/officeDocument/2006/relationships/hyperlink" Target="https://youtu.be/RagUZ0FVafU" TargetMode="External"/><Relationship Id="rId448" Type="http://schemas.openxmlformats.org/officeDocument/2006/relationships/hyperlink" Target="https://youtu.be/IkMKPV09QTE?t=72" TargetMode="External"/><Relationship Id="rId447" Type="http://schemas.openxmlformats.org/officeDocument/2006/relationships/hyperlink" Target="https://youtu.be/pJzioiMoCq8?t=94" TargetMode="External"/><Relationship Id="rId446" Type="http://schemas.openxmlformats.org/officeDocument/2006/relationships/hyperlink" Target="https://www.youtube.com/watch?v=PrSIe5_o9Hw&amp;ab_channel=BlazeRol" TargetMode="External"/><Relationship Id="rId445" Type="http://schemas.openxmlformats.org/officeDocument/2006/relationships/hyperlink" Target="https://www.youtube.com/watch?v=hgCmXs3sxJA&amp;feature=youtu.be&amp;ab_channel=BlazeRolSpeedruns" TargetMode="External"/><Relationship Id="rId449" Type="http://schemas.openxmlformats.org/officeDocument/2006/relationships/hyperlink" Target="https://youtu.be/smdQJpzQy9U" TargetMode="External"/><Relationship Id="rId440" Type="http://schemas.openxmlformats.org/officeDocument/2006/relationships/hyperlink" Target="https://youtu.be/0KpSbfXjhG8" TargetMode="External"/><Relationship Id="rId444" Type="http://schemas.openxmlformats.org/officeDocument/2006/relationships/hyperlink" Target="https://youtu.be/O6DGzRyVpcQ" TargetMode="External"/><Relationship Id="rId443" Type="http://schemas.openxmlformats.org/officeDocument/2006/relationships/hyperlink" Target="https://youtu.be/JxoWH4BBvUY" TargetMode="External"/><Relationship Id="rId442" Type="http://schemas.openxmlformats.org/officeDocument/2006/relationships/hyperlink" Target="https://youtu.be/__9KhtMPdg8" TargetMode="External"/><Relationship Id="rId441" Type="http://schemas.openxmlformats.org/officeDocument/2006/relationships/hyperlink" Target="https://youtu.be/WVkE4pQva-c" TargetMode="External"/><Relationship Id="rId437" Type="http://schemas.openxmlformats.org/officeDocument/2006/relationships/hyperlink" Target="https://youtu.be/ed3cHtG2Iv4" TargetMode="External"/><Relationship Id="rId436" Type="http://schemas.openxmlformats.org/officeDocument/2006/relationships/hyperlink" Target="https://www.twitch.tv/videos/681110651" TargetMode="External"/><Relationship Id="rId435" Type="http://schemas.openxmlformats.org/officeDocument/2006/relationships/hyperlink" Target="https://www.youtube.com/watch?v=z_mf_5IanZU" TargetMode="External"/><Relationship Id="rId434" Type="http://schemas.openxmlformats.org/officeDocument/2006/relationships/hyperlink" Target="https://www.youtube.com/watch?v=x3L7wyP_r7g&amp;ab_channel=Corginess" TargetMode="External"/><Relationship Id="rId439" Type="http://schemas.openxmlformats.org/officeDocument/2006/relationships/hyperlink" Target="https://youtu.be/glQvGT5hhv4" TargetMode="External"/><Relationship Id="rId438" Type="http://schemas.openxmlformats.org/officeDocument/2006/relationships/hyperlink" Target="https://youtu.be/ZQIpEltG4b8" TargetMode="External"/><Relationship Id="rId433" Type="http://schemas.openxmlformats.org/officeDocument/2006/relationships/hyperlink" Target="https://www.youtube.com/watch?v=OyVW73URuGY&amp;ab_channel=Corginess" TargetMode="External"/><Relationship Id="rId432" Type="http://schemas.openxmlformats.org/officeDocument/2006/relationships/hyperlink" Target="https://www.twitch.tv/aircide/clip/ThirstyRepleteKoalaDerp-xLjBYAdHZVop8qs5" TargetMode="External"/><Relationship Id="rId431" Type="http://schemas.openxmlformats.org/officeDocument/2006/relationships/hyperlink" Target="https://www.youtube.com/watch?v=zyv51HqGwag&amp;ab_channel=Corginess" TargetMode="External"/><Relationship Id="rId430" Type="http://schemas.openxmlformats.org/officeDocument/2006/relationships/hyperlink" Target="https://www.youtube.com/watch?v=nZpw5LrXRWs" TargetMode="External"/><Relationship Id="rId1" Type="http://schemas.openxmlformats.org/officeDocument/2006/relationships/comments" Target="../comments3.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youtu.be/tzc-e-7xPgc" TargetMode="External"/><Relationship Id="rId9" Type="http://schemas.openxmlformats.org/officeDocument/2006/relationships/hyperlink" Target="https://youtu.be/WswJZZ_FUlM" TargetMode="External"/><Relationship Id="rId5" Type="http://schemas.openxmlformats.org/officeDocument/2006/relationships/hyperlink" Target="https://youtu.be/3N0Mn_iunec" TargetMode="External"/><Relationship Id="rId6" Type="http://schemas.openxmlformats.org/officeDocument/2006/relationships/hyperlink" Target="https://youtu.be/M1MZJ92Y4UI" TargetMode="External"/><Relationship Id="rId7" Type="http://schemas.openxmlformats.org/officeDocument/2006/relationships/hyperlink" Target="https://youtu.be/QuF0dxamlZs" TargetMode="External"/><Relationship Id="rId8" Type="http://schemas.openxmlformats.org/officeDocument/2006/relationships/hyperlink" Target="https://youtu.be/WSATcr3Zgh8" TargetMode="External"/><Relationship Id="rId190" Type="http://schemas.openxmlformats.org/officeDocument/2006/relationships/hyperlink" Target="https://www.twitch.tv/videos/1081757510" TargetMode="External"/><Relationship Id="rId194" Type="http://schemas.openxmlformats.org/officeDocument/2006/relationships/hyperlink" Target="https://www.twitch.tv/videos/783987256" TargetMode="External"/><Relationship Id="rId193" Type="http://schemas.openxmlformats.org/officeDocument/2006/relationships/hyperlink" Target="https://www.twitch.tv/videos/783848130" TargetMode="External"/><Relationship Id="rId192" Type="http://schemas.openxmlformats.org/officeDocument/2006/relationships/hyperlink" Target="https://www.twitch.tv/videos/1522511610" TargetMode="External"/><Relationship Id="rId191" Type="http://schemas.openxmlformats.org/officeDocument/2006/relationships/hyperlink" Target="https://www.twitch.tv/videos/1059458685" TargetMode="External"/><Relationship Id="rId187" Type="http://schemas.openxmlformats.org/officeDocument/2006/relationships/hyperlink" Target="https://www.twitch.tv/videos/1868635064" TargetMode="External"/><Relationship Id="rId186" Type="http://schemas.openxmlformats.org/officeDocument/2006/relationships/hyperlink" Target="https://www.twitch.tv/videos/1524315867" TargetMode="External"/><Relationship Id="rId185" Type="http://schemas.openxmlformats.org/officeDocument/2006/relationships/hyperlink" Target="https://clips.twitch.tv/TentativeElatedMetalWholeWheat-GynzshmyHCqUoFOU" TargetMode="External"/><Relationship Id="rId184" Type="http://schemas.openxmlformats.org/officeDocument/2006/relationships/hyperlink" Target="https://youtu.be/oFYMBwK0Huo" TargetMode="External"/><Relationship Id="rId189" Type="http://schemas.openxmlformats.org/officeDocument/2006/relationships/hyperlink" Target="https://clips.twitch.tv/ArbitraryMuddyLettuceFunRun-S3NqXR1_LPVGk9rr" TargetMode="External"/><Relationship Id="rId188" Type="http://schemas.openxmlformats.org/officeDocument/2006/relationships/hyperlink" Target="https://www.twitch.tv/videos/1081763841" TargetMode="External"/><Relationship Id="rId183" Type="http://schemas.openxmlformats.org/officeDocument/2006/relationships/hyperlink" Target="https://clips.twitch.tv/MoralNaiveEchidnaLeeroyJenkins-Z4DBJwTgOSB4coVZ" TargetMode="External"/><Relationship Id="rId182" Type="http://schemas.openxmlformats.org/officeDocument/2006/relationships/hyperlink" Target="https://clips.twitch.tv/IcyFastClipsmomPanicBasket-o8VjjnGKD8G6O2Ag" TargetMode="External"/><Relationship Id="rId181" Type="http://schemas.openxmlformats.org/officeDocument/2006/relationships/hyperlink" Target="https://youtu.be/wbU0s2DkwlQ" TargetMode="External"/><Relationship Id="rId180" Type="http://schemas.openxmlformats.org/officeDocument/2006/relationships/hyperlink" Target="https://www.twitch.tv/videos/1536223600" TargetMode="External"/><Relationship Id="rId176" Type="http://schemas.openxmlformats.org/officeDocument/2006/relationships/hyperlink" Target="https://www.twitch.tv/videos/1521790865" TargetMode="External"/><Relationship Id="rId175" Type="http://schemas.openxmlformats.org/officeDocument/2006/relationships/hyperlink" Target="https://www.twitch.tv/videos/1870106440" TargetMode="External"/><Relationship Id="rId174" Type="http://schemas.openxmlformats.org/officeDocument/2006/relationships/hyperlink" Target="https://clips.twitch.tv/NiceColorfulMarjoramPMSTwin-1Km-pCjzO8INr-0r" TargetMode="External"/><Relationship Id="rId173" Type="http://schemas.openxmlformats.org/officeDocument/2006/relationships/hyperlink" Target="https://www.youtube.com/watch?v=u5TVTL3h7Ks&amp;ab_channel=SMSArchives" TargetMode="External"/><Relationship Id="rId179" Type="http://schemas.openxmlformats.org/officeDocument/2006/relationships/hyperlink" Target="https://www.twitch.tv/videos/1072650538" TargetMode="External"/><Relationship Id="rId178" Type="http://schemas.openxmlformats.org/officeDocument/2006/relationships/hyperlink" Target="https://www.twitch.tv/videos/1072608382" TargetMode="External"/><Relationship Id="rId177" Type="http://schemas.openxmlformats.org/officeDocument/2006/relationships/hyperlink" Target="https://www.twitch.tv/videos/1081736747" TargetMode="External"/><Relationship Id="rId198" Type="http://schemas.openxmlformats.org/officeDocument/2006/relationships/hyperlink" Target="https://www.twitch.tv/videos/646451494" TargetMode="External"/><Relationship Id="rId197" Type="http://schemas.openxmlformats.org/officeDocument/2006/relationships/hyperlink" Target="https://www.twitch.tv/videos/646451491" TargetMode="External"/><Relationship Id="rId196" Type="http://schemas.openxmlformats.org/officeDocument/2006/relationships/hyperlink" Target="https://www.twitch.tv/videos/1522511612" TargetMode="External"/><Relationship Id="rId195" Type="http://schemas.openxmlformats.org/officeDocument/2006/relationships/hyperlink" Target="https://clips.twitch.tv/TubularShortSardineArsonNoSexy-2YT0wqRP5khPeNTW" TargetMode="External"/><Relationship Id="rId199" Type="http://schemas.openxmlformats.org/officeDocument/2006/relationships/hyperlink" Target="https://www.twitch.tv/videos/646451492" TargetMode="External"/><Relationship Id="rId150" Type="http://schemas.openxmlformats.org/officeDocument/2006/relationships/hyperlink" Target="https://www.youtube.com/watch?v=iaCYkz14uIc&amp;feature=youtu.be" TargetMode="External"/><Relationship Id="rId149" Type="http://schemas.openxmlformats.org/officeDocument/2006/relationships/hyperlink" Target="https://www.youtube.com/watch?v=149b2_QrtDg&amp;ab_channel=SMSArchives" TargetMode="External"/><Relationship Id="rId148" Type="http://schemas.openxmlformats.org/officeDocument/2006/relationships/hyperlink" Target="https://youtu.be/lQUJ92rGI_E" TargetMode="External"/><Relationship Id="rId143" Type="http://schemas.openxmlformats.org/officeDocument/2006/relationships/hyperlink" Target="https://www.twitch.tv/videos/889902097" TargetMode="External"/><Relationship Id="rId142" Type="http://schemas.openxmlformats.org/officeDocument/2006/relationships/hyperlink" Target="https://www.twitch.tv/videos/673362202" TargetMode="External"/><Relationship Id="rId141" Type="http://schemas.openxmlformats.org/officeDocument/2006/relationships/hyperlink" Target="https://www.twitch.tv/videos/850915152" TargetMode="External"/><Relationship Id="rId140" Type="http://schemas.openxmlformats.org/officeDocument/2006/relationships/hyperlink" Target="https://clips.twitch.tv/ArborealFantasticGuanacoTBTacoLeft" TargetMode="External"/><Relationship Id="rId147" Type="http://schemas.openxmlformats.org/officeDocument/2006/relationships/hyperlink" Target="https://www.twitch.tv/videos/733648655" TargetMode="External"/><Relationship Id="rId146" Type="http://schemas.openxmlformats.org/officeDocument/2006/relationships/hyperlink" Target="https://www.twitch.tv/videos/771881021" TargetMode="External"/><Relationship Id="rId145" Type="http://schemas.openxmlformats.org/officeDocument/2006/relationships/hyperlink" Target="https://www.twitch.tv/videos/825113165" TargetMode="External"/><Relationship Id="rId144" Type="http://schemas.openxmlformats.org/officeDocument/2006/relationships/hyperlink" Target="https://clips.twitch.tv/CorrectFilthyLeopardFeelsBadMan" TargetMode="External"/><Relationship Id="rId139" Type="http://schemas.openxmlformats.org/officeDocument/2006/relationships/hyperlink" Target="https://clips.twitch.tv/ZealousDiligentRedpandaMcaT" TargetMode="External"/><Relationship Id="rId138" Type="http://schemas.openxmlformats.org/officeDocument/2006/relationships/hyperlink" Target="https://www.twitch.tv/videos/693985895" TargetMode="External"/><Relationship Id="rId137" Type="http://schemas.openxmlformats.org/officeDocument/2006/relationships/hyperlink" Target="https://clips.twitch.tv/AlertDelightfulGerbilPicoMause" TargetMode="External"/><Relationship Id="rId132" Type="http://schemas.openxmlformats.org/officeDocument/2006/relationships/hyperlink" Target="https://clips.twitch.tv/CorrectIronicAlligatorDancingBaby" TargetMode="External"/><Relationship Id="rId131" Type="http://schemas.openxmlformats.org/officeDocument/2006/relationships/hyperlink" Target="https://www.twitch.tv/videos/720569151" TargetMode="External"/><Relationship Id="rId130" Type="http://schemas.openxmlformats.org/officeDocument/2006/relationships/hyperlink" Target="https://www.twitch.tv/videos/782187415" TargetMode="External"/><Relationship Id="rId136" Type="http://schemas.openxmlformats.org/officeDocument/2006/relationships/hyperlink" Target="https://www.twitch.tv/videos/842847516" TargetMode="External"/><Relationship Id="rId135" Type="http://schemas.openxmlformats.org/officeDocument/2006/relationships/hyperlink" Target="https://clips.twitch.tv/PeacefulRespectfulAardvarkMrDestructoid" TargetMode="External"/><Relationship Id="rId134" Type="http://schemas.openxmlformats.org/officeDocument/2006/relationships/hyperlink" Target="https://clips.twitch.tv/BoldBlueMallardPlanking" TargetMode="External"/><Relationship Id="rId133" Type="http://schemas.openxmlformats.org/officeDocument/2006/relationships/hyperlink" Target="https://www.twitch.tv/videos/855004821" TargetMode="External"/><Relationship Id="rId172" Type="http://schemas.openxmlformats.org/officeDocument/2006/relationships/hyperlink" Target="https://www.youtube.com/watch?v=MHpCLuJPUbc&amp;feature=youtu.be&amp;ab_channel=SMSArchives" TargetMode="External"/><Relationship Id="rId171" Type="http://schemas.openxmlformats.org/officeDocument/2006/relationships/hyperlink" Target="https://www.youtube.com/watch?v=cgsMShafj1c&amp;feature=youtu.be&amp;ab_channel=SMSArchives" TargetMode="External"/><Relationship Id="rId170" Type="http://schemas.openxmlformats.org/officeDocument/2006/relationships/hyperlink" Target="https://www.youtube.com/watch?v=HY8LVQ98wbE&amp;ab_channel=SMSArchives" TargetMode="External"/><Relationship Id="rId165" Type="http://schemas.openxmlformats.org/officeDocument/2006/relationships/hyperlink" Target="https://www.youtube.com/watch?v=MNpHeSX5Enk&amp;ab_channel=SMSArchives" TargetMode="External"/><Relationship Id="rId164" Type="http://schemas.openxmlformats.org/officeDocument/2006/relationships/hyperlink" Target="https://www.youtube.com/watch?v=2WOUi8eZAEg&amp;feature=youtu.be&amp;ab_channel=SMSArchives" TargetMode="External"/><Relationship Id="rId163" Type="http://schemas.openxmlformats.org/officeDocument/2006/relationships/hyperlink" Target="https://www.youtube.com/watch?v=xYHLLDtlq_4&amp;feature=youtu.be&amp;ab_channel=SMSArchives" TargetMode="External"/><Relationship Id="rId162" Type="http://schemas.openxmlformats.org/officeDocument/2006/relationships/hyperlink" Target="https://www.youtube.com/watch?v=4i4CnkgJrNc&amp;feature=youtu.be" TargetMode="External"/><Relationship Id="rId169" Type="http://schemas.openxmlformats.org/officeDocument/2006/relationships/hyperlink" Target="https://www.youtube.com/watch?v=3EmYLmTUehQ&amp;ab_channel=SMSArchives" TargetMode="External"/><Relationship Id="rId168" Type="http://schemas.openxmlformats.org/officeDocument/2006/relationships/hyperlink" Target="https://www.youtube.com/watch?v=Y5esa3rsDKM&amp;ab_channel=SMSArchives" TargetMode="External"/><Relationship Id="rId167" Type="http://schemas.openxmlformats.org/officeDocument/2006/relationships/hyperlink" Target="https://www.youtube.com/watch?v=w3vbkzPgQw4&amp;ab_channel=SMSArchives" TargetMode="External"/><Relationship Id="rId166" Type="http://schemas.openxmlformats.org/officeDocument/2006/relationships/hyperlink" Target="https://www.youtube.com/watch?v=Sy1EVZz5sBs&amp;ab_channel=SMSArchives" TargetMode="External"/><Relationship Id="rId161" Type="http://schemas.openxmlformats.org/officeDocument/2006/relationships/hyperlink" Target="https://www.youtube.com/watch?v=CT-lTaiAgJI&amp;feature=youtu.be&amp;ab_channel=SMSArchives" TargetMode="External"/><Relationship Id="rId160" Type="http://schemas.openxmlformats.org/officeDocument/2006/relationships/hyperlink" Target="https://www.youtube.com/watch?v=QX1jwGjJ-wA&amp;feature=youtu.be&amp;ab_channel=SMSArchives" TargetMode="External"/><Relationship Id="rId159" Type="http://schemas.openxmlformats.org/officeDocument/2006/relationships/hyperlink" Target="https://www.youtube.com/watch?v=z43WPYcHVF0&amp;ab_channel=SMSArchives" TargetMode="External"/><Relationship Id="rId154" Type="http://schemas.openxmlformats.org/officeDocument/2006/relationships/hyperlink" Target="https://www.youtube.com/watch?v=OWVeJNsV2yw&amp;feature=youtu.be&amp;ab_channel=SMSArchives" TargetMode="External"/><Relationship Id="rId153" Type="http://schemas.openxmlformats.org/officeDocument/2006/relationships/hyperlink" Target="https://www.youtube.com/watch?v=cbawzr8H8hQ&amp;feature=youtu.be&amp;ab_channel=SMSArchives" TargetMode="External"/><Relationship Id="rId152" Type="http://schemas.openxmlformats.org/officeDocument/2006/relationships/hyperlink" Target="https://www.youtube.com/watch?v=FJSyFHlLqyc&amp;feature=youtu.be&amp;ab_channel=SMSArchives" TargetMode="External"/><Relationship Id="rId151" Type="http://schemas.openxmlformats.org/officeDocument/2006/relationships/hyperlink" Target="https://youtu.be/97Ky9jVB4HA" TargetMode="External"/><Relationship Id="rId158" Type="http://schemas.openxmlformats.org/officeDocument/2006/relationships/hyperlink" Target="https://www.youtube.com/watch?v=mqw2zsBysTI&amp;ab_channel=SMSArchives" TargetMode="External"/><Relationship Id="rId157" Type="http://schemas.openxmlformats.org/officeDocument/2006/relationships/hyperlink" Target="https://youtu.be/pllVE0N6Koo" TargetMode="External"/><Relationship Id="rId156" Type="http://schemas.openxmlformats.org/officeDocument/2006/relationships/hyperlink" Target="https://www.youtube.com/watch?v=2xJYg6LwlWM&amp;ab_channel=SMSArchives" TargetMode="External"/><Relationship Id="rId155" Type="http://schemas.openxmlformats.org/officeDocument/2006/relationships/hyperlink" Target="https://www.youtube.com/watch?v=k9oC5e8SLIw&amp;feature=youtu.be" TargetMode="External"/><Relationship Id="rId107" Type="http://schemas.openxmlformats.org/officeDocument/2006/relationships/hyperlink" Target="https://www.twitch.tv/inkstar/clip/NiceCrackyNostrilWOOP-sBkCnAd3ZyJublUM" TargetMode="External"/><Relationship Id="rId106" Type="http://schemas.openxmlformats.org/officeDocument/2006/relationships/hyperlink" Target="https://www.twitch.tv/videos/2494574224" TargetMode="External"/><Relationship Id="rId105" Type="http://schemas.openxmlformats.org/officeDocument/2006/relationships/hyperlink" Target="https://www.twitch.tv/videos/2481316524" TargetMode="External"/><Relationship Id="rId104" Type="http://schemas.openxmlformats.org/officeDocument/2006/relationships/hyperlink" Target="https://youtu.be/GQGYwKAnpjE" TargetMode="External"/><Relationship Id="rId109" Type="http://schemas.openxmlformats.org/officeDocument/2006/relationships/hyperlink" Target="https://www.twitch.tv/videos/2495366614" TargetMode="External"/><Relationship Id="rId108" Type="http://schemas.openxmlformats.org/officeDocument/2006/relationships/hyperlink" Target="https://www.twitch.tv/videos/2495463514" TargetMode="External"/><Relationship Id="rId103" Type="http://schemas.openxmlformats.org/officeDocument/2006/relationships/hyperlink" Target="https://www.twitch.tv/inkstar/clip/BetterCoyWatermelonImGlitch-hPVzI_lA53wSQrZH" TargetMode="External"/><Relationship Id="rId102" Type="http://schemas.openxmlformats.org/officeDocument/2006/relationships/hyperlink" Target="https://www.twitch.tv/videos/2746919055" TargetMode="External"/><Relationship Id="rId101" Type="http://schemas.openxmlformats.org/officeDocument/2006/relationships/hyperlink" Target="https://www.twitch.tv/inkstar/clip/AliveMuddyAsparagusPeteZaroll-G7YR9a0WYcdkZJjo" TargetMode="External"/><Relationship Id="rId100" Type="http://schemas.openxmlformats.org/officeDocument/2006/relationships/hyperlink" Target="https://clips.twitch.tv/CrispyBloodyChoughFailFish-nWtXyR5lq-oYg4EL" TargetMode="External"/><Relationship Id="rId129" Type="http://schemas.openxmlformats.org/officeDocument/2006/relationships/hyperlink" Target="https://www.twitch.tv/videos/808105237" TargetMode="External"/><Relationship Id="rId128" Type="http://schemas.openxmlformats.org/officeDocument/2006/relationships/hyperlink" Target="https://www.twitch.tv/videos/831025348" TargetMode="External"/><Relationship Id="rId127" Type="http://schemas.openxmlformats.org/officeDocument/2006/relationships/hyperlink" Target="https://www.twitch.tv/videos/2751909564" TargetMode="External"/><Relationship Id="rId126" Type="http://schemas.openxmlformats.org/officeDocument/2006/relationships/hyperlink" Target="https://www.twitch.tv/videos/2707326908" TargetMode="External"/><Relationship Id="rId121" Type="http://schemas.openxmlformats.org/officeDocument/2006/relationships/hyperlink" Target="https://www.twitch.tv/videos/2721036233" TargetMode="External"/><Relationship Id="rId120" Type="http://schemas.openxmlformats.org/officeDocument/2006/relationships/hyperlink" Target="https://youtu.be/RH_cCMBw54Q" TargetMode="External"/><Relationship Id="rId125" Type="http://schemas.openxmlformats.org/officeDocument/2006/relationships/hyperlink" Target="https://youtu.be/x9C3Vksljgg" TargetMode="External"/><Relationship Id="rId124" Type="http://schemas.openxmlformats.org/officeDocument/2006/relationships/hyperlink" Target="https://www.twitch.tv/videos/2738681461" TargetMode="External"/><Relationship Id="rId123" Type="http://schemas.openxmlformats.org/officeDocument/2006/relationships/hyperlink" Target="https://www.twitch.tv/inkslop/clip/TriangularFrailWormKappaPride-tOXfhItlMVKwgIT_" TargetMode="External"/><Relationship Id="rId122" Type="http://schemas.openxmlformats.org/officeDocument/2006/relationships/hyperlink" Target="https://www.twitch.tv/videos/2718619902" TargetMode="External"/><Relationship Id="rId118" Type="http://schemas.openxmlformats.org/officeDocument/2006/relationships/hyperlink" Target="https://www.twitch.tv/videos/2750225967" TargetMode="External"/><Relationship Id="rId117" Type="http://schemas.openxmlformats.org/officeDocument/2006/relationships/hyperlink" Target="https://www.twitch.tv/videos/2721039828" TargetMode="External"/><Relationship Id="rId116" Type="http://schemas.openxmlformats.org/officeDocument/2006/relationships/hyperlink" Target="https://www.twitch.tv/videos/2736372432" TargetMode="External"/><Relationship Id="rId115" Type="http://schemas.openxmlformats.org/officeDocument/2006/relationships/hyperlink" Target="https://www.twitch.tv/videos/2688647463" TargetMode="External"/><Relationship Id="rId119" Type="http://schemas.openxmlformats.org/officeDocument/2006/relationships/hyperlink" Target="https://x.com/inkstarLum/status/1734458852492656986?s=20" TargetMode="External"/><Relationship Id="rId110" Type="http://schemas.openxmlformats.org/officeDocument/2006/relationships/hyperlink" Target="https://www.twitch.tv/videos/2736332046" TargetMode="External"/><Relationship Id="rId114" Type="http://schemas.openxmlformats.org/officeDocument/2006/relationships/hyperlink" Target="https://youtu.be/DMzCtloVXgU" TargetMode="External"/><Relationship Id="rId113" Type="http://schemas.openxmlformats.org/officeDocument/2006/relationships/hyperlink" Target="https://www.twitch.tv/inkstar/clip/GiftedEnchantingSaladTBCheesePull-lN0OdiP8J6AYpyRB" TargetMode="External"/><Relationship Id="rId112" Type="http://schemas.openxmlformats.org/officeDocument/2006/relationships/hyperlink" Target="https://www.twitch.tv/videos/2753476722" TargetMode="External"/><Relationship Id="rId111" Type="http://schemas.openxmlformats.org/officeDocument/2006/relationships/hyperlink" Target="https://www.twitch.tv/inkstar/clip/SparklyImpartialPieEagleEye-K7jtMGGjFTMAf_Vj"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youtu.be/eES9hGASt-g" TargetMode="External"/><Relationship Id="rId42" Type="http://schemas.openxmlformats.org/officeDocument/2006/relationships/hyperlink" Target="https://youtu.be/Ys_dz_ayCY8" TargetMode="External"/><Relationship Id="rId41" Type="http://schemas.openxmlformats.org/officeDocument/2006/relationships/hyperlink" Target="https://youtu.be/blV8jWUOv60" TargetMode="External"/><Relationship Id="rId44" Type="http://schemas.openxmlformats.org/officeDocument/2006/relationships/hyperlink" Target="https://youtu.be/zfFvCEAM4r0" TargetMode="External"/><Relationship Id="rId43" Type="http://schemas.openxmlformats.org/officeDocument/2006/relationships/hyperlink" Target="https://youtu.be/YDozPfbut-Q" TargetMode="External"/><Relationship Id="rId46" Type="http://schemas.openxmlformats.org/officeDocument/2006/relationships/hyperlink" Target="https://youtu.be/txmlCrRSxv8" TargetMode="External"/><Relationship Id="rId45" Type="http://schemas.openxmlformats.org/officeDocument/2006/relationships/hyperlink" Target="https://www.youtube.com/watch?v=8Nmgc4YR0x8&amp;ab_channel=SMSArchives" TargetMode="External"/><Relationship Id="rId48" Type="http://schemas.openxmlformats.org/officeDocument/2006/relationships/hyperlink" Target="https://www.youtube.com/watch?v=NmuMzHCy200" TargetMode="External"/><Relationship Id="rId47" Type="http://schemas.openxmlformats.org/officeDocument/2006/relationships/hyperlink" Target="https://youtu.be/nlxXYunRZ2c" TargetMode="External"/><Relationship Id="rId49" Type="http://schemas.openxmlformats.org/officeDocument/2006/relationships/hyperlink" Target="https://youtu.be/avuFh5rRxHA" TargetMode="External"/><Relationship Id="rId31" Type="http://schemas.openxmlformats.org/officeDocument/2006/relationships/hyperlink" Target="https://clips.twitch.tv/GrotesqueCrackyWatermelonHeyGuys-Glc38vinYxMGcBFu" TargetMode="External"/><Relationship Id="rId30" Type="http://schemas.openxmlformats.org/officeDocument/2006/relationships/hyperlink" Target="https://www.twitch.tv/warspyking/clip/HonorableHotAyeayeUWot-dQE-FqlVq9WoYsie" TargetMode="External"/><Relationship Id="rId33" Type="http://schemas.openxmlformats.org/officeDocument/2006/relationships/hyperlink" Target="https://youtu.be/hRV6nPS6-bg" TargetMode="External"/><Relationship Id="rId32" Type="http://schemas.openxmlformats.org/officeDocument/2006/relationships/hyperlink" Target="https://youtu.be/ATVfQfPl9J4" TargetMode="External"/><Relationship Id="rId35" Type="http://schemas.openxmlformats.org/officeDocument/2006/relationships/hyperlink" Target="https://youtu.be/qVg5teIrDbY" TargetMode="External"/><Relationship Id="rId34" Type="http://schemas.openxmlformats.org/officeDocument/2006/relationships/hyperlink" Target="https://youtu.be/IEdf8r-fdl8" TargetMode="External"/><Relationship Id="rId37" Type="http://schemas.openxmlformats.org/officeDocument/2006/relationships/hyperlink" Target="https://youtu.be/_dqp_RMEgis" TargetMode="External"/><Relationship Id="rId36" Type="http://schemas.openxmlformats.org/officeDocument/2006/relationships/hyperlink" Target="https://youtu.be/G3eP4B8sxzE" TargetMode="External"/><Relationship Id="rId39" Type="http://schemas.openxmlformats.org/officeDocument/2006/relationships/hyperlink" Target="https://youtu.be/dvKLQgKFYCM" TargetMode="External"/><Relationship Id="rId38" Type="http://schemas.openxmlformats.org/officeDocument/2006/relationships/hyperlink" Target="https://www.youtube.com/watch?v=ioMOPIqZ_FU" TargetMode="External"/><Relationship Id="rId20" Type="http://schemas.openxmlformats.org/officeDocument/2006/relationships/hyperlink" Target="https://youtu.be/P0_QfJC18MA" TargetMode="External"/><Relationship Id="rId22" Type="http://schemas.openxmlformats.org/officeDocument/2006/relationships/hyperlink" Target="https://www.youtube.com/watch?v=8nbhwQK0IUk" TargetMode="External"/><Relationship Id="rId21" Type="http://schemas.openxmlformats.org/officeDocument/2006/relationships/hyperlink" Target="https://clips.twitch.tv/ShyVibrantSushiDoggo-lUXeFszX6eBm4MM-" TargetMode="External"/><Relationship Id="rId24" Type="http://schemas.openxmlformats.org/officeDocument/2006/relationships/hyperlink" Target="https://www.youtube.com/watch?v=nAA9vHAfRnk" TargetMode="External"/><Relationship Id="rId23" Type="http://schemas.openxmlformats.org/officeDocument/2006/relationships/hyperlink" Target="https://youtu.be/wh1FCTOcsAY" TargetMode="External"/><Relationship Id="rId26" Type="http://schemas.openxmlformats.org/officeDocument/2006/relationships/hyperlink" Target="https://clips.twitch.tv/EnchantingProudLyrebirdEagleEye-xhALD912lCkj-Lyg" TargetMode="External"/><Relationship Id="rId25" Type="http://schemas.openxmlformats.org/officeDocument/2006/relationships/hyperlink" Target="https://clips.twitch.tv/SmellyPoliteGaurTinyFace-Moa5WCrsGXKovqGX" TargetMode="External"/><Relationship Id="rId28" Type="http://schemas.openxmlformats.org/officeDocument/2006/relationships/hyperlink" Target="https://clips.twitch.tv/NurturingAffluentDragonfruitOneHand-mCdVVReluVm6cBp1" TargetMode="External"/><Relationship Id="rId27" Type="http://schemas.openxmlformats.org/officeDocument/2006/relationships/hyperlink" Target="https://clips.twitch.tv/VictoriousAntediluvianVelociraptorHumbleLife-apTk8a8-nDS1ORz-" TargetMode="External"/><Relationship Id="rId29" Type="http://schemas.openxmlformats.org/officeDocument/2006/relationships/hyperlink" Target="https://www.youtube.com/watch?v=o3owbHtK1TA" TargetMode="External"/><Relationship Id="rId11" Type="http://schemas.openxmlformats.org/officeDocument/2006/relationships/hyperlink" Target="https://www.twitch.tv/videos/1198843755" TargetMode="External"/><Relationship Id="rId10" Type="http://schemas.openxmlformats.org/officeDocument/2006/relationships/hyperlink" Target="https://www.twitch.tv/videos/1200396492" TargetMode="External"/><Relationship Id="rId13" Type="http://schemas.openxmlformats.org/officeDocument/2006/relationships/hyperlink" Target="https://www.youtube.com/watch?v=hw2VzrXHqxI&amp;t=16" TargetMode="External"/><Relationship Id="rId12" Type="http://schemas.openxmlformats.org/officeDocument/2006/relationships/hyperlink" Target="https://youtu.be/hw2VzrXHqxI" TargetMode="External"/><Relationship Id="rId15" Type="http://schemas.openxmlformats.org/officeDocument/2006/relationships/hyperlink" Target="https://www.youtube.com/watch?v=wlkNp0TanMM" TargetMode="External"/><Relationship Id="rId14" Type="http://schemas.openxmlformats.org/officeDocument/2006/relationships/hyperlink" Target="https://www.youtube.com/watch?v=hw2VzrXHqxI&amp;t=35" TargetMode="External"/><Relationship Id="rId17" Type="http://schemas.openxmlformats.org/officeDocument/2006/relationships/hyperlink" Target="https://clips.twitch.tv/BoringDreamyPlumberDoubleRainbow-WSNBYYaiLZCG23CR" TargetMode="External"/><Relationship Id="rId16" Type="http://schemas.openxmlformats.org/officeDocument/2006/relationships/hyperlink" Target="https://clips.twitch.tv/AuspiciousDrabBatTF2John-UYGY_qOVOV2DLoBm" TargetMode="External"/><Relationship Id="rId19" Type="http://schemas.openxmlformats.org/officeDocument/2006/relationships/hyperlink" Target="https://x.com/NoVidNoDidNoVid/status/1788099588047728715" TargetMode="External"/><Relationship Id="rId18" Type="http://schemas.openxmlformats.org/officeDocument/2006/relationships/hyperlink" Target="https://www.twitch.tv/videos/1874616615" TargetMode="External"/><Relationship Id="rId72" Type="http://schemas.openxmlformats.org/officeDocument/2006/relationships/table" Target="../tables/table31.xml"/><Relationship Id="rId71" Type="http://schemas.openxmlformats.org/officeDocument/2006/relationships/table" Target="../tables/table30.xml"/><Relationship Id="rId70" Type="http://schemas.openxmlformats.org/officeDocument/2006/relationships/table" Target="../tables/table29.xml"/><Relationship Id="rId64" Type="http://schemas.openxmlformats.org/officeDocument/2006/relationships/table" Target="../tables/table23.xml"/><Relationship Id="rId66" Type="http://schemas.openxmlformats.org/officeDocument/2006/relationships/table" Target="../tables/table25.xml"/><Relationship Id="rId65" Type="http://schemas.openxmlformats.org/officeDocument/2006/relationships/table" Target="../tables/table24.xml"/><Relationship Id="rId68" Type="http://schemas.openxmlformats.org/officeDocument/2006/relationships/table" Target="../tables/table27.xml"/><Relationship Id="rId67" Type="http://schemas.openxmlformats.org/officeDocument/2006/relationships/table" Target="../tables/table26.xml"/><Relationship Id="rId69" Type="http://schemas.openxmlformats.org/officeDocument/2006/relationships/table" Target="../tables/table28.xml"/><Relationship Id="rId51" Type="http://schemas.openxmlformats.org/officeDocument/2006/relationships/hyperlink" Target="https://x.com/Pokepowerz4life/status/1700843443101069620" TargetMode="External"/><Relationship Id="rId50" Type="http://schemas.openxmlformats.org/officeDocument/2006/relationships/hyperlink" Target="https://www.youtube.com/watch?v=TOs2y1nhsmY" TargetMode="External"/><Relationship Id="rId53" Type="http://schemas.openxmlformats.org/officeDocument/2006/relationships/drawing" Target="../drawings/drawing5.xml"/><Relationship Id="rId52" Type="http://schemas.openxmlformats.org/officeDocument/2006/relationships/hyperlink" Target="https://youtu.be/PkfYm8p2I9E" TargetMode="External"/><Relationship Id="rId54"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youtube.com/watch?v=6_gDl4FEMmA" TargetMode="External"/><Relationship Id="rId9" Type="http://schemas.openxmlformats.org/officeDocument/2006/relationships/hyperlink" Target="https://www.twitch.tv/videos/1201203428" TargetMode="External"/><Relationship Id="rId5" Type="http://schemas.openxmlformats.org/officeDocument/2006/relationships/hyperlink" Target="https://www.youtube.com/watch?v=_hnzp9jKe4s" TargetMode="External"/><Relationship Id="rId6" Type="http://schemas.openxmlformats.org/officeDocument/2006/relationships/hyperlink" Target="https://www.youtube.com/watch?v=IxjuqNYsoqc" TargetMode="External"/><Relationship Id="rId7" Type="http://schemas.openxmlformats.org/officeDocument/2006/relationships/hyperlink" Target="https://www.youtube.com/watch?v=ff2FUmIgxu8" TargetMode="External"/><Relationship Id="rId8" Type="http://schemas.openxmlformats.org/officeDocument/2006/relationships/hyperlink" Target="https://www.twitch.tv/videos/1202653578"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youtu.be/-RLBStYcFT0" TargetMode="External"/><Relationship Id="rId391" Type="http://schemas.openxmlformats.org/officeDocument/2006/relationships/hyperlink" Target="https://youtu.be/1yj1sq69K5E" TargetMode="External"/><Relationship Id="rId390" Type="http://schemas.openxmlformats.org/officeDocument/2006/relationships/hyperlink" Target="https://youtu.be/JT2r0BCPtSQ" TargetMode="External"/><Relationship Id="rId385" Type="http://schemas.openxmlformats.org/officeDocument/2006/relationships/hyperlink" Target="https://youtu.be/M-HJ4DgMATU?t=5" TargetMode="External"/><Relationship Id="rId384" Type="http://schemas.openxmlformats.org/officeDocument/2006/relationships/hyperlink" Target="https://youtu.be/SIe7REnh62A" TargetMode="External"/><Relationship Id="rId383" Type="http://schemas.openxmlformats.org/officeDocument/2006/relationships/hyperlink" Target="https://youtu.be/q3aU-MA82kY" TargetMode="External"/><Relationship Id="rId382" Type="http://schemas.openxmlformats.org/officeDocument/2006/relationships/hyperlink" Target="https://youtu.be/GTeTm-cZ_VE?t=7" TargetMode="External"/><Relationship Id="rId389" Type="http://schemas.openxmlformats.org/officeDocument/2006/relationships/hyperlink" Target="https://youtu.be/qMRqCni_obU" TargetMode="External"/><Relationship Id="rId388" Type="http://schemas.openxmlformats.org/officeDocument/2006/relationships/hyperlink" Target="https://youtu.be/aQbm8ue82IY" TargetMode="External"/><Relationship Id="rId387" Type="http://schemas.openxmlformats.org/officeDocument/2006/relationships/hyperlink" Target="https://youtu.be/nkNseVsL1KE?si=2D2oOR3PCRWkiqP5" TargetMode="External"/><Relationship Id="rId386" Type="http://schemas.openxmlformats.org/officeDocument/2006/relationships/hyperlink" Target="https://youtu.be/Nq2minuqvwE" TargetMode="External"/><Relationship Id="rId381" Type="http://schemas.openxmlformats.org/officeDocument/2006/relationships/hyperlink" Target="https://youtu.be/_bSiI9Y8hnE" TargetMode="External"/><Relationship Id="rId380" Type="http://schemas.openxmlformats.org/officeDocument/2006/relationships/hyperlink" Target="https://youtu.be/uv3UvOzLLRc" TargetMode="External"/><Relationship Id="rId379" Type="http://schemas.openxmlformats.org/officeDocument/2006/relationships/hyperlink" Target="https://youtu.be/U2h7aamwRXs" TargetMode="External"/><Relationship Id="rId374" Type="http://schemas.openxmlformats.org/officeDocument/2006/relationships/hyperlink" Target="https://youtu.be/Qu8uGbGvejM" TargetMode="External"/><Relationship Id="rId373" Type="http://schemas.openxmlformats.org/officeDocument/2006/relationships/hyperlink" Target="https://youtu.be/2hDiKlxy0Wk" TargetMode="External"/><Relationship Id="rId372" Type="http://schemas.openxmlformats.org/officeDocument/2006/relationships/hyperlink" Target="https://youtu.be/tBjtLvsEKB8" TargetMode="External"/><Relationship Id="rId371" Type="http://schemas.openxmlformats.org/officeDocument/2006/relationships/hyperlink" Target="https://youtu.be/jEQeDs3FbNE" TargetMode="External"/><Relationship Id="rId378" Type="http://schemas.openxmlformats.org/officeDocument/2006/relationships/hyperlink" Target="https://youtu.be/GQizq4VeGtM" TargetMode="External"/><Relationship Id="rId377" Type="http://schemas.openxmlformats.org/officeDocument/2006/relationships/hyperlink" Target="https://youtu.be/fIDMly3bGq8" TargetMode="External"/><Relationship Id="rId376" Type="http://schemas.openxmlformats.org/officeDocument/2006/relationships/hyperlink" Target="https://www.youtube.com/watch?v=cY4UAY0wuck" TargetMode="External"/><Relationship Id="rId375" Type="http://schemas.openxmlformats.org/officeDocument/2006/relationships/hyperlink" Target="https://youtu.be/SwRBC6MocXg" TargetMode="External"/><Relationship Id="rId396" Type="http://schemas.openxmlformats.org/officeDocument/2006/relationships/hyperlink" Target="https://www.twitch.tv/videos/871331205" TargetMode="External"/><Relationship Id="rId395" Type="http://schemas.openxmlformats.org/officeDocument/2006/relationships/hyperlink" Target="https://www.twitch.tv/videos/871284163" TargetMode="External"/><Relationship Id="rId394" Type="http://schemas.openxmlformats.org/officeDocument/2006/relationships/hyperlink" Target="https://www.youtube.com/watch?v=Wcsp_zkyYlg" TargetMode="External"/><Relationship Id="rId393" Type="http://schemas.openxmlformats.org/officeDocument/2006/relationships/hyperlink" Target="https://www.youtube.com/watch?v=lN-uU0AEkPk" TargetMode="External"/><Relationship Id="rId399" Type="http://schemas.openxmlformats.org/officeDocument/2006/relationships/hyperlink" Target="https://clips.twitch.tv/SpeedyObedientTrayTwitchRaid-IUBzYaF_dOFFl1D7" TargetMode="External"/><Relationship Id="rId398" Type="http://schemas.openxmlformats.org/officeDocument/2006/relationships/hyperlink" Target="https://www.twitch.tv/videos/918556631" TargetMode="External"/><Relationship Id="rId397" Type="http://schemas.openxmlformats.org/officeDocument/2006/relationships/hyperlink" Target="https://www.twitch.tv/videos/1110672226" TargetMode="External"/><Relationship Id="rId40" Type="http://schemas.openxmlformats.org/officeDocument/2006/relationships/hyperlink" Target="https://youtu.be/eSnPJue60Mo" TargetMode="External"/><Relationship Id="rId42" Type="http://schemas.openxmlformats.org/officeDocument/2006/relationships/hyperlink" Target="https://youtu.be/MWFxDdKSsTE" TargetMode="External"/><Relationship Id="rId41" Type="http://schemas.openxmlformats.org/officeDocument/2006/relationships/hyperlink" Target="https://youtu.be/MWFxDdKSsTE" TargetMode="External"/><Relationship Id="rId44" Type="http://schemas.openxmlformats.org/officeDocument/2006/relationships/hyperlink" Target="https://youtu.be/ZuKIIriMluw" TargetMode="External"/><Relationship Id="rId43" Type="http://schemas.openxmlformats.org/officeDocument/2006/relationships/hyperlink" Target="https://youtu.be/R84yuTkTP1k" TargetMode="External"/><Relationship Id="rId46" Type="http://schemas.openxmlformats.org/officeDocument/2006/relationships/hyperlink" Target="https://youtu.be/_rw8PROt00w" TargetMode="External"/><Relationship Id="rId45" Type="http://schemas.openxmlformats.org/officeDocument/2006/relationships/hyperlink" Target="https://youtu.be/-d3LkrUqXOM" TargetMode="External"/><Relationship Id="rId48" Type="http://schemas.openxmlformats.org/officeDocument/2006/relationships/hyperlink" Target="https://www.twitch.tv/powonateur/clip/ShinyTentativeSpiderKreygasm-Zv_zBRYXuhS9CrWE" TargetMode="External"/><Relationship Id="rId47" Type="http://schemas.openxmlformats.org/officeDocument/2006/relationships/hyperlink" Target="https://youtu.be/_e8pjmdrMeo" TargetMode="External"/><Relationship Id="rId49" Type="http://schemas.openxmlformats.org/officeDocument/2006/relationships/hyperlink" Target="https://youtu.be/JEy76P8ySgQ" TargetMode="External"/><Relationship Id="rId31" Type="http://schemas.openxmlformats.org/officeDocument/2006/relationships/hyperlink" Target="https://youtu.be/4PU-ADv_FJQ?t=106" TargetMode="External"/><Relationship Id="rId30" Type="http://schemas.openxmlformats.org/officeDocument/2006/relationships/hyperlink" Target="https://youtu.be/ZqtL1Uo4Ioo" TargetMode="External"/><Relationship Id="rId33" Type="http://schemas.openxmlformats.org/officeDocument/2006/relationships/hyperlink" Target="https://www.twitch.tv/powonateur/clip/SpikyCrepuscularMetalSeemsGood-DD5wH21m4ib1uCEJ" TargetMode="External"/><Relationship Id="rId32" Type="http://schemas.openxmlformats.org/officeDocument/2006/relationships/hyperlink" Target="https://youtu.be/vV2776uXrAA" TargetMode="External"/><Relationship Id="rId35" Type="http://schemas.openxmlformats.org/officeDocument/2006/relationships/hyperlink" Target="https://youtu.be/5MMD-oAXhw4" TargetMode="External"/><Relationship Id="rId34" Type="http://schemas.openxmlformats.org/officeDocument/2006/relationships/hyperlink" Target="https://youtu.be/bmocPCa6CEY" TargetMode="External"/><Relationship Id="rId37" Type="http://schemas.openxmlformats.org/officeDocument/2006/relationships/hyperlink" Target="https://youtu.be/BbHYIXjTHvw" TargetMode="External"/><Relationship Id="rId36" Type="http://schemas.openxmlformats.org/officeDocument/2006/relationships/hyperlink" Target="https://youtu.be/Cez0XFRBxxo" TargetMode="External"/><Relationship Id="rId39" Type="http://schemas.openxmlformats.org/officeDocument/2006/relationships/hyperlink" Target="https://youtu.be/n3TOkC-SGkE" TargetMode="External"/><Relationship Id="rId38" Type="http://schemas.openxmlformats.org/officeDocument/2006/relationships/hyperlink" Target="https://youtu.be/UYek-N6jWgg" TargetMode="External"/><Relationship Id="rId20" Type="http://schemas.openxmlformats.org/officeDocument/2006/relationships/hyperlink" Target="https://clips.twitch.tv/CourageousMuddyCobraAMPEnergyCherry-10nBwAVnQh1FjaCf" TargetMode="External"/><Relationship Id="rId22" Type="http://schemas.openxmlformats.org/officeDocument/2006/relationships/hyperlink" Target="https://youtu.be/W_5H8mRdMao" TargetMode="External"/><Relationship Id="rId21" Type="http://schemas.openxmlformats.org/officeDocument/2006/relationships/hyperlink" Target="https://clips.twitch.tv/BlatantFamousFerretItsBoshyTime-GA18GUfERKITdNvW" TargetMode="External"/><Relationship Id="rId24" Type="http://schemas.openxmlformats.org/officeDocument/2006/relationships/hyperlink" Target="https://youtu.be/cL9X5GNIwC0" TargetMode="External"/><Relationship Id="rId23" Type="http://schemas.openxmlformats.org/officeDocument/2006/relationships/hyperlink" Target="https://www.twitch.tv/powonateur/clip/SillyShortCasettePastaThat-9GSZn_Nj2wNN-OkN" TargetMode="External"/><Relationship Id="rId26" Type="http://schemas.openxmlformats.org/officeDocument/2006/relationships/hyperlink" Target="https://clips.twitch.tv/GiftedMagnificentRhinocerosPeoplesChamp-a8NqRKoSJ0ZCQ6Ag" TargetMode="External"/><Relationship Id="rId25" Type="http://schemas.openxmlformats.org/officeDocument/2006/relationships/hyperlink" Target="https://youtu.be/kbcuQPnCnWk" TargetMode="External"/><Relationship Id="rId28" Type="http://schemas.openxmlformats.org/officeDocument/2006/relationships/hyperlink" Target="https://www.twitch.tv/videos/869262222" TargetMode="External"/><Relationship Id="rId27" Type="http://schemas.openxmlformats.org/officeDocument/2006/relationships/hyperlink" Target="https://www.twitch.tv/powonateur/clip/InventiveEasyAyeayeSquadGoals-9HuwL3qj140-ePZX" TargetMode="External"/><Relationship Id="rId29" Type="http://schemas.openxmlformats.org/officeDocument/2006/relationships/hyperlink" Target="https://www.twitch.tv/powonateur/clip/IntelligentEnjoyableTubersRuleFive-4e6j9aU0eU7CNzCg" TargetMode="External"/><Relationship Id="rId11" Type="http://schemas.openxmlformats.org/officeDocument/2006/relationships/hyperlink" Target="https://youtu.be/slCAm04HAuU" TargetMode="External"/><Relationship Id="rId10" Type="http://schemas.openxmlformats.org/officeDocument/2006/relationships/hyperlink" Target="https://youtu.be/w4E7ejaAnFs" TargetMode="External"/><Relationship Id="rId13" Type="http://schemas.openxmlformats.org/officeDocument/2006/relationships/hyperlink" Target="https://youtu.be/2JtHY1wCJkc" TargetMode="External"/><Relationship Id="rId12" Type="http://schemas.openxmlformats.org/officeDocument/2006/relationships/hyperlink" Target="https://youtu.be/JP-aef0S4yk" TargetMode="External"/><Relationship Id="rId15" Type="http://schemas.openxmlformats.org/officeDocument/2006/relationships/hyperlink" Target="https://youtu.be/1Yza9c6Ad_0" TargetMode="External"/><Relationship Id="rId14" Type="http://schemas.openxmlformats.org/officeDocument/2006/relationships/hyperlink" Target="https://youtu.be/kPVqaMWTg7Y" TargetMode="External"/><Relationship Id="rId17" Type="http://schemas.openxmlformats.org/officeDocument/2006/relationships/hyperlink" Target="https://youtu.be/eVs_JXEljqs" TargetMode="External"/><Relationship Id="rId16" Type="http://schemas.openxmlformats.org/officeDocument/2006/relationships/hyperlink" Target="https://youtu.be/KOg5mtfbBvo" TargetMode="External"/><Relationship Id="rId19" Type="http://schemas.openxmlformats.org/officeDocument/2006/relationships/hyperlink" Target="https://clips.twitch.tv/TemperedOriginalHareOneHand-YNsU0Xdyg62zxhjP" TargetMode="External"/><Relationship Id="rId18" Type="http://schemas.openxmlformats.org/officeDocument/2006/relationships/hyperlink" Target="https://youtu.be/GO3cR09ZnH0" TargetMode="External"/><Relationship Id="rId84" Type="http://schemas.openxmlformats.org/officeDocument/2006/relationships/hyperlink" Target="https://youtu.be/G23gkEuls5A" TargetMode="External"/><Relationship Id="rId83" Type="http://schemas.openxmlformats.org/officeDocument/2006/relationships/hyperlink" Target="https://youtu.be/slsKLxsqFqQ" TargetMode="External"/><Relationship Id="rId86" Type="http://schemas.openxmlformats.org/officeDocument/2006/relationships/hyperlink" Target="https://youtu.be/GVPfb5M5zdg" TargetMode="External"/><Relationship Id="rId85" Type="http://schemas.openxmlformats.org/officeDocument/2006/relationships/hyperlink" Target="https://youtu.be/D3c0F1qmT5o" TargetMode="External"/><Relationship Id="rId88" Type="http://schemas.openxmlformats.org/officeDocument/2006/relationships/hyperlink" Target="https://www.twitch.tv/powonateur/clip/CrepuscularEphemeralWasabiPrimeMe-MciZ1gdSicTud6-t" TargetMode="External"/><Relationship Id="rId87" Type="http://schemas.openxmlformats.org/officeDocument/2006/relationships/hyperlink" Target="https://www.twitch.tv/powonateur/clip/CoyCrunchyOpossumBIRB-dF7ayokryJENBZfa" TargetMode="External"/><Relationship Id="rId89" Type="http://schemas.openxmlformats.org/officeDocument/2006/relationships/hyperlink" Target="https://www.twitch.tv/powonateur/clip/CuriousSpunkyPoultryArgieB8-cNq8aT58YUXE84qE" TargetMode="External"/><Relationship Id="rId80" Type="http://schemas.openxmlformats.org/officeDocument/2006/relationships/hyperlink" Target="https://youtu.be/m2TqCDR1oNM" TargetMode="External"/><Relationship Id="rId82" Type="http://schemas.openxmlformats.org/officeDocument/2006/relationships/hyperlink" Target="https://youtu.be/E8aUed3o2zU" TargetMode="External"/><Relationship Id="rId81" Type="http://schemas.openxmlformats.org/officeDocument/2006/relationships/hyperlink" Target="https://youtu.be/iGc2B10zwvk" TargetMode="External"/><Relationship Id="rId73" Type="http://schemas.openxmlformats.org/officeDocument/2006/relationships/hyperlink" Target="https://clips.twitch.tv/HardBloodyHamburgerKAPOW--vybqlSSwUGNZ2-V" TargetMode="External"/><Relationship Id="rId72" Type="http://schemas.openxmlformats.org/officeDocument/2006/relationships/hyperlink" Target="https://clips.twitch.tv/SmoggyBillowingEndiveCclamChamp-ZaFqWwthuV3C7d6G" TargetMode="External"/><Relationship Id="rId75" Type="http://schemas.openxmlformats.org/officeDocument/2006/relationships/hyperlink" Target="https://www.twitch.tv/videos/1590784056" TargetMode="External"/><Relationship Id="rId74" Type="http://schemas.openxmlformats.org/officeDocument/2006/relationships/hyperlink" Target="https://www.twitch.tv/videos/1045961251" TargetMode="External"/><Relationship Id="rId77" Type="http://schemas.openxmlformats.org/officeDocument/2006/relationships/hyperlink" Target="https://youtu.be/Ee0VJ0GM-ag" TargetMode="External"/><Relationship Id="rId76" Type="http://schemas.openxmlformats.org/officeDocument/2006/relationships/hyperlink" Target="https://clips.twitch.tv/SmellyImportantFoxMoreCowbell-I0u4f5UdtsT421jI" TargetMode="External"/><Relationship Id="rId79" Type="http://schemas.openxmlformats.org/officeDocument/2006/relationships/hyperlink" Target="https://youtu.be/sduNqR51kGI" TargetMode="External"/><Relationship Id="rId78" Type="http://schemas.openxmlformats.org/officeDocument/2006/relationships/hyperlink" Target="https://clips.twitch.tv/ScrumptiousPowerfulDugongPupper-OUGeVxt0chLJpMFh" TargetMode="External"/><Relationship Id="rId71" Type="http://schemas.openxmlformats.org/officeDocument/2006/relationships/hyperlink" Target="https://clips.twitch.tv/LitigiousRamshackleBorkThisIsSparta-xKEoKqUM4rBq1Cb7" TargetMode="External"/><Relationship Id="rId70" Type="http://schemas.openxmlformats.org/officeDocument/2006/relationships/hyperlink" Target="https://www.twitch.tv/powonateur/clip/DependableSlickPotPeoplesChamp-eBEGv00_u9Q_vrcU" TargetMode="External"/><Relationship Id="rId62" Type="http://schemas.openxmlformats.org/officeDocument/2006/relationships/hyperlink" Target="https://youtu.be/3Dhc2btU324" TargetMode="External"/><Relationship Id="rId61" Type="http://schemas.openxmlformats.org/officeDocument/2006/relationships/hyperlink" Target="https://youtu.be/IFhAv0_pjlY" TargetMode="External"/><Relationship Id="rId64" Type="http://schemas.openxmlformats.org/officeDocument/2006/relationships/hyperlink" Target="https://youtu.be/CDu-KihW3s4" TargetMode="External"/><Relationship Id="rId63" Type="http://schemas.openxmlformats.org/officeDocument/2006/relationships/hyperlink" Target="https://youtu.be/qM5pfYaNzPQ" TargetMode="External"/><Relationship Id="rId66" Type="http://schemas.openxmlformats.org/officeDocument/2006/relationships/hyperlink" Target="https://youtu.be/9bf_VHi1Yuw" TargetMode="External"/><Relationship Id="rId65" Type="http://schemas.openxmlformats.org/officeDocument/2006/relationships/hyperlink" Target="https://youtu.be/Qd-lqB9VQi4" TargetMode="External"/><Relationship Id="rId68" Type="http://schemas.openxmlformats.org/officeDocument/2006/relationships/hyperlink" Target="https://youtu.be/-axBYhhxdEg" TargetMode="External"/><Relationship Id="rId67" Type="http://schemas.openxmlformats.org/officeDocument/2006/relationships/hyperlink" Target="https://youtu.be/dCCvWrtoHvY" TargetMode="External"/><Relationship Id="rId60" Type="http://schemas.openxmlformats.org/officeDocument/2006/relationships/hyperlink" Target="https://youtu.be/1W8g5IKF6GY" TargetMode="External"/><Relationship Id="rId69" Type="http://schemas.openxmlformats.org/officeDocument/2006/relationships/hyperlink" Target="https://youtu.be/8izEd3Vsc-4" TargetMode="External"/><Relationship Id="rId51" Type="http://schemas.openxmlformats.org/officeDocument/2006/relationships/hyperlink" Target="https://youtu.be/dwRO8rc7Z8I" TargetMode="External"/><Relationship Id="rId50" Type="http://schemas.openxmlformats.org/officeDocument/2006/relationships/hyperlink" Target="https://youtu.be/v7f61LoLDQA" TargetMode="External"/><Relationship Id="rId53" Type="http://schemas.openxmlformats.org/officeDocument/2006/relationships/hyperlink" Target="https://youtu.be/uZnWzirJNQU" TargetMode="External"/><Relationship Id="rId52" Type="http://schemas.openxmlformats.org/officeDocument/2006/relationships/hyperlink" Target="https://www.twitch.tv/videos/847701392" TargetMode="External"/><Relationship Id="rId55" Type="http://schemas.openxmlformats.org/officeDocument/2006/relationships/hyperlink" Target="https://youtu.be/0qZ0SdY8klw" TargetMode="External"/><Relationship Id="rId54" Type="http://schemas.openxmlformats.org/officeDocument/2006/relationships/hyperlink" Target="https://youtu.be/P9pYYoD0SGQ" TargetMode="External"/><Relationship Id="rId57" Type="http://schemas.openxmlformats.org/officeDocument/2006/relationships/hyperlink" Target="https://youtu.be/QCW0Ztw3gvM" TargetMode="External"/><Relationship Id="rId56" Type="http://schemas.openxmlformats.org/officeDocument/2006/relationships/hyperlink" Target="https://youtu.be/7hey3zuzY4E" TargetMode="External"/><Relationship Id="rId59" Type="http://schemas.openxmlformats.org/officeDocument/2006/relationships/hyperlink" Target="https://youtu.be/EyQrnrWaA-o" TargetMode="External"/><Relationship Id="rId58" Type="http://schemas.openxmlformats.org/officeDocument/2006/relationships/hyperlink" Target="https://youtu.be/1b29_beFWPA" TargetMode="External"/><Relationship Id="rId349" Type="http://schemas.openxmlformats.org/officeDocument/2006/relationships/hyperlink" Target="https://www.youtube.com/watch?v=M1zxqG6jy88&amp;ab_channel=ChaseChiang" TargetMode="External"/><Relationship Id="rId348" Type="http://schemas.openxmlformats.org/officeDocument/2006/relationships/hyperlink" Target="https://www.twitch.tv/videos/2616247250" TargetMode="External"/><Relationship Id="rId347" Type="http://schemas.openxmlformats.org/officeDocument/2006/relationships/hyperlink" Target="https://www.twitch.tv/videos/2616258976" TargetMode="External"/><Relationship Id="rId346" Type="http://schemas.openxmlformats.org/officeDocument/2006/relationships/hyperlink" Target="https://www.twitch.tv/videos/2644325093" TargetMode="External"/><Relationship Id="rId341" Type="http://schemas.openxmlformats.org/officeDocument/2006/relationships/hyperlink" Target="https://www.twitch.tv/videos/2640887420" TargetMode="External"/><Relationship Id="rId340" Type="http://schemas.openxmlformats.org/officeDocument/2006/relationships/hyperlink" Target="https://www.twitch.tv/videos/2620318476" TargetMode="External"/><Relationship Id="rId345" Type="http://schemas.openxmlformats.org/officeDocument/2006/relationships/hyperlink" Target="https://www.twitch.tv/videos/2616229194" TargetMode="External"/><Relationship Id="rId344" Type="http://schemas.openxmlformats.org/officeDocument/2006/relationships/hyperlink" Target="https://www.twitch.tv/videos/2644326418" TargetMode="External"/><Relationship Id="rId343" Type="http://schemas.openxmlformats.org/officeDocument/2006/relationships/hyperlink" Target="https://www.twitch.tv/videos/2620462564" TargetMode="External"/><Relationship Id="rId342" Type="http://schemas.openxmlformats.org/officeDocument/2006/relationships/hyperlink" Target="https://www.twitch.tv/videos/2640889393" TargetMode="External"/><Relationship Id="rId338" Type="http://schemas.openxmlformats.org/officeDocument/2006/relationships/hyperlink" Target="https://www.youtube.com/watch?v=IUrLuXCnVlk" TargetMode="External"/><Relationship Id="rId337" Type="http://schemas.openxmlformats.org/officeDocument/2006/relationships/hyperlink" Target="https://www.youtube.com/watch?v=TvXuW2p00lg" TargetMode="External"/><Relationship Id="rId336" Type="http://schemas.openxmlformats.org/officeDocument/2006/relationships/hyperlink" Target="https://www.youtube.com/watch?v=-GHU68seT2w" TargetMode="External"/><Relationship Id="rId335" Type="http://schemas.openxmlformats.org/officeDocument/2006/relationships/hyperlink" Target="https://www.youtube.com/watch?v=J-ZTfp7f1qY" TargetMode="External"/><Relationship Id="rId339" Type="http://schemas.openxmlformats.org/officeDocument/2006/relationships/hyperlink" Target="https://www.twitch.tv/videos/2620489102" TargetMode="External"/><Relationship Id="rId330" Type="http://schemas.openxmlformats.org/officeDocument/2006/relationships/hyperlink" Target="https://www.youtube.com/watch?v=xXk6Kdde6g8" TargetMode="External"/><Relationship Id="rId334" Type="http://schemas.openxmlformats.org/officeDocument/2006/relationships/hyperlink" Target="https://www.twitch.tv/videos/2644289434" TargetMode="External"/><Relationship Id="rId333" Type="http://schemas.openxmlformats.org/officeDocument/2006/relationships/hyperlink" Target="https://www.youtube.com/watch?v=sIN04uhfY0w" TargetMode="External"/><Relationship Id="rId332" Type="http://schemas.openxmlformats.org/officeDocument/2006/relationships/hyperlink" Target="https://www.youtube.com/watch?v=8LF1Gf1b3q4" TargetMode="External"/><Relationship Id="rId331" Type="http://schemas.openxmlformats.org/officeDocument/2006/relationships/hyperlink" Target="https://www.youtube.com/watch?v=iSMxdE15dp8" TargetMode="External"/><Relationship Id="rId370" Type="http://schemas.openxmlformats.org/officeDocument/2006/relationships/hyperlink" Target="https://youtu.be/950HrqE5YCo" TargetMode="External"/><Relationship Id="rId369" Type="http://schemas.openxmlformats.org/officeDocument/2006/relationships/hyperlink" Target="https://youtu.be/ccui68bxA5g" TargetMode="External"/><Relationship Id="rId368" Type="http://schemas.openxmlformats.org/officeDocument/2006/relationships/hyperlink" Target="https://youtu.be/AlsuhBS2KgI" TargetMode="External"/><Relationship Id="rId363" Type="http://schemas.openxmlformats.org/officeDocument/2006/relationships/hyperlink" Target="https://www.youtube.com/watch?v=EEMqqju65rY" TargetMode="External"/><Relationship Id="rId362" Type="http://schemas.openxmlformats.org/officeDocument/2006/relationships/hyperlink" Target="https://clips.twitch.tv/GloriousObliviousTubersPhilosoraptor" TargetMode="External"/><Relationship Id="rId361" Type="http://schemas.openxmlformats.org/officeDocument/2006/relationships/hyperlink" Target="https://www.youtube.com/watch?v=yysm1Nwi6Oc" TargetMode="External"/><Relationship Id="rId360" Type="http://schemas.openxmlformats.org/officeDocument/2006/relationships/hyperlink" Target="https://www.youtube.com/watch?v=8zsmNbgmLkw" TargetMode="External"/><Relationship Id="rId367" Type="http://schemas.openxmlformats.org/officeDocument/2006/relationships/hyperlink" Target="https://youtu.be/lJbfdlbYKic" TargetMode="External"/><Relationship Id="rId366" Type="http://schemas.openxmlformats.org/officeDocument/2006/relationships/hyperlink" Target="https://clips.twitch.tv/SpikySmoggyLlamaFeelsBadMan" TargetMode="External"/><Relationship Id="rId365" Type="http://schemas.openxmlformats.org/officeDocument/2006/relationships/hyperlink" Target="https://www.youtube.com/watch?v=A82NEJ2Rt4Q" TargetMode="External"/><Relationship Id="rId364" Type="http://schemas.openxmlformats.org/officeDocument/2006/relationships/hyperlink" Target="https://www.youtube.com/watch?v=rcAi7l6-JnI" TargetMode="External"/><Relationship Id="rId95" Type="http://schemas.openxmlformats.org/officeDocument/2006/relationships/hyperlink" Target="https://www.twitch.tv/powonateur/clip/HyperMagnificentLegSpicyBoy-57l0a1M3sAaJhD9X" TargetMode="External"/><Relationship Id="rId94" Type="http://schemas.openxmlformats.org/officeDocument/2006/relationships/hyperlink" Target="https://youtu.be/HfsWO2gu66E" TargetMode="External"/><Relationship Id="rId97" Type="http://schemas.openxmlformats.org/officeDocument/2006/relationships/hyperlink" Target="https://youtu.be/Y6AcMsmJE_M?si=I1WWw40x3fhzWjHp" TargetMode="External"/><Relationship Id="rId96" Type="http://schemas.openxmlformats.org/officeDocument/2006/relationships/hyperlink" Target="https://youtu.be/1Il7zjX0-ns" TargetMode="External"/><Relationship Id="rId99" Type="http://schemas.openxmlformats.org/officeDocument/2006/relationships/hyperlink" Target="https://youtu.be/FgMzBY7rAMQ" TargetMode="External"/><Relationship Id="rId98" Type="http://schemas.openxmlformats.org/officeDocument/2006/relationships/hyperlink" Target="https://youtu.be/GqX_cwbZM8A?si=fczeql8OxHwCNDrz" TargetMode="External"/><Relationship Id="rId91" Type="http://schemas.openxmlformats.org/officeDocument/2006/relationships/hyperlink" Target="https://youtu.be/CgigayqCagc" TargetMode="External"/><Relationship Id="rId90" Type="http://schemas.openxmlformats.org/officeDocument/2006/relationships/hyperlink" Target="https://youtu.be/yjlkKGEU_Cc" TargetMode="External"/><Relationship Id="rId93" Type="http://schemas.openxmlformats.org/officeDocument/2006/relationships/hyperlink" Target="https://youtu.be/lNvcdtYrmDY" TargetMode="External"/><Relationship Id="rId92" Type="http://schemas.openxmlformats.org/officeDocument/2006/relationships/hyperlink" Target="https://youtu.be/nvHeEERA584" TargetMode="External"/><Relationship Id="rId359" Type="http://schemas.openxmlformats.org/officeDocument/2006/relationships/hyperlink" Target="https://www.twitch.tv/videos/1028770481" TargetMode="External"/><Relationship Id="rId358" Type="http://schemas.openxmlformats.org/officeDocument/2006/relationships/hyperlink" Target="https://youtu.be/RgUras9a4nU?si=-v86-NOlz6JVF6HR" TargetMode="External"/><Relationship Id="rId357" Type="http://schemas.openxmlformats.org/officeDocument/2006/relationships/hyperlink" Target="https://www.youtube.com/watch?v=yBc3XoX39zw" TargetMode="External"/><Relationship Id="rId352" Type="http://schemas.openxmlformats.org/officeDocument/2006/relationships/hyperlink" Target="https://clips.twitch.tv/SpunkyThoughtfulSamosaAllenHuhu-zTPAfQxOJjnuLZFX" TargetMode="External"/><Relationship Id="rId351" Type="http://schemas.openxmlformats.org/officeDocument/2006/relationships/hyperlink" Target="https://www.twitch.tv/videos/2621288372" TargetMode="External"/><Relationship Id="rId350" Type="http://schemas.openxmlformats.org/officeDocument/2006/relationships/hyperlink" Target="https://www.twitch.tv/videos/2605868059" TargetMode="External"/><Relationship Id="rId356" Type="http://schemas.openxmlformats.org/officeDocument/2006/relationships/hyperlink" Target="https://youtu.be/adfGqi7Kyp0" TargetMode="External"/><Relationship Id="rId355" Type="http://schemas.openxmlformats.org/officeDocument/2006/relationships/hyperlink" Target="https://youtu.be/LX0lO1bws2g" TargetMode="External"/><Relationship Id="rId354" Type="http://schemas.openxmlformats.org/officeDocument/2006/relationships/hyperlink" Target="https://youtu.be/3tlDTV92Frw" TargetMode="External"/><Relationship Id="rId353" Type="http://schemas.openxmlformats.org/officeDocument/2006/relationships/hyperlink" Target="https://youtu.be/418hKZDiUWU" TargetMode="External"/><Relationship Id="rId305" Type="http://schemas.openxmlformats.org/officeDocument/2006/relationships/hyperlink" Target="https://youtu.be/kNLNdfCUsR8" TargetMode="External"/><Relationship Id="rId304" Type="http://schemas.openxmlformats.org/officeDocument/2006/relationships/hyperlink" Target="https://youtu.be/RrYStRdoOPQ" TargetMode="External"/><Relationship Id="rId303" Type="http://schemas.openxmlformats.org/officeDocument/2006/relationships/hyperlink" Target="https://youtu.be/kjlrd1GALWI" TargetMode="External"/><Relationship Id="rId302" Type="http://schemas.openxmlformats.org/officeDocument/2006/relationships/hyperlink" Target="https://youtu.be/O1ojYADSAgY" TargetMode="External"/><Relationship Id="rId309" Type="http://schemas.openxmlformats.org/officeDocument/2006/relationships/hyperlink" Target="https://youtu.be/ovm--oC5EGM" TargetMode="External"/><Relationship Id="rId308" Type="http://schemas.openxmlformats.org/officeDocument/2006/relationships/hyperlink" Target="https://youtu.be/hz2lcjaQP88" TargetMode="External"/><Relationship Id="rId307" Type="http://schemas.openxmlformats.org/officeDocument/2006/relationships/hyperlink" Target="https://youtu.be/dzGEhjLsd3Y" TargetMode="External"/><Relationship Id="rId306" Type="http://schemas.openxmlformats.org/officeDocument/2006/relationships/hyperlink" Target="https://youtu.be/Hg3DzKNbZMw" TargetMode="External"/><Relationship Id="rId301" Type="http://schemas.openxmlformats.org/officeDocument/2006/relationships/hyperlink" Target="https://youtu.be/sKsdCWJpC_A" TargetMode="External"/><Relationship Id="rId300" Type="http://schemas.openxmlformats.org/officeDocument/2006/relationships/hyperlink" Target="https://youtu.be/C7TsOglNKsU" TargetMode="External"/><Relationship Id="rId327" Type="http://schemas.openxmlformats.org/officeDocument/2006/relationships/hyperlink" Target="https://www.youtube.com/watch?v=b2LQnMenPZ0" TargetMode="External"/><Relationship Id="rId326" Type="http://schemas.openxmlformats.org/officeDocument/2006/relationships/hyperlink" Target="https://youtu.be/Qj8Quhiv4G8" TargetMode="External"/><Relationship Id="rId325" Type="http://schemas.openxmlformats.org/officeDocument/2006/relationships/hyperlink" Target="https://youtu.be/cC0WR2XDqjU" TargetMode="External"/><Relationship Id="rId324" Type="http://schemas.openxmlformats.org/officeDocument/2006/relationships/hyperlink" Target="https://youtu.be/96rn7zZ8NTo" TargetMode="External"/><Relationship Id="rId329" Type="http://schemas.openxmlformats.org/officeDocument/2006/relationships/hyperlink" Target="https://www.twitch.tv/videos/2608495333" TargetMode="External"/><Relationship Id="rId328" Type="http://schemas.openxmlformats.org/officeDocument/2006/relationships/hyperlink" Target="https://www.youtube.com/watch?v=OMeTQGkVxfk" TargetMode="External"/><Relationship Id="rId323" Type="http://schemas.openxmlformats.org/officeDocument/2006/relationships/hyperlink" Target="https://youtu.be/aPGjLZK2uD0" TargetMode="External"/><Relationship Id="rId322" Type="http://schemas.openxmlformats.org/officeDocument/2006/relationships/hyperlink" Target="https://youtu.be/aPGjLZK2uD0" TargetMode="External"/><Relationship Id="rId321" Type="http://schemas.openxmlformats.org/officeDocument/2006/relationships/hyperlink" Target="https://youtu.be/1eDNR62Y32w" TargetMode="External"/><Relationship Id="rId320" Type="http://schemas.openxmlformats.org/officeDocument/2006/relationships/hyperlink" Target="https://youtu.be/6gK0PyqVQo4" TargetMode="External"/><Relationship Id="rId316" Type="http://schemas.openxmlformats.org/officeDocument/2006/relationships/hyperlink" Target="https://www.twitch.tv/videos/945986789" TargetMode="External"/><Relationship Id="rId315" Type="http://schemas.openxmlformats.org/officeDocument/2006/relationships/hyperlink" Target="https://youtu.be/ziemwfieqs0" TargetMode="External"/><Relationship Id="rId314" Type="http://schemas.openxmlformats.org/officeDocument/2006/relationships/hyperlink" Target="https://youtu.be/U2QkTJ-cyf0" TargetMode="External"/><Relationship Id="rId313" Type="http://schemas.openxmlformats.org/officeDocument/2006/relationships/hyperlink" Target="https://youtu.be/SDlFA5FfjL0" TargetMode="External"/><Relationship Id="rId319" Type="http://schemas.openxmlformats.org/officeDocument/2006/relationships/hyperlink" Target="https://www.twitch.tv/videos/979484417" TargetMode="External"/><Relationship Id="rId318" Type="http://schemas.openxmlformats.org/officeDocument/2006/relationships/hyperlink" Target="https://www.twitch.tv/videos/979483039" TargetMode="External"/><Relationship Id="rId317" Type="http://schemas.openxmlformats.org/officeDocument/2006/relationships/hyperlink" Target="https://youtu.be/-Ohqisa88zk" TargetMode="External"/><Relationship Id="rId312" Type="http://schemas.openxmlformats.org/officeDocument/2006/relationships/hyperlink" Target="https://youtu.be/d3Ivh3DzHm8" TargetMode="External"/><Relationship Id="rId311" Type="http://schemas.openxmlformats.org/officeDocument/2006/relationships/hyperlink" Target="https://youtu.be/CFzNTVViYm8" TargetMode="External"/><Relationship Id="rId310" Type="http://schemas.openxmlformats.org/officeDocument/2006/relationships/hyperlink" Target="https://youtu.be/tk1MY-cnAJA" TargetMode="External"/><Relationship Id="rId297" Type="http://schemas.openxmlformats.org/officeDocument/2006/relationships/hyperlink" Target="https://youtu.be/DTRsomXJR-s" TargetMode="External"/><Relationship Id="rId296" Type="http://schemas.openxmlformats.org/officeDocument/2006/relationships/hyperlink" Target="https://youtu.be/OCpM515vPjg" TargetMode="External"/><Relationship Id="rId295" Type="http://schemas.openxmlformats.org/officeDocument/2006/relationships/hyperlink" Target="https://youtu.be/E89EVfWR4mk" TargetMode="External"/><Relationship Id="rId294" Type="http://schemas.openxmlformats.org/officeDocument/2006/relationships/hyperlink" Target="https://youtu.be/27nIIDzpGjc" TargetMode="External"/><Relationship Id="rId299" Type="http://schemas.openxmlformats.org/officeDocument/2006/relationships/hyperlink" Target="https://youtu.be/gll2J8peIdk" TargetMode="External"/><Relationship Id="rId298" Type="http://schemas.openxmlformats.org/officeDocument/2006/relationships/hyperlink" Target="https://youtu.be/9zhU5Ii7fsA" TargetMode="External"/><Relationship Id="rId271" Type="http://schemas.openxmlformats.org/officeDocument/2006/relationships/hyperlink" Target="https://youtu.be/Tn7oh1WvDGc" TargetMode="External"/><Relationship Id="rId270" Type="http://schemas.openxmlformats.org/officeDocument/2006/relationships/hyperlink" Target="https://youtu.be/lFLyrti2sds" TargetMode="External"/><Relationship Id="rId269" Type="http://schemas.openxmlformats.org/officeDocument/2006/relationships/hyperlink" Target="https://youtu.be/bB75u301Ees" TargetMode="External"/><Relationship Id="rId264" Type="http://schemas.openxmlformats.org/officeDocument/2006/relationships/hyperlink" Target="https://youtu.be/CQ13Tj0lUko" TargetMode="External"/><Relationship Id="rId263" Type="http://schemas.openxmlformats.org/officeDocument/2006/relationships/hyperlink" Target="https://www.youtube.com/watch?v=bRmogW16NbQ" TargetMode="External"/><Relationship Id="rId262" Type="http://schemas.openxmlformats.org/officeDocument/2006/relationships/hyperlink" Target="https://youtu.be/fMsk0Hfzwxc" TargetMode="External"/><Relationship Id="rId261" Type="http://schemas.openxmlformats.org/officeDocument/2006/relationships/hyperlink" Target="https://youtu.be/PTEEQDKmLwo" TargetMode="External"/><Relationship Id="rId268" Type="http://schemas.openxmlformats.org/officeDocument/2006/relationships/hyperlink" Target="https://youtu.be/A05e4h1D9Hc" TargetMode="External"/><Relationship Id="rId267" Type="http://schemas.openxmlformats.org/officeDocument/2006/relationships/hyperlink" Target="https://youtu.be/tAh66uKBK00" TargetMode="External"/><Relationship Id="rId266" Type="http://schemas.openxmlformats.org/officeDocument/2006/relationships/hyperlink" Target="https://www.youtube.com/watch?v=rul-V0Jy76w" TargetMode="External"/><Relationship Id="rId265" Type="http://schemas.openxmlformats.org/officeDocument/2006/relationships/hyperlink" Target="https://youtu.be/buFrAgcL6f4" TargetMode="External"/><Relationship Id="rId260" Type="http://schemas.openxmlformats.org/officeDocument/2006/relationships/hyperlink" Target="https://youtu.be/1HrkPS0qeYY" TargetMode="External"/><Relationship Id="rId259" Type="http://schemas.openxmlformats.org/officeDocument/2006/relationships/hyperlink" Target="https://discord.com/channels/715421729199226920/715425867802607656/817250698835656734" TargetMode="External"/><Relationship Id="rId258" Type="http://schemas.openxmlformats.org/officeDocument/2006/relationships/hyperlink" Target="https://youtu.be/evVCJKPJWbU" TargetMode="External"/><Relationship Id="rId253" Type="http://schemas.openxmlformats.org/officeDocument/2006/relationships/hyperlink" Target="https://www.twitch.tv/videos/1005440285" TargetMode="External"/><Relationship Id="rId252" Type="http://schemas.openxmlformats.org/officeDocument/2006/relationships/hyperlink" Target="https://youtu.be/DSqjOC8F1zg" TargetMode="External"/><Relationship Id="rId251" Type="http://schemas.openxmlformats.org/officeDocument/2006/relationships/hyperlink" Target="https://youtu.be/Rid-vpJMkvo" TargetMode="External"/><Relationship Id="rId250" Type="http://schemas.openxmlformats.org/officeDocument/2006/relationships/hyperlink" Target="https://youtu.be/nScllaVR1FU" TargetMode="External"/><Relationship Id="rId257" Type="http://schemas.openxmlformats.org/officeDocument/2006/relationships/hyperlink" Target="https://youtu.be/QQy-SAuK_rg" TargetMode="External"/><Relationship Id="rId256" Type="http://schemas.openxmlformats.org/officeDocument/2006/relationships/hyperlink" Target="https://youtu.be/hF83qoi7nyA" TargetMode="External"/><Relationship Id="rId255" Type="http://schemas.openxmlformats.org/officeDocument/2006/relationships/hyperlink" Target="https://youtu.be/iFZMmA950qs?si=fufCX2rZCr6MyZkl&amp;t=57" TargetMode="External"/><Relationship Id="rId254" Type="http://schemas.openxmlformats.org/officeDocument/2006/relationships/hyperlink" Target="https://youtu.be/ARaHsr14x50?si=vQLryyEPecY3xCHi&amp;t=60" TargetMode="External"/><Relationship Id="rId293" Type="http://schemas.openxmlformats.org/officeDocument/2006/relationships/hyperlink" Target="https://youtu.be/yPVi_6V0T9Y" TargetMode="External"/><Relationship Id="rId292" Type="http://schemas.openxmlformats.org/officeDocument/2006/relationships/hyperlink" Target="https://youtu.be/kvMJVczfkbI" TargetMode="External"/><Relationship Id="rId291" Type="http://schemas.openxmlformats.org/officeDocument/2006/relationships/hyperlink" Target="https://youtu.be/gEbeYAr85MI" TargetMode="External"/><Relationship Id="rId290" Type="http://schemas.openxmlformats.org/officeDocument/2006/relationships/hyperlink" Target="https://youtu.be/x4k4NXiFRsQ" TargetMode="External"/><Relationship Id="rId286" Type="http://schemas.openxmlformats.org/officeDocument/2006/relationships/hyperlink" Target="https://youtu.be/xUr3zhGSslU?t=20" TargetMode="External"/><Relationship Id="rId285" Type="http://schemas.openxmlformats.org/officeDocument/2006/relationships/hyperlink" Target="https://youtu.be/A7Cqi8ORnoI" TargetMode="External"/><Relationship Id="rId284" Type="http://schemas.openxmlformats.org/officeDocument/2006/relationships/hyperlink" Target="https://youtu.be/WNduN6SN4nY" TargetMode="External"/><Relationship Id="rId283" Type="http://schemas.openxmlformats.org/officeDocument/2006/relationships/hyperlink" Target="https://youtu.be/cgC1dYdc4c0?t=53" TargetMode="External"/><Relationship Id="rId289" Type="http://schemas.openxmlformats.org/officeDocument/2006/relationships/hyperlink" Target="https://youtu.be/KuYJ9zSk_k4" TargetMode="External"/><Relationship Id="rId288" Type="http://schemas.openxmlformats.org/officeDocument/2006/relationships/hyperlink" Target="https://youtu.be/S8JbWou2tHc" TargetMode="External"/><Relationship Id="rId287" Type="http://schemas.openxmlformats.org/officeDocument/2006/relationships/hyperlink" Target="https://youtu.be/NI3Pboc4Asc" TargetMode="External"/><Relationship Id="rId282" Type="http://schemas.openxmlformats.org/officeDocument/2006/relationships/hyperlink" Target="https://www.youtube.com/watch?v=ya_Dm6MfR3g" TargetMode="External"/><Relationship Id="rId281" Type="http://schemas.openxmlformats.org/officeDocument/2006/relationships/hyperlink" Target="https://youtu.be/kVrEnMDABM0" TargetMode="External"/><Relationship Id="rId280" Type="http://schemas.openxmlformats.org/officeDocument/2006/relationships/hyperlink" Target="https://www.youtube.com/watch?v=El5FZP0IphQ" TargetMode="External"/><Relationship Id="rId275" Type="http://schemas.openxmlformats.org/officeDocument/2006/relationships/hyperlink" Target="https://youtu.be/0OLBXI8fp1s" TargetMode="External"/><Relationship Id="rId274" Type="http://schemas.openxmlformats.org/officeDocument/2006/relationships/hyperlink" Target="https://youtu.be/fCGuJamdZIE" TargetMode="External"/><Relationship Id="rId273" Type="http://schemas.openxmlformats.org/officeDocument/2006/relationships/hyperlink" Target="https://youtu.be/A0iGewjnyBw" TargetMode="External"/><Relationship Id="rId272" Type="http://schemas.openxmlformats.org/officeDocument/2006/relationships/hyperlink" Target="https://youtu.be/A04BJsGCXao" TargetMode="External"/><Relationship Id="rId279" Type="http://schemas.openxmlformats.org/officeDocument/2006/relationships/hyperlink" Target="https://youtu.be/WvdOcNTJwy8" TargetMode="External"/><Relationship Id="rId278" Type="http://schemas.openxmlformats.org/officeDocument/2006/relationships/hyperlink" Target="https://www.youtube.com/watch?reload=9&amp;v=spyJS8AJS-o" TargetMode="External"/><Relationship Id="rId277" Type="http://schemas.openxmlformats.org/officeDocument/2006/relationships/hyperlink" Target="https://youtu.be/dsNZji3alLw" TargetMode="External"/><Relationship Id="rId276" Type="http://schemas.openxmlformats.org/officeDocument/2006/relationships/hyperlink" Target="https://youtu.be/FUJHxWIIHKw" TargetMode="External"/><Relationship Id="rId228" Type="http://schemas.openxmlformats.org/officeDocument/2006/relationships/hyperlink" Target="https://youtu.be/BmuUbGGzBIY" TargetMode="External"/><Relationship Id="rId227" Type="http://schemas.openxmlformats.org/officeDocument/2006/relationships/hyperlink" Target="https://youtu.be/EAQZS_IfcmM" TargetMode="External"/><Relationship Id="rId226" Type="http://schemas.openxmlformats.org/officeDocument/2006/relationships/hyperlink" Target="https://www.youtube.com/watch?v=CIfLZ_ToOQg" TargetMode="External"/><Relationship Id="rId225" Type="http://schemas.openxmlformats.org/officeDocument/2006/relationships/hyperlink" Target="https://www.youtube.com/watch?v=L_fw3GJ_uv8" TargetMode="External"/><Relationship Id="rId229" Type="http://schemas.openxmlformats.org/officeDocument/2006/relationships/hyperlink" Target="https://youtu.be/Im23T5i9pZY" TargetMode="External"/><Relationship Id="rId220" Type="http://schemas.openxmlformats.org/officeDocument/2006/relationships/hyperlink" Target="https://youtu.be/pAiw9qsuug4" TargetMode="External"/><Relationship Id="rId224" Type="http://schemas.openxmlformats.org/officeDocument/2006/relationships/hyperlink" Target="https://youtu.be/aEchMe3URnA" TargetMode="External"/><Relationship Id="rId223" Type="http://schemas.openxmlformats.org/officeDocument/2006/relationships/hyperlink" Target="https://youtu.be/48viFGWdifs" TargetMode="External"/><Relationship Id="rId222" Type="http://schemas.openxmlformats.org/officeDocument/2006/relationships/hyperlink" Target="https://youtu.be/CAo98o1H7ag" TargetMode="External"/><Relationship Id="rId221" Type="http://schemas.openxmlformats.org/officeDocument/2006/relationships/hyperlink" Target="https://www.youtube.com/watch?v=Bx3tym-qAhI" TargetMode="External"/><Relationship Id="rId217" Type="http://schemas.openxmlformats.org/officeDocument/2006/relationships/hyperlink" Target="https://youtu.be/MBVUpmVfN38" TargetMode="External"/><Relationship Id="rId216" Type="http://schemas.openxmlformats.org/officeDocument/2006/relationships/hyperlink" Target="https://youtu.be/ToJlQqApSE4" TargetMode="External"/><Relationship Id="rId215" Type="http://schemas.openxmlformats.org/officeDocument/2006/relationships/hyperlink" Target="https://youtu.be/M4h-Zmdbkog" TargetMode="External"/><Relationship Id="rId214" Type="http://schemas.openxmlformats.org/officeDocument/2006/relationships/hyperlink" Target="https://youtu.be/drf4UEBSaSA" TargetMode="External"/><Relationship Id="rId219" Type="http://schemas.openxmlformats.org/officeDocument/2006/relationships/hyperlink" Target="https://youtu.be/Q5hL2yArxAM" TargetMode="External"/><Relationship Id="rId218" Type="http://schemas.openxmlformats.org/officeDocument/2006/relationships/hyperlink" Target="https://youtu.be/5L8pcltH_PU" TargetMode="External"/><Relationship Id="rId213" Type="http://schemas.openxmlformats.org/officeDocument/2006/relationships/hyperlink" Target="https://youtu.be/k9T0r4Nw3fM" TargetMode="External"/><Relationship Id="rId212" Type="http://schemas.openxmlformats.org/officeDocument/2006/relationships/hyperlink" Target="https://youtu.be/QMYqTENtXOU" TargetMode="External"/><Relationship Id="rId211" Type="http://schemas.openxmlformats.org/officeDocument/2006/relationships/hyperlink" Target="https://youtu.be/fvP8Davf2y0" TargetMode="External"/><Relationship Id="rId210" Type="http://schemas.openxmlformats.org/officeDocument/2006/relationships/hyperlink" Target="https://youtu.be/OJW8A-fSOC0" TargetMode="External"/><Relationship Id="rId249" Type="http://schemas.openxmlformats.org/officeDocument/2006/relationships/hyperlink" Target="https://youtu.be/nxwIN3rLnY0" TargetMode="External"/><Relationship Id="rId248" Type="http://schemas.openxmlformats.org/officeDocument/2006/relationships/hyperlink" Target="https://youtu.be/7X42mXlBSoI" TargetMode="External"/><Relationship Id="rId247" Type="http://schemas.openxmlformats.org/officeDocument/2006/relationships/hyperlink" Target="https://clips.twitch.tv/SuspiciousShakingWaterTwitchRaid--x0q-i_DNmYP3Iyb" TargetMode="External"/><Relationship Id="rId242" Type="http://schemas.openxmlformats.org/officeDocument/2006/relationships/hyperlink" Target="https://youtu.be/95eCuiSlY14" TargetMode="External"/><Relationship Id="rId241" Type="http://schemas.openxmlformats.org/officeDocument/2006/relationships/hyperlink" Target="https://youtu.be/VpXqdf5n2Io" TargetMode="External"/><Relationship Id="rId240" Type="http://schemas.openxmlformats.org/officeDocument/2006/relationships/hyperlink" Target="https://youtu.be/YNeNEstAmdM" TargetMode="External"/><Relationship Id="rId246" Type="http://schemas.openxmlformats.org/officeDocument/2006/relationships/hyperlink" Target="https://youtu.be/G3C3FqmCsQM" TargetMode="External"/><Relationship Id="rId245" Type="http://schemas.openxmlformats.org/officeDocument/2006/relationships/hyperlink" Target="https://www.twitch.tv/videos/2641739180" TargetMode="External"/><Relationship Id="rId244" Type="http://schemas.openxmlformats.org/officeDocument/2006/relationships/hyperlink" Target="https://www.youtube.com/watch?v=pbtSCCaXne8" TargetMode="External"/><Relationship Id="rId243" Type="http://schemas.openxmlformats.org/officeDocument/2006/relationships/hyperlink" Target="https://www.twitch.tv/videos/1003781546" TargetMode="External"/><Relationship Id="rId239" Type="http://schemas.openxmlformats.org/officeDocument/2006/relationships/hyperlink" Target="https://youtu.be/lLMuWzAYzxg" TargetMode="External"/><Relationship Id="rId238" Type="http://schemas.openxmlformats.org/officeDocument/2006/relationships/hyperlink" Target="https://youtu.be/A0py9rZ6pYk" TargetMode="External"/><Relationship Id="rId237" Type="http://schemas.openxmlformats.org/officeDocument/2006/relationships/hyperlink" Target="https://youtu.be/gx-wxoGlSHY" TargetMode="External"/><Relationship Id="rId236" Type="http://schemas.openxmlformats.org/officeDocument/2006/relationships/hyperlink" Target="https://youtu.be/nbvBqTxc4YE" TargetMode="External"/><Relationship Id="rId231" Type="http://schemas.openxmlformats.org/officeDocument/2006/relationships/hyperlink" Target="https://youtu.be/tOWIwpVqFL0" TargetMode="External"/><Relationship Id="rId230" Type="http://schemas.openxmlformats.org/officeDocument/2006/relationships/hyperlink" Target="https://youtu.be/Nt10bUAdxPw" TargetMode="External"/><Relationship Id="rId235" Type="http://schemas.openxmlformats.org/officeDocument/2006/relationships/hyperlink" Target="https://youtu.be/zndxurNJGHU" TargetMode="External"/><Relationship Id="rId234" Type="http://schemas.openxmlformats.org/officeDocument/2006/relationships/hyperlink" Target="https://youtu.be/my1Wz89vofg" TargetMode="External"/><Relationship Id="rId233" Type="http://schemas.openxmlformats.org/officeDocument/2006/relationships/hyperlink" Target="https://youtu.be/e3zQyrQgKis" TargetMode="External"/><Relationship Id="rId232" Type="http://schemas.openxmlformats.org/officeDocument/2006/relationships/hyperlink" Target="https://www.youtube.com/watch?v=Rmspe1-cq0U" TargetMode="External"/><Relationship Id="rId206" Type="http://schemas.openxmlformats.org/officeDocument/2006/relationships/hyperlink" Target="https://www.youtube.com/watch?v=REslNoulcnc" TargetMode="External"/><Relationship Id="rId205" Type="http://schemas.openxmlformats.org/officeDocument/2006/relationships/hyperlink" Target="https://www.youtube.com/watch?v=PciLU1s-2Is&amp;start=191" TargetMode="External"/><Relationship Id="rId204" Type="http://schemas.openxmlformats.org/officeDocument/2006/relationships/hyperlink" Target="https://youtu.be/qCxU_w_7XD0?t=34" TargetMode="External"/><Relationship Id="rId203" Type="http://schemas.openxmlformats.org/officeDocument/2006/relationships/hyperlink" Target="https://youtu.be/gNiSNs-ZBmM?t=29" TargetMode="External"/><Relationship Id="rId209" Type="http://schemas.openxmlformats.org/officeDocument/2006/relationships/hyperlink" Target="https://youtu.be/J0Xx_PW41tg" TargetMode="External"/><Relationship Id="rId208" Type="http://schemas.openxmlformats.org/officeDocument/2006/relationships/hyperlink" Target="https://www.youtube.com/watch?v=QfTfrjp09oo" TargetMode="External"/><Relationship Id="rId207" Type="http://schemas.openxmlformats.org/officeDocument/2006/relationships/hyperlink" Target="https://www.youtube.com/watch?v=IhMw_KN7hFc" TargetMode="External"/><Relationship Id="rId202" Type="http://schemas.openxmlformats.org/officeDocument/2006/relationships/hyperlink" Target="https://www.youtube.com/watch?v=ofyjmYogX9Q" TargetMode="External"/><Relationship Id="rId201" Type="http://schemas.openxmlformats.org/officeDocument/2006/relationships/hyperlink" Target="https://www.youtube.com/watch?v=oFDY-FlMpmg" TargetMode="External"/><Relationship Id="rId200" Type="http://schemas.openxmlformats.org/officeDocument/2006/relationships/hyperlink" Target="https://www.youtube.com/watch?v=JOLwcTgV-TA" TargetMode="External"/><Relationship Id="rId409" Type="http://schemas.openxmlformats.org/officeDocument/2006/relationships/hyperlink" Target="https://youtu.be/lSApUL_xsJk" TargetMode="External"/><Relationship Id="rId404" Type="http://schemas.openxmlformats.org/officeDocument/2006/relationships/hyperlink" Target="https://youtu.be/MzBDzcfjg-I" TargetMode="External"/><Relationship Id="rId403" Type="http://schemas.openxmlformats.org/officeDocument/2006/relationships/hyperlink" Target="https://youtu.be/YOOf_mVEwEs" TargetMode="External"/><Relationship Id="rId402" Type="http://schemas.openxmlformats.org/officeDocument/2006/relationships/hyperlink" Target="https://www.twitch.tv/videos/885940624" TargetMode="External"/><Relationship Id="rId401" Type="http://schemas.openxmlformats.org/officeDocument/2006/relationships/hyperlink" Target="https://www.twitch.tv/videos/853440137" TargetMode="External"/><Relationship Id="rId408" Type="http://schemas.openxmlformats.org/officeDocument/2006/relationships/hyperlink" Target="https://youtu.be/fYx-OXIquf8" TargetMode="External"/><Relationship Id="rId407" Type="http://schemas.openxmlformats.org/officeDocument/2006/relationships/hyperlink" Target="https://youtu.be/wugopZ8KIhM" TargetMode="External"/><Relationship Id="rId406" Type="http://schemas.openxmlformats.org/officeDocument/2006/relationships/hyperlink" Target="https://www.twitch.tv/videos/793513590" TargetMode="External"/><Relationship Id="rId405" Type="http://schemas.openxmlformats.org/officeDocument/2006/relationships/hyperlink" Target="https://clips.twitch.tv/AntediluvianSpunkyMonkeyKeyboardCat" TargetMode="External"/><Relationship Id="rId400" Type="http://schemas.openxmlformats.org/officeDocument/2006/relationships/hyperlink" Target="https://clips.twitch.tv/VainDepressedMooseDatBoi" TargetMode="External"/><Relationship Id="rId469" Type="http://schemas.openxmlformats.org/officeDocument/2006/relationships/table" Target="../tables/table42.xml"/><Relationship Id="rId468" Type="http://schemas.openxmlformats.org/officeDocument/2006/relationships/table" Target="../tables/table41.xml"/><Relationship Id="rId467" Type="http://schemas.openxmlformats.org/officeDocument/2006/relationships/table" Target="../tables/table40.xml"/><Relationship Id="rId462" Type="http://schemas.openxmlformats.org/officeDocument/2006/relationships/table" Target="../tables/table35.xml"/><Relationship Id="rId461" Type="http://schemas.openxmlformats.org/officeDocument/2006/relationships/table" Target="../tables/table34.xml"/><Relationship Id="rId460" Type="http://schemas.openxmlformats.org/officeDocument/2006/relationships/table" Target="../tables/table33.xml"/><Relationship Id="rId466" Type="http://schemas.openxmlformats.org/officeDocument/2006/relationships/table" Target="../tables/table39.xml"/><Relationship Id="rId465" Type="http://schemas.openxmlformats.org/officeDocument/2006/relationships/table" Target="../tables/table38.xml"/><Relationship Id="rId464" Type="http://schemas.openxmlformats.org/officeDocument/2006/relationships/table" Target="../tables/table37.xml"/><Relationship Id="rId463" Type="http://schemas.openxmlformats.org/officeDocument/2006/relationships/table" Target="../tables/table36.xml"/><Relationship Id="rId459" Type="http://schemas.openxmlformats.org/officeDocument/2006/relationships/table" Target="../tables/table32.xml"/><Relationship Id="rId470" Type="http://schemas.openxmlformats.org/officeDocument/2006/relationships/table" Target="../tables/table43.xml"/><Relationship Id="rId426" Type="http://schemas.openxmlformats.org/officeDocument/2006/relationships/hyperlink" Target="https://youtu.be/Cvfcc1rdjgY" TargetMode="External"/><Relationship Id="rId425" Type="http://schemas.openxmlformats.org/officeDocument/2006/relationships/hyperlink" Target="https://www.twitch.tv/videos/1033622780" TargetMode="External"/><Relationship Id="rId424" Type="http://schemas.openxmlformats.org/officeDocument/2006/relationships/hyperlink" Target="https://www.twitch.tv/videos/1033616376" TargetMode="External"/><Relationship Id="rId423" Type="http://schemas.openxmlformats.org/officeDocument/2006/relationships/hyperlink" Target="https://www.youtube.com/watch?v=8fq-kj5vJsg" TargetMode="External"/><Relationship Id="rId429" Type="http://schemas.openxmlformats.org/officeDocument/2006/relationships/hyperlink" Target="https://clips.twitch.tv/SteamyJoyousFinchVoteYea-cuE_n1DB2HJNqFXi" TargetMode="External"/><Relationship Id="rId428" Type="http://schemas.openxmlformats.org/officeDocument/2006/relationships/hyperlink" Target="https://youtu.be/4NY-h_YXDSk" TargetMode="External"/><Relationship Id="rId427" Type="http://schemas.openxmlformats.org/officeDocument/2006/relationships/hyperlink" Target="https://www.youtube.com/watch?v=3LDgf3IJYiQ" TargetMode="External"/><Relationship Id="rId422" Type="http://schemas.openxmlformats.org/officeDocument/2006/relationships/hyperlink" Target="https://www.youtube.com/watch?v=xCcstN1urLM" TargetMode="External"/><Relationship Id="rId421" Type="http://schemas.openxmlformats.org/officeDocument/2006/relationships/hyperlink" Target="https://youtu.be/N7vdXJJDNHw" TargetMode="External"/><Relationship Id="rId420" Type="http://schemas.openxmlformats.org/officeDocument/2006/relationships/hyperlink" Target="https://clips.twitch.tv/CloudyTameSandwichFloof" TargetMode="External"/><Relationship Id="rId415" Type="http://schemas.openxmlformats.org/officeDocument/2006/relationships/hyperlink" Target="https://youtu.be/L8KC10KJkSo" TargetMode="External"/><Relationship Id="rId414" Type="http://schemas.openxmlformats.org/officeDocument/2006/relationships/hyperlink" Target="https://youtu.be/7TnlhMZVrAE" TargetMode="External"/><Relationship Id="rId413" Type="http://schemas.openxmlformats.org/officeDocument/2006/relationships/hyperlink" Target="https://youtu.be/ISg4n5gMmmQ" TargetMode="External"/><Relationship Id="rId412" Type="http://schemas.openxmlformats.org/officeDocument/2006/relationships/hyperlink" Target="https://youtu.be/BokNxn7JKSw" TargetMode="External"/><Relationship Id="rId419" Type="http://schemas.openxmlformats.org/officeDocument/2006/relationships/hyperlink" Target="https://clips.twitch.tv/CredulousGloriousOcelotKappaWealth" TargetMode="External"/><Relationship Id="rId418" Type="http://schemas.openxmlformats.org/officeDocument/2006/relationships/hyperlink" Target="https://www.youtube.com/watch?v=3DwN2RDxcPo" TargetMode="External"/><Relationship Id="rId417" Type="http://schemas.openxmlformats.org/officeDocument/2006/relationships/hyperlink" Target="https://youtu.be/fUdSxtmkG4s" TargetMode="External"/><Relationship Id="rId416" Type="http://schemas.openxmlformats.org/officeDocument/2006/relationships/hyperlink" Target="https://youtu.be/o-f5zXYMgDw" TargetMode="External"/><Relationship Id="rId411" Type="http://schemas.openxmlformats.org/officeDocument/2006/relationships/hyperlink" Target="https://youtu.be/CdmEy0CTSUs" TargetMode="External"/><Relationship Id="rId410" Type="http://schemas.openxmlformats.org/officeDocument/2006/relationships/hyperlink" Target="https://clips.twitch.tv/NeighborlyPuzzledSagePermaSmug-zz9_X2MingO1n-Hx" TargetMode="External"/><Relationship Id="rId446" Type="http://schemas.openxmlformats.org/officeDocument/2006/relationships/vmlDrawing" Target="../drawings/vmlDrawing5.vml"/><Relationship Id="rId445" Type="http://schemas.openxmlformats.org/officeDocument/2006/relationships/drawing" Target="../drawings/drawing6.xml"/><Relationship Id="rId440" Type="http://schemas.openxmlformats.org/officeDocument/2006/relationships/hyperlink" Target="https://www.twitch.tv/videos/1841255945" TargetMode="External"/><Relationship Id="rId444" Type="http://schemas.openxmlformats.org/officeDocument/2006/relationships/hyperlink" Target="https://youtu.be/TYxPXYNzxLg" TargetMode="External"/><Relationship Id="rId443" Type="http://schemas.openxmlformats.org/officeDocument/2006/relationships/hyperlink" Target="https://youtu.be/1TLjqVZQXy4" TargetMode="External"/><Relationship Id="rId442" Type="http://schemas.openxmlformats.org/officeDocument/2006/relationships/hyperlink" Target="https://youtu.be/CTF6IRcMya0" TargetMode="External"/><Relationship Id="rId441" Type="http://schemas.openxmlformats.org/officeDocument/2006/relationships/hyperlink" Target="https://www.twitch.tv/videos/987882405" TargetMode="External"/><Relationship Id="rId437" Type="http://schemas.openxmlformats.org/officeDocument/2006/relationships/hyperlink" Target="https://www.youtube.com/watch?v=geI-nokU_b8" TargetMode="External"/><Relationship Id="rId436" Type="http://schemas.openxmlformats.org/officeDocument/2006/relationships/hyperlink" Target="https://youtu.be/NXNDzAbBp2w?si=eFn43gGFI6IxIbQT" TargetMode="External"/><Relationship Id="rId435" Type="http://schemas.openxmlformats.org/officeDocument/2006/relationships/hyperlink" Target="https://clips.twitch.tv/GrotesqueAgitatedEyeballPeteZaroll" TargetMode="External"/><Relationship Id="rId434" Type="http://schemas.openxmlformats.org/officeDocument/2006/relationships/hyperlink" Target="https://youtu.be/bp4E5fVK69A?si=trpb3FFvZsRASTlt" TargetMode="External"/><Relationship Id="rId439" Type="http://schemas.openxmlformats.org/officeDocument/2006/relationships/hyperlink" Target="https://youtu.be/OqxYXrOopxc" TargetMode="External"/><Relationship Id="rId438" Type="http://schemas.openxmlformats.org/officeDocument/2006/relationships/hyperlink" Target="https://youtu.be/jg5k9ywf-1I" TargetMode="External"/><Relationship Id="rId433" Type="http://schemas.openxmlformats.org/officeDocument/2006/relationships/hyperlink" Target="https://www.twitch.tv/videos/538922789" TargetMode="External"/><Relationship Id="rId432" Type="http://schemas.openxmlformats.org/officeDocument/2006/relationships/hyperlink" Target="https://www.twitch.tv/videos/991533932" TargetMode="External"/><Relationship Id="rId431" Type="http://schemas.openxmlformats.org/officeDocument/2006/relationships/hyperlink" Target="https://youtu.be/gMuZqHQOJ10" TargetMode="External"/><Relationship Id="rId430" Type="http://schemas.openxmlformats.org/officeDocument/2006/relationships/hyperlink" Target="https://youtu.be/ORhDo64WxW8" TargetMode="External"/><Relationship Id="rId1" Type="http://schemas.openxmlformats.org/officeDocument/2006/relationships/comments" Target="../comments5.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twitch.tv/videos/956936831" TargetMode="External"/><Relationship Id="rId9" Type="http://schemas.openxmlformats.org/officeDocument/2006/relationships/hyperlink" Target="https://youtu.be/RH2ikizgvaM" TargetMode="External"/><Relationship Id="rId5" Type="http://schemas.openxmlformats.org/officeDocument/2006/relationships/hyperlink" Target="https://youtu.be/YHsJK4aAlx4" TargetMode="External"/><Relationship Id="rId6" Type="http://schemas.openxmlformats.org/officeDocument/2006/relationships/hyperlink" Target="https://youtu.be/XoXJSIm0aVU" TargetMode="External"/><Relationship Id="rId7" Type="http://schemas.openxmlformats.org/officeDocument/2006/relationships/hyperlink" Target="https://youtu.be/dcwrM2MBGgg" TargetMode="External"/><Relationship Id="rId8" Type="http://schemas.openxmlformats.org/officeDocument/2006/relationships/hyperlink" Target="https://youtu.be/WCOM9uHt_MU" TargetMode="External"/><Relationship Id="rId190" Type="http://schemas.openxmlformats.org/officeDocument/2006/relationships/hyperlink" Target="https://www.youtube.com/watch?v=zAWBWq3ZrJM" TargetMode="External"/><Relationship Id="rId194" Type="http://schemas.openxmlformats.org/officeDocument/2006/relationships/hyperlink" Target="https://youtu.be/PzXSbI52Sdk?t=40" TargetMode="External"/><Relationship Id="rId193" Type="http://schemas.openxmlformats.org/officeDocument/2006/relationships/hyperlink" Target="https://www.youtube.com/watch?v=-M54ebbJhJI" TargetMode="External"/><Relationship Id="rId192" Type="http://schemas.openxmlformats.org/officeDocument/2006/relationships/hyperlink" Target="https://youtu.be/PZz0DDTKp58?t=160" TargetMode="External"/><Relationship Id="rId191" Type="http://schemas.openxmlformats.org/officeDocument/2006/relationships/hyperlink" Target="https://www.youtube.com/watch?v=0unm9uDEe_I" TargetMode="External"/><Relationship Id="rId187" Type="http://schemas.openxmlformats.org/officeDocument/2006/relationships/hyperlink" Target="https://youtu.be/qOuv9MIqCBM" TargetMode="External"/><Relationship Id="rId186" Type="http://schemas.openxmlformats.org/officeDocument/2006/relationships/hyperlink" Target="https://youtu.be/5EQue4B1fhA" TargetMode="External"/><Relationship Id="rId185" Type="http://schemas.openxmlformats.org/officeDocument/2006/relationships/hyperlink" Target="https://youtu.be/3LxWTO6td8s" TargetMode="External"/><Relationship Id="rId184" Type="http://schemas.openxmlformats.org/officeDocument/2006/relationships/hyperlink" Target="https://youtu.be/RCYPA60Hy5U" TargetMode="External"/><Relationship Id="rId189" Type="http://schemas.openxmlformats.org/officeDocument/2006/relationships/hyperlink" Target="https://youtu.be/07_1_4IXR6o" TargetMode="External"/><Relationship Id="rId188" Type="http://schemas.openxmlformats.org/officeDocument/2006/relationships/hyperlink" Target="https://youtu.be/L-NBJaIyqOQ" TargetMode="External"/><Relationship Id="rId183" Type="http://schemas.openxmlformats.org/officeDocument/2006/relationships/hyperlink" Target="https://youtu.be/yGbJhgBQT_o" TargetMode="External"/><Relationship Id="rId182" Type="http://schemas.openxmlformats.org/officeDocument/2006/relationships/hyperlink" Target="https://youtu.be/tdCBsekdiaU" TargetMode="External"/><Relationship Id="rId181" Type="http://schemas.openxmlformats.org/officeDocument/2006/relationships/hyperlink" Target="https://youtu.be/W0dVQLIeRx8" TargetMode="External"/><Relationship Id="rId180" Type="http://schemas.openxmlformats.org/officeDocument/2006/relationships/hyperlink" Target="https://youtu.be/4wreDZoW1Dk" TargetMode="External"/><Relationship Id="rId176" Type="http://schemas.openxmlformats.org/officeDocument/2006/relationships/hyperlink" Target="https://youtu.be/mC-SGG51_hQ" TargetMode="External"/><Relationship Id="rId175" Type="http://schemas.openxmlformats.org/officeDocument/2006/relationships/hyperlink" Target="https://youtu.be/NkFg4KUd5OE" TargetMode="External"/><Relationship Id="rId174" Type="http://schemas.openxmlformats.org/officeDocument/2006/relationships/hyperlink" Target="https://youtu.be/Qhrylifxfdo" TargetMode="External"/><Relationship Id="rId173" Type="http://schemas.openxmlformats.org/officeDocument/2006/relationships/hyperlink" Target="https://youtu.be/p2NHwnr-T4k" TargetMode="External"/><Relationship Id="rId179" Type="http://schemas.openxmlformats.org/officeDocument/2006/relationships/hyperlink" Target="https://youtu.be/D5ZUvl7aITo" TargetMode="External"/><Relationship Id="rId178" Type="http://schemas.openxmlformats.org/officeDocument/2006/relationships/hyperlink" Target="https://youtu.be/j2pVIbDJOu0" TargetMode="External"/><Relationship Id="rId177" Type="http://schemas.openxmlformats.org/officeDocument/2006/relationships/hyperlink" Target="https://youtu.be/nOQ0uMil8q0" TargetMode="External"/><Relationship Id="rId198" Type="http://schemas.openxmlformats.org/officeDocument/2006/relationships/hyperlink" Target="https://www.youtube.com/watch?v=xeSGZoo1sOE" TargetMode="External"/><Relationship Id="rId197" Type="http://schemas.openxmlformats.org/officeDocument/2006/relationships/hyperlink" Target="https://www.youtube.com/watch?v=NaIq3ZBJK6o" TargetMode="External"/><Relationship Id="rId196" Type="http://schemas.openxmlformats.org/officeDocument/2006/relationships/hyperlink" Target="https://www.youtube.com/watch?v=4zmfa3djiAA" TargetMode="External"/><Relationship Id="rId195" Type="http://schemas.openxmlformats.org/officeDocument/2006/relationships/hyperlink" Target="https://www.youtube.com/watch?v=BFDhDF6az5U" TargetMode="External"/><Relationship Id="rId199" Type="http://schemas.openxmlformats.org/officeDocument/2006/relationships/hyperlink" Target="https://www.youtube.com/watch?v=pZKT3Kvenv8" TargetMode="External"/><Relationship Id="rId150" Type="http://schemas.openxmlformats.org/officeDocument/2006/relationships/hyperlink" Target="https://youtu.be/tmDhaLpH6TE" TargetMode="External"/><Relationship Id="rId149" Type="http://schemas.openxmlformats.org/officeDocument/2006/relationships/hyperlink" Target="https://youtu.be/VLLMb0ETuZ8" TargetMode="External"/><Relationship Id="rId148" Type="http://schemas.openxmlformats.org/officeDocument/2006/relationships/hyperlink" Target="https://youtu.be/yK2TLkhbc4E" TargetMode="External"/><Relationship Id="rId143" Type="http://schemas.openxmlformats.org/officeDocument/2006/relationships/hyperlink" Target="https://youtu.be/iCN3rHbkROM?si=mbN8YZC1Oz2eamJU" TargetMode="External"/><Relationship Id="rId142" Type="http://schemas.openxmlformats.org/officeDocument/2006/relationships/hyperlink" Target="https://youtu.be/YP6G7m59BhY" TargetMode="External"/><Relationship Id="rId141" Type="http://schemas.openxmlformats.org/officeDocument/2006/relationships/hyperlink" Target="https://youtu.be/LefWQcC4PtQ" TargetMode="External"/><Relationship Id="rId140" Type="http://schemas.openxmlformats.org/officeDocument/2006/relationships/hyperlink" Target="https://youtu.be/rLZyIoNdXks?si=7ZJzjzI8ls-lZbXI" TargetMode="External"/><Relationship Id="rId147" Type="http://schemas.openxmlformats.org/officeDocument/2006/relationships/hyperlink" Target="https://youtu.be/Sh9Sxd_C2M8" TargetMode="External"/><Relationship Id="rId146" Type="http://schemas.openxmlformats.org/officeDocument/2006/relationships/hyperlink" Target="https://youtu.be/i3MJBT3bxrs" TargetMode="External"/><Relationship Id="rId145" Type="http://schemas.openxmlformats.org/officeDocument/2006/relationships/hyperlink" Target="https://youtu.be/pTElyeRoVm8" TargetMode="External"/><Relationship Id="rId144" Type="http://schemas.openxmlformats.org/officeDocument/2006/relationships/hyperlink" Target="https://youtu.be/LvvY8gw98DM?si=CUb3Eu86ZQ6Ci7e1" TargetMode="External"/><Relationship Id="rId139" Type="http://schemas.openxmlformats.org/officeDocument/2006/relationships/hyperlink" Target="https://youtu.be/xOT_KSVTVn8?si=OfU6E3gRMx-Zn0CC" TargetMode="External"/><Relationship Id="rId138" Type="http://schemas.openxmlformats.org/officeDocument/2006/relationships/hyperlink" Target="https://youtu.be/kUn6L2AorQc?si=55KOhUFkuGNQEObj" TargetMode="External"/><Relationship Id="rId137" Type="http://schemas.openxmlformats.org/officeDocument/2006/relationships/hyperlink" Target="https://youtu.be/nluR4BZR2IA?si=xBqCV5Dxdf-4cdQY" TargetMode="External"/><Relationship Id="rId132" Type="http://schemas.openxmlformats.org/officeDocument/2006/relationships/hyperlink" Target="https://youtu.be/j4xo1h7Gsmg" TargetMode="External"/><Relationship Id="rId131" Type="http://schemas.openxmlformats.org/officeDocument/2006/relationships/hyperlink" Target="https://youtu.be/Tyr8pLFi8zE" TargetMode="External"/><Relationship Id="rId130" Type="http://schemas.openxmlformats.org/officeDocument/2006/relationships/hyperlink" Target="https://youtu.be/AxPntJMJCtA" TargetMode="External"/><Relationship Id="rId136" Type="http://schemas.openxmlformats.org/officeDocument/2006/relationships/hyperlink" Target="https://youtu.be/yrBBxVlB_7M?si=G5IYrvqytO3iG2ul" TargetMode="External"/><Relationship Id="rId135" Type="http://schemas.openxmlformats.org/officeDocument/2006/relationships/hyperlink" Target="https://youtu.be/d-qqCxdBscA?si=KRIkHXO9Ys-uPuRF" TargetMode="External"/><Relationship Id="rId134" Type="http://schemas.openxmlformats.org/officeDocument/2006/relationships/hyperlink" Target="https://youtu.be/W24Gdh4dCRY" TargetMode="External"/><Relationship Id="rId133" Type="http://schemas.openxmlformats.org/officeDocument/2006/relationships/hyperlink" Target="https://youtu.be/QYZYRiarpY8" TargetMode="External"/><Relationship Id="rId172" Type="http://schemas.openxmlformats.org/officeDocument/2006/relationships/hyperlink" Target="https://youtu.be/BLrbvmtEiT8" TargetMode="External"/><Relationship Id="rId171" Type="http://schemas.openxmlformats.org/officeDocument/2006/relationships/hyperlink" Target="https://youtu.be/5YIOoEii9m4" TargetMode="External"/><Relationship Id="rId170" Type="http://schemas.openxmlformats.org/officeDocument/2006/relationships/hyperlink" Target="https://youtu.be/jGSyaE5ye9M" TargetMode="External"/><Relationship Id="rId165" Type="http://schemas.openxmlformats.org/officeDocument/2006/relationships/hyperlink" Target="https://youtu.be/DW-XmsZuPqE" TargetMode="External"/><Relationship Id="rId164" Type="http://schemas.openxmlformats.org/officeDocument/2006/relationships/hyperlink" Target="https://youtu.be/W4tCaPUM8bk" TargetMode="External"/><Relationship Id="rId163" Type="http://schemas.openxmlformats.org/officeDocument/2006/relationships/hyperlink" Target="https://youtu.be/51zHCOLfyfY" TargetMode="External"/><Relationship Id="rId162" Type="http://schemas.openxmlformats.org/officeDocument/2006/relationships/hyperlink" Target="https://youtu.be/51zHCOLfyfY" TargetMode="External"/><Relationship Id="rId169" Type="http://schemas.openxmlformats.org/officeDocument/2006/relationships/hyperlink" Target="https://youtu.be/BmcJI1cItnI" TargetMode="External"/><Relationship Id="rId168" Type="http://schemas.openxmlformats.org/officeDocument/2006/relationships/hyperlink" Target="https://youtu.be/HmFU87urCrc" TargetMode="External"/><Relationship Id="rId167" Type="http://schemas.openxmlformats.org/officeDocument/2006/relationships/hyperlink" Target="https://youtu.be/HmFU87urCrc" TargetMode="External"/><Relationship Id="rId166" Type="http://schemas.openxmlformats.org/officeDocument/2006/relationships/hyperlink" Target="https://youtu.be/OOHljNFfU7o" TargetMode="External"/><Relationship Id="rId161" Type="http://schemas.openxmlformats.org/officeDocument/2006/relationships/hyperlink" Target="https://youtu.be/SVuLS9xPVpU" TargetMode="External"/><Relationship Id="rId160" Type="http://schemas.openxmlformats.org/officeDocument/2006/relationships/hyperlink" Target="https://youtu.be/peZ3OBXj9Ec" TargetMode="External"/><Relationship Id="rId159" Type="http://schemas.openxmlformats.org/officeDocument/2006/relationships/hyperlink" Target="https://youtu.be/e3J1BMnI6GY" TargetMode="External"/><Relationship Id="rId154" Type="http://schemas.openxmlformats.org/officeDocument/2006/relationships/hyperlink" Target="https://youtu.be/h6c37cyrBuw" TargetMode="External"/><Relationship Id="rId153" Type="http://schemas.openxmlformats.org/officeDocument/2006/relationships/hyperlink" Target="https://youtu.be/mOn4TpvIIOM" TargetMode="External"/><Relationship Id="rId152" Type="http://schemas.openxmlformats.org/officeDocument/2006/relationships/hyperlink" Target="https://youtu.be/SGPnRcKqDzA" TargetMode="External"/><Relationship Id="rId151" Type="http://schemas.openxmlformats.org/officeDocument/2006/relationships/hyperlink" Target="https://youtu.be/UMJCuBDrBOU" TargetMode="External"/><Relationship Id="rId158" Type="http://schemas.openxmlformats.org/officeDocument/2006/relationships/hyperlink" Target="https://youtu.be/H8js0fnleSA" TargetMode="External"/><Relationship Id="rId157" Type="http://schemas.openxmlformats.org/officeDocument/2006/relationships/hyperlink" Target="https://youtu.be/C_Dsku807Jg" TargetMode="External"/><Relationship Id="rId156" Type="http://schemas.openxmlformats.org/officeDocument/2006/relationships/hyperlink" Target="https://youtu.be/ik7nrrGVZfY" TargetMode="External"/><Relationship Id="rId155" Type="http://schemas.openxmlformats.org/officeDocument/2006/relationships/hyperlink" Target="https://www.youtube.com/watch?v=94sw8KKMcFA" TargetMode="External"/><Relationship Id="rId107" Type="http://schemas.openxmlformats.org/officeDocument/2006/relationships/hyperlink" Target="https://youtu.be/jUl7EqaZ2Zc?si=PnOOrZhun1PQ9OaL" TargetMode="External"/><Relationship Id="rId106" Type="http://schemas.openxmlformats.org/officeDocument/2006/relationships/hyperlink" Target="https://clips.twitch.tv/BumblingPoliteMonitorKappaPride-XazpcXFnWlh7FjIA" TargetMode="External"/><Relationship Id="rId105" Type="http://schemas.openxmlformats.org/officeDocument/2006/relationships/hyperlink" Target="https://www.twitch.tv/nisemario29/clip/DeliciousBoxyFlyCharlieBitMe-UikOtmJnwmIkNed5" TargetMode="External"/><Relationship Id="rId104" Type="http://schemas.openxmlformats.org/officeDocument/2006/relationships/hyperlink" Target="https://youtu.be/7L1HKMfERE8?si=l-AQt_HbfS2X3FKm" TargetMode="External"/><Relationship Id="rId109" Type="http://schemas.openxmlformats.org/officeDocument/2006/relationships/hyperlink" Target="https://youtu.be/-42XhIyf_Gw?si=08zW0qoQramjrUr0" TargetMode="External"/><Relationship Id="rId108" Type="http://schemas.openxmlformats.org/officeDocument/2006/relationships/hyperlink" Target="https://youtu.be/pXxbGvSlBz4" TargetMode="External"/><Relationship Id="rId103" Type="http://schemas.openxmlformats.org/officeDocument/2006/relationships/hyperlink" Target="https://youtu.be/sb3omV10B6g?si=w_mhRPEyKfACh7tz" TargetMode="External"/><Relationship Id="rId102" Type="http://schemas.openxmlformats.org/officeDocument/2006/relationships/hyperlink" Target="https://youtu.be/23ZdiAZIK8c" TargetMode="External"/><Relationship Id="rId101" Type="http://schemas.openxmlformats.org/officeDocument/2006/relationships/hyperlink" Target="https://youtu.be/LGiXNSoN9Ao" TargetMode="External"/><Relationship Id="rId100" Type="http://schemas.openxmlformats.org/officeDocument/2006/relationships/hyperlink" Target="https://youtu.be/x4bcWpcGWCA?si=0b5MpGDfNjmoryX4" TargetMode="External"/><Relationship Id="rId129" Type="http://schemas.openxmlformats.org/officeDocument/2006/relationships/hyperlink" Target="https://youtu.be/mDSYI09x7Os?si=G87sba23gRdV6GDR" TargetMode="External"/><Relationship Id="rId128" Type="http://schemas.openxmlformats.org/officeDocument/2006/relationships/hyperlink" Target="https://youtu.be/NB52Mf7RZ5g?si=47VTeEyirGf_QKzA" TargetMode="External"/><Relationship Id="rId127" Type="http://schemas.openxmlformats.org/officeDocument/2006/relationships/hyperlink" Target="https://youtu.be/cXgLUSBOmnc?si=c-lGbQEZlKOk-TTP" TargetMode="External"/><Relationship Id="rId126" Type="http://schemas.openxmlformats.org/officeDocument/2006/relationships/hyperlink" Target="https://youtu.be/KDB41YR6jM0?si=zsE2mOvjNdoTRYFy" TargetMode="External"/><Relationship Id="rId121" Type="http://schemas.openxmlformats.org/officeDocument/2006/relationships/hyperlink" Target="https://youtu.be/2VfWtHd7sXA?si=fnJCOr7WPBEQNaxS" TargetMode="External"/><Relationship Id="rId120" Type="http://schemas.openxmlformats.org/officeDocument/2006/relationships/hyperlink" Target="https://youtu.be/0HNmFj8ageg?si=4OvBUTaZPaA4LyP9" TargetMode="External"/><Relationship Id="rId125" Type="http://schemas.openxmlformats.org/officeDocument/2006/relationships/hyperlink" Target="https://youtu.be/NEr1G9vxfUY?si=6KRjV6d_hsZg7M5Q" TargetMode="External"/><Relationship Id="rId124" Type="http://schemas.openxmlformats.org/officeDocument/2006/relationships/hyperlink" Target="https://youtu.be/H9KNkNphTBg?si=_MIsALAiYCZudi8i" TargetMode="External"/><Relationship Id="rId123" Type="http://schemas.openxmlformats.org/officeDocument/2006/relationships/hyperlink" Target="https://youtu.be/MBa7h0PdWKo?si=NNvFkoda7n5GIoaw" TargetMode="External"/><Relationship Id="rId122" Type="http://schemas.openxmlformats.org/officeDocument/2006/relationships/hyperlink" Target="https://youtu.be/kz8jPhGQsEg?si=1feM4r2-LDwmTiga" TargetMode="External"/><Relationship Id="rId118" Type="http://schemas.openxmlformats.org/officeDocument/2006/relationships/hyperlink" Target="https://youtu.be/aJGGXtczPjk?si=r34gKnNQ5LZVuQhx" TargetMode="External"/><Relationship Id="rId117" Type="http://schemas.openxmlformats.org/officeDocument/2006/relationships/hyperlink" Target="https://youtu.be/jb_dFEK7NLU?si=CX2Nls84H3VeaLFS" TargetMode="External"/><Relationship Id="rId116" Type="http://schemas.openxmlformats.org/officeDocument/2006/relationships/hyperlink" Target="https://youtu.be/jb_dFEK7NLU?si=CX2Nls84H3VeaLFS" TargetMode="External"/><Relationship Id="rId115" Type="http://schemas.openxmlformats.org/officeDocument/2006/relationships/hyperlink" Target="https://youtu.be/hKDZpzs_Q1U?si=ijtg3WiIpeMnAKuA" TargetMode="External"/><Relationship Id="rId119" Type="http://schemas.openxmlformats.org/officeDocument/2006/relationships/hyperlink" Target="https://youtu.be/9pvA-x9yLZ4?si=HbQoV2uP-hAb-mwd" TargetMode="External"/><Relationship Id="rId110" Type="http://schemas.openxmlformats.org/officeDocument/2006/relationships/hyperlink" Target="https://youtu.be/gU8jAdWUbCk?si=ZztNCHjQrEBehtC4" TargetMode="External"/><Relationship Id="rId114" Type="http://schemas.openxmlformats.org/officeDocument/2006/relationships/hyperlink" Target="https://youtu.be/BxD_Pq0tyFY?si=wFsTBD2GGI1l-EB4" TargetMode="External"/><Relationship Id="rId113" Type="http://schemas.openxmlformats.org/officeDocument/2006/relationships/hyperlink" Target="https://youtu.be/UMAjH_Yi7BM?si=bmKd7SvxOflBeEek" TargetMode="External"/><Relationship Id="rId112" Type="http://schemas.openxmlformats.org/officeDocument/2006/relationships/hyperlink" Target="https://youtu.be/S2fRM3ddgzU?si=6ASY7jClligDSvlT" TargetMode="External"/><Relationship Id="rId111" Type="http://schemas.openxmlformats.org/officeDocument/2006/relationships/hyperlink" Target="https://youtu.be/LyFeAy93v5o"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twitch.tv/videos/2352936762" TargetMode="External"/><Relationship Id="rId42" Type="http://schemas.openxmlformats.org/officeDocument/2006/relationships/hyperlink" Target="https://clips.twitch.tv/RoundLaconicPenguinM4xHeh-SzQwGiJj-ds1qLtC" TargetMode="External"/><Relationship Id="rId41" Type="http://schemas.openxmlformats.org/officeDocument/2006/relationships/hyperlink" Target="https://www.twitch.tv/videos/2864901869" TargetMode="External"/><Relationship Id="rId44" Type="http://schemas.openxmlformats.org/officeDocument/2006/relationships/hyperlink" Target="https://youtu.be/A9tTcW5oeT8" TargetMode="External"/><Relationship Id="rId43" Type="http://schemas.openxmlformats.org/officeDocument/2006/relationships/hyperlink" Target="https://www.twitch.tv/videos/2673276653" TargetMode="External"/><Relationship Id="rId46" Type="http://schemas.openxmlformats.org/officeDocument/2006/relationships/hyperlink" Target="https://youtu.be/XxgcI3cCnQU" TargetMode="External"/><Relationship Id="rId45" Type="http://schemas.openxmlformats.org/officeDocument/2006/relationships/hyperlink" Target="https://youtu.be/hq2vJN3FjqQ" TargetMode="External"/><Relationship Id="rId48" Type="http://schemas.openxmlformats.org/officeDocument/2006/relationships/hyperlink" Target="https://youtu.be/7bHvZ7Z552M" TargetMode="External"/><Relationship Id="rId47" Type="http://schemas.openxmlformats.org/officeDocument/2006/relationships/hyperlink" Target="https://youtu.be/QT-5IujEOAQ" TargetMode="External"/><Relationship Id="rId49" Type="http://schemas.openxmlformats.org/officeDocument/2006/relationships/hyperlink" Target="https://youtu.be/JmFpStaS6bE" TargetMode="External"/><Relationship Id="rId31" Type="http://schemas.openxmlformats.org/officeDocument/2006/relationships/hyperlink" Target="https://www.twitch.tv/videos/2371307887" TargetMode="External"/><Relationship Id="rId30" Type="http://schemas.openxmlformats.org/officeDocument/2006/relationships/hyperlink" Target="https://www.twitch.tv/videos/2849276584" TargetMode="External"/><Relationship Id="rId33" Type="http://schemas.openxmlformats.org/officeDocument/2006/relationships/hyperlink" Target="https://www.twitch.tv/videos/2365828685" TargetMode="External"/><Relationship Id="rId32" Type="http://schemas.openxmlformats.org/officeDocument/2006/relationships/hyperlink" Target="https://www.twitch.tv/videos/2371307887" TargetMode="External"/><Relationship Id="rId35" Type="http://schemas.openxmlformats.org/officeDocument/2006/relationships/hyperlink" Target="https://www.twitch.tv/videos/2348429844" TargetMode="External"/><Relationship Id="rId34" Type="http://schemas.openxmlformats.org/officeDocument/2006/relationships/hyperlink" Target="https://www.twitch.tv/videos/2868509307" TargetMode="External"/><Relationship Id="rId37" Type="http://schemas.openxmlformats.org/officeDocument/2006/relationships/hyperlink" Target="https://youtu.be/jQFjKRJES5w?si=N1jWp8yIOHPeruQ9&amp;t=3383" TargetMode="External"/><Relationship Id="rId36" Type="http://schemas.openxmlformats.org/officeDocument/2006/relationships/hyperlink" Target="https://www.twitch.tv/videos/2348427256" TargetMode="External"/><Relationship Id="rId39" Type="http://schemas.openxmlformats.org/officeDocument/2006/relationships/hyperlink" Target="https://www.twitch.tv/videos/2694733223" TargetMode="External"/><Relationship Id="rId38" Type="http://schemas.openxmlformats.org/officeDocument/2006/relationships/hyperlink" Target="https://www.twitch.tv/videos/2864902172" TargetMode="External"/><Relationship Id="rId20" Type="http://schemas.openxmlformats.org/officeDocument/2006/relationships/hyperlink" Target="https://www.twitch.tv/videos/1942283039" TargetMode="External"/><Relationship Id="rId22" Type="http://schemas.openxmlformats.org/officeDocument/2006/relationships/hyperlink" Target="https://www.twitch.tv/videos/2533372460" TargetMode="External"/><Relationship Id="rId21" Type="http://schemas.openxmlformats.org/officeDocument/2006/relationships/hyperlink" Target="https://www.twitch.tv/videos/2624042188" TargetMode="External"/><Relationship Id="rId24" Type="http://schemas.openxmlformats.org/officeDocument/2006/relationships/hyperlink" Target="https://youtu.be/hWIkpWzaWWI" TargetMode="External"/><Relationship Id="rId23" Type="http://schemas.openxmlformats.org/officeDocument/2006/relationships/hyperlink" Target="https://www.twitch.tv/videos/2428090538?t=00h34m39s" TargetMode="External"/><Relationship Id="rId26" Type="http://schemas.openxmlformats.org/officeDocument/2006/relationships/hyperlink" Target="https://www.twitch.tv/videos/2435848291?t=00h38m38s" TargetMode="External"/><Relationship Id="rId25" Type="http://schemas.openxmlformats.org/officeDocument/2006/relationships/hyperlink" Target="https://youtu.be/SNyUNCAqxvQ" TargetMode="External"/><Relationship Id="rId28" Type="http://schemas.openxmlformats.org/officeDocument/2006/relationships/hyperlink" Target="https://www.twitch.tv/videos/2464406739" TargetMode="External"/><Relationship Id="rId27" Type="http://schemas.openxmlformats.org/officeDocument/2006/relationships/hyperlink" Target="https://x.com/inkstarLum/status/1720597181135302659?s=20" TargetMode="External"/><Relationship Id="rId29" Type="http://schemas.openxmlformats.org/officeDocument/2006/relationships/hyperlink" Target="https://www.twitch.tv/videos/2649334123" TargetMode="External"/><Relationship Id="rId11" Type="http://schemas.openxmlformats.org/officeDocument/2006/relationships/hyperlink" Target="https://www.twitch.tv/videos/2836126280" TargetMode="External"/><Relationship Id="rId10" Type="http://schemas.openxmlformats.org/officeDocument/2006/relationships/hyperlink" Target="https://www.twitch.tv/videos/2464401723" TargetMode="External"/><Relationship Id="rId13" Type="http://schemas.openxmlformats.org/officeDocument/2006/relationships/hyperlink" Target="https://www.twitch.tv/videos/2826931024" TargetMode="External"/><Relationship Id="rId12" Type="http://schemas.openxmlformats.org/officeDocument/2006/relationships/hyperlink" Target="https://www.twitch.tv/videos/2340590731" TargetMode="External"/><Relationship Id="rId15" Type="http://schemas.openxmlformats.org/officeDocument/2006/relationships/hyperlink" Target="https://www.twitch.tv/videos/2675946709" TargetMode="External"/><Relationship Id="rId14" Type="http://schemas.openxmlformats.org/officeDocument/2006/relationships/hyperlink" Target="https://www.twitch.tv/videos/2602652314" TargetMode="External"/><Relationship Id="rId17" Type="http://schemas.openxmlformats.org/officeDocument/2006/relationships/hyperlink" Target="https://www.twitch.tv/videos/2421086632" TargetMode="External"/><Relationship Id="rId16" Type="http://schemas.openxmlformats.org/officeDocument/2006/relationships/hyperlink" Target="https://www.twitch.tv/videos/2349219303" TargetMode="External"/><Relationship Id="rId19" Type="http://schemas.openxmlformats.org/officeDocument/2006/relationships/hyperlink" Target="https://www.twitch.tv/videos/2266440901" TargetMode="External"/><Relationship Id="rId18" Type="http://schemas.openxmlformats.org/officeDocument/2006/relationships/hyperlink" Target="https://youtu.be/zeHfnJS4cUc?si=8aR_4ZfB-f1icsXv&amp;t=1620" TargetMode="External"/><Relationship Id="rId84" Type="http://schemas.openxmlformats.org/officeDocument/2006/relationships/hyperlink" Target="https://youtu.be/i7xJy_y6Nn0" TargetMode="External"/><Relationship Id="rId83" Type="http://schemas.openxmlformats.org/officeDocument/2006/relationships/hyperlink" Target="https://youtu.be/tYOyS4ZyG9U" TargetMode="External"/><Relationship Id="rId86" Type="http://schemas.openxmlformats.org/officeDocument/2006/relationships/hyperlink" Target="https://youtu.be/DaNZKqeE3lc" TargetMode="External"/><Relationship Id="rId85" Type="http://schemas.openxmlformats.org/officeDocument/2006/relationships/hyperlink" Target="https://youtu.be/cQnF15i8czg" TargetMode="External"/><Relationship Id="rId88" Type="http://schemas.openxmlformats.org/officeDocument/2006/relationships/hyperlink" Target="https://www.twitch.tv/videos/570947817" TargetMode="External"/><Relationship Id="rId87" Type="http://schemas.openxmlformats.org/officeDocument/2006/relationships/hyperlink" Target="https://www.twitch.tv/videos/893822400" TargetMode="External"/><Relationship Id="rId89" Type="http://schemas.openxmlformats.org/officeDocument/2006/relationships/hyperlink" Target="https://www.youtube.com/watch?v=zS-Q9egIU-w" TargetMode="External"/><Relationship Id="rId80" Type="http://schemas.openxmlformats.org/officeDocument/2006/relationships/hyperlink" Target="https://youtu.be/ZdoxZRF-a0w" TargetMode="External"/><Relationship Id="rId82" Type="http://schemas.openxmlformats.org/officeDocument/2006/relationships/hyperlink" Target="https://youtu.be/7ceg2Y1NMiY" TargetMode="External"/><Relationship Id="rId81" Type="http://schemas.openxmlformats.org/officeDocument/2006/relationships/hyperlink" Target="https://youtu.be/tthsB0Adl0M" TargetMode="External"/><Relationship Id="rId73" Type="http://schemas.openxmlformats.org/officeDocument/2006/relationships/hyperlink" Target="https://youtu.be/JfqBO75DiF0" TargetMode="External"/><Relationship Id="rId72" Type="http://schemas.openxmlformats.org/officeDocument/2006/relationships/hyperlink" Target="https://youtu.be/0rhTUBO4d0M" TargetMode="External"/><Relationship Id="rId75" Type="http://schemas.openxmlformats.org/officeDocument/2006/relationships/hyperlink" Target="https://youtu.be/qYpUOJIIoSw" TargetMode="External"/><Relationship Id="rId74" Type="http://schemas.openxmlformats.org/officeDocument/2006/relationships/hyperlink" Target="https://youtu.be/cIn5raUQzNM" TargetMode="External"/><Relationship Id="rId77" Type="http://schemas.openxmlformats.org/officeDocument/2006/relationships/hyperlink" Target="https://youtu.be/iFC4c5bxpVA" TargetMode="External"/><Relationship Id="rId76" Type="http://schemas.openxmlformats.org/officeDocument/2006/relationships/hyperlink" Target="https://youtu.be/f30uVlvVDDI" TargetMode="External"/><Relationship Id="rId79" Type="http://schemas.openxmlformats.org/officeDocument/2006/relationships/hyperlink" Target="https://youtu.be/J_jXdwmIYRg" TargetMode="External"/><Relationship Id="rId78" Type="http://schemas.openxmlformats.org/officeDocument/2006/relationships/hyperlink" Target="https://youtu.be/kB5p281N2dI" TargetMode="External"/><Relationship Id="rId71" Type="http://schemas.openxmlformats.org/officeDocument/2006/relationships/hyperlink" Target="https://youtu.be/0uXI8i_Kt0g" TargetMode="External"/><Relationship Id="rId70" Type="http://schemas.openxmlformats.org/officeDocument/2006/relationships/hyperlink" Target="https://youtu.be/jFJQAKs2aT8" TargetMode="External"/><Relationship Id="rId62" Type="http://schemas.openxmlformats.org/officeDocument/2006/relationships/hyperlink" Target="https://youtu.be/YmnTFgd2DJ8" TargetMode="External"/><Relationship Id="rId61" Type="http://schemas.openxmlformats.org/officeDocument/2006/relationships/hyperlink" Target="https://youtu.be/eYcgZV8Utt0" TargetMode="External"/><Relationship Id="rId64" Type="http://schemas.openxmlformats.org/officeDocument/2006/relationships/hyperlink" Target="https://youtu.be/qYDCaOwUPyk" TargetMode="External"/><Relationship Id="rId63" Type="http://schemas.openxmlformats.org/officeDocument/2006/relationships/hyperlink" Target="https://youtu.be/4EY1S0TG_9g" TargetMode="External"/><Relationship Id="rId66" Type="http://schemas.openxmlformats.org/officeDocument/2006/relationships/hyperlink" Target="https://youtu.be/6q3VUt65o8E" TargetMode="External"/><Relationship Id="rId65" Type="http://schemas.openxmlformats.org/officeDocument/2006/relationships/hyperlink" Target="https://youtu.be/1IovhlR2dbI" TargetMode="External"/><Relationship Id="rId68" Type="http://schemas.openxmlformats.org/officeDocument/2006/relationships/hyperlink" Target="https://youtu.be/gFJPqie8xGA" TargetMode="External"/><Relationship Id="rId67" Type="http://schemas.openxmlformats.org/officeDocument/2006/relationships/hyperlink" Target="https://youtu.be/6W517mXKcBc" TargetMode="External"/><Relationship Id="rId60" Type="http://schemas.openxmlformats.org/officeDocument/2006/relationships/hyperlink" Target="https://youtu.be/dxp-nvhA41M" TargetMode="External"/><Relationship Id="rId69" Type="http://schemas.openxmlformats.org/officeDocument/2006/relationships/hyperlink" Target="https://youtu.be/KXPh5YvxNT0" TargetMode="External"/><Relationship Id="rId51" Type="http://schemas.openxmlformats.org/officeDocument/2006/relationships/hyperlink" Target="https://youtu.be/_K5nVNkiqdg" TargetMode="External"/><Relationship Id="rId50" Type="http://schemas.openxmlformats.org/officeDocument/2006/relationships/hyperlink" Target="https://youtu.be/bV3yau-jai4" TargetMode="External"/><Relationship Id="rId53" Type="http://schemas.openxmlformats.org/officeDocument/2006/relationships/hyperlink" Target="https://youtu.be/NOC_ryVjJE0" TargetMode="External"/><Relationship Id="rId52" Type="http://schemas.openxmlformats.org/officeDocument/2006/relationships/hyperlink" Target="https://youtu.be/qkiAejUTx9s" TargetMode="External"/><Relationship Id="rId55" Type="http://schemas.openxmlformats.org/officeDocument/2006/relationships/hyperlink" Target="https://youtu.be/ImawAWQvOPs" TargetMode="External"/><Relationship Id="rId54" Type="http://schemas.openxmlformats.org/officeDocument/2006/relationships/hyperlink" Target="https://youtu.be/RB7KUl2YS_Y" TargetMode="External"/><Relationship Id="rId57" Type="http://schemas.openxmlformats.org/officeDocument/2006/relationships/hyperlink" Target="https://youtu.be/qPxD7z-p2ig" TargetMode="External"/><Relationship Id="rId56" Type="http://schemas.openxmlformats.org/officeDocument/2006/relationships/hyperlink" Target="https://youtu.be/5bfQFFpD9Fo" TargetMode="External"/><Relationship Id="rId59" Type="http://schemas.openxmlformats.org/officeDocument/2006/relationships/hyperlink" Target="https://youtu.be/vBn-upeqW0A" TargetMode="External"/><Relationship Id="rId58" Type="http://schemas.openxmlformats.org/officeDocument/2006/relationships/hyperlink" Target="https://youtu.be/nFB23U-L1XA" TargetMode="External"/><Relationship Id="rId95" Type="http://schemas.openxmlformats.org/officeDocument/2006/relationships/hyperlink" Target="https://www.twitch.tv/videos/879534438" TargetMode="External"/><Relationship Id="rId94" Type="http://schemas.openxmlformats.org/officeDocument/2006/relationships/hyperlink" Target="https://clips.twitch.tv/TenaciousRenownedAsparagusKappaRoss" TargetMode="External"/><Relationship Id="rId97" Type="http://schemas.openxmlformats.org/officeDocument/2006/relationships/hyperlink" Target="https://www.twitch.tv/videos/864163783" TargetMode="External"/><Relationship Id="rId96" Type="http://schemas.openxmlformats.org/officeDocument/2006/relationships/hyperlink" Target="https://www.twitch.tv/videos/638064785" TargetMode="External"/><Relationship Id="rId99" Type="http://schemas.openxmlformats.org/officeDocument/2006/relationships/hyperlink" Target="https://www.twitch.tv/videos/2242175956" TargetMode="External"/><Relationship Id="rId98" Type="http://schemas.openxmlformats.org/officeDocument/2006/relationships/hyperlink" Target="https://www.twitch.tv/videos/1765641239" TargetMode="External"/><Relationship Id="rId91" Type="http://schemas.openxmlformats.org/officeDocument/2006/relationships/hyperlink" Target="https://clips.twitch.tv/SilkyMoralButterflyKappaClaus" TargetMode="External"/><Relationship Id="rId90" Type="http://schemas.openxmlformats.org/officeDocument/2006/relationships/hyperlink" Target="https://www.twitch.tv/videos/639827929" TargetMode="External"/><Relationship Id="rId93" Type="http://schemas.openxmlformats.org/officeDocument/2006/relationships/hyperlink" Target="https://www.twitch.tv/videos/638062065" TargetMode="External"/><Relationship Id="rId92" Type="http://schemas.openxmlformats.org/officeDocument/2006/relationships/hyperlink" Target="https://www.twitch.tv/videos/633929796" TargetMode="External"/><Relationship Id="rId264" Type="http://schemas.openxmlformats.org/officeDocument/2006/relationships/hyperlink" Target="https://youtu.be/au7MF6kjqbA" TargetMode="External"/><Relationship Id="rId263" Type="http://schemas.openxmlformats.org/officeDocument/2006/relationships/hyperlink" Target="https://youtu.be/CEL7xt6r-fI" TargetMode="External"/><Relationship Id="rId262" Type="http://schemas.openxmlformats.org/officeDocument/2006/relationships/hyperlink" Target="https://youtu.be/DIoSLIL-Lqs" TargetMode="External"/><Relationship Id="rId261" Type="http://schemas.openxmlformats.org/officeDocument/2006/relationships/hyperlink" Target="https://www.youtube.com/watch?v=oRen7GNVatA" TargetMode="External"/><Relationship Id="rId266" Type="http://schemas.openxmlformats.org/officeDocument/2006/relationships/vmlDrawing" Target="../drawings/vmlDrawing6.vml"/><Relationship Id="rId265" Type="http://schemas.openxmlformats.org/officeDocument/2006/relationships/drawing" Target="../drawings/drawing7.xml"/><Relationship Id="rId260" Type="http://schemas.openxmlformats.org/officeDocument/2006/relationships/hyperlink" Target="https://clips.twitch.tv/CulturedFrigidBeefFrankerZ-HUBEM7Mel-rDl8pV" TargetMode="External"/><Relationship Id="rId259" Type="http://schemas.openxmlformats.org/officeDocument/2006/relationships/hyperlink" Target="https://youtu.be/mkw0CiTYRbw" TargetMode="External"/><Relationship Id="rId258" Type="http://schemas.openxmlformats.org/officeDocument/2006/relationships/hyperlink" Target="https://clips.twitch.tv/AwkwardLuckyTapirTF2John-DzuFsIjGqHTHkB-6" TargetMode="External"/><Relationship Id="rId253" Type="http://schemas.openxmlformats.org/officeDocument/2006/relationships/hyperlink" Target="https://www.youtube.com/watch?v=8gICJsEA4wA&amp;t=4639s" TargetMode="External"/><Relationship Id="rId252" Type="http://schemas.openxmlformats.org/officeDocument/2006/relationships/hyperlink" Target="https://www.youtube.com/watch?v=0b9Y9W5QhTY&amp;t=8816s" TargetMode="External"/><Relationship Id="rId251" Type="http://schemas.openxmlformats.org/officeDocument/2006/relationships/hyperlink" Target="https://www.youtube.com/watch?v=Xhn_AOrRoQA&amp;t=15731s" TargetMode="External"/><Relationship Id="rId250" Type="http://schemas.openxmlformats.org/officeDocument/2006/relationships/hyperlink" Target="https://www.youtube.com/watch?v=8hhI8RDE8jM&amp;t=4424s" TargetMode="External"/><Relationship Id="rId257" Type="http://schemas.openxmlformats.org/officeDocument/2006/relationships/hyperlink" Target="https://www.twitch.tv/videos/912125210" TargetMode="External"/><Relationship Id="rId256" Type="http://schemas.openxmlformats.org/officeDocument/2006/relationships/hyperlink" Target="https://www.twitch.tv/videos/2133355260" TargetMode="External"/><Relationship Id="rId255" Type="http://schemas.openxmlformats.org/officeDocument/2006/relationships/hyperlink" Target="https://www.twitch.tv/videos/2133351951" TargetMode="External"/><Relationship Id="rId254" Type="http://schemas.openxmlformats.org/officeDocument/2006/relationships/hyperlink" Target="https://www.twitch.tv/videos/2071937833?t=00h22m39s" TargetMode="External"/><Relationship Id="rId286" Type="http://schemas.openxmlformats.org/officeDocument/2006/relationships/table" Target="../tables/table52.xml"/><Relationship Id="rId285" Type="http://schemas.openxmlformats.org/officeDocument/2006/relationships/table" Target="../tables/table51.xml"/><Relationship Id="rId284" Type="http://schemas.openxmlformats.org/officeDocument/2006/relationships/table" Target="../tables/table50.xml"/><Relationship Id="rId283" Type="http://schemas.openxmlformats.org/officeDocument/2006/relationships/table" Target="../tables/table49.xml"/><Relationship Id="rId288" Type="http://schemas.openxmlformats.org/officeDocument/2006/relationships/table" Target="../tables/table54.xml"/><Relationship Id="rId287" Type="http://schemas.openxmlformats.org/officeDocument/2006/relationships/table" Target="../tables/table53.xml"/><Relationship Id="rId282" Type="http://schemas.openxmlformats.org/officeDocument/2006/relationships/table" Target="../tables/table48.xml"/><Relationship Id="rId281" Type="http://schemas.openxmlformats.org/officeDocument/2006/relationships/table" Target="../tables/table47.xml"/><Relationship Id="rId280" Type="http://schemas.openxmlformats.org/officeDocument/2006/relationships/table" Target="../tables/table46.xml"/><Relationship Id="rId279" Type="http://schemas.openxmlformats.org/officeDocument/2006/relationships/table" Target="../tables/table45.xml"/><Relationship Id="rId278" Type="http://schemas.openxmlformats.org/officeDocument/2006/relationships/table" Target="../tables/table44.xml"/><Relationship Id="rId228" Type="http://schemas.openxmlformats.org/officeDocument/2006/relationships/hyperlink" Target="https://www.youtube.com/watch?v=GwDAlpg5yUI&amp;t=3702s" TargetMode="External"/><Relationship Id="rId227" Type="http://schemas.openxmlformats.org/officeDocument/2006/relationships/hyperlink" Target="https://www.youtube.com/watch?v=-MNIyH2cuWg&amp;t=2575s" TargetMode="External"/><Relationship Id="rId226" Type="http://schemas.openxmlformats.org/officeDocument/2006/relationships/hyperlink" Target="https://www.youtube.com/watch?v=aJ92uvRG7FM&amp;t=2106s" TargetMode="External"/><Relationship Id="rId225" Type="http://schemas.openxmlformats.org/officeDocument/2006/relationships/hyperlink" Target="https://www.youtube.com/watch?v=92KhJZu_NoM&amp;t=4418s" TargetMode="External"/><Relationship Id="rId229" Type="http://schemas.openxmlformats.org/officeDocument/2006/relationships/hyperlink" Target="https://www.youtube.com/watch?v=GwDAlpg5yUI&amp;t=3702s" TargetMode="External"/><Relationship Id="rId220" Type="http://schemas.openxmlformats.org/officeDocument/2006/relationships/hyperlink" Target="https://www.youtube.com/watch?v=CciA7V8S-yE&amp;t=4269s" TargetMode="External"/><Relationship Id="rId224" Type="http://schemas.openxmlformats.org/officeDocument/2006/relationships/hyperlink" Target="https://www.youtube.com/watch?v=2M8hVDEEJnM&amp;t=4414s" TargetMode="External"/><Relationship Id="rId223" Type="http://schemas.openxmlformats.org/officeDocument/2006/relationships/hyperlink" Target="https://www.youtube.com/watch?v=b7Pz8q_AXv0&amp;t=7009s" TargetMode="External"/><Relationship Id="rId222" Type="http://schemas.openxmlformats.org/officeDocument/2006/relationships/hyperlink" Target="https://www.youtube.com/watch?v=tzqd8wH8kd4&amp;t=8719s" TargetMode="External"/><Relationship Id="rId221" Type="http://schemas.openxmlformats.org/officeDocument/2006/relationships/hyperlink" Target="https://www.youtube.com/watch?v=O9DzFa8-EHg&amp;t=10401s" TargetMode="External"/><Relationship Id="rId217" Type="http://schemas.openxmlformats.org/officeDocument/2006/relationships/hyperlink" Target="https://www.youtube.com/watch?v=u9yn4k1L5JI&amp;t=6223s" TargetMode="External"/><Relationship Id="rId216" Type="http://schemas.openxmlformats.org/officeDocument/2006/relationships/hyperlink" Target="https://www.youtube.com/watch?v=RZRnJTeby9A&amp;t=2908s" TargetMode="External"/><Relationship Id="rId215" Type="http://schemas.openxmlformats.org/officeDocument/2006/relationships/hyperlink" Target="https://www.youtube.com/watch?v=jrBsFrWSQeI&amp;t=7995s" TargetMode="External"/><Relationship Id="rId214" Type="http://schemas.openxmlformats.org/officeDocument/2006/relationships/hyperlink" Target="https://www.youtube.com/watch?v=81D2pWs_pR4&amp;t=2639s" TargetMode="External"/><Relationship Id="rId219" Type="http://schemas.openxmlformats.org/officeDocument/2006/relationships/hyperlink" Target="https://www.youtube.com/watch?v=pGkZALCJJXA&amp;t=6273s" TargetMode="External"/><Relationship Id="rId218" Type="http://schemas.openxmlformats.org/officeDocument/2006/relationships/hyperlink" Target="https://www.youtube.com/watch?v=_vP1VWMK2tY&amp;t=1387s" TargetMode="External"/><Relationship Id="rId213" Type="http://schemas.openxmlformats.org/officeDocument/2006/relationships/hyperlink" Target="https://www.youtube.com/watch?v=DbfBlYxqk_0&amp;t=3608s" TargetMode="External"/><Relationship Id="rId212" Type="http://schemas.openxmlformats.org/officeDocument/2006/relationships/hyperlink" Target="https://www.youtube.com/watch?v=szQkZRVEiUo&amp;t=656s" TargetMode="External"/><Relationship Id="rId211" Type="http://schemas.openxmlformats.org/officeDocument/2006/relationships/hyperlink" Target="https://www.youtube.com/watch?t=395&amp;v=jXeVRkEQQt0&amp;feature=youtu.be" TargetMode="External"/><Relationship Id="rId210" Type="http://schemas.openxmlformats.org/officeDocument/2006/relationships/hyperlink" Target="https://www.twitch.tv/videos/1755175101" TargetMode="External"/><Relationship Id="rId249" Type="http://schemas.openxmlformats.org/officeDocument/2006/relationships/hyperlink" Target="https://www.youtube.com/watch?v=GwDAlpg5yUI&amp;t=7936s" TargetMode="External"/><Relationship Id="rId248" Type="http://schemas.openxmlformats.org/officeDocument/2006/relationships/hyperlink" Target="https://www.youtube.com/watch?v=jXeVRkEQQt0&amp;t=3814s" TargetMode="External"/><Relationship Id="rId247" Type="http://schemas.openxmlformats.org/officeDocument/2006/relationships/hyperlink" Target="https://www.youtube.com/watch?v=o6Yidy5w0io&amp;t=13908s" TargetMode="External"/><Relationship Id="rId242" Type="http://schemas.openxmlformats.org/officeDocument/2006/relationships/hyperlink" Target="https://www.youtube.com/watch?v=A0YUGkD8OG8&amp;t=11715s" TargetMode="External"/><Relationship Id="rId241" Type="http://schemas.openxmlformats.org/officeDocument/2006/relationships/hyperlink" Target="https://www.youtube.com/watch?v=9RsgjHFV1co&amp;t=2986s" TargetMode="External"/><Relationship Id="rId240" Type="http://schemas.openxmlformats.org/officeDocument/2006/relationships/hyperlink" Target="https://www.youtube.com/watch?v=Cc85sN1JqLM&amp;t=3692s" TargetMode="External"/><Relationship Id="rId246" Type="http://schemas.openxmlformats.org/officeDocument/2006/relationships/hyperlink" Target="https://www.youtube.com/watch?v=Cc85sN1JqLM&amp;t=10091s" TargetMode="External"/><Relationship Id="rId245" Type="http://schemas.openxmlformats.org/officeDocument/2006/relationships/hyperlink" Target="https://www.youtube.com/watch?v=MFrq6k-FALs&amp;t=10332s" TargetMode="External"/><Relationship Id="rId244" Type="http://schemas.openxmlformats.org/officeDocument/2006/relationships/hyperlink" Target="https://www.youtube.com/watch?v=zDGLm6bCcSw&amp;t=10596s" TargetMode="External"/><Relationship Id="rId243" Type="http://schemas.openxmlformats.org/officeDocument/2006/relationships/hyperlink" Target="https://www.youtube.com/watch?v=vceSIdnP3Ww&amp;t=3381s" TargetMode="External"/><Relationship Id="rId239" Type="http://schemas.openxmlformats.org/officeDocument/2006/relationships/hyperlink" Target="https://www.youtube.com/watch?v=nRWXrjW-QUI&amp;t=7753s" TargetMode="External"/><Relationship Id="rId238" Type="http://schemas.openxmlformats.org/officeDocument/2006/relationships/hyperlink" Target="https://www.youtube.com/watch?v=0Kdx0CerFs4&amp;t=2669s" TargetMode="External"/><Relationship Id="rId237" Type="http://schemas.openxmlformats.org/officeDocument/2006/relationships/hyperlink" Target="https://www.youtube.com/watch?v=GevyLjJduYg&amp;t=3857s" TargetMode="External"/><Relationship Id="rId236" Type="http://schemas.openxmlformats.org/officeDocument/2006/relationships/hyperlink" Target="https://www.youtube.com/watch?v=2M8hVDEEJnM&amp;t=7107s" TargetMode="External"/><Relationship Id="rId231" Type="http://schemas.openxmlformats.org/officeDocument/2006/relationships/hyperlink" Target="https://www.youtube.com/watch?v=sItafHFfwGM&amp;t=4180s" TargetMode="External"/><Relationship Id="rId230" Type="http://schemas.openxmlformats.org/officeDocument/2006/relationships/hyperlink" Target="https://www.youtube.com/watch?v=l0Gx3S9wDNY&amp;t=5864s" TargetMode="External"/><Relationship Id="rId235" Type="http://schemas.openxmlformats.org/officeDocument/2006/relationships/hyperlink" Target="https://www.youtube.com/watch?v=Cc85sN1JqLM&amp;t=11159s" TargetMode="External"/><Relationship Id="rId234" Type="http://schemas.openxmlformats.org/officeDocument/2006/relationships/hyperlink" Target="https://www.youtube.com/watch?v=8gICJsEA4wA&amp;t=4412s" TargetMode="External"/><Relationship Id="rId233" Type="http://schemas.openxmlformats.org/officeDocument/2006/relationships/hyperlink" Target="https://www.youtube.com/watch?v=zDGLm6bCcSw&amp;t=11646s" TargetMode="External"/><Relationship Id="rId232" Type="http://schemas.openxmlformats.org/officeDocument/2006/relationships/hyperlink" Target="https://www.youtube.com/watch?v=jrBsFrWSQeI&amp;t=11195s" TargetMode="External"/><Relationship Id="rId206" Type="http://schemas.openxmlformats.org/officeDocument/2006/relationships/hyperlink" Target="https://youtu.be/TmmFwGvyglU" TargetMode="External"/><Relationship Id="rId205" Type="http://schemas.openxmlformats.org/officeDocument/2006/relationships/hyperlink" Target="https://clips.twitch.tv/DifferentUnusualOkapiSoBayed-YJ5GXStkMzoPZl7L" TargetMode="External"/><Relationship Id="rId204" Type="http://schemas.openxmlformats.org/officeDocument/2006/relationships/hyperlink" Target="https://youtu.be/MUVbA9sxFSs" TargetMode="External"/><Relationship Id="rId203" Type="http://schemas.openxmlformats.org/officeDocument/2006/relationships/hyperlink" Target="https://youtu.be/jrLWby7WcKg" TargetMode="External"/><Relationship Id="rId209" Type="http://schemas.openxmlformats.org/officeDocument/2006/relationships/hyperlink" Target="https://www.youtube.com/watch?v=W5Cr-mqTq24&amp;ab_channel=BlazeRol" TargetMode="External"/><Relationship Id="rId208" Type="http://schemas.openxmlformats.org/officeDocument/2006/relationships/hyperlink" Target="https://youtu.be/c-yQEHazKvM" TargetMode="External"/><Relationship Id="rId207" Type="http://schemas.openxmlformats.org/officeDocument/2006/relationships/hyperlink" Target="https://youtu.be/A44dEVq6v7Q" TargetMode="External"/><Relationship Id="rId202" Type="http://schemas.openxmlformats.org/officeDocument/2006/relationships/hyperlink" Target="https://youtu.be/oNqQ3CNo7aE" TargetMode="External"/><Relationship Id="rId201" Type="http://schemas.openxmlformats.org/officeDocument/2006/relationships/hyperlink" Target="https://www.youtube.com/watch?v=pfE1xT61W8s" TargetMode="External"/><Relationship Id="rId200" Type="http://schemas.openxmlformats.org/officeDocument/2006/relationships/hyperlink" Target="https://youtu.be/--xp4JyMFXs" TargetMode="External"/><Relationship Id="rId1" Type="http://schemas.openxmlformats.org/officeDocument/2006/relationships/comments" Target="../comments6.xml"/><Relationship Id="rId2" Type="http://schemas.openxmlformats.org/officeDocument/2006/relationships/hyperlink" Target="https://www.twitch.tv/videos/2264763606" TargetMode="External"/><Relationship Id="rId3" Type="http://schemas.openxmlformats.org/officeDocument/2006/relationships/hyperlink" Target="https://www.twitch.tv/videos/2145368008" TargetMode="External"/><Relationship Id="rId4" Type="http://schemas.openxmlformats.org/officeDocument/2006/relationships/hyperlink" Target="https://www.twitch.tv/videos/2829338980" TargetMode="External"/><Relationship Id="rId9" Type="http://schemas.openxmlformats.org/officeDocument/2006/relationships/hyperlink" Target="https://www.twitch.tv/videos/2849274958" TargetMode="External"/><Relationship Id="rId5" Type="http://schemas.openxmlformats.org/officeDocument/2006/relationships/hyperlink" Target="https://www.twitch.tv/videos/2411306771" TargetMode="External"/><Relationship Id="rId6" Type="http://schemas.openxmlformats.org/officeDocument/2006/relationships/hyperlink" Target="https://www.twitch.tv/videos/2835962465" TargetMode="External"/><Relationship Id="rId7" Type="http://schemas.openxmlformats.org/officeDocument/2006/relationships/hyperlink" Target="https://www.twitch.tv/inkstar/clip/SolidBelovedSnailShadyLulu-0l-89Llvf2wR48cs" TargetMode="External"/><Relationship Id="rId8" Type="http://schemas.openxmlformats.org/officeDocument/2006/relationships/hyperlink" Target="https://www.twitch.tv/videos/2537030335" TargetMode="External"/><Relationship Id="rId190" Type="http://schemas.openxmlformats.org/officeDocument/2006/relationships/hyperlink" Target="https://www.twitch.tv/videos/462477514" TargetMode="External"/><Relationship Id="rId194" Type="http://schemas.openxmlformats.org/officeDocument/2006/relationships/hyperlink" Target="https://clips.twitch.tv/WimpyRamshackleWrenchGivePLZ" TargetMode="External"/><Relationship Id="rId193" Type="http://schemas.openxmlformats.org/officeDocument/2006/relationships/hyperlink" Target="https://www.youtube.com/watch?v=IyZ1OwEWPDY" TargetMode="External"/><Relationship Id="rId192" Type="http://schemas.openxmlformats.org/officeDocument/2006/relationships/hyperlink" Target="https://www.twitch.tv/videos/1713914330" TargetMode="External"/><Relationship Id="rId191" Type="http://schemas.openxmlformats.org/officeDocument/2006/relationships/hyperlink" Target="https://www.twitch.tv/videos/1755256248" TargetMode="External"/><Relationship Id="rId187" Type="http://schemas.openxmlformats.org/officeDocument/2006/relationships/hyperlink" Target="https://www.twitch.tv/audiokillers/clip/SinglePuzzledKittenUncleNox-2WvFf1JoOO1nwKiX?featured=false&amp;filter=clips&amp;range=all&amp;sort=time" TargetMode="External"/><Relationship Id="rId186" Type="http://schemas.openxmlformats.org/officeDocument/2006/relationships/hyperlink" Target="https://www.twitch.tv/videos/1989107323" TargetMode="External"/><Relationship Id="rId185" Type="http://schemas.openxmlformats.org/officeDocument/2006/relationships/hyperlink" Target="https://www.twitch.tv/videos/1710387530" TargetMode="External"/><Relationship Id="rId184" Type="http://schemas.openxmlformats.org/officeDocument/2006/relationships/hyperlink" Target="https://clips.twitch.tv/CallousGleamingCakeNomNom" TargetMode="External"/><Relationship Id="rId189" Type="http://schemas.openxmlformats.org/officeDocument/2006/relationships/hyperlink" Target="https://www.youtube.com/watch?v=0sOJmobWYN0" TargetMode="External"/><Relationship Id="rId188" Type="http://schemas.openxmlformats.org/officeDocument/2006/relationships/hyperlink" Target="https://www.youtube.com/watch?v=3Fv5fOE2r1E" TargetMode="External"/><Relationship Id="rId183" Type="http://schemas.openxmlformats.org/officeDocument/2006/relationships/hyperlink" Target="https://www.twitch.tv/videos/2644693629" TargetMode="External"/><Relationship Id="rId182" Type="http://schemas.openxmlformats.org/officeDocument/2006/relationships/hyperlink" Target="https://www.twitch.tv/videos/2645094534" TargetMode="External"/><Relationship Id="rId181" Type="http://schemas.openxmlformats.org/officeDocument/2006/relationships/hyperlink" Target="https://www.twitch.tv/videos/2648536197" TargetMode="External"/><Relationship Id="rId180" Type="http://schemas.openxmlformats.org/officeDocument/2006/relationships/hyperlink" Target="https://www.twitch.tv/videos/2638285819" TargetMode="External"/><Relationship Id="rId176" Type="http://schemas.openxmlformats.org/officeDocument/2006/relationships/hyperlink" Target="https://www.twitch.tv/videos/2635514237" TargetMode="External"/><Relationship Id="rId175" Type="http://schemas.openxmlformats.org/officeDocument/2006/relationships/hyperlink" Target="https://www.twitch.tv/videos/2631984626" TargetMode="External"/><Relationship Id="rId174" Type="http://schemas.openxmlformats.org/officeDocument/2006/relationships/hyperlink" Target="https://www.twitch.tv/videos/2638285819" TargetMode="External"/><Relationship Id="rId173" Type="http://schemas.openxmlformats.org/officeDocument/2006/relationships/hyperlink" Target="https://www.twitch.tv/videos/2638420513" TargetMode="External"/><Relationship Id="rId179" Type="http://schemas.openxmlformats.org/officeDocument/2006/relationships/hyperlink" Target="https://www.twitch.tv/videos/2646539483" TargetMode="External"/><Relationship Id="rId178" Type="http://schemas.openxmlformats.org/officeDocument/2006/relationships/hyperlink" Target="https://www.twitch.tv/videos/2640037274" TargetMode="External"/><Relationship Id="rId177" Type="http://schemas.openxmlformats.org/officeDocument/2006/relationships/hyperlink" Target="https://www.twitch.tv/videos/2634216566" TargetMode="External"/><Relationship Id="rId198" Type="http://schemas.openxmlformats.org/officeDocument/2006/relationships/hyperlink" Target="https://youtu.be/xDbL91oWNPg" TargetMode="External"/><Relationship Id="rId197" Type="http://schemas.openxmlformats.org/officeDocument/2006/relationships/hyperlink" Target="https://www.youtube.com/watch?v=jpYFJAlafBg" TargetMode="External"/><Relationship Id="rId196" Type="http://schemas.openxmlformats.org/officeDocument/2006/relationships/hyperlink" Target="https://www.youtube.com/watch?v=XxuAwSFsMYE" TargetMode="External"/><Relationship Id="rId195" Type="http://schemas.openxmlformats.org/officeDocument/2006/relationships/hyperlink" Target="https://www.youtube.com/watch?v=-7r9KOBsMlo" TargetMode="External"/><Relationship Id="rId199" Type="http://schemas.openxmlformats.org/officeDocument/2006/relationships/hyperlink" Target="https://youtu.be/VLtMA2eixgA" TargetMode="External"/><Relationship Id="rId150" Type="http://schemas.openxmlformats.org/officeDocument/2006/relationships/hyperlink" Target="https://www.twitch.tv/videos/2638285819" TargetMode="External"/><Relationship Id="rId149" Type="http://schemas.openxmlformats.org/officeDocument/2006/relationships/hyperlink" Target="https://www.twitch.tv/videos/2637323025" TargetMode="External"/><Relationship Id="rId148" Type="http://schemas.openxmlformats.org/officeDocument/2006/relationships/hyperlink" Target="https://www.twitch.tv/videos/2645029113" TargetMode="External"/><Relationship Id="rId143" Type="http://schemas.openxmlformats.org/officeDocument/2006/relationships/hyperlink" Target="https://www.twitch.tv/videos/2618323086" TargetMode="External"/><Relationship Id="rId142" Type="http://schemas.openxmlformats.org/officeDocument/2006/relationships/hyperlink" Target="https://www.twitch.tv/videos/1624651794" TargetMode="External"/><Relationship Id="rId141" Type="http://schemas.openxmlformats.org/officeDocument/2006/relationships/hyperlink" Target="https://www.twitch.tv/videos/1308624597" TargetMode="External"/><Relationship Id="rId140" Type="http://schemas.openxmlformats.org/officeDocument/2006/relationships/hyperlink" Target="https://www.twitch.tv/videos/1050626698" TargetMode="External"/><Relationship Id="rId147" Type="http://schemas.openxmlformats.org/officeDocument/2006/relationships/hyperlink" Target="https://www.twitch.tv/videos/2635511484" TargetMode="External"/><Relationship Id="rId146" Type="http://schemas.openxmlformats.org/officeDocument/2006/relationships/hyperlink" Target="https://www.twitch.tv/videos/2638285819" TargetMode="External"/><Relationship Id="rId145" Type="http://schemas.openxmlformats.org/officeDocument/2006/relationships/hyperlink" Target="https://youtu.be/ZnukiMGN8KQ" TargetMode="External"/><Relationship Id="rId144" Type="http://schemas.openxmlformats.org/officeDocument/2006/relationships/hyperlink" Target="https://www.twitch.tv/videos/2644690142" TargetMode="External"/><Relationship Id="rId139" Type="http://schemas.openxmlformats.org/officeDocument/2006/relationships/hyperlink" Target="https://www.twitch.tv/videos/1624653119" TargetMode="External"/><Relationship Id="rId138" Type="http://schemas.openxmlformats.org/officeDocument/2006/relationships/hyperlink" Target="https://www.youtube.com/watch?v=dqmnh6m1RhI" TargetMode="External"/><Relationship Id="rId137" Type="http://schemas.openxmlformats.org/officeDocument/2006/relationships/hyperlink" Target="https://www.youtube.com/watch?v=XSosyeRxhjw" TargetMode="External"/><Relationship Id="rId132" Type="http://schemas.openxmlformats.org/officeDocument/2006/relationships/hyperlink" Target="https://www.youtube.com/watch?v=HLk8gUwOv3c" TargetMode="External"/><Relationship Id="rId131" Type="http://schemas.openxmlformats.org/officeDocument/2006/relationships/hyperlink" Target="https://youtu.be/ja6zPQFtXiI" TargetMode="External"/><Relationship Id="rId130" Type="http://schemas.openxmlformats.org/officeDocument/2006/relationships/hyperlink" Target="https://youtu.be/66zVzloXetE" TargetMode="External"/><Relationship Id="rId136" Type="http://schemas.openxmlformats.org/officeDocument/2006/relationships/hyperlink" Target="https://www.youtube.com/watch?v=-7TLR4FJ3dE" TargetMode="External"/><Relationship Id="rId135" Type="http://schemas.openxmlformats.org/officeDocument/2006/relationships/hyperlink" Target="https://www.twitch.tv/videos/2404994164" TargetMode="External"/><Relationship Id="rId134" Type="http://schemas.openxmlformats.org/officeDocument/2006/relationships/hyperlink" Target="https://clips.twitch.tv/BrightDifferentGrasshopperSuperVinlin" TargetMode="External"/><Relationship Id="rId133" Type="http://schemas.openxmlformats.org/officeDocument/2006/relationships/hyperlink" Target="https://youtu.be/4XtxuhK7N0g" TargetMode="External"/><Relationship Id="rId172" Type="http://schemas.openxmlformats.org/officeDocument/2006/relationships/hyperlink" Target="https://www.twitch.tv/videos/2644693629" TargetMode="External"/><Relationship Id="rId171" Type="http://schemas.openxmlformats.org/officeDocument/2006/relationships/hyperlink" Target="https://www.twitch.tv/videos/2644693629" TargetMode="External"/><Relationship Id="rId170" Type="http://schemas.openxmlformats.org/officeDocument/2006/relationships/hyperlink" Target="https://www.twitch.tv/videos/2644693629" TargetMode="External"/><Relationship Id="rId165" Type="http://schemas.openxmlformats.org/officeDocument/2006/relationships/hyperlink" Target="https://www.twitch.tv/videos/2631984626" TargetMode="External"/><Relationship Id="rId164" Type="http://schemas.openxmlformats.org/officeDocument/2006/relationships/hyperlink" Target="https://www.twitch.tv/videos/2640037274" TargetMode="External"/><Relationship Id="rId163" Type="http://schemas.openxmlformats.org/officeDocument/2006/relationships/hyperlink" Target="https://www.twitch.tv/videos/2646539483" TargetMode="External"/><Relationship Id="rId162" Type="http://schemas.openxmlformats.org/officeDocument/2006/relationships/hyperlink" Target="https://www.twitch.tv/videos/2645094534" TargetMode="External"/><Relationship Id="rId169" Type="http://schemas.openxmlformats.org/officeDocument/2006/relationships/hyperlink" Target="https://www.twitch.tv/videos/2618315963" TargetMode="External"/><Relationship Id="rId168" Type="http://schemas.openxmlformats.org/officeDocument/2006/relationships/hyperlink" Target="https://www.twitch.tv/videos/2640037274" TargetMode="External"/><Relationship Id="rId167" Type="http://schemas.openxmlformats.org/officeDocument/2006/relationships/hyperlink" Target="https://www.twitch.tv/videos/2640037274" TargetMode="External"/><Relationship Id="rId166" Type="http://schemas.openxmlformats.org/officeDocument/2006/relationships/hyperlink" Target="https://www.twitch.tv/videos/2628702701" TargetMode="External"/><Relationship Id="rId161" Type="http://schemas.openxmlformats.org/officeDocument/2006/relationships/hyperlink" Target="https://www.twitch.tv/videos/2629648826" TargetMode="External"/><Relationship Id="rId160" Type="http://schemas.openxmlformats.org/officeDocument/2006/relationships/hyperlink" Target="https://www.twitch.tv/videos/2638420513" TargetMode="External"/><Relationship Id="rId159" Type="http://schemas.openxmlformats.org/officeDocument/2006/relationships/hyperlink" Target="https://www.twitch.tv/videos/2648535400" TargetMode="External"/><Relationship Id="rId154" Type="http://schemas.openxmlformats.org/officeDocument/2006/relationships/hyperlink" Target="https://www.twitch.tv/videos/2638285819" TargetMode="External"/><Relationship Id="rId153" Type="http://schemas.openxmlformats.org/officeDocument/2006/relationships/hyperlink" Target="https://www.twitch.tv/videos/2644236533" TargetMode="External"/><Relationship Id="rId152" Type="http://schemas.openxmlformats.org/officeDocument/2006/relationships/hyperlink" Target="https://www.twitch.tv/videos/2634214517" TargetMode="External"/><Relationship Id="rId151" Type="http://schemas.openxmlformats.org/officeDocument/2006/relationships/hyperlink" Target="https://www.twitch.tv/videos/2648498401" TargetMode="External"/><Relationship Id="rId158" Type="http://schemas.openxmlformats.org/officeDocument/2006/relationships/hyperlink" Target="https://www.twitch.tv/videos/2645090182" TargetMode="External"/><Relationship Id="rId157" Type="http://schemas.openxmlformats.org/officeDocument/2006/relationships/hyperlink" Target="https://www.twitch.tv/videos/2604991618" TargetMode="External"/><Relationship Id="rId156" Type="http://schemas.openxmlformats.org/officeDocument/2006/relationships/hyperlink" Target="https://www.twitch.tv/videos/2646539483" TargetMode="External"/><Relationship Id="rId155" Type="http://schemas.openxmlformats.org/officeDocument/2006/relationships/hyperlink" Target="https://www.twitch.tv/videos/2628715891" TargetMode="External"/><Relationship Id="rId107" Type="http://schemas.openxmlformats.org/officeDocument/2006/relationships/hyperlink" Target="https://www.twitch.tv/videos/2201628652" TargetMode="External"/><Relationship Id="rId106" Type="http://schemas.openxmlformats.org/officeDocument/2006/relationships/hyperlink" Target="https://youtu.be/y0_mPSp7SwQ" TargetMode="External"/><Relationship Id="rId105" Type="http://schemas.openxmlformats.org/officeDocument/2006/relationships/hyperlink" Target="https://www.twitch.tv/videos/2329420950" TargetMode="External"/><Relationship Id="rId104" Type="http://schemas.openxmlformats.org/officeDocument/2006/relationships/hyperlink" Target="https://www.twitch.tv/videos/2530267559" TargetMode="External"/><Relationship Id="rId109" Type="http://schemas.openxmlformats.org/officeDocument/2006/relationships/hyperlink" Target="https://www.twitch.tv/videos/2203294661" TargetMode="External"/><Relationship Id="rId108" Type="http://schemas.openxmlformats.org/officeDocument/2006/relationships/hyperlink" Target="https://www.twitch.tv/videos/2581291117" TargetMode="External"/><Relationship Id="rId103" Type="http://schemas.openxmlformats.org/officeDocument/2006/relationships/hyperlink" Target="https://www.twitch.tv/videos/2868093948" TargetMode="External"/><Relationship Id="rId102" Type="http://schemas.openxmlformats.org/officeDocument/2006/relationships/hyperlink" Target="https://www.twitch.tv/videos/138765719" TargetMode="External"/><Relationship Id="rId101" Type="http://schemas.openxmlformats.org/officeDocument/2006/relationships/hyperlink" Target="https://www.twitch.tv/videos/2394987542" TargetMode="External"/><Relationship Id="rId100" Type="http://schemas.openxmlformats.org/officeDocument/2006/relationships/hyperlink" Target="https://www.twitch.tv/videos/1872563584" TargetMode="External"/><Relationship Id="rId129" Type="http://schemas.openxmlformats.org/officeDocument/2006/relationships/hyperlink" Target="https://youtu.be/8_LiaO_KYho" TargetMode="External"/><Relationship Id="rId128" Type="http://schemas.openxmlformats.org/officeDocument/2006/relationships/hyperlink" Target="https://youtu.be/9eFFdbQrphg" TargetMode="External"/><Relationship Id="rId127" Type="http://schemas.openxmlformats.org/officeDocument/2006/relationships/hyperlink" Target="https://youtu.be/KLBM8Weq0ZI" TargetMode="External"/><Relationship Id="rId126" Type="http://schemas.openxmlformats.org/officeDocument/2006/relationships/hyperlink" Target="https://youtu.be/h-Wa3JgyAIw" TargetMode="External"/><Relationship Id="rId121" Type="http://schemas.openxmlformats.org/officeDocument/2006/relationships/hyperlink" Target="https://www.youtube.com/watch?v=M79ZQ61xUc0" TargetMode="External"/><Relationship Id="rId120" Type="http://schemas.openxmlformats.org/officeDocument/2006/relationships/hyperlink" Target="https://youtu.be/4zlIDjHAV_A" TargetMode="External"/><Relationship Id="rId125" Type="http://schemas.openxmlformats.org/officeDocument/2006/relationships/hyperlink" Target="https://www.youtube.com/watch?v=z4HLHQchVg4" TargetMode="External"/><Relationship Id="rId124" Type="http://schemas.openxmlformats.org/officeDocument/2006/relationships/hyperlink" Target="https://youtu.be/Brm4RnmEqRE" TargetMode="External"/><Relationship Id="rId123" Type="http://schemas.openxmlformats.org/officeDocument/2006/relationships/hyperlink" Target="https://youtu.be/MNR6eWoPTLo" TargetMode="External"/><Relationship Id="rId122" Type="http://schemas.openxmlformats.org/officeDocument/2006/relationships/hyperlink" Target="https://youtu.be/DCI0ZLU0eCc" TargetMode="External"/><Relationship Id="rId118" Type="http://schemas.openxmlformats.org/officeDocument/2006/relationships/hyperlink" Target="https://youtu.be/iUt9WhwPUCg" TargetMode="External"/><Relationship Id="rId117" Type="http://schemas.openxmlformats.org/officeDocument/2006/relationships/hyperlink" Target="https://youtu.be/-uHohF0Fycw" TargetMode="External"/><Relationship Id="rId116" Type="http://schemas.openxmlformats.org/officeDocument/2006/relationships/hyperlink" Target="https://www.twitch.tv/videos/2577979002" TargetMode="External"/><Relationship Id="rId115" Type="http://schemas.openxmlformats.org/officeDocument/2006/relationships/hyperlink" Target="https://www.twitch.tv/videos/2226441965" TargetMode="External"/><Relationship Id="rId119" Type="http://schemas.openxmlformats.org/officeDocument/2006/relationships/hyperlink" Target="https://www.youtube.com/watch?v=mnuiidJSzog" TargetMode="External"/><Relationship Id="rId110" Type="http://schemas.openxmlformats.org/officeDocument/2006/relationships/hyperlink" Target="https://www.twitch.tv/videos/2578006940" TargetMode="External"/><Relationship Id="rId114" Type="http://schemas.openxmlformats.org/officeDocument/2006/relationships/hyperlink" Target="https://www.twitch.tv/videos/2578003402" TargetMode="External"/><Relationship Id="rId113" Type="http://schemas.openxmlformats.org/officeDocument/2006/relationships/hyperlink" Target="https://clips.twitch.tv/FunnyCooperativeApeFailFish-nFw8jJgw9yfBNJ-k" TargetMode="External"/><Relationship Id="rId112" Type="http://schemas.openxmlformats.org/officeDocument/2006/relationships/hyperlink" Target="https://www.twitch.tv/videos/2704427532" TargetMode="External"/><Relationship Id="rId111" Type="http://schemas.openxmlformats.org/officeDocument/2006/relationships/hyperlink" Target="https://www.twitch.tv/videos/267426520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twitch.tv/videos/2648536197" TargetMode="External"/><Relationship Id="rId42" Type="http://schemas.openxmlformats.org/officeDocument/2006/relationships/hyperlink" Target="https://www.twitch.tv/videos/863065719" TargetMode="External"/><Relationship Id="rId41" Type="http://schemas.openxmlformats.org/officeDocument/2006/relationships/hyperlink" Target="https://www.twitch.tv/videos/2644693629" TargetMode="External"/><Relationship Id="rId44" Type="http://schemas.openxmlformats.org/officeDocument/2006/relationships/hyperlink" Target="https://www.twitch.tv/videos/983001039" TargetMode="External"/><Relationship Id="rId43" Type="http://schemas.openxmlformats.org/officeDocument/2006/relationships/hyperlink" Target="https://www.twitch.tv/videos/1280710094" TargetMode="External"/><Relationship Id="rId46" Type="http://schemas.openxmlformats.org/officeDocument/2006/relationships/drawing" Target="../drawings/drawing8.xml"/><Relationship Id="rId45" Type="http://schemas.openxmlformats.org/officeDocument/2006/relationships/hyperlink" Target="https://youtu.be/43xxafOE82Y?t=3667" TargetMode="External"/><Relationship Id="rId47" Type="http://schemas.openxmlformats.org/officeDocument/2006/relationships/vmlDrawing" Target="../drawings/vmlDrawing7.vml"/><Relationship Id="rId31" Type="http://schemas.openxmlformats.org/officeDocument/2006/relationships/hyperlink" Target="https://www.twitch.tv/videos/2580169724" TargetMode="External"/><Relationship Id="rId30" Type="http://schemas.openxmlformats.org/officeDocument/2006/relationships/hyperlink" Target="https://www.twitch.tv/videos/2202283246" TargetMode="External"/><Relationship Id="rId33" Type="http://schemas.openxmlformats.org/officeDocument/2006/relationships/hyperlink" Target="https://www.twitch.tv/videos/2578607997" TargetMode="External"/><Relationship Id="rId32" Type="http://schemas.openxmlformats.org/officeDocument/2006/relationships/hyperlink" Target="https://www.twitch.tv/videos/2581833214" TargetMode="External"/><Relationship Id="rId35" Type="http://schemas.openxmlformats.org/officeDocument/2006/relationships/hyperlink" Target="https://www.twitch.tv/videos/2637491778" TargetMode="External"/><Relationship Id="rId34" Type="http://schemas.openxmlformats.org/officeDocument/2006/relationships/hyperlink" Target="https://www.twitch.tv/videos/2628715891" TargetMode="External"/><Relationship Id="rId37" Type="http://schemas.openxmlformats.org/officeDocument/2006/relationships/hyperlink" Target="https://www.twitch.tv/videos/2644693629" TargetMode="External"/><Relationship Id="rId36" Type="http://schemas.openxmlformats.org/officeDocument/2006/relationships/hyperlink" Target="https://www.twitch.tv/videos/2640048395" TargetMode="External"/><Relationship Id="rId39" Type="http://schemas.openxmlformats.org/officeDocument/2006/relationships/hyperlink" Target="https://www.twitch.tv/videos/2376793361" TargetMode="External"/><Relationship Id="rId38" Type="http://schemas.openxmlformats.org/officeDocument/2006/relationships/hyperlink" Target="https://www.twitch.tv/videos/2640037274" TargetMode="External"/><Relationship Id="rId20" Type="http://schemas.openxmlformats.org/officeDocument/2006/relationships/hyperlink" Target="https://youtu.be/5aiRFgZiNWs" TargetMode="External"/><Relationship Id="rId22" Type="http://schemas.openxmlformats.org/officeDocument/2006/relationships/hyperlink" Target="https://youtu.be/I6s1PQsSSL8" TargetMode="External"/><Relationship Id="rId21" Type="http://schemas.openxmlformats.org/officeDocument/2006/relationships/hyperlink" Target="https://youtu.be/0uKW8XzL6lY" TargetMode="External"/><Relationship Id="rId24" Type="http://schemas.openxmlformats.org/officeDocument/2006/relationships/hyperlink" Target="https://youtu.be/DaNZKqeE3lc" TargetMode="External"/><Relationship Id="rId23" Type="http://schemas.openxmlformats.org/officeDocument/2006/relationships/hyperlink" Target="https://youtu.be/EEVMMC7NYFQ" TargetMode="External"/><Relationship Id="rId26" Type="http://schemas.openxmlformats.org/officeDocument/2006/relationships/hyperlink" Target="https://www.twitch.tv/videos/2329420950" TargetMode="External"/><Relationship Id="rId25" Type="http://schemas.openxmlformats.org/officeDocument/2006/relationships/hyperlink" Target="https://www.youtube.com/watch?v=vVRdSTXKTd4" TargetMode="External"/><Relationship Id="rId28" Type="http://schemas.openxmlformats.org/officeDocument/2006/relationships/hyperlink" Target="https://www.youtube.com/watch?v=l7JWuEf2G_U" TargetMode="External"/><Relationship Id="rId27" Type="http://schemas.openxmlformats.org/officeDocument/2006/relationships/hyperlink" Target="https://www.twitch.tv/videos/611685555" TargetMode="External"/><Relationship Id="rId29" Type="http://schemas.openxmlformats.org/officeDocument/2006/relationships/hyperlink" Target="https://www.twitch.tv/videos/138995763" TargetMode="External"/><Relationship Id="rId11" Type="http://schemas.openxmlformats.org/officeDocument/2006/relationships/hyperlink" Target="https://www.twitch.tv/videos/2673202497" TargetMode="External"/><Relationship Id="rId10" Type="http://schemas.openxmlformats.org/officeDocument/2006/relationships/hyperlink" Target="https://www.twitch.tv/videos/2529041684" TargetMode="External"/><Relationship Id="rId13" Type="http://schemas.openxmlformats.org/officeDocument/2006/relationships/hyperlink" Target="https://www.twitch.tv/videos/2832675378?t=00h42m56s" TargetMode="External"/><Relationship Id="rId12" Type="http://schemas.openxmlformats.org/officeDocument/2006/relationships/hyperlink" Target="https://youtu.be/LR1xb4ABFRs" TargetMode="External"/><Relationship Id="rId15" Type="http://schemas.openxmlformats.org/officeDocument/2006/relationships/hyperlink" Target="https://www.twitch.tv/videos/2673276653" TargetMode="External"/><Relationship Id="rId14" Type="http://schemas.openxmlformats.org/officeDocument/2006/relationships/hyperlink" Target="https://youtu.be/GmHV1Ah6DdI?si=xQcnhg0puoZwEJwq&amp;t=3290" TargetMode="External"/><Relationship Id="rId17" Type="http://schemas.openxmlformats.org/officeDocument/2006/relationships/hyperlink" Target="https://youtu.be/YEn5Q5dfZ3s" TargetMode="External"/><Relationship Id="rId16" Type="http://schemas.openxmlformats.org/officeDocument/2006/relationships/hyperlink" Target="https://youtu.be/wHCFj2D6Jwg" TargetMode="External"/><Relationship Id="rId19" Type="http://schemas.openxmlformats.org/officeDocument/2006/relationships/hyperlink" Target="https://youtu.be/bvw7w4ykLRA" TargetMode="External"/><Relationship Id="rId18" Type="http://schemas.openxmlformats.org/officeDocument/2006/relationships/hyperlink" Target="https://youtu.be/X6ENw9scp30" TargetMode="External"/><Relationship Id="rId62" Type="http://schemas.openxmlformats.org/officeDocument/2006/relationships/table" Target="../tables/table58.xml"/><Relationship Id="rId61" Type="http://schemas.openxmlformats.org/officeDocument/2006/relationships/table" Target="../tables/table57.xml"/><Relationship Id="rId64" Type="http://schemas.openxmlformats.org/officeDocument/2006/relationships/table" Target="../tables/table60.xml"/><Relationship Id="rId63" Type="http://schemas.openxmlformats.org/officeDocument/2006/relationships/table" Target="../tables/table59.xml"/><Relationship Id="rId66" Type="http://schemas.openxmlformats.org/officeDocument/2006/relationships/table" Target="../tables/table62.xml"/><Relationship Id="rId65" Type="http://schemas.openxmlformats.org/officeDocument/2006/relationships/table" Target="../tables/table61.xml"/><Relationship Id="rId68" Type="http://schemas.openxmlformats.org/officeDocument/2006/relationships/table" Target="../tables/table64.xml"/><Relationship Id="rId67" Type="http://schemas.openxmlformats.org/officeDocument/2006/relationships/table" Target="../tables/table63.xml"/><Relationship Id="rId60" Type="http://schemas.openxmlformats.org/officeDocument/2006/relationships/table" Target="../tables/table56.xml"/><Relationship Id="rId69" Type="http://schemas.openxmlformats.org/officeDocument/2006/relationships/table" Target="../tables/table65.xml"/><Relationship Id="rId59" Type="http://schemas.openxmlformats.org/officeDocument/2006/relationships/table" Target="../tables/table55.xml"/><Relationship Id="rId1" Type="http://schemas.openxmlformats.org/officeDocument/2006/relationships/comments" Target="../comments7.xml"/><Relationship Id="rId2" Type="http://schemas.openxmlformats.org/officeDocument/2006/relationships/hyperlink" Target="https://www.twitch.tv/videos/2510104442" TargetMode="External"/><Relationship Id="rId3" Type="http://schemas.openxmlformats.org/officeDocument/2006/relationships/hyperlink" Target="https://www.twitch.tv/videos/2529041684" TargetMode="External"/><Relationship Id="rId4" Type="http://schemas.openxmlformats.org/officeDocument/2006/relationships/hyperlink" Target="https://www.twitch.tv/videos/2673202497" TargetMode="External"/><Relationship Id="rId9" Type="http://schemas.openxmlformats.org/officeDocument/2006/relationships/hyperlink" Target="https://www.twitch.tv/videos/2845959395" TargetMode="External"/><Relationship Id="rId5" Type="http://schemas.openxmlformats.org/officeDocument/2006/relationships/hyperlink" Target="https://www.twitch.tv/videos/2543240391" TargetMode="External"/><Relationship Id="rId6" Type="http://schemas.openxmlformats.org/officeDocument/2006/relationships/hyperlink" Target="https://www.twitch.tv/videos/2329420950" TargetMode="External"/><Relationship Id="rId7" Type="http://schemas.openxmlformats.org/officeDocument/2006/relationships/hyperlink" Target="https://www.twitch.tv/videos/2510104442" TargetMode="External"/><Relationship Id="rId8" Type="http://schemas.openxmlformats.org/officeDocument/2006/relationships/hyperlink" Target="https://www.twitch.tv/videos/1984997347"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www.youtube.com/watch?v=rb2mqdYll-A" TargetMode="External"/><Relationship Id="rId30" Type="http://schemas.openxmlformats.org/officeDocument/2006/relationships/hyperlink" Target="https://www.twitch.tv/videos/1886973531" TargetMode="External"/><Relationship Id="rId33" Type="http://schemas.openxmlformats.org/officeDocument/2006/relationships/hyperlink" Target="https://www.youtube.com/watch?v=rb2mqdYll-A" TargetMode="External"/><Relationship Id="rId32" Type="http://schemas.openxmlformats.org/officeDocument/2006/relationships/hyperlink" Target="https://www.youtube.com/watch?v=rb2mqdYll-A" TargetMode="External"/><Relationship Id="rId35" Type="http://schemas.openxmlformats.org/officeDocument/2006/relationships/hyperlink" Target="https://www.youtube.com/watch?v=ilwGUlLxT4E" TargetMode="External"/><Relationship Id="rId34" Type="http://schemas.openxmlformats.org/officeDocument/2006/relationships/hyperlink" Target="https://youtu.be/rb2mqdYll-A" TargetMode="External"/><Relationship Id="rId37" Type="http://schemas.openxmlformats.org/officeDocument/2006/relationships/vmlDrawing" Target="../drawings/vmlDrawing8.vml"/><Relationship Id="rId36" Type="http://schemas.openxmlformats.org/officeDocument/2006/relationships/drawing" Target="../drawings/drawing9.xml"/><Relationship Id="rId20" Type="http://schemas.openxmlformats.org/officeDocument/2006/relationships/hyperlink" Target="https://youtu.be/x4E4l__eELA" TargetMode="External"/><Relationship Id="rId22" Type="http://schemas.openxmlformats.org/officeDocument/2006/relationships/hyperlink" Target="https://youtu.be/4OvLPplXKDM" TargetMode="External"/><Relationship Id="rId21" Type="http://schemas.openxmlformats.org/officeDocument/2006/relationships/hyperlink" Target="https://youtu.be/4OvLPplXKDM" TargetMode="External"/><Relationship Id="rId24" Type="http://schemas.openxmlformats.org/officeDocument/2006/relationships/hyperlink" Target="https://youtu.be/4OvLPplXKDM" TargetMode="External"/><Relationship Id="rId23" Type="http://schemas.openxmlformats.org/officeDocument/2006/relationships/hyperlink" Target="https://youtu.be/4OvLPplXKDM" TargetMode="External"/><Relationship Id="rId26" Type="http://schemas.openxmlformats.org/officeDocument/2006/relationships/hyperlink" Target="https://youtu.be/4OvLPplXKDM" TargetMode="External"/><Relationship Id="rId25" Type="http://schemas.openxmlformats.org/officeDocument/2006/relationships/hyperlink" Target="https://youtu.be/4OvLPplXKDM" TargetMode="External"/><Relationship Id="rId28" Type="http://schemas.openxmlformats.org/officeDocument/2006/relationships/hyperlink" Target="https://www.twitch.tv/videos/1886973531" TargetMode="External"/><Relationship Id="rId27" Type="http://schemas.openxmlformats.org/officeDocument/2006/relationships/hyperlink" Target="https://www.twitch.tv/videos/2287728820" TargetMode="External"/><Relationship Id="rId29" Type="http://schemas.openxmlformats.org/officeDocument/2006/relationships/hyperlink" Target="https://www.twitch.tv/videos/1886973531" TargetMode="External"/><Relationship Id="rId11" Type="http://schemas.openxmlformats.org/officeDocument/2006/relationships/hyperlink" Target="https://www.twitch.tv/videos/2510104442?t=00h10m24s" TargetMode="External"/><Relationship Id="rId10" Type="http://schemas.openxmlformats.org/officeDocument/2006/relationships/hyperlink" Target="https://www.twitch.tv/videos/2510104442" TargetMode="External"/><Relationship Id="rId13" Type="http://schemas.openxmlformats.org/officeDocument/2006/relationships/hyperlink" Target="https://youtu.be/c_Y4fmr3s60?si=aPnuf42a9bo0eleX&amp;t=1366" TargetMode="External"/><Relationship Id="rId12" Type="http://schemas.openxmlformats.org/officeDocument/2006/relationships/hyperlink" Target="https://www.twitch.tv/videos/2800215442" TargetMode="External"/><Relationship Id="rId15" Type="http://schemas.openxmlformats.org/officeDocument/2006/relationships/hyperlink" Target="https://youtu.be/c_Y4fmr3s60?si=24pbuB1pwEPjtUWr&amp;t=2446" TargetMode="External"/><Relationship Id="rId14" Type="http://schemas.openxmlformats.org/officeDocument/2006/relationships/hyperlink" Target="https://youtu.be/c_Y4fmr3s60?si=mPCmBMZBF2t2yl1x&amp;t=1906" TargetMode="External"/><Relationship Id="rId17" Type="http://schemas.openxmlformats.org/officeDocument/2006/relationships/hyperlink" Target="https://youtu.be/GmHV1Ah6DdI?si=0dTKWTEp3i4k5DqX&amp;t=3289" TargetMode="External"/><Relationship Id="rId16" Type="http://schemas.openxmlformats.org/officeDocument/2006/relationships/hyperlink" Target="https://www.twitch.tv/videos/2832675378?t=00h42m57s" TargetMode="External"/><Relationship Id="rId19" Type="http://schemas.openxmlformats.org/officeDocument/2006/relationships/hyperlink" Target="https://youtu.be/x4E4l__eELA" TargetMode="External"/><Relationship Id="rId18" Type="http://schemas.openxmlformats.org/officeDocument/2006/relationships/hyperlink" Target="https://youtu.be/wHCFj2D6Jwg" TargetMode="External"/><Relationship Id="rId62" Type="http://schemas.openxmlformats.org/officeDocument/2006/relationships/table" Target="../tables/table76.xml"/><Relationship Id="rId61" Type="http://schemas.openxmlformats.org/officeDocument/2006/relationships/table" Target="../tables/table75.xml"/><Relationship Id="rId64" Type="http://schemas.openxmlformats.org/officeDocument/2006/relationships/table" Target="../tables/table78.xml"/><Relationship Id="rId63" Type="http://schemas.openxmlformats.org/officeDocument/2006/relationships/table" Target="../tables/table77.xml"/><Relationship Id="rId65" Type="http://schemas.openxmlformats.org/officeDocument/2006/relationships/table" Target="../tables/table79.xml"/><Relationship Id="rId60" Type="http://schemas.openxmlformats.org/officeDocument/2006/relationships/table" Target="../tables/table74.xml"/><Relationship Id="rId53" Type="http://schemas.openxmlformats.org/officeDocument/2006/relationships/table" Target="../tables/table67.xml"/><Relationship Id="rId52" Type="http://schemas.openxmlformats.org/officeDocument/2006/relationships/table" Target="../tables/table66.xml"/><Relationship Id="rId55" Type="http://schemas.openxmlformats.org/officeDocument/2006/relationships/table" Target="../tables/table69.xml"/><Relationship Id="rId54" Type="http://schemas.openxmlformats.org/officeDocument/2006/relationships/table" Target="../tables/table68.xml"/><Relationship Id="rId57" Type="http://schemas.openxmlformats.org/officeDocument/2006/relationships/table" Target="../tables/table71.xml"/><Relationship Id="rId56" Type="http://schemas.openxmlformats.org/officeDocument/2006/relationships/table" Target="../tables/table70.xml"/><Relationship Id="rId59" Type="http://schemas.openxmlformats.org/officeDocument/2006/relationships/table" Target="../tables/table73.xml"/><Relationship Id="rId58" Type="http://schemas.openxmlformats.org/officeDocument/2006/relationships/table" Target="../tables/table72.xml"/><Relationship Id="rId1" Type="http://schemas.openxmlformats.org/officeDocument/2006/relationships/comments" Target="../comments8.xml"/><Relationship Id="rId2" Type="http://schemas.openxmlformats.org/officeDocument/2006/relationships/hyperlink" Target="https://www.twitch.tv/videos/2510104442" TargetMode="External"/><Relationship Id="rId3" Type="http://schemas.openxmlformats.org/officeDocument/2006/relationships/hyperlink" Target="https://www.twitch.tv/videos/2510104442?t=00h10m24s" TargetMode="External"/><Relationship Id="rId4" Type="http://schemas.openxmlformats.org/officeDocument/2006/relationships/hyperlink" Target="https://www.twitch.tv/videos/2800215442" TargetMode="External"/><Relationship Id="rId9" Type="http://schemas.openxmlformats.org/officeDocument/2006/relationships/hyperlink" Target="https://www.twitch.tv/videos/2599123877" TargetMode="External"/><Relationship Id="rId5" Type="http://schemas.openxmlformats.org/officeDocument/2006/relationships/hyperlink" Target="https://youtu.be/c_Y4fmr3s60?si=aPnuf42a9bo0eleX&amp;t=1366" TargetMode="External"/><Relationship Id="rId6" Type="http://schemas.openxmlformats.org/officeDocument/2006/relationships/hyperlink" Target="https://youtu.be/c_Y4fmr3s60?si=mPCmBMZBF2t2yl1x&amp;t=1906" TargetMode="External"/><Relationship Id="rId7" Type="http://schemas.openxmlformats.org/officeDocument/2006/relationships/hyperlink" Target="https://youtu.be/c_Y4fmr3s60?si=24pbuB1pwEPjtUWr&amp;t=2446" TargetMode="External"/><Relationship Id="rId8" Type="http://schemas.openxmlformats.org/officeDocument/2006/relationships/hyperlink" Target="https://www.twitch.tv/videos/2783571139?t=00h55m02s"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twitch.tv/videos/1443532301?t=0h36m19s" TargetMode="External"/><Relationship Id="rId42" Type="http://schemas.openxmlformats.org/officeDocument/2006/relationships/hyperlink" Target="https://discord.com/channels/83214196182880256/273126568795176960/960281550275104768" TargetMode="External"/><Relationship Id="rId41" Type="http://schemas.openxmlformats.org/officeDocument/2006/relationships/hyperlink" Target="https://www.twitch.tv/videos/1445488457" TargetMode="External"/><Relationship Id="rId44" Type="http://schemas.openxmlformats.org/officeDocument/2006/relationships/hyperlink" Target="https://www.twitch.tv/videos/1898305973" TargetMode="External"/><Relationship Id="rId43" Type="http://schemas.openxmlformats.org/officeDocument/2006/relationships/hyperlink" Target="https://discord.com/channels/83214196182880256/273126568795176960/960281327146528828" TargetMode="External"/><Relationship Id="rId46" Type="http://schemas.openxmlformats.org/officeDocument/2006/relationships/hyperlink" Target="https://youtu.be/EF8lNINA1AE" TargetMode="External"/><Relationship Id="rId45" Type="http://schemas.openxmlformats.org/officeDocument/2006/relationships/hyperlink" Target="https://youtu.be/FkICEsJbMdU" TargetMode="External"/><Relationship Id="rId48" Type="http://schemas.openxmlformats.org/officeDocument/2006/relationships/vmlDrawing" Target="../drawings/vmlDrawing9.vml"/><Relationship Id="rId47" Type="http://schemas.openxmlformats.org/officeDocument/2006/relationships/drawing" Target="../drawings/drawing10.xml"/><Relationship Id="rId31" Type="http://schemas.openxmlformats.org/officeDocument/2006/relationships/hyperlink" Target="https://youtu.be/st9B_DVRW0w" TargetMode="External"/><Relationship Id="rId30" Type="http://schemas.openxmlformats.org/officeDocument/2006/relationships/hyperlink" Target="https://youtu.be/k0z4W4Wkhwk" TargetMode="External"/><Relationship Id="rId33" Type="http://schemas.openxmlformats.org/officeDocument/2006/relationships/hyperlink" Target="https://youtu.be/_i5wyRz3W0w" TargetMode="External"/><Relationship Id="rId32" Type="http://schemas.openxmlformats.org/officeDocument/2006/relationships/hyperlink" Target="https://www.twitch.tv/videos/785086080" TargetMode="External"/><Relationship Id="rId35" Type="http://schemas.openxmlformats.org/officeDocument/2006/relationships/hyperlink" Target="https://youtu.be/dlUgsZM2Tyg" TargetMode="External"/><Relationship Id="rId34" Type="http://schemas.openxmlformats.org/officeDocument/2006/relationships/hyperlink" Target="https://youtu.be/VDmBVRhVAOY" TargetMode="External"/><Relationship Id="rId37" Type="http://schemas.openxmlformats.org/officeDocument/2006/relationships/hyperlink" Target="https://www.twitch.tv/videos/673324264" TargetMode="External"/><Relationship Id="rId36" Type="http://schemas.openxmlformats.org/officeDocument/2006/relationships/hyperlink" Target="https://www.youtube.com/watch?v=VIgNnoOJQlk" TargetMode="External"/><Relationship Id="rId39" Type="http://schemas.openxmlformats.org/officeDocument/2006/relationships/hyperlink" Target="https://www.twitch.tv/videos/1445580182" TargetMode="External"/><Relationship Id="rId38" Type="http://schemas.openxmlformats.org/officeDocument/2006/relationships/hyperlink" Target="https://www.twitch.tv/videos/1445555521" TargetMode="External"/><Relationship Id="rId20" Type="http://schemas.openxmlformats.org/officeDocument/2006/relationships/hyperlink" Target="https://www.twitch.tv/videos/1578735833" TargetMode="External"/><Relationship Id="rId22" Type="http://schemas.openxmlformats.org/officeDocument/2006/relationships/hyperlink" Target="https://www.youtube.com/watch?v=gSyW8zGkRT4" TargetMode="External"/><Relationship Id="rId21" Type="http://schemas.openxmlformats.org/officeDocument/2006/relationships/hyperlink" Target="https://youtu.be/sDPgkkjfGyU" TargetMode="External"/><Relationship Id="rId24" Type="http://schemas.openxmlformats.org/officeDocument/2006/relationships/hyperlink" Target="https://www.youtube.com/watch?v=yFiUm37wQCc" TargetMode="External"/><Relationship Id="rId23" Type="http://schemas.openxmlformats.org/officeDocument/2006/relationships/hyperlink" Target="https://youtu.be/mWzGn0KJNIo" TargetMode="External"/><Relationship Id="rId26" Type="http://schemas.openxmlformats.org/officeDocument/2006/relationships/hyperlink" Target="https://www.twitch.tv/videos/353322804" TargetMode="External"/><Relationship Id="rId25" Type="http://schemas.openxmlformats.org/officeDocument/2006/relationships/hyperlink" Target="https://youtu.be/zSRjE_ZAckU" TargetMode="External"/><Relationship Id="rId28" Type="http://schemas.openxmlformats.org/officeDocument/2006/relationships/hyperlink" Target="https://www.twitch.tv/videos/342357714" TargetMode="External"/><Relationship Id="rId27" Type="http://schemas.openxmlformats.org/officeDocument/2006/relationships/hyperlink" Target="https://youtu.be/DeCcNDPEfFk" TargetMode="External"/><Relationship Id="rId29" Type="http://schemas.openxmlformats.org/officeDocument/2006/relationships/hyperlink" Target="https://youtu.be/trD2HOeidGo" TargetMode="External"/><Relationship Id="rId11" Type="http://schemas.openxmlformats.org/officeDocument/2006/relationships/hyperlink" Target="https://youtu.be/osLqa_0zksU" TargetMode="External"/><Relationship Id="rId10" Type="http://schemas.openxmlformats.org/officeDocument/2006/relationships/hyperlink" Target="https://www.twitch.tv/videos/452423998" TargetMode="External"/><Relationship Id="rId13" Type="http://schemas.openxmlformats.org/officeDocument/2006/relationships/hyperlink" Target="https://youtu.be/BZkxNVa6QkA" TargetMode="External"/><Relationship Id="rId12" Type="http://schemas.openxmlformats.org/officeDocument/2006/relationships/hyperlink" Target="https://youtu.be/bYttZf6G2qY" TargetMode="External"/><Relationship Id="rId15" Type="http://schemas.openxmlformats.org/officeDocument/2006/relationships/hyperlink" Target="https://youtu.be/jNTQOrc23hw" TargetMode="External"/><Relationship Id="rId14" Type="http://schemas.openxmlformats.org/officeDocument/2006/relationships/hyperlink" Target="https://www.twitch.tv/videos/1203101972" TargetMode="External"/><Relationship Id="rId17" Type="http://schemas.openxmlformats.org/officeDocument/2006/relationships/hyperlink" Target="https://youtu.be/nDK0NunF1KQ" TargetMode="External"/><Relationship Id="rId16" Type="http://schemas.openxmlformats.org/officeDocument/2006/relationships/hyperlink" Target="https://www.twitch.tv/videos/40780596" TargetMode="External"/><Relationship Id="rId19" Type="http://schemas.openxmlformats.org/officeDocument/2006/relationships/hyperlink" Target="https://youtu.be/m39Jg_xiwF0" TargetMode="External"/><Relationship Id="rId18" Type="http://schemas.openxmlformats.org/officeDocument/2006/relationships/hyperlink" Target="https://www.twitch.tv/videos/317962398" TargetMode="External"/><Relationship Id="rId1" Type="http://schemas.openxmlformats.org/officeDocument/2006/relationships/comments" Target="../comments9.xml"/><Relationship Id="rId2" Type="http://schemas.openxmlformats.org/officeDocument/2006/relationships/hyperlink" Target="https://www.youtube.com/watch?v=dRYMpN6za4w" TargetMode="External"/><Relationship Id="rId3" Type="http://schemas.openxmlformats.org/officeDocument/2006/relationships/hyperlink" Target="https://www.twitch.tv/videos/553809598" TargetMode="External"/><Relationship Id="rId4" Type="http://schemas.openxmlformats.org/officeDocument/2006/relationships/hyperlink" Target="https://www.twitch.tv/videos/554029306" TargetMode="External"/><Relationship Id="rId9" Type="http://schemas.openxmlformats.org/officeDocument/2006/relationships/hyperlink" Target="https://www.twitch.tv/videos/344842292" TargetMode="External"/><Relationship Id="rId5" Type="http://schemas.openxmlformats.org/officeDocument/2006/relationships/hyperlink" Target="https://www.twitch.tv/videos/738712894" TargetMode="External"/><Relationship Id="rId6" Type="http://schemas.openxmlformats.org/officeDocument/2006/relationships/hyperlink" Target="https://www.youtube.com/watch?v=RRb1koCvRQM" TargetMode="External"/><Relationship Id="rId7" Type="http://schemas.openxmlformats.org/officeDocument/2006/relationships/hyperlink" Target="https://youtu.be/fTNX8PZDoas" TargetMode="External"/><Relationship Id="rId8" Type="http://schemas.openxmlformats.org/officeDocument/2006/relationships/hyperlink" Target="https://youtu.be/E3lF4OngDE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0.38"/>
  </cols>
  <sheetData>
    <row r="1" ht="47.25" customHeight="1">
      <c r="A1" s="1" t="s">
        <v>0</v>
      </c>
      <c r="B1" s="2" t="s">
        <v>1</v>
      </c>
    </row>
    <row r="2">
      <c r="A2" s="3" t="s">
        <v>2</v>
      </c>
      <c r="B2" s="4" t="s">
        <v>3</v>
      </c>
    </row>
    <row r="3">
      <c r="A3" s="5" t="s">
        <v>4</v>
      </c>
      <c r="B3" s="6" t="s">
        <v>5</v>
      </c>
    </row>
    <row r="4">
      <c r="A4" s="7" t="s">
        <v>6</v>
      </c>
      <c r="B4" s="8" t="s">
        <v>7</v>
      </c>
    </row>
    <row r="5">
      <c r="A5" s="5" t="s">
        <v>8</v>
      </c>
      <c r="B5" s="6" t="s">
        <v>9</v>
      </c>
    </row>
    <row r="6">
      <c r="A6" s="3" t="s">
        <v>10</v>
      </c>
      <c r="B6" s="4" t="s">
        <v>11</v>
      </c>
    </row>
    <row r="7" ht="19.5" customHeight="1">
      <c r="A7" s="9" t="s">
        <v>12</v>
      </c>
      <c r="B7" s="10" t="s">
        <v>13</v>
      </c>
    </row>
    <row r="8" ht="19.5" customHeight="1">
      <c r="A8" s="11" t="s">
        <v>14</v>
      </c>
      <c r="B8" s="12" t="s">
        <v>15</v>
      </c>
    </row>
    <row r="9" ht="19.5" customHeight="1">
      <c r="A9" s="11"/>
      <c r="B9" s="13" t="s">
        <v>16</v>
      </c>
    </row>
    <row r="10" ht="19.5" customHeight="1">
      <c r="A10" s="11"/>
      <c r="B10" s="13" t="s">
        <v>17</v>
      </c>
    </row>
    <row r="11">
      <c r="A11" s="14"/>
      <c r="B11" s="13" t="s">
        <v>18</v>
      </c>
    </row>
    <row r="12" ht="29.25" customHeight="1">
      <c r="A12" s="11"/>
      <c r="B12" s="13" t="s">
        <v>19</v>
      </c>
    </row>
    <row r="13">
      <c r="A13" s="11"/>
      <c r="B13" s="13" t="s">
        <v>20</v>
      </c>
    </row>
    <row r="14">
      <c r="A14" s="14"/>
      <c r="B14" s="13" t="s">
        <v>21</v>
      </c>
    </row>
    <row r="15">
      <c r="A15" s="11"/>
      <c r="B15" s="15" t="s">
        <v>22</v>
      </c>
    </row>
    <row r="16">
      <c r="A16" s="16" t="s">
        <v>23</v>
      </c>
      <c r="B16" s="4" t="s">
        <v>24</v>
      </c>
    </row>
    <row r="17" ht="19.5" customHeight="1">
      <c r="A17" s="17" t="s">
        <v>25</v>
      </c>
      <c r="B17" s="12" t="s">
        <v>26</v>
      </c>
    </row>
    <row r="18" ht="19.5" customHeight="1">
      <c r="A18" s="18" t="s">
        <v>27</v>
      </c>
      <c r="B18" s="13"/>
    </row>
    <row r="19" ht="19.5" customHeight="1">
      <c r="A19" s="11" t="s">
        <v>28</v>
      </c>
      <c r="B19" s="13" t="s">
        <v>29</v>
      </c>
    </row>
    <row r="20" ht="19.5" customHeight="1">
      <c r="A20" s="19" t="s">
        <v>30</v>
      </c>
      <c r="B20" s="20" t="s">
        <v>31</v>
      </c>
    </row>
    <row r="21" ht="19.5" customHeight="1">
      <c r="A21" s="21" t="s">
        <v>32</v>
      </c>
      <c r="B21" s="20"/>
    </row>
  </sheetData>
  <hyperlinks>
    <hyperlink r:id="rId1" ref="A4"/>
    <hyperlink r:id="rId2" ref="B4"/>
    <hyperlink r:id="rId3" ref="A7"/>
    <hyperlink r:id="rId4" ref="A2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6.5"/>
    <col customWidth="1" min="2" max="2" width="6.13"/>
    <col customWidth="1" min="3" max="5" width="3.63"/>
    <col customWidth="1" min="6" max="7" width="5.13"/>
    <col customWidth="1" min="8" max="22" width="7.63"/>
    <col customWidth="1" min="23" max="23" width="0.5"/>
    <col customWidth="1" min="24" max="36" width="7.63"/>
    <col customWidth="1" min="37" max="37" width="8.75"/>
    <col customWidth="1" min="38" max="38" width="0.5"/>
    <col customWidth="1" min="39" max="52" width="7.63"/>
    <col customWidth="1" min="53" max="53" width="0.5"/>
    <col customWidth="1" min="54" max="68" width="7.63"/>
    <col customWidth="1" min="69" max="69" width="0.5"/>
    <col customWidth="1" min="70" max="83" width="7.63"/>
    <col customWidth="1" min="84" max="84" width="0.5"/>
    <col customWidth="1" min="85" max="98" width="7.63"/>
    <col customWidth="1" min="99" max="99" width="0.5"/>
    <col customWidth="1" min="100" max="111" width="7.63"/>
    <col customWidth="1" min="112" max="112" width="0.5"/>
    <col customWidth="1" min="113" max="116" width="7.75"/>
    <col customWidth="1" min="117" max="117" width="7.25"/>
    <col customWidth="1" min="118" max="123" width="7.75"/>
    <col customWidth="1" min="124" max="124" width="8.0"/>
    <col customWidth="1" min="125" max="130" width="7.25"/>
    <col customWidth="1" min="131" max="131" width="7.63"/>
    <col customWidth="1" min="132" max="133" width="7.25"/>
    <col customWidth="1" min="134" max="134" width="7.63"/>
  </cols>
  <sheetData>
    <row r="1" ht="15.0" customHeight="1">
      <c r="A1" s="22"/>
      <c r="C1" s="23" t="s">
        <v>10</v>
      </c>
      <c r="F1" s="23" t="s">
        <v>34</v>
      </c>
      <c r="H1" s="24" t="s">
        <v>35</v>
      </c>
      <c r="W1" s="72"/>
      <c r="X1" s="25" t="s">
        <v>36</v>
      </c>
      <c r="AL1" s="78"/>
      <c r="AM1" s="26" t="s">
        <v>135</v>
      </c>
      <c r="BA1" s="78"/>
      <c r="BB1" s="27" t="s">
        <v>38</v>
      </c>
      <c r="BQ1" s="78"/>
      <c r="BR1" s="28" t="s">
        <v>39</v>
      </c>
      <c r="CF1" s="82"/>
      <c r="CG1" s="29" t="s">
        <v>151</v>
      </c>
      <c r="CU1" s="82"/>
      <c r="CV1" s="30" t="s">
        <v>153</v>
      </c>
      <c r="DH1" s="82"/>
      <c r="DI1" s="31" t="s">
        <v>42</v>
      </c>
    </row>
    <row r="2" ht="15.0" customHeight="1">
      <c r="A2" s="33" t="s">
        <v>43</v>
      </c>
      <c r="B2" s="34" t="s">
        <v>44</v>
      </c>
      <c r="C2" s="34" t="s">
        <v>45</v>
      </c>
      <c r="F2" s="34" t="s">
        <v>161</v>
      </c>
      <c r="H2" s="94" t="s">
        <v>162</v>
      </c>
      <c r="I2" s="94" t="s">
        <v>57</v>
      </c>
      <c r="J2" s="94" t="s">
        <v>164</v>
      </c>
      <c r="L2" s="94" t="s">
        <v>60</v>
      </c>
      <c r="M2" s="94" t="s">
        <v>64</v>
      </c>
      <c r="N2" s="94" t="s">
        <v>63</v>
      </c>
      <c r="P2" s="94" t="s">
        <v>165</v>
      </c>
      <c r="Q2" s="94" t="s">
        <v>61</v>
      </c>
      <c r="R2" s="94" t="s">
        <v>168</v>
      </c>
      <c r="T2" s="94" t="s">
        <v>169</v>
      </c>
      <c r="V2" s="94" t="s">
        <v>171</v>
      </c>
      <c r="W2" s="97"/>
      <c r="X2" s="98" t="s">
        <v>162</v>
      </c>
      <c r="Y2" s="98" t="s">
        <v>57</v>
      </c>
      <c r="AA2" s="98" t="s">
        <v>164</v>
      </c>
      <c r="AB2" s="98" t="s">
        <v>60</v>
      </c>
      <c r="AD2" s="98" t="s">
        <v>64</v>
      </c>
      <c r="AE2" s="98" t="s">
        <v>63</v>
      </c>
      <c r="AG2" s="98" t="s">
        <v>165</v>
      </c>
      <c r="AH2" s="98" t="s">
        <v>61</v>
      </c>
      <c r="AI2" s="98" t="s">
        <v>178</v>
      </c>
      <c r="AK2" s="98" t="s">
        <v>171</v>
      </c>
      <c r="AL2" s="97"/>
      <c r="AM2" s="103" t="s">
        <v>162</v>
      </c>
      <c r="AO2" s="103" t="s">
        <v>57</v>
      </c>
      <c r="AP2" s="103" t="s">
        <v>164</v>
      </c>
      <c r="AQ2" s="103" t="s">
        <v>60</v>
      </c>
      <c r="AS2" s="103" t="s">
        <v>64</v>
      </c>
      <c r="AT2" s="103" t="s">
        <v>63</v>
      </c>
      <c r="AU2" s="103" t="s">
        <v>165</v>
      </c>
      <c r="AV2" s="103" t="s">
        <v>61</v>
      </c>
      <c r="AW2" s="103" t="s">
        <v>182</v>
      </c>
      <c r="AX2" s="103" t="s">
        <v>183</v>
      </c>
      <c r="AZ2" s="103" t="s">
        <v>171</v>
      </c>
      <c r="BA2" s="112"/>
      <c r="BB2" s="45" t="s">
        <v>162</v>
      </c>
      <c r="BC2" s="45" t="s">
        <v>57</v>
      </c>
      <c r="BE2" s="45" t="s">
        <v>164</v>
      </c>
      <c r="BF2" s="45" t="s">
        <v>60</v>
      </c>
      <c r="BG2" s="45" t="s">
        <v>64</v>
      </c>
      <c r="BH2" s="45" t="s">
        <v>63</v>
      </c>
      <c r="BJ2" s="45" t="s">
        <v>189</v>
      </c>
      <c r="BL2" s="45" t="s">
        <v>165</v>
      </c>
      <c r="BM2" s="45" t="s">
        <v>61</v>
      </c>
      <c r="BN2" s="45" t="s">
        <v>62</v>
      </c>
      <c r="BO2" s="45" t="s">
        <v>169</v>
      </c>
      <c r="BP2" s="45" t="s">
        <v>171</v>
      </c>
      <c r="BQ2" s="123"/>
      <c r="BR2" s="46" t="s">
        <v>162</v>
      </c>
      <c r="BS2" s="46" t="s">
        <v>57</v>
      </c>
      <c r="BU2" s="46" t="s">
        <v>164</v>
      </c>
      <c r="BV2" s="46" t="s">
        <v>60</v>
      </c>
      <c r="BX2" s="46" t="s">
        <v>64</v>
      </c>
      <c r="BY2" s="46" t="s">
        <v>63</v>
      </c>
      <c r="CA2" s="46" t="s">
        <v>165</v>
      </c>
      <c r="CB2" s="46" t="s">
        <v>61</v>
      </c>
      <c r="CC2" s="46" t="s">
        <v>62</v>
      </c>
      <c r="CD2" s="46" t="s">
        <v>178</v>
      </c>
      <c r="CE2" s="46" t="s">
        <v>171</v>
      </c>
      <c r="CF2" s="46"/>
      <c r="CG2" s="48" t="s">
        <v>162</v>
      </c>
      <c r="CH2" s="48" t="s">
        <v>57</v>
      </c>
      <c r="CI2" s="48" t="s">
        <v>164</v>
      </c>
      <c r="CJ2" s="48" t="s">
        <v>60</v>
      </c>
      <c r="CL2" s="48" t="s">
        <v>64</v>
      </c>
      <c r="CM2" s="48" t="s">
        <v>63</v>
      </c>
      <c r="CO2" s="48" t="s">
        <v>165</v>
      </c>
      <c r="CP2" s="48" t="s">
        <v>61</v>
      </c>
      <c r="CQ2" s="48" t="s">
        <v>182</v>
      </c>
      <c r="CR2" s="48" t="s">
        <v>169</v>
      </c>
      <c r="CT2" s="48" t="s">
        <v>171</v>
      </c>
      <c r="CU2" s="143"/>
      <c r="CV2" s="49" t="s">
        <v>162</v>
      </c>
      <c r="CW2" s="49" t="s">
        <v>57</v>
      </c>
      <c r="CX2" s="49" t="s">
        <v>164</v>
      </c>
      <c r="CY2" s="49" t="s">
        <v>60</v>
      </c>
      <c r="CZ2" s="49" t="s">
        <v>64</v>
      </c>
      <c r="DB2" s="49" t="s">
        <v>63</v>
      </c>
      <c r="DC2" s="49" t="s">
        <v>165</v>
      </c>
      <c r="DD2" s="49" t="s">
        <v>61</v>
      </c>
      <c r="DE2" s="49" t="s">
        <v>247</v>
      </c>
      <c r="DF2" s="49" t="s">
        <v>248</v>
      </c>
      <c r="DG2" s="49" t="s">
        <v>171</v>
      </c>
      <c r="DH2" s="49"/>
      <c r="DI2" s="151" t="s">
        <v>253</v>
      </c>
      <c r="DJ2" s="151" t="s">
        <v>204</v>
      </c>
      <c r="DL2" s="153" t="s">
        <v>259</v>
      </c>
      <c r="DM2" s="151" t="s">
        <v>200</v>
      </c>
      <c r="DN2" s="151" t="s">
        <v>264</v>
      </c>
      <c r="DO2" s="151" t="s">
        <v>268</v>
      </c>
      <c r="DP2" s="151" t="s">
        <v>269</v>
      </c>
      <c r="DQ2" s="151" t="s">
        <v>270</v>
      </c>
      <c r="DR2" s="151" t="s">
        <v>271</v>
      </c>
      <c r="DT2" s="153" t="s">
        <v>272</v>
      </c>
      <c r="DU2" s="151" t="s">
        <v>193</v>
      </c>
      <c r="DV2" s="151" t="s">
        <v>203</v>
      </c>
      <c r="DW2" s="151" t="s">
        <v>196</v>
      </c>
      <c r="DX2" s="151" t="s">
        <v>205</v>
      </c>
      <c r="DY2" s="151" t="s">
        <v>276</v>
      </c>
      <c r="DZ2" s="151" t="s">
        <v>195</v>
      </c>
      <c r="EA2" s="151" t="s">
        <v>278</v>
      </c>
      <c r="EB2" s="151" t="s">
        <v>280</v>
      </c>
      <c r="EC2" s="151" t="s">
        <v>283</v>
      </c>
      <c r="ED2" s="153" t="s">
        <v>284</v>
      </c>
    </row>
    <row r="3" ht="23.25" customHeight="1">
      <c r="J3" s="166" t="s">
        <v>286</v>
      </c>
      <c r="K3" s="166" t="s">
        <v>289</v>
      </c>
      <c r="N3" s="166" t="s">
        <v>286</v>
      </c>
      <c r="O3" s="166" t="s">
        <v>289</v>
      </c>
      <c r="R3" s="166" t="s">
        <v>292</v>
      </c>
      <c r="S3" s="166" t="s">
        <v>243</v>
      </c>
      <c r="T3" s="166" t="s">
        <v>292</v>
      </c>
      <c r="U3" s="166" t="s">
        <v>243</v>
      </c>
      <c r="W3" s="170"/>
      <c r="Y3" s="171" t="s">
        <v>286</v>
      </c>
      <c r="Z3" s="173" t="s">
        <v>295</v>
      </c>
      <c r="AB3" s="171" t="s">
        <v>286</v>
      </c>
      <c r="AC3" s="173" t="s">
        <v>289</v>
      </c>
      <c r="AE3" s="173" t="s">
        <v>303</v>
      </c>
      <c r="AF3" s="173" t="s">
        <v>308</v>
      </c>
      <c r="AI3" s="173" t="s">
        <v>292</v>
      </c>
      <c r="AJ3" s="171" t="s">
        <v>243</v>
      </c>
      <c r="AL3" s="170"/>
      <c r="AM3" s="178" t="s">
        <v>286</v>
      </c>
      <c r="AN3" s="178" t="s">
        <v>289</v>
      </c>
      <c r="AQ3" s="178" t="s">
        <v>286</v>
      </c>
      <c r="AR3" s="178" t="s">
        <v>219</v>
      </c>
      <c r="AX3" s="178" t="s">
        <v>292</v>
      </c>
      <c r="AY3" s="178" t="s">
        <v>243</v>
      </c>
      <c r="BA3" s="180"/>
      <c r="BC3" s="181" t="s">
        <v>286</v>
      </c>
      <c r="BD3" s="181" t="s">
        <v>289</v>
      </c>
      <c r="BH3" s="181" t="s">
        <v>286</v>
      </c>
      <c r="BI3" s="181" t="s">
        <v>289</v>
      </c>
      <c r="BJ3" s="181" t="s">
        <v>321</v>
      </c>
      <c r="BK3" s="181" t="s">
        <v>325</v>
      </c>
      <c r="BQ3" s="184"/>
      <c r="BS3" s="185" t="s">
        <v>286</v>
      </c>
      <c r="BT3" s="185" t="s">
        <v>289</v>
      </c>
      <c r="BV3" s="185" t="s">
        <v>286</v>
      </c>
      <c r="BW3" s="185" t="s">
        <v>289</v>
      </c>
      <c r="BY3" s="185" t="s">
        <v>321</v>
      </c>
      <c r="BZ3" s="185" t="s">
        <v>325</v>
      </c>
      <c r="CC3" s="185" t="s">
        <v>334</v>
      </c>
      <c r="CF3" s="187"/>
      <c r="CJ3" s="189" t="s">
        <v>286</v>
      </c>
      <c r="CK3" s="189" t="s">
        <v>337</v>
      </c>
      <c r="CM3" s="189" t="s">
        <v>286</v>
      </c>
      <c r="CN3" s="189" t="s">
        <v>289</v>
      </c>
      <c r="CR3" s="189" t="s">
        <v>292</v>
      </c>
      <c r="CS3" s="189" t="s">
        <v>243</v>
      </c>
      <c r="CU3" s="191"/>
      <c r="CZ3" s="192" t="s">
        <v>286</v>
      </c>
      <c r="DA3" s="192" t="s">
        <v>289</v>
      </c>
      <c r="DH3" s="187"/>
      <c r="DJ3" s="193" t="s">
        <v>303</v>
      </c>
      <c r="DK3" s="193" t="s">
        <v>308</v>
      </c>
      <c r="DR3" s="193" t="s">
        <v>286</v>
      </c>
      <c r="DS3" s="193" t="s">
        <v>353</v>
      </c>
      <c r="ED3" s="196" t="s">
        <v>355</v>
      </c>
    </row>
    <row r="4" ht="15.75" customHeight="1">
      <c r="A4" s="197" t="s">
        <v>357</v>
      </c>
      <c r="C4" s="198" t="s">
        <v>366</v>
      </c>
      <c r="H4" s="199" t="s">
        <v>368</v>
      </c>
      <c r="I4" s="199" t="s">
        <v>369</v>
      </c>
      <c r="J4" s="199" t="s">
        <v>370</v>
      </c>
      <c r="K4" s="199" t="s">
        <v>371</v>
      </c>
      <c r="L4" s="199" t="s">
        <v>374</v>
      </c>
      <c r="M4" s="199" t="s">
        <v>375</v>
      </c>
      <c r="N4" s="199" t="s">
        <v>377</v>
      </c>
      <c r="O4" s="199" t="s">
        <v>378</v>
      </c>
      <c r="P4" s="199" t="s">
        <v>379</v>
      </c>
      <c r="Q4" s="199" t="s">
        <v>380</v>
      </c>
      <c r="R4" s="199" t="s">
        <v>381</v>
      </c>
      <c r="S4" s="199" t="s">
        <v>382</v>
      </c>
      <c r="T4" s="199" t="s">
        <v>383</v>
      </c>
      <c r="U4" s="199" t="s">
        <v>385</v>
      </c>
      <c r="V4" s="199" t="s">
        <v>388</v>
      </c>
      <c r="W4" s="204"/>
      <c r="X4" s="205" t="s">
        <v>390</v>
      </c>
      <c r="Y4" s="205" t="s">
        <v>391</v>
      </c>
      <c r="Z4" s="205" t="s">
        <v>392</v>
      </c>
      <c r="AA4" s="205" t="s">
        <v>393</v>
      </c>
      <c r="AB4" s="205" t="s">
        <v>394</v>
      </c>
      <c r="AC4" s="205" t="s">
        <v>396</v>
      </c>
      <c r="AD4" s="205" t="s">
        <v>397</v>
      </c>
      <c r="AE4" s="205" t="s">
        <v>398</v>
      </c>
      <c r="AF4" s="205" t="s">
        <v>400</v>
      </c>
      <c r="AG4" s="205" t="s">
        <v>401</v>
      </c>
      <c r="AH4" s="205" t="s">
        <v>402</v>
      </c>
      <c r="AI4" s="205" t="s">
        <v>403</v>
      </c>
      <c r="AJ4" s="205" t="s">
        <v>404</v>
      </c>
      <c r="AK4" s="205" t="s">
        <v>406</v>
      </c>
      <c r="AL4" s="206"/>
      <c r="AM4" s="207" t="s">
        <v>408</v>
      </c>
      <c r="AN4" s="207" t="s">
        <v>410</v>
      </c>
      <c r="AO4" s="207" t="s">
        <v>411</v>
      </c>
      <c r="AP4" s="207" t="s">
        <v>412</v>
      </c>
      <c r="AQ4" s="207" t="s">
        <v>413</v>
      </c>
      <c r="AR4" s="207" t="s">
        <v>414</v>
      </c>
      <c r="AS4" s="207" t="s">
        <v>415</v>
      </c>
      <c r="AT4" s="207" t="s">
        <v>416</v>
      </c>
      <c r="AU4" s="207" t="s">
        <v>417</v>
      </c>
      <c r="AV4" s="207" t="s">
        <v>419</v>
      </c>
      <c r="AW4" s="207" t="s">
        <v>420</v>
      </c>
      <c r="AX4" s="207" t="s">
        <v>421</v>
      </c>
      <c r="AY4" s="207" t="s">
        <v>382</v>
      </c>
      <c r="AZ4" s="207" t="s">
        <v>423</v>
      </c>
      <c r="BA4" s="209"/>
      <c r="BB4" s="210" t="s">
        <v>427</v>
      </c>
      <c r="BC4" s="210" t="s">
        <v>428</v>
      </c>
      <c r="BD4" s="210" t="s">
        <v>430</v>
      </c>
      <c r="BE4" s="210" t="s">
        <v>431</v>
      </c>
      <c r="BF4" s="210" t="s">
        <v>433</v>
      </c>
      <c r="BG4" s="210" t="s">
        <v>434</v>
      </c>
      <c r="BH4" s="210" t="s">
        <v>435</v>
      </c>
      <c r="BI4" s="210" t="s">
        <v>436</v>
      </c>
      <c r="BJ4" s="210" t="s">
        <v>437</v>
      </c>
      <c r="BK4" s="210" t="s">
        <v>438</v>
      </c>
      <c r="BL4" s="210" t="s">
        <v>440</v>
      </c>
      <c r="BM4" s="210" t="s">
        <v>441</v>
      </c>
      <c r="BN4" s="210" t="s">
        <v>444</v>
      </c>
      <c r="BO4" s="210" t="s">
        <v>445</v>
      </c>
      <c r="BP4" s="210" t="s">
        <v>446</v>
      </c>
      <c r="BQ4" s="209"/>
      <c r="BR4" s="211" t="s">
        <v>445</v>
      </c>
      <c r="BS4" s="211" t="s">
        <v>448</v>
      </c>
      <c r="BT4" s="211" t="s">
        <v>449</v>
      </c>
      <c r="BU4" s="211" t="s">
        <v>450</v>
      </c>
      <c r="BV4" s="211" t="s">
        <v>451</v>
      </c>
      <c r="BW4" s="211" t="s">
        <v>452</v>
      </c>
      <c r="BX4" s="211" t="s">
        <v>453</v>
      </c>
      <c r="BY4" s="211" t="s">
        <v>454</v>
      </c>
      <c r="BZ4" s="211" t="s">
        <v>456</v>
      </c>
      <c r="CA4" s="211" t="s">
        <v>457</v>
      </c>
      <c r="CB4" s="211" t="s">
        <v>459</v>
      </c>
      <c r="CC4" s="211" t="s">
        <v>460</v>
      </c>
      <c r="CD4" s="211" t="s">
        <v>461</v>
      </c>
      <c r="CE4" s="211" t="s">
        <v>462</v>
      </c>
      <c r="CF4" s="212"/>
      <c r="CG4" s="213" t="s">
        <v>464</v>
      </c>
      <c r="CH4" s="213" t="s">
        <v>465</v>
      </c>
      <c r="CI4" s="213" t="s">
        <v>468</v>
      </c>
      <c r="CJ4" s="213" t="s">
        <v>470</v>
      </c>
      <c r="CK4" s="213" t="s">
        <v>471</v>
      </c>
      <c r="CL4" s="213" t="s">
        <v>473</v>
      </c>
      <c r="CM4" s="213" t="s">
        <v>475</v>
      </c>
      <c r="CN4" s="213" t="s">
        <v>476</v>
      </c>
      <c r="CO4" s="213" t="s">
        <v>477</v>
      </c>
      <c r="CP4" s="213" t="s">
        <v>478</v>
      </c>
      <c r="CQ4" s="213" t="s">
        <v>479</v>
      </c>
      <c r="CR4" s="213" t="s">
        <v>480</v>
      </c>
      <c r="CS4" s="213" t="s">
        <v>481</v>
      </c>
      <c r="CT4" s="213" t="s">
        <v>484</v>
      </c>
      <c r="CU4" s="218"/>
      <c r="CV4" s="220" t="s">
        <v>486</v>
      </c>
      <c r="CW4" s="220" t="s">
        <v>487</v>
      </c>
      <c r="CX4" s="220" t="s">
        <v>488</v>
      </c>
      <c r="CY4" s="220" t="s">
        <v>489</v>
      </c>
      <c r="CZ4" s="220" t="s">
        <v>491</v>
      </c>
      <c r="DA4" s="220" t="s">
        <v>492</v>
      </c>
      <c r="DB4" s="220" t="s">
        <v>495</v>
      </c>
      <c r="DC4" s="220" t="s">
        <v>458</v>
      </c>
      <c r="DD4" s="220" t="s">
        <v>496</v>
      </c>
      <c r="DE4" s="220" t="s">
        <v>498</v>
      </c>
      <c r="DF4" s="220" t="s">
        <v>499</v>
      </c>
      <c r="DG4" s="220" t="s">
        <v>500</v>
      </c>
      <c r="DH4" s="223"/>
      <c r="DI4" s="224" t="s">
        <v>502</v>
      </c>
      <c r="DJ4" s="224" t="s">
        <v>503</v>
      </c>
      <c r="DK4" s="224" t="s">
        <v>504</v>
      </c>
      <c r="DL4" s="224" t="s">
        <v>505</v>
      </c>
      <c r="DM4" s="224" t="s">
        <v>477</v>
      </c>
      <c r="DN4" s="224" t="s">
        <v>507</v>
      </c>
      <c r="DO4" s="224" t="s">
        <v>509</v>
      </c>
      <c r="DP4" s="224" t="s">
        <v>507</v>
      </c>
      <c r="DQ4" s="224" t="s">
        <v>511</v>
      </c>
      <c r="DR4" s="224" t="s">
        <v>513</v>
      </c>
      <c r="DS4" s="224" t="s">
        <v>515</v>
      </c>
      <c r="DT4" s="224" t="s">
        <v>517</v>
      </c>
      <c r="DU4" s="224" t="s">
        <v>522</v>
      </c>
      <c r="DV4" s="224" t="s">
        <v>524</v>
      </c>
      <c r="DW4" s="224" t="s">
        <v>525</v>
      </c>
      <c r="DX4" s="224" t="s">
        <v>526</v>
      </c>
      <c r="DY4" s="224" t="s">
        <v>527</v>
      </c>
      <c r="DZ4" s="224" t="s">
        <v>529</v>
      </c>
      <c r="EA4" s="224" t="s">
        <v>530</v>
      </c>
      <c r="EB4" s="224" t="s">
        <v>531</v>
      </c>
      <c r="EC4" s="224" t="s">
        <v>532</v>
      </c>
      <c r="ED4" s="224" t="s">
        <v>179</v>
      </c>
    </row>
    <row r="5">
      <c r="A5" s="228" t="s">
        <v>108</v>
      </c>
      <c r="B5" s="229" t="s">
        <v>535</v>
      </c>
      <c r="C5" s="230" t="s">
        <v>536</v>
      </c>
      <c r="D5" s="231" t="s">
        <v>537</v>
      </c>
      <c r="E5" s="232" t="s">
        <v>539</v>
      </c>
      <c r="F5" s="233" t="s">
        <v>541</v>
      </c>
      <c r="G5" s="229" t="s">
        <v>543</v>
      </c>
      <c r="H5" s="236" t="s">
        <v>545</v>
      </c>
      <c r="I5" s="242" t="s">
        <v>553</v>
      </c>
      <c r="J5" s="242" t="s">
        <v>559</v>
      </c>
      <c r="K5" s="236" t="s">
        <v>563</v>
      </c>
      <c r="L5" s="247" t="s">
        <v>567</v>
      </c>
      <c r="M5" s="248" t="s">
        <v>571</v>
      </c>
      <c r="N5" s="242" t="s">
        <v>573</v>
      </c>
      <c r="O5" s="252" t="s">
        <v>575</v>
      </c>
      <c r="P5" s="236" t="s">
        <v>576</v>
      </c>
      <c r="Q5" s="242" t="s">
        <v>580</v>
      </c>
      <c r="R5" s="236" t="s">
        <v>583</v>
      </c>
      <c r="S5" s="242" t="s">
        <v>428</v>
      </c>
      <c r="T5" s="236" t="s">
        <v>591</v>
      </c>
      <c r="U5" s="247" t="s">
        <v>594</v>
      </c>
      <c r="V5" s="242" t="s">
        <v>597</v>
      </c>
      <c r="W5" s="62"/>
      <c r="X5" s="242" t="s">
        <v>601</v>
      </c>
      <c r="Y5" s="263"/>
      <c r="Z5" s="236" t="s">
        <v>605</v>
      </c>
      <c r="AA5" s="242" t="s">
        <v>608</v>
      </c>
      <c r="AB5" s="236" t="s">
        <v>610</v>
      </c>
      <c r="AC5" s="236" t="s">
        <v>613</v>
      </c>
      <c r="AD5" s="242" t="s">
        <v>615</v>
      </c>
      <c r="AE5" s="242" t="s">
        <v>398</v>
      </c>
      <c r="AF5" s="242" t="s">
        <v>621</v>
      </c>
      <c r="AG5" s="248" t="s">
        <v>623</v>
      </c>
      <c r="AH5" s="273" t="s">
        <v>626</v>
      </c>
      <c r="AI5" s="274"/>
      <c r="AJ5" s="276" t="s">
        <v>627</v>
      </c>
      <c r="AK5" s="242" t="s">
        <v>631</v>
      </c>
      <c r="AL5" s="61"/>
      <c r="AM5" s="242" t="s">
        <v>408</v>
      </c>
      <c r="AN5" s="247" t="s">
        <v>639</v>
      </c>
      <c r="AO5" s="236" t="s">
        <v>643</v>
      </c>
      <c r="AP5" s="242" t="s">
        <v>646</v>
      </c>
      <c r="AQ5" s="236" t="s">
        <v>651</v>
      </c>
      <c r="AR5" s="236" t="s">
        <v>652</v>
      </c>
      <c r="AS5" s="247" t="s">
        <v>658</v>
      </c>
      <c r="AT5" s="242" t="s">
        <v>661</v>
      </c>
      <c r="AU5" s="248" t="s">
        <v>664</v>
      </c>
      <c r="AV5" s="276" t="str">
        <f>HYPERLINK("https://youtu.be/g_WcDRyC8fE","24.35")</f>
        <v>24.35</v>
      </c>
      <c r="AW5" s="248" t="s">
        <v>672</v>
      </c>
      <c r="AX5" s="247" t="s">
        <v>675</v>
      </c>
      <c r="AY5" s="242" t="s">
        <v>678</v>
      </c>
      <c r="AZ5" s="248" t="s">
        <v>680</v>
      </c>
      <c r="BA5" s="273"/>
      <c r="BB5" s="242" t="s">
        <v>683</v>
      </c>
      <c r="BC5" s="247" t="s">
        <v>686</v>
      </c>
      <c r="BD5" s="242" t="s">
        <v>691</v>
      </c>
      <c r="BE5" s="301" t="str">
        <f>HYPERLINK("https://www.youtube.com/watch?v=ITcO-E11K4U&amp;feature=youtu.be","32.56")</f>
        <v>32.56</v>
      </c>
      <c r="BF5" s="242" t="s">
        <v>698</v>
      </c>
      <c r="BG5" s="247" t="s">
        <v>701</v>
      </c>
      <c r="BH5" s="242" t="s">
        <v>705</v>
      </c>
      <c r="BI5" s="301" t="s">
        <v>710</v>
      </c>
      <c r="BJ5" s="304"/>
      <c r="BK5" s="252" t="s">
        <v>714</v>
      </c>
      <c r="BL5" s="242" t="s">
        <v>717</v>
      </c>
      <c r="BM5" s="242" t="s">
        <v>722</v>
      </c>
      <c r="BN5" s="236" t="s">
        <v>724</v>
      </c>
      <c r="BO5" s="236" t="s">
        <v>727</v>
      </c>
      <c r="BP5" s="242" t="s">
        <v>730</v>
      </c>
      <c r="BQ5" s="312"/>
      <c r="BR5" s="301" t="s">
        <v>734</v>
      </c>
      <c r="BS5" s="242" t="s">
        <v>739</v>
      </c>
      <c r="BT5" s="315" t="s">
        <v>742</v>
      </c>
      <c r="BU5" s="242" t="s">
        <v>747</v>
      </c>
      <c r="BV5" s="242" t="s">
        <v>752</v>
      </c>
      <c r="BW5" s="248" t="s">
        <v>755</v>
      </c>
      <c r="BX5" s="242" t="s">
        <v>758</v>
      </c>
      <c r="BY5" s="315" t="s">
        <v>763</v>
      </c>
      <c r="BZ5" s="248" t="s">
        <v>766</v>
      </c>
      <c r="CA5" s="247" t="s">
        <v>770</v>
      </c>
      <c r="CB5" s="301" t="str">
        <f>HYPERLINK("https://www.youtube.com/watch?v=XkC-AMhKuvI","4:25.27")</f>
        <v>4:25.27</v>
      </c>
      <c r="CC5" s="252" t="str">
        <f>HYPERLINK("https://www.youtube.com/watch?v=tfbewzCayMA","1:11.86")</f>
        <v>1:11.86</v>
      </c>
      <c r="CD5" s="248" t="s">
        <v>775</v>
      </c>
      <c r="CE5" s="273" t="s">
        <v>778</v>
      </c>
      <c r="CF5" s="312"/>
      <c r="CG5" s="242" t="s">
        <v>779</v>
      </c>
      <c r="CH5" s="242" t="s">
        <v>781</v>
      </c>
      <c r="CI5" s="242" t="s">
        <v>786</v>
      </c>
      <c r="CJ5" s="242" t="s">
        <v>789</v>
      </c>
      <c r="CK5" s="263"/>
      <c r="CL5" s="242" t="s">
        <v>792</v>
      </c>
      <c r="CM5" s="242" t="s">
        <v>491</v>
      </c>
      <c r="CN5" s="315" t="s">
        <v>796</v>
      </c>
      <c r="CO5" s="247" t="s">
        <v>640</v>
      </c>
      <c r="CP5" s="242" t="s">
        <v>799</v>
      </c>
      <c r="CQ5" s="247" t="s">
        <v>802</v>
      </c>
      <c r="CR5" s="333"/>
      <c r="CS5" s="236" t="s">
        <v>808</v>
      </c>
      <c r="CT5" s="242" t="s">
        <v>810</v>
      </c>
      <c r="CU5" s="62"/>
      <c r="CV5" s="242" t="s">
        <v>815</v>
      </c>
      <c r="CW5" s="248" t="s">
        <v>823</v>
      </c>
      <c r="CX5" s="301" t="s">
        <v>826</v>
      </c>
      <c r="CY5" s="247" t="s">
        <v>829</v>
      </c>
      <c r="CZ5" s="242" t="s">
        <v>524</v>
      </c>
      <c r="DA5" s="242" t="s">
        <v>834</v>
      </c>
      <c r="DB5" s="276" t="s">
        <v>837</v>
      </c>
      <c r="DC5" s="248" t="s">
        <v>845</v>
      </c>
      <c r="DD5" s="247" t="s">
        <v>850</v>
      </c>
      <c r="DE5" s="236" t="s">
        <v>854</v>
      </c>
      <c r="DF5" s="242" t="s">
        <v>858</v>
      </c>
      <c r="DG5" s="242" t="s">
        <v>862</v>
      </c>
      <c r="DH5" s="333"/>
      <c r="DI5" s="242" t="s">
        <v>866</v>
      </c>
      <c r="DJ5" s="242" t="s">
        <v>869</v>
      </c>
      <c r="DK5" s="248" t="s">
        <v>873</v>
      </c>
      <c r="DL5" s="301" t="s">
        <v>505</v>
      </c>
      <c r="DM5" s="248" t="s">
        <v>477</v>
      </c>
      <c r="DN5" s="242" t="s">
        <v>878</v>
      </c>
      <c r="DO5" s="236" t="s">
        <v>882</v>
      </c>
      <c r="DP5" s="242" t="s">
        <v>452</v>
      </c>
      <c r="DQ5" s="242" t="s">
        <v>890</v>
      </c>
      <c r="DR5" s="242" t="s">
        <v>895</v>
      </c>
      <c r="DS5" s="301" t="s">
        <v>897</v>
      </c>
      <c r="DT5" s="242" t="s">
        <v>900</v>
      </c>
      <c r="DU5" s="242" t="s">
        <v>905</v>
      </c>
      <c r="DV5" s="236" t="s">
        <v>910</v>
      </c>
      <c r="DW5" s="242" t="s">
        <v>915</v>
      </c>
      <c r="DX5" s="301" t="s">
        <v>919</v>
      </c>
      <c r="DY5" s="242" t="s">
        <v>926</v>
      </c>
      <c r="DZ5" s="247" t="s">
        <v>933</v>
      </c>
      <c r="EA5" s="242" t="s">
        <v>942</v>
      </c>
      <c r="EB5" s="242" t="s">
        <v>947</v>
      </c>
      <c r="EC5" s="242" t="s">
        <v>959</v>
      </c>
      <c r="ED5" s="301" t="s">
        <v>970</v>
      </c>
    </row>
    <row r="6">
      <c r="A6" s="379" t="s">
        <v>984</v>
      </c>
      <c r="B6" s="381" t="s">
        <v>989</v>
      </c>
      <c r="C6" s="384" t="s">
        <v>156</v>
      </c>
      <c r="D6" s="386" t="s">
        <v>1016</v>
      </c>
      <c r="E6" s="389" t="s">
        <v>306</v>
      </c>
      <c r="F6" s="390" t="s">
        <v>543</v>
      </c>
      <c r="G6" s="381" t="s">
        <v>543</v>
      </c>
      <c r="H6" s="394" t="s">
        <v>188</v>
      </c>
      <c r="I6" s="399" t="s">
        <v>354</v>
      </c>
      <c r="J6" s="394" t="s">
        <v>684</v>
      </c>
      <c r="K6" s="402" t="s">
        <v>1062</v>
      </c>
      <c r="L6" s="394" t="s">
        <v>1071</v>
      </c>
      <c r="M6" s="402" t="s">
        <v>1080</v>
      </c>
      <c r="N6" s="399" t="s">
        <v>1086</v>
      </c>
      <c r="O6" s="402" t="s">
        <v>1089</v>
      </c>
      <c r="P6" s="406" t="s">
        <v>1093</v>
      </c>
      <c r="Q6" s="402" t="s">
        <v>1099</v>
      </c>
      <c r="R6" s="402" t="s">
        <v>1103</v>
      </c>
      <c r="S6" s="406" t="s">
        <v>1107</v>
      </c>
      <c r="T6" s="402" t="s">
        <v>1114</v>
      </c>
      <c r="U6" s="402" t="s">
        <v>1117</v>
      </c>
      <c r="V6" s="399" t="s">
        <v>1120</v>
      </c>
      <c r="W6" s="410"/>
      <c r="X6" s="412" t="s">
        <v>1128</v>
      </c>
      <c r="Y6" s="413"/>
      <c r="Z6" s="412" t="s">
        <v>1133</v>
      </c>
      <c r="AA6" s="412" t="s">
        <v>756</v>
      </c>
      <c r="AB6" s="412" t="s">
        <v>1142</v>
      </c>
      <c r="AC6" s="412" t="s">
        <v>1148</v>
      </c>
      <c r="AD6" s="412" t="s">
        <v>1152</v>
      </c>
      <c r="AE6" s="417" t="s">
        <v>1157</v>
      </c>
      <c r="AF6" s="417" t="s">
        <v>1162</v>
      </c>
      <c r="AG6" s="417" t="s">
        <v>217</v>
      </c>
      <c r="AH6" s="412" t="s">
        <v>1172</v>
      </c>
      <c r="AI6" s="421"/>
      <c r="AJ6" s="417" t="s">
        <v>404</v>
      </c>
      <c r="AK6" s="423" t="s">
        <v>1183</v>
      </c>
      <c r="AL6" s="62"/>
      <c r="AM6" s="424" t="s">
        <v>1190</v>
      </c>
      <c r="AN6" s="425" t="s">
        <v>1197</v>
      </c>
      <c r="AO6" s="427" t="s">
        <v>1202</v>
      </c>
      <c r="AP6" s="427" t="s">
        <v>1207</v>
      </c>
      <c r="AQ6" s="427" t="s">
        <v>562</v>
      </c>
      <c r="AR6" s="430" t="s">
        <v>1219</v>
      </c>
      <c r="AS6" s="427" t="s">
        <v>1227</v>
      </c>
      <c r="AT6" s="427" t="s">
        <v>1231</v>
      </c>
      <c r="AU6" s="425" t="s">
        <v>1235</v>
      </c>
      <c r="AV6" s="425" t="s">
        <v>1241</v>
      </c>
      <c r="AW6" s="425" t="s">
        <v>613</v>
      </c>
      <c r="AX6" s="427" t="s">
        <v>421</v>
      </c>
      <c r="AY6" s="432" t="s">
        <v>1252</v>
      </c>
      <c r="AZ6" s="427" t="s">
        <v>1257</v>
      </c>
      <c r="BA6" s="435"/>
      <c r="BB6" s="436" t="s">
        <v>1264</v>
      </c>
      <c r="BC6" s="436" t="s">
        <v>1270</v>
      </c>
      <c r="BD6" s="436" t="s">
        <v>1274</v>
      </c>
      <c r="BE6" s="436" t="s">
        <v>1279</v>
      </c>
      <c r="BF6" s="436" t="s">
        <v>1282</v>
      </c>
      <c r="BG6" s="436" t="s">
        <v>749</v>
      </c>
      <c r="BH6" s="439" t="s">
        <v>435</v>
      </c>
      <c r="BI6" s="436" t="s">
        <v>1292</v>
      </c>
      <c r="BJ6" s="436" t="s">
        <v>1298</v>
      </c>
      <c r="BK6" s="436" t="s">
        <v>1301</v>
      </c>
      <c r="BL6" s="436" t="s">
        <v>1307</v>
      </c>
      <c r="BM6" s="439" t="s">
        <v>1311</v>
      </c>
      <c r="BN6" s="436" t="s">
        <v>1315</v>
      </c>
      <c r="BO6" s="436" t="s">
        <v>1322</v>
      </c>
      <c r="BP6" s="439" t="s">
        <v>1326</v>
      </c>
      <c r="BQ6" s="445"/>
      <c r="BR6" s="447" t="s">
        <v>1335</v>
      </c>
      <c r="BS6" s="447" t="s">
        <v>1341</v>
      </c>
      <c r="BT6" s="447" t="s">
        <v>1347</v>
      </c>
      <c r="BU6" s="447" t="s">
        <v>747</v>
      </c>
      <c r="BV6" s="447" t="s">
        <v>562</v>
      </c>
      <c r="BW6" s="447" t="s">
        <v>1358</v>
      </c>
      <c r="BX6" s="448" t="s">
        <v>1362</v>
      </c>
      <c r="BY6" s="448" t="s">
        <v>1365</v>
      </c>
      <c r="BZ6" s="448" t="s">
        <v>1370</v>
      </c>
      <c r="CA6" s="447" t="s">
        <v>1374</v>
      </c>
      <c r="CB6" s="448" t="s">
        <v>1376</v>
      </c>
      <c r="CC6" s="447" t="s">
        <v>1379</v>
      </c>
      <c r="CD6" s="447" t="s">
        <v>1383</v>
      </c>
      <c r="CE6" s="448" t="s">
        <v>1386</v>
      </c>
      <c r="CF6" s="451"/>
      <c r="CG6" s="452" t="s">
        <v>1231</v>
      </c>
      <c r="CH6" s="456" t="s">
        <v>1393</v>
      </c>
      <c r="CI6" s="452" t="s">
        <v>1399</v>
      </c>
      <c r="CJ6" s="452" t="s">
        <v>1401</v>
      </c>
      <c r="CK6" s="457"/>
      <c r="CL6" s="458" t="s">
        <v>1406</v>
      </c>
      <c r="CM6" s="452" t="s">
        <v>1411</v>
      </c>
      <c r="CN6" s="452" t="s">
        <v>1419</v>
      </c>
      <c r="CO6" s="452" t="s">
        <v>1421</v>
      </c>
      <c r="CP6" s="452" t="s">
        <v>1423</v>
      </c>
      <c r="CQ6" s="459" t="s">
        <v>1426</v>
      </c>
      <c r="CR6" s="460"/>
      <c r="CS6" s="459" t="s">
        <v>481</v>
      </c>
      <c r="CT6" s="452" t="s">
        <v>1432</v>
      </c>
      <c r="CU6" s="62"/>
      <c r="CV6" s="461" t="s">
        <v>1438</v>
      </c>
      <c r="CW6" s="462" t="s">
        <v>823</v>
      </c>
      <c r="CX6" s="464" t="s">
        <v>1446</v>
      </c>
      <c r="CY6" s="461" t="s">
        <v>1449</v>
      </c>
      <c r="CZ6" s="461" t="s">
        <v>1451</v>
      </c>
      <c r="DA6" s="466" t="s">
        <v>1455</v>
      </c>
      <c r="DB6" s="461" t="s">
        <v>1457</v>
      </c>
      <c r="DC6" s="461" t="s">
        <v>1461</v>
      </c>
      <c r="DD6" s="466" t="s">
        <v>1463</v>
      </c>
      <c r="DE6" s="461" t="s">
        <v>1114</v>
      </c>
      <c r="DF6" s="461" t="s">
        <v>1467</v>
      </c>
      <c r="DG6" s="466" t="s">
        <v>500</v>
      </c>
      <c r="DH6" s="470"/>
      <c r="DI6" s="471" t="s">
        <v>881</v>
      </c>
      <c r="DJ6" s="475" t="s">
        <v>1478</v>
      </c>
      <c r="DK6" s="475" t="s">
        <v>1479</v>
      </c>
      <c r="DL6" s="479"/>
      <c r="DM6" s="481" t="s">
        <v>477</v>
      </c>
      <c r="DN6" s="481" t="s">
        <v>1487</v>
      </c>
      <c r="DO6" s="483" t="s">
        <v>1489</v>
      </c>
      <c r="DP6" s="483" t="s">
        <v>1491</v>
      </c>
      <c r="DQ6" s="475" t="s">
        <v>1497</v>
      </c>
      <c r="DR6" s="484" t="s">
        <v>1500</v>
      </c>
      <c r="DS6" s="485" t="s">
        <v>1503</v>
      </c>
      <c r="DT6" s="475" t="s">
        <v>1507</v>
      </c>
      <c r="DU6" s="475" t="s">
        <v>1515</v>
      </c>
      <c r="DV6" s="481" t="s">
        <v>1519</v>
      </c>
      <c r="DW6" s="475" t="s">
        <v>915</v>
      </c>
      <c r="DX6" s="475" t="s">
        <v>1527</v>
      </c>
      <c r="DY6" s="481" t="s">
        <v>1530</v>
      </c>
      <c r="DZ6" s="475" t="s">
        <v>1534</v>
      </c>
      <c r="EA6" s="483" t="s">
        <v>530</v>
      </c>
      <c r="EB6" s="483" t="s">
        <v>1541</v>
      </c>
      <c r="EC6" s="475" t="s">
        <v>1545</v>
      </c>
      <c r="ED6" s="475" t="s">
        <v>1548</v>
      </c>
    </row>
    <row r="7">
      <c r="A7" s="492" t="s">
        <v>305</v>
      </c>
      <c r="B7" s="229" t="s">
        <v>1562</v>
      </c>
      <c r="C7" s="230" t="s">
        <v>127</v>
      </c>
      <c r="D7" s="231" t="s">
        <v>306</v>
      </c>
      <c r="E7" s="232" t="s">
        <v>79</v>
      </c>
      <c r="F7" s="233" t="s">
        <v>1567</v>
      </c>
      <c r="G7" s="229" t="s">
        <v>1568</v>
      </c>
      <c r="H7" s="494" t="s">
        <v>227</v>
      </c>
      <c r="I7" s="494" t="s">
        <v>1576</v>
      </c>
      <c r="J7" s="494" t="s">
        <v>559</v>
      </c>
      <c r="K7" s="494" t="s">
        <v>768</v>
      </c>
      <c r="L7" s="497" t="s">
        <v>1250</v>
      </c>
      <c r="M7" s="494" t="s">
        <v>1588</v>
      </c>
      <c r="N7" s="494" t="s">
        <v>1592</v>
      </c>
      <c r="O7" s="494" t="s">
        <v>1594</v>
      </c>
      <c r="P7" s="498" t="s">
        <v>576</v>
      </c>
      <c r="Q7" s="494" t="s">
        <v>1603</v>
      </c>
      <c r="R7" s="500" t="s">
        <v>1607</v>
      </c>
      <c r="S7" s="494" t="s">
        <v>1316</v>
      </c>
      <c r="T7" s="494" t="s">
        <v>1615</v>
      </c>
      <c r="U7" s="494" t="s">
        <v>1617</v>
      </c>
      <c r="V7" s="502" t="s">
        <v>1622</v>
      </c>
      <c r="W7" s="504"/>
      <c r="X7" s="242" t="s">
        <v>1626</v>
      </c>
      <c r="Y7" s="506"/>
      <c r="Z7" s="507" t="s">
        <v>1630</v>
      </c>
      <c r="AA7" s="508" t="s">
        <v>1633</v>
      </c>
      <c r="AB7" s="502" t="s">
        <v>1634</v>
      </c>
      <c r="AC7" s="494" t="s">
        <v>1635</v>
      </c>
      <c r="AD7" s="497" t="s">
        <v>1642</v>
      </c>
      <c r="AE7" s="494" t="s">
        <v>1645</v>
      </c>
      <c r="AF7" s="510" t="s">
        <v>1647</v>
      </c>
      <c r="AG7" s="494" t="s">
        <v>217</v>
      </c>
      <c r="AH7" s="497" t="s">
        <v>1286</v>
      </c>
      <c r="AI7" s="494" t="s">
        <v>1657</v>
      </c>
      <c r="AJ7" s="502" t="s">
        <v>1385</v>
      </c>
      <c r="AK7" s="494" t="s">
        <v>1662</v>
      </c>
      <c r="AL7" s="512"/>
      <c r="AM7" s="494" t="s">
        <v>1665</v>
      </c>
      <c r="AN7" s="497" t="s">
        <v>1666</v>
      </c>
      <c r="AO7" s="497" t="s">
        <v>1668</v>
      </c>
      <c r="AP7" s="502" t="s">
        <v>1672</v>
      </c>
      <c r="AQ7" s="494" t="s">
        <v>1674</v>
      </c>
      <c r="AR7" s="507" t="s">
        <v>414</v>
      </c>
      <c r="AS7" s="497" t="s">
        <v>415</v>
      </c>
      <c r="AT7" s="494" t="s">
        <v>416</v>
      </c>
      <c r="AU7" s="494" t="s">
        <v>1685</v>
      </c>
      <c r="AV7" s="497" t="s">
        <v>1688</v>
      </c>
      <c r="AW7" s="497" t="s">
        <v>1689</v>
      </c>
      <c r="AX7" s="510" t="s">
        <v>1693</v>
      </c>
      <c r="AY7" s="497" t="s">
        <v>1498</v>
      </c>
      <c r="AZ7" s="518" t="s">
        <v>1701</v>
      </c>
      <c r="BA7" s="519"/>
      <c r="BB7" s="494" t="s">
        <v>1706</v>
      </c>
      <c r="BC7" s="497" t="s">
        <v>1238</v>
      </c>
      <c r="BD7" s="494" t="s">
        <v>1274</v>
      </c>
      <c r="BE7" s="497" t="s">
        <v>1515</v>
      </c>
      <c r="BF7" s="242" t="s">
        <v>1720</v>
      </c>
      <c r="BG7" s="494" t="s">
        <v>1721</v>
      </c>
      <c r="BH7" s="494" t="s">
        <v>1727</v>
      </c>
      <c r="BI7" s="494" t="s">
        <v>436</v>
      </c>
      <c r="BJ7" s="508" t="s">
        <v>1732</v>
      </c>
      <c r="BK7" s="301" t="s">
        <v>1734</v>
      </c>
      <c r="BL7" s="494" t="s">
        <v>1736</v>
      </c>
      <c r="BM7" s="497" t="s">
        <v>1739</v>
      </c>
      <c r="BN7" s="494" t="s">
        <v>1744</v>
      </c>
      <c r="BO7" s="494" t="s">
        <v>1748</v>
      </c>
      <c r="BP7" s="508" t="s">
        <v>1752</v>
      </c>
      <c r="BQ7" s="508"/>
      <c r="BR7" s="236" t="s">
        <v>1754</v>
      </c>
      <c r="BS7" s="497" t="s">
        <v>1756</v>
      </c>
      <c r="BT7" s="522" t="s">
        <v>1759</v>
      </c>
      <c r="BU7" s="518" t="s">
        <v>1763</v>
      </c>
      <c r="BV7" s="497" t="s">
        <v>773</v>
      </c>
      <c r="BW7" s="242" t="s">
        <v>1770</v>
      </c>
      <c r="BX7" s="494" t="s">
        <v>1776</v>
      </c>
      <c r="BY7" s="494" t="s">
        <v>454</v>
      </c>
      <c r="BZ7" s="502" t="s">
        <v>1785</v>
      </c>
      <c r="CA7" s="494" t="s">
        <v>1787</v>
      </c>
      <c r="CB7" s="510" t="s">
        <v>1794</v>
      </c>
      <c r="CC7" s="494" t="s">
        <v>1799</v>
      </c>
      <c r="CD7" s="494" t="s">
        <v>444</v>
      </c>
      <c r="CE7" s="497" t="s">
        <v>1803</v>
      </c>
      <c r="CF7" s="519"/>
      <c r="CG7" s="494" t="s">
        <v>759</v>
      </c>
      <c r="CH7" s="242" t="s">
        <v>1810</v>
      </c>
      <c r="CI7" s="508" t="s">
        <v>1811</v>
      </c>
      <c r="CJ7" s="497" t="s">
        <v>1814</v>
      </c>
      <c r="CK7" s="519"/>
      <c r="CL7" s="497" t="s">
        <v>1816</v>
      </c>
      <c r="CM7" s="502" t="s">
        <v>1820</v>
      </c>
      <c r="CN7" s="494" t="s">
        <v>1821</v>
      </c>
      <c r="CO7" s="494" t="s">
        <v>1824</v>
      </c>
      <c r="CP7" s="494" t="s">
        <v>1827</v>
      </c>
      <c r="CQ7" s="497" t="s">
        <v>1831</v>
      </c>
      <c r="CR7" s="526"/>
      <c r="CS7" s="526" t="s">
        <v>1833</v>
      </c>
      <c r="CT7" s="494" t="s">
        <v>1834</v>
      </c>
      <c r="CU7" s="504"/>
      <c r="CV7" s="494" t="s">
        <v>1836</v>
      </c>
      <c r="CW7" s="497" t="s">
        <v>1840</v>
      </c>
      <c r="CX7" s="497" t="s">
        <v>1842</v>
      </c>
      <c r="CY7" s="242" t="s">
        <v>1846</v>
      </c>
      <c r="CZ7" s="494" t="s">
        <v>1847</v>
      </c>
      <c r="DA7" s="510" t="s">
        <v>1850</v>
      </c>
      <c r="DB7" s="497" t="s">
        <v>1852</v>
      </c>
      <c r="DC7" s="494" t="s">
        <v>1235</v>
      </c>
      <c r="DD7" s="494" t="s">
        <v>1860</v>
      </c>
      <c r="DE7" s="502" t="s">
        <v>498</v>
      </c>
      <c r="DF7" s="502" t="s">
        <v>1864</v>
      </c>
      <c r="DG7" s="497" t="s">
        <v>1866</v>
      </c>
      <c r="DH7" s="519"/>
      <c r="DI7" s="497" t="s">
        <v>1870</v>
      </c>
      <c r="DJ7" s="494" t="s">
        <v>1874</v>
      </c>
      <c r="DK7" s="494" t="s">
        <v>1879</v>
      </c>
      <c r="DL7" s="533"/>
      <c r="DM7" s="502" t="s">
        <v>1883</v>
      </c>
      <c r="DN7" s="500" t="s">
        <v>1885</v>
      </c>
      <c r="DO7" s="497" t="s">
        <v>509</v>
      </c>
      <c r="DP7" s="494" t="s">
        <v>1497</v>
      </c>
      <c r="DQ7" s="494" t="s">
        <v>1487</v>
      </c>
      <c r="DR7" s="497" t="s">
        <v>1894</v>
      </c>
      <c r="DS7" s="534" t="s">
        <v>1898</v>
      </c>
      <c r="DT7" s="497" t="s">
        <v>1900</v>
      </c>
      <c r="DU7" s="494" t="s">
        <v>1904</v>
      </c>
      <c r="DV7" s="494" t="s">
        <v>1906</v>
      </c>
      <c r="DW7" s="494" t="s">
        <v>1908</v>
      </c>
      <c r="DX7" s="494" t="s">
        <v>1911</v>
      </c>
      <c r="DY7" s="494" t="s">
        <v>1914</v>
      </c>
      <c r="DZ7" s="502" t="s">
        <v>1916</v>
      </c>
      <c r="EA7" s="502" t="s">
        <v>1917</v>
      </c>
      <c r="EB7" s="510" t="s">
        <v>1918</v>
      </c>
      <c r="EC7" s="510" t="s">
        <v>1924</v>
      </c>
      <c r="ED7" s="301" t="s">
        <v>179</v>
      </c>
    </row>
    <row r="8">
      <c r="A8" s="545" t="s">
        <v>1929</v>
      </c>
      <c r="B8" s="381" t="s">
        <v>1930</v>
      </c>
      <c r="C8" s="384" t="s">
        <v>76</v>
      </c>
      <c r="D8" s="386" t="s">
        <v>79</v>
      </c>
      <c r="E8" s="389" t="s">
        <v>79</v>
      </c>
      <c r="F8" s="390" t="s">
        <v>1933</v>
      </c>
      <c r="G8" s="381" t="s">
        <v>543</v>
      </c>
      <c r="H8" s="547" t="s">
        <v>1934</v>
      </c>
      <c r="I8" s="406" t="s">
        <v>1936</v>
      </c>
      <c r="J8" s="406" t="s">
        <v>1940</v>
      </c>
      <c r="K8" s="406" t="s">
        <v>788</v>
      </c>
      <c r="L8" s="406" t="s">
        <v>888</v>
      </c>
      <c r="M8" s="406" t="s">
        <v>1954</v>
      </c>
      <c r="N8" s="406" t="s">
        <v>1958</v>
      </c>
      <c r="O8" s="406" t="s">
        <v>1962</v>
      </c>
      <c r="P8" s="406" t="s">
        <v>1652</v>
      </c>
      <c r="Q8" s="406" t="s">
        <v>1969</v>
      </c>
      <c r="R8" s="547" t="s">
        <v>1972</v>
      </c>
      <c r="S8" s="406" t="s">
        <v>1361</v>
      </c>
      <c r="T8" s="406" t="s">
        <v>1977</v>
      </c>
      <c r="U8" s="406" t="s">
        <v>1981</v>
      </c>
      <c r="V8" s="547" t="s">
        <v>1984</v>
      </c>
      <c r="W8" s="62"/>
      <c r="X8" s="417" t="s">
        <v>545</v>
      </c>
      <c r="Y8" s="421"/>
      <c r="Z8" s="417" t="s">
        <v>1989</v>
      </c>
      <c r="AA8" s="417" t="s">
        <v>1995</v>
      </c>
      <c r="AB8" s="417" t="s">
        <v>1997</v>
      </c>
      <c r="AC8" s="417" t="s">
        <v>396</v>
      </c>
      <c r="AD8" s="417" t="s">
        <v>2006</v>
      </c>
      <c r="AE8" s="417" t="s">
        <v>2011</v>
      </c>
      <c r="AF8" s="417" t="s">
        <v>1162</v>
      </c>
      <c r="AG8" s="417" t="s">
        <v>2020</v>
      </c>
      <c r="AH8" s="417" t="s">
        <v>2022</v>
      </c>
      <c r="AI8" s="417" t="s">
        <v>2027</v>
      </c>
      <c r="AJ8" s="417" t="s">
        <v>2032</v>
      </c>
      <c r="AK8" s="417" t="s">
        <v>2035</v>
      </c>
      <c r="AL8" s="61"/>
      <c r="AM8" s="427" t="s">
        <v>2038</v>
      </c>
      <c r="AN8" s="427" t="s">
        <v>2043</v>
      </c>
      <c r="AO8" s="432" t="s">
        <v>2052</v>
      </c>
      <c r="AP8" s="427" t="s">
        <v>2057</v>
      </c>
      <c r="AQ8" s="571" t="s">
        <v>752</v>
      </c>
      <c r="AR8" s="427" t="s">
        <v>1241</v>
      </c>
      <c r="AS8" s="427" t="s">
        <v>2065</v>
      </c>
      <c r="AT8" s="573" t="s">
        <v>2070</v>
      </c>
      <c r="AU8" s="427" t="s">
        <v>2073</v>
      </c>
      <c r="AV8" s="574" t="s">
        <v>2077</v>
      </c>
      <c r="AW8" s="427" t="s">
        <v>802</v>
      </c>
      <c r="AX8" s="576" t="s">
        <v>2084</v>
      </c>
      <c r="AY8" s="427" t="s">
        <v>382</v>
      </c>
      <c r="AZ8" s="571" t="s">
        <v>2095</v>
      </c>
      <c r="BA8" s="571"/>
      <c r="BB8" s="436" t="str">
        <f>HYPERLINK("https://www.youtube.com/watch?v=eFt2RrKz2X8","49.51")</f>
        <v>49.51</v>
      </c>
      <c r="BC8" s="439" t="s">
        <v>2101</v>
      </c>
      <c r="BD8" s="439" t="s">
        <v>826</v>
      </c>
      <c r="BE8" s="439" t="s">
        <v>2129</v>
      </c>
      <c r="BF8" s="439" t="s">
        <v>1720</v>
      </c>
      <c r="BG8" s="439" t="s">
        <v>2148</v>
      </c>
      <c r="BH8" s="439" t="s">
        <v>2152</v>
      </c>
      <c r="BI8" s="586" t="s">
        <v>2156</v>
      </c>
      <c r="BJ8" s="587"/>
      <c r="BK8" s="439" t="s">
        <v>2160</v>
      </c>
      <c r="BL8" s="439" t="s">
        <v>2164</v>
      </c>
      <c r="BM8" s="589" t="s">
        <v>2167</v>
      </c>
      <c r="BN8" s="439" t="s">
        <v>904</v>
      </c>
      <c r="BO8" s="439" t="s">
        <v>2178</v>
      </c>
      <c r="BP8" s="439" t="s">
        <v>446</v>
      </c>
      <c r="BQ8" s="439"/>
      <c r="BR8" s="448" t="s">
        <v>2188</v>
      </c>
      <c r="BS8" s="448" t="s">
        <v>2191</v>
      </c>
      <c r="BT8" s="448" t="s">
        <v>2195</v>
      </c>
      <c r="BU8" s="448" t="s">
        <v>2199</v>
      </c>
      <c r="BV8" s="448" t="s">
        <v>2203</v>
      </c>
      <c r="BW8" s="448" t="s">
        <v>2208</v>
      </c>
      <c r="BX8" s="594" t="s">
        <v>2214</v>
      </c>
      <c r="BY8" s="595"/>
      <c r="BZ8" s="448" t="s">
        <v>2217</v>
      </c>
      <c r="CA8" s="448" t="s">
        <v>2221</v>
      </c>
      <c r="CB8" s="601" t="s">
        <v>2227</v>
      </c>
      <c r="CC8" s="448" t="s">
        <v>2231</v>
      </c>
      <c r="CD8" s="448" t="s">
        <v>2238</v>
      </c>
      <c r="CE8" s="594" t="s">
        <v>2246</v>
      </c>
      <c r="CF8" s="594"/>
      <c r="CG8" s="459" t="s">
        <v>661</v>
      </c>
      <c r="CH8" s="459" t="s">
        <v>2251</v>
      </c>
      <c r="CI8" s="459" t="s">
        <v>2257</v>
      </c>
      <c r="CJ8" s="459" t="s">
        <v>2260</v>
      </c>
      <c r="CK8" s="460"/>
      <c r="CL8" s="459" t="s">
        <v>2264</v>
      </c>
      <c r="CM8" s="459" t="s">
        <v>2272</v>
      </c>
      <c r="CN8" s="459" t="s">
        <v>1398</v>
      </c>
      <c r="CO8" s="606" t="s">
        <v>1824</v>
      </c>
      <c r="CP8" s="459" t="s">
        <v>2275</v>
      </c>
      <c r="CQ8" s="459" t="s">
        <v>1419</v>
      </c>
      <c r="CR8" s="606"/>
      <c r="CS8" s="459" t="s">
        <v>2285</v>
      </c>
      <c r="CT8" s="459" t="s">
        <v>2291</v>
      </c>
      <c r="CU8" s="62"/>
      <c r="CV8" s="466" t="s">
        <v>2296</v>
      </c>
      <c r="CW8" s="466" t="s">
        <v>2301</v>
      </c>
      <c r="CX8" s="466" t="s">
        <v>2306</v>
      </c>
      <c r="CY8" s="466" t="s">
        <v>2310</v>
      </c>
      <c r="CZ8" s="466" t="s">
        <v>2314</v>
      </c>
      <c r="DA8" s="466" t="s">
        <v>2318</v>
      </c>
      <c r="DB8" s="466" t="s">
        <v>2323</v>
      </c>
      <c r="DC8" s="466" t="s">
        <v>2085</v>
      </c>
      <c r="DD8" s="466" t="s">
        <v>2329</v>
      </c>
      <c r="DE8" s="466" t="s">
        <v>2331</v>
      </c>
      <c r="DF8" s="466" t="s">
        <v>2336</v>
      </c>
      <c r="DG8" s="462" t="s">
        <v>2341</v>
      </c>
      <c r="DH8" s="470"/>
      <c r="DI8" s="483" t="s">
        <v>901</v>
      </c>
      <c r="DJ8" s="483" t="s">
        <v>2351</v>
      </c>
      <c r="DK8" s="483" t="s">
        <v>2357</v>
      </c>
      <c r="DL8" s="612" t="s">
        <v>2360</v>
      </c>
      <c r="DM8" s="612" t="s">
        <v>477</v>
      </c>
      <c r="DN8" s="483" t="s">
        <v>1358</v>
      </c>
      <c r="DO8" s="483" t="s">
        <v>2372</v>
      </c>
      <c r="DP8" s="483" t="s">
        <v>2387</v>
      </c>
      <c r="DQ8" s="483" t="s">
        <v>2399</v>
      </c>
      <c r="DR8" s="483" t="s">
        <v>2411</v>
      </c>
      <c r="DS8" s="483" t="s">
        <v>588</v>
      </c>
      <c r="DT8" s="483" t="s">
        <v>2428</v>
      </c>
      <c r="DU8" s="618" t="s">
        <v>2430</v>
      </c>
      <c r="DV8" s="483" t="s">
        <v>2440</v>
      </c>
      <c r="DW8" s="618" t="s">
        <v>2453</v>
      </c>
      <c r="DX8" s="483" t="s">
        <v>2461</v>
      </c>
      <c r="DY8" s="483" t="s">
        <v>265</v>
      </c>
      <c r="DZ8" s="483" t="s">
        <v>2491</v>
      </c>
      <c r="EA8" s="483" t="s">
        <v>2504</v>
      </c>
      <c r="EB8" s="483" t="s">
        <v>947</v>
      </c>
      <c r="EC8" s="483" t="s">
        <v>2514</v>
      </c>
      <c r="ED8" s="475" t="s">
        <v>229</v>
      </c>
    </row>
    <row r="9">
      <c r="A9" s="624" t="s">
        <v>136</v>
      </c>
      <c r="B9" s="229" t="s">
        <v>2532</v>
      </c>
      <c r="C9" s="230" t="s">
        <v>261</v>
      </c>
      <c r="D9" s="231" t="s">
        <v>156</v>
      </c>
      <c r="E9" s="232" t="s">
        <v>127</v>
      </c>
      <c r="F9" s="233" t="s">
        <v>543</v>
      </c>
      <c r="G9" s="229" t="s">
        <v>543</v>
      </c>
      <c r="H9" s="626" t="s">
        <v>1767</v>
      </c>
      <c r="I9" s="628" t="s">
        <v>2120</v>
      </c>
      <c r="J9" s="626" t="s">
        <v>2560</v>
      </c>
      <c r="K9" s="629" t="s">
        <v>563</v>
      </c>
      <c r="L9" s="626" t="s">
        <v>2578</v>
      </c>
      <c r="M9" s="626" t="s">
        <v>2583</v>
      </c>
      <c r="N9" s="630" t="str">
        <f>HYPERLINK("https://youtu.be/uVW1ZCaqMSU","1:07.25")</f>
        <v>1:07.25</v>
      </c>
      <c r="O9" s="631" t="s">
        <v>657</v>
      </c>
      <c r="P9" s="626" t="s">
        <v>2612</v>
      </c>
      <c r="Q9" s="626" t="s">
        <v>2620</v>
      </c>
      <c r="R9" s="626" t="s">
        <v>2625</v>
      </c>
      <c r="S9" s="236" t="s">
        <v>906</v>
      </c>
      <c r="T9" s="626" t="s">
        <v>2635</v>
      </c>
      <c r="U9" s="628" t="s">
        <v>1596</v>
      </c>
      <c r="V9" s="626" t="s">
        <v>388</v>
      </c>
      <c r="W9" s="636" t="str">
        <f>""</f>
        <v/>
      </c>
      <c r="X9" s="626" t="s">
        <v>569</v>
      </c>
      <c r="Y9" s="638"/>
      <c r="Z9" s="626" t="s">
        <v>2662</v>
      </c>
      <c r="AA9" s="626" t="s">
        <v>753</v>
      </c>
      <c r="AB9" s="639" t="s">
        <v>2669</v>
      </c>
      <c r="AC9" s="626" t="s">
        <v>1148</v>
      </c>
      <c r="AD9" s="626" t="s">
        <v>2677</v>
      </c>
      <c r="AE9" s="639" t="s">
        <v>2680</v>
      </c>
      <c r="AF9" s="626" t="s">
        <v>2683</v>
      </c>
      <c r="AG9" s="626" t="s">
        <v>217</v>
      </c>
      <c r="AH9" s="626" t="s">
        <v>2702</v>
      </c>
      <c r="AI9" s="626" t="s">
        <v>2706</v>
      </c>
      <c r="AJ9" s="626" t="s">
        <v>2710</v>
      </c>
      <c r="AK9" s="626" t="s">
        <v>2716</v>
      </c>
      <c r="AL9" s="642" t="str">
        <f>""</f>
        <v/>
      </c>
      <c r="AM9" s="626" t="s">
        <v>378</v>
      </c>
      <c r="AN9" s="626" t="s">
        <v>2062</v>
      </c>
      <c r="AO9" s="626" t="s">
        <v>2740</v>
      </c>
      <c r="AP9" s="626" t="s">
        <v>2743</v>
      </c>
      <c r="AQ9" s="644" t="str">
        <f>HYPERLINK("https://youtu.be/FzRgQHExyak","47.99")</f>
        <v>47.99</v>
      </c>
      <c r="AR9" s="644" t="str">
        <f>HYPERLINK("https://youtu.be/FzRgQHExyak","27.86")</f>
        <v>27.86</v>
      </c>
      <c r="AS9" s="644" t="str">
        <f>HYPERLINK("https://youtu.be/TwmYqI1hIac","8.71")</f>
        <v>8.71</v>
      </c>
      <c r="AT9" s="626" t="s">
        <v>2119</v>
      </c>
      <c r="AU9" s="626" t="s">
        <v>2757</v>
      </c>
      <c r="AV9" s="626" t="s">
        <v>2761</v>
      </c>
      <c r="AW9" s="626" t="s">
        <v>2765</v>
      </c>
      <c r="AX9" s="626" t="s">
        <v>2766</v>
      </c>
      <c r="AY9" s="626" t="s">
        <v>2770</v>
      </c>
      <c r="AZ9" s="626" t="s">
        <v>2771</v>
      </c>
      <c r="BA9" s="649" t="str">
        <f>""</f>
        <v/>
      </c>
      <c r="BB9" s="626" t="s">
        <v>427</v>
      </c>
      <c r="BC9" s="626" t="s">
        <v>2777</v>
      </c>
      <c r="BD9" s="626" t="s">
        <v>826</v>
      </c>
      <c r="BE9" s="626" t="s">
        <v>2785</v>
      </c>
      <c r="BF9" s="626" t="s">
        <v>2793</v>
      </c>
      <c r="BG9" s="626" t="s">
        <v>2798</v>
      </c>
      <c r="BH9" s="626" t="s">
        <v>2806</v>
      </c>
      <c r="BI9" s="626" t="s">
        <v>2812</v>
      </c>
      <c r="BJ9" s="626" t="s">
        <v>2818</v>
      </c>
      <c r="BK9" s="649"/>
      <c r="BL9" s="626" t="s">
        <v>2825</v>
      </c>
      <c r="BM9" s="626" t="s">
        <v>2828</v>
      </c>
      <c r="BN9" s="626" t="s">
        <v>2829</v>
      </c>
      <c r="BO9" s="626" t="s">
        <v>2833</v>
      </c>
      <c r="BP9" s="626" t="s">
        <v>2694</v>
      </c>
      <c r="BQ9" s="652" t="str">
        <f>""</f>
        <v/>
      </c>
      <c r="BR9" s="626" t="s">
        <v>2843</v>
      </c>
      <c r="BS9" s="626" t="s">
        <v>2851</v>
      </c>
      <c r="BT9" s="626" t="s">
        <v>656</v>
      </c>
      <c r="BU9" s="626" t="s">
        <v>2071</v>
      </c>
      <c r="BV9" s="626" t="s">
        <v>2870</v>
      </c>
      <c r="BW9" s="626" t="s">
        <v>2879</v>
      </c>
      <c r="BX9" s="626" t="s">
        <v>2885</v>
      </c>
      <c r="BY9" s="626" t="s">
        <v>2891</v>
      </c>
      <c r="BZ9" s="626" t="s">
        <v>2900</v>
      </c>
      <c r="CA9" s="626" t="s">
        <v>2901</v>
      </c>
      <c r="CB9" s="626" t="s">
        <v>2903</v>
      </c>
      <c r="CC9" s="626" t="s">
        <v>2906</v>
      </c>
      <c r="CD9" s="626" t="s">
        <v>2911</v>
      </c>
      <c r="CE9" s="626" t="s">
        <v>2916</v>
      </c>
      <c r="CF9" s="652" t="str">
        <f>""</f>
        <v/>
      </c>
      <c r="CG9" s="626" t="s">
        <v>2921</v>
      </c>
      <c r="CH9" s="626" t="s">
        <v>2927</v>
      </c>
      <c r="CI9" s="626" t="s">
        <v>2219</v>
      </c>
      <c r="CJ9" s="626" t="s">
        <v>2940</v>
      </c>
      <c r="CK9" s="638"/>
      <c r="CL9" s="626" t="s">
        <v>1900</v>
      </c>
      <c r="CM9" s="626" t="s">
        <v>512</v>
      </c>
      <c r="CN9" s="626" t="s">
        <v>1574</v>
      </c>
      <c r="CO9" s="626" t="s">
        <v>1883</v>
      </c>
      <c r="CP9" s="626" t="s">
        <v>2964</v>
      </c>
      <c r="CQ9" s="626" t="s">
        <v>1916</v>
      </c>
      <c r="CR9" s="649"/>
      <c r="CS9" s="626" t="s">
        <v>1987</v>
      </c>
      <c r="CT9" s="626" t="s">
        <v>2981</v>
      </c>
      <c r="CU9" s="636" t="str">
        <f>""</f>
        <v/>
      </c>
      <c r="CV9" s="626" t="s">
        <v>2984</v>
      </c>
      <c r="CW9" s="626" t="s">
        <v>2991</v>
      </c>
      <c r="CX9" s="626" t="s">
        <v>2995</v>
      </c>
      <c r="CY9" s="626" t="s">
        <v>3000</v>
      </c>
      <c r="CZ9" s="626" t="s">
        <v>3005</v>
      </c>
      <c r="DA9" s="626" t="s">
        <v>492</v>
      </c>
      <c r="DB9" s="626" t="s">
        <v>3016</v>
      </c>
      <c r="DC9" s="626" t="s">
        <v>2902</v>
      </c>
      <c r="DD9" s="626" t="s">
        <v>3020</v>
      </c>
      <c r="DE9" s="626" t="s">
        <v>3025</v>
      </c>
      <c r="DF9" s="626" t="s">
        <v>694</v>
      </c>
      <c r="DG9" s="626" t="s">
        <v>3030</v>
      </c>
      <c r="DH9" s="649" t="str">
        <f>""</f>
        <v/>
      </c>
      <c r="DI9" s="626" t="s">
        <v>1315</v>
      </c>
      <c r="DJ9" s="628" t="s">
        <v>2426</v>
      </c>
      <c r="DK9" s="628" t="s">
        <v>1258</v>
      </c>
      <c r="DL9" s="649"/>
      <c r="DM9" s="631" t="s">
        <v>477</v>
      </c>
      <c r="DN9" s="626" t="s">
        <v>770</v>
      </c>
      <c r="DO9" s="626" t="s">
        <v>450</v>
      </c>
      <c r="DP9" s="626" t="s">
        <v>3048</v>
      </c>
      <c r="DQ9" s="626" t="s">
        <v>3051</v>
      </c>
      <c r="DR9" s="626" t="s">
        <v>3053</v>
      </c>
      <c r="DS9" s="626" t="s">
        <v>3054</v>
      </c>
      <c r="DT9" s="626" t="s">
        <v>3057</v>
      </c>
      <c r="DU9" s="631" t="s">
        <v>2759</v>
      </c>
      <c r="DV9" s="626" t="s">
        <v>3061</v>
      </c>
      <c r="DW9" s="644" t="str">
        <f>HYPERLINK("https://youtu.be/EiRuckwjMJk","22.80")</f>
        <v>22.80</v>
      </c>
      <c r="DX9" s="665" t="s">
        <v>3066</v>
      </c>
      <c r="DY9" s="626" t="s">
        <v>527</v>
      </c>
      <c r="DZ9" s="626" t="s">
        <v>3068</v>
      </c>
      <c r="EA9" s="626" t="s">
        <v>3072</v>
      </c>
      <c r="EB9" s="626" t="s">
        <v>531</v>
      </c>
      <c r="EC9" s="626" t="s">
        <v>3073</v>
      </c>
      <c r="ED9" s="626" t="s">
        <v>229</v>
      </c>
    </row>
    <row r="10">
      <c r="A10" s="668" t="s">
        <v>78</v>
      </c>
      <c r="B10" s="381" t="s">
        <v>3077</v>
      </c>
      <c r="C10" s="384" t="s">
        <v>76</v>
      </c>
      <c r="D10" s="386" t="s">
        <v>76</v>
      </c>
      <c r="E10" s="389" t="s">
        <v>156</v>
      </c>
      <c r="F10" s="390" t="s">
        <v>3080</v>
      </c>
      <c r="G10" s="381" t="s">
        <v>3081</v>
      </c>
      <c r="H10" s="547" t="s">
        <v>235</v>
      </c>
      <c r="I10" s="547" t="s">
        <v>424</v>
      </c>
      <c r="J10" s="402" t="str">
        <f>HYPERLINK("https://www.youtube.com/watch?v=tkQbymSQ2xo","37.07")</f>
        <v>37.07</v>
      </c>
      <c r="K10" s="402" t="s">
        <v>3084</v>
      </c>
      <c r="L10" s="402" t="s">
        <v>904</v>
      </c>
      <c r="M10" s="547" t="s">
        <v>3086</v>
      </c>
      <c r="N10" s="673" t="s">
        <v>3087</v>
      </c>
      <c r="O10" s="402" t="s">
        <v>3088</v>
      </c>
      <c r="P10" s="406" t="s">
        <v>379</v>
      </c>
      <c r="Q10" s="547" t="s">
        <v>3092</v>
      </c>
      <c r="R10" s="406" t="s">
        <v>3093</v>
      </c>
      <c r="S10" s="406" t="s">
        <v>428</v>
      </c>
      <c r="T10" s="406" t="s">
        <v>2710</v>
      </c>
      <c r="U10" s="547" t="s">
        <v>385</v>
      </c>
      <c r="V10" s="547" t="s">
        <v>3101</v>
      </c>
      <c r="W10" s="62"/>
      <c r="X10" s="417" t="s">
        <v>1948</v>
      </c>
      <c r="Y10" s="421"/>
      <c r="Z10" s="417" t="s">
        <v>1630</v>
      </c>
      <c r="AA10" s="680" t="s">
        <v>3114</v>
      </c>
      <c r="AB10" s="412" t="s">
        <v>2676</v>
      </c>
      <c r="AC10" s="412" t="s">
        <v>2774</v>
      </c>
      <c r="AD10" s="412" t="s">
        <v>3059</v>
      </c>
      <c r="AE10" s="417" t="s">
        <v>3135</v>
      </c>
      <c r="AF10" s="417" t="s">
        <v>400</v>
      </c>
      <c r="AG10" s="412" t="str">
        <f>HYPERLINK("https://www.youtube.com/watch?v=oqSoo8shf5E","15.02")</f>
        <v>15.02</v>
      </c>
      <c r="AH10" s="683" t="s">
        <v>3154</v>
      </c>
      <c r="AI10" s="413"/>
      <c r="AJ10" s="412" t="str">
        <f>HYPERLINK("https://www.youtube.com/watch?v=8BrDAvD-IV4","1:01.54")</f>
        <v>1:01.54</v>
      </c>
      <c r="AK10" s="417" t="s">
        <v>3160</v>
      </c>
      <c r="AL10" s="61"/>
      <c r="AM10" s="685" t="s">
        <v>1469</v>
      </c>
      <c r="AN10" s="425" t="s">
        <v>3165</v>
      </c>
      <c r="AO10" s="427" t="s">
        <v>3167</v>
      </c>
      <c r="AP10" s="571" t="s">
        <v>3169</v>
      </c>
      <c r="AQ10" s="427" t="s">
        <v>3171</v>
      </c>
      <c r="AR10" s="427" t="s">
        <v>3173</v>
      </c>
      <c r="AS10" s="571" t="s">
        <v>3177</v>
      </c>
      <c r="AT10" s="571" t="s">
        <v>3180</v>
      </c>
      <c r="AU10" s="427" t="s">
        <v>458</v>
      </c>
      <c r="AV10" s="427" t="s">
        <v>3185</v>
      </c>
      <c r="AW10" s="427" t="s">
        <v>429</v>
      </c>
      <c r="AX10" s="427" t="s">
        <v>421</v>
      </c>
      <c r="AY10" s="571" t="s">
        <v>1303</v>
      </c>
      <c r="AZ10" s="427" t="s">
        <v>3197</v>
      </c>
      <c r="BA10" s="435"/>
      <c r="BB10" s="439" t="s">
        <v>3204</v>
      </c>
      <c r="BC10" s="439" t="s">
        <v>1869</v>
      </c>
      <c r="BD10" s="436" t="str">
        <f>HYPERLINK("https://youtu.be/-cZziOaZ-0M","28.57")</f>
        <v>28.57</v>
      </c>
      <c r="BE10" s="439" t="s">
        <v>3215</v>
      </c>
      <c r="BF10" s="586" t="s">
        <v>3221</v>
      </c>
      <c r="BG10" s="589" t="s">
        <v>3222</v>
      </c>
      <c r="BH10" s="695" t="s">
        <v>3224</v>
      </c>
      <c r="BI10" s="436" t="s">
        <v>1292</v>
      </c>
      <c r="BJ10" s="436" t="str">
        <f>HYPERLINK("https://youtu.be/9gxH3aJW5Tg", "1:16.85")</f>
        <v>1:16.85</v>
      </c>
      <c r="BK10" s="587"/>
      <c r="BL10" s="439" t="s">
        <v>3230</v>
      </c>
      <c r="BM10" s="589" t="s">
        <v>3234</v>
      </c>
      <c r="BN10" s="697" t="s">
        <v>724</v>
      </c>
      <c r="BO10" s="439" t="s">
        <v>445</v>
      </c>
      <c r="BP10" s="586" t="s">
        <v>3239</v>
      </c>
      <c r="BQ10" s="586"/>
      <c r="BR10" s="594" t="s">
        <v>3242</v>
      </c>
      <c r="BS10" s="448" t="s">
        <v>1783</v>
      </c>
      <c r="BT10" s="447" t="s">
        <v>1347</v>
      </c>
      <c r="BU10" s="447" t="s">
        <v>1110</v>
      </c>
      <c r="BV10" s="448" t="s">
        <v>3252</v>
      </c>
      <c r="BW10" s="447" t="str">
        <f>HYPERLINK("https://youtu.be/Rjvv1xMLao8","21.26")</f>
        <v>21.26</v>
      </c>
      <c r="BX10" s="594" t="s">
        <v>3256</v>
      </c>
      <c r="BY10" s="447" t="s">
        <v>3258</v>
      </c>
      <c r="BZ10" s="448" t="s">
        <v>3263</v>
      </c>
      <c r="CA10" s="448" t="s">
        <v>3267</v>
      </c>
      <c r="CB10" s="601" t="s">
        <v>2227</v>
      </c>
      <c r="CC10" s="447" t="str">
        <f>HYPERLINK("https://www.youtube.com/watch?v=_HQgQjbTLjM","1:11.35")</f>
        <v>1:11.35</v>
      </c>
      <c r="CD10" s="448" t="s">
        <v>3292</v>
      </c>
      <c r="CE10" s="448" t="s">
        <v>3296</v>
      </c>
      <c r="CF10" s="451"/>
      <c r="CG10" s="452" t="s">
        <v>896</v>
      </c>
      <c r="CH10" s="452" t="s">
        <v>2156</v>
      </c>
      <c r="CI10" s="458" t="str">
        <f>HYPERLINK("https://www.youtube.com/watch?v=aWzlUqH0LaM","31.73")</f>
        <v>31.73</v>
      </c>
      <c r="CJ10" s="459" t="s">
        <v>3317</v>
      </c>
      <c r="CK10" s="460"/>
      <c r="CL10" s="459" t="s">
        <v>3329</v>
      </c>
      <c r="CM10" s="452" t="str">
        <f>HYPERLINK("https://www.youtube.com/watch?v=LZjT27th0oY","50.99")</f>
        <v>50.99</v>
      </c>
      <c r="CN10" s="452" t="s">
        <v>3343</v>
      </c>
      <c r="CO10" s="459" t="s">
        <v>3349</v>
      </c>
      <c r="CP10" s="459" t="s">
        <v>3354</v>
      </c>
      <c r="CQ10" s="459" t="s">
        <v>3361</v>
      </c>
      <c r="CR10" s="457"/>
      <c r="CS10" s="458" t="str">
        <f>HYPERLINK("https://www.youtube.com/watch?v=yFzs8Y2mRjU","1:11.12")</f>
        <v>1:11.12</v>
      </c>
      <c r="CT10" s="459" t="s">
        <v>3372</v>
      </c>
      <c r="CU10" s="62"/>
      <c r="CV10" s="461" t="str">
        <f>HYPERLINK("https://www.youtube.com/watch?v=z8eq5ALteYM","43.11")</f>
        <v>43.11</v>
      </c>
      <c r="CW10" s="466" t="s">
        <v>3394</v>
      </c>
      <c r="CX10" s="461" t="s">
        <v>802</v>
      </c>
      <c r="CY10" s="461" t="s">
        <v>3411</v>
      </c>
      <c r="CZ10" s="703" t="s">
        <v>1973</v>
      </c>
      <c r="DA10" s="461" t="s">
        <v>492</v>
      </c>
      <c r="DB10" s="461" t="s">
        <v>3417</v>
      </c>
      <c r="DC10" s="466" t="s">
        <v>3423</v>
      </c>
      <c r="DD10" s="466" t="s">
        <v>3428</v>
      </c>
      <c r="DE10" s="466" t="s">
        <v>3433</v>
      </c>
      <c r="DF10" s="466" t="s">
        <v>1714</v>
      </c>
      <c r="DG10" s="466" t="s">
        <v>3437</v>
      </c>
      <c r="DH10" s="470"/>
      <c r="DI10" s="475" t="s">
        <v>888</v>
      </c>
      <c r="DJ10" s="483" t="s">
        <v>3445</v>
      </c>
      <c r="DK10" s="707" t="s">
        <v>3446</v>
      </c>
      <c r="DL10" s="709"/>
      <c r="DM10" s="612" t="s">
        <v>477</v>
      </c>
      <c r="DN10" s="483" t="s">
        <v>3454</v>
      </c>
      <c r="DO10" s="483" t="s">
        <v>3459</v>
      </c>
      <c r="DP10" s="483" t="s">
        <v>3463</v>
      </c>
      <c r="DQ10" s="483" t="s">
        <v>3465</v>
      </c>
      <c r="DR10" s="483" t="s">
        <v>1439</v>
      </c>
      <c r="DS10" s="710" t="s">
        <v>3472</v>
      </c>
      <c r="DT10" s="475" t="s">
        <v>3476</v>
      </c>
      <c r="DU10" s="483" t="s">
        <v>807</v>
      </c>
      <c r="DV10" s="483" t="s">
        <v>3481</v>
      </c>
      <c r="DW10" s="483" t="s">
        <v>3484</v>
      </c>
      <c r="DX10" s="483" t="s">
        <v>3486</v>
      </c>
      <c r="DY10" s="483" t="s">
        <v>1914</v>
      </c>
      <c r="DZ10" s="483" t="s">
        <v>3489</v>
      </c>
      <c r="EA10" s="483" t="s">
        <v>3498</v>
      </c>
      <c r="EB10" s="483" t="s">
        <v>3503</v>
      </c>
      <c r="EC10" s="707" t="s">
        <v>3508</v>
      </c>
      <c r="ED10" s="475" t="s">
        <v>229</v>
      </c>
    </row>
    <row r="11">
      <c r="A11" s="713" t="s">
        <v>129</v>
      </c>
      <c r="B11" s="714" t="s">
        <v>3524</v>
      </c>
      <c r="C11" s="715" t="s">
        <v>79</v>
      </c>
      <c r="D11" s="716" t="s">
        <v>154</v>
      </c>
      <c r="E11" s="717" t="s">
        <v>81</v>
      </c>
      <c r="F11" s="718" t="s">
        <v>3530</v>
      </c>
      <c r="G11" s="714" t="s">
        <v>3530</v>
      </c>
      <c r="H11" s="720" t="s">
        <v>3532</v>
      </c>
      <c r="I11" s="720" t="s">
        <v>3540</v>
      </c>
      <c r="J11" s="722" t="s">
        <v>3545</v>
      </c>
      <c r="K11" s="629" t="s">
        <v>563</v>
      </c>
      <c r="L11" s="720" t="s">
        <v>1266</v>
      </c>
      <c r="M11" s="720" t="s">
        <v>3564</v>
      </c>
      <c r="N11" s="724" t="s">
        <v>3572</v>
      </c>
      <c r="O11" s="720" t="s">
        <v>1729</v>
      </c>
      <c r="P11" s="720" t="s">
        <v>2612</v>
      </c>
      <c r="Q11" s="304"/>
      <c r="R11" s="726"/>
      <c r="S11" s="720" t="s">
        <v>1252</v>
      </c>
      <c r="T11" s="726"/>
      <c r="U11" s="726"/>
      <c r="V11" s="720" t="s">
        <v>3593</v>
      </c>
      <c r="W11" s="728"/>
      <c r="X11" s="720" t="s">
        <v>3596</v>
      </c>
      <c r="Y11" s="729"/>
      <c r="Z11" s="720" t="s">
        <v>1630</v>
      </c>
      <c r="AA11" s="720" t="s">
        <v>756</v>
      </c>
      <c r="AB11" s="724" t="s">
        <v>3608</v>
      </c>
      <c r="AC11" s="720" t="s">
        <v>2774</v>
      </c>
      <c r="AD11" s="720" t="s">
        <v>3620</v>
      </c>
      <c r="AE11" s="726"/>
      <c r="AF11" s="720" t="s">
        <v>3621</v>
      </c>
      <c r="AG11" s="720" t="s">
        <v>217</v>
      </c>
      <c r="AH11" s="726"/>
      <c r="AI11" s="726"/>
      <c r="AJ11" s="720" t="s">
        <v>3628</v>
      </c>
      <c r="AK11" s="720" t="s">
        <v>3632</v>
      </c>
      <c r="AL11" s="731"/>
      <c r="AM11" s="720" t="s">
        <v>3635</v>
      </c>
      <c r="AN11" s="720" t="s">
        <v>3638</v>
      </c>
      <c r="AO11" s="726"/>
      <c r="AP11" s="726"/>
      <c r="AQ11" s="726"/>
      <c r="AR11" s="726"/>
      <c r="AS11" s="726"/>
      <c r="AT11" s="726"/>
      <c r="AU11" s="720" t="s">
        <v>458</v>
      </c>
      <c r="AV11" s="720" t="s">
        <v>3641</v>
      </c>
      <c r="AW11" s="720" t="s">
        <v>2358</v>
      </c>
      <c r="AX11" s="726"/>
      <c r="AY11" s="722" t="s">
        <v>3645</v>
      </c>
      <c r="AZ11" s="726"/>
      <c r="BA11" s="726"/>
      <c r="BB11" s="720" t="s">
        <v>3647</v>
      </c>
      <c r="BC11" s="724" t="s">
        <v>3651</v>
      </c>
      <c r="BD11" s="724" t="s">
        <v>1578</v>
      </c>
      <c r="BE11" s="720" t="s">
        <v>1279</v>
      </c>
      <c r="BF11" s="720" t="s">
        <v>3656</v>
      </c>
      <c r="BG11" s="720" t="s">
        <v>1351</v>
      </c>
      <c r="BH11" s="722" t="s">
        <v>3662</v>
      </c>
      <c r="BI11" s="720" t="s">
        <v>942</v>
      </c>
      <c r="BJ11" s="726"/>
      <c r="BK11" s="724" t="s">
        <v>3673</v>
      </c>
      <c r="BL11" s="720" t="s">
        <v>3683</v>
      </c>
      <c r="BM11" s="726"/>
      <c r="BN11" s="720" t="s">
        <v>3689</v>
      </c>
      <c r="BO11" s="720" t="s">
        <v>3693</v>
      </c>
      <c r="BP11" s="726"/>
      <c r="BQ11" s="754"/>
      <c r="BR11" s="720" t="s">
        <v>3698</v>
      </c>
      <c r="BS11" s="720" t="s">
        <v>3703</v>
      </c>
      <c r="BT11" s="720" t="s">
        <v>3708</v>
      </c>
      <c r="BU11" s="724" t="s">
        <v>3711</v>
      </c>
      <c r="BV11" s="720" t="s">
        <v>3716</v>
      </c>
      <c r="BW11" s="720" t="s">
        <v>3719</v>
      </c>
      <c r="BX11" s="720" t="s">
        <v>3724</v>
      </c>
      <c r="BY11" s="720" t="s">
        <v>3726</v>
      </c>
      <c r="BZ11" s="720" t="s">
        <v>3728</v>
      </c>
      <c r="CA11" s="720" t="s">
        <v>3731</v>
      </c>
      <c r="CB11" s="726"/>
      <c r="CC11" s="242" t="s">
        <v>3734</v>
      </c>
      <c r="CD11" s="720" t="s">
        <v>3737</v>
      </c>
      <c r="CE11" s="720" t="s">
        <v>3738</v>
      </c>
      <c r="CF11" s="754"/>
      <c r="CG11" s="724" t="s">
        <v>3739</v>
      </c>
      <c r="CH11" s="720" t="s">
        <v>1779</v>
      </c>
      <c r="CI11" s="720" t="s">
        <v>3741</v>
      </c>
      <c r="CJ11" s="720" t="s">
        <v>3744</v>
      </c>
      <c r="CK11" s="729"/>
      <c r="CL11" s="720" t="s">
        <v>3746</v>
      </c>
      <c r="CM11" s="722" t="s">
        <v>3750</v>
      </c>
      <c r="CN11" s="720" t="s">
        <v>3755</v>
      </c>
      <c r="CO11" s="720" t="s">
        <v>1421</v>
      </c>
      <c r="CP11" s="726"/>
      <c r="CQ11" s="724" t="s">
        <v>3760</v>
      </c>
      <c r="CR11" s="726"/>
      <c r="CS11" s="726"/>
      <c r="CT11" s="726"/>
      <c r="CU11" s="728"/>
      <c r="CV11" s="720" t="s">
        <v>1338</v>
      </c>
      <c r="CW11" s="720" t="s">
        <v>3763</v>
      </c>
      <c r="CX11" s="720" t="s">
        <v>3765</v>
      </c>
      <c r="CY11" s="720" t="s">
        <v>867</v>
      </c>
      <c r="CZ11" s="724" t="s">
        <v>3772</v>
      </c>
      <c r="DA11" s="720" t="s">
        <v>3773</v>
      </c>
      <c r="DB11" s="720" t="s">
        <v>3780</v>
      </c>
      <c r="DC11" s="720" t="s">
        <v>458</v>
      </c>
      <c r="DD11" s="720" t="s">
        <v>3785</v>
      </c>
      <c r="DE11" s="768"/>
      <c r="DF11" s="726"/>
      <c r="DG11" s="720" t="s">
        <v>3813</v>
      </c>
      <c r="DH11" s="726"/>
      <c r="DI11" s="720" t="s">
        <v>1250</v>
      </c>
      <c r="DJ11" s="726"/>
      <c r="DK11" s="726"/>
      <c r="DL11" s="726"/>
      <c r="DM11" s="771" t="s">
        <v>477</v>
      </c>
      <c r="DN11" s="772" t="s">
        <v>3826</v>
      </c>
      <c r="DO11" s="724" t="s">
        <v>526</v>
      </c>
      <c r="DP11" s="629" t="s">
        <v>3839</v>
      </c>
      <c r="DQ11" s="776" t="s">
        <v>511</v>
      </c>
      <c r="DR11" s="720" t="s">
        <v>3847</v>
      </c>
      <c r="DS11" s="720" t="s">
        <v>3850</v>
      </c>
      <c r="DT11" s="726"/>
      <c r="DU11" s="720" t="s">
        <v>3854</v>
      </c>
      <c r="DV11" s="722" t="s">
        <v>3138</v>
      </c>
      <c r="DW11" s="726"/>
      <c r="DX11" s="726"/>
      <c r="DY11" s="720" t="s">
        <v>3862</v>
      </c>
      <c r="DZ11" s="629" t="s">
        <v>414</v>
      </c>
      <c r="EA11" s="720" t="s">
        <v>3869</v>
      </c>
      <c r="EB11" s="722" t="s">
        <v>3873</v>
      </c>
      <c r="EC11" s="722" t="s">
        <v>3876</v>
      </c>
      <c r="ED11" s="724" t="s">
        <v>3883</v>
      </c>
    </row>
    <row r="12">
      <c r="A12" s="379" t="s">
        <v>274</v>
      </c>
      <c r="B12" s="381" t="s">
        <v>3885</v>
      </c>
      <c r="C12" s="384" t="s">
        <v>127</v>
      </c>
      <c r="D12" s="386" t="s">
        <v>79</v>
      </c>
      <c r="E12" s="389" t="s">
        <v>156</v>
      </c>
      <c r="F12" s="390" t="s">
        <v>3889</v>
      </c>
      <c r="G12" s="381" t="s">
        <v>3081</v>
      </c>
      <c r="H12" s="402" t="s">
        <v>227</v>
      </c>
      <c r="I12" s="547" t="s">
        <v>422</v>
      </c>
      <c r="J12" s="402" t="s">
        <v>3901</v>
      </c>
      <c r="K12" s="402" t="s">
        <v>3904</v>
      </c>
      <c r="L12" s="402" t="s">
        <v>901</v>
      </c>
      <c r="M12" s="406" t="s">
        <v>3909</v>
      </c>
      <c r="N12" s="547" t="s">
        <v>3914</v>
      </c>
      <c r="O12" s="402" t="s">
        <v>3916</v>
      </c>
      <c r="P12" s="406" t="s">
        <v>1656</v>
      </c>
      <c r="Q12" s="547" t="s">
        <v>618</v>
      </c>
      <c r="R12" s="547"/>
      <c r="S12" s="402" t="s">
        <v>2829</v>
      </c>
      <c r="T12" s="402" t="s">
        <v>2710</v>
      </c>
      <c r="U12" s="787" t="s">
        <v>739</v>
      </c>
      <c r="V12" s="402" t="s">
        <v>1897</v>
      </c>
      <c r="W12" s="788"/>
      <c r="X12" s="412" t="s">
        <v>198</v>
      </c>
      <c r="Y12" s="413"/>
      <c r="Z12" s="412" t="s">
        <v>1989</v>
      </c>
      <c r="AA12" s="417" t="s">
        <v>2451</v>
      </c>
      <c r="AB12" s="417" t="s">
        <v>309</v>
      </c>
      <c r="AC12" s="417" t="s">
        <v>3944</v>
      </c>
      <c r="AD12" s="412" t="s">
        <v>1642</v>
      </c>
      <c r="AE12" s="417" t="s">
        <v>1157</v>
      </c>
      <c r="AF12" s="790" t="s">
        <v>1647</v>
      </c>
      <c r="AG12" s="683" t="s">
        <v>3467</v>
      </c>
      <c r="AH12" s="412" t="s">
        <v>3953</v>
      </c>
      <c r="AI12" s="417" t="s">
        <v>3961</v>
      </c>
      <c r="AJ12" s="683" t="s">
        <v>3966</v>
      </c>
      <c r="AK12" s="412" t="s">
        <v>3634</v>
      </c>
      <c r="AL12" s="61"/>
      <c r="AM12" s="427" t="s">
        <v>1471</v>
      </c>
      <c r="AN12" s="571" t="s">
        <v>3687</v>
      </c>
      <c r="AO12" s="427" t="s">
        <v>3733</v>
      </c>
      <c r="AP12" s="571" t="s">
        <v>3982</v>
      </c>
      <c r="AQ12" s="571" t="s">
        <v>3789</v>
      </c>
      <c r="AR12" s="571"/>
      <c r="AS12" s="573" t="s">
        <v>658</v>
      </c>
      <c r="AT12" s="425" t="s">
        <v>3856</v>
      </c>
      <c r="AU12" s="427" t="s">
        <v>2757</v>
      </c>
      <c r="AV12" s="427" t="s">
        <v>419</v>
      </c>
      <c r="AW12" s="427" t="s">
        <v>613</v>
      </c>
      <c r="AX12" s="571" t="s">
        <v>4000</v>
      </c>
      <c r="AY12" s="425" t="s">
        <v>3998</v>
      </c>
      <c r="AZ12" s="571" t="s">
        <v>4003</v>
      </c>
      <c r="BA12" s="571"/>
      <c r="BB12" s="439" t="s">
        <v>4005</v>
      </c>
      <c r="BC12" s="439" t="s">
        <v>4008</v>
      </c>
      <c r="BD12" s="439" t="s">
        <v>430</v>
      </c>
      <c r="BE12" s="439" t="s">
        <v>4011</v>
      </c>
      <c r="BF12" s="439" t="s">
        <v>4015</v>
      </c>
      <c r="BG12" s="589" t="s">
        <v>4018</v>
      </c>
      <c r="BH12" s="589" t="s">
        <v>4019</v>
      </c>
      <c r="BI12" s="439" t="s">
        <v>4020</v>
      </c>
      <c r="BJ12" s="587"/>
      <c r="BK12" s="436" t="s">
        <v>4023</v>
      </c>
      <c r="BL12" s="436" t="s">
        <v>440</v>
      </c>
      <c r="BM12" s="589" t="s">
        <v>471</v>
      </c>
      <c r="BN12" s="436" t="s">
        <v>4026</v>
      </c>
      <c r="BO12" s="439" t="s">
        <v>4028</v>
      </c>
      <c r="BP12" s="439" t="s">
        <v>4030</v>
      </c>
      <c r="BQ12" s="798"/>
      <c r="BR12" s="594" t="s">
        <v>4033</v>
      </c>
      <c r="BS12" s="447" t="s">
        <v>4035</v>
      </c>
      <c r="BT12" s="447" t="s">
        <v>4036</v>
      </c>
      <c r="BU12" s="447" t="s">
        <v>4041</v>
      </c>
      <c r="BV12" s="448" t="s">
        <v>4043</v>
      </c>
      <c r="BW12" s="448" t="s">
        <v>4044</v>
      </c>
      <c r="BX12" s="594" t="s">
        <v>4045</v>
      </c>
      <c r="BY12" s="594" t="s">
        <v>4046</v>
      </c>
      <c r="BZ12" s="594" t="s">
        <v>4047</v>
      </c>
      <c r="CA12" s="448" t="s">
        <v>816</v>
      </c>
      <c r="CB12" s="594" t="s">
        <v>4049</v>
      </c>
      <c r="CC12" s="594" t="s">
        <v>4050</v>
      </c>
      <c r="CD12" s="594" t="s">
        <v>4051</v>
      </c>
      <c r="CE12" s="447" t="s">
        <v>462</v>
      </c>
      <c r="CF12" s="807"/>
      <c r="CG12" s="459" t="s">
        <v>2967</v>
      </c>
      <c r="CH12" s="459" t="s">
        <v>4060</v>
      </c>
      <c r="CI12" s="459" t="s">
        <v>468</v>
      </c>
      <c r="CJ12" s="606" t="s">
        <v>4068</v>
      </c>
      <c r="CK12" s="606"/>
      <c r="CL12" s="811" t="s">
        <v>1406</v>
      </c>
      <c r="CM12" s="606" t="s">
        <v>475</v>
      </c>
      <c r="CN12" s="452" t="s">
        <v>4070</v>
      </c>
      <c r="CO12" s="459" t="s">
        <v>1824</v>
      </c>
      <c r="CP12" s="452" t="s">
        <v>478</v>
      </c>
      <c r="CQ12" s="459" t="s">
        <v>479</v>
      </c>
      <c r="CR12" s="818" t="s">
        <v>4079</v>
      </c>
      <c r="CS12" s="820" t="s">
        <v>3734</v>
      </c>
      <c r="CT12" s="459" t="s">
        <v>4083</v>
      </c>
      <c r="CU12" s="62"/>
      <c r="CV12" s="703" t="s">
        <v>910</v>
      </c>
      <c r="CW12" s="822" t="s">
        <v>823</v>
      </c>
      <c r="CX12" s="823" t="s">
        <v>3944</v>
      </c>
      <c r="CY12" s="703" t="s">
        <v>910</v>
      </c>
      <c r="CZ12" s="703" t="s">
        <v>4088</v>
      </c>
      <c r="DA12" s="466" t="s">
        <v>4089</v>
      </c>
      <c r="DB12" s="703" t="s">
        <v>4092</v>
      </c>
      <c r="DC12" s="466" t="s">
        <v>1621</v>
      </c>
      <c r="DD12" s="823" t="s">
        <v>4096</v>
      </c>
      <c r="DE12" s="466" t="s">
        <v>4098</v>
      </c>
      <c r="DF12" s="825" t="s">
        <v>807</v>
      </c>
      <c r="DG12" s="461" t="s">
        <v>4101</v>
      </c>
      <c r="DH12" s="828"/>
      <c r="DI12" s="475" t="s">
        <v>2829</v>
      </c>
      <c r="DJ12" s="483" t="s">
        <v>3157</v>
      </c>
      <c r="DK12" s="483" t="s">
        <v>793</v>
      </c>
      <c r="DL12" s="707"/>
      <c r="DM12" s="612" t="s">
        <v>477</v>
      </c>
      <c r="DN12" s="707" t="s">
        <v>4110</v>
      </c>
      <c r="DO12" s="483" t="s">
        <v>4111</v>
      </c>
      <c r="DP12" s="483" t="s">
        <v>507</v>
      </c>
      <c r="DQ12" s="483" t="s">
        <v>2399</v>
      </c>
      <c r="DR12" s="475" t="s">
        <v>4113</v>
      </c>
      <c r="DS12" s="475" t="s">
        <v>2835</v>
      </c>
      <c r="DT12" s="483" t="s">
        <v>517</v>
      </c>
      <c r="DU12" s="483" t="s">
        <v>3034</v>
      </c>
      <c r="DV12" s="483" t="s">
        <v>2483</v>
      </c>
      <c r="DW12" s="483" t="s">
        <v>525</v>
      </c>
      <c r="DX12" s="483" t="s">
        <v>526</v>
      </c>
      <c r="DY12" s="471" t="s">
        <v>4120</v>
      </c>
      <c r="DZ12" s="483" t="s">
        <v>4123</v>
      </c>
      <c r="EA12" s="707" t="s">
        <v>4126</v>
      </c>
      <c r="EB12" s="707" t="s">
        <v>4127</v>
      </c>
      <c r="EC12" s="483" t="s">
        <v>4128</v>
      </c>
      <c r="ED12" s="475" t="s">
        <v>4130</v>
      </c>
    </row>
    <row r="13">
      <c r="A13" s="837" t="s">
        <v>65</v>
      </c>
      <c r="B13" s="229" t="s">
        <v>4133</v>
      </c>
      <c r="C13" s="230" t="s">
        <v>2189</v>
      </c>
      <c r="D13" s="231" t="s">
        <v>537</v>
      </c>
      <c r="E13" s="232" t="s">
        <v>261</v>
      </c>
      <c r="F13" s="233" t="s">
        <v>4134</v>
      </c>
      <c r="G13" s="229" t="s">
        <v>3530</v>
      </c>
      <c r="H13" s="242" t="s">
        <v>1767</v>
      </c>
      <c r="I13" s="236" t="s">
        <v>2120</v>
      </c>
      <c r="J13" s="236" t="s">
        <v>4139</v>
      </c>
      <c r="K13" s="242" t="s">
        <v>4141</v>
      </c>
      <c r="L13" s="236" t="s">
        <v>4144</v>
      </c>
      <c r="M13" s="247" t="s">
        <v>4147</v>
      </c>
      <c r="N13" s="838" t="s">
        <v>4148</v>
      </c>
      <c r="O13" s="236" t="s">
        <v>713</v>
      </c>
      <c r="P13" s="236" t="s">
        <v>576</v>
      </c>
      <c r="Q13" s="768"/>
      <c r="R13" s="304"/>
      <c r="S13" s="242" t="s">
        <v>1250</v>
      </c>
      <c r="T13" s="768"/>
      <c r="U13" s="304"/>
      <c r="V13" s="304"/>
      <c r="W13" s="62"/>
      <c r="X13" s="247" t="s">
        <v>4152</v>
      </c>
      <c r="Y13" s="333"/>
      <c r="Z13" s="248" t="s">
        <v>4156</v>
      </c>
      <c r="AA13" s="242" t="s">
        <v>753</v>
      </c>
      <c r="AB13" s="522" t="s">
        <v>4158</v>
      </c>
      <c r="AC13" s="248" t="s">
        <v>4159</v>
      </c>
      <c r="AD13" s="248" t="s">
        <v>4160</v>
      </c>
      <c r="AE13" s="273" t="s">
        <v>4163</v>
      </c>
      <c r="AF13" s="242" t="s">
        <v>1162</v>
      </c>
      <c r="AG13" s="236" t="s">
        <v>3443</v>
      </c>
      <c r="AH13" s="236" t="s">
        <v>4168</v>
      </c>
      <c r="AI13" s="273"/>
      <c r="AJ13" s="242" t="s">
        <v>3836</v>
      </c>
      <c r="AK13" s="304"/>
      <c r="AL13" s="61"/>
      <c r="AM13" s="242" t="s">
        <v>1665</v>
      </c>
      <c r="AN13" s="248" t="s">
        <v>4171</v>
      </c>
      <c r="AO13" s="304"/>
      <c r="AP13" s="242" t="s">
        <v>4173</v>
      </c>
      <c r="AQ13" s="304"/>
      <c r="AR13" s="242" t="s">
        <v>4175</v>
      </c>
      <c r="AS13" s="304"/>
      <c r="AT13" s="304"/>
      <c r="AU13" s="236" t="s">
        <v>1461</v>
      </c>
      <c r="AV13" s="248" t="s">
        <v>1530</v>
      </c>
      <c r="AW13" s="242" t="s">
        <v>1585</v>
      </c>
      <c r="AX13" s="304"/>
      <c r="AY13" s="522" t="s">
        <v>4184</v>
      </c>
      <c r="AZ13" s="304"/>
      <c r="BA13" s="304"/>
      <c r="BB13" s="236" t="s">
        <v>4087</v>
      </c>
      <c r="BC13" s="242" t="s">
        <v>4185</v>
      </c>
      <c r="BD13" s="248" t="s">
        <v>1578</v>
      </c>
      <c r="BE13" s="236" t="s">
        <v>4187</v>
      </c>
      <c r="BF13" s="242" t="s">
        <v>512</v>
      </c>
      <c r="BG13" s="304"/>
      <c r="BH13" s="242" t="s">
        <v>4191</v>
      </c>
      <c r="BI13" s="236" t="s">
        <v>4193</v>
      </c>
      <c r="BJ13" s="248" t="s">
        <v>4194</v>
      </c>
      <c r="BK13" s="236" t="s">
        <v>4196</v>
      </c>
      <c r="BL13" s="236" t="s">
        <v>4198</v>
      </c>
      <c r="BM13" s="304"/>
      <c r="BN13" s="242" t="s">
        <v>1315</v>
      </c>
      <c r="BO13" s="304"/>
      <c r="BP13" s="304"/>
      <c r="BQ13" s="841"/>
      <c r="BR13" s="242" t="s">
        <v>2536</v>
      </c>
      <c r="BS13" s="247" t="s">
        <v>4205</v>
      </c>
      <c r="BT13" s="236" t="s">
        <v>420</v>
      </c>
      <c r="BU13" s="236" t="s">
        <v>818</v>
      </c>
      <c r="BV13" s="247" t="s">
        <v>3512</v>
      </c>
      <c r="BW13" s="248" t="s">
        <v>755</v>
      </c>
      <c r="BX13" s="273" t="s">
        <v>4210</v>
      </c>
      <c r="BY13" s="236" t="s">
        <v>4211</v>
      </c>
      <c r="BZ13" s="236" t="s">
        <v>4046</v>
      </c>
      <c r="CA13" s="236" t="s">
        <v>1491</v>
      </c>
      <c r="CB13" s="304"/>
      <c r="CC13" s="242" t="s">
        <v>1154</v>
      </c>
      <c r="CD13" s="304"/>
      <c r="CE13" s="304"/>
      <c r="CF13" s="841"/>
      <c r="CG13" s="247" t="s">
        <v>4216</v>
      </c>
      <c r="CH13" s="236" t="s">
        <v>4217</v>
      </c>
      <c r="CI13" s="242" t="s">
        <v>4220</v>
      </c>
      <c r="CJ13" s="236" t="s">
        <v>4222</v>
      </c>
      <c r="CK13" s="236" t="s">
        <v>4223</v>
      </c>
      <c r="CL13" s="242" t="s">
        <v>299</v>
      </c>
      <c r="CM13" s="248" t="s">
        <v>4227</v>
      </c>
      <c r="CN13" s="242" t="s">
        <v>4228</v>
      </c>
      <c r="CO13" s="236" t="s">
        <v>4230</v>
      </c>
      <c r="CP13" s="247" t="s">
        <v>4232</v>
      </c>
      <c r="CQ13" s="236" t="s">
        <v>681</v>
      </c>
      <c r="CR13" s="304"/>
      <c r="CS13" s="242" t="s">
        <v>4236</v>
      </c>
      <c r="CT13" s="304"/>
      <c r="CU13" s="62"/>
      <c r="CV13" s="248" t="s">
        <v>4239</v>
      </c>
      <c r="CW13" s="242" t="s">
        <v>1840</v>
      </c>
      <c r="CX13" s="247" t="s">
        <v>4122</v>
      </c>
      <c r="CY13" s="248" t="s">
        <v>4242</v>
      </c>
      <c r="CZ13" s="236" t="s">
        <v>3946</v>
      </c>
      <c r="DA13" s="236" t="s">
        <v>4246</v>
      </c>
      <c r="DB13" s="248" t="s">
        <v>4247</v>
      </c>
      <c r="DC13" s="236" t="s">
        <v>2471</v>
      </c>
      <c r="DD13" s="304"/>
      <c r="DE13" s="304"/>
      <c r="DF13" s="242" t="s">
        <v>4251</v>
      </c>
      <c r="DG13" s="304"/>
      <c r="DH13" s="304"/>
      <c r="DI13" s="247" t="s">
        <v>4253</v>
      </c>
      <c r="DJ13" s="304"/>
      <c r="DK13" s="304"/>
      <c r="DL13" s="273"/>
      <c r="DM13" s="248" t="s">
        <v>477</v>
      </c>
      <c r="DN13" s="273" t="s">
        <v>4260</v>
      </c>
      <c r="DO13" s="248" t="s">
        <v>526</v>
      </c>
      <c r="DP13" s="304"/>
      <c r="DQ13" s="242" t="s">
        <v>4261</v>
      </c>
      <c r="DR13" s="522" t="s">
        <v>4263</v>
      </c>
      <c r="DS13" s="236" t="s">
        <v>1148</v>
      </c>
      <c r="DT13" s="248" t="s">
        <v>4266</v>
      </c>
      <c r="DU13" s="304"/>
      <c r="DV13" s="273" t="s">
        <v>201</v>
      </c>
      <c r="DW13" s="242" t="s">
        <v>509</v>
      </c>
      <c r="DX13" s="304"/>
      <c r="DY13" s="242" t="s">
        <v>926</v>
      </c>
      <c r="DZ13" s="304"/>
      <c r="EA13" s="242" t="s">
        <v>4273</v>
      </c>
      <c r="EB13" s="273" t="s">
        <v>4275</v>
      </c>
      <c r="EC13" s="236" t="s">
        <v>4276</v>
      </c>
      <c r="ED13" s="276" t="s">
        <v>4278</v>
      </c>
    </row>
    <row r="14">
      <c r="A14" s="843" t="s">
        <v>82</v>
      </c>
      <c r="B14" s="381" t="s">
        <v>4280</v>
      </c>
      <c r="C14" s="384" t="s">
        <v>211</v>
      </c>
      <c r="D14" s="386" t="s">
        <v>537</v>
      </c>
      <c r="E14" s="389" t="s">
        <v>79</v>
      </c>
      <c r="F14" s="390" t="s">
        <v>4283</v>
      </c>
      <c r="G14" s="381" t="s">
        <v>3080</v>
      </c>
      <c r="H14" s="406" t="s">
        <v>4284</v>
      </c>
      <c r="I14" s="406" t="s">
        <v>426</v>
      </c>
      <c r="J14" s="406" t="s">
        <v>4287</v>
      </c>
      <c r="K14" s="406" t="s">
        <v>762</v>
      </c>
      <c r="L14" s="406" t="s">
        <v>906</v>
      </c>
      <c r="M14" s="406" t="s">
        <v>4289</v>
      </c>
      <c r="N14" s="845" t="s">
        <v>4290</v>
      </c>
      <c r="O14" s="406" t="s">
        <v>4291</v>
      </c>
      <c r="P14" s="406" t="s">
        <v>2612</v>
      </c>
      <c r="Q14" s="846" t="s">
        <v>4293</v>
      </c>
      <c r="R14" s="547"/>
      <c r="S14" s="848" t="s">
        <v>4295</v>
      </c>
      <c r="T14" s="849"/>
      <c r="U14" s="406" t="s">
        <v>198</v>
      </c>
      <c r="V14" s="850"/>
      <c r="W14" s="62"/>
      <c r="X14" s="417" t="s">
        <v>4297</v>
      </c>
      <c r="Y14" s="421"/>
      <c r="Z14" s="417" t="s">
        <v>1600</v>
      </c>
      <c r="AA14" s="790" t="s">
        <v>4299</v>
      </c>
      <c r="AB14" s="417" t="s">
        <v>4300</v>
      </c>
      <c r="AC14" s="417" t="s">
        <v>2830</v>
      </c>
      <c r="AD14" s="417" t="s">
        <v>4301</v>
      </c>
      <c r="AE14" s="417" t="s">
        <v>4302</v>
      </c>
      <c r="AF14" s="417" t="s">
        <v>2683</v>
      </c>
      <c r="AG14" s="790" t="s">
        <v>623</v>
      </c>
      <c r="AH14" s="417" t="s">
        <v>4305</v>
      </c>
      <c r="AI14" s="852"/>
      <c r="AJ14" s="790" t="s">
        <v>4306</v>
      </c>
      <c r="AK14" s="417" t="s">
        <v>4307</v>
      </c>
      <c r="AL14" s="61"/>
      <c r="AM14" s="576" t="s">
        <v>4310</v>
      </c>
      <c r="AN14" s="576" t="s">
        <v>2079</v>
      </c>
      <c r="AO14" s="855"/>
      <c r="AP14" s="855"/>
      <c r="AQ14" s="855"/>
      <c r="AR14" s="432" t="s">
        <v>4312</v>
      </c>
      <c r="AS14" s="427" t="s">
        <v>4314</v>
      </c>
      <c r="AT14" s="576" t="s">
        <v>4315</v>
      </c>
      <c r="AU14" s="427" t="s">
        <v>4316</v>
      </c>
      <c r="AV14" s="573" t="s">
        <v>4318</v>
      </c>
      <c r="AW14" s="427" t="s">
        <v>4320</v>
      </c>
      <c r="AX14" s="855"/>
      <c r="AY14" s="427" t="s">
        <v>3586</v>
      </c>
      <c r="AZ14" s="855"/>
      <c r="BA14" s="855"/>
      <c r="BB14" s="439" t="s">
        <v>4093</v>
      </c>
      <c r="BC14" s="798" t="s">
        <v>686</v>
      </c>
      <c r="BD14" s="445" t="s">
        <v>1578</v>
      </c>
      <c r="BE14" s="439" t="s">
        <v>4325</v>
      </c>
      <c r="BF14" s="439" t="s">
        <v>1720</v>
      </c>
      <c r="BG14" s="439" t="s">
        <v>4327</v>
      </c>
      <c r="BH14" s="856" t="s">
        <v>4328</v>
      </c>
      <c r="BI14" s="856" t="s">
        <v>4193</v>
      </c>
      <c r="BJ14" s="439" t="s">
        <v>707</v>
      </c>
      <c r="BK14" s="589"/>
      <c r="BL14" s="439" t="s">
        <v>4333</v>
      </c>
      <c r="BM14" s="587"/>
      <c r="BN14" s="439" t="s">
        <v>4335</v>
      </c>
      <c r="BO14" s="445" t="s">
        <v>3541</v>
      </c>
      <c r="BP14" s="587"/>
      <c r="BQ14" s="857"/>
      <c r="BR14" s="448" t="s">
        <v>4338</v>
      </c>
      <c r="BS14" s="448" t="s">
        <v>4341</v>
      </c>
      <c r="BT14" s="448" t="s">
        <v>4342</v>
      </c>
      <c r="BU14" s="448" t="s">
        <v>4343</v>
      </c>
      <c r="BV14" s="858" t="s">
        <v>4344</v>
      </c>
      <c r="BW14" s="448" t="s">
        <v>2262</v>
      </c>
      <c r="BX14" s="448" t="s">
        <v>4348</v>
      </c>
      <c r="BY14" s="448" t="s">
        <v>4350</v>
      </c>
      <c r="BZ14" s="859"/>
      <c r="CA14" s="448" t="s">
        <v>3066</v>
      </c>
      <c r="CB14" s="448" t="s">
        <v>4351</v>
      </c>
      <c r="CC14" s="448" t="s">
        <v>4352</v>
      </c>
      <c r="CD14" s="858" t="s">
        <v>775</v>
      </c>
      <c r="CE14" s="860"/>
      <c r="CF14" s="861"/>
      <c r="CG14" s="452" t="s">
        <v>1231</v>
      </c>
      <c r="CH14" s="459" t="s">
        <v>3573</v>
      </c>
      <c r="CI14" s="459" t="s">
        <v>4357</v>
      </c>
      <c r="CJ14" s="459" t="s">
        <v>4359</v>
      </c>
      <c r="CK14" s="460"/>
      <c r="CL14" s="818" t="s">
        <v>4361</v>
      </c>
      <c r="CM14" s="459" t="s">
        <v>4363</v>
      </c>
      <c r="CN14" s="459" t="s">
        <v>4365</v>
      </c>
      <c r="CO14" s="820" t="s">
        <v>160</v>
      </c>
      <c r="CP14" s="863"/>
      <c r="CQ14" s="459" t="s">
        <v>4370</v>
      </c>
      <c r="CR14" s="863"/>
      <c r="CS14" s="863"/>
      <c r="CT14" s="863"/>
      <c r="CU14" s="62"/>
      <c r="CV14" s="825" t="s">
        <v>3646</v>
      </c>
      <c r="CW14" s="466" t="s">
        <v>2991</v>
      </c>
      <c r="CX14" s="466" t="s">
        <v>4373</v>
      </c>
      <c r="CY14" s="466" t="s">
        <v>4374</v>
      </c>
      <c r="CZ14" s="466" t="s">
        <v>4375</v>
      </c>
      <c r="DA14" s="466" t="s">
        <v>4377</v>
      </c>
      <c r="DB14" s="466" t="s">
        <v>4378</v>
      </c>
      <c r="DC14" s="466" t="s">
        <v>4379</v>
      </c>
      <c r="DD14" s="462" t="s">
        <v>4381</v>
      </c>
      <c r="DE14" s="864"/>
      <c r="DF14" s="865"/>
      <c r="DG14" s="466" t="s">
        <v>4382</v>
      </c>
      <c r="DH14" s="470"/>
      <c r="DI14" s="483" t="s">
        <v>4385</v>
      </c>
      <c r="DJ14" s="866"/>
      <c r="DK14" s="866"/>
      <c r="DL14" s="866"/>
      <c r="DM14" s="612" t="s">
        <v>477</v>
      </c>
      <c r="DN14" s="483" t="s">
        <v>4389</v>
      </c>
      <c r="DO14" s="866"/>
      <c r="DP14" s="866"/>
      <c r="DQ14" s="866"/>
      <c r="DR14" s="612" t="s">
        <v>4391</v>
      </c>
      <c r="DS14" s="612" t="s">
        <v>4393</v>
      </c>
      <c r="DT14" s="471" t="s">
        <v>4394</v>
      </c>
      <c r="DU14" s="483" t="s">
        <v>4395</v>
      </c>
      <c r="DV14" s="866"/>
      <c r="DW14" s="483" t="s">
        <v>4396</v>
      </c>
      <c r="DX14" s="866"/>
      <c r="DY14" s="612" t="s">
        <v>1530</v>
      </c>
      <c r="DZ14" s="618" t="s">
        <v>933</v>
      </c>
      <c r="EA14" s="867"/>
      <c r="EB14" s="471" t="s">
        <v>1851</v>
      </c>
      <c r="EC14" s="483" t="s">
        <v>3073</v>
      </c>
      <c r="ED14" s="475" t="s">
        <v>179</v>
      </c>
    </row>
    <row r="15">
      <c r="A15" s="869" t="s">
        <v>332</v>
      </c>
      <c r="B15" s="229" t="s">
        <v>4402</v>
      </c>
      <c r="C15" s="230" t="s">
        <v>76</v>
      </c>
      <c r="D15" s="231" t="s">
        <v>156</v>
      </c>
      <c r="E15" s="232" t="s">
        <v>127</v>
      </c>
      <c r="F15" s="233" t="s">
        <v>4403</v>
      </c>
      <c r="G15" s="229" t="s">
        <v>4404</v>
      </c>
      <c r="H15" s="301" t="s">
        <v>773</v>
      </c>
      <c r="I15" s="301" t="s">
        <v>4406</v>
      </c>
      <c r="J15" s="242" t="s">
        <v>4407</v>
      </c>
      <c r="K15" s="242" t="s">
        <v>768</v>
      </c>
      <c r="L15" s="242" t="s">
        <v>4409</v>
      </c>
      <c r="M15" s="242" t="s">
        <v>4410</v>
      </c>
      <c r="N15" s="301" t="s">
        <v>4414</v>
      </c>
      <c r="O15" s="273" t="s">
        <v>1481</v>
      </c>
      <c r="P15" s="242" t="s">
        <v>2612</v>
      </c>
      <c r="Q15" s="248" t="s">
        <v>1726</v>
      </c>
      <c r="R15" s="768"/>
      <c r="S15" s="242" t="s">
        <v>2148</v>
      </c>
      <c r="T15" s="247" t="s">
        <v>4399</v>
      </c>
      <c r="U15" s="301" t="str">
        <f>HYPERLINK("https://www.youtube.com/watch?v=GZFbEGnFzbQ","51.24")</f>
        <v>51.24</v>
      </c>
      <c r="V15" s="273" t="s">
        <v>4418</v>
      </c>
      <c r="W15" s="410"/>
      <c r="X15" s="242" t="s">
        <v>550</v>
      </c>
      <c r="Y15" s="333"/>
      <c r="Z15" s="242" t="s">
        <v>4419</v>
      </c>
      <c r="AA15" s="301" t="s">
        <v>4420</v>
      </c>
      <c r="AB15" s="273" t="s">
        <v>4421</v>
      </c>
      <c r="AC15" s="242" t="s">
        <v>2234</v>
      </c>
      <c r="AD15" s="242" t="s">
        <v>4422</v>
      </c>
      <c r="AE15" s="242" t="s">
        <v>4423</v>
      </c>
      <c r="AF15" s="242" t="s">
        <v>1162</v>
      </c>
      <c r="AG15" s="242" t="s">
        <v>217</v>
      </c>
      <c r="AH15" s="273" t="s">
        <v>4425</v>
      </c>
      <c r="AI15" s="273"/>
      <c r="AJ15" s="242" t="s">
        <v>4426</v>
      </c>
      <c r="AK15" s="242" t="s">
        <v>4428</v>
      </c>
      <c r="AL15" s="61"/>
      <c r="AM15" s="242" t="s">
        <v>4429</v>
      </c>
      <c r="AN15" s="242" t="s">
        <v>2043</v>
      </c>
      <c r="AO15" s="242" t="s">
        <v>4430</v>
      </c>
      <c r="AP15" s="236" t="s">
        <v>4431</v>
      </c>
      <c r="AQ15" s="248" t="s">
        <v>4433</v>
      </c>
      <c r="AR15" s="242" t="s">
        <v>3022</v>
      </c>
      <c r="AS15" s="301" t="str">
        <f>HYPERLINK("https://www.youtube.com/watch?v=TJzWG_MCKOU","8.81")</f>
        <v>8.81</v>
      </c>
      <c r="AT15" s="301" t="str">
        <f>HYPERLINK("https://www.youtube.com/watch?v=smL2OgYrZfY","55.51")</f>
        <v>55.51</v>
      </c>
      <c r="AU15" s="242" t="s">
        <v>1235</v>
      </c>
      <c r="AV15" s="242" t="s">
        <v>4089</v>
      </c>
      <c r="AW15" s="242" t="s">
        <v>4320</v>
      </c>
      <c r="AX15" s="333"/>
      <c r="AY15" s="242" t="s">
        <v>1238</v>
      </c>
      <c r="AZ15" s="304"/>
      <c r="BA15" s="304"/>
      <c r="BB15" s="273" t="s">
        <v>568</v>
      </c>
      <c r="BC15" s="301" t="s">
        <v>1869</v>
      </c>
      <c r="BD15" s="242" t="s">
        <v>1274</v>
      </c>
      <c r="BE15" s="301" t="s">
        <v>4442</v>
      </c>
      <c r="BF15" s="242" t="s">
        <v>4443</v>
      </c>
      <c r="BG15" s="242" t="s">
        <v>4445</v>
      </c>
      <c r="BH15" s="304"/>
      <c r="BI15" s="242" t="s">
        <v>86</v>
      </c>
      <c r="BJ15" s="304"/>
      <c r="BK15" s="242" t="s">
        <v>4447</v>
      </c>
      <c r="BL15" s="242" t="s">
        <v>3746</v>
      </c>
      <c r="BM15" s="304"/>
      <c r="BN15" s="242" t="s">
        <v>3752</v>
      </c>
      <c r="BO15" s="242" t="s">
        <v>4450</v>
      </c>
      <c r="BP15" s="273" t="s">
        <v>2512</v>
      </c>
      <c r="BQ15" s="273"/>
      <c r="BR15" s="242" t="s">
        <v>4450</v>
      </c>
      <c r="BS15" s="242" t="s">
        <v>448</v>
      </c>
      <c r="BT15" s="242" t="s">
        <v>4451</v>
      </c>
      <c r="BU15" s="242" t="s">
        <v>2199</v>
      </c>
      <c r="BV15" s="242" t="s">
        <v>451</v>
      </c>
      <c r="BW15" s="242" t="s">
        <v>4458</v>
      </c>
      <c r="BX15" s="247" t="s">
        <v>4460</v>
      </c>
      <c r="BY15" s="242" t="s">
        <v>4463</v>
      </c>
      <c r="BZ15" s="242" t="s">
        <v>4465</v>
      </c>
      <c r="CA15" s="301" t="s">
        <v>4468</v>
      </c>
      <c r="CB15" s="242" t="s">
        <v>4470</v>
      </c>
      <c r="CC15" s="242" t="s">
        <v>4471</v>
      </c>
      <c r="CD15" s="242" t="s">
        <v>843</v>
      </c>
      <c r="CE15" s="273" t="s">
        <v>4473</v>
      </c>
      <c r="CF15" s="312"/>
      <c r="CG15" s="242" t="s">
        <v>4475</v>
      </c>
      <c r="CH15" s="242" t="s">
        <v>4476</v>
      </c>
      <c r="CI15" s="301" t="str">
        <f>HYPERLINK("https://www.youtube.com/watch?v=QruUacvahtM&amp;feature=youtu.be","32.70")</f>
        <v>32.70</v>
      </c>
      <c r="CJ15" s="242" t="s">
        <v>470</v>
      </c>
      <c r="CK15" s="333"/>
      <c r="CL15" s="242" t="s">
        <v>4478</v>
      </c>
      <c r="CM15" s="885" t="s">
        <v>4479</v>
      </c>
      <c r="CN15" s="242" t="s">
        <v>1916</v>
      </c>
      <c r="CO15" s="242" t="s">
        <v>1824</v>
      </c>
      <c r="CP15" s="242" t="s">
        <v>478</v>
      </c>
      <c r="CQ15" s="242" t="s">
        <v>1581</v>
      </c>
      <c r="CR15" s="304"/>
      <c r="CS15" s="304"/>
      <c r="CT15" s="301" t="s">
        <v>4486</v>
      </c>
      <c r="CU15" s="62"/>
      <c r="CV15" s="242" t="s">
        <v>4491</v>
      </c>
      <c r="CW15" s="301" t="str">
        <f>HYPERLINK("https://www.youtube.com/watch?v=SeVl832TS18&amp;feature=youtu.be","12.57")</f>
        <v>12.57</v>
      </c>
      <c r="CX15" s="273" t="s">
        <v>1398</v>
      </c>
      <c r="CY15" s="242" t="s">
        <v>3411</v>
      </c>
      <c r="CZ15" s="301" t="s">
        <v>4078</v>
      </c>
      <c r="DA15" s="242" t="s">
        <v>4493</v>
      </c>
      <c r="DB15" s="301" t="s">
        <v>4495</v>
      </c>
      <c r="DC15" s="273" t="s">
        <v>4496</v>
      </c>
      <c r="DD15" s="304"/>
      <c r="DE15" s="242" t="s">
        <v>3011</v>
      </c>
      <c r="DF15" s="304"/>
      <c r="DG15" s="301" t="s">
        <v>4498</v>
      </c>
      <c r="DH15" s="274"/>
      <c r="DI15" s="242" t="s">
        <v>502</v>
      </c>
      <c r="DJ15" s="242" t="s">
        <v>4499</v>
      </c>
      <c r="DK15" s="304"/>
      <c r="DL15" s="333"/>
      <c r="DM15" s="248" t="s">
        <v>477</v>
      </c>
      <c r="DN15" s="242" t="s">
        <v>2879</v>
      </c>
      <c r="DO15" s="242" t="s">
        <v>4502</v>
      </c>
      <c r="DP15" s="242" t="s">
        <v>4503</v>
      </c>
      <c r="DQ15" s="304"/>
      <c r="DR15" s="301" t="s">
        <v>4506</v>
      </c>
      <c r="DS15" s="301" t="s">
        <v>3850</v>
      </c>
      <c r="DT15" s="242" t="s">
        <v>4508</v>
      </c>
      <c r="DU15" s="242" t="s">
        <v>4509</v>
      </c>
      <c r="DV15" s="273" t="s">
        <v>4511</v>
      </c>
      <c r="DW15" s="301" t="s">
        <v>525</v>
      </c>
      <c r="DX15" s="304"/>
      <c r="DY15" s="242" t="s">
        <v>4512</v>
      </c>
      <c r="DZ15" s="304"/>
      <c r="EA15" s="304"/>
      <c r="EB15" s="242" t="s">
        <v>4514</v>
      </c>
      <c r="EC15" s="242" t="s">
        <v>532</v>
      </c>
      <c r="ED15" s="301" t="s">
        <v>179</v>
      </c>
    </row>
    <row r="16">
      <c r="A16" s="545" t="s">
        <v>107</v>
      </c>
      <c r="B16" s="381" t="s">
        <v>4515</v>
      </c>
      <c r="C16" s="384" t="s">
        <v>191</v>
      </c>
      <c r="D16" s="386" t="s">
        <v>261</v>
      </c>
      <c r="E16" s="389" t="s">
        <v>79</v>
      </c>
      <c r="F16" s="390" t="s">
        <v>4516</v>
      </c>
      <c r="G16" s="381" t="s">
        <v>4516</v>
      </c>
      <c r="H16" s="406" t="s">
        <v>4517</v>
      </c>
      <c r="I16" s="406" t="s">
        <v>4518</v>
      </c>
      <c r="J16" s="406" t="s">
        <v>4519</v>
      </c>
      <c r="K16" s="406" t="s">
        <v>4141</v>
      </c>
      <c r="L16" s="406" t="s">
        <v>901</v>
      </c>
      <c r="M16" s="406" t="s">
        <v>4523</v>
      </c>
      <c r="N16" s="406" t="s">
        <v>2407</v>
      </c>
      <c r="O16" s="406" t="s">
        <v>4527</v>
      </c>
      <c r="P16" s="406" t="s">
        <v>2612</v>
      </c>
      <c r="Q16" s="547"/>
      <c r="R16" s="547"/>
      <c r="S16" s="892" t="s">
        <v>4530</v>
      </c>
      <c r="T16" s="849"/>
      <c r="U16" s="848" t="s">
        <v>1793</v>
      </c>
      <c r="V16" s="849"/>
      <c r="W16" s="62"/>
      <c r="X16" s="417" t="s">
        <v>4534</v>
      </c>
      <c r="Y16" s="421"/>
      <c r="Z16" s="417" t="s">
        <v>2339</v>
      </c>
      <c r="AA16" s="417" t="s">
        <v>2452</v>
      </c>
      <c r="AB16" s="417" t="s">
        <v>4538</v>
      </c>
      <c r="AC16" s="417" t="s">
        <v>1635</v>
      </c>
      <c r="AD16" s="417" t="s">
        <v>2308</v>
      </c>
      <c r="AE16" s="417" t="s">
        <v>4542</v>
      </c>
      <c r="AF16" s="417" t="s">
        <v>4544</v>
      </c>
      <c r="AG16" s="417" t="s">
        <v>217</v>
      </c>
      <c r="AH16" s="852"/>
      <c r="AI16" s="852"/>
      <c r="AJ16" s="852"/>
      <c r="AK16" s="852"/>
      <c r="AL16" s="61"/>
      <c r="AM16" s="427" t="s">
        <v>4545</v>
      </c>
      <c r="AN16" s="427" t="s">
        <v>902</v>
      </c>
      <c r="AO16" s="855"/>
      <c r="AP16" s="432" t="s">
        <v>4549</v>
      </c>
      <c r="AQ16" s="855"/>
      <c r="AR16" s="855"/>
      <c r="AS16" s="427" t="s">
        <v>4553</v>
      </c>
      <c r="AT16" s="855"/>
      <c r="AU16" s="427" t="s">
        <v>458</v>
      </c>
      <c r="AV16" s="427" t="s">
        <v>4554</v>
      </c>
      <c r="AW16" s="576" t="s">
        <v>1578</v>
      </c>
      <c r="AX16" s="855"/>
      <c r="AY16" s="576" t="s">
        <v>4118</v>
      </c>
      <c r="AZ16" s="897"/>
      <c r="BA16" s="855"/>
      <c r="BB16" s="445" t="s">
        <v>4557</v>
      </c>
      <c r="BC16" s="856" t="s">
        <v>4558</v>
      </c>
      <c r="BD16" s="856" t="s">
        <v>4560</v>
      </c>
      <c r="BE16" s="439" t="s">
        <v>1279</v>
      </c>
      <c r="BF16" s="798" t="s">
        <v>4561</v>
      </c>
      <c r="BG16" s="445" t="s">
        <v>4562</v>
      </c>
      <c r="BH16" s="445" t="s">
        <v>4563</v>
      </c>
      <c r="BI16" s="856" t="s">
        <v>4193</v>
      </c>
      <c r="BJ16" s="798" t="s">
        <v>4567</v>
      </c>
      <c r="BK16" s="439" t="s">
        <v>4570</v>
      </c>
      <c r="BL16" s="439" t="s">
        <v>4571</v>
      </c>
      <c r="BM16" s="445" t="s">
        <v>4573</v>
      </c>
      <c r="BN16" s="856" t="s">
        <v>724</v>
      </c>
      <c r="BO16" s="798" t="s">
        <v>4575</v>
      </c>
      <c r="BP16" s="445" t="s">
        <v>4578</v>
      </c>
      <c r="BQ16" s="857"/>
      <c r="BR16" s="448" t="s">
        <v>4579</v>
      </c>
      <c r="BS16" s="448" t="s">
        <v>1727</v>
      </c>
      <c r="BT16" s="448" t="s">
        <v>4581</v>
      </c>
      <c r="BU16" s="448" t="s">
        <v>4041</v>
      </c>
      <c r="BV16" s="448" t="s">
        <v>4584</v>
      </c>
      <c r="BW16" s="448" t="s">
        <v>3686</v>
      </c>
      <c r="BX16" s="448" t="s">
        <v>4585</v>
      </c>
      <c r="BY16" s="448" t="s">
        <v>4586</v>
      </c>
      <c r="BZ16" s="448" t="s">
        <v>4587</v>
      </c>
      <c r="CA16" s="448" t="s">
        <v>457</v>
      </c>
      <c r="CB16" s="903" t="s">
        <v>4590</v>
      </c>
      <c r="CC16" s="903" t="s">
        <v>4592</v>
      </c>
      <c r="CD16" s="448" t="s">
        <v>2238</v>
      </c>
      <c r="CE16" s="859"/>
      <c r="CF16" s="861"/>
      <c r="CG16" s="459" t="s">
        <v>1231</v>
      </c>
      <c r="CH16" s="459" t="s">
        <v>616</v>
      </c>
      <c r="CI16" s="459" t="s">
        <v>4595</v>
      </c>
      <c r="CJ16" s="459" t="s">
        <v>4597</v>
      </c>
      <c r="CK16" s="904"/>
      <c r="CL16" s="459" t="s">
        <v>114</v>
      </c>
      <c r="CM16" s="459" t="s">
        <v>4601</v>
      </c>
      <c r="CN16" s="459" t="s">
        <v>1578</v>
      </c>
      <c r="CO16" s="459" t="s">
        <v>4604</v>
      </c>
      <c r="CP16" s="863"/>
      <c r="CQ16" s="459" t="s">
        <v>4605</v>
      </c>
      <c r="CR16" s="863"/>
      <c r="CS16" s="863"/>
      <c r="CT16" s="863"/>
      <c r="CU16" s="62"/>
      <c r="CV16" s="466" t="s">
        <v>2012</v>
      </c>
      <c r="CW16" s="466" t="s">
        <v>487</v>
      </c>
      <c r="CX16" s="466" t="s">
        <v>4605</v>
      </c>
      <c r="CY16" s="466" t="s">
        <v>867</v>
      </c>
      <c r="CZ16" s="466" t="s">
        <v>4584</v>
      </c>
      <c r="DA16" s="466" t="s">
        <v>1534</v>
      </c>
      <c r="DB16" s="466" t="s">
        <v>4611</v>
      </c>
      <c r="DC16" s="466" t="s">
        <v>2487</v>
      </c>
      <c r="DD16" s="864"/>
      <c r="DE16" s="864"/>
      <c r="DF16" s="864"/>
      <c r="DG16" s="864"/>
      <c r="DH16" s="864"/>
      <c r="DI16" s="471" t="s">
        <v>881</v>
      </c>
      <c r="DJ16" s="866"/>
      <c r="DK16" s="905"/>
      <c r="DL16" s="707"/>
      <c r="DM16" s="612" t="s">
        <v>477</v>
      </c>
      <c r="DN16" s="866"/>
      <c r="DO16" s="483" t="s">
        <v>2199</v>
      </c>
      <c r="DP16" s="866"/>
      <c r="DQ16" s="710"/>
      <c r="DR16" s="483" t="s">
        <v>4615</v>
      </c>
      <c r="DS16" s="483" t="s">
        <v>515</v>
      </c>
      <c r="DT16" s="483" t="s">
        <v>2264</v>
      </c>
      <c r="DU16" s="866"/>
      <c r="DV16" s="866"/>
      <c r="DW16" s="471" t="s">
        <v>4618</v>
      </c>
      <c r="DX16" s="866"/>
      <c r="DY16" s="866"/>
      <c r="DZ16" s="483" t="s">
        <v>4243</v>
      </c>
      <c r="EA16" s="483" t="s">
        <v>2504</v>
      </c>
      <c r="EB16" s="866"/>
      <c r="EC16" s="866"/>
      <c r="ED16" s="475" t="s">
        <v>4622</v>
      </c>
    </row>
    <row r="17">
      <c r="A17" s="906" t="s">
        <v>4624</v>
      </c>
      <c r="B17" s="229" t="s">
        <v>4626</v>
      </c>
      <c r="C17" s="230" t="s">
        <v>155</v>
      </c>
      <c r="D17" s="231" t="s">
        <v>79</v>
      </c>
      <c r="E17" s="232" t="s">
        <v>156</v>
      </c>
      <c r="F17" s="233" t="s">
        <v>543</v>
      </c>
      <c r="G17" s="229" t="s">
        <v>1568</v>
      </c>
      <c r="H17" s="301" t="s">
        <v>208</v>
      </c>
      <c r="I17" s="301" t="s">
        <v>386</v>
      </c>
      <c r="J17" s="301" t="s">
        <v>688</v>
      </c>
      <c r="K17" s="301" t="s">
        <v>771</v>
      </c>
      <c r="L17" s="242" t="s">
        <v>891</v>
      </c>
      <c r="M17" s="908" t="s">
        <v>4631</v>
      </c>
      <c r="N17" s="242" t="s">
        <v>1204</v>
      </c>
      <c r="O17" s="301" t="s">
        <v>4633</v>
      </c>
      <c r="P17" s="301" t="s">
        <v>1652</v>
      </c>
      <c r="Q17" s="242" t="s">
        <v>3346</v>
      </c>
      <c r="R17" s="242" t="s">
        <v>4635</v>
      </c>
      <c r="S17" s="242" t="s">
        <v>1498</v>
      </c>
      <c r="T17" s="248" t="s">
        <v>3636</v>
      </c>
      <c r="U17" s="242" t="s">
        <v>198</v>
      </c>
      <c r="V17" s="242" t="s">
        <v>1893</v>
      </c>
      <c r="W17" s="62"/>
      <c r="X17" s="301" t="s">
        <v>1999</v>
      </c>
      <c r="Y17" s="274"/>
      <c r="Z17" s="301" t="s">
        <v>4640</v>
      </c>
      <c r="AA17" s="301" t="s">
        <v>2445</v>
      </c>
      <c r="AB17" s="242" t="s">
        <v>2368</v>
      </c>
      <c r="AC17" s="242" t="s">
        <v>2780</v>
      </c>
      <c r="AD17" s="301" t="s">
        <v>397</v>
      </c>
      <c r="AE17" s="301" t="s">
        <v>4646</v>
      </c>
      <c r="AF17" s="301" t="s">
        <v>3214</v>
      </c>
      <c r="AG17" s="301" t="s">
        <v>401</v>
      </c>
      <c r="AH17" s="242" t="s">
        <v>402</v>
      </c>
      <c r="AI17" s="242" t="s">
        <v>403</v>
      </c>
      <c r="AJ17" s="242" t="s">
        <v>1276</v>
      </c>
      <c r="AK17" s="242" t="s">
        <v>3629</v>
      </c>
      <c r="AL17" s="61"/>
      <c r="AM17" s="242" t="s">
        <v>1735</v>
      </c>
      <c r="AN17" s="242" t="s">
        <v>3385</v>
      </c>
      <c r="AO17" s="242" t="s">
        <v>411</v>
      </c>
      <c r="AP17" s="242" t="s">
        <v>2275</v>
      </c>
      <c r="AQ17" s="242" t="s">
        <v>4652</v>
      </c>
      <c r="AR17" s="242" t="s">
        <v>4654</v>
      </c>
      <c r="AS17" s="301" t="s">
        <v>415</v>
      </c>
      <c r="AT17" s="242" t="s">
        <v>3851</v>
      </c>
      <c r="AU17" s="242" t="s">
        <v>1685</v>
      </c>
      <c r="AV17" s="242" t="s">
        <v>4657</v>
      </c>
      <c r="AW17" s="242" t="s">
        <v>2822</v>
      </c>
      <c r="AX17" s="242" t="s">
        <v>4658</v>
      </c>
      <c r="AY17" s="242" t="s">
        <v>382</v>
      </c>
      <c r="AZ17" s="242" t="s">
        <v>4660</v>
      </c>
      <c r="BA17" s="304"/>
      <c r="BB17" s="911" t="s">
        <v>4090</v>
      </c>
      <c r="BC17" s="720" t="s">
        <v>4114</v>
      </c>
      <c r="BD17" s="720" t="s">
        <v>1274</v>
      </c>
      <c r="BE17" s="911" t="s">
        <v>4169</v>
      </c>
      <c r="BF17" s="720" t="s">
        <v>267</v>
      </c>
      <c r="BG17" s="911" t="s">
        <v>4206</v>
      </c>
      <c r="BH17" s="911" t="s">
        <v>2069</v>
      </c>
      <c r="BI17" s="720" t="s">
        <v>1688</v>
      </c>
      <c r="BJ17" s="911" t="s">
        <v>4286</v>
      </c>
      <c r="BK17" s="912"/>
      <c r="BL17" s="911" t="s">
        <v>440</v>
      </c>
      <c r="BM17" s="507" t="s">
        <v>4400</v>
      </c>
      <c r="BN17" s="911" t="s">
        <v>1323</v>
      </c>
      <c r="BO17" s="911" t="s">
        <v>2100</v>
      </c>
      <c r="BP17" s="911" t="s">
        <v>4448</v>
      </c>
      <c r="BQ17" s="841"/>
      <c r="BR17" s="301" t="s">
        <v>1144</v>
      </c>
      <c r="BS17" s="242" t="s">
        <v>256</v>
      </c>
      <c r="BT17" s="242" t="s">
        <v>1164</v>
      </c>
      <c r="BU17" s="242" t="s">
        <v>2372</v>
      </c>
      <c r="BV17" s="242" t="s">
        <v>4656</v>
      </c>
      <c r="BW17" s="242" t="s">
        <v>4682</v>
      </c>
      <c r="BX17" s="242" t="s">
        <v>4683</v>
      </c>
      <c r="BY17" s="301" t="s">
        <v>4685</v>
      </c>
      <c r="BZ17" s="304"/>
      <c r="CA17" s="242" t="s">
        <v>4689</v>
      </c>
      <c r="CB17" s="242" t="s">
        <v>4691</v>
      </c>
      <c r="CC17" s="242" t="s">
        <v>4694</v>
      </c>
      <c r="CD17" s="242" t="s">
        <v>461</v>
      </c>
      <c r="CE17" s="242" t="s">
        <v>4695</v>
      </c>
      <c r="CF17" s="841"/>
      <c r="CG17" s="242" t="s">
        <v>2607</v>
      </c>
      <c r="CH17" s="242" t="s">
        <v>4697</v>
      </c>
      <c r="CI17" s="242" t="s">
        <v>4699</v>
      </c>
      <c r="CJ17" s="242" t="s">
        <v>4700</v>
      </c>
      <c r="CK17" s="333"/>
      <c r="CL17" s="242" t="s">
        <v>487</v>
      </c>
      <c r="CM17" s="242" t="s">
        <v>4701</v>
      </c>
      <c r="CN17" s="242" t="s">
        <v>1585</v>
      </c>
      <c r="CO17" s="242" t="s">
        <v>3416</v>
      </c>
      <c r="CP17" s="242" t="s">
        <v>1112</v>
      </c>
      <c r="CQ17" s="242" t="s">
        <v>2987</v>
      </c>
      <c r="CR17" s="247" t="s">
        <v>4702</v>
      </c>
      <c r="CS17" s="242" t="s">
        <v>1311</v>
      </c>
      <c r="CT17" s="242" t="s">
        <v>4706</v>
      </c>
      <c r="CU17" s="62"/>
      <c r="CV17" s="242" t="s">
        <v>4709</v>
      </c>
      <c r="CW17" s="242" t="s">
        <v>4339</v>
      </c>
      <c r="CX17" s="242" t="s">
        <v>4711</v>
      </c>
      <c r="CY17" s="242" t="s">
        <v>4712</v>
      </c>
      <c r="CZ17" s="242" t="s">
        <v>4199</v>
      </c>
      <c r="DA17" s="242" t="s">
        <v>4716</v>
      </c>
      <c r="DB17" s="242" t="s">
        <v>4719</v>
      </c>
      <c r="DC17" s="248" t="s">
        <v>845</v>
      </c>
      <c r="DD17" s="242" t="s">
        <v>4721</v>
      </c>
      <c r="DE17" s="242" t="s">
        <v>4722</v>
      </c>
      <c r="DF17" s="242" t="s">
        <v>3999</v>
      </c>
      <c r="DG17" s="242" t="s">
        <v>4724</v>
      </c>
      <c r="DH17" s="304"/>
      <c r="DI17" s="242" t="s">
        <v>4726</v>
      </c>
      <c r="DJ17" s="247" t="s">
        <v>2821</v>
      </c>
      <c r="DK17" s="242" t="s">
        <v>504</v>
      </c>
      <c r="DL17" s="242" t="s">
        <v>4199</v>
      </c>
      <c r="DM17" s="248" t="s">
        <v>477</v>
      </c>
      <c r="DN17" s="242" t="s">
        <v>2963</v>
      </c>
      <c r="DO17" s="242" t="s">
        <v>1101</v>
      </c>
      <c r="DP17" s="242" t="s">
        <v>4730</v>
      </c>
      <c r="DQ17" s="242" t="s">
        <v>4731</v>
      </c>
      <c r="DR17" s="242" t="s">
        <v>857</v>
      </c>
      <c r="DS17" s="301" t="s">
        <v>4735</v>
      </c>
      <c r="DT17" s="242" t="s">
        <v>3329</v>
      </c>
      <c r="DU17" s="242" t="s">
        <v>807</v>
      </c>
      <c r="DV17" s="242" t="s">
        <v>4738</v>
      </c>
      <c r="DW17" s="242" t="s">
        <v>4740</v>
      </c>
      <c r="DX17" s="248" t="s">
        <v>4741</v>
      </c>
      <c r="DY17" s="242" t="s">
        <v>4318</v>
      </c>
      <c r="DZ17" s="242" t="s">
        <v>529</v>
      </c>
      <c r="EA17" s="247" t="s">
        <v>4743</v>
      </c>
      <c r="EB17" s="242" t="s">
        <v>4744</v>
      </c>
      <c r="EC17" s="242" t="s">
        <v>4746</v>
      </c>
      <c r="ED17" s="301" t="s">
        <v>365</v>
      </c>
    </row>
    <row r="18">
      <c r="A18" s="916" t="s">
        <v>4750</v>
      </c>
      <c r="B18" s="381" t="s">
        <v>4751</v>
      </c>
      <c r="C18" s="384" t="s">
        <v>127</v>
      </c>
      <c r="D18" s="386" t="s">
        <v>156</v>
      </c>
      <c r="E18" s="389" t="s">
        <v>191</v>
      </c>
      <c r="F18" s="390" t="s">
        <v>1059</v>
      </c>
      <c r="G18" s="381" t="s">
        <v>4752</v>
      </c>
      <c r="H18" s="892" t="s">
        <v>390</v>
      </c>
      <c r="I18" s="406" t="s">
        <v>369</v>
      </c>
      <c r="J18" s="406" t="s">
        <v>4755</v>
      </c>
      <c r="K18" s="406" t="s">
        <v>371</v>
      </c>
      <c r="L18" s="406" t="s">
        <v>4409</v>
      </c>
      <c r="M18" s="406" t="s">
        <v>4761</v>
      </c>
      <c r="N18" s="406" t="s">
        <v>1196</v>
      </c>
      <c r="O18" s="406" t="s">
        <v>1710</v>
      </c>
      <c r="P18" s="406" t="s">
        <v>2612</v>
      </c>
      <c r="Q18" s="849"/>
      <c r="R18" s="547"/>
      <c r="S18" s="406" t="s">
        <v>749</v>
      </c>
      <c r="T18" s="547"/>
      <c r="U18" s="406" t="s">
        <v>198</v>
      </c>
      <c r="V18" s="406" t="s">
        <v>4766</v>
      </c>
      <c r="W18" s="62"/>
      <c r="X18" s="417" t="s">
        <v>4767</v>
      </c>
      <c r="Y18" s="919"/>
      <c r="Z18" s="417" t="s">
        <v>392</v>
      </c>
      <c r="AA18" s="417" t="s">
        <v>393</v>
      </c>
      <c r="AB18" s="417" t="s">
        <v>2679</v>
      </c>
      <c r="AC18" s="417" t="s">
        <v>4393</v>
      </c>
      <c r="AD18" s="417" t="s">
        <v>4774</v>
      </c>
      <c r="AE18" s="417" t="s">
        <v>4778</v>
      </c>
      <c r="AF18" s="417" t="s">
        <v>3621</v>
      </c>
      <c r="AG18" s="417" t="s">
        <v>217</v>
      </c>
      <c r="AH18" s="417" t="s">
        <v>4782</v>
      </c>
      <c r="AI18" s="852"/>
      <c r="AJ18" s="417" t="s">
        <v>4783</v>
      </c>
      <c r="AK18" s="680" t="s">
        <v>4786</v>
      </c>
      <c r="AL18" s="61"/>
      <c r="AM18" s="432" t="s">
        <v>4789</v>
      </c>
      <c r="AN18" s="427" t="s">
        <v>2058</v>
      </c>
      <c r="AO18" s="573" t="s">
        <v>4791</v>
      </c>
      <c r="AP18" s="573" t="s">
        <v>4792</v>
      </c>
      <c r="AQ18" s="855"/>
      <c r="AR18" s="855"/>
      <c r="AS18" s="855"/>
      <c r="AT18" s="427" t="s">
        <v>4197</v>
      </c>
      <c r="AU18" s="573" t="s">
        <v>2085</v>
      </c>
      <c r="AV18" s="427" t="s">
        <v>4238</v>
      </c>
      <c r="AW18" s="427" t="s">
        <v>1443</v>
      </c>
      <c r="AX18" s="855"/>
      <c r="AY18" s="427" t="s">
        <v>4799</v>
      </c>
      <c r="AZ18" s="855"/>
      <c r="BA18" s="855"/>
      <c r="BB18" s="439" t="s">
        <v>546</v>
      </c>
      <c r="BC18" s="439" t="s">
        <v>2198</v>
      </c>
      <c r="BD18" s="439" t="s">
        <v>1274</v>
      </c>
      <c r="BE18" s="439" t="s">
        <v>4805</v>
      </c>
      <c r="BF18" s="439" t="s">
        <v>4806</v>
      </c>
      <c r="BG18" s="439" t="s">
        <v>4807</v>
      </c>
      <c r="BH18" s="587"/>
      <c r="BI18" s="439" t="s">
        <v>4808</v>
      </c>
      <c r="BJ18" s="439" t="s">
        <v>4809</v>
      </c>
      <c r="BK18" s="587"/>
      <c r="BL18" s="798" t="s">
        <v>4810</v>
      </c>
      <c r="BM18" s="439" t="s">
        <v>4811</v>
      </c>
      <c r="BN18" s="439" t="s">
        <v>1107</v>
      </c>
      <c r="BO18" s="439" t="s">
        <v>4813</v>
      </c>
      <c r="BP18" s="439" t="s">
        <v>4814</v>
      </c>
      <c r="BQ18" s="857"/>
      <c r="BR18" s="448" t="s">
        <v>3151</v>
      </c>
      <c r="BS18" s="448" t="s">
        <v>1820</v>
      </c>
      <c r="BT18" s="448" t="s">
        <v>4816</v>
      </c>
      <c r="BU18" s="448" t="s">
        <v>4818</v>
      </c>
      <c r="BV18" s="903" t="s">
        <v>4821</v>
      </c>
      <c r="BW18" s="448" t="s">
        <v>4823</v>
      </c>
      <c r="BX18" s="448" t="s">
        <v>4824</v>
      </c>
      <c r="BY18" s="448" t="s">
        <v>3688</v>
      </c>
      <c r="BZ18" s="859"/>
      <c r="CA18" s="601" t="s">
        <v>770</v>
      </c>
      <c r="CB18" s="859"/>
      <c r="CC18" s="448" t="s">
        <v>1833</v>
      </c>
      <c r="CD18" s="859"/>
      <c r="CE18" s="859"/>
      <c r="CF18" s="861"/>
      <c r="CG18" s="459" t="s">
        <v>4829</v>
      </c>
      <c r="CH18" s="459" t="s">
        <v>681</v>
      </c>
      <c r="CI18" s="459" t="s">
        <v>2257</v>
      </c>
      <c r="CJ18" s="927" t="s">
        <v>3684</v>
      </c>
      <c r="CK18" s="460"/>
      <c r="CL18" s="460"/>
      <c r="CM18" s="459" t="s">
        <v>4830</v>
      </c>
      <c r="CN18" s="459" t="s">
        <v>4831</v>
      </c>
      <c r="CO18" s="927" t="s">
        <v>640</v>
      </c>
      <c r="CP18" s="820" t="s">
        <v>4834</v>
      </c>
      <c r="CQ18" s="459" t="s">
        <v>3846</v>
      </c>
      <c r="CR18" s="863"/>
      <c r="CS18" s="459" t="s">
        <v>481</v>
      </c>
      <c r="CT18" s="863"/>
      <c r="CU18" s="62"/>
      <c r="CV18" s="466" t="s">
        <v>4840</v>
      </c>
      <c r="CW18" s="864"/>
      <c r="CX18" s="466" t="s">
        <v>488</v>
      </c>
      <c r="CY18" s="466" t="s">
        <v>1055</v>
      </c>
      <c r="CZ18" s="466" t="s">
        <v>4284</v>
      </c>
      <c r="DA18" s="466" t="s">
        <v>4841</v>
      </c>
      <c r="DB18" s="466" t="s">
        <v>4843</v>
      </c>
      <c r="DC18" s="466" t="s">
        <v>4844</v>
      </c>
      <c r="DD18" s="864"/>
      <c r="DE18" s="825" t="s">
        <v>4845</v>
      </c>
      <c r="DF18" s="933" t="s">
        <v>2245</v>
      </c>
      <c r="DG18" s="703"/>
      <c r="DH18" s="864"/>
      <c r="DI18" s="483" t="s">
        <v>4848</v>
      </c>
      <c r="DJ18" s="866"/>
      <c r="DK18" s="866"/>
      <c r="DL18" s="866"/>
      <c r="DM18" s="483" t="s">
        <v>1883</v>
      </c>
      <c r="DN18" s="483" t="s">
        <v>2208</v>
      </c>
      <c r="DO18" s="483" t="s">
        <v>4740</v>
      </c>
      <c r="DP18" s="483" t="s">
        <v>4852</v>
      </c>
      <c r="DQ18" s="866"/>
      <c r="DR18" s="483" t="s">
        <v>4854</v>
      </c>
      <c r="DS18" s="483" t="s">
        <v>4855</v>
      </c>
      <c r="DT18" s="483" t="s">
        <v>4629</v>
      </c>
      <c r="DU18" s="483" t="s">
        <v>582</v>
      </c>
      <c r="DV18" s="483" t="s">
        <v>4858</v>
      </c>
      <c r="DW18" s="483" t="s">
        <v>2461</v>
      </c>
      <c r="DX18" s="618" t="s">
        <v>4859</v>
      </c>
      <c r="DY18" s="483" t="s">
        <v>4318</v>
      </c>
      <c r="DZ18" s="612" t="s">
        <v>3374</v>
      </c>
      <c r="EA18" s="483" t="s">
        <v>2812</v>
      </c>
      <c r="EB18" s="483" t="s">
        <v>4865</v>
      </c>
      <c r="EC18" s="483" t="s">
        <v>3073</v>
      </c>
      <c r="ED18" s="475" t="s">
        <v>4868</v>
      </c>
    </row>
    <row r="19">
      <c r="A19" s="492" t="s">
        <v>373</v>
      </c>
      <c r="B19" s="229" t="s">
        <v>4871</v>
      </c>
      <c r="C19" s="230" t="s">
        <v>155</v>
      </c>
      <c r="D19" s="231" t="s">
        <v>127</v>
      </c>
      <c r="E19" s="232" t="s">
        <v>156</v>
      </c>
      <c r="F19" s="233" t="s">
        <v>4873</v>
      </c>
      <c r="G19" s="229" t="s">
        <v>541</v>
      </c>
      <c r="H19" s="263" t="s">
        <v>2213</v>
      </c>
      <c r="I19" s="263" t="s">
        <v>4874</v>
      </c>
      <c r="J19" s="242" t="s">
        <v>4876</v>
      </c>
      <c r="K19" s="242" t="s">
        <v>785</v>
      </c>
      <c r="L19" s="301" t="s">
        <v>4335</v>
      </c>
      <c r="M19" s="301" t="s">
        <v>4880</v>
      </c>
      <c r="N19" s="242" t="s">
        <v>4882</v>
      </c>
      <c r="O19" s="301" t="s">
        <v>3916</v>
      </c>
      <c r="P19" s="301" t="s">
        <v>379</v>
      </c>
      <c r="Q19" s="273" t="s">
        <v>4889</v>
      </c>
      <c r="R19" s="273" t="s">
        <v>381</v>
      </c>
      <c r="S19" s="273" t="s">
        <v>1332</v>
      </c>
      <c r="T19" s="301" t="s">
        <v>383</v>
      </c>
      <c r="U19" s="301" t="s">
        <v>4892</v>
      </c>
      <c r="V19" s="273" t="s">
        <v>4893</v>
      </c>
      <c r="W19" s="410"/>
      <c r="X19" s="301" t="s">
        <v>4894</v>
      </c>
      <c r="Y19" s="274"/>
      <c r="Z19" s="301" t="s">
        <v>4896</v>
      </c>
      <c r="AA19" s="273" t="s">
        <v>2464</v>
      </c>
      <c r="AB19" s="263" t="s">
        <v>2652</v>
      </c>
      <c r="AC19" s="301" t="s">
        <v>396</v>
      </c>
      <c r="AD19" s="885" t="s">
        <v>580</v>
      </c>
      <c r="AE19" s="263" t="s">
        <v>4899</v>
      </c>
      <c r="AF19" s="301" t="s">
        <v>1478</v>
      </c>
      <c r="AG19" s="273" t="s">
        <v>4901</v>
      </c>
      <c r="AH19" s="301" t="s">
        <v>4207</v>
      </c>
      <c r="AI19" s="274"/>
      <c r="AJ19" s="301" t="s">
        <v>4903</v>
      </c>
      <c r="AK19" s="273" t="s">
        <v>4904</v>
      </c>
      <c r="AL19" s="61"/>
      <c r="AM19" s="301" t="s">
        <v>4905</v>
      </c>
      <c r="AN19" s="944" t="s">
        <v>3557</v>
      </c>
      <c r="AO19" s="301" t="s">
        <v>4907</v>
      </c>
      <c r="AP19" s="301" t="s">
        <v>4908</v>
      </c>
      <c r="AQ19" s="273" t="s">
        <v>739</v>
      </c>
      <c r="AR19" s="273"/>
      <c r="AS19" s="273" t="s">
        <v>4909</v>
      </c>
      <c r="AT19" s="273" t="s">
        <v>4910</v>
      </c>
      <c r="AU19" s="273" t="s">
        <v>4912</v>
      </c>
      <c r="AV19" s="263" t="s">
        <v>4234</v>
      </c>
      <c r="AW19" s="301" t="s">
        <v>4913</v>
      </c>
      <c r="AX19" s="301" t="s">
        <v>4812</v>
      </c>
      <c r="AY19" s="273" t="s">
        <v>1314</v>
      </c>
      <c r="AZ19" s="301" t="s">
        <v>4914</v>
      </c>
      <c r="BA19" s="274"/>
      <c r="BB19" s="273" t="s">
        <v>546</v>
      </c>
      <c r="BC19" s="301" t="s">
        <v>4915</v>
      </c>
      <c r="BD19" s="273" t="s">
        <v>4125</v>
      </c>
      <c r="BE19" s="301" t="s">
        <v>4916</v>
      </c>
      <c r="BF19" s="301" t="s">
        <v>698</v>
      </c>
      <c r="BG19" s="301" t="s">
        <v>4530</v>
      </c>
      <c r="BH19" s="273" t="s">
        <v>4918</v>
      </c>
      <c r="BI19" s="885" t="s">
        <v>2156</v>
      </c>
      <c r="BJ19" s="301" t="s">
        <v>4921</v>
      </c>
      <c r="BK19" s="301" t="s">
        <v>4923</v>
      </c>
      <c r="BL19" s="301" t="s">
        <v>487</v>
      </c>
      <c r="BM19" s="252" t="s">
        <v>4926</v>
      </c>
      <c r="BN19" s="301" t="s">
        <v>4927</v>
      </c>
      <c r="BO19" s="273" t="s">
        <v>4437</v>
      </c>
      <c r="BP19" s="252" t="s">
        <v>4444</v>
      </c>
      <c r="BQ19" s="952"/>
      <c r="BR19" s="908" t="s">
        <v>4928</v>
      </c>
      <c r="BS19" s="263" t="s">
        <v>4929</v>
      </c>
      <c r="BT19" s="301" t="s">
        <v>449</v>
      </c>
      <c r="BU19" s="301" t="s">
        <v>450</v>
      </c>
      <c r="BV19" s="301" t="s">
        <v>448</v>
      </c>
      <c r="BW19" s="273" t="s">
        <v>4679</v>
      </c>
      <c r="BX19" s="301" t="s">
        <v>4932</v>
      </c>
      <c r="BY19" s="273" t="s">
        <v>4934</v>
      </c>
      <c r="BZ19" s="273" t="s">
        <v>4935</v>
      </c>
      <c r="CA19" s="301" t="s">
        <v>4769</v>
      </c>
      <c r="CB19" s="301" t="s">
        <v>4772</v>
      </c>
      <c r="CC19" s="273" t="s">
        <v>3208</v>
      </c>
      <c r="CD19" s="273" t="s">
        <v>2829</v>
      </c>
      <c r="CE19" s="247" t="s">
        <v>453</v>
      </c>
      <c r="CF19" s="333"/>
      <c r="CG19" s="263" t="s">
        <v>4937</v>
      </c>
      <c r="CH19" s="242" t="s">
        <v>4938</v>
      </c>
      <c r="CI19" s="301" t="s">
        <v>4940</v>
      </c>
      <c r="CJ19" s="273" t="s">
        <v>2436</v>
      </c>
      <c r="CK19" s="273"/>
      <c r="CL19" s="273" t="s">
        <v>4931</v>
      </c>
      <c r="CM19" s="263" t="s">
        <v>896</v>
      </c>
      <c r="CN19" s="301" t="s">
        <v>3213</v>
      </c>
      <c r="CO19" s="301" t="s">
        <v>1421</v>
      </c>
      <c r="CP19" s="273" t="s">
        <v>2567</v>
      </c>
      <c r="CQ19" s="944" t="s">
        <v>2780</v>
      </c>
      <c r="CR19" s="273"/>
      <c r="CS19" s="273" t="s">
        <v>4788</v>
      </c>
      <c r="CT19" s="301" t="s">
        <v>484</v>
      </c>
      <c r="CU19" s="62"/>
      <c r="CV19" s="301" t="s">
        <v>3604</v>
      </c>
      <c r="CW19" s="301" t="s">
        <v>487</v>
      </c>
      <c r="CX19" s="301" t="s">
        <v>2995</v>
      </c>
      <c r="CY19" s="301" t="s">
        <v>2626</v>
      </c>
      <c r="CZ19" s="301" t="s">
        <v>1926</v>
      </c>
      <c r="DA19" s="301" t="s">
        <v>4493</v>
      </c>
      <c r="DB19" s="301" t="s">
        <v>4953</v>
      </c>
      <c r="DC19" s="273" t="s">
        <v>2058</v>
      </c>
      <c r="DD19" s="273" t="s">
        <v>4955</v>
      </c>
      <c r="DE19" s="315" t="s">
        <v>4956</v>
      </c>
      <c r="DF19" s="315" t="s">
        <v>3845</v>
      </c>
      <c r="DG19" s="301" t="s">
        <v>4958</v>
      </c>
      <c r="DH19" s="274"/>
      <c r="DI19" s="301" t="s">
        <v>901</v>
      </c>
      <c r="DJ19" s="273" t="s">
        <v>4961</v>
      </c>
      <c r="DK19" s="301" t="s">
        <v>2470</v>
      </c>
      <c r="DL19" s="274"/>
      <c r="DM19" s="273" t="s">
        <v>1824</v>
      </c>
      <c r="DN19" s="301" t="s">
        <v>4965</v>
      </c>
      <c r="DO19" s="273" t="s">
        <v>747</v>
      </c>
      <c r="DP19" s="242" t="s">
        <v>4967</v>
      </c>
      <c r="DQ19" s="273" t="s">
        <v>4968</v>
      </c>
      <c r="DR19" s="263" t="s">
        <v>4969</v>
      </c>
      <c r="DS19" s="263"/>
      <c r="DT19" s="301" t="s">
        <v>4971</v>
      </c>
      <c r="DU19" s="301" t="s">
        <v>3489</v>
      </c>
      <c r="DV19" s="273" t="s">
        <v>698</v>
      </c>
      <c r="DW19" s="301" t="s">
        <v>4973</v>
      </c>
      <c r="DX19" s="301" t="s">
        <v>4659</v>
      </c>
      <c r="DY19" s="301" t="s">
        <v>4976</v>
      </c>
      <c r="DZ19" s="301" t="s">
        <v>4979</v>
      </c>
      <c r="EA19" s="242" t="s">
        <v>4980</v>
      </c>
      <c r="EB19" s="263" t="s">
        <v>947</v>
      </c>
      <c r="EC19" s="301" t="s">
        <v>4981</v>
      </c>
      <c r="ED19" s="301" t="s">
        <v>970</v>
      </c>
    </row>
    <row r="20">
      <c r="A20" s="959" t="s">
        <v>4985</v>
      </c>
      <c r="B20" s="381" t="s">
        <v>4986</v>
      </c>
      <c r="C20" s="384" t="s">
        <v>127</v>
      </c>
      <c r="D20" s="386" t="s">
        <v>76</v>
      </c>
      <c r="E20" s="389" t="s">
        <v>155</v>
      </c>
      <c r="F20" s="390" t="s">
        <v>556</v>
      </c>
      <c r="G20" s="381" t="s">
        <v>4988</v>
      </c>
      <c r="H20" s="547" t="s">
        <v>4738</v>
      </c>
      <c r="I20" s="547" t="s">
        <v>4990</v>
      </c>
      <c r="J20" s="845" t="s">
        <v>712</v>
      </c>
      <c r="K20" s="547" t="s">
        <v>768</v>
      </c>
      <c r="L20" s="406" t="s">
        <v>904</v>
      </c>
      <c r="M20" s="846" t="s">
        <v>4991</v>
      </c>
      <c r="N20" s="962" t="s">
        <v>4994</v>
      </c>
      <c r="O20" s="402" t="s">
        <v>4995</v>
      </c>
      <c r="P20" s="402" t="s">
        <v>2612</v>
      </c>
      <c r="Q20" s="787"/>
      <c r="R20" s="963"/>
      <c r="S20" s="547" t="s">
        <v>5002</v>
      </c>
      <c r="T20" s="406" t="s">
        <v>5003</v>
      </c>
      <c r="U20" s="849"/>
      <c r="V20" s="849"/>
      <c r="W20" s="62"/>
      <c r="X20" s="412" t="s">
        <v>5004</v>
      </c>
      <c r="Y20" s="421"/>
      <c r="Z20" s="417" t="s">
        <v>5006</v>
      </c>
      <c r="AA20" s="919" t="s">
        <v>2451</v>
      </c>
      <c r="AB20" s="412" t="s">
        <v>4300</v>
      </c>
      <c r="AC20" s="417" t="s">
        <v>2774</v>
      </c>
      <c r="AD20" s="412" t="s">
        <v>5008</v>
      </c>
      <c r="AE20" s="417" t="s">
        <v>5009</v>
      </c>
      <c r="AF20" s="417" t="s">
        <v>2683</v>
      </c>
      <c r="AG20" s="417" t="s">
        <v>217</v>
      </c>
      <c r="AH20" s="683"/>
      <c r="AI20" s="421"/>
      <c r="AJ20" s="417" t="s">
        <v>5011</v>
      </c>
      <c r="AK20" s="852"/>
      <c r="AL20" s="61"/>
      <c r="AM20" s="427" t="s">
        <v>1665</v>
      </c>
      <c r="AN20" s="964" t="s">
        <v>5015</v>
      </c>
      <c r="AO20" s="427" t="s">
        <v>3723</v>
      </c>
      <c r="AP20" s="855"/>
      <c r="AQ20" s="855"/>
      <c r="AR20" s="855"/>
      <c r="AS20" s="571" t="s">
        <v>4625</v>
      </c>
      <c r="AT20" s="855"/>
      <c r="AU20" s="427" t="s">
        <v>458</v>
      </c>
      <c r="AV20" s="965" t="s">
        <v>5017</v>
      </c>
      <c r="AW20" s="427" t="s">
        <v>2995</v>
      </c>
      <c r="AX20" s="855"/>
      <c r="AY20" s="966" t="s">
        <v>5020</v>
      </c>
      <c r="AZ20" s="855"/>
      <c r="BA20" s="855"/>
      <c r="BB20" s="436" t="str">
        <f>HYPERLINK("https://clips.twitch.tv/JollyDarlingMousePipeHype","49.40")</f>
        <v>49.40</v>
      </c>
      <c r="BC20" s="439" t="s">
        <v>1869</v>
      </c>
      <c r="BD20" s="439" t="s">
        <v>430</v>
      </c>
      <c r="BE20" s="436" t="s">
        <v>4174</v>
      </c>
      <c r="BF20" s="436" t="str">
        <f>HYPERLINK("https://clips.twitch.tv/ExquisiteCourteousFlyUnSane","52.80")</f>
        <v>52.80</v>
      </c>
      <c r="BG20" s="589" t="s">
        <v>5024</v>
      </c>
      <c r="BH20" s="587"/>
      <c r="BI20" s="439" t="s">
        <v>5025</v>
      </c>
      <c r="BJ20" s="587"/>
      <c r="BK20" s="589" t="s">
        <v>5027</v>
      </c>
      <c r="BL20" s="589" t="s">
        <v>4143</v>
      </c>
      <c r="BM20" s="589" t="s">
        <v>441</v>
      </c>
      <c r="BN20" s="856" t="s">
        <v>724</v>
      </c>
      <c r="BO20" s="436" t="s">
        <v>4432</v>
      </c>
      <c r="BP20" s="587"/>
      <c r="BQ20" s="857"/>
      <c r="BR20" s="807"/>
      <c r="BS20" s="447" t="str">
        <f>HYPERLINK("https://clips.twitch.tv/PolishedAnimatedPenguinOhMyDog","50.72")</f>
        <v>50.72</v>
      </c>
      <c r="BT20" s="448" t="s">
        <v>2616</v>
      </c>
      <c r="BU20" s="448" t="s">
        <v>4612</v>
      </c>
      <c r="BV20" s="447" t="s">
        <v>5033</v>
      </c>
      <c r="BW20" s="968" t="s">
        <v>507</v>
      </c>
      <c r="BX20" s="859"/>
      <c r="BY20" s="594"/>
      <c r="BZ20" s="594" t="s">
        <v>5034</v>
      </c>
      <c r="CA20" s="594" t="s">
        <v>3267</v>
      </c>
      <c r="CB20" s="594" t="s">
        <v>459</v>
      </c>
      <c r="CC20" s="969" t="s">
        <v>5035</v>
      </c>
      <c r="CD20" s="594" t="s">
        <v>5036</v>
      </c>
      <c r="CE20" s="859"/>
      <c r="CF20" s="861"/>
      <c r="CG20" s="452" t="str">
        <f>HYPERLINK("https://clips.twitch.tv/PlainYummyKuduDeIlluminati","53.44")</f>
        <v>53.44</v>
      </c>
      <c r="CH20" s="904" t="s">
        <v>2156</v>
      </c>
      <c r="CI20" s="459" t="s">
        <v>5038</v>
      </c>
      <c r="CJ20" s="606" t="s">
        <v>5039</v>
      </c>
      <c r="CK20" s="606"/>
      <c r="CL20" s="606" t="s">
        <v>5040</v>
      </c>
      <c r="CM20" s="970" t="s">
        <v>5041</v>
      </c>
      <c r="CN20" s="606" t="s">
        <v>826</v>
      </c>
      <c r="CO20" s="606" t="s">
        <v>5043</v>
      </c>
      <c r="CP20" s="863"/>
      <c r="CQ20" s="459" t="s">
        <v>613</v>
      </c>
      <c r="CR20" s="460"/>
      <c r="CS20" s="459" t="s">
        <v>5045</v>
      </c>
      <c r="CT20" s="863"/>
      <c r="CU20" s="62"/>
      <c r="CV20" s="703" t="s">
        <v>4866</v>
      </c>
      <c r="CW20" s="703" t="s">
        <v>5048</v>
      </c>
      <c r="CX20" s="971" t="s">
        <v>5049</v>
      </c>
      <c r="CY20" s="466" t="s">
        <v>2632</v>
      </c>
      <c r="CZ20" s="972" t="s">
        <v>5050</v>
      </c>
      <c r="DA20" s="470"/>
      <c r="DB20" s="466" t="s">
        <v>5051</v>
      </c>
      <c r="DC20" s="703" t="s">
        <v>5052</v>
      </c>
      <c r="DD20" s="864"/>
      <c r="DE20" s="466" t="s">
        <v>5053</v>
      </c>
      <c r="DF20" s="466" t="s">
        <v>5054</v>
      </c>
      <c r="DG20" s="864"/>
      <c r="DH20" s="864"/>
      <c r="DI20" s="707" t="s">
        <v>374</v>
      </c>
      <c r="DJ20" s="866"/>
      <c r="DK20" s="866"/>
      <c r="DL20" s="707"/>
      <c r="DM20" s="707" t="s">
        <v>1883</v>
      </c>
      <c r="DN20" s="707" t="s">
        <v>5056</v>
      </c>
      <c r="DO20" s="707" t="s">
        <v>2399</v>
      </c>
      <c r="DP20" s="707" t="s">
        <v>4731</v>
      </c>
      <c r="DQ20" s="707" t="s">
        <v>5057</v>
      </c>
      <c r="DR20" s="973" t="s">
        <v>3673</v>
      </c>
      <c r="DS20" s="483" t="s">
        <v>5058</v>
      </c>
      <c r="DT20" s="707" t="s">
        <v>4620</v>
      </c>
      <c r="DU20" s="866"/>
      <c r="DV20" s="483" t="s">
        <v>5060</v>
      </c>
      <c r="DW20" s="707" t="s">
        <v>1908</v>
      </c>
      <c r="DX20" s="866"/>
      <c r="DY20" s="866"/>
      <c r="DZ20" s="475" t="s">
        <v>3936</v>
      </c>
      <c r="EA20" s="710" t="s">
        <v>959</v>
      </c>
      <c r="EB20" s="483" t="s">
        <v>3866</v>
      </c>
      <c r="EC20" s="483" t="s">
        <v>3073</v>
      </c>
      <c r="ED20" s="974" t="s">
        <v>5065</v>
      </c>
    </row>
    <row r="21">
      <c r="A21" s="975" t="s">
        <v>55</v>
      </c>
      <c r="B21" s="229" t="s">
        <v>5066</v>
      </c>
      <c r="C21" s="230" t="s">
        <v>155</v>
      </c>
      <c r="D21" s="231" t="s">
        <v>76</v>
      </c>
      <c r="E21" s="232" t="s">
        <v>79</v>
      </c>
      <c r="F21" s="233" t="s">
        <v>5067</v>
      </c>
      <c r="G21" s="229" t="s">
        <v>3640</v>
      </c>
      <c r="H21" s="242" t="s">
        <v>5069</v>
      </c>
      <c r="I21" s="242" t="s">
        <v>364</v>
      </c>
      <c r="J21" s="242" t="s">
        <v>676</v>
      </c>
      <c r="K21" s="242" t="s">
        <v>767</v>
      </c>
      <c r="L21" s="507" t="s">
        <v>885</v>
      </c>
      <c r="M21" s="242" t="s">
        <v>5071</v>
      </c>
      <c r="N21" s="507" t="s">
        <v>1174</v>
      </c>
      <c r="O21" s="507" t="s">
        <v>1444</v>
      </c>
      <c r="P21" s="976" t="s">
        <v>1649</v>
      </c>
      <c r="Q21" s="242" t="s">
        <v>1687</v>
      </c>
      <c r="R21" s="304"/>
      <c r="S21" s="273" t="s">
        <v>1710</v>
      </c>
      <c r="T21" s="242" t="s">
        <v>2484</v>
      </c>
      <c r="U21" s="242" t="s">
        <v>1767</v>
      </c>
      <c r="V21" s="242" t="s">
        <v>5076</v>
      </c>
      <c r="W21" s="62"/>
      <c r="X21" s="507" t="s">
        <v>4656</v>
      </c>
      <c r="Y21" s="977"/>
      <c r="Z21" s="507" t="s">
        <v>5079</v>
      </c>
      <c r="AA21" s="507" t="s">
        <v>2445</v>
      </c>
      <c r="AB21" s="507" t="s">
        <v>2626</v>
      </c>
      <c r="AC21" s="507" t="s">
        <v>2773</v>
      </c>
      <c r="AD21" s="507" t="s">
        <v>3060</v>
      </c>
      <c r="AE21" s="978"/>
      <c r="AF21" s="507" t="s">
        <v>3141</v>
      </c>
      <c r="AG21" s="507" t="s">
        <v>3448</v>
      </c>
      <c r="AH21" s="242" t="s">
        <v>3522</v>
      </c>
      <c r="AI21" s="304"/>
      <c r="AJ21" s="242" t="s">
        <v>5081</v>
      </c>
      <c r="AK21" s="242" t="s">
        <v>2457</v>
      </c>
      <c r="AL21" s="61"/>
      <c r="AM21" s="242" t="s">
        <v>1961</v>
      </c>
      <c r="AN21" s="242" t="s">
        <v>3667</v>
      </c>
      <c r="AO21" s="242" t="s">
        <v>3747</v>
      </c>
      <c r="AP21" s="242" t="s">
        <v>5082</v>
      </c>
      <c r="AQ21" s="247" t="s">
        <v>4191</v>
      </c>
      <c r="AR21" s="247" t="s">
        <v>5084</v>
      </c>
      <c r="AS21" s="242" t="s">
        <v>4314</v>
      </c>
      <c r="AT21" s="242" t="s">
        <v>3849</v>
      </c>
      <c r="AU21" s="507" t="s">
        <v>3638</v>
      </c>
      <c r="AV21" s="507" t="s">
        <v>3963</v>
      </c>
      <c r="AW21" s="242" t="s">
        <v>1899</v>
      </c>
      <c r="AX21" s="304"/>
      <c r="AY21" s="242" t="s">
        <v>4002</v>
      </c>
      <c r="AZ21" s="242" t="s">
        <v>5087</v>
      </c>
      <c r="BA21" s="304"/>
      <c r="BB21" s="507" t="s">
        <v>569</v>
      </c>
      <c r="BC21" s="507" t="s">
        <v>4026</v>
      </c>
      <c r="BD21" s="507" t="s">
        <v>4121</v>
      </c>
      <c r="BE21" s="507" t="s">
        <v>3215</v>
      </c>
      <c r="BF21" s="507" t="s">
        <v>896</v>
      </c>
      <c r="BG21" s="507" t="s">
        <v>2084</v>
      </c>
      <c r="BH21" s="507" t="s">
        <v>4219</v>
      </c>
      <c r="BI21" s="242" t="s">
        <v>2349</v>
      </c>
      <c r="BJ21" s="242" t="s">
        <v>4285</v>
      </c>
      <c r="BK21" s="507" t="s">
        <v>4271</v>
      </c>
      <c r="BL21" s="507" t="s">
        <v>4387</v>
      </c>
      <c r="BM21" s="242" t="s">
        <v>4399</v>
      </c>
      <c r="BN21" s="242" t="s">
        <v>2829</v>
      </c>
      <c r="BO21" s="273" t="s">
        <v>3934</v>
      </c>
      <c r="BP21" s="242" t="s">
        <v>700</v>
      </c>
      <c r="BQ21" s="841"/>
      <c r="BR21" s="242" t="s">
        <v>5094</v>
      </c>
      <c r="BS21" s="507" t="s">
        <v>448</v>
      </c>
      <c r="BT21" s="507" t="s">
        <v>4528</v>
      </c>
      <c r="BU21" s="507" t="s">
        <v>2372</v>
      </c>
      <c r="BV21" s="507" t="s">
        <v>4653</v>
      </c>
      <c r="BW21" s="507" t="s">
        <v>4698</v>
      </c>
      <c r="BX21" s="507" t="s">
        <v>4725</v>
      </c>
      <c r="BY21" s="242" t="s">
        <v>5102</v>
      </c>
      <c r="BZ21" s="242" t="s">
        <v>5103</v>
      </c>
      <c r="CA21" s="507" t="s">
        <v>4612</v>
      </c>
      <c r="CB21" s="242" t="s">
        <v>4775</v>
      </c>
      <c r="CC21" s="242" t="s">
        <v>4784</v>
      </c>
      <c r="CD21" s="242" t="s">
        <v>421</v>
      </c>
      <c r="CE21" s="242" t="s">
        <v>5108</v>
      </c>
      <c r="CF21" s="841"/>
      <c r="CG21" s="507" t="s">
        <v>4833</v>
      </c>
      <c r="CH21" s="507" t="s">
        <v>4850</v>
      </c>
      <c r="CI21" s="507" t="s">
        <v>5111</v>
      </c>
      <c r="CJ21" s="507" t="s">
        <v>5112</v>
      </c>
      <c r="CK21" s="977"/>
      <c r="CL21" s="507" t="s">
        <v>5113</v>
      </c>
      <c r="CM21" s="507" t="s">
        <v>1066</v>
      </c>
      <c r="CN21" s="507" t="s">
        <v>1646</v>
      </c>
      <c r="CO21" s="507" t="s">
        <v>2516</v>
      </c>
      <c r="CP21" s="242" t="s">
        <v>5092</v>
      </c>
      <c r="CQ21" s="242" t="s">
        <v>2838</v>
      </c>
      <c r="CR21" s="304"/>
      <c r="CS21" s="242" t="s">
        <v>5097</v>
      </c>
      <c r="CT21" s="242" t="s">
        <v>5115</v>
      </c>
      <c r="CU21" s="62"/>
      <c r="CV21" s="507" t="s">
        <v>3645</v>
      </c>
      <c r="CW21" s="507" t="s">
        <v>5118</v>
      </c>
      <c r="CX21" s="242" t="s">
        <v>613</v>
      </c>
      <c r="CY21" s="507" t="s">
        <v>2365</v>
      </c>
      <c r="CZ21" s="242" t="s">
        <v>5120</v>
      </c>
      <c r="DA21" s="242" t="s">
        <v>1015</v>
      </c>
      <c r="DB21" s="507" t="s">
        <v>4953</v>
      </c>
      <c r="DC21" s="507" t="s">
        <v>3205</v>
      </c>
      <c r="DD21" s="242" t="s">
        <v>496</v>
      </c>
      <c r="DE21" s="273" t="s">
        <v>4722</v>
      </c>
      <c r="DF21" s="273" t="s">
        <v>5123</v>
      </c>
      <c r="DG21" s="247" t="s">
        <v>5124</v>
      </c>
      <c r="DH21" s="304"/>
      <c r="DI21" s="242" t="s">
        <v>1693</v>
      </c>
      <c r="DJ21" s="304"/>
      <c r="DK21" s="247" t="s">
        <v>5125</v>
      </c>
      <c r="DL21" s="242" t="s">
        <v>5126</v>
      </c>
      <c r="DM21" s="273" t="s">
        <v>1883</v>
      </c>
      <c r="DN21" s="242" t="s">
        <v>5127</v>
      </c>
      <c r="DO21" s="242" t="s">
        <v>2199</v>
      </c>
      <c r="DP21" s="242" t="s">
        <v>4041</v>
      </c>
      <c r="DQ21" s="248" t="s">
        <v>4502</v>
      </c>
      <c r="DR21" s="507" t="s">
        <v>5130</v>
      </c>
      <c r="DS21" s="507" t="s">
        <v>4996</v>
      </c>
      <c r="DT21" s="242" t="s">
        <v>4620</v>
      </c>
      <c r="DU21" s="242" t="s">
        <v>5134</v>
      </c>
      <c r="DV21" s="242" t="s">
        <v>524</v>
      </c>
      <c r="DW21" s="273" t="s">
        <v>5135</v>
      </c>
      <c r="DX21" s="273" t="s">
        <v>5136</v>
      </c>
      <c r="DY21" s="273" t="s">
        <v>5137</v>
      </c>
      <c r="DZ21" s="273" t="s">
        <v>3554</v>
      </c>
      <c r="EA21" s="242" t="s">
        <v>5138</v>
      </c>
      <c r="EB21" s="242" t="s">
        <v>2879</v>
      </c>
      <c r="EC21" s="242" t="s">
        <v>4981</v>
      </c>
      <c r="ED21" s="301" t="s">
        <v>5141</v>
      </c>
    </row>
    <row r="22">
      <c r="A22" s="1000" t="s">
        <v>109</v>
      </c>
      <c r="B22" s="381" t="s">
        <v>5143</v>
      </c>
      <c r="C22" s="384" t="s">
        <v>155</v>
      </c>
      <c r="D22" s="386" t="s">
        <v>76</v>
      </c>
      <c r="E22" s="389" t="s">
        <v>76</v>
      </c>
      <c r="F22" s="390" t="s">
        <v>3360</v>
      </c>
      <c r="G22" s="381" t="s">
        <v>5145</v>
      </c>
      <c r="H22" s="406" t="s">
        <v>1772</v>
      </c>
      <c r="I22" s="406" t="s">
        <v>5147</v>
      </c>
      <c r="J22" s="547" t="s">
        <v>5148</v>
      </c>
      <c r="K22" s="406" t="s">
        <v>791</v>
      </c>
      <c r="L22" s="406" t="s">
        <v>374</v>
      </c>
      <c r="M22" s="787" t="s">
        <v>5153</v>
      </c>
      <c r="N22" s="1003" t="s">
        <v>5154</v>
      </c>
      <c r="O22" s="406" t="s">
        <v>1506</v>
      </c>
      <c r="P22" s="1004" t="s">
        <v>2612</v>
      </c>
      <c r="Q22" s="547" t="s">
        <v>4838</v>
      </c>
      <c r="R22" s="406" t="s">
        <v>4291</v>
      </c>
      <c r="S22" s="547" t="s">
        <v>4635</v>
      </c>
      <c r="T22" s="547" t="s">
        <v>5157</v>
      </c>
      <c r="U22" s="406" t="s">
        <v>201</v>
      </c>
      <c r="V22" s="547" t="s">
        <v>5159</v>
      </c>
      <c r="W22" s="62"/>
      <c r="X22" s="413" t="s">
        <v>5160</v>
      </c>
      <c r="Y22" s="1006" t="s">
        <v>5161</v>
      </c>
      <c r="Z22" s="417" t="s">
        <v>5079</v>
      </c>
      <c r="AA22" s="680" t="s">
        <v>174</v>
      </c>
      <c r="AB22" s="1007" t="s">
        <v>2642</v>
      </c>
      <c r="AC22" s="417" t="s">
        <v>5164</v>
      </c>
      <c r="AD22" s="417" t="s">
        <v>1726</v>
      </c>
      <c r="AE22" s="680" t="s">
        <v>5168</v>
      </c>
      <c r="AF22" s="683" t="s">
        <v>3157</v>
      </c>
      <c r="AG22" s="417" t="s">
        <v>5169</v>
      </c>
      <c r="AH22" s="683" t="s">
        <v>3227</v>
      </c>
      <c r="AI22" s="683" t="s">
        <v>4181</v>
      </c>
      <c r="AJ22" s="417" t="s">
        <v>5171</v>
      </c>
      <c r="AK22" s="683" t="s">
        <v>5174</v>
      </c>
      <c r="AL22" s="61"/>
      <c r="AM22" s="427" t="s">
        <v>5175</v>
      </c>
      <c r="AN22" s="427" t="s">
        <v>5176</v>
      </c>
      <c r="AO22" s="571" t="s">
        <v>5177</v>
      </c>
      <c r="AP22" s="571" t="s">
        <v>714</v>
      </c>
      <c r="AQ22" s="571" t="s">
        <v>4842</v>
      </c>
      <c r="AR22" s="571" t="s">
        <v>5014</v>
      </c>
      <c r="AS22" s="571" t="s">
        <v>5179</v>
      </c>
      <c r="AT22" s="571" t="s">
        <v>5180</v>
      </c>
      <c r="AU22" s="966" t="s">
        <v>3910</v>
      </c>
      <c r="AV22" s="965" t="s">
        <v>5181</v>
      </c>
      <c r="AW22" s="427" t="s">
        <v>625</v>
      </c>
      <c r="AX22" s="427" t="s">
        <v>1710</v>
      </c>
      <c r="AY22" s="571" t="s">
        <v>5183</v>
      </c>
      <c r="AZ22" s="571" t="s">
        <v>5184</v>
      </c>
      <c r="BA22" s="571"/>
      <c r="BB22" s="589" t="s">
        <v>5129</v>
      </c>
      <c r="BC22" s="439" t="s">
        <v>5185</v>
      </c>
      <c r="BD22" s="589" t="s">
        <v>1574</v>
      </c>
      <c r="BE22" s="439" t="s">
        <v>431</v>
      </c>
      <c r="BF22" s="439" t="s">
        <v>4197</v>
      </c>
      <c r="BG22" s="439" t="s">
        <v>2829</v>
      </c>
      <c r="BH22" s="589" t="s">
        <v>1264</v>
      </c>
      <c r="BI22" s="436" t="s">
        <v>5190</v>
      </c>
      <c r="BJ22" s="589" t="s">
        <v>5191</v>
      </c>
      <c r="BK22" s="436" t="s">
        <v>4874</v>
      </c>
      <c r="BL22" s="439" t="s">
        <v>5192</v>
      </c>
      <c r="BM22" s="589" t="s">
        <v>5090</v>
      </c>
      <c r="BN22" s="589" t="s">
        <v>4144</v>
      </c>
      <c r="BO22" s="589" t="s">
        <v>5193</v>
      </c>
      <c r="BP22" s="589" t="s">
        <v>5194</v>
      </c>
      <c r="BQ22" s="1009"/>
      <c r="BR22" s="448" t="s">
        <v>630</v>
      </c>
      <c r="BS22" s="594" t="s">
        <v>5197</v>
      </c>
      <c r="BT22" s="448" t="s">
        <v>5198</v>
      </c>
      <c r="BU22" s="448" t="s">
        <v>1182</v>
      </c>
      <c r="BV22" s="1010" t="s">
        <v>4858</v>
      </c>
      <c r="BW22" s="448" t="s">
        <v>5202</v>
      </c>
      <c r="BX22" s="448" t="s">
        <v>5203</v>
      </c>
      <c r="BY22" s="594" t="s">
        <v>5205</v>
      </c>
      <c r="BZ22" s="594" t="s">
        <v>5206</v>
      </c>
      <c r="CA22" s="448" t="s">
        <v>5207</v>
      </c>
      <c r="CB22" s="448" t="s">
        <v>459</v>
      </c>
      <c r="CC22" s="448" t="s">
        <v>5208</v>
      </c>
      <c r="CD22" s="594" t="s">
        <v>5209</v>
      </c>
      <c r="CE22" s="594" t="s">
        <v>5210</v>
      </c>
      <c r="CF22" s="1011"/>
      <c r="CG22" s="459" t="s">
        <v>779</v>
      </c>
      <c r="CH22" s="970" t="s">
        <v>529</v>
      </c>
      <c r="CI22" s="1012" t="s">
        <v>5213</v>
      </c>
      <c r="CJ22" s="459" t="s">
        <v>3145</v>
      </c>
      <c r="CK22" s="460"/>
      <c r="CL22" s="460" t="s">
        <v>1840</v>
      </c>
      <c r="CM22" s="459" t="s">
        <v>1542</v>
      </c>
      <c r="CN22" s="459" t="s">
        <v>1398</v>
      </c>
      <c r="CO22" s="459" t="s">
        <v>5216</v>
      </c>
      <c r="CP22" s="606" t="s">
        <v>5218</v>
      </c>
      <c r="CQ22" s="606" t="s">
        <v>3553</v>
      </c>
      <c r="CR22" s="606"/>
      <c r="CS22" s="606" t="s">
        <v>5219</v>
      </c>
      <c r="CT22" s="606" t="s">
        <v>5220</v>
      </c>
      <c r="CU22" s="62"/>
      <c r="CV22" s="466" t="s">
        <v>2296</v>
      </c>
      <c r="CW22" s="466" t="s">
        <v>5221</v>
      </c>
      <c r="CX22" s="703" t="s">
        <v>1419</v>
      </c>
      <c r="CY22" s="461" t="s">
        <v>840</v>
      </c>
      <c r="CZ22" s="1013" t="s">
        <v>594</v>
      </c>
      <c r="DA22" s="1013" t="s">
        <v>1938</v>
      </c>
      <c r="DB22" s="466" t="s">
        <v>5223</v>
      </c>
      <c r="DC22" s="466" t="s">
        <v>761</v>
      </c>
      <c r="DD22" s="703" t="s">
        <v>5224</v>
      </c>
      <c r="DE22" s="703" t="s">
        <v>5225</v>
      </c>
      <c r="DF22" s="703" t="s">
        <v>5226</v>
      </c>
      <c r="DG22" s="703" t="s">
        <v>4033</v>
      </c>
      <c r="DH22" s="703"/>
      <c r="DI22" s="707" t="s">
        <v>5227</v>
      </c>
      <c r="DJ22" s="707" t="s">
        <v>5228</v>
      </c>
      <c r="DK22" s="707" t="s">
        <v>5229</v>
      </c>
      <c r="DL22" s="707"/>
      <c r="DM22" s="612" t="s">
        <v>477</v>
      </c>
      <c r="DN22" s="707" t="s">
        <v>5032</v>
      </c>
      <c r="DO22" s="707" t="s">
        <v>5232</v>
      </c>
      <c r="DP22" s="707" t="s">
        <v>5233</v>
      </c>
      <c r="DQ22" s="483" t="s">
        <v>4740</v>
      </c>
      <c r="DR22" s="707" t="s">
        <v>3993</v>
      </c>
      <c r="DS22" s="707" t="s">
        <v>5234</v>
      </c>
      <c r="DT22" s="707" t="s">
        <v>5118</v>
      </c>
      <c r="DU22" s="707" t="s">
        <v>5236</v>
      </c>
      <c r="DV22" s="707" t="s">
        <v>4093</v>
      </c>
      <c r="DW22" s="707" t="s">
        <v>5237</v>
      </c>
      <c r="DX22" s="707" t="s">
        <v>3936</v>
      </c>
      <c r="DY22" s="707" t="s">
        <v>5238</v>
      </c>
      <c r="DZ22" s="707" t="s">
        <v>5239</v>
      </c>
      <c r="EA22" s="707" t="s">
        <v>1538</v>
      </c>
      <c r="EB22" s="483" t="s">
        <v>5240</v>
      </c>
      <c r="EC22" s="707" t="s">
        <v>5241</v>
      </c>
      <c r="ED22" s="974" t="s">
        <v>5242</v>
      </c>
    </row>
    <row r="23">
      <c r="A23" s="1015" t="s">
        <v>52</v>
      </c>
      <c r="B23" s="229" t="s">
        <v>5243</v>
      </c>
      <c r="C23" s="230" t="s">
        <v>79</v>
      </c>
      <c r="D23" s="231" t="s">
        <v>76</v>
      </c>
      <c r="E23" s="232" t="s">
        <v>156</v>
      </c>
      <c r="F23" s="233" t="s">
        <v>4403</v>
      </c>
      <c r="G23" s="229" t="s">
        <v>4403</v>
      </c>
      <c r="H23" s="1016" t="s">
        <v>192</v>
      </c>
      <c r="I23" s="1016" t="s">
        <v>360</v>
      </c>
      <c r="J23" s="1016" t="s">
        <v>673</v>
      </c>
      <c r="K23" s="1016" t="s">
        <v>764</v>
      </c>
      <c r="L23" s="1016" t="s">
        <v>883</v>
      </c>
      <c r="M23" s="1016" t="s">
        <v>5248</v>
      </c>
      <c r="N23" s="1016" t="s">
        <v>1196</v>
      </c>
      <c r="O23" s="1016" t="s">
        <v>1471</v>
      </c>
      <c r="P23" s="1016" t="s">
        <v>1093</v>
      </c>
      <c r="Q23" s="1016" t="s">
        <v>1683</v>
      </c>
      <c r="R23" s="1017"/>
      <c r="S23" s="1016" t="s">
        <v>1707</v>
      </c>
      <c r="T23" s="1016" t="s">
        <v>1843</v>
      </c>
      <c r="U23" s="1017"/>
      <c r="V23" s="1016" t="s">
        <v>1889</v>
      </c>
      <c r="W23" s="1018"/>
      <c r="X23" s="772" t="s">
        <v>5251</v>
      </c>
      <c r="Y23" s="772" t="s">
        <v>215</v>
      </c>
      <c r="Z23" s="1016" t="s">
        <v>4419</v>
      </c>
      <c r="AA23" s="1019" t="s">
        <v>174</v>
      </c>
      <c r="AB23" s="1016" t="s">
        <v>2385</v>
      </c>
      <c r="AC23" s="1016" t="s">
        <v>1521</v>
      </c>
      <c r="AD23" s="772" t="s">
        <v>5197</v>
      </c>
      <c r="AE23" s="1017"/>
      <c r="AF23" s="1016" t="s">
        <v>3145</v>
      </c>
      <c r="AG23" s="1016" t="s">
        <v>3467</v>
      </c>
      <c r="AH23" s="1016" t="s">
        <v>3512</v>
      </c>
      <c r="AI23" s="1017"/>
      <c r="AJ23" s="1016" t="s">
        <v>3567</v>
      </c>
      <c r="AK23" s="1016" t="s">
        <v>3624</v>
      </c>
      <c r="AL23" s="1021"/>
      <c r="AM23" s="1016" t="s">
        <v>3646</v>
      </c>
      <c r="AN23" s="1016" t="s">
        <v>3665</v>
      </c>
      <c r="AO23" s="1016" t="s">
        <v>3745</v>
      </c>
      <c r="AP23" s="1016" t="s">
        <v>1137</v>
      </c>
      <c r="AQ23" s="1016" t="s">
        <v>3781</v>
      </c>
      <c r="AR23" s="1016" t="s">
        <v>2076</v>
      </c>
      <c r="AS23" s="1017"/>
      <c r="AT23" s="1016" t="s">
        <v>3848</v>
      </c>
      <c r="AU23" s="1016" t="s">
        <v>2670</v>
      </c>
      <c r="AV23" s="1016" t="s">
        <v>3990</v>
      </c>
      <c r="AW23" s="1016" t="s">
        <v>4024</v>
      </c>
      <c r="AX23" s="1017"/>
      <c r="AY23" s="1016" t="s">
        <v>4001</v>
      </c>
      <c r="AZ23" s="1016" t="s">
        <v>4038</v>
      </c>
      <c r="BA23" s="1017"/>
      <c r="BB23" s="1022" t="s">
        <v>3781</v>
      </c>
      <c r="BC23" s="1016" t="s">
        <v>1869</v>
      </c>
      <c r="BD23" s="1016" t="s">
        <v>3950</v>
      </c>
      <c r="BE23" s="1016" t="s">
        <v>4167</v>
      </c>
      <c r="BF23" s="1016" t="s">
        <v>5271</v>
      </c>
      <c r="BG23" s="1016" t="s">
        <v>4213</v>
      </c>
      <c r="BH23" s="1016" t="s">
        <v>4221</v>
      </c>
      <c r="BI23" s="1016" t="s">
        <v>4235</v>
      </c>
      <c r="BJ23" s="1017"/>
      <c r="BK23" s="1016" t="s">
        <v>4270</v>
      </c>
      <c r="BL23" s="1016" t="s">
        <v>5277</v>
      </c>
      <c r="BM23" s="1016" t="s">
        <v>4398</v>
      </c>
      <c r="BN23" s="1016" t="s">
        <v>1071</v>
      </c>
      <c r="BO23" s="1016" t="s">
        <v>4434</v>
      </c>
      <c r="BP23" s="1016" t="s">
        <v>4446</v>
      </c>
      <c r="BQ23" s="1023"/>
      <c r="BR23" s="1016" t="s">
        <v>2100</v>
      </c>
      <c r="BS23" s="1016" t="s">
        <v>208</v>
      </c>
      <c r="BT23" s="1016" t="s">
        <v>5282</v>
      </c>
      <c r="BU23" s="1016" t="s">
        <v>4607</v>
      </c>
      <c r="BV23" s="1016" t="s">
        <v>2203</v>
      </c>
      <c r="BW23" s="1016" t="s">
        <v>890</v>
      </c>
      <c r="BX23" s="1016" t="s">
        <v>2316</v>
      </c>
      <c r="BY23" s="1017"/>
      <c r="BZ23" s="1016" t="s">
        <v>3728</v>
      </c>
      <c r="CA23" s="1016" t="s">
        <v>4765</v>
      </c>
      <c r="CB23" s="1016" t="s">
        <v>4773</v>
      </c>
      <c r="CC23" s="1016" t="s">
        <v>4031</v>
      </c>
      <c r="CD23" s="1016" t="s">
        <v>4118</v>
      </c>
      <c r="CE23" s="1016" t="s">
        <v>4826</v>
      </c>
      <c r="CF23" s="1023"/>
      <c r="CG23" s="1016" t="s">
        <v>4832</v>
      </c>
      <c r="CH23" s="1016" t="s">
        <v>465</v>
      </c>
      <c r="CI23" s="1016" t="s">
        <v>5287</v>
      </c>
      <c r="CJ23" s="1016" t="s">
        <v>4898</v>
      </c>
      <c r="CK23" s="771" t="s">
        <v>4917</v>
      </c>
      <c r="CL23" s="1017"/>
      <c r="CM23" s="1016" t="s">
        <v>208</v>
      </c>
      <c r="CN23" s="1016" t="s">
        <v>5014</v>
      </c>
      <c r="CO23" s="1016" t="s">
        <v>4481</v>
      </c>
      <c r="CP23" s="1016" t="s">
        <v>5091</v>
      </c>
      <c r="CQ23" s="1016" t="s">
        <v>4427</v>
      </c>
      <c r="CR23" s="1017"/>
      <c r="CS23" s="1016" t="s">
        <v>5096</v>
      </c>
      <c r="CT23" s="1016" t="s">
        <v>5119</v>
      </c>
      <c r="CU23" s="1018"/>
      <c r="CV23" s="1016" t="s">
        <v>1475</v>
      </c>
      <c r="CW23" s="1017"/>
      <c r="CX23" s="1016" t="s">
        <v>3949</v>
      </c>
      <c r="CY23" s="772" t="s">
        <v>5165</v>
      </c>
      <c r="CZ23" s="1022" t="s">
        <v>4344</v>
      </c>
      <c r="DA23" s="1016" t="s">
        <v>5290</v>
      </c>
      <c r="DB23" s="1016" t="s">
        <v>5293</v>
      </c>
      <c r="DC23" s="1016" t="s">
        <v>3910</v>
      </c>
      <c r="DD23" s="1016" t="s">
        <v>5294</v>
      </c>
      <c r="DE23" s="1016" t="s">
        <v>5295</v>
      </c>
      <c r="DF23" s="1016" t="s">
        <v>3642</v>
      </c>
      <c r="DG23" s="1016" t="s">
        <v>5298</v>
      </c>
      <c r="DH23" s="1017"/>
      <c r="DI23" s="1016" t="s">
        <v>4117</v>
      </c>
      <c r="DJ23" s="1017"/>
      <c r="DK23" s="1017"/>
      <c r="DL23" s="1017"/>
      <c r="DM23" s="1017"/>
      <c r="DN23" s="1017"/>
      <c r="DO23" s="1017"/>
      <c r="DP23" s="1017"/>
      <c r="DQ23" s="1017"/>
      <c r="DR23" s="1022" t="s">
        <v>5303</v>
      </c>
      <c r="DS23" s="1016" t="s">
        <v>4103</v>
      </c>
      <c r="DT23" s="1017"/>
      <c r="DU23" s="1017"/>
      <c r="DV23" s="1017"/>
      <c r="DW23" s="1017"/>
      <c r="DX23" s="1017"/>
      <c r="DY23" s="1017"/>
      <c r="DZ23" s="1017"/>
      <c r="EA23" s="1017"/>
      <c r="EB23" s="1017"/>
      <c r="EC23" s="1017"/>
      <c r="ED23" s="1017"/>
    </row>
    <row r="24">
      <c r="A24" s="545" t="s">
        <v>144</v>
      </c>
      <c r="B24" s="381" t="s">
        <v>5307</v>
      </c>
      <c r="C24" s="384" t="s">
        <v>155</v>
      </c>
      <c r="D24" s="386" t="s">
        <v>155</v>
      </c>
      <c r="E24" s="389" t="s">
        <v>76</v>
      </c>
      <c r="F24" s="390" t="s">
        <v>1792</v>
      </c>
      <c r="G24" s="381" t="s">
        <v>3654</v>
      </c>
      <c r="H24" s="406" t="s">
        <v>5308</v>
      </c>
      <c r="I24" s="406" t="s">
        <v>5309</v>
      </c>
      <c r="J24" s="406" t="s">
        <v>4154</v>
      </c>
      <c r="K24" s="406" t="s">
        <v>794</v>
      </c>
      <c r="L24" s="406" t="s">
        <v>5313</v>
      </c>
      <c r="M24" s="892" t="s">
        <v>4147</v>
      </c>
      <c r="N24" s="406" t="s">
        <v>5315</v>
      </c>
      <c r="O24" s="547" t="s">
        <v>5317</v>
      </c>
      <c r="P24" s="1003" t="s">
        <v>1649</v>
      </c>
      <c r="Q24" s="547" t="s">
        <v>5318</v>
      </c>
      <c r="R24" s="849"/>
      <c r="S24" s="406" t="s">
        <v>5320</v>
      </c>
      <c r="T24" s="849"/>
      <c r="U24" s="547" t="s">
        <v>5050</v>
      </c>
      <c r="V24" s="849"/>
      <c r="W24" s="62"/>
      <c r="X24" s="417" t="s">
        <v>3225</v>
      </c>
      <c r="Y24" s="683"/>
      <c r="Z24" s="417" t="s">
        <v>5322</v>
      </c>
      <c r="AA24" s="1007" t="s">
        <v>2466</v>
      </c>
      <c r="AB24" s="417" t="s">
        <v>5324</v>
      </c>
      <c r="AC24" s="417" t="s">
        <v>4393</v>
      </c>
      <c r="AD24" s="417" t="s">
        <v>1753</v>
      </c>
      <c r="AE24" s="417" t="s">
        <v>5326</v>
      </c>
      <c r="AF24" s="683" t="s">
        <v>3157</v>
      </c>
      <c r="AG24" s="683" t="s">
        <v>5328</v>
      </c>
      <c r="AH24" s="683" t="s">
        <v>5329</v>
      </c>
      <c r="AI24" s="683"/>
      <c r="AJ24" s="683" t="s">
        <v>5330</v>
      </c>
      <c r="AK24" s="852"/>
      <c r="AL24" s="61"/>
      <c r="AM24" s="427" t="s">
        <v>765</v>
      </c>
      <c r="AN24" s="571" t="s">
        <v>3542</v>
      </c>
      <c r="AO24" s="571" t="s">
        <v>5332</v>
      </c>
      <c r="AP24" s="571" t="s">
        <v>5333</v>
      </c>
      <c r="AQ24" s="855"/>
      <c r="AR24" s="427" t="s">
        <v>1187</v>
      </c>
      <c r="AS24" s="855"/>
      <c r="AT24" s="855"/>
      <c r="AU24" s="427" t="s">
        <v>2757</v>
      </c>
      <c r="AV24" s="966" t="s">
        <v>5337</v>
      </c>
      <c r="AW24" s="427" t="s">
        <v>5338</v>
      </c>
      <c r="AX24" s="855"/>
      <c r="AY24" s="966" t="s">
        <v>5341</v>
      </c>
      <c r="AZ24" s="855"/>
      <c r="BA24" s="855"/>
      <c r="BB24" s="589" t="s">
        <v>3703</v>
      </c>
      <c r="BC24" s="1040" t="s">
        <v>4915</v>
      </c>
      <c r="BD24" s="589" t="s">
        <v>5346</v>
      </c>
      <c r="BE24" s="589" t="s">
        <v>5347</v>
      </c>
      <c r="BF24" s="439" t="s">
        <v>5348</v>
      </c>
      <c r="BG24" s="589" t="s">
        <v>5280</v>
      </c>
      <c r="BH24" s="587"/>
      <c r="BI24" s="589" t="s">
        <v>5354</v>
      </c>
      <c r="BJ24" s="587"/>
      <c r="BK24" s="589" t="s">
        <v>5356</v>
      </c>
      <c r="BL24" s="439" t="s">
        <v>900</v>
      </c>
      <c r="BM24" s="589" t="s">
        <v>5364</v>
      </c>
      <c r="BN24" s="589" t="s">
        <v>1252</v>
      </c>
      <c r="BO24" s="439" t="s">
        <v>2100</v>
      </c>
      <c r="BP24" s="587"/>
      <c r="BQ24" s="857"/>
      <c r="BR24" s="1045" t="s">
        <v>5372</v>
      </c>
      <c r="BS24" s="448" t="s">
        <v>5374</v>
      </c>
      <c r="BT24" s="594" t="s">
        <v>5380</v>
      </c>
      <c r="BU24" s="448" t="s">
        <v>5381</v>
      </c>
      <c r="BV24" s="448" t="s">
        <v>2897</v>
      </c>
      <c r="BW24" s="594" t="s">
        <v>3552</v>
      </c>
      <c r="BX24" s="1045" t="s">
        <v>2630</v>
      </c>
      <c r="BY24" s="859"/>
      <c r="BZ24" s="448" t="s">
        <v>5397</v>
      </c>
      <c r="CA24" s="448" t="s">
        <v>5031</v>
      </c>
      <c r="CB24" s="594" t="s">
        <v>5413</v>
      </c>
      <c r="CC24" s="1045" t="s">
        <v>2229</v>
      </c>
      <c r="CD24" s="448" t="s">
        <v>840</v>
      </c>
      <c r="CE24" s="448" t="s">
        <v>5420</v>
      </c>
      <c r="CF24" s="861"/>
      <c r="CG24" s="459" t="s">
        <v>5429</v>
      </c>
      <c r="CH24" s="459" t="s">
        <v>4020</v>
      </c>
      <c r="CI24" s="606" t="s">
        <v>5438</v>
      </c>
      <c r="CJ24" s="459" t="s">
        <v>5439</v>
      </c>
      <c r="CK24" s="459" t="s">
        <v>5442</v>
      </c>
      <c r="CL24" s="459" t="s">
        <v>4931</v>
      </c>
      <c r="CM24" s="459" t="s">
        <v>4035</v>
      </c>
      <c r="CN24" s="459" t="s">
        <v>1148</v>
      </c>
      <c r="CO24" s="606" t="s">
        <v>1824</v>
      </c>
      <c r="CP24" s="863"/>
      <c r="CQ24" s="606" t="s">
        <v>5114</v>
      </c>
      <c r="CR24" s="863"/>
      <c r="CS24" s="606" t="s">
        <v>5465</v>
      </c>
      <c r="CT24" s="863"/>
      <c r="CU24" s="62"/>
      <c r="CV24" s="466" t="s">
        <v>5469</v>
      </c>
      <c r="CW24" s="703" t="s">
        <v>5480</v>
      </c>
      <c r="CX24" s="466" t="s">
        <v>1689</v>
      </c>
      <c r="CY24" s="466" t="s">
        <v>489</v>
      </c>
      <c r="CZ24" s="466" t="s">
        <v>5507</v>
      </c>
      <c r="DA24" s="1013" t="s">
        <v>2076</v>
      </c>
      <c r="DB24" s="466" t="s">
        <v>5519</v>
      </c>
      <c r="DC24" s="703" t="s">
        <v>761</v>
      </c>
      <c r="DD24" s="1013" t="s">
        <v>5523</v>
      </c>
      <c r="DE24" s="1013" t="s">
        <v>5524</v>
      </c>
      <c r="DF24" s="703" t="s">
        <v>648</v>
      </c>
      <c r="DG24" s="864"/>
      <c r="DH24" s="864"/>
      <c r="DI24" s="707" t="s">
        <v>5525</v>
      </c>
      <c r="DJ24" s="707"/>
      <c r="DK24" s="707" t="s">
        <v>5526</v>
      </c>
      <c r="DL24" s="707" t="s">
        <v>5527</v>
      </c>
      <c r="DM24" s="707" t="s">
        <v>1824</v>
      </c>
      <c r="DN24" s="483" t="s">
        <v>2262</v>
      </c>
      <c r="DO24" s="707" t="s">
        <v>5528</v>
      </c>
      <c r="DP24" s="707" t="s">
        <v>3818</v>
      </c>
      <c r="DQ24" s="866"/>
      <c r="DR24" s="483" t="s">
        <v>5529</v>
      </c>
      <c r="DS24" s="483" t="s">
        <v>1899</v>
      </c>
      <c r="DT24" s="483" t="s">
        <v>2979</v>
      </c>
      <c r="DU24" s="483" t="s">
        <v>522</v>
      </c>
      <c r="DV24" s="483" t="s">
        <v>5004</v>
      </c>
      <c r="DW24" s="483" t="s">
        <v>5533</v>
      </c>
      <c r="DX24" s="707" t="s">
        <v>5535</v>
      </c>
      <c r="DY24" s="483" t="s">
        <v>5536</v>
      </c>
      <c r="DZ24" s="483" t="s">
        <v>5537</v>
      </c>
      <c r="EA24" s="707" t="s">
        <v>4716</v>
      </c>
      <c r="EB24" s="483" t="s">
        <v>5538</v>
      </c>
      <c r="EC24" s="483" t="s">
        <v>532</v>
      </c>
      <c r="ED24" s="1114" t="s">
        <v>5541</v>
      </c>
    </row>
    <row r="25">
      <c r="A25" s="1115" t="s">
        <v>141</v>
      </c>
      <c r="B25" s="229" t="s">
        <v>5544</v>
      </c>
      <c r="C25" s="230" t="s">
        <v>76</v>
      </c>
      <c r="D25" s="231" t="s">
        <v>127</v>
      </c>
      <c r="E25" s="232" t="s">
        <v>155</v>
      </c>
      <c r="F25" s="233" t="s">
        <v>1568</v>
      </c>
      <c r="G25" s="229" t="s">
        <v>3611</v>
      </c>
      <c r="H25" s="242" t="s">
        <v>5545</v>
      </c>
      <c r="I25" s="242" t="s">
        <v>5546</v>
      </c>
      <c r="J25" s="242" t="s">
        <v>5547</v>
      </c>
      <c r="K25" s="242" t="s">
        <v>767</v>
      </c>
      <c r="L25" s="242" t="s">
        <v>4861</v>
      </c>
      <c r="M25" s="242" t="s">
        <v>5550</v>
      </c>
      <c r="N25" s="242" t="s">
        <v>5551</v>
      </c>
      <c r="O25" s="242" t="s">
        <v>2131</v>
      </c>
      <c r="P25" s="242" t="s">
        <v>1649</v>
      </c>
      <c r="Q25" s="242" t="s">
        <v>3589</v>
      </c>
      <c r="R25" s="242" t="s">
        <v>1990</v>
      </c>
      <c r="S25" s="242" t="s">
        <v>1735</v>
      </c>
      <c r="T25" s="242" t="s">
        <v>5557</v>
      </c>
      <c r="U25" s="242" t="s">
        <v>1767</v>
      </c>
      <c r="V25" s="242" t="s">
        <v>5559</v>
      </c>
      <c r="W25" s="410"/>
      <c r="X25" s="242" t="s">
        <v>5561</v>
      </c>
      <c r="Y25" s="263"/>
      <c r="Z25" s="242" t="s">
        <v>4419</v>
      </c>
      <c r="AA25" s="242" t="s">
        <v>393</v>
      </c>
      <c r="AB25" s="242" t="s">
        <v>651</v>
      </c>
      <c r="AC25" s="242" t="s">
        <v>581</v>
      </c>
      <c r="AD25" s="242" t="s">
        <v>2477</v>
      </c>
      <c r="AE25" s="315" t="s">
        <v>5570</v>
      </c>
      <c r="AF25" s="242" t="s">
        <v>400</v>
      </c>
      <c r="AG25" s="242" t="s">
        <v>2020</v>
      </c>
      <c r="AH25" s="242" t="s">
        <v>5575</v>
      </c>
      <c r="AI25" s="242" t="s">
        <v>3799</v>
      </c>
      <c r="AJ25" s="242" t="s">
        <v>3583</v>
      </c>
      <c r="AK25" s="242" t="s">
        <v>406</v>
      </c>
      <c r="AL25" s="61"/>
      <c r="AM25" s="242" t="s">
        <v>1459</v>
      </c>
      <c r="AN25" s="242" t="s">
        <v>5583</v>
      </c>
      <c r="AO25" s="242" t="s">
        <v>5586</v>
      </c>
      <c r="AP25" s="242" t="s">
        <v>5588</v>
      </c>
      <c r="AQ25" s="242" t="s">
        <v>5591</v>
      </c>
      <c r="AR25" s="242" t="s">
        <v>529</v>
      </c>
      <c r="AS25" s="242" t="s">
        <v>5598</v>
      </c>
      <c r="AT25" s="242" t="s">
        <v>5599</v>
      </c>
      <c r="AU25" s="242" t="s">
        <v>159</v>
      </c>
      <c r="AV25" s="242" t="s">
        <v>3185</v>
      </c>
      <c r="AW25" s="242" t="s">
        <v>2430</v>
      </c>
      <c r="AX25" s="242" t="s">
        <v>5607</v>
      </c>
      <c r="AY25" s="242" t="s">
        <v>3657</v>
      </c>
      <c r="AZ25" s="242" t="s">
        <v>5612</v>
      </c>
      <c r="BA25" s="273"/>
      <c r="BB25" s="242" t="s">
        <v>2896</v>
      </c>
      <c r="BC25" s="242" t="s">
        <v>5185</v>
      </c>
      <c r="BD25" s="242" t="s">
        <v>4121</v>
      </c>
      <c r="BE25" s="242" t="s">
        <v>5618</v>
      </c>
      <c r="BF25" s="242" t="s">
        <v>1231</v>
      </c>
      <c r="BG25" s="242" t="s">
        <v>3528</v>
      </c>
      <c r="BH25" s="242" t="s">
        <v>4479</v>
      </c>
      <c r="BI25" s="242" t="s">
        <v>1534</v>
      </c>
      <c r="BJ25" s="242" t="s">
        <v>2292</v>
      </c>
      <c r="BK25" s="242" t="s">
        <v>5629</v>
      </c>
      <c r="BL25" s="242" t="s">
        <v>5630</v>
      </c>
      <c r="BM25" s="242" t="s">
        <v>5631</v>
      </c>
      <c r="BN25" s="242" t="s">
        <v>1323</v>
      </c>
      <c r="BO25" s="242" t="s">
        <v>5636</v>
      </c>
      <c r="BP25" s="242" t="s">
        <v>5639</v>
      </c>
      <c r="BQ25" s="312"/>
      <c r="BR25" s="242" t="s">
        <v>5641</v>
      </c>
      <c r="BS25" s="242" t="s">
        <v>4641</v>
      </c>
      <c r="BT25" s="242" t="s">
        <v>5645</v>
      </c>
      <c r="BU25" s="242" t="s">
        <v>5647</v>
      </c>
      <c r="BV25" s="242" t="s">
        <v>4653</v>
      </c>
      <c r="BW25" s="242" t="s">
        <v>5662</v>
      </c>
      <c r="BX25" s="242" t="s">
        <v>5667</v>
      </c>
      <c r="BY25" s="242" t="s">
        <v>5680</v>
      </c>
      <c r="BZ25" s="908" t="s">
        <v>5682</v>
      </c>
      <c r="CA25" s="242" t="s">
        <v>1527</v>
      </c>
      <c r="CB25" s="242" t="s">
        <v>5684</v>
      </c>
      <c r="CC25" s="242" t="s">
        <v>5690</v>
      </c>
      <c r="CD25" s="242" t="s">
        <v>3000</v>
      </c>
      <c r="CE25" s="242" t="s">
        <v>5696</v>
      </c>
      <c r="CF25" s="312"/>
      <c r="CG25" s="242" t="s">
        <v>5698</v>
      </c>
      <c r="CH25" s="242" t="s">
        <v>826</v>
      </c>
      <c r="CI25" s="242" t="s">
        <v>5707</v>
      </c>
      <c r="CJ25" s="242" t="s">
        <v>5708</v>
      </c>
      <c r="CK25" s="263"/>
      <c r="CL25" s="242" t="s">
        <v>5709</v>
      </c>
      <c r="CM25" s="242" t="s">
        <v>5713</v>
      </c>
      <c r="CN25" s="242" t="s">
        <v>476</v>
      </c>
      <c r="CO25" s="242" t="s">
        <v>222</v>
      </c>
      <c r="CP25" s="242" t="s">
        <v>5720</v>
      </c>
      <c r="CQ25" s="242" t="s">
        <v>5007</v>
      </c>
      <c r="CR25" s="242" t="s">
        <v>2549</v>
      </c>
      <c r="CS25" s="908" t="s">
        <v>2186</v>
      </c>
      <c r="CT25" s="242" t="s">
        <v>5726</v>
      </c>
      <c r="CU25" s="62"/>
      <c r="CV25" s="301" t="str">
        <f>HYPERLINK("https://www.youtube.com/watch?v=parV2KwURTw","43.36")</f>
        <v>43.36</v>
      </c>
      <c r="CW25" s="242" t="s">
        <v>5733</v>
      </c>
      <c r="CX25" s="301" t="s">
        <v>5735</v>
      </c>
      <c r="CY25" s="242" t="s">
        <v>3245</v>
      </c>
      <c r="CZ25" s="242" t="s">
        <v>4534</v>
      </c>
      <c r="DA25" s="242" t="s">
        <v>4089</v>
      </c>
      <c r="DB25" s="242" t="s">
        <v>5749</v>
      </c>
      <c r="DC25" s="242" t="s">
        <v>2121</v>
      </c>
      <c r="DD25" s="242" t="s">
        <v>5756</v>
      </c>
      <c r="DE25" s="242" t="s">
        <v>3570</v>
      </c>
      <c r="DF25" s="242" t="s">
        <v>637</v>
      </c>
      <c r="DG25" s="242" t="s">
        <v>5770</v>
      </c>
      <c r="DH25" s="273"/>
      <c r="DI25" s="242" t="s">
        <v>2084</v>
      </c>
      <c r="DJ25" s="301" t="str">
        <f>HYPERLINK("https://www.youtube.com/watch?v=tvfpeUyMNms","1:33.18")</f>
        <v>1:33.18</v>
      </c>
      <c r="DK25" s="242" t="s">
        <v>5777</v>
      </c>
      <c r="DL25" s="242" t="s">
        <v>5779</v>
      </c>
      <c r="DM25" s="248" t="s">
        <v>477</v>
      </c>
      <c r="DN25" s="242" t="s">
        <v>3832</v>
      </c>
      <c r="DO25" s="242" t="s">
        <v>5783</v>
      </c>
      <c r="DP25" s="242" t="s">
        <v>5381</v>
      </c>
      <c r="DQ25" s="236" t="s">
        <v>5237</v>
      </c>
      <c r="DR25" s="242" t="s">
        <v>864</v>
      </c>
      <c r="DS25" s="242" t="s">
        <v>905</v>
      </c>
      <c r="DT25" s="242" t="s">
        <v>5794</v>
      </c>
      <c r="DU25" s="242" t="s">
        <v>5798</v>
      </c>
      <c r="DV25" s="242" t="s">
        <v>262</v>
      </c>
      <c r="DW25" s="242" t="s">
        <v>5533</v>
      </c>
      <c r="DX25" s="242" t="s">
        <v>5821</v>
      </c>
      <c r="DY25" s="242" t="s">
        <v>5828</v>
      </c>
      <c r="DZ25" s="242" t="s">
        <v>5835</v>
      </c>
      <c r="EA25" s="242" t="s">
        <v>5842</v>
      </c>
      <c r="EB25" s="242" t="s">
        <v>2879</v>
      </c>
      <c r="EC25" s="242" t="s">
        <v>5859</v>
      </c>
      <c r="ED25" s="301" t="s">
        <v>365</v>
      </c>
    </row>
    <row r="26">
      <c r="A26" s="545" t="s">
        <v>88</v>
      </c>
      <c r="B26" s="381" t="s">
        <v>5871</v>
      </c>
      <c r="C26" s="384" t="s">
        <v>76</v>
      </c>
      <c r="D26" s="386" t="s">
        <v>127</v>
      </c>
      <c r="E26" s="389" t="s">
        <v>156</v>
      </c>
      <c r="F26" s="390" t="s">
        <v>2507</v>
      </c>
      <c r="G26" s="381" t="s">
        <v>5876</v>
      </c>
      <c r="H26" s="406" t="s">
        <v>5308</v>
      </c>
      <c r="I26" s="406" t="s">
        <v>2646</v>
      </c>
      <c r="J26" s="406" t="s">
        <v>4154</v>
      </c>
      <c r="K26" s="406" t="s">
        <v>371</v>
      </c>
      <c r="L26" s="406" t="s">
        <v>5882</v>
      </c>
      <c r="M26" s="547" t="s">
        <v>5885</v>
      </c>
      <c r="N26" s="406" t="s">
        <v>5886</v>
      </c>
      <c r="O26" s="406" t="s">
        <v>5888</v>
      </c>
      <c r="P26" s="406" t="s">
        <v>379</v>
      </c>
      <c r="Q26" s="547" t="s">
        <v>5891</v>
      </c>
      <c r="R26" s="849"/>
      <c r="S26" s="849"/>
      <c r="T26" s="849"/>
      <c r="U26" s="849"/>
      <c r="V26" s="547" t="s">
        <v>5895</v>
      </c>
      <c r="W26" s="62"/>
      <c r="X26" s="417" t="s">
        <v>1104</v>
      </c>
      <c r="Y26" s="413"/>
      <c r="Z26" s="412" t="s">
        <v>392</v>
      </c>
      <c r="AA26" s="683" t="s">
        <v>5898</v>
      </c>
      <c r="AB26" s="683" t="s">
        <v>394</v>
      </c>
      <c r="AC26" s="417" t="s">
        <v>2566</v>
      </c>
      <c r="AD26" s="417" t="s">
        <v>779</v>
      </c>
      <c r="AE26" s="683"/>
      <c r="AF26" s="417" t="s">
        <v>5900</v>
      </c>
      <c r="AG26" s="1218" t="s">
        <v>5901</v>
      </c>
      <c r="AH26" s="852"/>
      <c r="AI26" s="683"/>
      <c r="AJ26" s="683" t="s">
        <v>3575</v>
      </c>
      <c r="AK26" s="683" t="s">
        <v>5904</v>
      </c>
      <c r="AL26" s="61"/>
      <c r="AM26" s="855"/>
      <c r="AN26" s="571" t="s">
        <v>5905</v>
      </c>
      <c r="AO26" s="427" t="s">
        <v>5745</v>
      </c>
      <c r="AP26" s="571" t="s">
        <v>3398</v>
      </c>
      <c r="AQ26" s="571" t="s">
        <v>5907</v>
      </c>
      <c r="AR26" s="571" t="s">
        <v>5909</v>
      </c>
      <c r="AS26" s="855"/>
      <c r="AT26" s="855"/>
      <c r="AU26" s="425" t="s">
        <v>5052</v>
      </c>
      <c r="AV26" s="574" t="s">
        <v>5910</v>
      </c>
      <c r="AW26" s="571" t="s">
        <v>420</v>
      </c>
      <c r="AX26" s="855"/>
      <c r="AY26" s="855"/>
      <c r="AZ26" s="571" t="s">
        <v>5911</v>
      </c>
      <c r="BA26" s="571"/>
      <c r="BB26" s="589" t="s">
        <v>5912</v>
      </c>
      <c r="BC26" s="589" t="s">
        <v>5185</v>
      </c>
      <c r="BD26" s="695" t="s">
        <v>4125</v>
      </c>
      <c r="BE26" s="1222" t="s">
        <v>3215</v>
      </c>
      <c r="BF26" s="1040" t="s">
        <v>4195</v>
      </c>
      <c r="BG26" s="589" t="s">
        <v>5913</v>
      </c>
      <c r="BH26" s="587"/>
      <c r="BI26" s="589" t="s">
        <v>4657</v>
      </c>
      <c r="BJ26" s="589" t="s">
        <v>2889</v>
      </c>
      <c r="BK26" s="589" t="s">
        <v>5914</v>
      </c>
      <c r="BL26" s="589" t="s">
        <v>3010</v>
      </c>
      <c r="BM26" s="587"/>
      <c r="BN26" s="439" t="s">
        <v>4118</v>
      </c>
      <c r="BO26" s="589" t="s">
        <v>5915</v>
      </c>
      <c r="BP26" s="1040" t="s">
        <v>5916</v>
      </c>
      <c r="BQ26" s="857"/>
      <c r="BR26" s="969" t="s">
        <v>5919</v>
      </c>
      <c r="BS26" s="448" t="s">
        <v>1923</v>
      </c>
      <c r="BT26" s="448" t="s">
        <v>5924</v>
      </c>
      <c r="BU26" s="1225" t="s">
        <v>977</v>
      </c>
      <c r="BV26" s="448" t="s">
        <v>5925</v>
      </c>
      <c r="BW26" s="595" t="s">
        <v>4967</v>
      </c>
      <c r="BX26" s="859"/>
      <c r="BY26" s="859"/>
      <c r="BZ26" s="1045" t="s">
        <v>5930</v>
      </c>
      <c r="CA26" s="594" t="s">
        <v>5381</v>
      </c>
      <c r="CB26" s="594" t="s">
        <v>5933</v>
      </c>
      <c r="CC26" s="448" t="s">
        <v>460</v>
      </c>
      <c r="CD26" s="448" t="s">
        <v>5178</v>
      </c>
      <c r="CE26" s="594" t="s">
        <v>5960</v>
      </c>
      <c r="CF26" s="1011"/>
      <c r="CG26" s="459" t="s">
        <v>4443</v>
      </c>
      <c r="CH26" s="459" t="s">
        <v>5970</v>
      </c>
      <c r="CI26" s="606" t="s">
        <v>5979</v>
      </c>
      <c r="CJ26" s="459" t="s">
        <v>5982</v>
      </c>
      <c r="CK26" s="904"/>
      <c r="CL26" s="904"/>
      <c r="CM26" s="818" t="s">
        <v>5990</v>
      </c>
      <c r="CN26" s="927" t="s">
        <v>1446</v>
      </c>
      <c r="CO26" s="606" t="s">
        <v>4481</v>
      </c>
      <c r="CP26" s="863"/>
      <c r="CQ26" s="606" t="s">
        <v>588</v>
      </c>
      <c r="CR26" s="606"/>
      <c r="CS26" s="606" t="s">
        <v>5099</v>
      </c>
      <c r="CT26" s="927" t="s">
        <v>4579</v>
      </c>
      <c r="CU26" s="62"/>
      <c r="CV26" s="466" t="s">
        <v>6008</v>
      </c>
      <c r="CW26" s="703" t="s">
        <v>6012</v>
      </c>
      <c r="CX26" s="823" t="s">
        <v>1581</v>
      </c>
      <c r="CY26" s="466" t="s">
        <v>5284</v>
      </c>
      <c r="CZ26" s="466" t="s">
        <v>6017</v>
      </c>
      <c r="DA26" s="1232" t="s">
        <v>6020</v>
      </c>
      <c r="DB26" s="1233" t="s">
        <v>6027</v>
      </c>
      <c r="DC26" s="466" t="s">
        <v>6028</v>
      </c>
      <c r="DD26" s="703" t="s">
        <v>6029</v>
      </c>
      <c r="DE26" s="703" t="s">
        <v>3799</v>
      </c>
      <c r="DF26" s="703" t="s">
        <v>6032</v>
      </c>
      <c r="DG26" s="703" t="s">
        <v>6033</v>
      </c>
      <c r="DH26" s="703"/>
      <c r="DI26" s="707" t="s">
        <v>421</v>
      </c>
      <c r="DJ26" s="866"/>
      <c r="DK26" s="866"/>
      <c r="DL26" s="866"/>
      <c r="DM26" s="612" t="s">
        <v>477</v>
      </c>
      <c r="DN26" s="707" t="s">
        <v>6041</v>
      </c>
      <c r="DO26" s="707" t="s">
        <v>6044</v>
      </c>
      <c r="DP26" s="866"/>
      <c r="DQ26" s="866"/>
      <c r="DR26" s="483" t="s">
        <v>6047</v>
      </c>
      <c r="DS26" s="707" t="s">
        <v>2126</v>
      </c>
      <c r="DT26" s="707" t="s">
        <v>4299</v>
      </c>
      <c r="DU26" s="905"/>
      <c r="DV26" s="866"/>
      <c r="DW26" s="707" t="s">
        <v>4757</v>
      </c>
      <c r="DX26" s="866"/>
      <c r="DY26" s="707" t="s">
        <v>5828</v>
      </c>
      <c r="DZ26" s="707" t="s">
        <v>982</v>
      </c>
      <c r="EA26" s="707" t="s">
        <v>6061</v>
      </c>
      <c r="EB26" s="483" t="s">
        <v>6063</v>
      </c>
      <c r="EC26" s="707" t="s">
        <v>4246</v>
      </c>
      <c r="ED26" s="974" t="s">
        <v>6076</v>
      </c>
    </row>
    <row r="27">
      <c r="A27" s="228" t="s">
        <v>6078</v>
      </c>
      <c r="B27" s="229" t="s">
        <v>6080</v>
      </c>
      <c r="C27" s="230" t="s">
        <v>155</v>
      </c>
      <c r="D27" s="231" t="s">
        <v>155</v>
      </c>
      <c r="E27" s="232" t="s">
        <v>76</v>
      </c>
      <c r="F27" s="233" t="s">
        <v>3378</v>
      </c>
      <c r="G27" s="229" t="s">
        <v>3535</v>
      </c>
      <c r="H27" s="273" t="s">
        <v>6084</v>
      </c>
      <c r="I27" s="273" t="s">
        <v>6085</v>
      </c>
      <c r="J27" s="242" t="s">
        <v>694</v>
      </c>
      <c r="K27" s="273" t="s">
        <v>774</v>
      </c>
      <c r="L27" s="242" t="s">
        <v>4861</v>
      </c>
      <c r="M27" s="273" t="s">
        <v>6098</v>
      </c>
      <c r="N27" s="273" t="s">
        <v>4834</v>
      </c>
      <c r="O27" s="273" t="s">
        <v>6101</v>
      </c>
      <c r="P27" s="273" t="s">
        <v>1656</v>
      </c>
      <c r="Q27" s="242" t="s">
        <v>6102</v>
      </c>
      <c r="R27" s="273"/>
      <c r="S27" s="273" t="s">
        <v>1316</v>
      </c>
      <c r="T27" s="273" t="s">
        <v>6105</v>
      </c>
      <c r="U27" s="273" t="s">
        <v>4738</v>
      </c>
      <c r="V27" s="273" t="s">
        <v>6106</v>
      </c>
      <c r="W27" s="62"/>
      <c r="X27" s="273" t="s">
        <v>198</v>
      </c>
      <c r="Y27" s="273"/>
      <c r="Z27" s="273" t="s">
        <v>5322</v>
      </c>
      <c r="AA27" s="273" t="s">
        <v>2515</v>
      </c>
      <c r="AB27" s="273" t="s">
        <v>6108</v>
      </c>
      <c r="AC27" s="242" t="s">
        <v>6109</v>
      </c>
      <c r="AD27" s="273" t="s">
        <v>6110</v>
      </c>
      <c r="AE27" s="273" t="s">
        <v>6111</v>
      </c>
      <c r="AF27" s="242" t="s">
        <v>400</v>
      </c>
      <c r="AG27" s="273" t="s">
        <v>3467</v>
      </c>
      <c r="AH27" s="1242" t="s">
        <v>2801</v>
      </c>
      <c r="AI27" s="768"/>
      <c r="AJ27" s="273" t="s">
        <v>2711</v>
      </c>
      <c r="AK27" s="273" t="s">
        <v>6116</v>
      </c>
      <c r="AL27" s="61"/>
      <c r="AM27" s="273" t="s">
        <v>1300</v>
      </c>
      <c r="AN27" s="242" t="s">
        <v>6117</v>
      </c>
      <c r="AO27" s="242" t="s">
        <v>6118</v>
      </c>
      <c r="AP27" s="273" t="s">
        <v>6119</v>
      </c>
      <c r="AQ27" s="242" t="s">
        <v>6120</v>
      </c>
      <c r="AR27" s="242" t="s">
        <v>4234</v>
      </c>
      <c r="AS27" s="273" t="s">
        <v>2428</v>
      </c>
      <c r="AT27" s="273" t="s">
        <v>6122</v>
      </c>
      <c r="AU27" s="242" t="s">
        <v>4316</v>
      </c>
      <c r="AV27" s="273" t="s">
        <v>4657</v>
      </c>
      <c r="AW27" s="263" t="s">
        <v>6126</v>
      </c>
      <c r="AX27" s="273"/>
      <c r="AY27" s="273" t="s">
        <v>6127</v>
      </c>
      <c r="AZ27" s="273" t="s">
        <v>6129</v>
      </c>
      <c r="BA27" s="273"/>
      <c r="BB27" s="242" t="s">
        <v>6130</v>
      </c>
      <c r="BC27" s="273" t="s">
        <v>6132</v>
      </c>
      <c r="BD27" s="273" t="s">
        <v>430</v>
      </c>
      <c r="BE27" s="273" t="s">
        <v>6133</v>
      </c>
      <c r="BF27" s="273" t="s">
        <v>3588</v>
      </c>
      <c r="BG27" s="242" t="s">
        <v>6134</v>
      </c>
      <c r="BH27" s="273" t="s">
        <v>6137</v>
      </c>
      <c r="BI27" s="273" t="s">
        <v>2349</v>
      </c>
      <c r="BJ27" s="273" t="s">
        <v>6139</v>
      </c>
      <c r="BK27" s="273" t="s">
        <v>6140</v>
      </c>
      <c r="BL27" s="273" t="s">
        <v>3394</v>
      </c>
      <c r="BM27" s="273" t="s">
        <v>6141</v>
      </c>
      <c r="BN27" s="908" t="s">
        <v>4295</v>
      </c>
      <c r="BO27" s="273" t="s">
        <v>6142</v>
      </c>
      <c r="BP27" s="273" t="s">
        <v>6143</v>
      </c>
      <c r="BQ27" s="312"/>
      <c r="BR27" s="273"/>
      <c r="BS27" s="273" t="s">
        <v>6149</v>
      </c>
      <c r="BT27" s="273" t="s">
        <v>4536</v>
      </c>
      <c r="BU27" s="273" t="s">
        <v>2071</v>
      </c>
      <c r="BV27" s="242" t="s">
        <v>6154</v>
      </c>
      <c r="BW27" s="273" t="s">
        <v>827</v>
      </c>
      <c r="BX27" s="273" t="s">
        <v>6162</v>
      </c>
      <c r="BY27" s="1246" t="s">
        <v>6163</v>
      </c>
      <c r="BZ27" s="273" t="s">
        <v>6164</v>
      </c>
      <c r="CA27" s="242" t="s">
        <v>4768</v>
      </c>
      <c r="CB27" s="273" t="s">
        <v>6168</v>
      </c>
      <c r="CC27" s="273" t="s">
        <v>6169</v>
      </c>
      <c r="CD27" s="273" t="s">
        <v>1634</v>
      </c>
      <c r="CE27" s="273" t="s">
        <v>6170</v>
      </c>
      <c r="CF27" s="312"/>
      <c r="CG27" s="242" t="s">
        <v>4833</v>
      </c>
      <c r="CH27" s="242" t="s">
        <v>6175</v>
      </c>
      <c r="CI27" s="273" t="s">
        <v>6176</v>
      </c>
      <c r="CJ27" s="273" t="s">
        <v>6177</v>
      </c>
      <c r="CK27" s="273"/>
      <c r="CL27" s="273" t="s">
        <v>6178</v>
      </c>
      <c r="CM27" s="273" t="s">
        <v>1986</v>
      </c>
      <c r="CN27" s="242" t="s">
        <v>4233</v>
      </c>
      <c r="CO27" s="273" t="s">
        <v>5216</v>
      </c>
      <c r="CP27" s="522" t="s">
        <v>5091</v>
      </c>
      <c r="CQ27" s="242" t="s">
        <v>4393</v>
      </c>
      <c r="CR27" s="273"/>
      <c r="CS27" s="273" t="s">
        <v>6188</v>
      </c>
      <c r="CT27" s="273" t="s">
        <v>6190</v>
      </c>
      <c r="CU27" s="62"/>
      <c r="CV27" s="273" t="s">
        <v>3878</v>
      </c>
      <c r="CW27" s="273" t="s">
        <v>5221</v>
      </c>
      <c r="CX27" s="242" t="s">
        <v>1581</v>
      </c>
      <c r="CY27" s="273" t="s">
        <v>6194</v>
      </c>
      <c r="CZ27" s="273" t="s">
        <v>6196</v>
      </c>
      <c r="DA27" s="273" t="s">
        <v>6197</v>
      </c>
      <c r="DB27" s="273" t="s">
        <v>6198</v>
      </c>
      <c r="DC27" s="273" t="s">
        <v>3231</v>
      </c>
      <c r="DD27" s="242" t="s">
        <v>6199</v>
      </c>
      <c r="DE27" s="273" t="s">
        <v>6203</v>
      </c>
      <c r="DF27" s="273" t="s">
        <v>5226</v>
      </c>
      <c r="DG27" s="273" t="s">
        <v>6207</v>
      </c>
      <c r="DH27" s="273"/>
      <c r="DI27" s="273" t="s">
        <v>6208</v>
      </c>
      <c r="DJ27" s="273"/>
      <c r="DK27" s="301" t="str">
        <f>HYPERLINK("https://youtu.be/OBiIqIyDHqc","1:30.08")</f>
        <v>1:30.08</v>
      </c>
      <c r="DL27" s="273"/>
      <c r="DM27" s="242" t="s">
        <v>1883</v>
      </c>
      <c r="DN27" s="273" t="s">
        <v>1911</v>
      </c>
      <c r="DO27" s="273" t="s">
        <v>816</v>
      </c>
      <c r="DP27" s="273" t="s">
        <v>6220</v>
      </c>
      <c r="DQ27" s="273" t="s">
        <v>5057</v>
      </c>
      <c r="DR27" s="273" t="s">
        <v>6224</v>
      </c>
      <c r="DS27" s="273"/>
      <c r="DT27" s="273" t="s">
        <v>6228</v>
      </c>
      <c r="DU27" s="273" t="s">
        <v>6232</v>
      </c>
      <c r="DV27" s="273" t="s">
        <v>1928</v>
      </c>
      <c r="DW27" s="273" t="s">
        <v>6238</v>
      </c>
      <c r="DX27" s="273" t="s">
        <v>6240</v>
      </c>
      <c r="DY27" s="273" t="s">
        <v>2156</v>
      </c>
      <c r="DZ27" s="273" t="s">
        <v>6246</v>
      </c>
      <c r="EA27" s="273" t="s">
        <v>6248</v>
      </c>
      <c r="EB27" s="273" t="s">
        <v>6253</v>
      </c>
      <c r="EC27" s="273" t="s">
        <v>5017</v>
      </c>
      <c r="ED27" s="301" t="s">
        <v>6257</v>
      </c>
    </row>
    <row r="28">
      <c r="A28" s="1262" t="s">
        <v>116</v>
      </c>
      <c r="B28" s="381" t="s">
        <v>6271</v>
      </c>
      <c r="C28" s="384" t="s">
        <v>155</v>
      </c>
      <c r="D28" s="386" t="s">
        <v>155</v>
      </c>
      <c r="E28" s="389" t="s">
        <v>76</v>
      </c>
      <c r="F28" s="390" t="s">
        <v>3692</v>
      </c>
      <c r="G28" s="381" t="s">
        <v>6281</v>
      </c>
      <c r="H28" s="1266" t="s">
        <v>1066</v>
      </c>
      <c r="I28" s="1268" t="s">
        <v>564</v>
      </c>
      <c r="J28" s="1268" t="s">
        <v>370</v>
      </c>
      <c r="K28" s="1268" t="s">
        <v>768</v>
      </c>
      <c r="L28" s="1268" t="s">
        <v>1315</v>
      </c>
      <c r="M28" s="1269" t="s">
        <v>2217</v>
      </c>
      <c r="N28" s="1266" t="s">
        <v>1801</v>
      </c>
      <c r="O28" s="1268" t="s">
        <v>6313</v>
      </c>
      <c r="P28" s="1268" t="s">
        <v>379</v>
      </c>
      <c r="Q28" s="1271" t="s">
        <v>2497</v>
      </c>
      <c r="R28" s="1266" t="s">
        <v>666</v>
      </c>
      <c r="S28" s="1266" t="s">
        <v>1303</v>
      </c>
      <c r="T28" s="1268" t="s">
        <v>6340</v>
      </c>
      <c r="U28" s="1268" t="s">
        <v>6348</v>
      </c>
      <c r="V28" s="1269" t="s">
        <v>6351</v>
      </c>
      <c r="W28" s="504"/>
      <c r="X28" s="1272" t="s">
        <v>6357</v>
      </c>
      <c r="Y28" s="1273"/>
      <c r="Z28" s="1273" t="s">
        <v>6363</v>
      </c>
      <c r="AA28" s="1274" t="s">
        <v>6368</v>
      </c>
      <c r="AB28" s="1274" t="s">
        <v>6377</v>
      </c>
      <c r="AC28" s="1276" t="str">
        <f>HYPERLINK("https://youtu.be/uGMxtAWodvo","30.22")</f>
        <v>30.22</v>
      </c>
      <c r="AD28" s="1276" t="s">
        <v>2283</v>
      </c>
      <c r="AE28" s="1273"/>
      <c r="AF28" s="1274" t="s">
        <v>3157</v>
      </c>
      <c r="AG28" s="1276" t="str">
        <f>HYPERLINK("https://www.youtube.com/watch?v=EdK5oJYC1tk","15.10")</f>
        <v>15.10</v>
      </c>
      <c r="AH28" s="1274" t="s">
        <v>1634</v>
      </c>
      <c r="AI28" s="1274" t="s">
        <v>2027</v>
      </c>
      <c r="AJ28" s="1276" t="str">
        <f>HYPERLINK("https://youtu.be/ZXRdUyO-EWA","1:01.11")</f>
        <v>1:01.11</v>
      </c>
      <c r="AK28" s="1272" t="s">
        <v>6449</v>
      </c>
      <c r="AL28" s="1282"/>
      <c r="AM28" s="705" t="s">
        <v>1330</v>
      </c>
      <c r="AN28" s="1284" t="s">
        <v>3542</v>
      </c>
      <c r="AO28" s="1285" t="s">
        <v>6461</v>
      </c>
      <c r="AP28" s="1284" t="s">
        <v>6465</v>
      </c>
      <c r="AQ28" s="1285"/>
      <c r="AR28" s="1285"/>
      <c r="AS28" s="1284" t="s">
        <v>6479</v>
      </c>
      <c r="AT28" s="1286" t="s">
        <v>988</v>
      </c>
      <c r="AU28" s="1284" t="s">
        <v>3638</v>
      </c>
      <c r="AV28" s="1284" t="s">
        <v>6489</v>
      </c>
      <c r="AW28" s="1288" t="s">
        <v>430</v>
      </c>
      <c r="AX28" s="1286" t="str">
        <f>HYPERLINK("https://youtu.be/LGq_coDO1t0","41.89")</f>
        <v>41.89</v>
      </c>
      <c r="AY28" s="1284" t="s">
        <v>4799</v>
      </c>
      <c r="AZ28" s="1285" t="s">
        <v>6499</v>
      </c>
      <c r="BA28" s="1285"/>
      <c r="BB28" s="1293" t="s">
        <v>6500</v>
      </c>
      <c r="BC28" s="1294" t="s">
        <v>428</v>
      </c>
      <c r="BD28" s="1294" t="s">
        <v>430</v>
      </c>
      <c r="BE28" s="1293" t="s">
        <v>6524</v>
      </c>
      <c r="BF28" s="1295" t="s">
        <v>896</v>
      </c>
      <c r="BG28" s="1293" t="s">
        <v>1693</v>
      </c>
      <c r="BH28" s="1293" t="str">
        <f>HYPERLINK("https://youtu.be/SCwM4I4j6-A","50.19")</f>
        <v>50.19</v>
      </c>
      <c r="BI28" s="1293" t="s">
        <v>3959</v>
      </c>
      <c r="BJ28" s="1295"/>
      <c r="BK28" s="1293" t="str">
        <f>HYPERLINK("https://youtu.be/1ecLZd2x6O4","1:28.27")</f>
        <v>1:28.27</v>
      </c>
      <c r="BL28" s="1293" t="s">
        <v>3014</v>
      </c>
      <c r="BM28" s="1295" t="s">
        <v>6573</v>
      </c>
      <c r="BN28" s="1294" t="s">
        <v>444</v>
      </c>
      <c r="BO28" s="1293" t="str">
        <f>HYPERLINK("https://youtu.be/tUFd3-e8u0s","1:27.08")</f>
        <v>1:27.08</v>
      </c>
      <c r="BP28" s="1295" t="s">
        <v>3947</v>
      </c>
      <c r="BQ28" s="1297"/>
      <c r="BR28" s="1298" t="s">
        <v>4302</v>
      </c>
      <c r="BS28" s="1300" t="str">
        <f>HYPERLINK("https://youtu.be/sYs50tvUHuo","52.01")</f>
        <v>52.01</v>
      </c>
      <c r="BT28" s="1301" t="s">
        <v>2550</v>
      </c>
      <c r="BU28" s="1300" t="s">
        <v>4261</v>
      </c>
      <c r="BV28" s="1298" t="s">
        <v>5329</v>
      </c>
      <c r="BW28" s="1300" t="str">
        <f>HYPERLINK("https://youtu.be/n7zdK3H7Bag","22.27")</f>
        <v>22.27</v>
      </c>
      <c r="BX28" s="1298"/>
      <c r="BY28" s="1298" t="s">
        <v>6644</v>
      </c>
      <c r="BZ28" s="1300" t="s">
        <v>4587</v>
      </c>
      <c r="CA28" s="1301" t="s">
        <v>3731</v>
      </c>
      <c r="CB28" s="1301" t="s">
        <v>6674</v>
      </c>
      <c r="CC28" s="1301" t="s">
        <v>2657</v>
      </c>
      <c r="CD28" s="1300" t="s">
        <v>1742</v>
      </c>
      <c r="CE28" s="1298" t="s">
        <v>6679</v>
      </c>
      <c r="CF28" s="1305"/>
      <c r="CG28" s="1309" t="s">
        <v>224</v>
      </c>
      <c r="CH28" s="1309" t="s">
        <v>4938</v>
      </c>
      <c r="CI28" s="1309" t="s">
        <v>6684</v>
      </c>
      <c r="CJ28" s="1319" t="s">
        <v>3242</v>
      </c>
      <c r="CK28" s="1320"/>
      <c r="CL28" s="1319" t="s">
        <v>6691</v>
      </c>
      <c r="CM28" s="1309" t="s">
        <v>6695</v>
      </c>
      <c r="CN28" s="1319" t="s">
        <v>1821</v>
      </c>
      <c r="CO28" s="1309" t="s">
        <v>4559</v>
      </c>
      <c r="CP28" s="1326"/>
      <c r="CQ28" s="1326" t="s">
        <v>1503</v>
      </c>
      <c r="CR28" s="1326"/>
      <c r="CS28" s="1326" t="s">
        <v>3661</v>
      </c>
      <c r="CT28" s="1326"/>
      <c r="CU28" s="504"/>
      <c r="CV28" s="1328" t="s">
        <v>5165</v>
      </c>
      <c r="CW28" s="1329" t="str">
        <f>HYPERLINK("https://www.youtube.com/watch?v=wOcz6idXkPk","13.28")</f>
        <v>13.28</v>
      </c>
      <c r="CX28" s="1332" t="s">
        <v>2995</v>
      </c>
      <c r="CY28" s="1334" t="s">
        <v>5274</v>
      </c>
      <c r="CZ28" s="1329" t="s">
        <v>6716</v>
      </c>
      <c r="DA28" s="1332" t="s">
        <v>4020</v>
      </c>
      <c r="DB28" s="1332" t="s">
        <v>6729</v>
      </c>
      <c r="DC28" s="1332" t="s">
        <v>6732</v>
      </c>
      <c r="DD28" s="1334" t="s">
        <v>6740</v>
      </c>
      <c r="DE28" s="1334" t="s">
        <v>6743</v>
      </c>
      <c r="DF28" s="1332" t="s">
        <v>2565</v>
      </c>
      <c r="DG28" s="1329" t="str">
        <f>HYPERLINK("https://youtu.be/1RIW6L86hD0","1:39.58")</f>
        <v>1:39.58</v>
      </c>
      <c r="DH28" s="1334"/>
      <c r="DI28" s="1341" t="s">
        <v>5178</v>
      </c>
      <c r="DJ28" s="1346" t="str">
        <f>HYPERLINK("https://youtu.be/0qbQjk4eFZ4","1:30.01")</f>
        <v>1:30.01</v>
      </c>
      <c r="DK28" s="1346" t="str">
        <f>HYPERLINK("https://youtu.be/KytqO9xTGZE","1:28.71")</f>
        <v>1:28.71</v>
      </c>
      <c r="DL28" s="1341"/>
      <c r="DM28" s="1341" t="s">
        <v>1883</v>
      </c>
      <c r="DN28" s="1341" t="s">
        <v>525</v>
      </c>
      <c r="DO28" s="1346" t="s">
        <v>6802</v>
      </c>
      <c r="DP28" s="1346" t="s">
        <v>6819</v>
      </c>
      <c r="DQ28" s="1346" t="s">
        <v>6824</v>
      </c>
      <c r="DR28" s="1346" t="str">
        <f>HYPERLINK("https://youtu.be/ZcgmlQvaJlw","1:20.73")</f>
        <v>1:20.73</v>
      </c>
      <c r="DS28" s="1360" t="s">
        <v>6843</v>
      </c>
      <c r="DT28" s="1346" t="str">
        <f>HYPERLINK("https://youtu.be/dmtW9oWPfEA","13.00")</f>
        <v>13.00</v>
      </c>
      <c r="DU28" s="1362" t="s">
        <v>6850</v>
      </c>
      <c r="DV28" s="1341" t="s">
        <v>4216</v>
      </c>
      <c r="DW28" s="1362" t="s">
        <v>1908</v>
      </c>
      <c r="DX28" s="1341" t="s">
        <v>2195</v>
      </c>
      <c r="DY28" s="1341" t="s">
        <v>4365</v>
      </c>
      <c r="DZ28" s="1346" t="s">
        <v>6874</v>
      </c>
      <c r="EA28" s="1346" t="s">
        <v>6888</v>
      </c>
      <c r="EB28" s="1341" t="s">
        <v>6897</v>
      </c>
      <c r="EC28" s="1341" t="s">
        <v>6901</v>
      </c>
      <c r="ED28" s="1346" t="str">
        <f>HYPERLINK("https://youtu.be/Oh1CRK6fpa4","6.59")</f>
        <v>6.59</v>
      </c>
    </row>
    <row r="29">
      <c r="A29" s="228" t="s">
        <v>110</v>
      </c>
      <c r="B29" s="229" t="s">
        <v>6917</v>
      </c>
      <c r="C29" s="230" t="s">
        <v>76</v>
      </c>
      <c r="D29" s="231" t="s">
        <v>127</v>
      </c>
      <c r="E29" s="232" t="s">
        <v>79</v>
      </c>
      <c r="F29" s="233" t="s">
        <v>6919</v>
      </c>
      <c r="G29" s="229" t="s">
        <v>6920</v>
      </c>
      <c r="H29" s="273" t="s">
        <v>6922</v>
      </c>
      <c r="I29" s="885" t="s">
        <v>1862</v>
      </c>
      <c r="J29" s="263" t="s">
        <v>6926</v>
      </c>
      <c r="K29" s="301" t="str">
        <f>HYPERLINK("https://www.youtube.com/watch?v=V_9f-nXbRug","13.67")</f>
        <v>13.67</v>
      </c>
      <c r="L29" s="301" t="str">
        <f>HYPERLINK("https://www.youtube.com/watch?v=j1q4O70FX8E","42.43")</f>
        <v>42.43</v>
      </c>
      <c r="M29" s="273" t="s">
        <v>6932</v>
      </c>
      <c r="N29" s="301" t="str">
        <f>HYPERLINK("https://clips.twitch.tv/OilyTriangularPistachioTwitchRPG","1:09.53")</f>
        <v>1:09.53</v>
      </c>
      <c r="O29" s="885" t="s">
        <v>1990</v>
      </c>
      <c r="P29" s="301" t="str">
        <f>HYPERLINK("https://clips.twitch.tv/TalentedMushyWitchOhMyDog","15.97")</f>
        <v>15.97</v>
      </c>
      <c r="Q29" s="304"/>
      <c r="R29" s="304"/>
      <c r="S29" s="301" t="str">
        <f>HYPERLINK("https://clips.twitch.tv/AdventurousMushyEmuYouDontSay","41.89")</f>
        <v>41.89</v>
      </c>
      <c r="T29" s="273"/>
      <c r="U29" s="273"/>
      <c r="V29" s="304"/>
      <c r="W29" s="62"/>
      <c r="X29" s="273" t="s">
        <v>2187</v>
      </c>
      <c r="Y29" s="274"/>
      <c r="Z29" s="301" t="str">
        <f>HYPERLINK("https://www.youtube.com/watch?v=nyQHRNtFaXI","16.35")</f>
        <v>16.35</v>
      </c>
      <c r="AA29" s="301" t="str">
        <f>HYPERLINK("https://clips.twitch.tv/TolerantSpineyAubergineBibleThump","14.30")</f>
        <v>14.30</v>
      </c>
      <c r="AB29" s="301" t="str">
        <f>HYPERLINK("https://www.youtube.com/watch?v=9mma0iHfWaU","43.74")</f>
        <v>43.74</v>
      </c>
      <c r="AC29" s="301" t="str">
        <f>HYPERLINK("https://clips.twitch.tv/PeppyEnthusiasticTrollNotLikeThis","29.98")</f>
        <v>29.98</v>
      </c>
      <c r="AD29" s="273" t="s">
        <v>1753</v>
      </c>
      <c r="AE29" s="304"/>
      <c r="AF29" s="301" t="str">
        <f>HYPERLINK("https://clips.twitch.tv/TransparentFragileSwordLitty","1:33.78")</f>
        <v>1:33.78</v>
      </c>
      <c r="AG29" s="315" t="str">
        <f>HYPERLINK("https://clips.twitch.tv/TameArbitraryBurritoYouDontSay","15.00")</f>
        <v>15.00</v>
      </c>
      <c r="AH29" s="242" t="s">
        <v>7013</v>
      </c>
      <c r="AI29" s="274"/>
      <c r="AJ29" s="252" t="str">
        <f>HYPERLINK("https://www.twitch.tv/videos/568026549","1:02.08")</f>
        <v>1:02.08</v>
      </c>
      <c r="AK29" s="304"/>
      <c r="AL29" s="61"/>
      <c r="AM29" s="301" t="str">
        <f>HYPERLINK("https://clips.twitch.tv/EvilExcitedPangolinMrDestructoid","39.12")</f>
        <v>39.12</v>
      </c>
      <c r="AN29" s="301" t="str">
        <f>HYPERLINK("https://clips.twitch.tv/FunnySparklyDelicataArgieB8","18.64")</f>
        <v>18.64</v>
      </c>
      <c r="AO29" s="304"/>
      <c r="AP29" s="304"/>
      <c r="AQ29" s="273" t="s">
        <v>6492</v>
      </c>
      <c r="AR29" s="768"/>
      <c r="AS29" s="768"/>
      <c r="AT29" s="304"/>
      <c r="AU29" s="301" t="str">
        <f>HYPERLINK("https://clips.twitch.tv/FairColorfulRaisinImGlitch","17.90")</f>
        <v>17.90</v>
      </c>
      <c r="AV29" s="301" t="s">
        <v>1455</v>
      </c>
      <c r="AW29" s="273" t="s">
        <v>4168</v>
      </c>
      <c r="AX29" s="304"/>
      <c r="AY29" s="252" t="str">
        <f>HYPERLINK("https://www.youtube.com/watch?v=RqAsb8giAqw","42.22")</f>
        <v>42.22</v>
      </c>
      <c r="AZ29" s="304"/>
      <c r="BA29" s="304"/>
      <c r="BB29" s="301" t="str">
        <f>HYPERLINK("https://clips.twitch.tv/KitschyVivaciousInternPermaSmug","49.23")</f>
        <v>49.23</v>
      </c>
      <c r="BC29" s="908" t="s">
        <v>7092</v>
      </c>
      <c r="BD29" s="273" t="s">
        <v>826</v>
      </c>
      <c r="BE29" s="301" t="str">
        <f>HYPERLINK("https://clips.twitch.tv/DepressedAstuteChimpanzeeTebowing","33.55")</f>
        <v>33.55</v>
      </c>
      <c r="BF29" s="273" t="s">
        <v>896</v>
      </c>
      <c r="BG29" s="273" t="s">
        <v>3946</v>
      </c>
      <c r="BH29" s="301" t="str">
        <f>HYPERLINK("https://clips.twitch.tv/RichBlatantPheasantCoolStoryBob","47.65")</f>
        <v>47.65</v>
      </c>
      <c r="BI29" s="301" t="str">
        <f>HYPERLINK("https://clips.twitch.tv/AssiduousWildSlothSaltBae","25.31")</f>
        <v>25.31</v>
      </c>
      <c r="BJ29" s="304"/>
      <c r="BK29" s="273" t="s">
        <v>2375</v>
      </c>
      <c r="BL29" s="301" t="str">
        <f>HYPERLINK("https://clips.twitch.tv/TawdryImpartialIcecreamSoBayed","10.70")</f>
        <v>10.70</v>
      </c>
      <c r="BM29" s="304"/>
      <c r="BN29" s="301" t="str">
        <f>HYPERLINK("https://clips.twitch.tv/RealEsteemedWebMikeHogu","42.69")</f>
        <v>42.69</v>
      </c>
      <c r="BO29" s="304"/>
      <c r="BP29" s="304"/>
      <c r="BQ29" s="841"/>
      <c r="BR29" s="273"/>
      <c r="BS29" s="301" t="str">
        <f>HYPERLINK("https://clips.twitch.tv/TiredFastCrabNerfRedBlaster","50.67")</f>
        <v>50.67</v>
      </c>
      <c r="BT29" s="301" t="str">
        <f>HYPERLINK("https://www.youtube.com/watch?v=LJaWbr3En_A","32.92")</f>
        <v>32.92</v>
      </c>
      <c r="BU29" s="301" t="str">
        <f>HYPERLINK("https://clips.twitch.tv/MistyImpartialSoybeanKappaPride","22.40")</f>
        <v>22.40</v>
      </c>
      <c r="BV29" s="273" t="s">
        <v>7137</v>
      </c>
      <c r="BW29" s="273" t="s">
        <v>511</v>
      </c>
      <c r="BX29" s="304"/>
      <c r="BY29" s="273" t="s">
        <v>7139</v>
      </c>
      <c r="BZ29" s="252" t="str">
        <f>HYPERLINK("https://twitter.com/SuperWeegeeX/status/1256359279289864193","2:29.90")</f>
        <v>2:29.90</v>
      </c>
      <c r="CA29" s="301" t="str">
        <f>HYPERLINK("https://clips.twitch.tv/EndearingSneakyFennelCharlietheUnicorn","21.95")</f>
        <v>21.95</v>
      </c>
      <c r="CB29" s="304"/>
      <c r="CC29" s="726"/>
      <c r="CD29" s="304"/>
      <c r="CE29" s="273"/>
      <c r="CF29" s="841"/>
      <c r="CG29" s="301" t="str">
        <f>HYPERLINK("https://clips.twitch.tv/HorribleLovelyBatWholeWheat","53.53")</f>
        <v>53.53</v>
      </c>
      <c r="CH29" s="301" t="str">
        <f>HYPERLINK("https://clips.twitch.tv/ShortOriginalPangolinAMPEnergyCherry","27.32")</f>
        <v>27.32</v>
      </c>
      <c r="CI29" s="273" t="s">
        <v>4816</v>
      </c>
      <c r="CJ29" s="304"/>
      <c r="CK29" s="304"/>
      <c r="CL29" s="1394" t="str">
        <f>HYPERLINK("https://clips.twitch.tv/AltruisticSassyPigHeyGirl","11.64")</f>
        <v>11.64</v>
      </c>
      <c r="CM29" s="263" t="s">
        <v>7205</v>
      </c>
      <c r="CN29" s="252" t="s">
        <v>1446</v>
      </c>
      <c r="CO29" s="273" t="s">
        <v>4604</v>
      </c>
      <c r="CP29" s="304"/>
      <c r="CQ29" s="304"/>
      <c r="CR29" s="273"/>
      <c r="CS29" s="273"/>
      <c r="CT29" s="304"/>
      <c r="CU29" s="62"/>
      <c r="CV29" s="304"/>
      <c r="CW29" s="301" t="str">
        <f>HYPERLINK("https://clips.twitch.tv/SpineyNeighborlyCockroachNerfBlueBlaster","12.44")</f>
        <v>12.44</v>
      </c>
      <c r="CX29" s="301" t="str">
        <f>HYPERLINK("https://clips.twitch.tv/NastyAnimatedHamOpieOP","29.08")</f>
        <v>29.08</v>
      </c>
      <c r="CY29" s="304"/>
      <c r="CZ29" s="304"/>
      <c r="DA29" s="273" t="s">
        <v>1810</v>
      </c>
      <c r="DB29" s="242" t="s">
        <v>7221</v>
      </c>
      <c r="DC29" s="301" t="str">
        <f>HYPERLINK("https://clips.twitch.tv/PhilanthropicBlushingMoonRuleFive","17.64")</f>
        <v>17.64</v>
      </c>
      <c r="DD29" s="304"/>
      <c r="DE29" s="304"/>
      <c r="DF29" s="304"/>
      <c r="DG29" s="273" t="s">
        <v>400</v>
      </c>
      <c r="DH29" s="273"/>
      <c r="DI29" s="301" t="s">
        <v>502</v>
      </c>
      <c r="DJ29" s="301" t="str">
        <f>HYPERLINK("https://clips.twitch.tv/TemperedWittyShieldYouWHY","1:33.41")</f>
        <v>1:33.41</v>
      </c>
      <c r="DK29" s="304"/>
      <c r="DL29" s="274"/>
      <c r="DM29" s="315" t="s">
        <v>477</v>
      </c>
      <c r="DN29" s="301" t="s">
        <v>7242</v>
      </c>
      <c r="DO29" s="301" t="str">
        <f>HYPERLINK("https://clips.twitch.tv/EndearingWildHerringWow","23.16")</f>
        <v>23.16</v>
      </c>
      <c r="DP29" s="301" t="str">
        <f>HYPERLINK("https://clips.twitch.tv/AmorphousHonorableKoupreyPRChase","21.10")</f>
        <v>21.10</v>
      </c>
      <c r="DQ29" s="301" t="s">
        <v>7262</v>
      </c>
      <c r="DR29" s="301" t="str">
        <f>HYPERLINK("https://clips.twitch.tv/LongSwissTildeTF2John","1:18.83")</f>
        <v>1:18.83</v>
      </c>
      <c r="DS29" s="274"/>
      <c r="DT29" s="301" t="str">
        <f>HYPERLINK("https://clips.twitch.tv/ShinyImpossibleZebraSMOrc","10.73")</f>
        <v>10.73</v>
      </c>
      <c r="DU29" s="304"/>
      <c r="DV29" s="304"/>
      <c r="DW29" s="276" t="str">
        <f>HYPERLINK("https://www.youtube.com/watch?v=-NmQ0I6TGrw","22.63")</f>
        <v>22.63</v>
      </c>
      <c r="DX29" s="304"/>
      <c r="DY29" s="301" t="str">
        <f>HYPERLINK("https://www.youtube.com/watch?v=Uqlgd5_GgCU","25.31")</f>
        <v>25.31</v>
      </c>
      <c r="DZ29" s="304"/>
      <c r="EA29" s="304"/>
      <c r="EB29" s="301" t="str">
        <f>HYPERLINK("https://clips.twitch.tv/ShakingLuckyPoultryTakeNRG","19.77")</f>
        <v>19.77</v>
      </c>
      <c r="EC29" s="304"/>
      <c r="ED29" s="301" t="str">
        <f>HYPERLINK("https://clips.twitch.tv/GentleSecretiveKoalaTwitchRaid","6.36")</f>
        <v>6.36</v>
      </c>
    </row>
    <row r="30">
      <c r="A30" s="1408" t="s">
        <v>6286</v>
      </c>
      <c r="B30" s="381" t="s">
        <v>7346</v>
      </c>
      <c r="C30" s="384" t="s">
        <v>155</v>
      </c>
      <c r="D30" s="386" t="s">
        <v>156</v>
      </c>
      <c r="E30" s="389" t="s">
        <v>155</v>
      </c>
      <c r="F30" s="390" t="s">
        <v>1792</v>
      </c>
      <c r="G30" s="381" t="s">
        <v>7356</v>
      </c>
      <c r="H30" s="1411" t="s">
        <v>5308</v>
      </c>
      <c r="I30" s="1268" t="s">
        <v>7369</v>
      </c>
      <c r="J30" s="1268" t="s">
        <v>699</v>
      </c>
      <c r="K30" s="1268" t="s">
        <v>7382</v>
      </c>
      <c r="L30" s="1268" t="s">
        <v>4530</v>
      </c>
      <c r="M30" s="1268" t="s">
        <v>7416</v>
      </c>
      <c r="N30" s="1418" t="s">
        <v>7439</v>
      </c>
      <c r="O30" s="1268" t="s">
        <v>666</v>
      </c>
      <c r="P30" s="1268" t="s">
        <v>1093</v>
      </c>
      <c r="Q30" s="1420" t="s">
        <v>7481</v>
      </c>
      <c r="R30" s="1269"/>
      <c r="S30" s="1420" t="s">
        <v>3940</v>
      </c>
      <c r="T30" s="1269"/>
      <c r="U30" s="1420" t="s">
        <v>545</v>
      </c>
      <c r="V30" s="547" t="s">
        <v>7503</v>
      </c>
      <c r="W30" s="504"/>
      <c r="X30" s="1274" t="s">
        <v>545</v>
      </c>
      <c r="Y30" s="1421"/>
      <c r="Z30" s="1421" t="s">
        <v>5322</v>
      </c>
      <c r="AA30" s="1421" t="s">
        <v>97</v>
      </c>
      <c r="AB30" s="1274" t="s">
        <v>7538</v>
      </c>
      <c r="AC30" s="1274" t="s">
        <v>7560</v>
      </c>
      <c r="AD30" s="1274" t="s">
        <v>3637</v>
      </c>
      <c r="AE30" s="1272" t="s">
        <v>7585</v>
      </c>
      <c r="AF30" s="1274" t="s">
        <v>3157</v>
      </c>
      <c r="AG30" s="1274" t="s">
        <v>401</v>
      </c>
      <c r="AH30" s="1436" t="s">
        <v>7560</v>
      </c>
      <c r="AI30" s="1273"/>
      <c r="AJ30" s="1273"/>
      <c r="AK30" s="1273"/>
      <c r="AL30" s="512"/>
      <c r="AM30" s="1284" t="s">
        <v>4562</v>
      </c>
      <c r="AN30" s="1284" t="s">
        <v>3687</v>
      </c>
      <c r="AO30" s="1285"/>
      <c r="AP30" s="1285"/>
      <c r="AQ30" s="1285"/>
      <c r="AR30" s="1285"/>
      <c r="AS30" s="1284" t="s">
        <v>3177</v>
      </c>
      <c r="AT30" s="1285"/>
      <c r="AU30" s="1284" t="s">
        <v>2757</v>
      </c>
      <c r="AV30" s="1284" t="s">
        <v>7651</v>
      </c>
      <c r="AW30" s="705" t="s">
        <v>1716</v>
      </c>
      <c r="AX30" s="1285"/>
      <c r="AY30" s="1284" t="s">
        <v>7662</v>
      </c>
      <c r="AZ30" s="1285"/>
      <c r="BA30" s="1285"/>
      <c r="BB30" s="1294" t="s">
        <v>474</v>
      </c>
      <c r="BC30" s="1294" t="s">
        <v>7092</v>
      </c>
      <c r="BD30" s="1294" t="s">
        <v>430</v>
      </c>
      <c r="BE30" s="1294" t="s">
        <v>4442</v>
      </c>
      <c r="BF30" s="1294" t="s">
        <v>2258</v>
      </c>
      <c r="BG30" s="1464" t="s">
        <v>3769</v>
      </c>
      <c r="BH30" s="1295"/>
      <c r="BI30" s="1294" t="s">
        <v>7706</v>
      </c>
      <c r="BJ30" s="1471"/>
      <c r="BK30" s="1464" t="s">
        <v>7712</v>
      </c>
      <c r="BL30" s="1294" t="s">
        <v>7713</v>
      </c>
      <c r="BM30" s="1295"/>
      <c r="BN30" s="1295"/>
      <c r="BO30" s="1295"/>
      <c r="BP30" s="1295"/>
      <c r="BQ30" s="1477"/>
      <c r="BR30" s="1478" t="s">
        <v>7725</v>
      </c>
      <c r="BS30" s="1478" t="s">
        <v>1100</v>
      </c>
      <c r="BT30" s="1301" t="s">
        <v>2408</v>
      </c>
      <c r="BU30" s="1301" t="s">
        <v>805</v>
      </c>
      <c r="BV30" s="1301" t="s">
        <v>6500</v>
      </c>
      <c r="BW30" s="1478" t="s">
        <v>4682</v>
      </c>
      <c r="BX30" s="1301" t="s">
        <v>1194</v>
      </c>
      <c r="BY30" s="1487" t="s">
        <v>7763</v>
      </c>
      <c r="BZ30" s="1478" t="s">
        <v>7768</v>
      </c>
      <c r="CA30" s="1489" t="s">
        <v>3857</v>
      </c>
      <c r="CB30" s="1298"/>
      <c r="CC30" s="1298"/>
      <c r="CD30" s="1298"/>
      <c r="CE30" s="1298"/>
      <c r="CF30" s="1491"/>
      <c r="CG30" s="1309" t="s">
        <v>7792</v>
      </c>
      <c r="CH30" s="1494" t="s">
        <v>7798</v>
      </c>
      <c r="CI30" s="1309" t="s">
        <v>4357</v>
      </c>
      <c r="CJ30" s="1494" t="s">
        <v>7804</v>
      </c>
      <c r="CK30" s="1494"/>
      <c r="CL30" s="1495" t="s">
        <v>473</v>
      </c>
      <c r="CM30" s="1494" t="s">
        <v>1986</v>
      </c>
      <c r="CN30" s="1494" t="s">
        <v>2234</v>
      </c>
      <c r="CO30" s="1309" t="s">
        <v>7807</v>
      </c>
      <c r="CP30" s="1326"/>
      <c r="CQ30" s="1494" t="s">
        <v>1148</v>
      </c>
      <c r="CR30" s="1326"/>
      <c r="CS30" s="1326"/>
      <c r="CT30" s="1326"/>
      <c r="CU30" s="504"/>
      <c r="CV30" s="1332" t="s">
        <v>3651</v>
      </c>
      <c r="CW30" s="1332" t="s">
        <v>7821</v>
      </c>
      <c r="CX30" s="1332" t="s">
        <v>488</v>
      </c>
      <c r="CY30" s="1332" t="s">
        <v>2888</v>
      </c>
      <c r="CZ30" s="1332" t="s">
        <v>4959</v>
      </c>
      <c r="DA30" s="1507" t="s">
        <v>5019</v>
      </c>
      <c r="DB30" s="1512" t="s">
        <v>495</v>
      </c>
      <c r="DC30" s="1517" t="s">
        <v>845</v>
      </c>
      <c r="DD30" s="1334"/>
      <c r="DE30" s="1334"/>
      <c r="DF30" s="1334"/>
      <c r="DG30" s="1334"/>
      <c r="DH30" s="1334"/>
      <c r="DI30" s="1520" t="s">
        <v>901</v>
      </c>
      <c r="DJ30" s="1341"/>
      <c r="DK30" s="1341"/>
      <c r="DL30" s="1341"/>
      <c r="DM30" s="1362" t="s">
        <v>1883</v>
      </c>
      <c r="DN30" s="1362" t="s">
        <v>803</v>
      </c>
      <c r="DO30" s="1362" t="s">
        <v>2387</v>
      </c>
      <c r="DP30" s="1362" t="s">
        <v>2050</v>
      </c>
      <c r="DQ30" s="1341"/>
      <c r="DR30" s="1520" t="s">
        <v>2104</v>
      </c>
      <c r="DS30" s="1362" t="s">
        <v>7923</v>
      </c>
      <c r="DT30" s="1341"/>
      <c r="DU30" s="1362" t="s">
        <v>4325</v>
      </c>
      <c r="DV30" s="1341"/>
      <c r="DW30" s="1362" t="s">
        <v>2461</v>
      </c>
      <c r="DX30" s="1341"/>
      <c r="DY30" s="1341"/>
      <c r="DZ30" s="1341"/>
      <c r="EA30" s="1341"/>
      <c r="EB30" s="1341"/>
      <c r="EC30" s="1341"/>
      <c r="ED30" s="1529" t="s">
        <v>7951</v>
      </c>
    </row>
    <row r="31">
      <c r="A31" s="1530" t="s">
        <v>5868</v>
      </c>
      <c r="B31" s="229" t="s">
        <v>7970</v>
      </c>
      <c r="C31" s="230" t="s">
        <v>155</v>
      </c>
      <c r="D31" s="231" t="s">
        <v>127</v>
      </c>
      <c r="E31" s="232" t="s">
        <v>156</v>
      </c>
      <c r="F31" s="233" t="s">
        <v>1477</v>
      </c>
      <c r="G31" s="229" t="s">
        <v>2294</v>
      </c>
      <c r="H31" s="242" t="s">
        <v>7981</v>
      </c>
      <c r="I31" s="242" t="s">
        <v>6983</v>
      </c>
      <c r="J31" s="242" t="s">
        <v>8009</v>
      </c>
      <c r="K31" s="242" t="s">
        <v>3904</v>
      </c>
      <c r="L31" s="242" t="s">
        <v>8037</v>
      </c>
      <c r="M31" s="242" t="s">
        <v>5248</v>
      </c>
      <c r="N31" s="242" t="s">
        <v>8058</v>
      </c>
      <c r="O31" s="242" t="s">
        <v>8077</v>
      </c>
      <c r="P31" s="242" t="s">
        <v>2612</v>
      </c>
      <c r="Q31" s="304"/>
      <c r="R31" s="304"/>
      <c r="S31" s="304"/>
      <c r="T31" s="304"/>
      <c r="U31" s="304"/>
      <c r="V31" s="304"/>
      <c r="W31" s="62"/>
      <c r="X31" s="242" t="s">
        <v>7275</v>
      </c>
      <c r="Y31" s="263"/>
      <c r="Z31" s="242" t="s">
        <v>4419</v>
      </c>
      <c r="AA31" s="242" t="s">
        <v>8119</v>
      </c>
      <c r="AB31" s="242" t="s">
        <v>2950</v>
      </c>
      <c r="AC31" s="242" t="s">
        <v>617</v>
      </c>
      <c r="AD31" s="242" t="s">
        <v>8130</v>
      </c>
      <c r="AE31" s="273"/>
      <c r="AF31" s="242" t="s">
        <v>1162</v>
      </c>
      <c r="AG31" s="242" t="s">
        <v>217</v>
      </c>
      <c r="AH31" s="304"/>
      <c r="AI31" s="304"/>
      <c r="AJ31" s="304"/>
      <c r="AK31" s="304"/>
      <c r="AL31" s="61"/>
      <c r="AM31" s="304"/>
      <c r="AN31" s="273"/>
      <c r="AO31" s="304"/>
      <c r="AP31" s="304"/>
      <c r="AQ31" s="304"/>
      <c r="AR31" s="304"/>
      <c r="AS31" s="304"/>
      <c r="AT31" s="304"/>
      <c r="AU31" s="242" t="s">
        <v>1685</v>
      </c>
      <c r="AV31" s="242" t="s">
        <v>8131</v>
      </c>
      <c r="AW31" s="304"/>
      <c r="AX31" s="304"/>
      <c r="AY31" s="304"/>
      <c r="AZ31" s="304"/>
      <c r="BA31" s="304"/>
      <c r="BB31" s="242" t="s">
        <v>6017</v>
      </c>
      <c r="BC31" s="242" t="s">
        <v>2777</v>
      </c>
      <c r="BD31" s="242" t="s">
        <v>4697</v>
      </c>
      <c r="BE31" s="248" t="s">
        <v>1255</v>
      </c>
      <c r="BF31" s="242" t="s">
        <v>4806</v>
      </c>
      <c r="BG31" s="304"/>
      <c r="BH31" s="304"/>
      <c r="BI31" s="242" t="s">
        <v>4704</v>
      </c>
      <c r="BJ31" s="242" t="s">
        <v>8136</v>
      </c>
      <c r="BK31" s="273"/>
      <c r="BL31" s="242" t="s">
        <v>4466</v>
      </c>
      <c r="BM31" s="304"/>
      <c r="BN31" s="304"/>
      <c r="BO31" s="304"/>
      <c r="BP31" s="304"/>
      <c r="BQ31" s="841"/>
      <c r="BR31" s="247" t="s">
        <v>335</v>
      </c>
      <c r="BS31" s="248" t="s">
        <v>5603</v>
      </c>
      <c r="BT31" s="242" t="s">
        <v>4989</v>
      </c>
      <c r="BU31" s="242" t="s">
        <v>4041</v>
      </c>
      <c r="BV31" s="242" t="s">
        <v>1778</v>
      </c>
      <c r="BW31" s="242" t="s">
        <v>2262</v>
      </c>
      <c r="BX31" s="242" t="s">
        <v>8220</v>
      </c>
      <c r="BY31" s="247" t="s">
        <v>8230</v>
      </c>
      <c r="BZ31" s="304"/>
      <c r="CA31" s="242" t="s">
        <v>4698</v>
      </c>
      <c r="CB31" s="304"/>
      <c r="CC31" s="304"/>
      <c r="CD31" s="304"/>
      <c r="CE31" s="304"/>
      <c r="CF31" s="841"/>
      <c r="CG31" s="242" t="s">
        <v>759</v>
      </c>
      <c r="CH31" s="242" t="s">
        <v>612</v>
      </c>
      <c r="CI31" s="242" t="s">
        <v>8273</v>
      </c>
      <c r="CJ31" s="242" t="s">
        <v>8285</v>
      </c>
      <c r="CK31" s="247" t="s">
        <v>471</v>
      </c>
      <c r="CL31" s="242" t="s">
        <v>8288</v>
      </c>
      <c r="CM31" s="242" t="s">
        <v>8294</v>
      </c>
      <c r="CN31" s="242" t="s">
        <v>3755</v>
      </c>
      <c r="CO31" s="242" t="s">
        <v>8304</v>
      </c>
      <c r="CP31" s="304"/>
      <c r="CQ31" s="304"/>
      <c r="CR31" s="304"/>
      <c r="CS31" s="304"/>
      <c r="CT31" s="304"/>
      <c r="CU31" s="62"/>
      <c r="CV31" s="242" t="s">
        <v>1438</v>
      </c>
      <c r="CW31" s="273" t="s">
        <v>8311</v>
      </c>
      <c r="CX31" s="242" t="s">
        <v>8312</v>
      </c>
      <c r="CY31" s="242" t="s">
        <v>891</v>
      </c>
      <c r="CZ31" s="242" t="s">
        <v>4078</v>
      </c>
      <c r="DA31" s="242" t="s">
        <v>8322</v>
      </c>
      <c r="DB31" s="242" t="s">
        <v>8325</v>
      </c>
      <c r="DC31" s="242" t="s">
        <v>8326</v>
      </c>
      <c r="DD31" s="304"/>
      <c r="DE31" s="273"/>
      <c r="DF31" s="304"/>
      <c r="DG31" s="304"/>
      <c r="DH31" s="304"/>
      <c r="DI31" s="242" t="s">
        <v>8328</v>
      </c>
      <c r="DJ31" s="304"/>
      <c r="DK31" s="304"/>
      <c r="DL31" s="273"/>
      <c r="DM31" s="273"/>
      <c r="DN31" s="273"/>
      <c r="DO31" s="304"/>
      <c r="DP31" s="304"/>
      <c r="DQ31" s="304"/>
      <c r="DR31" s="242" t="s">
        <v>8330</v>
      </c>
      <c r="DS31" s="242" t="s">
        <v>5252</v>
      </c>
      <c r="DT31" s="304"/>
      <c r="DU31" s="304"/>
      <c r="DV31" s="304"/>
      <c r="DW31" s="304"/>
      <c r="DX31" s="304"/>
      <c r="DY31" s="304"/>
      <c r="DZ31" s="304"/>
      <c r="EA31" s="304"/>
      <c r="EB31" s="304"/>
      <c r="EC31" s="304"/>
      <c r="ED31" s="885"/>
    </row>
    <row r="32">
      <c r="A32" s="1548" t="s">
        <v>2910</v>
      </c>
      <c r="B32" s="381" t="s">
        <v>8331</v>
      </c>
      <c r="C32" s="384" t="s">
        <v>155</v>
      </c>
      <c r="D32" s="386" t="s">
        <v>155</v>
      </c>
      <c r="E32" s="389" t="s">
        <v>155</v>
      </c>
      <c r="F32" s="390" t="s">
        <v>8332</v>
      </c>
      <c r="G32" s="381" t="s">
        <v>1568</v>
      </c>
      <c r="H32" s="406" t="s">
        <v>4019</v>
      </c>
      <c r="I32" s="845" t="s">
        <v>8333</v>
      </c>
      <c r="J32" s="406" t="s">
        <v>692</v>
      </c>
      <c r="K32" s="406" t="s">
        <v>767</v>
      </c>
      <c r="L32" s="402" t="s">
        <v>5173</v>
      </c>
      <c r="M32" s="406" t="s">
        <v>375</v>
      </c>
      <c r="N32" s="406" t="s">
        <v>8334</v>
      </c>
      <c r="O32" s="406" t="s">
        <v>8335</v>
      </c>
      <c r="P32" s="402" t="s">
        <v>379</v>
      </c>
      <c r="Q32" s="406" t="s">
        <v>4864</v>
      </c>
      <c r="R32" s="1549" t="s">
        <v>8336</v>
      </c>
      <c r="S32" s="547" t="s">
        <v>8337</v>
      </c>
      <c r="T32" s="547" t="s">
        <v>2547</v>
      </c>
      <c r="U32" s="547" t="s">
        <v>4557</v>
      </c>
      <c r="V32" s="406" t="s">
        <v>2919</v>
      </c>
      <c r="W32" s="410"/>
      <c r="X32" s="417" t="s">
        <v>1542</v>
      </c>
      <c r="Y32" s="421"/>
      <c r="Z32" s="417" t="s">
        <v>8339</v>
      </c>
      <c r="AA32" s="417" t="s">
        <v>2861</v>
      </c>
      <c r="AB32" s="1007" t="s">
        <v>5167</v>
      </c>
      <c r="AC32" s="680" t="s">
        <v>1899</v>
      </c>
      <c r="AD32" s="417" t="s">
        <v>8340</v>
      </c>
      <c r="AE32" s="683" t="s">
        <v>8341</v>
      </c>
      <c r="AF32" s="417" t="s">
        <v>8342</v>
      </c>
      <c r="AG32" s="417" t="s">
        <v>2020</v>
      </c>
      <c r="AH32" s="417" t="s">
        <v>8344</v>
      </c>
      <c r="AI32" s="683" t="s">
        <v>3059</v>
      </c>
      <c r="AJ32" s="417" t="s">
        <v>8346</v>
      </c>
      <c r="AK32" s="417" t="s">
        <v>8347</v>
      </c>
      <c r="AL32" s="61"/>
      <c r="AM32" s="425" t="s">
        <v>8349</v>
      </c>
      <c r="AN32" s="571" t="s">
        <v>159</v>
      </c>
      <c r="AO32" s="685" t="s">
        <v>8350</v>
      </c>
      <c r="AP32" s="427" t="s">
        <v>412</v>
      </c>
      <c r="AQ32" s="427" t="s">
        <v>4952</v>
      </c>
      <c r="AR32" s="427" t="s">
        <v>4996</v>
      </c>
      <c r="AS32" s="571" t="s">
        <v>1406</v>
      </c>
      <c r="AT32" s="427" t="s">
        <v>6961</v>
      </c>
      <c r="AU32" s="427" t="s">
        <v>2380</v>
      </c>
      <c r="AV32" s="427" t="s">
        <v>711</v>
      </c>
      <c r="AW32" s="427" t="s">
        <v>8354</v>
      </c>
      <c r="AX32" s="571" t="s">
        <v>2968</v>
      </c>
      <c r="AY32" s="571" t="s">
        <v>8355</v>
      </c>
      <c r="AZ32" s="685" t="s">
        <v>8356</v>
      </c>
      <c r="BA32" s="1557"/>
      <c r="BB32" s="589" t="s">
        <v>1104</v>
      </c>
      <c r="BC32" s="439" t="s">
        <v>5626</v>
      </c>
      <c r="BD32" s="439" t="s">
        <v>8358</v>
      </c>
      <c r="BE32" s="439" t="s">
        <v>4169</v>
      </c>
      <c r="BF32" s="439" t="s">
        <v>4937</v>
      </c>
      <c r="BG32" s="589" t="s">
        <v>6659</v>
      </c>
      <c r="BH32" s="439" t="s">
        <v>5197</v>
      </c>
      <c r="BI32" s="439" t="s">
        <v>6175</v>
      </c>
      <c r="BJ32" s="439" t="s">
        <v>5980</v>
      </c>
      <c r="BK32" s="589"/>
      <c r="BL32" s="439" t="s">
        <v>3014</v>
      </c>
      <c r="BM32" s="589" t="s">
        <v>8360</v>
      </c>
      <c r="BN32" s="439" t="s">
        <v>4026</v>
      </c>
      <c r="BO32" s="589" t="s">
        <v>4434</v>
      </c>
      <c r="BP32" s="589" t="s">
        <v>6537</v>
      </c>
      <c r="BQ32" s="1558"/>
      <c r="BR32" s="448" t="s">
        <v>5855</v>
      </c>
      <c r="BS32" s="448" t="s">
        <v>594</v>
      </c>
      <c r="BT32" s="448" t="s">
        <v>3371</v>
      </c>
      <c r="BU32" s="448" t="s">
        <v>4596</v>
      </c>
      <c r="BV32" s="594" t="s">
        <v>1312</v>
      </c>
      <c r="BW32" s="448" t="s">
        <v>8364</v>
      </c>
      <c r="BX32" s="594" t="s">
        <v>8365</v>
      </c>
      <c r="BY32" s="448" t="s">
        <v>8366</v>
      </c>
      <c r="BZ32" s="594"/>
      <c r="CA32" s="594" t="s">
        <v>4757</v>
      </c>
      <c r="CB32" s="448" t="s">
        <v>8368</v>
      </c>
      <c r="CC32" s="448" t="s">
        <v>8369</v>
      </c>
      <c r="CD32" s="448" t="s">
        <v>675</v>
      </c>
      <c r="CE32" s="448" t="s">
        <v>5895</v>
      </c>
      <c r="CF32" s="1559"/>
      <c r="CG32" s="904" t="s">
        <v>8373</v>
      </c>
      <c r="CH32" s="459" t="s">
        <v>8374</v>
      </c>
      <c r="CI32" s="459" t="s">
        <v>8375</v>
      </c>
      <c r="CJ32" s="459" t="s">
        <v>8376</v>
      </c>
      <c r="CK32" s="904"/>
      <c r="CL32" s="904" t="s">
        <v>371</v>
      </c>
      <c r="CM32" s="459" t="s">
        <v>8378</v>
      </c>
      <c r="CN32" s="459" t="s">
        <v>3472</v>
      </c>
      <c r="CO32" s="459" t="s">
        <v>5083</v>
      </c>
      <c r="CP32" s="606" t="s">
        <v>6826</v>
      </c>
      <c r="CQ32" s="459" t="s">
        <v>3926</v>
      </c>
      <c r="CR32" s="606" t="s">
        <v>8386</v>
      </c>
      <c r="CS32" s="606" t="s">
        <v>1488</v>
      </c>
      <c r="CT32" s="459" t="s">
        <v>6987</v>
      </c>
      <c r="CU32" s="164"/>
      <c r="CV32" s="466" t="s">
        <v>1172</v>
      </c>
      <c r="CW32" s="703" t="s">
        <v>8396</v>
      </c>
      <c r="CX32" s="466" t="s">
        <v>1821</v>
      </c>
      <c r="CY32" s="466" t="s">
        <v>3662</v>
      </c>
      <c r="CZ32" s="1561" t="s">
        <v>8403</v>
      </c>
      <c r="DA32" s="466" t="s">
        <v>3173</v>
      </c>
      <c r="DB32" s="1561" t="s">
        <v>8408</v>
      </c>
      <c r="DC32" s="1561" t="s">
        <v>8409</v>
      </c>
      <c r="DD32" s="466" t="s">
        <v>8411</v>
      </c>
      <c r="DE32" s="703" t="s">
        <v>3562</v>
      </c>
      <c r="DF32" s="466" t="s">
        <v>8009</v>
      </c>
      <c r="DG32" s="466" t="s">
        <v>1432</v>
      </c>
      <c r="DH32" s="470"/>
      <c r="DI32" s="483" t="s">
        <v>901</v>
      </c>
      <c r="DJ32" s="707" t="s">
        <v>8426</v>
      </c>
      <c r="DK32" s="707" t="s">
        <v>7509</v>
      </c>
      <c r="DL32" s="483" t="s">
        <v>2361</v>
      </c>
      <c r="DM32" s="483" t="s">
        <v>1883</v>
      </c>
      <c r="DN32" s="483" t="s">
        <v>3711</v>
      </c>
      <c r="DO32" s="707" t="s">
        <v>821</v>
      </c>
      <c r="DP32" s="707" t="s">
        <v>5057</v>
      </c>
      <c r="DQ32" s="707" t="s">
        <v>3051</v>
      </c>
      <c r="DR32" s="483" t="s">
        <v>1862</v>
      </c>
      <c r="DS32" s="483" t="s">
        <v>2359</v>
      </c>
      <c r="DT32" s="1565" t="s">
        <v>487</v>
      </c>
      <c r="DU32" s="707" t="s">
        <v>8459</v>
      </c>
      <c r="DV32" s="483" t="s">
        <v>3627</v>
      </c>
      <c r="DW32" s="483" t="s">
        <v>4757</v>
      </c>
      <c r="DX32" s="707" t="s">
        <v>4697</v>
      </c>
      <c r="DY32" s="707" t="s">
        <v>8467</v>
      </c>
      <c r="DZ32" s="483" t="s">
        <v>4782</v>
      </c>
      <c r="EA32" s="483" t="s">
        <v>8474</v>
      </c>
      <c r="EB32" s="707" t="s">
        <v>86</v>
      </c>
      <c r="EC32" s="707" t="s">
        <v>4238</v>
      </c>
      <c r="ED32" s="974" t="s">
        <v>8476</v>
      </c>
    </row>
    <row r="33">
      <c r="A33" s="1577" t="s">
        <v>8478</v>
      </c>
      <c r="B33" s="229" t="s">
        <v>8481</v>
      </c>
      <c r="C33" s="230" t="s">
        <v>76</v>
      </c>
      <c r="D33" s="231" t="s">
        <v>155</v>
      </c>
      <c r="E33" s="232" t="s">
        <v>155</v>
      </c>
      <c r="F33" s="233" t="s">
        <v>3770</v>
      </c>
      <c r="G33" s="229" t="s">
        <v>3732</v>
      </c>
      <c r="H33" s="242" t="s">
        <v>8482</v>
      </c>
      <c r="I33" s="242" t="s">
        <v>8494</v>
      </c>
      <c r="J33" s="242" t="s">
        <v>4154</v>
      </c>
      <c r="K33" s="242" t="s">
        <v>768</v>
      </c>
      <c r="L33" s="242" t="s">
        <v>4861</v>
      </c>
      <c r="M33" s="242" t="s">
        <v>3427</v>
      </c>
      <c r="N33" s="242" t="s">
        <v>8523</v>
      </c>
      <c r="O33" s="242" t="s">
        <v>1594</v>
      </c>
      <c r="P33" s="242" t="s">
        <v>379</v>
      </c>
      <c r="Q33" s="273"/>
      <c r="R33" s="304"/>
      <c r="S33" s="273" t="s">
        <v>1729</v>
      </c>
      <c r="T33" s="304"/>
      <c r="U33" s="242" t="s">
        <v>1985</v>
      </c>
      <c r="V33" s="304"/>
      <c r="W33" s="62"/>
      <c r="X33" s="242" t="s">
        <v>8547</v>
      </c>
      <c r="Y33" s="274"/>
      <c r="Z33" s="301" t="s">
        <v>4419</v>
      </c>
      <c r="AA33" s="242" t="s">
        <v>1995</v>
      </c>
      <c r="AB33" s="242" t="s">
        <v>8581</v>
      </c>
      <c r="AC33" s="242" t="s">
        <v>6126</v>
      </c>
      <c r="AD33" s="242" t="s">
        <v>8592</v>
      </c>
      <c r="AE33" s="242" t="s">
        <v>8602</v>
      </c>
      <c r="AF33" s="242" t="s">
        <v>400</v>
      </c>
      <c r="AG33" s="242" t="s">
        <v>3467</v>
      </c>
      <c r="AH33" s="304"/>
      <c r="AI33" s="304"/>
      <c r="AJ33" s="304"/>
      <c r="AK33" s="304"/>
      <c r="AL33" s="61"/>
      <c r="AM33" s="242" t="s">
        <v>3650</v>
      </c>
      <c r="AN33" s="242" t="s">
        <v>410</v>
      </c>
      <c r="AO33" s="304"/>
      <c r="AP33" s="273"/>
      <c r="AQ33" s="304"/>
      <c r="AR33" s="304"/>
      <c r="AS33" s="304"/>
      <c r="AT33" s="304"/>
      <c r="AU33" s="242" t="s">
        <v>2757</v>
      </c>
      <c r="AV33" s="242" t="s">
        <v>5537</v>
      </c>
      <c r="AW33" s="273"/>
      <c r="AX33" s="304"/>
      <c r="AY33" s="304"/>
      <c r="AZ33" s="304"/>
      <c r="BA33" s="273"/>
      <c r="BB33" s="242" t="s">
        <v>8643</v>
      </c>
      <c r="BC33" s="242" t="s">
        <v>2777</v>
      </c>
      <c r="BD33" s="242" t="s">
        <v>430</v>
      </c>
      <c r="BE33" s="242" t="s">
        <v>8656</v>
      </c>
      <c r="BF33" s="242" t="s">
        <v>4199</v>
      </c>
      <c r="BG33" s="304"/>
      <c r="BH33" s="304"/>
      <c r="BI33" s="242" t="s">
        <v>1015</v>
      </c>
      <c r="BJ33" s="304"/>
      <c r="BK33" s="273" t="s">
        <v>8678</v>
      </c>
      <c r="BL33" s="242" t="s">
        <v>4384</v>
      </c>
      <c r="BM33" s="304"/>
      <c r="BN33" s="304"/>
      <c r="BO33" s="304"/>
      <c r="BP33" s="304"/>
      <c r="BQ33" s="841"/>
      <c r="BR33" s="242" t="s">
        <v>8686</v>
      </c>
      <c r="BS33" s="242" t="s">
        <v>2851</v>
      </c>
      <c r="BT33" s="242" t="s">
        <v>4816</v>
      </c>
      <c r="BU33" s="242" t="s">
        <v>3832</v>
      </c>
      <c r="BV33" s="242" t="s">
        <v>5033</v>
      </c>
      <c r="BW33" s="242" t="s">
        <v>8710</v>
      </c>
      <c r="BX33" s="242" t="s">
        <v>8717</v>
      </c>
      <c r="BY33" s="273" t="s">
        <v>8724</v>
      </c>
      <c r="BZ33" s="242" t="s">
        <v>8725</v>
      </c>
      <c r="CA33" s="242" t="s">
        <v>4696</v>
      </c>
      <c r="CB33" s="304"/>
      <c r="CC33" s="304"/>
      <c r="CD33" s="304"/>
      <c r="CE33" s="304"/>
      <c r="CF33" s="841"/>
      <c r="CG33" s="242" t="s">
        <v>2130</v>
      </c>
      <c r="CH33" s="242" t="s">
        <v>5970</v>
      </c>
      <c r="CI33" s="236" t="s">
        <v>8753</v>
      </c>
      <c r="CJ33" s="242" t="s">
        <v>8761</v>
      </c>
      <c r="CK33" s="273"/>
      <c r="CL33" s="242" t="s">
        <v>3476</v>
      </c>
      <c r="CM33" s="242" t="s">
        <v>4963</v>
      </c>
      <c r="CN33" s="242" t="s">
        <v>8781</v>
      </c>
      <c r="CO33" s="242" t="s">
        <v>5043</v>
      </c>
      <c r="CP33" s="304"/>
      <c r="CQ33" s="304"/>
      <c r="CR33" s="304"/>
      <c r="CS33" s="304"/>
      <c r="CT33" s="304"/>
      <c r="CU33" s="62"/>
      <c r="CV33" s="242" t="s">
        <v>1448</v>
      </c>
      <c r="CW33" s="242" t="s">
        <v>8801</v>
      </c>
      <c r="CX33" s="242" t="s">
        <v>3765</v>
      </c>
      <c r="CY33" s="242" t="s">
        <v>1129</v>
      </c>
      <c r="CZ33" s="242" t="s">
        <v>4078</v>
      </c>
      <c r="DA33" s="242" t="s">
        <v>8823</v>
      </c>
      <c r="DB33" s="242" t="s">
        <v>8834</v>
      </c>
      <c r="DC33" s="242" t="s">
        <v>8840</v>
      </c>
      <c r="DD33" s="304"/>
      <c r="DE33" s="304"/>
      <c r="DF33" s="304"/>
      <c r="DG33" s="304"/>
      <c r="DH33" s="304"/>
      <c r="DI33" s="242" t="s">
        <v>888</v>
      </c>
      <c r="DJ33" s="304"/>
      <c r="DK33" s="726"/>
      <c r="DL33" s="304"/>
      <c r="DM33" s="304"/>
      <c r="DN33" s="304"/>
      <c r="DO33" s="304"/>
      <c r="DP33" s="304"/>
      <c r="DQ33" s="304"/>
      <c r="DR33" s="242" t="s">
        <v>5605</v>
      </c>
      <c r="DS33" s="242" t="s">
        <v>588</v>
      </c>
      <c r="DT33" s="304"/>
      <c r="DU33" s="304"/>
      <c r="DV33" s="304"/>
      <c r="DW33" s="242" t="s">
        <v>915</v>
      </c>
      <c r="DX33" s="304"/>
      <c r="DY33" s="304"/>
      <c r="DZ33" s="304"/>
      <c r="EA33" s="304"/>
      <c r="EB33" s="304"/>
      <c r="EC33" s="304"/>
      <c r="ED33" s="885"/>
    </row>
    <row r="34">
      <c r="A34" s="1605" t="s">
        <v>6322</v>
      </c>
      <c r="B34" s="381" t="s">
        <v>8893</v>
      </c>
      <c r="C34" s="384" t="s">
        <v>155</v>
      </c>
      <c r="D34" s="386" t="s">
        <v>127</v>
      </c>
      <c r="E34" s="389" t="s">
        <v>155</v>
      </c>
      <c r="F34" s="390" t="s">
        <v>211</v>
      </c>
      <c r="G34" s="381" t="s">
        <v>8898</v>
      </c>
      <c r="H34" s="547" t="s">
        <v>1617</v>
      </c>
      <c r="I34" s="547" t="s">
        <v>5496</v>
      </c>
      <c r="J34" s="547" t="s">
        <v>1749</v>
      </c>
      <c r="K34" s="547" t="s">
        <v>788</v>
      </c>
      <c r="L34" s="547" t="s">
        <v>1693</v>
      </c>
      <c r="M34" s="547" t="s">
        <v>8480</v>
      </c>
      <c r="N34" s="547" t="s">
        <v>8902</v>
      </c>
      <c r="O34" s="547" t="s">
        <v>1428</v>
      </c>
      <c r="P34" s="547" t="s">
        <v>1652</v>
      </c>
      <c r="Q34" s="547" t="s">
        <v>1843</v>
      </c>
      <c r="R34" s="849"/>
      <c r="S34" s="547" t="s">
        <v>8907</v>
      </c>
      <c r="T34" s="547" t="s">
        <v>1830</v>
      </c>
      <c r="U34" s="547" t="s">
        <v>545</v>
      </c>
      <c r="V34" s="547" t="s">
        <v>8911</v>
      </c>
      <c r="W34" s="62"/>
      <c r="X34" s="683" t="s">
        <v>8547</v>
      </c>
      <c r="Y34" s="683"/>
      <c r="Z34" s="683" t="s">
        <v>8913</v>
      </c>
      <c r="AA34" s="1218" t="s">
        <v>743</v>
      </c>
      <c r="AB34" s="683" t="s">
        <v>775</v>
      </c>
      <c r="AC34" s="683" t="s">
        <v>4996</v>
      </c>
      <c r="AD34" s="683" t="s">
        <v>3052</v>
      </c>
      <c r="AE34" s="683" t="s">
        <v>8919</v>
      </c>
      <c r="AF34" s="683" t="s">
        <v>8920</v>
      </c>
      <c r="AG34" s="683" t="s">
        <v>8921</v>
      </c>
      <c r="AH34" s="683" t="s">
        <v>8854</v>
      </c>
      <c r="AI34" s="683"/>
      <c r="AJ34" s="683" t="s">
        <v>6624</v>
      </c>
      <c r="AK34" s="683" t="s">
        <v>8923</v>
      </c>
      <c r="AL34" s="61"/>
      <c r="AM34" s="571" t="s">
        <v>8926</v>
      </c>
      <c r="AN34" s="571" t="s">
        <v>8928</v>
      </c>
      <c r="AO34" s="571" t="s">
        <v>6370</v>
      </c>
      <c r="AP34" s="571" t="s">
        <v>3838</v>
      </c>
      <c r="AQ34" s="571" t="s">
        <v>6825</v>
      </c>
      <c r="AR34" s="571" t="s">
        <v>8930</v>
      </c>
      <c r="AS34" s="571" t="s">
        <v>8932</v>
      </c>
      <c r="AT34" s="855"/>
      <c r="AU34" s="571" t="s">
        <v>8935</v>
      </c>
      <c r="AV34" s="571" t="s">
        <v>8937</v>
      </c>
      <c r="AW34" s="571" t="s">
        <v>8938</v>
      </c>
      <c r="AX34" s="855"/>
      <c r="AY34" s="571" t="s">
        <v>8941</v>
      </c>
      <c r="AZ34" s="571" t="s">
        <v>8943</v>
      </c>
      <c r="BA34" s="855"/>
      <c r="BB34" s="589" t="s">
        <v>1999</v>
      </c>
      <c r="BC34" s="589" t="s">
        <v>1266</v>
      </c>
      <c r="BD34" s="589" t="s">
        <v>4125</v>
      </c>
      <c r="BE34" s="589" t="s">
        <v>2362</v>
      </c>
      <c r="BF34" s="589" t="s">
        <v>3339</v>
      </c>
      <c r="BG34" s="589" t="s">
        <v>8949</v>
      </c>
      <c r="BH34" s="589" t="s">
        <v>8951</v>
      </c>
      <c r="BI34" s="439" t="s">
        <v>5084</v>
      </c>
      <c r="BJ34" s="587"/>
      <c r="BK34" s="439" t="s">
        <v>8958</v>
      </c>
      <c r="BL34" s="589" t="s">
        <v>3014</v>
      </c>
      <c r="BM34" s="587"/>
      <c r="BN34" s="589" t="s">
        <v>4118</v>
      </c>
      <c r="BO34" s="589" t="s">
        <v>6677</v>
      </c>
      <c r="BP34" s="589" t="s">
        <v>8966</v>
      </c>
      <c r="BQ34" s="857"/>
      <c r="BR34" s="594" t="s">
        <v>7144</v>
      </c>
      <c r="BS34" s="594" t="s">
        <v>3392</v>
      </c>
      <c r="BT34" s="594" t="s">
        <v>8972</v>
      </c>
      <c r="BU34" s="594" t="s">
        <v>8974</v>
      </c>
      <c r="BV34" s="594" t="s">
        <v>3090</v>
      </c>
      <c r="BW34" s="594" t="s">
        <v>8977</v>
      </c>
      <c r="BX34" s="594" t="s">
        <v>8979</v>
      </c>
      <c r="BY34" s="859"/>
      <c r="BZ34" s="448" t="s">
        <v>8981</v>
      </c>
      <c r="CA34" s="594" t="s">
        <v>4607</v>
      </c>
      <c r="CB34" s="594" t="s">
        <v>8988</v>
      </c>
      <c r="CC34" s="594" t="s">
        <v>8990</v>
      </c>
      <c r="CD34" s="594" t="s">
        <v>701</v>
      </c>
      <c r="CE34" s="594" t="s">
        <v>8992</v>
      </c>
      <c r="CF34" s="861"/>
      <c r="CG34" s="606" t="s">
        <v>1726</v>
      </c>
      <c r="CH34" s="606" t="s">
        <v>2579</v>
      </c>
      <c r="CI34" s="606" t="s">
        <v>8995</v>
      </c>
      <c r="CJ34" s="459" t="s">
        <v>8997</v>
      </c>
      <c r="CK34" s="904"/>
      <c r="CL34" s="904" t="s">
        <v>5221</v>
      </c>
      <c r="CM34" s="606" t="s">
        <v>3392</v>
      </c>
      <c r="CN34" s="606" t="s">
        <v>5246</v>
      </c>
      <c r="CO34" s="452" t="str">
        <f>HYPERLINK("https://youtu.be/eT1ltwCFNY0","15.59")</f>
        <v>15.59</v>
      </c>
      <c r="CP34" s="863"/>
      <c r="CQ34" s="606" t="s">
        <v>3936</v>
      </c>
      <c r="CR34" s="452" t="s">
        <v>480</v>
      </c>
      <c r="CS34" s="1607" t="s">
        <v>9022</v>
      </c>
      <c r="CT34" s="606" t="s">
        <v>6862</v>
      </c>
      <c r="CU34" s="62"/>
      <c r="CV34" s="703" t="s">
        <v>2681</v>
      </c>
      <c r="CW34" s="703" t="s">
        <v>5113</v>
      </c>
      <c r="CX34" s="703" t="s">
        <v>579</v>
      </c>
      <c r="CY34" s="703" t="s">
        <v>2022</v>
      </c>
      <c r="CZ34" s="703" t="s">
        <v>896</v>
      </c>
      <c r="DA34" s="703" t="s">
        <v>2456</v>
      </c>
      <c r="DB34" s="466" t="s">
        <v>1457</v>
      </c>
      <c r="DC34" s="703" t="s">
        <v>9031</v>
      </c>
      <c r="DD34" s="703" t="s">
        <v>9033</v>
      </c>
      <c r="DE34" s="703" t="s">
        <v>1549</v>
      </c>
      <c r="DF34" s="703" t="s">
        <v>1323</v>
      </c>
      <c r="DG34" s="703" t="s">
        <v>9035</v>
      </c>
      <c r="DH34" s="864"/>
      <c r="DI34" s="707" t="s">
        <v>421</v>
      </c>
      <c r="DJ34" s="866"/>
      <c r="DK34" s="707" t="s">
        <v>6381</v>
      </c>
      <c r="DL34" s="866"/>
      <c r="DM34" s="707" t="s">
        <v>1883</v>
      </c>
      <c r="DN34" s="707" t="s">
        <v>9039</v>
      </c>
      <c r="DO34" s="707" t="s">
        <v>9041</v>
      </c>
      <c r="DP34" s="612" t="s">
        <v>4618</v>
      </c>
      <c r="DQ34" s="612" t="s">
        <v>4502</v>
      </c>
      <c r="DR34" s="707" t="s">
        <v>6191</v>
      </c>
      <c r="DS34" s="707" t="s">
        <v>7013</v>
      </c>
      <c r="DT34" s="707" t="s">
        <v>9052</v>
      </c>
      <c r="DU34" s="707" t="s">
        <v>2785</v>
      </c>
      <c r="DV34" s="866"/>
      <c r="DW34" s="707" t="s">
        <v>5237</v>
      </c>
      <c r="DX34" s="707" t="s">
        <v>9056</v>
      </c>
      <c r="DY34" s="707" t="s">
        <v>9058</v>
      </c>
      <c r="DZ34" s="707" t="s">
        <v>5638</v>
      </c>
      <c r="EA34" s="707" t="s">
        <v>4476</v>
      </c>
      <c r="EB34" s="707" t="s">
        <v>9060</v>
      </c>
      <c r="EC34" s="707" t="s">
        <v>9062</v>
      </c>
      <c r="ED34" s="974" t="s">
        <v>9063</v>
      </c>
    </row>
    <row r="35">
      <c r="A35" s="1612" t="s">
        <v>3767</v>
      </c>
      <c r="B35" s="229" t="s">
        <v>9066</v>
      </c>
      <c r="C35" s="230" t="s">
        <v>76</v>
      </c>
      <c r="D35" s="231" t="s">
        <v>155</v>
      </c>
      <c r="E35" s="232" t="s">
        <v>76</v>
      </c>
      <c r="F35" s="233" t="s">
        <v>3732</v>
      </c>
      <c r="G35" s="229" t="s">
        <v>3732</v>
      </c>
      <c r="H35" s="273"/>
      <c r="I35" s="242" t="s">
        <v>9070</v>
      </c>
      <c r="J35" s="242" t="s">
        <v>635</v>
      </c>
      <c r="K35" s="242" t="s">
        <v>791</v>
      </c>
      <c r="L35" s="242" t="s">
        <v>4848</v>
      </c>
      <c r="M35" s="242" t="s">
        <v>9095</v>
      </c>
      <c r="N35" s="242" t="s">
        <v>1472</v>
      </c>
      <c r="O35" s="242" t="s">
        <v>3658</v>
      </c>
      <c r="P35" s="242" t="s">
        <v>379</v>
      </c>
      <c r="Q35" s="242" t="s">
        <v>9127</v>
      </c>
      <c r="R35" s="304"/>
      <c r="S35" s="242" t="s">
        <v>3940</v>
      </c>
      <c r="T35" s="304"/>
      <c r="U35" s="304"/>
      <c r="V35" s="304"/>
      <c r="W35" s="62"/>
      <c r="X35" s="242" t="s">
        <v>9014</v>
      </c>
      <c r="Y35" s="263"/>
      <c r="Z35" s="242" t="s">
        <v>1989</v>
      </c>
      <c r="AA35" s="242" t="s">
        <v>4362</v>
      </c>
      <c r="AB35" s="242" t="s">
        <v>1997</v>
      </c>
      <c r="AC35" s="242" t="s">
        <v>6126</v>
      </c>
      <c r="AD35" s="242" t="s">
        <v>1560</v>
      </c>
      <c r="AE35" s="304"/>
      <c r="AF35" s="242" t="s">
        <v>3157</v>
      </c>
      <c r="AG35" s="242" t="s">
        <v>3467</v>
      </c>
      <c r="AH35" s="304"/>
      <c r="AI35" s="304"/>
      <c r="AJ35" s="304"/>
      <c r="AK35" s="304"/>
      <c r="AL35" s="61"/>
      <c r="AM35" s="304"/>
      <c r="AN35" s="242" t="s">
        <v>2288</v>
      </c>
      <c r="AO35" s="304"/>
      <c r="AP35" s="304"/>
      <c r="AQ35" s="304"/>
      <c r="AR35" s="304"/>
      <c r="AS35" s="304"/>
      <c r="AT35" s="304"/>
      <c r="AU35" s="242" t="s">
        <v>2757</v>
      </c>
      <c r="AV35" s="242" t="s">
        <v>4217</v>
      </c>
      <c r="AW35" s="304"/>
      <c r="AX35" s="304"/>
      <c r="AY35" s="242" t="s">
        <v>9214</v>
      </c>
      <c r="AZ35" s="304"/>
      <c r="BA35" s="304"/>
      <c r="BB35" s="242" t="s">
        <v>5050</v>
      </c>
      <c r="BC35" s="242" t="s">
        <v>2777</v>
      </c>
      <c r="BD35" s="242" t="s">
        <v>4857</v>
      </c>
      <c r="BE35" s="247" t="s">
        <v>4983</v>
      </c>
      <c r="BF35" s="242" t="s">
        <v>1540</v>
      </c>
      <c r="BG35" s="304"/>
      <c r="BH35" s="304"/>
      <c r="BI35" s="242" t="s">
        <v>1393</v>
      </c>
      <c r="BJ35" s="263"/>
      <c r="BK35" s="242" t="s">
        <v>9248</v>
      </c>
      <c r="BL35" s="242" t="s">
        <v>4387</v>
      </c>
      <c r="BM35" s="304"/>
      <c r="BN35" s="242" t="s">
        <v>444</v>
      </c>
      <c r="BO35" s="242" t="s">
        <v>6832</v>
      </c>
      <c r="BP35" s="304"/>
      <c r="BQ35" s="841"/>
      <c r="BR35" s="242" t="s">
        <v>9286</v>
      </c>
      <c r="BS35" s="242" t="s">
        <v>5197</v>
      </c>
      <c r="BT35" s="242" t="s">
        <v>5638</v>
      </c>
      <c r="BU35" s="242" t="s">
        <v>1182</v>
      </c>
      <c r="BV35" s="242" t="s">
        <v>5591</v>
      </c>
      <c r="BW35" s="242" t="s">
        <v>9309</v>
      </c>
      <c r="BX35" s="304"/>
      <c r="BY35" s="304"/>
      <c r="BZ35" s="242" t="s">
        <v>9315</v>
      </c>
      <c r="CA35" s="242" t="s">
        <v>5207</v>
      </c>
      <c r="CB35" s="242" t="s">
        <v>9329</v>
      </c>
      <c r="CC35" s="304"/>
      <c r="CD35" s="304"/>
      <c r="CE35" s="304"/>
      <c r="CF35" s="841"/>
      <c r="CG35" s="236" t="s">
        <v>5348</v>
      </c>
      <c r="CH35" s="242" t="s">
        <v>4060</v>
      </c>
      <c r="CI35" s="242" t="s">
        <v>9346</v>
      </c>
      <c r="CJ35" s="242" t="s">
        <v>9347</v>
      </c>
      <c r="CK35" s="263"/>
      <c r="CL35" s="263"/>
      <c r="CM35" s="242" t="s">
        <v>4363</v>
      </c>
      <c r="CN35" s="242" t="s">
        <v>4125</v>
      </c>
      <c r="CO35" s="242" t="s">
        <v>477</v>
      </c>
      <c r="CP35" s="242" t="s">
        <v>9349</v>
      </c>
      <c r="CQ35" s="304"/>
      <c r="CR35" s="304"/>
      <c r="CS35" s="304"/>
      <c r="CT35" s="304"/>
      <c r="CU35" s="62"/>
      <c r="CV35" s="242" t="s">
        <v>9350</v>
      </c>
      <c r="CW35" s="304"/>
      <c r="CX35" s="242" t="s">
        <v>488</v>
      </c>
      <c r="CY35" s="242" t="s">
        <v>6108</v>
      </c>
      <c r="CZ35" s="242" t="s">
        <v>491</v>
      </c>
      <c r="DA35" s="242" t="s">
        <v>2628</v>
      </c>
      <c r="DB35" s="242" t="s">
        <v>9351</v>
      </c>
      <c r="DC35" s="242" t="s">
        <v>4316</v>
      </c>
      <c r="DD35" s="304"/>
      <c r="DE35" s="304"/>
      <c r="DF35" s="304"/>
      <c r="DG35" s="304"/>
      <c r="DH35" s="304"/>
      <c r="DI35" s="304"/>
      <c r="DJ35" s="304"/>
      <c r="DK35" s="304"/>
      <c r="DL35" s="304"/>
      <c r="DM35" s="304"/>
      <c r="DN35" s="304"/>
      <c r="DO35" s="304"/>
      <c r="DP35" s="304"/>
      <c r="DQ35" s="304"/>
      <c r="DR35" s="242" t="s">
        <v>2282</v>
      </c>
      <c r="DS35" s="242" t="s">
        <v>9352</v>
      </c>
      <c r="DT35" s="304"/>
      <c r="DU35" s="242" t="s">
        <v>4817</v>
      </c>
      <c r="DV35" s="242" t="s">
        <v>9353</v>
      </c>
      <c r="DW35" s="304"/>
      <c r="DX35" s="304"/>
      <c r="DY35" s="304"/>
      <c r="DZ35" s="242" t="s">
        <v>5136</v>
      </c>
      <c r="EA35" s="242" t="s">
        <v>5909</v>
      </c>
      <c r="EB35" s="304"/>
      <c r="EC35" s="304"/>
      <c r="ED35" s="1639"/>
    </row>
    <row r="36">
      <c r="A36" s="545" t="s">
        <v>1789</v>
      </c>
      <c r="B36" s="381" t="s">
        <v>9354</v>
      </c>
      <c r="C36" s="384" t="s">
        <v>155</v>
      </c>
      <c r="D36" s="386" t="s">
        <v>127</v>
      </c>
      <c r="E36" s="389" t="s">
        <v>155</v>
      </c>
      <c r="F36" s="390" t="s">
        <v>721</v>
      </c>
      <c r="G36" s="381" t="s">
        <v>3530</v>
      </c>
      <c r="H36" s="547" t="s">
        <v>9355</v>
      </c>
      <c r="I36" s="547" t="s">
        <v>8579</v>
      </c>
      <c r="J36" s="406" t="s">
        <v>9356</v>
      </c>
      <c r="K36" s="406" t="s">
        <v>782</v>
      </c>
      <c r="L36" s="406" t="s">
        <v>589</v>
      </c>
      <c r="M36" s="406" t="s">
        <v>9357</v>
      </c>
      <c r="N36" s="547" t="s">
        <v>9358</v>
      </c>
      <c r="O36" s="547" t="s">
        <v>3658</v>
      </c>
      <c r="P36" s="406" t="s">
        <v>2612</v>
      </c>
      <c r="Q36" s="849"/>
      <c r="R36" s="849"/>
      <c r="S36" s="406" t="s">
        <v>4527</v>
      </c>
      <c r="T36" s="406" t="s">
        <v>6203</v>
      </c>
      <c r="U36" s="547" t="s">
        <v>8111</v>
      </c>
      <c r="V36" s="849"/>
      <c r="W36" s="62"/>
      <c r="X36" s="417" t="s">
        <v>9359</v>
      </c>
      <c r="Y36" s="919"/>
      <c r="Z36" s="417" t="s">
        <v>9360</v>
      </c>
      <c r="AA36" s="417" t="s">
        <v>9361</v>
      </c>
      <c r="AB36" s="683" t="s">
        <v>922</v>
      </c>
      <c r="AC36" s="417" t="s">
        <v>6126</v>
      </c>
      <c r="AD36" s="417" t="s">
        <v>9362</v>
      </c>
      <c r="AE36" s="852"/>
      <c r="AF36" s="417" t="s">
        <v>3196</v>
      </c>
      <c r="AG36" s="417" t="s">
        <v>2020</v>
      </c>
      <c r="AH36" s="852"/>
      <c r="AI36" s="790" t="s">
        <v>9363</v>
      </c>
      <c r="AJ36" s="417" t="s">
        <v>2533</v>
      </c>
      <c r="AK36" s="852"/>
      <c r="AL36" s="61"/>
      <c r="AM36" s="571" t="s">
        <v>1352</v>
      </c>
      <c r="AN36" s="427" t="s">
        <v>9364</v>
      </c>
      <c r="AO36" s="571" t="s">
        <v>9365</v>
      </c>
      <c r="AP36" s="855"/>
      <c r="AQ36" s="855"/>
      <c r="AR36" s="855"/>
      <c r="AS36" s="427" t="s">
        <v>9366</v>
      </c>
      <c r="AT36" s="855"/>
      <c r="AU36" s="966" t="s">
        <v>2009</v>
      </c>
      <c r="AV36" s="966" t="s">
        <v>4125</v>
      </c>
      <c r="AW36" s="571" t="s">
        <v>4187</v>
      </c>
      <c r="AX36" s="855"/>
      <c r="AY36" s="855"/>
      <c r="AZ36" s="855"/>
      <c r="BA36" s="855"/>
      <c r="BB36" s="439" t="s">
        <v>9367</v>
      </c>
      <c r="BC36" s="589" t="s">
        <v>9368</v>
      </c>
      <c r="BD36" s="439" t="s">
        <v>2456</v>
      </c>
      <c r="BE36" s="589" t="s">
        <v>4536</v>
      </c>
      <c r="BF36" s="589" t="s">
        <v>615</v>
      </c>
      <c r="BG36" s="589" t="s">
        <v>4712</v>
      </c>
      <c r="BH36" s="587"/>
      <c r="BI36" s="589" t="s">
        <v>9369</v>
      </c>
      <c r="BJ36" s="589" t="s">
        <v>7212</v>
      </c>
      <c r="BK36" s="589"/>
      <c r="BL36" s="589" t="s">
        <v>2944</v>
      </c>
      <c r="BM36" s="589" t="s">
        <v>2429</v>
      </c>
      <c r="BN36" s="439" t="s">
        <v>1705</v>
      </c>
      <c r="BO36" s="589" t="s">
        <v>510</v>
      </c>
      <c r="BP36" s="589" t="s">
        <v>3947</v>
      </c>
      <c r="BQ36" s="857"/>
      <c r="BR36" s="594" t="s">
        <v>9370</v>
      </c>
      <c r="BS36" s="594" t="s">
        <v>9371</v>
      </c>
      <c r="BT36" s="448" t="s">
        <v>2408</v>
      </c>
      <c r="BU36" s="448" t="s">
        <v>526</v>
      </c>
      <c r="BV36" s="448" t="s">
        <v>9372</v>
      </c>
      <c r="BW36" s="448" t="s">
        <v>4689</v>
      </c>
      <c r="BX36" s="594" t="s">
        <v>9373</v>
      </c>
      <c r="BY36" s="594" t="s">
        <v>9374</v>
      </c>
      <c r="BZ36" s="594" t="s">
        <v>9375</v>
      </c>
      <c r="CA36" s="448" t="s">
        <v>5381</v>
      </c>
      <c r="CB36" s="594" t="s">
        <v>9376</v>
      </c>
      <c r="CC36" s="594" t="s">
        <v>9377</v>
      </c>
      <c r="CD36" s="448" t="s">
        <v>4812</v>
      </c>
      <c r="CE36" s="859"/>
      <c r="CF36" s="861"/>
      <c r="CG36" s="606" t="s">
        <v>1753</v>
      </c>
      <c r="CH36" s="606" t="s">
        <v>2579</v>
      </c>
      <c r="CI36" s="459" t="s">
        <v>4595</v>
      </c>
      <c r="CJ36" s="459" t="s">
        <v>8460</v>
      </c>
      <c r="CK36" s="904"/>
      <c r="CL36" s="904"/>
      <c r="CM36" s="459" t="s">
        <v>416</v>
      </c>
      <c r="CN36" s="459" t="s">
        <v>4997</v>
      </c>
      <c r="CO36" s="459" t="s">
        <v>5083</v>
      </c>
      <c r="CP36" s="863"/>
      <c r="CQ36" s="459" t="s">
        <v>588</v>
      </c>
      <c r="CR36" s="863"/>
      <c r="CS36" s="863"/>
      <c r="CT36" s="863"/>
      <c r="CU36" s="62"/>
      <c r="CV36" s="466" t="s">
        <v>1607</v>
      </c>
      <c r="CW36" s="703" t="s">
        <v>5113</v>
      </c>
      <c r="CX36" s="864"/>
      <c r="CY36" s="703" t="s">
        <v>9378</v>
      </c>
      <c r="CZ36" s="703" t="s">
        <v>5126</v>
      </c>
      <c r="DA36" s="466" t="s">
        <v>9379</v>
      </c>
      <c r="DB36" s="703" t="s">
        <v>9380</v>
      </c>
      <c r="DC36" s="703" t="s">
        <v>1571</v>
      </c>
      <c r="DD36" s="864"/>
      <c r="DE36" s="466" t="s">
        <v>1828</v>
      </c>
      <c r="DF36" s="703" t="s">
        <v>9381</v>
      </c>
      <c r="DG36" s="864"/>
      <c r="DH36" s="864"/>
      <c r="DI36" s="483" t="s">
        <v>9382</v>
      </c>
      <c r="DJ36" s="866"/>
      <c r="DK36" s="707" t="s">
        <v>9383</v>
      </c>
      <c r="DL36" s="866"/>
      <c r="DM36" s="612" t="s">
        <v>477</v>
      </c>
      <c r="DN36" s="866"/>
      <c r="DO36" s="707" t="s">
        <v>816</v>
      </c>
      <c r="DP36" s="866"/>
      <c r="DQ36" s="866"/>
      <c r="DR36" s="475" t="s">
        <v>9384</v>
      </c>
      <c r="DS36" s="483" t="s">
        <v>4996</v>
      </c>
      <c r="DT36" s="483" t="s">
        <v>4804</v>
      </c>
      <c r="DU36" s="483" t="s">
        <v>9385</v>
      </c>
      <c r="DV36" s="483" t="s">
        <v>2180</v>
      </c>
      <c r="DW36" s="483" t="s">
        <v>4740</v>
      </c>
      <c r="DX36" s="866"/>
      <c r="DY36" s="866"/>
      <c r="DZ36" s="483" t="s">
        <v>4325</v>
      </c>
      <c r="EA36" s="707" t="s">
        <v>3959</v>
      </c>
      <c r="EB36" s="483" t="s">
        <v>9386</v>
      </c>
      <c r="EC36" s="483" t="s">
        <v>9387</v>
      </c>
      <c r="ED36" s="475" t="s">
        <v>5242</v>
      </c>
    </row>
    <row r="37">
      <c r="A37" s="228" t="s">
        <v>170</v>
      </c>
      <c r="B37" s="229" t="s">
        <v>9388</v>
      </c>
      <c r="C37" s="230" t="s">
        <v>155</v>
      </c>
      <c r="D37" s="231" t="s">
        <v>155</v>
      </c>
      <c r="E37" s="232" t="s">
        <v>155</v>
      </c>
      <c r="F37" s="233" t="s">
        <v>3732</v>
      </c>
      <c r="G37" s="229" t="s">
        <v>3611</v>
      </c>
      <c r="H37" s="242" t="s">
        <v>3233</v>
      </c>
      <c r="I37" s="263" t="s">
        <v>9389</v>
      </c>
      <c r="J37" s="242" t="s">
        <v>9390</v>
      </c>
      <c r="K37" s="242" t="s">
        <v>774</v>
      </c>
      <c r="L37" s="242" t="s">
        <v>8949</v>
      </c>
      <c r="M37" s="242" t="s">
        <v>7747</v>
      </c>
      <c r="N37" s="242" t="s">
        <v>9391</v>
      </c>
      <c r="O37" s="301" t="s">
        <v>8077</v>
      </c>
      <c r="P37" s="522" t="s">
        <v>1652</v>
      </c>
      <c r="Q37" s="944" t="s">
        <v>1130</v>
      </c>
      <c r="R37" s="242" t="s">
        <v>1256</v>
      </c>
      <c r="S37" s="944" t="s">
        <v>4291</v>
      </c>
      <c r="T37" s="242" t="s">
        <v>2060</v>
      </c>
      <c r="U37" s="301" t="s">
        <v>9392</v>
      </c>
      <c r="V37" s="263" t="s">
        <v>9393</v>
      </c>
      <c r="W37" s="788"/>
      <c r="X37" s="263" t="s">
        <v>1986</v>
      </c>
      <c r="Y37" s="274"/>
      <c r="Z37" s="301" t="s">
        <v>5079</v>
      </c>
      <c r="AA37" s="522" t="s">
        <v>9394</v>
      </c>
      <c r="AB37" s="242" t="s">
        <v>3528</v>
      </c>
      <c r="AC37" s="242" t="s">
        <v>5001</v>
      </c>
      <c r="AD37" s="242" t="s">
        <v>6584</v>
      </c>
      <c r="AE37" s="242" t="s">
        <v>3350</v>
      </c>
      <c r="AF37" s="273" t="s">
        <v>9033</v>
      </c>
      <c r="AG37" s="242" t="s">
        <v>2904</v>
      </c>
      <c r="AH37" s="944" t="s">
        <v>9395</v>
      </c>
      <c r="AI37" s="301" t="s">
        <v>1260</v>
      </c>
      <c r="AJ37" s="944" t="s">
        <v>6924</v>
      </c>
      <c r="AK37" s="263" t="s">
        <v>9396</v>
      </c>
      <c r="AL37" s="61"/>
      <c r="AM37" s="273" t="s">
        <v>9397</v>
      </c>
      <c r="AN37" s="273" t="s">
        <v>9398</v>
      </c>
      <c r="AO37" s="301" t="s">
        <v>9399</v>
      </c>
      <c r="AP37" s="242" t="s">
        <v>6141</v>
      </c>
      <c r="AQ37" s="273" t="s">
        <v>9400</v>
      </c>
      <c r="AR37" s="273" t="s">
        <v>4526</v>
      </c>
      <c r="AS37" s="242" t="s">
        <v>9401</v>
      </c>
      <c r="AT37" s="273" t="s">
        <v>9402</v>
      </c>
      <c r="AU37" s="242" t="s">
        <v>410</v>
      </c>
      <c r="AV37" s="273" t="s">
        <v>9403</v>
      </c>
      <c r="AW37" s="944" t="s">
        <v>9404</v>
      </c>
      <c r="AX37" s="242" t="s">
        <v>1263</v>
      </c>
      <c r="AY37" s="242" t="s">
        <v>1263</v>
      </c>
      <c r="AZ37" s="273" t="s">
        <v>9405</v>
      </c>
      <c r="BA37" s="273"/>
      <c r="BB37" s="301" t="str">
        <f>HYPERLINK("https://youtu.be/ym6Xxd7Pwws","50.26")</f>
        <v>50.26</v>
      </c>
      <c r="BC37" s="242" t="s">
        <v>9406</v>
      </c>
      <c r="BD37" s="273" t="s">
        <v>4831</v>
      </c>
      <c r="BE37" s="273" t="s">
        <v>9407</v>
      </c>
      <c r="BF37" s="273" t="s">
        <v>9408</v>
      </c>
      <c r="BG37" s="242" t="s">
        <v>9409</v>
      </c>
      <c r="BH37" s="273" t="s">
        <v>9410</v>
      </c>
      <c r="BI37" s="301" t="s">
        <v>9411</v>
      </c>
      <c r="BJ37" s="304" t="s">
        <v>5743</v>
      </c>
      <c r="BK37" s="273" t="s">
        <v>9412</v>
      </c>
      <c r="BL37" s="273" t="s">
        <v>9413</v>
      </c>
      <c r="BM37" s="273" t="s">
        <v>5452</v>
      </c>
      <c r="BN37" s="242" t="s">
        <v>5320</v>
      </c>
      <c r="BO37" s="273" t="s">
        <v>7461</v>
      </c>
      <c r="BP37" s="273" t="s">
        <v>9414</v>
      </c>
      <c r="BQ37" s="312"/>
      <c r="BR37" s="301" t="s">
        <v>9415</v>
      </c>
      <c r="BS37" s="273" t="s">
        <v>433</v>
      </c>
      <c r="BT37" s="242" t="s">
        <v>9416</v>
      </c>
      <c r="BU37" s="273" t="s">
        <v>9417</v>
      </c>
      <c r="BV37" s="263" t="s">
        <v>759</v>
      </c>
      <c r="BW37" s="242" t="s">
        <v>3552</v>
      </c>
      <c r="BX37" s="301" t="s">
        <v>9418</v>
      </c>
      <c r="BY37" s="273" t="s">
        <v>9419</v>
      </c>
      <c r="BZ37" s="1642" t="str">
        <f>HYPERLINK("https://clips.twitch.tv/RamshackleBlindingCaribouPupper", "2:21.41")</f>
        <v>2:21.41</v>
      </c>
      <c r="CA37" s="263" t="s">
        <v>9420</v>
      </c>
      <c r="CB37" s="273" t="s">
        <v>4049</v>
      </c>
      <c r="CC37" s="885" t="s">
        <v>3183</v>
      </c>
      <c r="CD37" s="522" t="s">
        <v>502</v>
      </c>
      <c r="CE37" s="273" t="s">
        <v>9421</v>
      </c>
      <c r="CF37" s="312"/>
      <c r="CG37" s="242" t="s">
        <v>6475</v>
      </c>
      <c r="CH37" s="263" t="s">
        <v>9422</v>
      </c>
      <c r="CI37" s="944" t="s">
        <v>9423</v>
      </c>
      <c r="CJ37" s="944" t="s">
        <v>9424</v>
      </c>
      <c r="CK37" s="944"/>
      <c r="CL37" s="944" t="s">
        <v>6691</v>
      </c>
      <c r="CM37" s="242" t="s">
        <v>9425</v>
      </c>
      <c r="CN37" s="242" t="s">
        <v>9426</v>
      </c>
      <c r="CO37" s="242" t="s">
        <v>4559</v>
      </c>
      <c r="CP37" s="944" t="s">
        <v>6433</v>
      </c>
      <c r="CQ37" s="301" t="s">
        <v>4393</v>
      </c>
      <c r="CR37" s="242" t="s">
        <v>1283</v>
      </c>
      <c r="CS37" s="242" t="s">
        <v>9427</v>
      </c>
      <c r="CT37" s="273" t="s">
        <v>9428</v>
      </c>
      <c r="CU37" s="62"/>
      <c r="CV37" s="263" t="s">
        <v>2171</v>
      </c>
      <c r="CW37" s="273" t="s">
        <v>6691</v>
      </c>
      <c r="CX37" s="301" t="s">
        <v>5016</v>
      </c>
      <c r="CY37" s="263" t="s">
        <v>5258</v>
      </c>
      <c r="CZ37" s="263" t="s">
        <v>7490</v>
      </c>
      <c r="DA37" s="242" t="s">
        <v>3949</v>
      </c>
      <c r="DB37" s="263" t="s">
        <v>3256</v>
      </c>
      <c r="DC37" s="301" t="s">
        <v>761</v>
      </c>
      <c r="DD37" s="885" t="s">
        <v>9429</v>
      </c>
      <c r="DE37" s="908" t="s">
        <v>9430</v>
      </c>
      <c r="DF37" s="301" t="s">
        <v>9431</v>
      </c>
      <c r="DG37" s="301" t="str">
        <f>HYPERLINK("https://www.twitch.tv/videos/445329616","1:59.77")</f>
        <v>1:59.77</v>
      </c>
      <c r="DH37" s="274"/>
      <c r="DI37" s="273" t="s">
        <v>609</v>
      </c>
      <c r="DJ37" s="242" t="s">
        <v>6352</v>
      </c>
      <c r="DK37" s="273" t="s">
        <v>5193</v>
      </c>
      <c r="DL37" s="242" t="s">
        <v>9432</v>
      </c>
      <c r="DM37" s="242" t="s">
        <v>222</v>
      </c>
      <c r="DN37" s="522" t="s">
        <v>4692</v>
      </c>
      <c r="DO37" s="522" t="s">
        <v>1763</v>
      </c>
      <c r="DP37" s="242" t="s">
        <v>9433</v>
      </c>
      <c r="DQ37" s="242" t="s">
        <v>4618</v>
      </c>
      <c r="DR37" s="273" t="s">
        <v>438</v>
      </c>
      <c r="DS37" s="242" t="s">
        <v>9434</v>
      </c>
      <c r="DT37" s="242" t="s">
        <v>2942</v>
      </c>
      <c r="DU37" s="242" t="s">
        <v>9435</v>
      </c>
      <c r="DV37" s="242" t="s">
        <v>9436</v>
      </c>
      <c r="DW37" s="242" t="s">
        <v>5237</v>
      </c>
      <c r="DX37" s="242" t="s">
        <v>600</v>
      </c>
      <c r="DY37" s="242" t="s">
        <v>1554</v>
      </c>
      <c r="DZ37" s="242" t="s">
        <v>2129</v>
      </c>
      <c r="EA37" s="242" t="s">
        <v>9437</v>
      </c>
      <c r="EB37" s="242" t="s">
        <v>525</v>
      </c>
      <c r="EC37" s="242" t="s">
        <v>1380</v>
      </c>
      <c r="ED37" s="301" t="s">
        <v>9438</v>
      </c>
    </row>
    <row r="38">
      <c r="A38" s="1643" t="s">
        <v>490</v>
      </c>
      <c r="B38" s="381" t="s">
        <v>9439</v>
      </c>
      <c r="C38" s="384" t="s">
        <v>156</v>
      </c>
      <c r="D38" s="386" t="s">
        <v>127</v>
      </c>
      <c r="E38" s="389" t="s">
        <v>155</v>
      </c>
      <c r="F38" s="390" t="s">
        <v>4134</v>
      </c>
      <c r="G38" s="381" t="s">
        <v>4404</v>
      </c>
      <c r="H38" s="406" t="s">
        <v>262</v>
      </c>
      <c r="I38" s="402" t="s">
        <v>326</v>
      </c>
      <c r="J38" s="406" t="s">
        <v>673</v>
      </c>
      <c r="K38" s="402" t="s">
        <v>764</v>
      </c>
      <c r="L38" s="406" t="s">
        <v>4863</v>
      </c>
      <c r="M38" s="402" t="s">
        <v>9440</v>
      </c>
      <c r="N38" s="406" t="s">
        <v>1222</v>
      </c>
      <c r="O38" s="406" t="s">
        <v>9441</v>
      </c>
      <c r="P38" s="406" t="s">
        <v>1600</v>
      </c>
      <c r="Q38" s="402" t="str">
        <f>HYPERLINK("https://twitter.com/Qbe_Root/status/1254604046691860480","1:09.56")</f>
        <v>1:09.56</v>
      </c>
      <c r="R38" s="547"/>
      <c r="S38" s="406" t="s">
        <v>9442</v>
      </c>
      <c r="T38" s="849"/>
      <c r="U38" s="406" t="s">
        <v>1411</v>
      </c>
      <c r="V38" s="547" t="s">
        <v>9443</v>
      </c>
      <c r="W38" s="410"/>
      <c r="X38" s="412" t="s">
        <v>9444</v>
      </c>
      <c r="Y38" s="413"/>
      <c r="Z38" s="412" t="s">
        <v>4896</v>
      </c>
      <c r="AA38" s="417" t="s">
        <v>5083</v>
      </c>
      <c r="AB38" s="417" t="s">
        <v>9445</v>
      </c>
      <c r="AC38" s="417" t="s">
        <v>515</v>
      </c>
      <c r="AD38" s="417" t="s">
        <v>7838</v>
      </c>
      <c r="AE38" s="1644" t="s">
        <v>9446</v>
      </c>
      <c r="AF38" s="412" t="s">
        <v>1162</v>
      </c>
      <c r="AG38" s="417" t="s">
        <v>9447</v>
      </c>
      <c r="AH38" s="412" t="s">
        <v>9448</v>
      </c>
      <c r="AI38" s="421"/>
      <c r="AJ38" s="1007" t="s">
        <v>1276</v>
      </c>
      <c r="AK38" s="852"/>
      <c r="AL38" s="61"/>
      <c r="AM38" s="574" t="s">
        <v>9449</v>
      </c>
      <c r="AN38" s="425" t="s">
        <v>3385</v>
      </c>
      <c r="AO38" s="571" t="s">
        <v>9450</v>
      </c>
      <c r="AP38" s="571" t="s">
        <v>1105</v>
      </c>
      <c r="AQ38" s="571" t="s">
        <v>9451</v>
      </c>
      <c r="AR38" s="571"/>
      <c r="AS38" s="425" t="str">
        <f>HYPERLINK("https://twitter.com/Qbe_Root/status/1252284526044368897","8.94")</f>
        <v>8.94</v>
      </c>
      <c r="AT38" s="571" t="s">
        <v>9452</v>
      </c>
      <c r="AU38" s="571" t="s">
        <v>3867</v>
      </c>
      <c r="AV38" s="425" t="s">
        <v>2573</v>
      </c>
      <c r="AW38" s="427" t="s">
        <v>1503</v>
      </c>
      <c r="AX38" s="855"/>
      <c r="AY38" s="427" t="s">
        <v>4155</v>
      </c>
      <c r="AZ38" s="855"/>
      <c r="BA38" s="855"/>
      <c r="BB38" s="439" t="s">
        <v>4095</v>
      </c>
      <c r="BC38" s="439" t="s">
        <v>9453</v>
      </c>
      <c r="BD38" s="439" t="s">
        <v>1585</v>
      </c>
      <c r="BE38" s="439" t="s">
        <v>9454</v>
      </c>
      <c r="BF38" s="439" t="s">
        <v>2006</v>
      </c>
      <c r="BG38" s="439" t="s">
        <v>9455</v>
      </c>
      <c r="BH38" s="589" t="s">
        <v>3501</v>
      </c>
      <c r="BI38" s="439" t="s">
        <v>942</v>
      </c>
      <c r="BJ38" s="856" t="s">
        <v>9456</v>
      </c>
      <c r="BK38" s="1645"/>
      <c r="BL38" s="439" t="s">
        <v>4366</v>
      </c>
      <c r="BM38" s="439" t="s">
        <v>6589</v>
      </c>
      <c r="BN38" s="589" t="s">
        <v>9457</v>
      </c>
      <c r="BO38" s="439" t="s">
        <v>3934</v>
      </c>
      <c r="BP38" s="589" t="s">
        <v>8862</v>
      </c>
      <c r="BQ38" s="589"/>
      <c r="BR38" s="447" t="s">
        <v>6373</v>
      </c>
      <c r="BS38" s="447" t="s">
        <v>2836</v>
      </c>
      <c r="BT38" s="448" t="s">
        <v>9458</v>
      </c>
      <c r="BU38" s="447" t="s">
        <v>4589</v>
      </c>
      <c r="BV38" s="447" t="s">
        <v>220</v>
      </c>
      <c r="BW38" s="447" t="s">
        <v>2262</v>
      </c>
      <c r="BX38" s="858" t="s">
        <v>9459</v>
      </c>
      <c r="BY38" s="447" t="s">
        <v>9460</v>
      </c>
      <c r="BZ38" s="859"/>
      <c r="CA38" s="447" t="str">
        <f>HYPERLINK("https://twitter.com/Qbe_Root/status/1242199278610788353","23.10")</f>
        <v>23.10</v>
      </c>
      <c r="CB38" s="968" t="s">
        <v>9461</v>
      </c>
      <c r="CC38" s="448" t="s">
        <v>1154</v>
      </c>
      <c r="CD38" s="448" t="s">
        <v>9462</v>
      </c>
      <c r="CE38" s="859"/>
      <c r="CF38" s="861"/>
      <c r="CG38" s="459" t="s">
        <v>3288</v>
      </c>
      <c r="CH38" s="459" t="s">
        <v>5338</v>
      </c>
      <c r="CI38" s="606" t="s">
        <v>9463</v>
      </c>
      <c r="CJ38" s="459" t="s">
        <v>9464</v>
      </c>
      <c r="CK38" s="460"/>
      <c r="CL38" s="459" t="s">
        <v>784</v>
      </c>
      <c r="CM38" s="459" t="s">
        <v>3637</v>
      </c>
      <c r="CN38" s="459" t="s">
        <v>593</v>
      </c>
      <c r="CO38" s="459" t="s">
        <v>6063</v>
      </c>
      <c r="CP38" s="818" t="s">
        <v>9465</v>
      </c>
      <c r="CQ38" s="606" t="s">
        <v>9466</v>
      </c>
      <c r="CR38" s="606"/>
      <c r="CS38" s="459" t="s">
        <v>2913</v>
      </c>
      <c r="CT38" s="606"/>
      <c r="CU38" s="62"/>
      <c r="CV38" s="466" t="s">
        <v>4309</v>
      </c>
      <c r="CW38" s="461" t="s">
        <v>764</v>
      </c>
      <c r="CX38" s="461" t="s">
        <v>396</v>
      </c>
      <c r="CY38" s="466" t="s">
        <v>1519</v>
      </c>
      <c r="CZ38" s="466" t="s">
        <v>6416</v>
      </c>
      <c r="DA38" s="466" t="s">
        <v>4857</v>
      </c>
      <c r="DB38" s="461" t="s">
        <v>9467</v>
      </c>
      <c r="DC38" s="703" t="s">
        <v>5391</v>
      </c>
      <c r="DD38" s="1646" t="str">
        <f>HYPERLINK("https://twitter.com/Qbe_Root/status/1400138849058275330", "1:53.21")</f>
        <v>1:53.21</v>
      </c>
      <c r="DE38" s="466" t="s">
        <v>1797</v>
      </c>
      <c r="DF38" s="466" t="s">
        <v>5549</v>
      </c>
      <c r="DG38" s="703" t="s">
        <v>3220</v>
      </c>
      <c r="DH38" s="703"/>
      <c r="DI38" s="475" t="s">
        <v>4726</v>
      </c>
      <c r="DJ38" s="612" t="s">
        <v>9027</v>
      </c>
      <c r="DK38" s="866"/>
      <c r="DL38" s="483" t="s">
        <v>6532</v>
      </c>
      <c r="DM38" s="475" t="s">
        <v>9468</v>
      </c>
      <c r="DN38" s="707" t="s">
        <v>1686</v>
      </c>
      <c r="DO38" s="866"/>
      <c r="DP38" s="866"/>
      <c r="DQ38" s="866"/>
      <c r="DR38" s="483" t="s">
        <v>7039</v>
      </c>
      <c r="DS38" s="974" t="s">
        <v>5236</v>
      </c>
      <c r="DT38" s="475" t="s">
        <v>9469</v>
      </c>
      <c r="DU38" s="707" t="s">
        <v>9470</v>
      </c>
      <c r="DV38" s="483" t="s">
        <v>9471</v>
      </c>
      <c r="DW38" s="866"/>
      <c r="DX38" s="483" t="s">
        <v>1182</v>
      </c>
      <c r="DY38" s="707" t="s">
        <v>5970</v>
      </c>
      <c r="DZ38" s="483" t="s">
        <v>5751</v>
      </c>
      <c r="EA38" s="483" t="s">
        <v>9472</v>
      </c>
      <c r="EB38" s="707" t="s">
        <v>1292</v>
      </c>
      <c r="EC38" s="707" t="s">
        <v>4377</v>
      </c>
      <c r="ED38" s="974" t="s">
        <v>9473</v>
      </c>
    </row>
    <row r="39">
      <c r="A39" s="1647" t="s">
        <v>89</v>
      </c>
      <c r="B39" s="1648" t="s">
        <v>9474</v>
      </c>
      <c r="C39" s="230" t="s">
        <v>155</v>
      </c>
      <c r="D39" s="231" t="s">
        <v>155</v>
      </c>
      <c r="E39" s="232" t="s">
        <v>155</v>
      </c>
      <c r="F39" s="233" t="s">
        <v>9475</v>
      </c>
      <c r="G39" s="229" t="s">
        <v>9475</v>
      </c>
      <c r="H39" s="1649" t="s">
        <v>368</v>
      </c>
      <c r="I39" s="1649" t="s">
        <v>7037</v>
      </c>
      <c r="J39" s="1649" t="s">
        <v>657</v>
      </c>
      <c r="K39" s="1649" t="s">
        <v>9476</v>
      </c>
      <c r="L39" s="1649" t="s">
        <v>4158</v>
      </c>
      <c r="M39" s="1649" t="s">
        <v>9477</v>
      </c>
      <c r="N39" s="1649" t="s">
        <v>9478</v>
      </c>
      <c r="O39" s="1649" t="s">
        <v>1444</v>
      </c>
      <c r="P39" s="1649" t="s">
        <v>1354</v>
      </c>
      <c r="Q39" s="1649" t="s">
        <v>1086</v>
      </c>
      <c r="R39" s="1650"/>
      <c r="S39" s="1649" t="s">
        <v>9479</v>
      </c>
      <c r="T39" s="1650"/>
      <c r="U39" s="1650"/>
      <c r="V39" s="1649" t="s">
        <v>9480</v>
      </c>
      <c r="W39" s="636"/>
      <c r="X39" s="1649" t="s">
        <v>1738</v>
      </c>
      <c r="Y39" s="1649" t="s">
        <v>3739</v>
      </c>
      <c r="Z39" s="1649" t="s">
        <v>9481</v>
      </c>
      <c r="AA39" s="1649" t="s">
        <v>217</v>
      </c>
      <c r="AB39" s="1649" t="s">
        <v>5215</v>
      </c>
      <c r="AC39" s="1649" t="s">
        <v>4997</v>
      </c>
      <c r="AD39" s="1649" t="s">
        <v>9482</v>
      </c>
      <c r="AE39" s="242" t="s">
        <v>5115</v>
      </c>
      <c r="AF39" s="1649" t="s">
        <v>8875</v>
      </c>
      <c r="AG39" s="1651" t="s">
        <v>2423</v>
      </c>
      <c r="AH39" s="1650"/>
      <c r="AI39" s="1650"/>
      <c r="AJ39" s="242" t="s">
        <v>3589</v>
      </c>
      <c r="AK39" s="242" t="s">
        <v>9483</v>
      </c>
      <c r="AL39" s="642"/>
      <c r="AM39" s="242" t="s">
        <v>9484</v>
      </c>
      <c r="AN39" s="242" t="s">
        <v>5905</v>
      </c>
      <c r="AO39" s="242" t="s">
        <v>8457</v>
      </c>
      <c r="AP39" s="242" t="s">
        <v>9485</v>
      </c>
      <c r="AQ39" s="242" t="s">
        <v>9486</v>
      </c>
      <c r="AR39" s="242" t="s">
        <v>9487</v>
      </c>
      <c r="AS39" s="242" t="s">
        <v>4553</v>
      </c>
      <c r="AT39" s="242" t="s">
        <v>9488</v>
      </c>
      <c r="AU39" s="1649" t="s">
        <v>9489</v>
      </c>
      <c r="AV39" s="1649" t="s">
        <v>4831</v>
      </c>
      <c r="AW39" s="1651" t="s">
        <v>1499</v>
      </c>
      <c r="AX39" s="1650"/>
      <c r="AY39" s="1650"/>
      <c r="AZ39" s="242" t="s">
        <v>9490</v>
      </c>
      <c r="BA39" s="649"/>
      <c r="BB39" s="1649" t="s">
        <v>9491</v>
      </c>
      <c r="BC39" s="1649" t="s">
        <v>502</v>
      </c>
      <c r="BD39" s="1649" t="s">
        <v>9492</v>
      </c>
      <c r="BE39" s="1649" t="s">
        <v>786</v>
      </c>
      <c r="BF39" s="1649" t="s">
        <v>8130</v>
      </c>
      <c r="BG39" s="1650"/>
      <c r="BH39" s="1650"/>
      <c r="BI39" s="1649" t="s">
        <v>1108</v>
      </c>
      <c r="BJ39" s="1650"/>
      <c r="BK39" s="1649" t="s">
        <v>9493</v>
      </c>
      <c r="BL39" s="1651" t="s">
        <v>2934</v>
      </c>
      <c r="BM39" s="242" t="s">
        <v>2468</v>
      </c>
      <c r="BN39" s="1649" t="s">
        <v>1263</v>
      </c>
      <c r="BO39" s="242" t="s">
        <v>4438</v>
      </c>
      <c r="BP39" s="242" t="s">
        <v>9494</v>
      </c>
      <c r="BQ39" s="652"/>
      <c r="BR39" s="1649" t="s">
        <v>9495</v>
      </c>
      <c r="BS39" s="1649" t="s">
        <v>416</v>
      </c>
      <c r="BT39" s="1649" t="s">
        <v>9496</v>
      </c>
      <c r="BU39" s="1649" t="s">
        <v>2276</v>
      </c>
      <c r="BV39" s="1649" t="s">
        <v>9497</v>
      </c>
      <c r="BW39" s="1649" t="s">
        <v>5031</v>
      </c>
      <c r="BX39" s="1649" t="s">
        <v>1334</v>
      </c>
      <c r="BY39" s="649"/>
      <c r="BZ39" s="1649" t="s">
        <v>9498</v>
      </c>
      <c r="CA39" s="1649" t="s">
        <v>4618</v>
      </c>
      <c r="CB39" s="242" t="s">
        <v>9499</v>
      </c>
      <c r="CC39" s="242" t="s">
        <v>3585</v>
      </c>
      <c r="CD39" s="242" t="s">
        <v>428</v>
      </c>
      <c r="CE39" s="242" t="s">
        <v>9500</v>
      </c>
      <c r="CF39" s="652"/>
      <c r="CG39" s="1649" t="s">
        <v>9501</v>
      </c>
      <c r="CH39" s="1649" t="s">
        <v>1564</v>
      </c>
      <c r="CI39" s="1649" t="s">
        <v>4526</v>
      </c>
      <c r="CJ39" s="1649" t="s">
        <v>8906</v>
      </c>
      <c r="CK39" s="1649" t="s">
        <v>9502</v>
      </c>
      <c r="CL39" s="1649" t="s">
        <v>9503</v>
      </c>
      <c r="CM39" s="1649" t="s">
        <v>2943</v>
      </c>
      <c r="CN39" s="1649" t="s">
        <v>1646</v>
      </c>
      <c r="CO39" s="1649" t="s">
        <v>4360</v>
      </c>
      <c r="CP39" s="1650"/>
      <c r="CQ39" s="1650"/>
      <c r="CR39" s="1650"/>
      <c r="CS39" s="242" t="s">
        <v>9504</v>
      </c>
      <c r="CT39" s="242" t="s">
        <v>9505</v>
      </c>
      <c r="CU39" s="636"/>
      <c r="CV39" s="1649" t="s">
        <v>2578</v>
      </c>
      <c r="CW39" s="1649" t="s">
        <v>8311</v>
      </c>
      <c r="CX39" s="1649" t="s">
        <v>4233</v>
      </c>
      <c r="CY39" s="1649" t="s">
        <v>3946</v>
      </c>
      <c r="CZ39" s="1649" t="s">
        <v>4301</v>
      </c>
      <c r="DA39" s="1649" t="s">
        <v>9506</v>
      </c>
      <c r="DB39" s="1649" t="s">
        <v>9507</v>
      </c>
      <c r="DC39" s="1649" t="s">
        <v>5410</v>
      </c>
      <c r="DD39" s="242" t="s">
        <v>2178</v>
      </c>
      <c r="DE39" s="242" t="s">
        <v>5429</v>
      </c>
      <c r="DF39" s="1652"/>
      <c r="DG39" s="242" t="s">
        <v>5600</v>
      </c>
      <c r="DH39" s="649"/>
      <c r="DI39" s="1649" t="s">
        <v>1832</v>
      </c>
      <c r="DJ39" s="1650"/>
      <c r="DK39" s="1650"/>
      <c r="DL39" s="1650"/>
      <c r="DM39" s="1651" t="s">
        <v>1883</v>
      </c>
      <c r="DN39" s="242" t="s">
        <v>9508</v>
      </c>
      <c r="DO39" s="242" t="s">
        <v>4770</v>
      </c>
      <c r="DP39" s="1650"/>
      <c r="DQ39" s="1650"/>
      <c r="DR39" s="1649" t="s">
        <v>9509</v>
      </c>
      <c r="DS39" s="242" t="s">
        <v>9510</v>
      </c>
      <c r="DT39" s="242" t="s">
        <v>9511</v>
      </c>
      <c r="DU39" s="242" t="s">
        <v>2550</v>
      </c>
      <c r="DV39" s="242" t="s">
        <v>9512</v>
      </c>
      <c r="DW39" s="242" t="s">
        <v>5135</v>
      </c>
      <c r="DX39" s="1650"/>
      <c r="DY39" s="1650"/>
      <c r="DZ39" s="1650"/>
      <c r="EA39" s="1649" t="s">
        <v>4851</v>
      </c>
      <c r="EB39" s="242" t="s">
        <v>9386</v>
      </c>
      <c r="EC39" s="242" t="s">
        <v>4273</v>
      </c>
      <c r="ED39" s="242" t="s">
        <v>179</v>
      </c>
    </row>
    <row r="40">
      <c r="A40" s="1653" t="s">
        <v>6100</v>
      </c>
      <c r="B40" s="1654" t="s">
        <v>9513</v>
      </c>
      <c r="C40" s="384" t="s">
        <v>155</v>
      </c>
      <c r="D40" s="386" t="s">
        <v>155</v>
      </c>
      <c r="E40" s="389" t="s">
        <v>155</v>
      </c>
      <c r="F40" s="390" t="s">
        <v>263</v>
      </c>
      <c r="G40" s="381" t="s">
        <v>2839</v>
      </c>
      <c r="H40" s="1655"/>
      <c r="I40" s="1655" t="s">
        <v>4518</v>
      </c>
      <c r="J40" s="1656" t="s">
        <v>9514</v>
      </c>
      <c r="K40" s="1655" t="s">
        <v>791</v>
      </c>
      <c r="L40" s="1656" t="s">
        <v>901</v>
      </c>
      <c r="M40" s="1656" t="s">
        <v>9515</v>
      </c>
      <c r="N40" s="1656" t="s">
        <v>9516</v>
      </c>
      <c r="O40" s="1656" t="s">
        <v>9517</v>
      </c>
      <c r="P40" s="1655" t="s">
        <v>1354</v>
      </c>
      <c r="Q40" s="1655"/>
      <c r="R40" s="1657"/>
      <c r="S40" s="1655"/>
      <c r="T40" s="1657"/>
      <c r="U40" s="1657"/>
      <c r="V40" s="1655"/>
      <c r="W40" s="636"/>
      <c r="X40" s="1658" t="s">
        <v>6469</v>
      </c>
      <c r="Y40" s="1659"/>
      <c r="Z40" s="1659" t="s">
        <v>1609</v>
      </c>
      <c r="AA40" s="1658" t="s">
        <v>9518</v>
      </c>
      <c r="AB40" s="1658" t="s">
        <v>2681</v>
      </c>
      <c r="AC40" s="1658" t="s">
        <v>4427</v>
      </c>
      <c r="AD40" s="1658" t="s">
        <v>9501</v>
      </c>
      <c r="AE40" s="919"/>
      <c r="AF40" s="1658" t="s">
        <v>400</v>
      </c>
      <c r="AG40" s="1660" t="s">
        <v>217</v>
      </c>
      <c r="AH40" s="1661"/>
      <c r="AI40" s="1661"/>
      <c r="AJ40" s="919"/>
      <c r="AK40" s="919"/>
      <c r="AL40" s="642"/>
      <c r="AM40" s="574"/>
      <c r="AN40" s="574"/>
      <c r="AO40" s="574"/>
      <c r="AP40" s="574"/>
      <c r="AQ40" s="574"/>
      <c r="AR40" s="574"/>
      <c r="AS40" s="574"/>
      <c r="AT40" s="574"/>
      <c r="AU40" s="1662" t="s">
        <v>2083</v>
      </c>
      <c r="AV40" s="1662" t="s">
        <v>796</v>
      </c>
      <c r="AW40" s="1663"/>
      <c r="AX40" s="1664"/>
      <c r="AY40" s="1664"/>
      <c r="AZ40" s="574"/>
      <c r="BA40" s="1665"/>
      <c r="BB40" s="1666" t="s">
        <v>9519</v>
      </c>
      <c r="BC40" s="1666" t="s">
        <v>9520</v>
      </c>
      <c r="BD40" s="1666" t="s">
        <v>430</v>
      </c>
      <c r="BE40" s="1666" t="s">
        <v>9521</v>
      </c>
      <c r="BF40" s="1666" t="s">
        <v>4192</v>
      </c>
      <c r="BG40" s="1667"/>
      <c r="BH40" s="1667"/>
      <c r="BI40" s="1666" t="s">
        <v>5241</v>
      </c>
      <c r="BJ40" s="1668" t="s">
        <v>707</v>
      </c>
      <c r="BK40" s="1669"/>
      <c r="BL40" s="1670" t="s">
        <v>9522</v>
      </c>
      <c r="BM40" s="1222"/>
      <c r="BN40" s="1669"/>
      <c r="BO40" s="1222"/>
      <c r="BP40" s="1222"/>
      <c r="BQ40" s="1671"/>
      <c r="BR40" s="1672" t="s">
        <v>6268</v>
      </c>
      <c r="BS40" s="1672" t="s">
        <v>9523</v>
      </c>
      <c r="BT40" s="1673" t="s">
        <v>9524</v>
      </c>
      <c r="BU40" s="1672" t="s">
        <v>1182</v>
      </c>
      <c r="BV40" s="1673" t="s">
        <v>2870</v>
      </c>
      <c r="BW40" s="1673" t="s">
        <v>827</v>
      </c>
      <c r="BX40" s="1672" t="s">
        <v>9525</v>
      </c>
      <c r="BY40" s="1674" t="s">
        <v>9526</v>
      </c>
      <c r="BZ40" s="1675"/>
      <c r="CA40" s="1673" t="s">
        <v>798</v>
      </c>
      <c r="CB40" s="595"/>
      <c r="CC40" s="595"/>
      <c r="CD40" s="595"/>
      <c r="CE40" s="595"/>
      <c r="CF40" s="1676"/>
      <c r="CG40" s="1677" t="s">
        <v>9527</v>
      </c>
      <c r="CH40" s="1678" t="s">
        <v>1578</v>
      </c>
      <c r="CI40" s="1677" t="s">
        <v>4167</v>
      </c>
      <c r="CJ40" s="1677" t="s">
        <v>9528</v>
      </c>
      <c r="CK40" s="1678"/>
      <c r="CL40" s="1678"/>
      <c r="CM40" s="1677" t="s">
        <v>1100</v>
      </c>
      <c r="CN40" s="1677" t="s">
        <v>1916</v>
      </c>
      <c r="CO40" s="1679" t="s">
        <v>9529</v>
      </c>
      <c r="CP40" s="1680"/>
      <c r="CQ40" s="1680"/>
      <c r="CR40" s="1680"/>
      <c r="CS40" s="904"/>
      <c r="CT40" s="904"/>
      <c r="CU40" s="636"/>
      <c r="CV40" s="1681" t="s">
        <v>907</v>
      </c>
      <c r="CW40" s="1682"/>
      <c r="CX40" s="1681" t="s">
        <v>429</v>
      </c>
      <c r="CY40" s="1681" t="s">
        <v>2681</v>
      </c>
      <c r="CZ40" s="1681" t="s">
        <v>569</v>
      </c>
      <c r="DA40" s="1682" t="s">
        <v>4808</v>
      </c>
      <c r="DB40" s="1681" t="s">
        <v>8203</v>
      </c>
      <c r="DC40" s="1682" t="s">
        <v>3231</v>
      </c>
      <c r="DD40" s="823"/>
      <c r="DE40" s="823"/>
      <c r="DF40" s="1683"/>
      <c r="DG40" s="823"/>
      <c r="DH40" s="1684"/>
      <c r="DI40" s="1685" t="s">
        <v>3769</v>
      </c>
      <c r="DJ40" s="1686"/>
      <c r="DK40" s="1686"/>
      <c r="DL40" s="1686"/>
      <c r="DM40" s="1687"/>
      <c r="DN40" s="1688"/>
      <c r="DO40" s="1688"/>
      <c r="DP40" s="1686"/>
      <c r="DQ40" s="1686"/>
      <c r="DR40" s="1689" t="s">
        <v>9530</v>
      </c>
      <c r="DS40" s="1565" t="s">
        <v>9531</v>
      </c>
      <c r="DT40" s="1565"/>
      <c r="DU40" s="1688"/>
      <c r="DV40" s="1565"/>
      <c r="DW40" s="1565"/>
      <c r="DX40" s="1686"/>
      <c r="DY40" s="1686"/>
      <c r="DZ40" s="1686"/>
      <c r="EA40" s="1690"/>
      <c r="EB40" s="1688"/>
      <c r="EC40" s="1688"/>
      <c r="ED40" s="1688"/>
    </row>
    <row r="41">
      <c r="A41" s="228" t="s">
        <v>6421</v>
      </c>
      <c r="B41" s="229" t="s">
        <v>9532</v>
      </c>
      <c r="C41" s="230" t="s">
        <v>155</v>
      </c>
      <c r="D41" s="231" t="s">
        <v>155</v>
      </c>
      <c r="E41" s="232" t="s">
        <v>155</v>
      </c>
      <c r="F41" s="233" t="s">
        <v>537</v>
      </c>
      <c r="G41" s="229" t="s">
        <v>9533</v>
      </c>
      <c r="H41" s="273" t="s">
        <v>1117</v>
      </c>
      <c r="I41" s="242" t="s">
        <v>6959</v>
      </c>
      <c r="J41" s="273" t="s">
        <v>508</v>
      </c>
      <c r="K41" s="273" t="s">
        <v>767</v>
      </c>
      <c r="L41" s="273" t="s">
        <v>2526</v>
      </c>
      <c r="M41" s="242" t="s">
        <v>9534</v>
      </c>
      <c r="N41" s="273" t="s">
        <v>9535</v>
      </c>
      <c r="O41" s="273" t="s">
        <v>9536</v>
      </c>
      <c r="P41" s="242" t="s">
        <v>379</v>
      </c>
      <c r="Q41" s="304"/>
      <c r="R41" s="304"/>
      <c r="S41" s="304"/>
      <c r="T41" s="304"/>
      <c r="U41" s="304"/>
      <c r="V41" s="304"/>
      <c r="W41" s="62"/>
      <c r="X41" s="273" t="s">
        <v>9537</v>
      </c>
      <c r="Y41" s="273"/>
      <c r="Z41" s="273" t="s">
        <v>9360</v>
      </c>
      <c r="AA41" s="242" t="s">
        <v>3114</v>
      </c>
      <c r="AB41" s="273" t="s">
        <v>651</v>
      </c>
      <c r="AC41" s="273" t="s">
        <v>9056</v>
      </c>
      <c r="AD41" s="242" t="s">
        <v>3041</v>
      </c>
      <c r="AE41" s="273" t="s">
        <v>9538</v>
      </c>
      <c r="AF41" s="273" t="s">
        <v>3157</v>
      </c>
      <c r="AG41" s="273" t="s">
        <v>2020</v>
      </c>
      <c r="AH41" s="273" t="s">
        <v>9539</v>
      </c>
      <c r="AI41" s="304"/>
      <c r="AJ41" s="273" t="s">
        <v>9540</v>
      </c>
      <c r="AK41" s="273" t="s">
        <v>9541</v>
      </c>
      <c r="AL41" s="61"/>
      <c r="AM41" s="304"/>
      <c r="AN41" s="304"/>
      <c r="AO41" s="304"/>
      <c r="AP41" s="304"/>
      <c r="AQ41" s="304"/>
      <c r="AR41" s="304"/>
      <c r="AS41" s="304"/>
      <c r="AT41" s="304"/>
      <c r="AU41" s="273" t="s">
        <v>417</v>
      </c>
      <c r="AV41" s="273" t="s">
        <v>9542</v>
      </c>
      <c r="AW41" s="304"/>
      <c r="AX41" s="304"/>
      <c r="AY41" s="304"/>
      <c r="AZ41" s="304"/>
      <c r="BA41" s="304"/>
      <c r="BB41" s="242" t="s">
        <v>683</v>
      </c>
      <c r="BC41" s="273" t="s">
        <v>9520</v>
      </c>
      <c r="BD41" s="273" t="s">
        <v>8374</v>
      </c>
      <c r="BE41" s="273" t="s">
        <v>9543</v>
      </c>
      <c r="BF41" s="242" t="s">
        <v>4192</v>
      </c>
      <c r="BG41" s="304"/>
      <c r="BH41" s="304"/>
      <c r="BI41" s="273" t="s">
        <v>2349</v>
      </c>
      <c r="BJ41" s="242" t="s">
        <v>437</v>
      </c>
      <c r="BK41" s="273" t="s">
        <v>2374</v>
      </c>
      <c r="BL41" s="273" t="s">
        <v>4801</v>
      </c>
      <c r="BM41" s="304"/>
      <c r="BN41" s="304"/>
      <c r="BO41" s="304"/>
      <c r="BP41" s="304"/>
      <c r="BQ41" s="841"/>
      <c r="BR41" s="242" t="s">
        <v>3281</v>
      </c>
      <c r="BS41" s="273" t="s">
        <v>4952</v>
      </c>
      <c r="BT41" s="273" t="s">
        <v>9544</v>
      </c>
      <c r="BU41" s="273" t="s">
        <v>1931</v>
      </c>
      <c r="BV41" s="273" t="s">
        <v>1626</v>
      </c>
      <c r="BW41" s="242" t="s">
        <v>4458</v>
      </c>
      <c r="BX41" s="242" t="s">
        <v>9545</v>
      </c>
      <c r="BY41" s="273" t="s">
        <v>9546</v>
      </c>
      <c r="BZ41" s="304"/>
      <c r="CA41" s="273" t="s">
        <v>9547</v>
      </c>
      <c r="CB41" s="304"/>
      <c r="CC41" s="304"/>
      <c r="CD41" s="304"/>
      <c r="CE41" s="304"/>
      <c r="CF41" s="841"/>
      <c r="CG41" s="273" t="s">
        <v>9408</v>
      </c>
      <c r="CH41" s="273" t="s">
        <v>9548</v>
      </c>
      <c r="CI41" s="273" t="s">
        <v>9549</v>
      </c>
      <c r="CJ41" s="242" t="s">
        <v>6662</v>
      </c>
      <c r="CK41" s="333"/>
      <c r="CL41" s="333" t="s">
        <v>6012</v>
      </c>
      <c r="CM41" s="273" t="s">
        <v>4015</v>
      </c>
      <c r="CN41" s="273" t="s">
        <v>579</v>
      </c>
      <c r="CO41" s="273" t="s">
        <v>4559</v>
      </c>
      <c r="CP41" s="304"/>
      <c r="CQ41" s="304"/>
      <c r="CR41" s="304"/>
      <c r="CS41" s="304"/>
      <c r="CT41" s="304"/>
      <c r="CU41" s="62"/>
      <c r="CV41" s="242" t="s">
        <v>486</v>
      </c>
      <c r="CW41" s="273" t="s">
        <v>4925</v>
      </c>
      <c r="CX41" s="273" t="s">
        <v>613</v>
      </c>
      <c r="CY41" s="273" t="s">
        <v>5182</v>
      </c>
      <c r="CZ41" s="273" t="s">
        <v>1926</v>
      </c>
      <c r="DA41" s="273" t="s">
        <v>6489</v>
      </c>
      <c r="DB41" s="242" t="s">
        <v>9550</v>
      </c>
      <c r="DC41" s="273" t="s">
        <v>639</v>
      </c>
      <c r="DD41" s="304"/>
      <c r="DE41" s="304"/>
      <c r="DF41" s="304"/>
      <c r="DG41" s="304"/>
      <c r="DH41" s="304"/>
      <c r="DI41" s="273" t="s">
        <v>3689</v>
      </c>
      <c r="DJ41" s="304"/>
      <c r="DK41" s="304"/>
      <c r="DL41" s="304"/>
      <c r="DM41" s="304"/>
      <c r="DN41" s="304"/>
      <c r="DO41" s="304"/>
      <c r="DP41" s="304"/>
      <c r="DQ41" s="304"/>
      <c r="DR41" s="242" t="s">
        <v>6751</v>
      </c>
      <c r="DS41" s="273" t="s">
        <v>588</v>
      </c>
      <c r="DT41" s="304"/>
      <c r="DU41" s="304"/>
      <c r="DV41" s="304"/>
      <c r="DW41" s="304"/>
      <c r="DX41" s="304"/>
      <c r="DY41" s="304"/>
      <c r="DZ41" s="304"/>
      <c r="EA41" s="273" t="s">
        <v>1779</v>
      </c>
      <c r="EB41" s="304"/>
      <c r="EC41" s="304"/>
      <c r="ED41" s="885"/>
    </row>
    <row r="42">
      <c r="A42" s="1691" t="s">
        <v>9551</v>
      </c>
      <c r="B42" s="381" t="s">
        <v>9552</v>
      </c>
      <c r="C42" s="384" t="s">
        <v>155</v>
      </c>
      <c r="D42" s="386" t="s">
        <v>155</v>
      </c>
      <c r="E42" s="389" t="s">
        <v>155</v>
      </c>
      <c r="F42" s="390" t="s">
        <v>537</v>
      </c>
      <c r="G42" s="381" t="s">
        <v>7356</v>
      </c>
      <c r="H42" s="547" t="s">
        <v>9553</v>
      </c>
      <c r="I42" s="406" t="s">
        <v>9554</v>
      </c>
      <c r="J42" s="547" t="s">
        <v>9555</v>
      </c>
      <c r="K42" s="547" t="s">
        <v>794</v>
      </c>
      <c r="L42" s="406" t="s">
        <v>1832</v>
      </c>
      <c r="M42" s="547" t="s">
        <v>9556</v>
      </c>
      <c r="N42" s="547" t="s">
        <v>9557</v>
      </c>
      <c r="O42" s="406" t="s">
        <v>1190</v>
      </c>
      <c r="P42" s="547" t="s">
        <v>1663</v>
      </c>
      <c r="Q42" s="849"/>
      <c r="R42" s="849"/>
      <c r="S42" s="547" t="s">
        <v>1950</v>
      </c>
      <c r="T42" s="547" t="s">
        <v>1276</v>
      </c>
      <c r="U42" s="849"/>
      <c r="V42" s="849"/>
      <c r="W42" s="62"/>
      <c r="X42" s="680" t="s">
        <v>4517</v>
      </c>
      <c r="Y42" s="683"/>
      <c r="Z42" s="683" t="s">
        <v>9558</v>
      </c>
      <c r="AA42" s="683" t="s">
        <v>2861</v>
      </c>
      <c r="AB42" s="683" t="s">
        <v>3000</v>
      </c>
      <c r="AC42" s="683" t="s">
        <v>1635</v>
      </c>
      <c r="AD42" s="417" t="s">
        <v>1959</v>
      </c>
      <c r="AE42" s="852"/>
      <c r="AF42" s="417" t="s">
        <v>9559</v>
      </c>
      <c r="AG42" s="683" t="s">
        <v>8921</v>
      </c>
      <c r="AH42" s="683" t="s">
        <v>4080</v>
      </c>
      <c r="AI42" s="683"/>
      <c r="AJ42" s="683"/>
      <c r="AK42" s="683" t="s">
        <v>9560</v>
      </c>
      <c r="AL42" s="61"/>
      <c r="AM42" s="855"/>
      <c r="AN42" s="571" t="s">
        <v>9561</v>
      </c>
      <c r="AO42" s="855"/>
      <c r="AP42" s="571" t="s">
        <v>6520</v>
      </c>
      <c r="AQ42" s="425" t="str">
        <f>HYPERLINK("https://twitter.com/SSBReed/status/1212701917551497216?s=20","47.36")</f>
        <v>47.36</v>
      </c>
      <c r="AR42" s="425" t="s">
        <v>9562</v>
      </c>
      <c r="AS42" s="855"/>
      <c r="AT42" s="855"/>
      <c r="AU42" s="571" t="s">
        <v>9563</v>
      </c>
      <c r="AV42" s="425" t="s">
        <v>9564</v>
      </c>
      <c r="AW42" s="855"/>
      <c r="AX42" s="855"/>
      <c r="AY42" s="571" t="s">
        <v>9407</v>
      </c>
      <c r="AZ42" s="571" t="s">
        <v>9565</v>
      </c>
      <c r="BA42" s="571"/>
      <c r="BB42" s="587"/>
      <c r="BC42" s="589"/>
      <c r="BD42" s="589" t="s">
        <v>9566</v>
      </c>
      <c r="BE42" s="439" t="s">
        <v>9567</v>
      </c>
      <c r="BF42" s="589" t="s">
        <v>9568</v>
      </c>
      <c r="BG42" s="589" t="s">
        <v>9569</v>
      </c>
      <c r="BH42" s="589"/>
      <c r="BI42" s="589" t="s">
        <v>5354</v>
      </c>
      <c r="BJ42" s="587"/>
      <c r="BK42" s="439" t="s">
        <v>9570</v>
      </c>
      <c r="BL42" s="589" t="s">
        <v>3394</v>
      </c>
      <c r="BM42" s="589" t="s">
        <v>7509</v>
      </c>
      <c r="BN42" s="589" t="s">
        <v>9571</v>
      </c>
      <c r="BO42" s="589" t="s">
        <v>9572</v>
      </c>
      <c r="BP42" s="589" t="s">
        <v>9573</v>
      </c>
      <c r="BQ42" s="1009"/>
      <c r="BR42" s="594" t="s">
        <v>9574</v>
      </c>
      <c r="BS42" s="594" t="s">
        <v>4952</v>
      </c>
      <c r="BT42" s="594" t="s">
        <v>9575</v>
      </c>
      <c r="BU42" s="448" t="s">
        <v>450</v>
      </c>
      <c r="BV42" s="859"/>
      <c r="BW42" s="594" t="s">
        <v>9576</v>
      </c>
      <c r="BX42" s="859"/>
      <c r="BY42" s="594" t="s">
        <v>5508</v>
      </c>
      <c r="BZ42" s="594" t="s">
        <v>456</v>
      </c>
      <c r="CA42" s="594" t="s">
        <v>1686</v>
      </c>
      <c r="CB42" s="859"/>
      <c r="CC42" s="594" t="s">
        <v>9577</v>
      </c>
      <c r="CD42" s="594" t="s">
        <v>1315</v>
      </c>
      <c r="CE42" s="595" t="s">
        <v>6459</v>
      </c>
      <c r="CF42" s="1692"/>
      <c r="CG42" s="459" t="s">
        <v>896</v>
      </c>
      <c r="CH42" s="606" t="s">
        <v>672</v>
      </c>
      <c r="CI42" s="606" t="s">
        <v>9578</v>
      </c>
      <c r="CJ42" s="606" t="s">
        <v>8797</v>
      </c>
      <c r="CK42" s="606"/>
      <c r="CL42" s="606"/>
      <c r="CM42" s="606" t="s">
        <v>4964</v>
      </c>
      <c r="CN42" s="1012" t="s">
        <v>6109</v>
      </c>
      <c r="CO42" s="452" t="str">
        <f>HYPERLINK("https://www.youtube.com/watch?v=X66lFoaVyLY","15.60")</f>
        <v>15.60</v>
      </c>
      <c r="CP42" s="863"/>
      <c r="CQ42" s="863"/>
      <c r="CR42" s="863"/>
      <c r="CS42" s="863"/>
      <c r="CT42" s="606" t="s">
        <v>9579</v>
      </c>
      <c r="CU42" s="62"/>
      <c r="CV42" s="466" t="s">
        <v>1049</v>
      </c>
      <c r="CW42" s="703" t="s">
        <v>5221</v>
      </c>
      <c r="CX42" s="703" t="s">
        <v>1088</v>
      </c>
      <c r="CY42" s="703"/>
      <c r="CZ42" s="864"/>
      <c r="DA42" s="703" t="s">
        <v>9580</v>
      </c>
      <c r="DB42" s="466" t="s">
        <v>9004</v>
      </c>
      <c r="DC42" s="703" t="s">
        <v>9581</v>
      </c>
      <c r="DD42" s="703" t="s">
        <v>9582</v>
      </c>
      <c r="DE42" s="864"/>
      <c r="DF42" s="864"/>
      <c r="DG42" s="703" t="s">
        <v>9240</v>
      </c>
      <c r="DH42" s="703"/>
      <c r="DI42" s="707" t="s">
        <v>901</v>
      </c>
      <c r="DJ42" s="866"/>
      <c r="DK42" s="866"/>
      <c r="DL42" s="866"/>
      <c r="DM42" s="707" t="s">
        <v>1649</v>
      </c>
      <c r="DN42" s="866"/>
      <c r="DO42" s="707" t="s">
        <v>9583</v>
      </c>
      <c r="DP42" s="707" t="s">
        <v>4250</v>
      </c>
      <c r="DQ42" s="866"/>
      <c r="DR42" s="707" t="s">
        <v>1480</v>
      </c>
      <c r="DS42" s="707" t="s">
        <v>2491</v>
      </c>
      <c r="DT42" s="866"/>
      <c r="DU42" s="866"/>
      <c r="DV42" s="866"/>
      <c r="DW42" s="866"/>
      <c r="DX42" s="707" t="s">
        <v>9567</v>
      </c>
      <c r="DY42" s="866"/>
      <c r="DZ42" s="707" t="s">
        <v>9584</v>
      </c>
      <c r="EA42" s="866"/>
      <c r="EB42" s="866"/>
      <c r="EC42" s="707" t="s">
        <v>9585</v>
      </c>
      <c r="ED42" s="974"/>
    </row>
    <row r="43">
      <c r="A43" s="1693" t="s">
        <v>9586</v>
      </c>
      <c r="B43" s="229" t="s">
        <v>9587</v>
      </c>
      <c r="C43" s="230" t="s">
        <v>155</v>
      </c>
      <c r="D43" s="231" t="s">
        <v>155</v>
      </c>
      <c r="E43" s="232" t="s">
        <v>155</v>
      </c>
      <c r="F43" s="233" t="s">
        <v>74</v>
      </c>
      <c r="G43" s="229" t="s">
        <v>3654</v>
      </c>
      <c r="H43" s="273" t="s">
        <v>9512</v>
      </c>
      <c r="I43" s="526" t="s">
        <v>7005</v>
      </c>
      <c r="J43" s="502" t="s">
        <v>3714</v>
      </c>
      <c r="K43" s="526" t="s">
        <v>9588</v>
      </c>
      <c r="L43" s="526" t="s">
        <v>9589</v>
      </c>
      <c r="M43" s="273" t="s">
        <v>9590</v>
      </c>
      <c r="N43" s="526" t="s">
        <v>6324</v>
      </c>
      <c r="O43" s="502" t="s">
        <v>1348</v>
      </c>
      <c r="P43" s="1694" t="str">
        <f>HYPERLINK("https://clips.twitch.tv/BetterEnticingWatercressDancingBaby","16.08")</f>
        <v>16.08</v>
      </c>
      <c r="Q43" s="508" t="s">
        <v>8442</v>
      </c>
      <c r="R43" s="1017"/>
      <c r="S43" s="508" t="s">
        <v>1714</v>
      </c>
      <c r="T43" s="273" t="s">
        <v>6833</v>
      </c>
      <c r="U43" s="1694" t="str">
        <f>HYPERLINK("https://youtu.be/HHFrEbWlPX4","50.03")</f>
        <v>50.03</v>
      </c>
      <c r="V43" s="494" t="s">
        <v>9591</v>
      </c>
      <c r="W43" s="504"/>
      <c r="X43" s="526" t="s">
        <v>9592</v>
      </c>
      <c r="Y43" s="526"/>
      <c r="Z43" s="526" t="s">
        <v>9593</v>
      </c>
      <c r="AA43" s="526" t="s">
        <v>9594</v>
      </c>
      <c r="AB43" s="526" t="s">
        <v>9595</v>
      </c>
      <c r="AC43" s="526" t="s">
        <v>593</v>
      </c>
      <c r="AD43" s="526" t="s">
        <v>6664</v>
      </c>
      <c r="AE43" s="1017"/>
      <c r="AF43" s="508" t="s">
        <v>3164</v>
      </c>
      <c r="AG43" s="508" t="s">
        <v>2423</v>
      </c>
      <c r="AH43" s="1694" t="str">
        <f>HYPERLINK("https://youtu.be/N6tkTf4Wb68","53.04")</f>
        <v>53.04</v>
      </c>
      <c r="AI43" s="508"/>
      <c r="AJ43" s="508" t="s">
        <v>4573</v>
      </c>
      <c r="AK43" s="494" t="s">
        <v>9596</v>
      </c>
      <c r="AL43" s="512"/>
      <c r="AM43" s="273" t="s">
        <v>9597</v>
      </c>
      <c r="AN43" s="526" t="s">
        <v>9598</v>
      </c>
      <c r="AO43" s="273" t="s">
        <v>9599</v>
      </c>
      <c r="AP43" s="502" t="s">
        <v>9600</v>
      </c>
      <c r="AQ43" s="1017"/>
      <c r="AR43" s="1017"/>
      <c r="AS43" s="502" t="s">
        <v>4314</v>
      </c>
      <c r="AT43" s="526" t="s">
        <v>3092</v>
      </c>
      <c r="AU43" s="273" t="s">
        <v>902</v>
      </c>
      <c r="AV43" s="1695" t="str">
        <f>HYPERLINK("https://www.youtube.com/watch?v=I53jRzHVHbs","25.78")</f>
        <v>25.78</v>
      </c>
      <c r="AW43" s="502" t="s">
        <v>3854</v>
      </c>
      <c r="AX43" s="1017"/>
      <c r="AY43" s="502" t="s">
        <v>660</v>
      </c>
      <c r="AZ43" s="494" t="s">
        <v>423</v>
      </c>
      <c r="BA43" s="533"/>
      <c r="BB43" s="273" t="s">
        <v>9601</v>
      </c>
      <c r="BC43" s="526" t="s">
        <v>9602</v>
      </c>
      <c r="BD43" s="526" t="s">
        <v>2822</v>
      </c>
      <c r="BE43" s="502" t="s">
        <v>9435</v>
      </c>
      <c r="BF43" s="534" t="s">
        <v>9603</v>
      </c>
      <c r="BG43" s="526" t="s">
        <v>840</v>
      </c>
      <c r="BH43" s="273" t="s">
        <v>9604</v>
      </c>
      <c r="BI43" s="526" t="s">
        <v>1446</v>
      </c>
      <c r="BJ43" s="304"/>
      <c r="BK43" s="502" t="s">
        <v>2008</v>
      </c>
      <c r="BL43" s="526" t="s">
        <v>2934</v>
      </c>
      <c r="BM43" s="242" t="s">
        <v>8947</v>
      </c>
      <c r="BN43" s="1694" t="str">
        <f>HYPERLINK("https://youtu.be/PNHoaVHANBk","42.06")</f>
        <v>42.06</v>
      </c>
      <c r="BO43" s="526" t="s">
        <v>3813</v>
      </c>
      <c r="BP43" s="497" t="s">
        <v>5769</v>
      </c>
      <c r="BQ43" s="497"/>
      <c r="BR43" s="534"/>
      <c r="BS43" s="526" t="s">
        <v>9605</v>
      </c>
      <c r="BT43" s="526" t="s">
        <v>9606</v>
      </c>
      <c r="BU43" s="502" t="s">
        <v>9607</v>
      </c>
      <c r="BV43" s="273" t="s">
        <v>1411</v>
      </c>
      <c r="BW43" s="502" t="s">
        <v>9608</v>
      </c>
      <c r="BX43" s="273"/>
      <c r="BY43" s="273"/>
      <c r="BZ43" s="502" t="s">
        <v>9609</v>
      </c>
      <c r="CA43" s="526" t="s">
        <v>9610</v>
      </c>
      <c r="CB43" s="502" t="s">
        <v>9611</v>
      </c>
      <c r="CC43" s="508" t="s">
        <v>1987</v>
      </c>
      <c r="CD43" s="1696" t="s">
        <v>1573</v>
      </c>
      <c r="CE43" s="494" t="s">
        <v>9612</v>
      </c>
      <c r="CF43" s="533"/>
      <c r="CG43" s="502" t="s">
        <v>2477</v>
      </c>
      <c r="CH43" s="526" t="s">
        <v>9613</v>
      </c>
      <c r="CI43" s="1694" t="str">
        <f>HYPERLINK("https://www.twitch.tv/videos/374407941","34.88")</f>
        <v>34.88</v>
      </c>
      <c r="CJ43" s="502" t="s">
        <v>9614</v>
      </c>
      <c r="CK43" s="502"/>
      <c r="CL43" s="502" t="s">
        <v>9615</v>
      </c>
      <c r="CM43" s="502" t="s">
        <v>4075</v>
      </c>
      <c r="CN43" s="526" t="s">
        <v>9616</v>
      </c>
      <c r="CO43" s="526" t="s">
        <v>3691</v>
      </c>
      <c r="CP43" s="273" t="s">
        <v>9617</v>
      </c>
      <c r="CQ43" s="1694" t="str">
        <f>HYPERLINK("https://youtu.be/ZVAfoGn-JTw","30.96")</f>
        <v>30.96</v>
      </c>
      <c r="CR43" s="1697"/>
      <c r="CS43" s="1694" t="str">
        <f>HYPERLINK("https://youtu.be/AxEHpGTONpA","1:09.12")</f>
        <v>1:09.12</v>
      </c>
      <c r="CT43" s="497" t="s">
        <v>9618</v>
      </c>
      <c r="CU43" s="504"/>
      <c r="CV43" s="1694" t="str">
        <f>HYPERLINK("https://clips.twitch.tv/BillowingGiftedGullMcaT","46.17")</f>
        <v>46.17</v>
      </c>
      <c r="CW43" s="273" t="s">
        <v>8311</v>
      </c>
      <c r="CX43" s="1694" t="str">
        <f>HYPERLINK("https://clips.twitch.tv/TsundereNastyAntFailFish","30.86")</f>
        <v>30.86</v>
      </c>
      <c r="CY43" s="273" t="s">
        <v>9619</v>
      </c>
      <c r="CZ43" s="273" t="s">
        <v>4072</v>
      </c>
      <c r="DA43" s="273" t="s">
        <v>3950</v>
      </c>
      <c r="DB43" s="534" t="s">
        <v>9620</v>
      </c>
      <c r="DC43" s="526" t="s">
        <v>5371</v>
      </c>
      <c r="DD43" s="502" t="s">
        <v>9621</v>
      </c>
      <c r="DE43" s="526" t="s">
        <v>9622</v>
      </c>
      <c r="DF43" s="526" t="s">
        <v>5163</v>
      </c>
      <c r="DG43" s="494" t="s">
        <v>2645</v>
      </c>
      <c r="DH43" s="533"/>
      <c r="DI43" s="1017"/>
      <c r="DJ43" s="273"/>
      <c r="DK43" s="301" t="str">
        <f>HYPERLINK("https://youtu.be/l69gUy8HYfU","1:30.11")</f>
        <v>1:30.11</v>
      </c>
      <c r="DL43" s="526"/>
      <c r="DM43" s="526" t="s">
        <v>1679</v>
      </c>
      <c r="DN43" s="526" t="s">
        <v>4608</v>
      </c>
      <c r="DO43" s="1017"/>
      <c r="DP43" s="1017"/>
      <c r="DQ43" s="1017"/>
      <c r="DR43" s="502" t="s">
        <v>9623</v>
      </c>
      <c r="DS43" s="502"/>
      <c r="DT43" s="502" t="s">
        <v>6228</v>
      </c>
      <c r="DU43" s="526" t="s">
        <v>9624</v>
      </c>
      <c r="DV43" s="502" t="s">
        <v>1978</v>
      </c>
      <c r="DW43" s="502" t="s">
        <v>4676</v>
      </c>
      <c r="DX43" s="1017"/>
      <c r="DY43" s="526" t="s">
        <v>4856</v>
      </c>
      <c r="DZ43" s="526" t="s">
        <v>9625</v>
      </c>
      <c r="EA43" s="526" t="s">
        <v>1723</v>
      </c>
      <c r="EB43" s="526" t="s">
        <v>6041</v>
      </c>
      <c r="EC43" s="526" t="s">
        <v>4976</v>
      </c>
      <c r="ED43" s="885" t="s">
        <v>9626</v>
      </c>
    </row>
    <row r="44">
      <c r="A44" s="1698" t="s">
        <v>7064</v>
      </c>
      <c r="B44" s="381" t="s">
        <v>9627</v>
      </c>
      <c r="C44" s="384" t="s">
        <v>155</v>
      </c>
      <c r="D44" s="386" t="s">
        <v>155</v>
      </c>
      <c r="E44" s="389" t="s">
        <v>155</v>
      </c>
      <c r="F44" s="390" t="s">
        <v>8332</v>
      </c>
      <c r="G44" s="381" t="s">
        <v>3699</v>
      </c>
      <c r="H44" s="849"/>
      <c r="I44" s="406" t="s">
        <v>9628</v>
      </c>
      <c r="J44" s="406" t="s">
        <v>638</v>
      </c>
      <c r="K44" s="406" t="s">
        <v>767</v>
      </c>
      <c r="L44" s="406" t="s">
        <v>898</v>
      </c>
      <c r="M44" s="406" t="s">
        <v>8147</v>
      </c>
      <c r="N44" s="406" t="s">
        <v>1168</v>
      </c>
      <c r="O44" s="406" t="s">
        <v>9629</v>
      </c>
      <c r="P44" s="406" t="s">
        <v>1354</v>
      </c>
      <c r="Q44" s="849"/>
      <c r="R44" s="406" t="s">
        <v>3335</v>
      </c>
      <c r="S44" s="406" t="s">
        <v>4789</v>
      </c>
      <c r="T44" s="849"/>
      <c r="U44" s="849"/>
      <c r="V44" s="406" t="s">
        <v>9630</v>
      </c>
      <c r="W44" s="62"/>
      <c r="X44" s="417" t="s">
        <v>9631</v>
      </c>
      <c r="Y44" s="919"/>
      <c r="Z44" s="417" t="s">
        <v>9632</v>
      </c>
      <c r="AA44" s="417" t="s">
        <v>9633</v>
      </c>
      <c r="AB44" s="417" t="s">
        <v>5624</v>
      </c>
      <c r="AC44" s="417" t="s">
        <v>600</v>
      </c>
      <c r="AD44" s="417" t="s">
        <v>1753</v>
      </c>
      <c r="AE44" s="852"/>
      <c r="AF44" s="680" t="s">
        <v>4499</v>
      </c>
      <c r="AG44" s="417" t="s">
        <v>2423</v>
      </c>
      <c r="AH44" s="852"/>
      <c r="AI44" s="852"/>
      <c r="AJ44" s="683" t="s">
        <v>3570</v>
      </c>
      <c r="AK44" s="417" t="s">
        <v>9634</v>
      </c>
      <c r="AL44" s="61"/>
      <c r="AM44" s="855"/>
      <c r="AN44" s="427" t="s">
        <v>2315</v>
      </c>
      <c r="AO44" s="855"/>
      <c r="AP44" s="855"/>
      <c r="AQ44" s="855"/>
      <c r="AR44" s="855"/>
      <c r="AS44" s="855"/>
      <c r="AT44" s="855"/>
      <c r="AU44" s="427" t="s">
        <v>1197</v>
      </c>
      <c r="AV44" s="427" t="s">
        <v>9635</v>
      </c>
      <c r="AW44" s="427" t="s">
        <v>1716</v>
      </c>
      <c r="AX44" s="855"/>
      <c r="AY44" s="427" t="s">
        <v>1332</v>
      </c>
      <c r="AZ44" s="855"/>
      <c r="BA44" s="855"/>
      <c r="BB44" s="439" t="s">
        <v>1768</v>
      </c>
      <c r="BC44" s="439" t="s">
        <v>9368</v>
      </c>
      <c r="BD44" s="439" t="s">
        <v>9492</v>
      </c>
      <c r="BE44" s="439" t="s">
        <v>4451</v>
      </c>
      <c r="BF44" s="439" t="s">
        <v>9636</v>
      </c>
      <c r="BG44" s="439" t="s">
        <v>675</v>
      </c>
      <c r="BH44" s="587"/>
      <c r="BI44" s="589" t="s">
        <v>5354</v>
      </c>
      <c r="BJ44" s="589" t="s">
        <v>738</v>
      </c>
      <c r="BK44" s="589"/>
      <c r="BL44" s="439" t="s">
        <v>9637</v>
      </c>
      <c r="BM44" s="587"/>
      <c r="BN44" s="587"/>
      <c r="BO44" s="587"/>
      <c r="BP44" s="439" t="s">
        <v>2086</v>
      </c>
      <c r="BQ44" s="857"/>
      <c r="BR44" s="448" t="s">
        <v>9638</v>
      </c>
      <c r="BS44" s="448" t="s">
        <v>3221</v>
      </c>
      <c r="BT44" s="448" t="s">
        <v>9639</v>
      </c>
      <c r="BU44" s="448" t="s">
        <v>9640</v>
      </c>
      <c r="BV44" s="448" t="s">
        <v>9641</v>
      </c>
      <c r="BW44" s="448" t="s">
        <v>9642</v>
      </c>
      <c r="BX44" s="859"/>
      <c r="BY44" s="594" t="s">
        <v>9643</v>
      </c>
      <c r="BZ44" s="448" t="s">
        <v>9644</v>
      </c>
      <c r="CA44" s="448" t="s">
        <v>3267</v>
      </c>
      <c r="CB44" s="448" t="s">
        <v>9645</v>
      </c>
      <c r="CC44" s="448" t="s">
        <v>2448</v>
      </c>
      <c r="CD44" s="448" t="s">
        <v>1238</v>
      </c>
      <c r="CE44" s="859"/>
      <c r="CF44" s="861"/>
      <c r="CG44" s="459" t="s">
        <v>2287</v>
      </c>
      <c r="CH44" s="459" t="s">
        <v>9058</v>
      </c>
      <c r="CI44" s="459" t="s">
        <v>9543</v>
      </c>
      <c r="CJ44" s="459" t="s">
        <v>9646</v>
      </c>
      <c r="CK44" s="460"/>
      <c r="CL44" s="459" t="s">
        <v>4368</v>
      </c>
      <c r="CM44" s="459" t="s">
        <v>5698</v>
      </c>
      <c r="CN44" s="459" t="s">
        <v>9647</v>
      </c>
      <c r="CO44" s="459" t="s">
        <v>4551</v>
      </c>
      <c r="CP44" s="863"/>
      <c r="CQ44" s="459" t="s">
        <v>9648</v>
      </c>
      <c r="CR44" s="863"/>
      <c r="CS44" s="459" t="s">
        <v>9649</v>
      </c>
      <c r="CT44" s="459" t="s">
        <v>9650</v>
      </c>
      <c r="CU44" s="62"/>
      <c r="CV44" s="466" t="s">
        <v>865</v>
      </c>
      <c r="CW44" s="466" t="s">
        <v>487</v>
      </c>
      <c r="CX44" s="971" t="s">
        <v>1398</v>
      </c>
      <c r="CY44" s="466" t="s">
        <v>4709</v>
      </c>
      <c r="CZ44" s="466" t="s">
        <v>7205</v>
      </c>
      <c r="DA44" s="466" t="s">
        <v>9058</v>
      </c>
      <c r="DB44" s="466" t="s">
        <v>9651</v>
      </c>
      <c r="DC44" s="466" t="s">
        <v>902</v>
      </c>
      <c r="DD44" s="864"/>
      <c r="DE44" s="864"/>
      <c r="DF44" s="466" t="s">
        <v>9652</v>
      </c>
      <c r="DG44" s="466" t="s">
        <v>9653</v>
      </c>
      <c r="DH44" s="864"/>
      <c r="DI44" s="483" t="s">
        <v>4000</v>
      </c>
      <c r="DJ44" s="866"/>
      <c r="DK44" s="866"/>
      <c r="DL44" s="866"/>
      <c r="DM44" s="866"/>
      <c r="DN44" s="866"/>
      <c r="DO44" s="483" t="s">
        <v>9654</v>
      </c>
      <c r="DP44" s="483" t="s">
        <v>9655</v>
      </c>
      <c r="DQ44" s="866"/>
      <c r="DR44" s="483" t="s">
        <v>6395</v>
      </c>
      <c r="DS44" s="483" t="s">
        <v>905</v>
      </c>
      <c r="DT44" s="866"/>
      <c r="DU44" s="866"/>
      <c r="DV44" s="866"/>
      <c r="DW44" s="866"/>
      <c r="DX44" s="483" t="s">
        <v>9656</v>
      </c>
      <c r="DY44" s="866"/>
      <c r="DZ44" s="483" t="s">
        <v>4187</v>
      </c>
      <c r="EA44" s="866"/>
      <c r="EB44" s="866"/>
      <c r="EC44" s="483" t="s">
        <v>9062</v>
      </c>
      <c r="ED44" s="974"/>
    </row>
    <row r="45">
      <c r="A45" s="975" t="s">
        <v>3161</v>
      </c>
      <c r="B45" s="229" t="s">
        <v>9657</v>
      </c>
      <c r="C45" s="230" t="s">
        <v>155</v>
      </c>
      <c r="D45" s="231" t="s">
        <v>156</v>
      </c>
      <c r="E45" s="232" t="s">
        <v>79</v>
      </c>
      <c r="F45" s="233" t="s">
        <v>551</v>
      </c>
      <c r="G45" s="229" t="s">
        <v>1059</v>
      </c>
      <c r="H45" s="273" t="s">
        <v>6922</v>
      </c>
      <c r="I45" s="273" t="s">
        <v>5860</v>
      </c>
      <c r="J45" s="273" t="s">
        <v>8907</v>
      </c>
      <c r="K45" s="273" t="s">
        <v>8119</v>
      </c>
      <c r="L45" s="263" t="s">
        <v>5178</v>
      </c>
      <c r="M45" s="304"/>
      <c r="N45" s="304"/>
      <c r="O45" s="263" t="s">
        <v>9658</v>
      </c>
      <c r="P45" s="273" t="s">
        <v>4489</v>
      </c>
      <c r="Q45" s="247" t="s">
        <v>3041</v>
      </c>
      <c r="R45" s="273"/>
      <c r="S45" s="273" t="s">
        <v>4291</v>
      </c>
      <c r="T45" s="263"/>
      <c r="U45" s="263" t="s">
        <v>9659</v>
      </c>
      <c r="V45" s="248" t="s">
        <v>9660</v>
      </c>
      <c r="W45" s="788"/>
      <c r="X45" s="273" t="s">
        <v>9661</v>
      </c>
      <c r="Y45" s="273"/>
      <c r="Z45" s="273" t="s">
        <v>9662</v>
      </c>
      <c r="AA45" s="273" t="s">
        <v>6368</v>
      </c>
      <c r="AB45" s="273" t="s">
        <v>9663</v>
      </c>
      <c r="AC45" s="273" t="s">
        <v>4226</v>
      </c>
      <c r="AD45" s="273" t="s">
        <v>3070</v>
      </c>
      <c r="AE45" s="273"/>
      <c r="AF45" s="273" t="s">
        <v>3445</v>
      </c>
      <c r="AG45" s="273" t="s">
        <v>4490</v>
      </c>
      <c r="AH45" s="273" t="s">
        <v>9664</v>
      </c>
      <c r="AI45" s="273"/>
      <c r="AJ45" s="273" t="s">
        <v>8346</v>
      </c>
      <c r="AK45" s="252" t="s">
        <v>9665</v>
      </c>
      <c r="AL45" s="61"/>
      <c r="AM45" s="273" t="s">
        <v>749</v>
      </c>
      <c r="AN45" s="273" t="s">
        <v>5297</v>
      </c>
      <c r="AO45" s="301" t="str">
        <f>HYPERLINK("https://youtu.be/LAskX_epfLA","1:44.25")</f>
        <v>1:44.25</v>
      </c>
      <c r="AP45" s="273" t="s">
        <v>9666</v>
      </c>
      <c r="AQ45" s="242" t="s">
        <v>514</v>
      </c>
      <c r="AR45" s="242" t="s">
        <v>9667</v>
      </c>
      <c r="AS45" s="304"/>
      <c r="AT45" s="315" t="s">
        <v>9668</v>
      </c>
      <c r="AU45" s="263" t="s">
        <v>6063</v>
      </c>
      <c r="AV45" s="273" t="s">
        <v>3755</v>
      </c>
      <c r="AW45" s="273" t="s">
        <v>4975</v>
      </c>
      <c r="AX45" s="242" t="s">
        <v>502</v>
      </c>
      <c r="AY45" s="242" t="s">
        <v>1268</v>
      </c>
      <c r="AZ45" s="301" t="s">
        <v>4034</v>
      </c>
      <c r="BA45" s="274"/>
      <c r="BB45" s="273" t="s">
        <v>7176</v>
      </c>
      <c r="BC45" s="304"/>
      <c r="BD45" s="273" t="s">
        <v>4831</v>
      </c>
      <c r="BE45" s="273" t="s">
        <v>9669</v>
      </c>
      <c r="BF45" s="273" t="s">
        <v>6839</v>
      </c>
      <c r="BG45" s="301" t="str">
        <f>HYPERLINK("https://youtu.be/V-kufjH1djY","41.22")</f>
        <v>41.22</v>
      </c>
      <c r="BH45" s="304"/>
      <c r="BI45" s="273" t="s">
        <v>396</v>
      </c>
      <c r="BJ45" s="304"/>
      <c r="BK45" s="273" t="s">
        <v>9670</v>
      </c>
      <c r="BL45" s="304"/>
      <c r="BM45" s="273" t="s">
        <v>9671</v>
      </c>
      <c r="BN45" s="263" t="s">
        <v>1252</v>
      </c>
      <c r="BO45" s="273" t="s">
        <v>9672</v>
      </c>
      <c r="BP45" s="242" t="s">
        <v>6311</v>
      </c>
      <c r="BQ45" s="312"/>
      <c r="BR45" s="304"/>
      <c r="BS45" s="263" t="s">
        <v>9673</v>
      </c>
      <c r="BT45" s="273" t="s">
        <v>9674</v>
      </c>
      <c r="BU45" s="242" t="s">
        <v>9675</v>
      </c>
      <c r="BV45" s="304"/>
      <c r="BW45" s="273" t="s">
        <v>9607</v>
      </c>
      <c r="BX45" s="273" t="s">
        <v>9590</v>
      </c>
      <c r="BY45" s="273" t="s">
        <v>9676</v>
      </c>
      <c r="BZ45" s="273" t="s">
        <v>9677</v>
      </c>
      <c r="CA45" s="242" t="s">
        <v>9678</v>
      </c>
      <c r="CB45" s="273" t="s">
        <v>9679</v>
      </c>
      <c r="CC45" s="273" t="s">
        <v>5690</v>
      </c>
      <c r="CD45" s="273" t="s">
        <v>2984</v>
      </c>
      <c r="CE45" s="248" t="s">
        <v>9680</v>
      </c>
      <c r="CF45" s="333"/>
      <c r="CG45" s="273" t="s">
        <v>9681</v>
      </c>
      <c r="CH45" s="522" t="s">
        <v>4245</v>
      </c>
      <c r="CI45" s="301" t="str">
        <f>HYPERLINK("https://youtu.be/Mwnid1_a4L4","31.97")</f>
        <v>31.97</v>
      </c>
      <c r="CJ45" s="273" t="s">
        <v>9682</v>
      </c>
      <c r="CK45" s="273"/>
      <c r="CL45" s="273" t="s">
        <v>4367</v>
      </c>
      <c r="CM45" s="908" t="s">
        <v>9264</v>
      </c>
      <c r="CN45" s="273" t="s">
        <v>1898</v>
      </c>
      <c r="CO45" s="263" t="s">
        <v>9683</v>
      </c>
      <c r="CP45" s="301" t="str">
        <f>HYPERLINK("https://youtu.be/9t40-1JdpMg","1:12.35")</f>
        <v>1:12.35</v>
      </c>
      <c r="CQ45" s="301" t="s">
        <v>3846</v>
      </c>
      <c r="CR45" s="333"/>
      <c r="CS45" s="247" t="s">
        <v>899</v>
      </c>
      <c r="CT45" s="301" t="s">
        <v>8252</v>
      </c>
      <c r="CU45" s="62"/>
      <c r="CV45" s="304"/>
      <c r="CW45" s="273" t="s">
        <v>9615</v>
      </c>
      <c r="CX45" s="263" t="s">
        <v>2234</v>
      </c>
      <c r="CY45" s="273" t="s">
        <v>3644</v>
      </c>
      <c r="CZ45" s="273" t="s">
        <v>9684</v>
      </c>
      <c r="DA45" s="273" t="s">
        <v>3068</v>
      </c>
      <c r="DB45" s="273" t="s">
        <v>9685</v>
      </c>
      <c r="DC45" s="273" t="s">
        <v>2009</v>
      </c>
      <c r="DD45" s="301" t="str">
        <f>HYPERLINK("https://youtu.be/BJNJgSLnXTM","1:18.10")</f>
        <v>1:18.10</v>
      </c>
      <c r="DE45" s="273" t="s">
        <v>3381</v>
      </c>
      <c r="DF45" s="263" t="s">
        <v>9624</v>
      </c>
      <c r="DG45" s="301" t="s">
        <v>6142</v>
      </c>
      <c r="DH45" s="274"/>
      <c r="DI45" s="304"/>
      <c r="DJ45" s="273" t="s">
        <v>9348</v>
      </c>
      <c r="DK45" s="304"/>
      <c r="DL45" s="247" t="s">
        <v>242</v>
      </c>
      <c r="DM45" s="273" t="s">
        <v>9468</v>
      </c>
      <c r="DN45" s="304"/>
      <c r="DO45" s="301" t="str">
        <f>HYPERLINK("https://www.youtube.com/watch?v=wvfjcRVL5Tg","22.83")</f>
        <v>22.83</v>
      </c>
      <c r="DP45" s="273" t="s">
        <v>1358</v>
      </c>
      <c r="DQ45" s="304"/>
      <c r="DR45" s="944" t="s">
        <v>9686</v>
      </c>
      <c r="DS45" s="333"/>
      <c r="DT45" s="273"/>
      <c r="DU45" s="273" t="s">
        <v>4535</v>
      </c>
      <c r="DV45" s="301" t="str">
        <f>HYPERLINK("https://youtu.be/mf09PJ8pEj4","49.38")</f>
        <v>49.38</v>
      </c>
      <c r="DW45" s="304"/>
      <c r="DX45" s="304"/>
      <c r="DY45" s="242" t="s">
        <v>9687</v>
      </c>
      <c r="DZ45" s="273" t="s">
        <v>1515</v>
      </c>
      <c r="EA45" s="242" t="s">
        <v>9688</v>
      </c>
      <c r="EB45" s="304"/>
      <c r="EC45" s="273"/>
      <c r="ED45" s="885"/>
    </row>
    <row r="46">
      <c r="A46" s="1699" t="s">
        <v>2496</v>
      </c>
      <c r="B46" s="381" t="s">
        <v>9689</v>
      </c>
      <c r="C46" s="384" t="s">
        <v>155</v>
      </c>
      <c r="D46" s="386" t="s">
        <v>155</v>
      </c>
      <c r="E46" s="389" t="s">
        <v>155</v>
      </c>
      <c r="F46" s="390" t="s">
        <v>1695</v>
      </c>
      <c r="G46" s="381" t="s">
        <v>3412</v>
      </c>
      <c r="H46" s="547" t="s">
        <v>558</v>
      </c>
      <c r="I46" s="547" t="s">
        <v>9502</v>
      </c>
      <c r="J46" s="547" t="s">
        <v>9690</v>
      </c>
      <c r="K46" s="406" t="s">
        <v>774</v>
      </c>
      <c r="L46" s="1003" t="s">
        <v>1103</v>
      </c>
      <c r="M46" s="406" t="s">
        <v>4047</v>
      </c>
      <c r="N46" s="406" t="s">
        <v>9691</v>
      </c>
      <c r="O46" s="406" t="s">
        <v>9536</v>
      </c>
      <c r="P46" s="406" t="s">
        <v>1649</v>
      </c>
      <c r="Q46" s="1700" t="s">
        <v>9692</v>
      </c>
      <c r="R46" s="1701" t="s">
        <v>1164</v>
      </c>
      <c r="S46" s="406" t="s">
        <v>382</v>
      </c>
      <c r="T46" s="1003" t="s">
        <v>3583</v>
      </c>
      <c r="U46" s="547" t="s">
        <v>4584</v>
      </c>
      <c r="V46" s="547" t="s">
        <v>9693</v>
      </c>
      <c r="W46" s="62"/>
      <c r="X46" s="417" t="s">
        <v>2213</v>
      </c>
      <c r="Y46" s="683"/>
      <c r="Z46" s="683" t="s">
        <v>2902</v>
      </c>
      <c r="AA46" s="1007" t="s">
        <v>4482</v>
      </c>
      <c r="AB46" s="1007" t="s">
        <v>2414</v>
      </c>
      <c r="AC46" s="683" t="s">
        <v>1899</v>
      </c>
      <c r="AD46" s="417" t="s">
        <v>9694</v>
      </c>
      <c r="AE46" s="683" t="s">
        <v>9695</v>
      </c>
      <c r="AF46" s="683" t="s">
        <v>9696</v>
      </c>
      <c r="AG46" s="417" t="s">
        <v>2904</v>
      </c>
      <c r="AH46" s="683" t="s">
        <v>1174</v>
      </c>
      <c r="AI46" s="683" t="s">
        <v>9697</v>
      </c>
      <c r="AJ46" s="683" t="s">
        <v>8442</v>
      </c>
      <c r="AK46" s="683" t="s">
        <v>9396</v>
      </c>
      <c r="AL46" s="61"/>
      <c r="AM46" s="571" t="s">
        <v>3651</v>
      </c>
      <c r="AN46" s="427" t="s">
        <v>3691</v>
      </c>
      <c r="AO46" s="571" t="s">
        <v>9698</v>
      </c>
      <c r="AP46" s="571" t="s">
        <v>8628</v>
      </c>
      <c r="AQ46" s="571" t="s">
        <v>8743</v>
      </c>
      <c r="AR46" s="1702" t="s">
        <v>2701</v>
      </c>
      <c r="AS46" s="571" t="s">
        <v>9699</v>
      </c>
      <c r="AT46" s="427" t="s">
        <v>2607</v>
      </c>
      <c r="AU46" s="571" t="s">
        <v>3667</v>
      </c>
      <c r="AV46" s="571" t="s">
        <v>4393</v>
      </c>
      <c r="AW46" s="571" t="s">
        <v>9700</v>
      </c>
      <c r="AX46" s="571" t="s">
        <v>2616</v>
      </c>
      <c r="AY46" s="571" t="s">
        <v>4291</v>
      </c>
      <c r="AZ46" s="1702" t="s">
        <v>2704</v>
      </c>
      <c r="BA46" s="1702"/>
      <c r="BB46" s="439" t="s">
        <v>9631</v>
      </c>
      <c r="BC46" s="589" t="s">
        <v>3604</v>
      </c>
      <c r="BD46" s="439" t="s">
        <v>9701</v>
      </c>
      <c r="BE46" s="439" t="s">
        <v>9702</v>
      </c>
      <c r="BF46" s="589" t="s">
        <v>2308</v>
      </c>
      <c r="BG46" s="589" t="s">
        <v>7117</v>
      </c>
      <c r="BH46" s="587"/>
      <c r="BI46" s="439" t="s">
        <v>1534</v>
      </c>
      <c r="BJ46" s="589"/>
      <c r="BK46" s="589" t="s">
        <v>6571</v>
      </c>
      <c r="BL46" s="439" t="s">
        <v>2989</v>
      </c>
      <c r="BM46" s="589" t="s">
        <v>5998</v>
      </c>
      <c r="BN46" s="589" t="s">
        <v>9703</v>
      </c>
      <c r="BO46" s="589" t="s">
        <v>5608</v>
      </c>
      <c r="BP46" s="589" t="s">
        <v>9704</v>
      </c>
      <c r="BQ46" s="589"/>
      <c r="BR46" s="448" t="s">
        <v>9705</v>
      </c>
      <c r="BS46" s="448" t="s">
        <v>5120</v>
      </c>
      <c r="BT46" s="448" t="s">
        <v>9416</v>
      </c>
      <c r="BU46" s="448" t="s">
        <v>3869</v>
      </c>
      <c r="BV46" s="448" t="s">
        <v>9706</v>
      </c>
      <c r="BW46" s="448" t="s">
        <v>821</v>
      </c>
      <c r="BX46" s="859"/>
      <c r="BY46" s="594" t="s">
        <v>6164</v>
      </c>
      <c r="BZ46" s="1045" t="s">
        <v>9707</v>
      </c>
      <c r="CA46" s="594" t="s">
        <v>9708</v>
      </c>
      <c r="CB46" s="448" t="s">
        <v>9709</v>
      </c>
      <c r="CC46" s="594" t="s">
        <v>9710</v>
      </c>
      <c r="CD46" s="448" t="s">
        <v>4530</v>
      </c>
      <c r="CE46" s="448" t="s">
        <v>2524</v>
      </c>
      <c r="CF46" s="594"/>
      <c r="CG46" s="1703" t="s">
        <v>9711</v>
      </c>
      <c r="CH46" s="606" t="s">
        <v>2731</v>
      </c>
      <c r="CI46" s="606" t="s">
        <v>9712</v>
      </c>
      <c r="CJ46" s="606" t="s">
        <v>9713</v>
      </c>
      <c r="CK46" s="606"/>
      <c r="CL46" s="606" t="s">
        <v>9714</v>
      </c>
      <c r="CM46" s="606" t="s">
        <v>9715</v>
      </c>
      <c r="CN46" s="459" t="s">
        <v>5007</v>
      </c>
      <c r="CO46" s="606" t="s">
        <v>5073</v>
      </c>
      <c r="CP46" s="606" t="s">
        <v>2390</v>
      </c>
      <c r="CQ46" s="459" t="s">
        <v>2051</v>
      </c>
      <c r="CR46" s="863"/>
      <c r="CS46" s="606" t="s">
        <v>9716</v>
      </c>
      <c r="CT46" s="606" t="s">
        <v>9717</v>
      </c>
      <c r="CU46" s="62"/>
      <c r="CV46" s="703" t="s">
        <v>5140</v>
      </c>
      <c r="CW46" s="703" t="s">
        <v>8396</v>
      </c>
      <c r="CX46" s="703" t="s">
        <v>2835</v>
      </c>
      <c r="CY46" s="466" t="s">
        <v>2238</v>
      </c>
      <c r="CZ46" s="703" t="s">
        <v>9718</v>
      </c>
      <c r="DA46" s="703" t="s">
        <v>4373</v>
      </c>
      <c r="DB46" s="466" t="s">
        <v>9719</v>
      </c>
      <c r="DC46" s="703" t="s">
        <v>9720</v>
      </c>
      <c r="DD46" s="703" t="s">
        <v>5708</v>
      </c>
      <c r="DE46" s="703" t="s">
        <v>5599</v>
      </c>
      <c r="DF46" s="703" t="s">
        <v>9721</v>
      </c>
      <c r="DG46" s="703" t="s">
        <v>8769</v>
      </c>
      <c r="DH46" s="703"/>
      <c r="DI46" s="707" t="s">
        <v>4300</v>
      </c>
      <c r="DJ46" s="866"/>
      <c r="DK46" s="866"/>
      <c r="DL46" s="707"/>
      <c r="DM46" s="483" t="s">
        <v>4552</v>
      </c>
      <c r="DN46" s="707" t="s">
        <v>9722</v>
      </c>
      <c r="DO46" s="707" t="s">
        <v>9723</v>
      </c>
      <c r="DP46" s="707" t="s">
        <v>9724</v>
      </c>
      <c r="DQ46" s="707" t="s">
        <v>9725</v>
      </c>
      <c r="DR46" s="707" t="s">
        <v>369</v>
      </c>
      <c r="DS46" s="483" t="s">
        <v>9726</v>
      </c>
      <c r="DT46" s="707" t="s">
        <v>9727</v>
      </c>
      <c r="DU46" s="707" t="s">
        <v>9470</v>
      </c>
      <c r="DV46" s="707" t="s">
        <v>6687</v>
      </c>
      <c r="DW46" s="707" t="s">
        <v>9728</v>
      </c>
      <c r="DX46" s="707" t="s">
        <v>9729</v>
      </c>
      <c r="DY46" s="707" t="s">
        <v>1585</v>
      </c>
      <c r="DZ46" s="483" t="s">
        <v>9730</v>
      </c>
      <c r="EA46" s="707" t="s">
        <v>2456</v>
      </c>
      <c r="EB46" s="707" t="s">
        <v>5017</v>
      </c>
      <c r="EC46" s="707" t="s">
        <v>4020</v>
      </c>
      <c r="ED46" s="974" t="s">
        <v>9731</v>
      </c>
    </row>
    <row r="47">
      <c r="A47" s="1704" t="s">
        <v>9732</v>
      </c>
      <c r="B47" s="229" t="s">
        <v>9733</v>
      </c>
      <c r="C47" s="230" t="s">
        <v>155</v>
      </c>
      <c r="D47" s="231" t="s">
        <v>76</v>
      </c>
      <c r="E47" s="232" t="s">
        <v>76</v>
      </c>
      <c r="F47" s="233" t="s">
        <v>1016</v>
      </c>
      <c r="G47" s="229" t="s">
        <v>4873</v>
      </c>
      <c r="H47" s="1017" t="s">
        <v>368</v>
      </c>
      <c r="I47" s="1017" t="s">
        <v>9734</v>
      </c>
      <c r="J47" s="1017" t="s">
        <v>676</v>
      </c>
      <c r="K47" s="1017" t="s">
        <v>767</v>
      </c>
      <c r="L47" s="1017" t="s">
        <v>1107</v>
      </c>
      <c r="M47" s="1017" t="s">
        <v>9735</v>
      </c>
      <c r="N47" s="1017" t="s">
        <v>9736</v>
      </c>
      <c r="O47" s="1017" t="s">
        <v>4157</v>
      </c>
      <c r="P47" s="1016" t="s">
        <v>1093</v>
      </c>
      <c r="Q47" s="1017"/>
      <c r="R47" s="1017"/>
      <c r="S47" s="1017"/>
      <c r="T47" s="1017"/>
      <c r="U47" s="1017"/>
      <c r="V47" s="1017"/>
      <c r="W47" s="504"/>
      <c r="X47" s="1017" t="s">
        <v>9737</v>
      </c>
      <c r="Y47" s="1705"/>
      <c r="Z47" s="1016" t="s">
        <v>5322</v>
      </c>
      <c r="AA47" s="1016" t="s">
        <v>1995</v>
      </c>
      <c r="AB47" s="1017" t="s">
        <v>9738</v>
      </c>
      <c r="AC47" s="1017" t="s">
        <v>9739</v>
      </c>
      <c r="AD47" s="1017" t="s">
        <v>9740</v>
      </c>
      <c r="AE47" s="1017"/>
      <c r="AF47" s="1017" t="s">
        <v>9741</v>
      </c>
      <c r="AG47" s="1017" t="s">
        <v>3467</v>
      </c>
      <c r="AH47" s="1017"/>
      <c r="AI47" s="1017"/>
      <c r="AJ47" s="1017"/>
      <c r="AK47" s="1017"/>
      <c r="AL47" s="1282"/>
      <c r="AM47" s="1017" t="s">
        <v>9742</v>
      </c>
      <c r="AN47" s="1017" t="s">
        <v>5064</v>
      </c>
      <c r="AO47" s="1017"/>
      <c r="AP47" s="1017"/>
      <c r="AQ47" s="1017"/>
      <c r="AR47" s="1017"/>
      <c r="AS47" s="1017"/>
      <c r="AT47" s="1017"/>
      <c r="AU47" s="1017" t="s">
        <v>2121</v>
      </c>
      <c r="AV47" s="1016" t="s">
        <v>672</v>
      </c>
      <c r="AW47" s="1017"/>
      <c r="AX47" s="1017"/>
      <c r="AY47" s="1017" t="s">
        <v>9743</v>
      </c>
      <c r="AZ47" s="1017"/>
      <c r="BA47" s="1017"/>
      <c r="BB47" s="1017" t="s">
        <v>4511</v>
      </c>
      <c r="BC47" s="1017" t="s">
        <v>9744</v>
      </c>
      <c r="BD47" s="1016" t="s">
        <v>430</v>
      </c>
      <c r="BE47" s="1016" t="s">
        <v>4007</v>
      </c>
      <c r="BF47" s="1017" t="s">
        <v>2308</v>
      </c>
      <c r="BG47" s="1017" t="s">
        <v>5320</v>
      </c>
      <c r="BH47" s="1017"/>
      <c r="BI47" s="1017" t="s">
        <v>2349</v>
      </c>
      <c r="BJ47" s="1017"/>
      <c r="BK47" s="1017" t="s">
        <v>6984</v>
      </c>
      <c r="BL47" s="1017" t="s">
        <v>4628</v>
      </c>
      <c r="BM47" s="1017"/>
      <c r="BN47" s="908" t="s">
        <v>3964</v>
      </c>
      <c r="BO47" s="1017"/>
      <c r="BP47" s="1017"/>
      <c r="BQ47" s="1023"/>
      <c r="BR47" s="1017"/>
      <c r="BS47" s="1017" t="s">
        <v>9604</v>
      </c>
      <c r="BT47" s="1017" t="s">
        <v>9745</v>
      </c>
      <c r="BU47" s="1017" t="s">
        <v>9746</v>
      </c>
      <c r="BV47" s="1017" t="s">
        <v>6137</v>
      </c>
      <c r="BW47" s="1017" t="s">
        <v>2535</v>
      </c>
      <c r="BX47" s="1017" t="s">
        <v>9747</v>
      </c>
      <c r="BY47" s="1017" t="s">
        <v>9748</v>
      </c>
      <c r="BZ47" s="1017" t="s">
        <v>9749</v>
      </c>
      <c r="CA47" s="1017" t="s">
        <v>4041</v>
      </c>
      <c r="CB47" s="1017"/>
      <c r="CC47" s="1017"/>
      <c r="CD47" s="1017"/>
      <c r="CE47" s="1017"/>
      <c r="CF47" s="1023"/>
      <c r="CG47" s="1017" t="s">
        <v>9750</v>
      </c>
      <c r="CH47" s="1022" t="s">
        <v>4238</v>
      </c>
      <c r="CI47" s="1706" t="s">
        <v>4529</v>
      </c>
      <c r="CJ47" s="1017" t="s">
        <v>9751</v>
      </c>
      <c r="CK47" s="1017"/>
      <c r="CL47" s="1017"/>
      <c r="CM47" s="1017" t="s">
        <v>1312</v>
      </c>
      <c r="CN47" s="1017" t="s">
        <v>3950</v>
      </c>
      <c r="CO47" s="1016" t="s">
        <v>9529</v>
      </c>
      <c r="CP47" s="1017"/>
      <c r="CQ47" s="1017" t="s">
        <v>5438</v>
      </c>
      <c r="CR47" s="1017"/>
      <c r="CS47" s="1017" t="s">
        <v>9752</v>
      </c>
      <c r="CT47" s="1017"/>
      <c r="CU47" s="504"/>
      <c r="CV47" s="1017" t="s">
        <v>9753</v>
      </c>
      <c r="CW47" s="1017" t="s">
        <v>3763</v>
      </c>
      <c r="CX47" s="771" t="s">
        <v>2499</v>
      </c>
      <c r="CY47" s="1017" t="s">
        <v>9619</v>
      </c>
      <c r="CZ47" s="1017"/>
      <c r="DA47" s="1017"/>
      <c r="DB47" s="1016" t="s">
        <v>9754</v>
      </c>
      <c r="DC47" s="1017" t="s">
        <v>2121</v>
      </c>
      <c r="DD47" s="1017"/>
      <c r="DE47" s="1017"/>
      <c r="DF47" s="1017"/>
      <c r="DG47" s="1017"/>
      <c r="DH47" s="1017"/>
      <c r="DI47" s="1017"/>
      <c r="DJ47" s="1017"/>
      <c r="DK47" s="1017"/>
      <c r="DL47" s="1017"/>
      <c r="DM47" s="1017" t="s">
        <v>4552</v>
      </c>
      <c r="DN47" s="1017" t="s">
        <v>4110</v>
      </c>
      <c r="DO47" s="1017" t="s">
        <v>3702</v>
      </c>
      <c r="DP47" s="1017" t="s">
        <v>9755</v>
      </c>
      <c r="DQ47" s="1017"/>
      <c r="DR47" s="1017" t="s">
        <v>9672</v>
      </c>
      <c r="DS47" s="1017"/>
      <c r="DT47" s="1017" t="s">
        <v>623</v>
      </c>
      <c r="DU47" s="1017"/>
      <c r="DV47" s="1017"/>
      <c r="DW47" s="1017" t="s">
        <v>9756</v>
      </c>
      <c r="DX47" s="1017"/>
      <c r="DY47" s="1017"/>
      <c r="DZ47" s="1016" t="s">
        <v>4020</v>
      </c>
      <c r="EA47" s="1017"/>
      <c r="EB47" s="1017"/>
      <c r="EC47" s="1017" t="s">
        <v>5292</v>
      </c>
      <c r="ED47" s="1017" t="s">
        <v>9757</v>
      </c>
    </row>
    <row r="48">
      <c r="A48" s="1707" t="s">
        <v>4115</v>
      </c>
      <c r="B48" s="381" t="s">
        <v>9758</v>
      </c>
      <c r="C48" s="384" t="s">
        <v>155</v>
      </c>
      <c r="D48" s="386" t="s">
        <v>76</v>
      </c>
      <c r="E48" s="389" t="s">
        <v>76</v>
      </c>
      <c r="F48" s="390" t="s">
        <v>1671</v>
      </c>
      <c r="G48" s="381" t="s">
        <v>2839</v>
      </c>
      <c r="H48" s="849"/>
      <c r="I48" s="406" t="s">
        <v>9759</v>
      </c>
      <c r="J48" s="406" t="s">
        <v>9760</v>
      </c>
      <c r="K48" s="406" t="s">
        <v>768</v>
      </c>
      <c r="L48" s="406" t="s">
        <v>9761</v>
      </c>
      <c r="M48" s="406" t="s">
        <v>9762</v>
      </c>
      <c r="N48" s="406" t="s">
        <v>9763</v>
      </c>
      <c r="O48" s="406" t="s">
        <v>9536</v>
      </c>
      <c r="P48" s="547" t="s">
        <v>1677</v>
      </c>
      <c r="Q48" s="849"/>
      <c r="R48" s="849"/>
      <c r="S48" s="849"/>
      <c r="T48" s="849"/>
      <c r="U48" s="849"/>
      <c r="V48" s="849"/>
      <c r="W48" s="62"/>
      <c r="X48" s="417" t="s">
        <v>9764</v>
      </c>
      <c r="Y48" s="683"/>
      <c r="Z48" s="683" t="s">
        <v>2476</v>
      </c>
      <c r="AA48" s="417" t="s">
        <v>4358</v>
      </c>
      <c r="AB48" s="417" t="s">
        <v>6377</v>
      </c>
      <c r="AC48" s="1006" t="s">
        <v>9765</v>
      </c>
      <c r="AD48" s="919" t="s">
        <v>9766</v>
      </c>
      <c r="AE48" s="852"/>
      <c r="AF48" s="919" t="s">
        <v>3216</v>
      </c>
      <c r="AG48" s="417" t="s">
        <v>4901</v>
      </c>
      <c r="AH48" s="852"/>
      <c r="AI48" s="852"/>
      <c r="AJ48" s="852"/>
      <c r="AK48" s="852"/>
      <c r="AL48" s="61"/>
      <c r="AM48" s="855"/>
      <c r="AN48" s="427" t="s">
        <v>5077</v>
      </c>
      <c r="AO48" s="855"/>
      <c r="AP48" s="855"/>
      <c r="AQ48" s="855"/>
      <c r="AR48" s="855"/>
      <c r="AS48" s="855"/>
      <c r="AT48" s="855"/>
      <c r="AU48" s="571" t="s">
        <v>6063</v>
      </c>
      <c r="AV48" s="427" t="s">
        <v>9767</v>
      </c>
      <c r="AW48" s="855"/>
      <c r="AX48" s="855"/>
      <c r="AY48" s="855"/>
      <c r="AZ48" s="855"/>
      <c r="BA48" s="855"/>
      <c r="BB48" s="439" t="s">
        <v>7040</v>
      </c>
      <c r="BC48" s="439" t="s">
        <v>9768</v>
      </c>
      <c r="BD48" s="589" t="s">
        <v>9566</v>
      </c>
      <c r="BE48" s="439" t="s">
        <v>9769</v>
      </c>
      <c r="BF48" s="1708" t="str">
        <f>HYPERLINK("https://clips.twitch.tv/FaintElegantTermiteBabyRage-ToAgtH4F3huzSpod", "52.84")</f>
        <v>52.84</v>
      </c>
      <c r="BG48" s="587"/>
      <c r="BH48" s="589"/>
      <c r="BI48" s="439" t="s">
        <v>9770</v>
      </c>
      <c r="BJ48" s="439" t="s">
        <v>6830</v>
      </c>
      <c r="BK48" s="439" t="s">
        <v>1068</v>
      </c>
      <c r="BL48" s="587"/>
      <c r="BM48" s="587"/>
      <c r="BN48" s="587"/>
      <c r="BO48" s="587"/>
      <c r="BP48" s="587"/>
      <c r="BQ48" s="857"/>
      <c r="BR48" s="448" t="s">
        <v>9771</v>
      </c>
      <c r="BS48" s="1045" t="s">
        <v>5545</v>
      </c>
      <c r="BT48" s="448" t="s">
        <v>402</v>
      </c>
      <c r="BU48" s="1045" t="s">
        <v>5647</v>
      </c>
      <c r="BV48" s="595" t="s">
        <v>6705</v>
      </c>
      <c r="BW48" s="448" t="s">
        <v>5032</v>
      </c>
      <c r="BX48" s="859"/>
      <c r="BY48" s="448" t="s">
        <v>6359</v>
      </c>
      <c r="BZ48" s="448" t="s">
        <v>9772</v>
      </c>
      <c r="CA48" s="448" t="s">
        <v>4758</v>
      </c>
      <c r="CB48" s="859"/>
      <c r="CC48" s="859"/>
      <c r="CD48" s="859"/>
      <c r="CE48" s="859"/>
      <c r="CF48" s="861"/>
      <c r="CG48" s="1709" t="s">
        <v>3413</v>
      </c>
      <c r="CH48" s="459" t="s">
        <v>5970</v>
      </c>
      <c r="CI48" s="459" t="s">
        <v>9773</v>
      </c>
      <c r="CJ48" s="820" t="s">
        <v>2640</v>
      </c>
      <c r="CK48" s="460"/>
      <c r="CL48" s="460"/>
      <c r="CM48" s="459" t="s">
        <v>4479</v>
      </c>
      <c r="CN48" s="459" t="s">
        <v>1522</v>
      </c>
      <c r="CO48" s="459" t="s">
        <v>3349</v>
      </c>
      <c r="CP48" s="863"/>
      <c r="CQ48" s="863"/>
      <c r="CR48" s="863"/>
      <c r="CS48" s="863"/>
      <c r="CT48" s="863"/>
      <c r="CU48" s="62"/>
      <c r="CV48" s="466" t="s">
        <v>9774</v>
      </c>
      <c r="CW48" s="864"/>
      <c r="CX48" s="466" t="s">
        <v>420</v>
      </c>
      <c r="CY48" s="466" t="s">
        <v>5188</v>
      </c>
      <c r="CZ48" s="1013" t="s">
        <v>9775</v>
      </c>
      <c r="DA48" s="466" t="str">
        <f>HYPERLINK("https://clips.twitch.tv/ComfortableBadOctopusSeemsGood-tMvOD8fMvPQ1BZUe", "26.50")</f>
        <v>26.50</v>
      </c>
      <c r="DB48" s="466" t="s">
        <v>9776</v>
      </c>
      <c r="DC48" s="466" t="s">
        <v>2380</v>
      </c>
      <c r="DD48" s="864"/>
      <c r="DE48" s="864"/>
      <c r="DF48" s="864"/>
      <c r="DG48" s="864"/>
      <c r="DH48" s="864"/>
      <c r="DI48" s="866"/>
      <c r="DJ48" s="866"/>
      <c r="DK48" s="866"/>
      <c r="DL48" s="866"/>
      <c r="DM48" s="866"/>
      <c r="DN48" s="866"/>
      <c r="DO48" s="866"/>
      <c r="DP48" s="866"/>
      <c r="DQ48" s="866"/>
      <c r="DR48" s="483" t="s">
        <v>1524</v>
      </c>
      <c r="DS48" s="707" t="s">
        <v>9726</v>
      </c>
      <c r="DT48" s="866"/>
      <c r="DU48" s="866"/>
      <c r="DV48" s="866"/>
      <c r="DW48" s="866"/>
      <c r="DX48" s="866"/>
      <c r="DY48" s="866"/>
      <c r="DZ48" s="866"/>
      <c r="EA48" s="866"/>
      <c r="EB48" s="866"/>
      <c r="EC48" s="866"/>
      <c r="ED48" s="974"/>
    </row>
    <row r="49">
      <c r="A49" s="228" t="s">
        <v>3858</v>
      </c>
      <c r="B49" s="229" t="s">
        <v>9777</v>
      </c>
      <c r="C49" s="230" t="s">
        <v>155</v>
      </c>
      <c r="D49" s="231" t="s">
        <v>155</v>
      </c>
      <c r="E49" s="232" t="s">
        <v>155</v>
      </c>
      <c r="F49" s="233" t="s">
        <v>76</v>
      </c>
      <c r="G49" s="229" t="s">
        <v>3080</v>
      </c>
      <c r="H49" s="273" t="s">
        <v>5132</v>
      </c>
      <c r="I49" s="273" t="s">
        <v>422</v>
      </c>
      <c r="J49" s="263" t="s">
        <v>9778</v>
      </c>
      <c r="K49" s="263" t="s">
        <v>774</v>
      </c>
      <c r="L49" s="263" t="s">
        <v>9779</v>
      </c>
      <c r="M49" s="273" t="s">
        <v>9780</v>
      </c>
      <c r="N49" s="273" t="s">
        <v>9781</v>
      </c>
      <c r="O49" s="273" t="s">
        <v>1454</v>
      </c>
      <c r="P49" s="273" t="s">
        <v>1677</v>
      </c>
      <c r="Q49" s="304"/>
      <c r="R49" s="304"/>
      <c r="S49" s="273" t="s">
        <v>1707</v>
      </c>
      <c r="T49" s="273" t="s">
        <v>8385</v>
      </c>
      <c r="U49" s="304"/>
      <c r="V49" s="304"/>
      <c r="W49" s="62"/>
      <c r="X49" s="273" t="s">
        <v>5271</v>
      </c>
      <c r="Y49" s="273"/>
      <c r="Z49" s="273" t="s">
        <v>9782</v>
      </c>
      <c r="AA49" s="273" t="s">
        <v>9783</v>
      </c>
      <c r="AB49" s="263" t="s">
        <v>2911</v>
      </c>
      <c r="AC49" s="263" t="s">
        <v>9056</v>
      </c>
      <c r="AD49" s="273" t="s">
        <v>9784</v>
      </c>
      <c r="AE49" s="273" t="s">
        <v>3879</v>
      </c>
      <c r="AF49" s="273" t="s">
        <v>9785</v>
      </c>
      <c r="AG49" s="273" t="s">
        <v>9786</v>
      </c>
      <c r="AH49" s="273" t="s">
        <v>3248</v>
      </c>
      <c r="AI49" s="304"/>
      <c r="AJ49" s="304"/>
      <c r="AK49" s="304"/>
      <c r="AL49" s="61"/>
      <c r="AM49" s="273" t="s">
        <v>9787</v>
      </c>
      <c r="AN49" s="273" t="s">
        <v>9788</v>
      </c>
      <c r="AO49" s="273" t="s">
        <v>9789</v>
      </c>
      <c r="AP49" s="273" t="s">
        <v>9790</v>
      </c>
      <c r="AQ49" s="273" t="s">
        <v>9791</v>
      </c>
      <c r="AR49" s="273"/>
      <c r="AS49" s="273" t="s">
        <v>1406</v>
      </c>
      <c r="AT49" s="304"/>
      <c r="AU49" s="273" t="s">
        <v>3874</v>
      </c>
      <c r="AV49" s="263" t="s">
        <v>9792</v>
      </c>
      <c r="AW49" s="273" t="s">
        <v>9793</v>
      </c>
      <c r="AX49" s="304"/>
      <c r="AY49" s="273" t="s">
        <v>1441</v>
      </c>
      <c r="AZ49" s="304"/>
      <c r="BA49" s="304"/>
      <c r="BB49" s="273" t="s">
        <v>9794</v>
      </c>
      <c r="BC49" s="273" t="s">
        <v>4385</v>
      </c>
      <c r="BD49" s="273" t="s">
        <v>9795</v>
      </c>
      <c r="BE49" s="263" t="s">
        <v>9458</v>
      </c>
      <c r="BF49" s="273" t="s">
        <v>3075</v>
      </c>
      <c r="BG49" s="273" t="s">
        <v>683</v>
      </c>
      <c r="BH49" s="273" t="s">
        <v>6247</v>
      </c>
      <c r="BI49" s="273" t="s">
        <v>4365</v>
      </c>
      <c r="BJ49" s="273" t="s">
        <v>9796</v>
      </c>
      <c r="BK49" s="273"/>
      <c r="BL49" s="273" t="s">
        <v>9797</v>
      </c>
      <c r="BM49" s="304"/>
      <c r="BN49" s="273" t="s">
        <v>678</v>
      </c>
      <c r="BO49" s="273" t="s">
        <v>7461</v>
      </c>
      <c r="BP49" s="304"/>
      <c r="BQ49" s="841"/>
      <c r="BR49" s="273"/>
      <c r="BS49" s="273" t="s">
        <v>5713</v>
      </c>
      <c r="BT49" s="273" t="s">
        <v>9549</v>
      </c>
      <c r="BU49" s="273" t="s">
        <v>9798</v>
      </c>
      <c r="BV49" s="273" t="s">
        <v>9799</v>
      </c>
      <c r="BW49" s="263" t="s">
        <v>4672</v>
      </c>
      <c r="BX49" s="273" t="s">
        <v>9800</v>
      </c>
      <c r="BY49" s="263" t="s">
        <v>9801</v>
      </c>
      <c r="BZ49" s="304"/>
      <c r="CA49" s="273" t="s">
        <v>3073</v>
      </c>
      <c r="CB49" s="273" t="s">
        <v>9802</v>
      </c>
      <c r="CC49" s="273" t="s">
        <v>9803</v>
      </c>
      <c r="CD49" s="273" t="s">
        <v>1372</v>
      </c>
      <c r="CE49" s="304"/>
      <c r="CF49" s="841"/>
      <c r="CG49" s="301" t="str">
        <f>HYPERLINK("https://clips.twitch.tv/KawaiiRacySwordPeoplesChamp","53.72")</f>
        <v>53.72</v>
      </c>
      <c r="CH49" s="273" t="s">
        <v>711</v>
      </c>
      <c r="CI49" s="273" t="s">
        <v>9804</v>
      </c>
      <c r="CJ49" s="273" t="s">
        <v>9805</v>
      </c>
      <c r="CK49" s="273"/>
      <c r="CL49" s="273" t="s">
        <v>9806</v>
      </c>
      <c r="CM49" s="1706" t="s">
        <v>9807</v>
      </c>
      <c r="CN49" s="263" t="s">
        <v>5001</v>
      </c>
      <c r="CO49" s="273" t="s">
        <v>2050</v>
      </c>
      <c r="CP49" s="304"/>
      <c r="CQ49" s="273" t="s">
        <v>5007</v>
      </c>
      <c r="CR49" s="273"/>
      <c r="CS49" s="273" t="s">
        <v>9808</v>
      </c>
      <c r="CT49" s="304"/>
      <c r="CU49" s="62"/>
      <c r="CV49" s="273" t="s">
        <v>9809</v>
      </c>
      <c r="CW49" s="273" t="s">
        <v>9810</v>
      </c>
      <c r="CX49" s="273" t="s">
        <v>297</v>
      </c>
      <c r="CY49" s="273" t="s">
        <v>9811</v>
      </c>
      <c r="CZ49" s="273" t="s">
        <v>9673</v>
      </c>
      <c r="DA49" s="273" t="s">
        <v>1522</v>
      </c>
      <c r="DB49" s="885" t="s">
        <v>4092</v>
      </c>
      <c r="DC49" s="273" t="s">
        <v>3687</v>
      </c>
      <c r="DD49" s="273" t="s">
        <v>9812</v>
      </c>
      <c r="DE49" s="304"/>
      <c r="DF49" s="304"/>
      <c r="DG49" s="304"/>
      <c r="DH49" s="304"/>
      <c r="DI49" s="304"/>
      <c r="DJ49" s="304"/>
      <c r="DK49" s="304"/>
      <c r="DL49" s="273"/>
      <c r="DM49" s="273" t="s">
        <v>9813</v>
      </c>
      <c r="DN49" s="273" t="s">
        <v>9814</v>
      </c>
      <c r="DO49" s="273" t="s">
        <v>9815</v>
      </c>
      <c r="DP49" s="273" t="s">
        <v>9816</v>
      </c>
      <c r="DQ49" s="273" t="s">
        <v>9817</v>
      </c>
      <c r="DR49" s="273" t="s">
        <v>9818</v>
      </c>
      <c r="DS49" s="273"/>
      <c r="DT49" s="273" t="s">
        <v>114</v>
      </c>
      <c r="DU49" s="273" t="s">
        <v>5236</v>
      </c>
      <c r="DV49" s="273" t="s">
        <v>9819</v>
      </c>
      <c r="DW49" s="273" t="s">
        <v>5237</v>
      </c>
      <c r="DX49" s="273" t="s">
        <v>2731</v>
      </c>
      <c r="DY49" s="273" t="s">
        <v>9820</v>
      </c>
      <c r="DZ49" s="304"/>
      <c r="EA49" s="273" t="s">
        <v>9821</v>
      </c>
      <c r="EB49" s="273" t="s">
        <v>9822</v>
      </c>
      <c r="EC49" s="273" t="s">
        <v>86</v>
      </c>
      <c r="ED49" s="885" t="s">
        <v>9823</v>
      </c>
    </row>
    <row r="50">
      <c r="A50" s="1710" t="s">
        <v>126</v>
      </c>
      <c r="B50" s="381" t="s">
        <v>9824</v>
      </c>
      <c r="C50" s="384" t="s">
        <v>155</v>
      </c>
      <c r="D50" s="386" t="s">
        <v>155</v>
      </c>
      <c r="E50" s="389" t="s">
        <v>155</v>
      </c>
      <c r="F50" s="390" t="s">
        <v>6919</v>
      </c>
      <c r="G50" s="381" t="s">
        <v>1933</v>
      </c>
      <c r="H50" s="406" t="s">
        <v>1967</v>
      </c>
      <c r="I50" s="1549" t="s">
        <v>6677</v>
      </c>
      <c r="J50" s="406" t="s">
        <v>4291</v>
      </c>
      <c r="K50" s="1003" t="s">
        <v>9588</v>
      </c>
      <c r="L50" s="1003" t="s">
        <v>609</v>
      </c>
      <c r="M50" s="406" t="s">
        <v>9825</v>
      </c>
      <c r="N50" s="1711" t="s">
        <v>281</v>
      </c>
      <c r="O50" s="1003" t="s">
        <v>9826</v>
      </c>
      <c r="P50" s="406" t="s">
        <v>9827</v>
      </c>
      <c r="Q50" s="1003" t="s">
        <v>9828</v>
      </c>
      <c r="R50" s="406" t="s">
        <v>2813</v>
      </c>
      <c r="S50" s="406" t="s">
        <v>1712</v>
      </c>
      <c r="T50" s="849"/>
      <c r="U50" s="1003" t="s">
        <v>4557</v>
      </c>
      <c r="V50" s="1003" t="s">
        <v>9829</v>
      </c>
      <c r="W50" s="62"/>
      <c r="X50" s="417" t="s">
        <v>5120</v>
      </c>
      <c r="Y50" s="919"/>
      <c r="Z50" s="417" t="s">
        <v>9830</v>
      </c>
      <c r="AA50" s="1007" t="s">
        <v>1421</v>
      </c>
      <c r="AB50" s="417" t="s">
        <v>9831</v>
      </c>
      <c r="AC50" s="417" t="s">
        <v>1503</v>
      </c>
      <c r="AD50" s="417" t="s">
        <v>9603</v>
      </c>
      <c r="AE50" s="852"/>
      <c r="AF50" s="417" t="s">
        <v>4544</v>
      </c>
      <c r="AG50" s="417" t="s">
        <v>2904</v>
      </c>
      <c r="AH50" s="852"/>
      <c r="AI50" s="852"/>
      <c r="AJ50" s="417" t="s">
        <v>7123</v>
      </c>
      <c r="AK50" s="417" t="s">
        <v>9832</v>
      </c>
      <c r="AL50" s="61"/>
      <c r="AM50" s="966" t="s">
        <v>1314</v>
      </c>
      <c r="AN50" s="427" t="s">
        <v>9833</v>
      </c>
      <c r="AO50" s="966" t="s">
        <v>9834</v>
      </c>
      <c r="AP50" s="427" t="s">
        <v>6748</v>
      </c>
      <c r="AQ50" s="571" t="s">
        <v>2898</v>
      </c>
      <c r="AR50" s="571" t="s">
        <v>5380</v>
      </c>
      <c r="AS50" s="571" t="s">
        <v>9835</v>
      </c>
      <c r="AT50" s="855"/>
      <c r="AU50" s="427" t="s">
        <v>3822</v>
      </c>
      <c r="AV50" s="966" t="s">
        <v>8781</v>
      </c>
      <c r="AW50" s="966" t="s">
        <v>2051</v>
      </c>
      <c r="AX50" s="855"/>
      <c r="AY50" s="427" t="s">
        <v>3999</v>
      </c>
      <c r="AZ50" s="427" t="s">
        <v>9836</v>
      </c>
      <c r="BA50" s="855"/>
      <c r="BB50" s="1645" t="s">
        <v>9359</v>
      </c>
      <c r="BC50" s="439" t="s">
        <v>1832</v>
      </c>
      <c r="BD50" s="1645" t="s">
        <v>1564</v>
      </c>
      <c r="BE50" s="1645" t="s">
        <v>4085</v>
      </c>
      <c r="BF50" s="439" t="s">
        <v>433</v>
      </c>
      <c r="BG50" s="1645" t="s">
        <v>7557</v>
      </c>
      <c r="BH50" s="587"/>
      <c r="BI50" s="1645" t="s">
        <v>2499</v>
      </c>
      <c r="BJ50" s="439" t="s">
        <v>734</v>
      </c>
      <c r="BK50" s="1645"/>
      <c r="BL50" s="439" t="s">
        <v>2989</v>
      </c>
      <c r="BM50" s="589" t="s">
        <v>6568</v>
      </c>
      <c r="BN50" s="589" t="s">
        <v>3371</v>
      </c>
      <c r="BO50" s="1645" t="s">
        <v>6142</v>
      </c>
      <c r="BP50" s="439" t="s">
        <v>5851</v>
      </c>
      <c r="BQ50" s="857"/>
      <c r="BR50" s="451" t="s">
        <v>2382</v>
      </c>
      <c r="BS50" s="451" t="s">
        <v>7402</v>
      </c>
      <c r="BT50" s="451" t="s">
        <v>9837</v>
      </c>
      <c r="BU50" s="448" t="s">
        <v>1292</v>
      </c>
      <c r="BV50" s="451" t="s">
        <v>4634</v>
      </c>
      <c r="BW50" s="448" t="s">
        <v>9838</v>
      </c>
      <c r="BX50" s="448" t="s">
        <v>9839</v>
      </c>
      <c r="BY50" s="448" t="s">
        <v>9840</v>
      </c>
      <c r="BZ50" s="451"/>
      <c r="CA50" s="448" t="s">
        <v>3832</v>
      </c>
      <c r="CB50" s="448" t="s">
        <v>9841</v>
      </c>
      <c r="CC50" s="448" t="s">
        <v>572</v>
      </c>
      <c r="CD50" s="448" t="s">
        <v>9842</v>
      </c>
      <c r="CE50" s="448" t="s">
        <v>6841</v>
      </c>
      <c r="CF50" s="861"/>
      <c r="CG50" s="459" t="s">
        <v>1808</v>
      </c>
      <c r="CH50" s="1703" t="s">
        <v>9843</v>
      </c>
      <c r="CI50" s="459" t="s">
        <v>9844</v>
      </c>
      <c r="CJ50" s="459" t="s">
        <v>9845</v>
      </c>
      <c r="CK50" s="904"/>
      <c r="CL50" s="460" t="s">
        <v>174</v>
      </c>
      <c r="CM50" s="459" t="s">
        <v>7676</v>
      </c>
      <c r="CN50" s="459" t="s">
        <v>4998</v>
      </c>
      <c r="CO50" s="459" t="s">
        <v>9846</v>
      </c>
      <c r="CP50" s="1703" t="s">
        <v>9847</v>
      </c>
      <c r="CQ50" s="459" t="s">
        <v>4817</v>
      </c>
      <c r="CR50" s="863"/>
      <c r="CS50" s="459" t="s">
        <v>405</v>
      </c>
      <c r="CT50" s="1703" t="s">
        <v>9848</v>
      </c>
      <c r="CU50" s="62"/>
      <c r="CV50" s="470" t="s">
        <v>9849</v>
      </c>
      <c r="CW50" s="470" t="s">
        <v>9850</v>
      </c>
      <c r="CX50" s="1013" t="s">
        <v>3395</v>
      </c>
      <c r="CY50" s="466" t="s">
        <v>9851</v>
      </c>
      <c r="CZ50" s="470" t="s">
        <v>9852</v>
      </c>
      <c r="DA50" s="1013" t="s">
        <v>1578</v>
      </c>
      <c r="DB50" s="1013" t="s">
        <v>3593</v>
      </c>
      <c r="DC50" s="466" t="s">
        <v>9581</v>
      </c>
      <c r="DD50" s="703" t="s">
        <v>7808</v>
      </c>
      <c r="DE50" s="466" t="s">
        <v>9853</v>
      </c>
      <c r="DF50" s="703" t="s">
        <v>4253</v>
      </c>
      <c r="DG50" s="466" t="s">
        <v>9854</v>
      </c>
      <c r="DH50" s="864"/>
      <c r="DI50" s="709" t="s">
        <v>9855</v>
      </c>
      <c r="DJ50" s="866"/>
      <c r="DK50" s="866"/>
      <c r="DL50" s="709"/>
      <c r="DM50" s="709" t="s">
        <v>4559</v>
      </c>
      <c r="DN50" s="709" t="s">
        <v>9856</v>
      </c>
      <c r="DO50" s="707" t="s">
        <v>5030</v>
      </c>
      <c r="DP50" s="707" t="s">
        <v>5339</v>
      </c>
      <c r="DQ50" s="866"/>
      <c r="DR50" s="483" t="s">
        <v>9857</v>
      </c>
      <c r="DS50" s="709" t="s">
        <v>9858</v>
      </c>
      <c r="DT50" s="483" t="s">
        <v>9859</v>
      </c>
      <c r="DU50" s="1712" t="s">
        <v>4782</v>
      </c>
      <c r="DV50" s="483" t="s">
        <v>9014</v>
      </c>
      <c r="DW50" s="707" t="s">
        <v>4676</v>
      </c>
      <c r="DX50" s="707" t="s">
        <v>9385</v>
      </c>
      <c r="DY50" s="707" t="s">
        <v>9860</v>
      </c>
      <c r="DZ50" s="707" t="s">
        <v>9861</v>
      </c>
      <c r="EA50" s="1712" t="s">
        <v>9862</v>
      </c>
      <c r="EB50" s="707" t="s">
        <v>4503</v>
      </c>
      <c r="EC50" s="483" t="s">
        <v>4980</v>
      </c>
      <c r="ED50" s="974" t="s">
        <v>9863</v>
      </c>
    </row>
    <row r="51">
      <c r="A51" s="1713" t="s">
        <v>9864</v>
      </c>
      <c r="B51" s="229" t="s">
        <v>9865</v>
      </c>
      <c r="C51" s="230" t="s">
        <v>155</v>
      </c>
      <c r="D51" s="231" t="s">
        <v>155</v>
      </c>
      <c r="E51" s="232" t="s">
        <v>76</v>
      </c>
      <c r="F51" s="233" t="s">
        <v>1016</v>
      </c>
      <c r="G51" s="229" t="s">
        <v>4516</v>
      </c>
      <c r="H51" s="273" t="s">
        <v>9866</v>
      </c>
      <c r="I51" s="273" t="s">
        <v>9867</v>
      </c>
      <c r="J51" s="273" t="s">
        <v>5607</v>
      </c>
      <c r="K51" s="273" t="s">
        <v>774</v>
      </c>
      <c r="L51" s="273" t="s">
        <v>908</v>
      </c>
      <c r="M51" s="273" t="s">
        <v>9868</v>
      </c>
      <c r="N51" s="273" t="s">
        <v>5873</v>
      </c>
      <c r="O51" s="263" t="s">
        <v>1361</v>
      </c>
      <c r="P51" s="273" t="s">
        <v>4550</v>
      </c>
      <c r="Q51" s="273" t="s">
        <v>751</v>
      </c>
      <c r="R51" s="242" t="s">
        <v>1506</v>
      </c>
      <c r="S51" s="301" t="str">
        <f>HYPERLINK("https://www.youtube.com/watch?v=LyUwSuOy_jk","39.79")</f>
        <v>39.79</v>
      </c>
      <c r="T51" s="273" t="s">
        <v>9869</v>
      </c>
      <c r="U51" s="273" t="s">
        <v>7040</v>
      </c>
      <c r="V51" s="273" t="s">
        <v>9870</v>
      </c>
      <c r="W51" s="62"/>
      <c r="X51" s="273" t="s">
        <v>9871</v>
      </c>
      <c r="Y51" s="273" t="s">
        <v>391</v>
      </c>
      <c r="Z51" s="273" t="s">
        <v>9872</v>
      </c>
      <c r="AA51" s="273" t="s">
        <v>8921</v>
      </c>
      <c r="AB51" s="273" t="s">
        <v>5624</v>
      </c>
      <c r="AC51" s="242" t="s">
        <v>2566</v>
      </c>
      <c r="AD51" s="273" t="s">
        <v>2027</v>
      </c>
      <c r="AE51" s="242" t="s">
        <v>9873</v>
      </c>
      <c r="AF51" s="273" t="s">
        <v>9874</v>
      </c>
      <c r="AG51" s="273" t="s">
        <v>9875</v>
      </c>
      <c r="AH51" s="242" t="s">
        <v>3554</v>
      </c>
      <c r="AI51" s="252" t="s">
        <v>2401</v>
      </c>
      <c r="AJ51" s="301" t="str">
        <f>HYPERLINK("https://youtu.be/S7FHDfAKU7I","1:00.88")</f>
        <v>1:00.88</v>
      </c>
      <c r="AK51" s="273" t="s">
        <v>9876</v>
      </c>
      <c r="AL51" s="61"/>
      <c r="AM51" s="273" t="s">
        <v>2586</v>
      </c>
      <c r="AN51" s="242" t="s">
        <v>9877</v>
      </c>
      <c r="AO51" s="273" t="s">
        <v>6682</v>
      </c>
      <c r="AP51" s="242" t="s">
        <v>1226</v>
      </c>
      <c r="AQ51" s="273" t="s">
        <v>5615</v>
      </c>
      <c r="AR51" s="273" t="s">
        <v>4020</v>
      </c>
      <c r="AS51" s="273" t="s">
        <v>9878</v>
      </c>
      <c r="AT51" s="273" t="s">
        <v>7759</v>
      </c>
      <c r="AU51" s="263" t="s">
        <v>3874</v>
      </c>
      <c r="AV51" s="273" t="s">
        <v>1716</v>
      </c>
      <c r="AW51" s="273" t="s">
        <v>1581</v>
      </c>
      <c r="AX51" s="273" t="s">
        <v>4008</v>
      </c>
      <c r="AY51" s="273" t="s">
        <v>9658</v>
      </c>
      <c r="AZ51" s="273" t="s">
        <v>9879</v>
      </c>
      <c r="BA51" s="304"/>
      <c r="BB51" s="273" t="s">
        <v>9880</v>
      </c>
      <c r="BC51" s="273" t="s">
        <v>3752</v>
      </c>
      <c r="BD51" s="273" t="s">
        <v>4320</v>
      </c>
      <c r="BE51" s="273" t="s">
        <v>8009</v>
      </c>
      <c r="BF51" s="273" t="s">
        <v>7569</v>
      </c>
      <c r="BG51" s="273" t="s">
        <v>9881</v>
      </c>
      <c r="BH51" s="273" t="s">
        <v>4035</v>
      </c>
      <c r="BI51" s="273" t="s">
        <v>4476</v>
      </c>
      <c r="BJ51" s="304"/>
      <c r="BK51" s="273" t="s">
        <v>6234</v>
      </c>
      <c r="BL51" s="273" t="s">
        <v>9882</v>
      </c>
      <c r="BM51" s="304"/>
      <c r="BN51" s="304"/>
      <c r="BO51" s="304"/>
      <c r="BP51" s="304"/>
      <c r="BQ51" s="841"/>
      <c r="BR51" s="273" t="s">
        <v>9883</v>
      </c>
      <c r="BS51" s="273" t="s">
        <v>4963</v>
      </c>
      <c r="BT51" s="273" t="s">
        <v>9884</v>
      </c>
      <c r="BU51" s="273" t="s">
        <v>83</v>
      </c>
      <c r="BV51" s="273" t="s">
        <v>9885</v>
      </c>
      <c r="BW51" s="273" t="s">
        <v>4687</v>
      </c>
      <c r="BX51" s="273" t="s">
        <v>8171</v>
      </c>
      <c r="BY51" s="273" t="s">
        <v>9886</v>
      </c>
      <c r="BZ51" s="273" t="s">
        <v>9887</v>
      </c>
      <c r="CA51" s="273" t="s">
        <v>5647</v>
      </c>
      <c r="CB51" s="304"/>
      <c r="CC51" s="304"/>
      <c r="CD51" s="301" t="str">
        <f>HYPERLINK("https://youtu.be/toUWVFNC1VQ","44.39")</f>
        <v>44.39</v>
      </c>
      <c r="CE51" s="304"/>
      <c r="CF51" s="841"/>
      <c r="CG51" s="273" t="s">
        <v>3527</v>
      </c>
      <c r="CH51" s="263" t="s">
        <v>9888</v>
      </c>
      <c r="CI51" s="273" t="s">
        <v>1912</v>
      </c>
      <c r="CJ51" s="273" t="s">
        <v>5981</v>
      </c>
      <c r="CK51" s="273"/>
      <c r="CL51" s="273" t="s">
        <v>9889</v>
      </c>
      <c r="CM51" s="273" t="s">
        <v>9890</v>
      </c>
      <c r="CN51" s="273" t="s">
        <v>4070</v>
      </c>
      <c r="CO51" s="273" t="s">
        <v>9846</v>
      </c>
      <c r="CP51" s="304"/>
      <c r="CQ51" s="304"/>
      <c r="CR51" s="304"/>
      <c r="CS51" s="304"/>
      <c r="CT51" s="304"/>
      <c r="CU51" s="62"/>
      <c r="CV51" s="273" t="s">
        <v>9891</v>
      </c>
      <c r="CW51" s="273" t="s">
        <v>787</v>
      </c>
      <c r="CX51" s="263" t="s">
        <v>4509</v>
      </c>
      <c r="CY51" s="273" t="s">
        <v>5170</v>
      </c>
      <c r="CZ51" s="273" t="s">
        <v>3852</v>
      </c>
      <c r="DA51" s="273" t="s">
        <v>9056</v>
      </c>
      <c r="DB51" s="263" t="s">
        <v>8408</v>
      </c>
      <c r="DC51" s="273" t="s">
        <v>3679</v>
      </c>
      <c r="DD51" s="304"/>
      <c r="DE51" s="304"/>
      <c r="DF51" s="304"/>
      <c r="DG51" s="304"/>
      <c r="DH51" s="304"/>
      <c r="DI51" s="273" t="s">
        <v>2526</v>
      </c>
      <c r="DJ51" s="304"/>
      <c r="DK51" s="273"/>
      <c r="DL51" s="304"/>
      <c r="DM51" s="304"/>
      <c r="DN51" s="304"/>
      <c r="DO51" s="304"/>
      <c r="DP51" s="301" t="str">
        <f>HYPERLINK("https://youtu.be/GV1KTY3UQmI","21.01")</f>
        <v>21.01</v>
      </c>
      <c r="DQ51" s="304"/>
      <c r="DR51" s="273" t="s">
        <v>7467</v>
      </c>
      <c r="DS51" s="304"/>
      <c r="DT51" s="304"/>
      <c r="DU51" s="304"/>
      <c r="DV51" s="304"/>
      <c r="DW51" s="304"/>
      <c r="DX51" s="304"/>
      <c r="DY51" s="304"/>
      <c r="DZ51" s="304"/>
      <c r="EA51" s="304"/>
      <c r="EB51" s="304"/>
      <c r="EC51" s="304"/>
      <c r="ED51" s="885"/>
    </row>
    <row r="52">
      <c r="A52" s="1691" t="s">
        <v>9892</v>
      </c>
      <c r="B52" s="381" t="s">
        <v>9893</v>
      </c>
      <c r="C52" s="384" t="s">
        <v>155</v>
      </c>
      <c r="D52" s="386" t="s">
        <v>155</v>
      </c>
      <c r="E52" s="389" t="s">
        <v>76</v>
      </c>
      <c r="F52" s="390" t="s">
        <v>1492</v>
      </c>
      <c r="G52" s="381" t="s">
        <v>6920</v>
      </c>
      <c r="H52" s="547" t="s">
        <v>5197</v>
      </c>
      <c r="I52" s="845" t="s">
        <v>4274</v>
      </c>
      <c r="J52" s="845" t="s">
        <v>9894</v>
      </c>
      <c r="K52" s="406" t="s">
        <v>9476</v>
      </c>
      <c r="L52" s="845" t="s">
        <v>5178</v>
      </c>
      <c r="M52" s="547" t="s">
        <v>9149</v>
      </c>
      <c r="N52" s="406" t="s">
        <v>9895</v>
      </c>
      <c r="O52" s="406" t="s">
        <v>9896</v>
      </c>
      <c r="P52" s="406" t="s">
        <v>9897</v>
      </c>
      <c r="Q52" s="849"/>
      <c r="R52" s="849"/>
      <c r="S52" s="849"/>
      <c r="T52" s="849"/>
      <c r="U52" s="849"/>
      <c r="V52" s="849"/>
      <c r="W52" s="62"/>
      <c r="X52" s="1218" t="s">
        <v>5120</v>
      </c>
      <c r="Y52" s="683"/>
      <c r="Z52" s="683" t="s">
        <v>9898</v>
      </c>
      <c r="AA52" s="680" t="s">
        <v>2400</v>
      </c>
      <c r="AB52" s="683" t="s">
        <v>9899</v>
      </c>
      <c r="AC52" s="683" t="s">
        <v>5001</v>
      </c>
      <c r="AD52" s="417" t="s">
        <v>6415</v>
      </c>
      <c r="AE52" s="683" t="s">
        <v>9295</v>
      </c>
      <c r="AF52" s="1007" t="s">
        <v>8920</v>
      </c>
      <c r="AG52" s="680" t="s">
        <v>5901</v>
      </c>
      <c r="AH52" s="852"/>
      <c r="AI52" s="852"/>
      <c r="AJ52" s="852"/>
      <c r="AK52" s="852"/>
      <c r="AL52" s="61"/>
      <c r="AM52" s="855"/>
      <c r="AN52" s="571" t="s">
        <v>159</v>
      </c>
      <c r="AO52" s="855"/>
      <c r="AP52" s="855"/>
      <c r="AQ52" s="855"/>
      <c r="AR52" s="855"/>
      <c r="AS52" s="855"/>
      <c r="AT52" s="855"/>
      <c r="AU52" s="571" t="s">
        <v>902</v>
      </c>
      <c r="AV52" s="571" t="s">
        <v>396</v>
      </c>
      <c r="AW52" s="571" t="s">
        <v>4977</v>
      </c>
      <c r="AX52" s="855"/>
      <c r="AY52" s="855"/>
      <c r="AZ52" s="855"/>
      <c r="BA52" s="855"/>
      <c r="BB52" s="589" t="s">
        <v>3375</v>
      </c>
      <c r="BC52" s="589" t="s">
        <v>4807</v>
      </c>
      <c r="BD52" s="589" t="s">
        <v>2822</v>
      </c>
      <c r="BE52" s="586" t="s">
        <v>9900</v>
      </c>
      <c r="BF52" s="589" t="s">
        <v>9901</v>
      </c>
      <c r="BG52" s="589" t="s">
        <v>434</v>
      </c>
      <c r="BH52" s="587"/>
      <c r="BI52" s="436" t="s">
        <v>4243</v>
      </c>
      <c r="BJ52" s="589" t="s">
        <v>5294</v>
      </c>
      <c r="BK52" s="589" t="s">
        <v>4498</v>
      </c>
      <c r="BL52" s="589" t="s">
        <v>9413</v>
      </c>
      <c r="BM52" s="587"/>
      <c r="BN52" s="587"/>
      <c r="BO52" s="587"/>
      <c r="BP52" s="587"/>
      <c r="BQ52" s="857"/>
      <c r="BR52" s="594" t="s">
        <v>2404</v>
      </c>
      <c r="BS52" s="594" t="s">
        <v>3221</v>
      </c>
      <c r="BT52" s="448" t="s">
        <v>2281</v>
      </c>
      <c r="BU52" s="448" t="s">
        <v>5783</v>
      </c>
      <c r="BV52" s="594" t="s">
        <v>1123</v>
      </c>
      <c r="BW52" s="1010" t="s">
        <v>9902</v>
      </c>
      <c r="BX52" s="594" t="s">
        <v>1622</v>
      </c>
      <c r="BY52" s="1045" t="s">
        <v>9903</v>
      </c>
      <c r="BZ52" s="968" t="s">
        <v>9904</v>
      </c>
      <c r="CA52" s="968" t="s">
        <v>3267</v>
      </c>
      <c r="CB52" s="859"/>
      <c r="CC52" s="859"/>
      <c r="CD52" s="594" t="s">
        <v>1268</v>
      </c>
      <c r="CE52" s="859"/>
      <c r="CF52" s="861"/>
      <c r="CG52" s="606" t="s">
        <v>9905</v>
      </c>
      <c r="CH52" s="459" t="s">
        <v>9562</v>
      </c>
      <c r="CI52" s="1012" t="s">
        <v>9906</v>
      </c>
      <c r="CJ52" s="606" t="s">
        <v>9907</v>
      </c>
      <c r="CK52" s="606"/>
      <c r="CL52" s="1714" t="s">
        <v>9908</v>
      </c>
      <c r="CM52" s="459" t="s">
        <v>4918</v>
      </c>
      <c r="CN52" s="459" t="s">
        <v>2579</v>
      </c>
      <c r="CO52" s="606" t="s">
        <v>4482</v>
      </c>
      <c r="CP52" s="863"/>
      <c r="CQ52" s="863"/>
      <c r="CR52" s="863"/>
      <c r="CS52" s="863"/>
      <c r="CT52" s="863"/>
      <c r="CU52" s="62"/>
      <c r="CV52" s="703" t="s">
        <v>3705</v>
      </c>
      <c r="CW52" s="1561" t="s">
        <v>5048</v>
      </c>
      <c r="CX52" s="703" t="s">
        <v>1398</v>
      </c>
      <c r="CY52" s="1561" t="s">
        <v>9909</v>
      </c>
      <c r="CZ52" s="703" t="s">
        <v>9410</v>
      </c>
      <c r="DA52" s="703" t="s">
        <v>4168</v>
      </c>
      <c r="DB52" s="1561" t="s">
        <v>8480</v>
      </c>
      <c r="DC52" s="466" t="s">
        <v>4844</v>
      </c>
      <c r="DD52" s="864"/>
      <c r="DE52" s="864"/>
      <c r="DF52" s="864"/>
      <c r="DG52" s="864"/>
      <c r="DH52" s="864"/>
      <c r="DI52" s="707" t="s">
        <v>4658</v>
      </c>
      <c r="DJ52" s="707" t="s">
        <v>1874</v>
      </c>
      <c r="DK52" s="866"/>
      <c r="DL52" s="866"/>
      <c r="DM52" s="483" t="s">
        <v>1381</v>
      </c>
      <c r="DN52" s="707" t="s">
        <v>4260</v>
      </c>
      <c r="DO52" s="707" t="s">
        <v>9041</v>
      </c>
      <c r="DP52" s="483" t="s">
        <v>2387</v>
      </c>
      <c r="DQ52" s="866"/>
      <c r="DR52" s="483" t="s">
        <v>2818</v>
      </c>
      <c r="DS52" s="1712" t="s">
        <v>9910</v>
      </c>
      <c r="DT52" s="866"/>
      <c r="DU52" s="707" t="s">
        <v>2195</v>
      </c>
      <c r="DV52" s="866"/>
      <c r="DW52" s="707" t="s">
        <v>9911</v>
      </c>
      <c r="DX52" s="866"/>
      <c r="DY52" s="866"/>
      <c r="DZ52" s="866"/>
      <c r="EA52" s="866"/>
      <c r="EB52" s="707" t="s">
        <v>450</v>
      </c>
      <c r="EC52" s="707" t="s">
        <v>4512</v>
      </c>
      <c r="ED52" s="485" t="s">
        <v>9912</v>
      </c>
    </row>
    <row r="53">
      <c r="A53" s="228" t="s">
        <v>9913</v>
      </c>
      <c r="B53" s="229" t="s">
        <v>9914</v>
      </c>
      <c r="C53" s="230" t="s">
        <v>155</v>
      </c>
      <c r="D53" s="231" t="s">
        <v>155</v>
      </c>
      <c r="E53" s="232" t="s">
        <v>155</v>
      </c>
      <c r="F53" s="233" t="s">
        <v>2467</v>
      </c>
      <c r="G53" s="229" t="s">
        <v>3732</v>
      </c>
      <c r="H53" s="273" t="s">
        <v>9915</v>
      </c>
      <c r="I53" s="273" t="s">
        <v>9916</v>
      </c>
      <c r="J53" s="242" t="s">
        <v>9917</v>
      </c>
      <c r="K53" s="242" t="s">
        <v>9918</v>
      </c>
      <c r="L53" s="242" t="s">
        <v>2888</v>
      </c>
      <c r="M53" s="273" t="s">
        <v>9919</v>
      </c>
      <c r="N53" s="242" t="s">
        <v>9920</v>
      </c>
      <c r="O53" s="242" t="s">
        <v>9921</v>
      </c>
      <c r="P53" s="242" t="s">
        <v>1649</v>
      </c>
      <c r="Q53" s="304"/>
      <c r="R53" s="304"/>
      <c r="S53" s="273" t="s">
        <v>9922</v>
      </c>
      <c r="T53" s="304"/>
      <c r="U53" s="273" t="s">
        <v>9923</v>
      </c>
      <c r="V53" s="304"/>
      <c r="W53" s="62"/>
      <c r="X53" s="1016" t="s">
        <v>4080</v>
      </c>
      <c r="Y53" s="263"/>
      <c r="Z53" s="242" t="s">
        <v>9481</v>
      </c>
      <c r="AA53" s="273" t="s">
        <v>623</v>
      </c>
      <c r="AB53" s="242" t="s">
        <v>9924</v>
      </c>
      <c r="AC53" s="242" t="s">
        <v>9925</v>
      </c>
      <c r="AD53" s="242" t="s">
        <v>9926</v>
      </c>
      <c r="AE53" s="304"/>
      <c r="AF53" s="273" t="s">
        <v>1478</v>
      </c>
      <c r="AG53" s="273" t="s">
        <v>2423</v>
      </c>
      <c r="AH53" s="304"/>
      <c r="AI53" s="304"/>
      <c r="AJ53" s="304"/>
      <c r="AK53" s="304"/>
      <c r="AL53" s="61"/>
      <c r="AM53" s="273" t="s">
        <v>9927</v>
      </c>
      <c r="AN53" s="242" t="s">
        <v>9928</v>
      </c>
      <c r="AO53" s="304"/>
      <c r="AP53" s="304"/>
      <c r="AQ53" s="304"/>
      <c r="AR53" s="304"/>
      <c r="AS53" s="304"/>
      <c r="AT53" s="304"/>
      <c r="AU53" s="273" t="s">
        <v>159</v>
      </c>
      <c r="AV53" s="242" t="s">
        <v>3950</v>
      </c>
      <c r="AW53" s="304"/>
      <c r="AX53" s="304"/>
      <c r="AY53" s="304"/>
      <c r="AZ53" s="304"/>
      <c r="BA53" s="304"/>
      <c r="BB53" s="242" t="s">
        <v>4767</v>
      </c>
      <c r="BC53" s="242" t="s">
        <v>2777</v>
      </c>
      <c r="BD53" s="242" t="s">
        <v>2358</v>
      </c>
      <c r="BE53" s="908" t="s">
        <v>9929</v>
      </c>
      <c r="BF53" s="273" t="s">
        <v>8489</v>
      </c>
      <c r="BG53" s="304"/>
      <c r="BH53" s="304"/>
      <c r="BI53" s="242" t="s">
        <v>3374</v>
      </c>
      <c r="BJ53" s="304"/>
      <c r="BK53" s="242" t="s">
        <v>438</v>
      </c>
      <c r="BL53" s="273" t="s">
        <v>9889</v>
      </c>
      <c r="BM53" s="304"/>
      <c r="BN53" s="304"/>
      <c r="BO53" s="304"/>
      <c r="BP53" s="304"/>
      <c r="BQ53" s="841"/>
      <c r="BR53" s="273" t="s">
        <v>8900</v>
      </c>
      <c r="BS53" s="242" t="s">
        <v>9930</v>
      </c>
      <c r="BT53" s="242" t="s">
        <v>9931</v>
      </c>
      <c r="BU53" s="273" t="s">
        <v>4600</v>
      </c>
      <c r="BV53" s="242" t="s">
        <v>6582</v>
      </c>
      <c r="BW53" s="242" t="s">
        <v>827</v>
      </c>
      <c r="BX53" s="304"/>
      <c r="BY53" s="273" t="s">
        <v>9932</v>
      </c>
      <c r="BZ53" s="273" t="s">
        <v>9933</v>
      </c>
      <c r="CA53" s="242" t="s">
        <v>9934</v>
      </c>
      <c r="CB53" s="304"/>
      <c r="CC53" s="304"/>
      <c r="CD53" s="304"/>
      <c r="CE53" s="304"/>
      <c r="CF53" s="841"/>
      <c r="CG53" s="242" t="s">
        <v>4301</v>
      </c>
      <c r="CH53" s="273" t="s">
        <v>4125</v>
      </c>
      <c r="CI53" s="242" t="s">
        <v>2257</v>
      </c>
      <c r="CJ53" s="273" t="s">
        <v>7244</v>
      </c>
      <c r="CK53" s="273"/>
      <c r="CL53" s="273" t="s">
        <v>8396</v>
      </c>
      <c r="CM53" s="273" t="s">
        <v>9935</v>
      </c>
      <c r="CN53" s="242" t="s">
        <v>5252</v>
      </c>
      <c r="CO53" s="273" t="s">
        <v>3667</v>
      </c>
      <c r="CP53" s="304"/>
      <c r="CQ53" s="304"/>
      <c r="CR53" s="304"/>
      <c r="CS53" s="304"/>
      <c r="CT53" s="304"/>
      <c r="CU53" s="62"/>
      <c r="CV53" s="242" t="s">
        <v>765</v>
      </c>
      <c r="CW53" s="273" t="s">
        <v>9714</v>
      </c>
      <c r="CX53" s="242" t="s">
        <v>4168</v>
      </c>
      <c r="CY53" s="242" t="s">
        <v>3000</v>
      </c>
      <c r="CZ53" s="242" t="s">
        <v>9367</v>
      </c>
      <c r="DA53" s="242" t="s">
        <v>3978</v>
      </c>
      <c r="DB53" s="242" t="s">
        <v>9936</v>
      </c>
      <c r="DC53" s="273" t="s">
        <v>9937</v>
      </c>
      <c r="DD53" s="304"/>
      <c r="DE53" s="304"/>
      <c r="DF53" s="304"/>
      <c r="DG53" s="304"/>
      <c r="DH53" s="304"/>
      <c r="DI53" s="273" t="s">
        <v>9938</v>
      </c>
      <c r="DJ53" s="304"/>
      <c r="DK53" s="304"/>
      <c r="DL53" s="304"/>
      <c r="DM53" s="304"/>
      <c r="DN53" s="304"/>
      <c r="DO53" s="273" t="s">
        <v>1787</v>
      </c>
      <c r="DP53" s="273" t="s">
        <v>2324</v>
      </c>
      <c r="DQ53" s="273" t="s">
        <v>9939</v>
      </c>
      <c r="DR53" s="242" t="s">
        <v>2263</v>
      </c>
      <c r="DS53" s="273" t="s">
        <v>3845</v>
      </c>
      <c r="DT53" s="304"/>
      <c r="DU53" s="304"/>
      <c r="DV53" s="304"/>
      <c r="DW53" s="304"/>
      <c r="DX53" s="304"/>
      <c r="DY53" s="304"/>
      <c r="DZ53" s="304"/>
      <c r="EA53" s="304"/>
      <c r="EB53" s="304"/>
      <c r="EC53" s="304"/>
      <c r="ED53" s="885"/>
    </row>
    <row r="54">
      <c r="A54" s="1691" t="s">
        <v>7738</v>
      </c>
      <c r="B54" s="381" t="s">
        <v>9940</v>
      </c>
      <c r="C54" s="384" t="s">
        <v>76</v>
      </c>
      <c r="D54" s="386" t="s">
        <v>76</v>
      </c>
      <c r="E54" s="389" t="s">
        <v>76</v>
      </c>
      <c r="F54" s="390" t="s">
        <v>536</v>
      </c>
      <c r="G54" s="381" t="s">
        <v>2839</v>
      </c>
      <c r="H54" s="406" t="s">
        <v>1756</v>
      </c>
      <c r="I54" s="406" t="s">
        <v>9941</v>
      </c>
      <c r="J54" s="406" t="s">
        <v>9942</v>
      </c>
      <c r="K54" s="402" t="s">
        <v>7382</v>
      </c>
      <c r="L54" s="787" t="s">
        <v>4848</v>
      </c>
      <c r="M54" s="849"/>
      <c r="N54" s="1715" t="s">
        <v>9943</v>
      </c>
      <c r="O54" s="787" t="s">
        <v>9944</v>
      </c>
      <c r="P54" s="406" t="s">
        <v>1652</v>
      </c>
      <c r="Q54" s="547" t="s">
        <v>9945</v>
      </c>
      <c r="R54" s="394" t="str">
        <f>HYPERLINK("https://www.youtube.com/watch?v=Xf_YQq8wpyU","44.13")</f>
        <v>44.13</v>
      </c>
      <c r="S54" s="787"/>
      <c r="T54" s="849"/>
      <c r="U54" s="849"/>
      <c r="V54" s="849"/>
      <c r="W54" s="62"/>
      <c r="X54" s="412" t="str">
        <f>HYPERLINK("https://clips.twitch.tv/FancyTameQueleaYee","50.06")</f>
        <v>50.06</v>
      </c>
      <c r="Y54" s="413"/>
      <c r="Z54" s="412" t="str">
        <f>HYPERLINK("https://clips.twitch.tv/EnergeticBigCrowPoooound","16.74")</f>
        <v>16.74</v>
      </c>
      <c r="AA54" s="412" t="str">
        <f>HYPERLINK("https://clips.twitch.tv/LachrymoseCheerfulPizzaShadyLulu","14.71")</f>
        <v>14.71</v>
      </c>
      <c r="AB54" s="412" t="str">
        <f>HYPERLINK("https://clips.twitch.tv/ObesePowerfulChickpeaTheThing","44.64")</f>
        <v>44.64</v>
      </c>
      <c r="AC54" s="683" t="s">
        <v>9946</v>
      </c>
      <c r="AD54" s="683" t="s">
        <v>9947</v>
      </c>
      <c r="AE54" s="852"/>
      <c r="AF54" s="683" t="s">
        <v>9948</v>
      </c>
      <c r="AG54" s="683" t="s">
        <v>4901</v>
      </c>
      <c r="AH54" s="852"/>
      <c r="AI54" s="852"/>
      <c r="AJ54" s="852"/>
      <c r="AK54" s="852"/>
      <c r="AL54" s="61"/>
      <c r="AM54" s="855"/>
      <c r="AN54" s="573" t="s">
        <v>639</v>
      </c>
      <c r="AO54" s="855"/>
      <c r="AP54" s="855"/>
      <c r="AQ54" s="855"/>
      <c r="AR54" s="855"/>
      <c r="AS54" s="855"/>
      <c r="AT54" s="855"/>
      <c r="AU54" s="855"/>
      <c r="AV54" s="571" t="s">
        <v>9949</v>
      </c>
      <c r="AW54" s="855"/>
      <c r="AX54" s="425" t="str">
        <f>HYPERLINK("https://youtu.be/6Ivs7QCASPU","42.96")</f>
        <v>42.96</v>
      </c>
      <c r="AY54" s="855"/>
      <c r="AZ54" s="855"/>
      <c r="BA54" s="855"/>
      <c r="BB54" s="589" t="s">
        <v>235</v>
      </c>
      <c r="BC54" s="589" t="s">
        <v>687</v>
      </c>
      <c r="BD54" s="589" t="s">
        <v>2822</v>
      </c>
      <c r="BE54" s="695" t="s">
        <v>3708</v>
      </c>
      <c r="BF54" s="856" t="s">
        <v>9950</v>
      </c>
      <c r="BG54" s="587"/>
      <c r="BH54" s="587"/>
      <c r="BI54" s="589" t="s">
        <v>5537</v>
      </c>
      <c r="BJ54" s="587"/>
      <c r="BK54" s="1716" t="s">
        <v>6984</v>
      </c>
      <c r="BL54" s="436" t="str">
        <f>HYPERLINK("https://www.twitch.tv/kaffelon/clip/WittyHonestRaccoonSmoocherZ?filter=clips&amp;range=all&amp;sort=time","12.53")</f>
        <v>12.53</v>
      </c>
      <c r="BM54" s="587"/>
      <c r="BN54" s="587"/>
      <c r="BO54" s="587"/>
      <c r="BP54" s="587"/>
      <c r="BQ54" s="857"/>
      <c r="BR54" s="594"/>
      <c r="BS54" s="1717" t="s">
        <v>9951</v>
      </c>
      <c r="BT54" s="594" t="s">
        <v>3371</v>
      </c>
      <c r="BU54" s="594" t="s">
        <v>9952</v>
      </c>
      <c r="BV54" s="594" t="s">
        <v>9953</v>
      </c>
      <c r="BW54" s="594" t="s">
        <v>9654</v>
      </c>
      <c r="BX54" s="859"/>
      <c r="BY54" s="859"/>
      <c r="BZ54" s="594" t="s">
        <v>9954</v>
      </c>
      <c r="CA54" s="594" t="s">
        <v>4733</v>
      </c>
      <c r="CB54" s="447" t="str">
        <f>HYPERLINK("https://www.youtube.com/watch?v=PyA-SZuIcJQ","4:26.17")</f>
        <v>4:26.17</v>
      </c>
      <c r="CC54" s="859"/>
      <c r="CD54" s="859"/>
      <c r="CE54" s="859"/>
      <c r="CF54" s="861"/>
      <c r="CG54" s="459" t="s">
        <v>464</v>
      </c>
      <c r="CH54" s="606" t="s">
        <v>1585</v>
      </c>
      <c r="CI54" s="904" t="s">
        <v>9955</v>
      </c>
      <c r="CJ54" s="606" t="s">
        <v>9956</v>
      </c>
      <c r="CK54" s="606"/>
      <c r="CL54" s="606"/>
      <c r="CM54" s="606" t="s">
        <v>9957</v>
      </c>
      <c r="CN54" s="606" t="s">
        <v>9056</v>
      </c>
      <c r="CO54" s="606" t="s">
        <v>3701</v>
      </c>
      <c r="CP54" s="863"/>
      <c r="CQ54" s="863"/>
      <c r="CR54" s="863"/>
      <c r="CS54" s="863"/>
      <c r="CT54" s="863"/>
      <c r="CU54" s="62"/>
      <c r="CV54" s="461" t="str">
        <f>HYPERLINK("https://clips.twitch.tv/TransparentKnottySaladSwiftRage","44.87")</f>
        <v>44.87</v>
      </c>
      <c r="CW54" s="461" t="str">
        <f>HYPERLINK("https://clips.twitch.tv/LongApatheticOrangeSSSsss","12.67")</f>
        <v>12.67</v>
      </c>
      <c r="CX54" s="703" t="s">
        <v>8781</v>
      </c>
      <c r="CY54" s="703" t="s">
        <v>840</v>
      </c>
      <c r="CZ54" s="864"/>
      <c r="DA54" s="461" t="str">
        <f>HYPERLINK("https://clips.twitch.tv/FlaccidProtectiveIcecreamHoneyBadger","27.65")</f>
        <v>27.65</v>
      </c>
      <c r="DB54" s="461" t="str">
        <f>HYPERLINK("https://clips.twitch.tv/ColdDistinctHamPunchTrees","2:17.50")</f>
        <v>2:17.50</v>
      </c>
      <c r="DC54" s="864"/>
      <c r="DD54" s="864"/>
      <c r="DE54" s="864"/>
      <c r="DF54" s="864"/>
      <c r="DG54" s="864"/>
      <c r="DH54" s="864"/>
      <c r="DI54" s="866"/>
      <c r="DJ54" s="866"/>
      <c r="DK54" s="866"/>
      <c r="DL54" s="866"/>
      <c r="DM54" s="1565" t="s">
        <v>477</v>
      </c>
      <c r="DN54" s="866"/>
      <c r="DO54" s="866"/>
      <c r="DP54" s="866"/>
      <c r="DQ54" s="866"/>
      <c r="DR54" s="707" t="s">
        <v>3139</v>
      </c>
      <c r="DS54" s="707"/>
      <c r="DT54" s="866"/>
      <c r="DU54" s="866"/>
      <c r="DV54" s="866"/>
      <c r="DW54" s="866"/>
      <c r="DX54" s="866"/>
      <c r="DY54" s="866"/>
      <c r="DZ54" s="707"/>
      <c r="EA54" s="866"/>
      <c r="EB54" s="866"/>
      <c r="EC54" s="866"/>
      <c r="ED54" s="974"/>
    </row>
    <row r="55">
      <c r="A55" s="1718" t="s">
        <v>2634</v>
      </c>
      <c r="B55" s="229" t="s">
        <v>9958</v>
      </c>
      <c r="C55" s="230" t="s">
        <v>155</v>
      </c>
      <c r="D55" s="231" t="s">
        <v>155</v>
      </c>
      <c r="E55" s="232" t="s">
        <v>155</v>
      </c>
      <c r="F55" s="233" t="s">
        <v>211</v>
      </c>
      <c r="G55" s="229" t="s">
        <v>9959</v>
      </c>
      <c r="H55" s="333" t="s">
        <v>9960</v>
      </c>
      <c r="I55" s="274" t="s">
        <v>9961</v>
      </c>
      <c r="J55" s="333" t="s">
        <v>9962</v>
      </c>
      <c r="K55" s="333" t="s">
        <v>774</v>
      </c>
      <c r="L55" s="522" t="s">
        <v>9779</v>
      </c>
      <c r="M55" s="333" t="s">
        <v>9963</v>
      </c>
      <c r="N55" s="333" t="s">
        <v>1149</v>
      </c>
      <c r="O55" s="333" t="s">
        <v>1306</v>
      </c>
      <c r="P55" s="333" t="s">
        <v>1354</v>
      </c>
      <c r="Q55" s="273" t="s">
        <v>9964</v>
      </c>
      <c r="R55" s="304"/>
      <c r="S55" s="273" t="s">
        <v>1729</v>
      </c>
      <c r="T55" s="304"/>
      <c r="U55" s="273" t="s">
        <v>5907</v>
      </c>
      <c r="V55" s="273" t="s">
        <v>9965</v>
      </c>
      <c r="W55" s="62"/>
      <c r="X55" s="333" t="s">
        <v>4561</v>
      </c>
      <c r="Y55" s="333"/>
      <c r="Z55" s="333" t="s">
        <v>9966</v>
      </c>
      <c r="AA55" s="333" t="s">
        <v>2423</v>
      </c>
      <c r="AB55" s="242" t="s">
        <v>9967</v>
      </c>
      <c r="AC55" s="333" t="s">
        <v>4997</v>
      </c>
      <c r="AD55" s="333" t="s">
        <v>9968</v>
      </c>
      <c r="AE55" s="304"/>
      <c r="AF55" s="333" t="s">
        <v>9969</v>
      </c>
      <c r="AG55" s="333" t="s">
        <v>4559</v>
      </c>
      <c r="AH55" s="273" t="s">
        <v>9970</v>
      </c>
      <c r="AI55" s="304"/>
      <c r="AJ55" s="333" t="s">
        <v>1549</v>
      </c>
      <c r="AK55" s="273" t="s">
        <v>9971</v>
      </c>
      <c r="AL55" s="61"/>
      <c r="AM55" s="333" t="s">
        <v>9787</v>
      </c>
      <c r="AN55" s="333" t="s">
        <v>5583</v>
      </c>
      <c r="AO55" s="273" t="s">
        <v>7607</v>
      </c>
      <c r="AP55" s="304"/>
      <c r="AQ55" s="273"/>
      <c r="AR55" s="273" t="s">
        <v>9972</v>
      </c>
      <c r="AS55" s="304"/>
      <c r="AT55" s="304"/>
      <c r="AU55" s="333" t="s">
        <v>5306</v>
      </c>
      <c r="AV55" s="242" t="s">
        <v>1566</v>
      </c>
      <c r="AW55" s="333" t="s">
        <v>3936</v>
      </c>
      <c r="AX55" s="304"/>
      <c r="AY55" s="273" t="s">
        <v>4527</v>
      </c>
      <c r="AZ55" s="273" t="s">
        <v>9973</v>
      </c>
      <c r="BA55" s="304"/>
      <c r="BB55" s="333" t="s">
        <v>491</v>
      </c>
      <c r="BC55" s="333" t="s">
        <v>9974</v>
      </c>
      <c r="BD55" s="333" t="s">
        <v>9795</v>
      </c>
      <c r="BE55" s="333" t="s">
        <v>4011</v>
      </c>
      <c r="BF55" s="333" t="s">
        <v>9901</v>
      </c>
      <c r="BG55" s="333" t="s">
        <v>9975</v>
      </c>
      <c r="BH55" s="304"/>
      <c r="BI55" s="333" t="s">
        <v>3755</v>
      </c>
      <c r="BJ55" s="273" t="s">
        <v>1476</v>
      </c>
      <c r="BK55" s="908" t="s">
        <v>6984</v>
      </c>
      <c r="BL55" s="333" t="s">
        <v>9976</v>
      </c>
      <c r="BM55" s="273" t="s">
        <v>7224</v>
      </c>
      <c r="BN55" s="304"/>
      <c r="BO55" s="333"/>
      <c r="BP55" s="273" t="s">
        <v>9977</v>
      </c>
      <c r="BQ55" s="841"/>
      <c r="BR55" s="333" t="s">
        <v>9978</v>
      </c>
      <c r="BS55" s="242" t="s">
        <v>5222</v>
      </c>
      <c r="BT55" s="333" t="s">
        <v>9979</v>
      </c>
      <c r="BU55" s="333" t="s">
        <v>4598</v>
      </c>
      <c r="BV55" s="242" t="s">
        <v>9267</v>
      </c>
      <c r="BW55" s="333" t="s">
        <v>9980</v>
      </c>
      <c r="BX55" s="273" t="s">
        <v>9981</v>
      </c>
      <c r="BY55" s="333" t="s">
        <v>8790</v>
      </c>
      <c r="BZ55" s="333" t="s">
        <v>9982</v>
      </c>
      <c r="CA55" s="333" t="s">
        <v>9983</v>
      </c>
      <c r="CB55" s="304"/>
      <c r="CC55" s="273" t="s">
        <v>1987</v>
      </c>
      <c r="CD55" s="273" t="s">
        <v>9768</v>
      </c>
      <c r="CE55" s="1719" t="s">
        <v>6853</v>
      </c>
      <c r="CF55" s="841"/>
      <c r="CG55" s="333" t="s">
        <v>9984</v>
      </c>
      <c r="CH55" s="333" t="s">
        <v>1831</v>
      </c>
      <c r="CI55" s="333" t="s">
        <v>9470</v>
      </c>
      <c r="CJ55" s="242" t="s">
        <v>4895</v>
      </c>
      <c r="CK55" s="263"/>
      <c r="CL55" s="263" t="s">
        <v>787</v>
      </c>
      <c r="CM55" s="333" t="s">
        <v>9317</v>
      </c>
      <c r="CN55" s="333" t="s">
        <v>9985</v>
      </c>
      <c r="CO55" s="333" t="s">
        <v>2290</v>
      </c>
      <c r="CP55" s="768"/>
      <c r="CQ55" s="304"/>
      <c r="CR55" s="304"/>
      <c r="CS55" s="304"/>
      <c r="CT55" s="273" t="s">
        <v>9986</v>
      </c>
      <c r="CU55" s="62"/>
      <c r="CV55" s="333" t="s">
        <v>1449</v>
      </c>
      <c r="CW55" s="333" t="s">
        <v>9987</v>
      </c>
      <c r="CX55" s="242" t="s">
        <v>3850</v>
      </c>
      <c r="CY55" s="333" t="s">
        <v>9909</v>
      </c>
      <c r="CZ55" s="333" t="s">
        <v>9988</v>
      </c>
      <c r="DA55" s="333" t="s">
        <v>5380</v>
      </c>
      <c r="DB55" s="242" t="s">
        <v>9989</v>
      </c>
      <c r="DC55" s="333" t="s">
        <v>2043</v>
      </c>
      <c r="DD55" s="242" t="s">
        <v>3947</v>
      </c>
      <c r="DE55" s="273" t="s">
        <v>7918</v>
      </c>
      <c r="DF55" s="273" t="s">
        <v>9990</v>
      </c>
      <c r="DG55" s="242" t="s">
        <v>9991</v>
      </c>
      <c r="DH55" s="304"/>
      <c r="DI55" s="333" t="s">
        <v>1643</v>
      </c>
      <c r="DJ55" s="304"/>
      <c r="DK55" s="304"/>
      <c r="DL55" s="333"/>
      <c r="DM55" s="333"/>
      <c r="DN55" s="333"/>
      <c r="DO55" s="304"/>
      <c r="DP55" s="304"/>
      <c r="DQ55" s="304"/>
      <c r="DR55" s="333" t="s">
        <v>3842</v>
      </c>
      <c r="DS55" s="333" t="s">
        <v>9992</v>
      </c>
      <c r="DT55" s="304"/>
      <c r="DU55" s="333"/>
      <c r="DV55" s="304"/>
      <c r="DW55" s="304"/>
      <c r="DX55" s="304"/>
      <c r="DY55" s="304"/>
      <c r="DZ55" s="304"/>
      <c r="EA55" s="333"/>
      <c r="EB55" s="304"/>
      <c r="EC55" s="304"/>
      <c r="ED55" s="885"/>
    </row>
    <row r="56">
      <c r="A56" s="1720" t="s">
        <v>9993</v>
      </c>
      <c r="B56" s="381" t="s">
        <v>9994</v>
      </c>
      <c r="C56" s="384" t="s">
        <v>155</v>
      </c>
      <c r="D56" s="386" t="s">
        <v>155</v>
      </c>
      <c r="E56" s="389" t="s">
        <v>155</v>
      </c>
      <c r="F56" s="390" t="s">
        <v>3378</v>
      </c>
      <c r="G56" s="381" t="s">
        <v>3725</v>
      </c>
      <c r="H56" s="406" t="s">
        <v>2836</v>
      </c>
      <c r="I56" s="406" t="s">
        <v>6657</v>
      </c>
      <c r="J56" s="547" t="s">
        <v>655</v>
      </c>
      <c r="K56" s="547" t="s">
        <v>9995</v>
      </c>
      <c r="L56" s="1721" t="str">
        <f>hyperlink("https://www.twitch.tv/videos/642998947","44.64")</f>
        <v>44.64</v>
      </c>
      <c r="M56" s="406" t="s">
        <v>9996</v>
      </c>
      <c r="N56" s="1721" t="str">
        <f>hyperlink("https://www.twitch.tv/videos/642995088","1:11.81")</f>
        <v>1:11.81</v>
      </c>
      <c r="O56" s="406" t="s">
        <v>9407</v>
      </c>
      <c r="P56" s="547" t="s">
        <v>1649</v>
      </c>
      <c r="Q56" s="547" t="s">
        <v>9997</v>
      </c>
      <c r="R56" s="849"/>
      <c r="S56" s="547" t="s">
        <v>8337</v>
      </c>
      <c r="T56" s="547" t="s">
        <v>1260</v>
      </c>
      <c r="U56" s="547" t="s">
        <v>9014</v>
      </c>
      <c r="V56" s="547" t="s">
        <v>9998</v>
      </c>
      <c r="W56" s="62"/>
      <c r="X56" s="683" t="s">
        <v>4160</v>
      </c>
      <c r="Y56" s="683"/>
      <c r="Z56" s="683" t="s">
        <v>9830</v>
      </c>
      <c r="AA56" s="683" t="s">
        <v>623</v>
      </c>
      <c r="AB56" s="412" t="s">
        <v>9999</v>
      </c>
      <c r="AC56" s="683" t="s">
        <v>4103</v>
      </c>
      <c r="AD56" s="683" t="s">
        <v>1909</v>
      </c>
      <c r="AE56" s="417" t="s">
        <v>10000</v>
      </c>
      <c r="AF56" s="417" t="s">
        <v>3445</v>
      </c>
      <c r="AG56" s="683" t="s">
        <v>2020</v>
      </c>
      <c r="AH56" s="852"/>
      <c r="AI56" s="852"/>
      <c r="AJ56" s="852"/>
      <c r="AK56" s="683" t="s">
        <v>3712</v>
      </c>
      <c r="AL56" s="61"/>
      <c r="AM56" s="427" t="s">
        <v>10001</v>
      </c>
      <c r="AN56" s="427" t="s">
        <v>10002</v>
      </c>
      <c r="AO56" s="855"/>
      <c r="AP56" s="855"/>
      <c r="AQ56" s="427" t="s">
        <v>10003</v>
      </c>
      <c r="AR56" s="427" t="s">
        <v>10004</v>
      </c>
      <c r="AS56" s="855"/>
      <c r="AT56" s="571" t="s">
        <v>10005</v>
      </c>
      <c r="AU56" s="571" t="s">
        <v>3867</v>
      </c>
      <c r="AV56" s="427" t="s">
        <v>4320</v>
      </c>
      <c r="AW56" s="855"/>
      <c r="AX56" s="855"/>
      <c r="AY56" s="685" t="s">
        <v>1372</v>
      </c>
      <c r="AZ56" s="855"/>
      <c r="BA56" s="855"/>
      <c r="BB56" s="589" t="s">
        <v>10006</v>
      </c>
      <c r="BC56" s="589" t="s">
        <v>3752</v>
      </c>
      <c r="BD56" s="589" t="s">
        <v>2456</v>
      </c>
      <c r="BE56" s="439" t="s">
        <v>1164</v>
      </c>
      <c r="BF56" s="589" t="s">
        <v>10007</v>
      </c>
      <c r="BG56" s="587"/>
      <c r="BH56" s="587"/>
      <c r="BI56" s="589" t="s">
        <v>691</v>
      </c>
      <c r="BJ56" s="587"/>
      <c r="BK56" s="589" t="s">
        <v>6437</v>
      </c>
      <c r="BL56" s="1040" t="s">
        <v>2301</v>
      </c>
      <c r="BM56" s="587"/>
      <c r="BN56" s="587"/>
      <c r="BO56" s="587"/>
      <c r="BP56" s="587"/>
      <c r="BQ56" s="857"/>
      <c r="BR56" s="594" t="s">
        <v>3242</v>
      </c>
      <c r="BS56" s="594" t="s">
        <v>2130</v>
      </c>
      <c r="BT56" s="594" t="s">
        <v>10008</v>
      </c>
      <c r="BU56" s="968" t="s">
        <v>526</v>
      </c>
      <c r="BV56" s="594" t="s">
        <v>1952</v>
      </c>
      <c r="BW56" s="448" t="s">
        <v>821</v>
      </c>
      <c r="BX56" s="859"/>
      <c r="BY56" s="859"/>
      <c r="BZ56" s="594" t="s">
        <v>10009</v>
      </c>
      <c r="CA56" s="594" t="s">
        <v>10010</v>
      </c>
      <c r="CB56" s="594" t="s">
        <v>10011</v>
      </c>
      <c r="CC56" s="594" t="s">
        <v>2354</v>
      </c>
      <c r="CD56" s="448" t="s">
        <v>374</v>
      </c>
      <c r="CE56" s="594" t="s">
        <v>10012</v>
      </c>
      <c r="CF56" s="594"/>
      <c r="CG56" s="1703" t="s">
        <v>9715</v>
      </c>
      <c r="CH56" s="1714" t="str">
        <f>hyperlink("https://twitter.com/Reborn_Frog/status/1364932529577357313","28.55")</f>
        <v>28.55</v>
      </c>
      <c r="CI56" s="606" t="s">
        <v>4541</v>
      </c>
      <c r="CJ56" s="606" t="s">
        <v>10013</v>
      </c>
      <c r="CK56" s="606"/>
      <c r="CL56" s="606"/>
      <c r="CM56" s="904" t="s">
        <v>2004</v>
      </c>
      <c r="CN56" s="606" t="s">
        <v>3395</v>
      </c>
      <c r="CO56" s="606" t="s">
        <v>9529</v>
      </c>
      <c r="CP56" s="863"/>
      <c r="CQ56" s="863"/>
      <c r="CR56" s="863"/>
      <c r="CS56" s="606" t="s">
        <v>9808</v>
      </c>
      <c r="CT56" s="863"/>
      <c r="CU56" s="62"/>
      <c r="CV56" s="466" t="s">
        <v>5188</v>
      </c>
      <c r="CW56" s="703" t="s">
        <v>8311</v>
      </c>
      <c r="CX56" s="466" t="s">
        <v>5114</v>
      </c>
      <c r="CY56" s="466" t="s">
        <v>5269</v>
      </c>
      <c r="CZ56" s="864"/>
      <c r="DA56" s="864"/>
      <c r="DB56" s="466" t="s">
        <v>10014</v>
      </c>
      <c r="DC56" s="703" t="s">
        <v>9877</v>
      </c>
      <c r="DD56" s="864"/>
      <c r="DE56" s="864"/>
      <c r="DF56" s="864"/>
      <c r="DG56" s="1561" t="s">
        <v>9695</v>
      </c>
      <c r="DH56" s="1561"/>
      <c r="DI56" s="866"/>
      <c r="DJ56" s="866"/>
      <c r="DK56" s="866"/>
      <c r="DL56" s="709"/>
      <c r="DM56" s="905"/>
      <c r="DN56" s="483" t="s">
        <v>507</v>
      </c>
      <c r="DO56" s="866"/>
      <c r="DP56" s="866"/>
      <c r="DQ56" s="866"/>
      <c r="DR56" s="1712" t="s">
        <v>5701</v>
      </c>
      <c r="DS56" s="1722" t="str">
        <f>hyperlink("https://www.twitch.tv/videos/777078690","31.58")</f>
        <v>31.58</v>
      </c>
      <c r="DT56" s="866"/>
      <c r="DU56" s="866"/>
      <c r="DV56" s="866"/>
      <c r="DW56" s="866"/>
      <c r="DX56" s="866"/>
      <c r="DY56" s="866"/>
      <c r="DZ56" s="866"/>
      <c r="EA56" s="866"/>
      <c r="EB56" s="866"/>
      <c r="EC56" s="866"/>
      <c r="ED56" s="974"/>
    </row>
    <row r="57">
      <c r="A57" s="1723" t="s">
        <v>10015</v>
      </c>
      <c r="B57" s="229" t="s">
        <v>10016</v>
      </c>
      <c r="C57" s="230" t="s">
        <v>76</v>
      </c>
      <c r="D57" s="231" t="s">
        <v>76</v>
      </c>
      <c r="E57" s="232" t="s">
        <v>155</v>
      </c>
      <c r="F57" s="233" t="s">
        <v>306</v>
      </c>
      <c r="G57" s="229" t="s">
        <v>3770</v>
      </c>
      <c r="H57" s="273" t="s">
        <v>4952</v>
      </c>
      <c r="I57" s="273" t="s">
        <v>4809</v>
      </c>
      <c r="J57" s="273" t="s">
        <v>10017</v>
      </c>
      <c r="K57" s="242" t="s">
        <v>762</v>
      </c>
      <c r="L57" s="273" t="s">
        <v>1286</v>
      </c>
      <c r="M57" s="304"/>
      <c r="N57" s="273" t="s">
        <v>4282</v>
      </c>
      <c r="O57" s="242" t="s">
        <v>10018</v>
      </c>
      <c r="P57" s="273" t="s">
        <v>379</v>
      </c>
      <c r="Q57" s="304"/>
      <c r="R57" s="304"/>
      <c r="S57" s="304"/>
      <c r="T57" s="304"/>
      <c r="U57" s="304"/>
      <c r="V57" s="304"/>
      <c r="W57" s="62"/>
      <c r="X57" s="242" t="s">
        <v>474</v>
      </c>
      <c r="Y57" s="273"/>
      <c r="Z57" s="273" t="s">
        <v>4640</v>
      </c>
      <c r="AA57" s="273" t="s">
        <v>5901</v>
      </c>
      <c r="AB57" s="273" t="s">
        <v>9738</v>
      </c>
      <c r="AC57" s="522" t="s">
        <v>10019</v>
      </c>
      <c r="AD57" s="273" t="s">
        <v>10020</v>
      </c>
      <c r="AE57" s="304"/>
      <c r="AF57" s="273" t="s">
        <v>3127</v>
      </c>
      <c r="AG57" s="273" t="s">
        <v>217</v>
      </c>
      <c r="AH57" s="304"/>
      <c r="AI57" s="304"/>
      <c r="AJ57" s="273" t="s">
        <v>3286</v>
      </c>
      <c r="AK57" s="304"/>
      <c r="AL57" s="61"/>
      <c r="AM57" s="273" t="s">
        <v>5469</v>
      </c>
      <c r="AN57" s="273" t="s">
        <v>10021</v>
      </c>
      <c r="AO57" s="304"/>
      <c r="AP57" s="304"/>
      <c r="AQ57" s="304"/>
      <c r="AR57" s="304"/>
      <c r="AS57" s="304"/>
      <c r="AT57" s="304"/>
      <c r="AU57" s="273" t="s">
        <v>3867</v>
      </c>
      <c r="AV57" s="273" t="s">
        <v>9795</v>
      </c>
      <c r="AW57" s="304"/>
      <c r="AX57" s="304"/>
      <c r="AY57" s="273" t="s">
        <v>3093</v>
      </c>
      <c r="AZ57" s="304"/>
      <c r="BA57" s="304"/>
      <c r="BB57" s="273" t="s">
        <v>9195</v>
      </c>
      <c r="BC57" s="273" t="s">
        <v>8037</v>
      </c>
      <c r="BD57" s="273" t="s">
        <v>9795</v>
      </c>
      <c r="BE57" s="273" t="s">
        <v>4162</v>
      </c>
      <c r="BF57" s="273" t="s">
        <v>3468</v>
      </c>
      <c r="BG57" s="236" t="s">
        <v>1352</v>
      </c>
      <c r="BH57" s="304"/>
      <c r="BI57" s="273" t="s">
        <v>1938</v>
      </c>
      <c r="BJ57" s="273"/>
      <c r="BK57" s="273" t="s">
        <v>7025</v>
      </c>
      <c r="BL57" s="273" t="s">
        <v>3010</v>
      </c>
      <c r="BM57" s="304"/>
      <c r="BN57" s="273" t="s">
        <v>1071</v>
      </c>
      <c r="BO57" s="273" t="s">
        <v>7929</v>
      </c>
      <c r="BP57" s="304"/>
      <c r="BQ57" s="841"/>
      <c r="BR57" s="273" t="s">
        <v>10022</v>
      </c>
      <c r="BS57" s="273" t="s">
        <v>10023</v>
      </c>
      <c r="BT57" s="273" t="s">
        <v>2618</v>
      </c>
      <c r="BU57" s="242" t="s">
        <v>3839</v>
      </c>
      <c r="BV57" s="273" t="s">
        <v>10024</v>
      </c>
      <c r="BW57" s="273" t="s">
        <v>10025</v>
      </c>
      <c r="BX57" s="304"/>
      <c r="BY57" s="304"/>
      <c r="BZ57" s="273" t="s">
        <v>7175</v>
      </c>
      <c r="CA57" s="304"/>
      <c r="CB57" s="304"/>
      <c r="CC57" s="304"/>
      <c r="CD57" s="304"/>
      <c r="CE57" s="304"/>
      <c r="CF57" s="841"/>
      <c r="CG57" s="273" t="s">
        <v>9926</v>
      </c>
      <c r="CH57" s="273" t="s">
        <v>4228</v>
      </c>
      <c r="CI57" s="273" t="s">
        <v>6176</v>
      </c>
      <c r="CJ57" s="273" t="s">
        <v>7920</v>
      </c>
      <c r="CK57" s="273"/>
      <c r="CL57" s="273"/>
      <c r="CM57" s="273" t="s">
        <v>9568</v>
      </c>
      <c r="CN57" s="273" t="s">
        <v>1539</v>
      </c>
      <c r="CO57" s="273" t="s">
        <v>9813</v>
      </c>
      <c r="CP57" s="304"/>
      <c r="CQ57" s="304"/>
      <c r="CR57" s="304"/>
      <c r="CS57" s="304"/>
      <c r="CT57" s="304"/>
      <c r="CU57" s="62"/>
      <c r="CV57" s="273" t="s">
        <v>10026</v>
      </c>
      <c r="CW57" s="273" t="s">
        <v>10027</v>
      </c>
      <c r="CX57" s="273" t="s">
        <v>5906</v>
      </c>
      <c r="CY57" s="273" t="s">
        <v>2505</v>
      </c>
      <c r="CZ57" s="304"/>
      <c r="DA57" s="273" t="s">
        <v>10028</v>
      </c>
      <c r="DB57" s="273" t="s">
        <v>10029</v>
      </c>
      <c r="DC57" s="273" t="s">
        <v>1666</v>
      </c>
      <c r="DD57" s="304"/>
      <c r="DE57" s="304"/>
      <c r="DF57" s="304"/>
      <c r="DG57" s="304"/>
      <c r="DH57" s="304"/>
      <c r="DI57" s="273" t="s">
        <v>10030</v>
      </c>
      <c r="DJ57" s="304"/>
      <c r="DK57" s="304"/>
      <c r="DL57" s="304"/>
      <c r="DM57" s="248" t="s">
        <v>477</v>
      </c>
      <c r="DN57" s="304"/>
      <c r="DO57" s="304"/>
      <c r="DP57" s="304"/>
      <c r="DQ57" s="304"/>
      <c r="DR57" s="273" t="s">
        <v>10031</v>
      </c>
      <c r="DS57" s="273" t="s">
        <v>10032</v>
      </c>
      <c r="DT57" s="304"/>
      <c r="DU57" s="304"/>
      <c r="DV57" s="304"/>
      <c r="DW57" s="304"/>
      <c r="DX57" s="304"/>
      <c r="DY57" s="304"/>
      <c r="DZ57" s="304"/>
      <c r="EA57" s="273" t="s">
        <v>10033</v>
      </c>
      <c r="EB57" s="304"/>
      <c r="EC57" s="304"/>
      <c r="ED57" s="885"/>
    </row>
    <row r="58">
      <c r="A58" s="1724" t="s">
        <v>10034</v>
      </c>
      <c r="B58" s="381" t="s">
        <v>10035</v>
      </c>
      <c r="C58" s="384" t="s">
        <v>155</v>
      </c>
      <c r="D58" s="386" t="s">
        <v>76</v>
      </c>
      <c r="E58" s="389" t="s">
        <v>155</v>
      </c>
      <c r="F58" s="390" t="s">
        <v>3612</v>
      </c>
      <c r="G58" s="381" t="s">
        <v>3080</v>
      </c>
      <c r="H58" s="547" t="s">
        <v>9661</v>
      </c>
      <c r="I58" s="547" t="s">
        <v>9961</v>
      </c>
      <c r="J58" s="547" t="s">
        <v>1594</v>
      </c>
      <c r="K58" s="406" t="s">
        <v>10036</v>
      </c>
      <c r="L58" s="547" t="s">
        <v>9448</v>
      </c>
      <c r="M58" s="547" t="s">
        <v>10037</v>
      </c>
      <c r="N58" s="547" t="s">
        <v>9781</v>
      </c>
      <c r="O58" s="406" t="s">
        <v>1348</v>
      </c>
      <c r="P58" s="406" t="s">
        <v>379</v>
      </c>
      <c r="Q58" s="406" t="s">
        <v>10038</v>
      </c>
      <c r="R58" s="849"/>
      <c r="S58" s="547" t="s">
        <v>10039</v>
      </c>
      <c r="T58" s="849"/>
      <c r="U58" s="406" t="s">
        <v>2896</v>
      </c>
      <c r="V58" s="849"/>
      <c r="W58" s="62"/>
      <c r="X58" s="421" t="s">
        <v>10040</v>
      </c>
      <c r="Y58" s="683"/>
      <c r="Z58" s="683" t="s">
        <v>10041</v>
      </c>
      <c r="AA58" s="683" t="s">
        <v>5043</v>
      </c>
      <c r="AB58" s="683" t="s">
        <v>10042</v>
      </c>
      <c r="AC58" s="417" t="s">
        <v>4997</v>
      </c>
      <c r="AD58" s="683" t="s">
        <v>10043</v>
      </c>
      <c r="AE58" s="683" t="s">
        <v>9695</v>
      </c>
      <c r="AF58" s="683" t="s">
        <v>9874</v>
      </c>
      <c r="AG58" s="1218" t="s">
        <v>2020</v>
      </c>
      <c r="AH58" s="1218" t="s">
        <v>9930</v>
      </c>
      <c r="AI58" s="852"/>
      <c r="AJ58" s="683" t="s">
        <v>4181</v>
      </c>
      <c r="AK58" s="852"/>
      <c r="AL58" s="61"/>
      <c r="AM58" s="571" t="s">
        <v>9855</v>
      </c>
      <c r="AN58" s="571" t="s">
        <v>3686</v>
      </c>
      <c r="AO58" s="855"/>
      <c r="AP58" s="855"/>
      <c r="AQ58" s="855"/>
      <c r="AR58" s="571" t="s">
        <v>10044</v>
      </c>
      <c r="AS58" s="571" t="s">
        <v>5733</v>
      </c>
      <c r="AT58" s="855"/>
      <c r="AU58" s="1725" t="s">
        <v>10045</v>
      </c>
      <c r="AV58" s="571" t="s">
        <v>10046</v>
      </c>
      <c r="AW58" s="571" t="s">
        <v>982</v>
      </c>
      <c r="AX58" s="855"/>
      <c r="AY58" s="1725" t="s">
        <v>5607</v>
      </c>
      <c r="AZ58" s="855"/>
      <c r="BA58" s="855"/>
      <c r="BB58" s="589" t="s">
        <v>4643</v>
      </c>
      <c r="BC58" s="589" t="s">
        <v>9744</v>
      </c>
      <c r="BD58" s="589" t="s">
        <v>9888</v>
      </c>
      <c r="BE58" s="589" t="s">
        <v>1201</v>
      </c>
      <c r="BF58" s="439" t="s">
        <v>10047</v>
      </c>
      <c r="BG58" s="439" t="s">
        <v>10048</v>
      </c>
      <c r="BH58" s="587"/>
      <c r="BI58" s="589" t="s">
        <v>10049</v>
      </c>
      <c r="BJ58" s="587"/>
      <c r="BK58" s="589" t="s">
        <v>3099</v>
      </c>
      <c r="BL58" s="589" t="s">
        <v>4366</v>
      </c>
      <c r="BM58" s="587"/>
      <c r="BN58" s="589" t="s">
        <v>1126</v>
      </c>
      <c r="BO58" s="589" t="s">
        <v>3813</v>
      </c>
      <c r="BP58" s="589" t="s">
        <v>10050</v>
      </c>
      <c r="BQ58" s="857"/>
      <c r="BR58" s="594" t="s">
        <v>10051</v>
      </c>
      <c r="BS58" s="594" t="s">
        <v>3588</v>
      </c>
      <c r="BT58" s="594" t="s">
        <v>3545</v>
      </c>
      <c r="BU58" s="594" t="s">
        <v>3869</v>
      </c>
      <c r="BV58" s="594" t="s">
        <v>1953</v>
      </c>
      <c r="BW58" s="448" t="s">
        <v>3267</v>
      </c>
      <c r="BX58" s="594" t="s">
        <v>6223</v>
      </c>
      <c r="BY58" s="859"/>
      <c r="BZ58" s="594" t="s">
        <v>10052</v>
      </c>
      <c r="CA58" s="1726" t="s">
        <v>4740</v>
      </c>
      <c r="CB58" s="594" t="s">
        <v>10053</v>
      </c>
      <c r="CC58" s="448" t="s">
        <v>10054</v>
      </c>
      <c r="CD58" s="448" t="s">
        <v>1071</v>
      </c>
      <c r="CE58" s="859"/>
      <c r="CF58" s="861"/>
      <c r="CG58" s="606" t="s">
        <v>6546</v>
      </c>
      <c r="CH58" s="606" t="s">
        <v>672</v>
      </c>
      <c r="CI58" s="606" t="s">
        <v>4154</v>
      </c>
      <c r="CJ58" s="606" t="s">
        <v>5434</v>
      </c>
      <c r="CK58" s="606"/>
      <c r="CL58" s="606" t="s">
        <v>4339</v>
      </c>
      <c r="CM58" s="606" t="s">
        <v>9715</v>
      </c>
      <c r="CN58" s="606" t="s">
        <v>10055</v>
      </c>
      <c r="CO58" s="606" t="s">
        <v>387</v>
      </c>
      <c r="CP58" s="863"/>
      <c r="CQ58" s="606" t="s">
        <v>1396</v>
      </c>
      <c r="CR58" s="863"/>
      <c r="CS58" s="606" t="s">
        <v>1871</v>
      </c>
      <c r="CT58" s="863"/>
      <c r="CU58" s="62"/>
      <c r="CV58" s="703" t="s">
        <v>2736</v>
      </c>
      <c r="CW58" s="703" t="s">
        <v>5221</v>
      </c>
      <c r="CX58" s="703" t="s">
        <v>5134</v>
      </c>
      <c r="CY58" s="703" t="s">
        <v>10056</v>
      </c>
      <c r="CZ58" s="703" t="s">
        <v>10057</v>
      </c>
      <c r="DA58" s="466" t="s">
        <v>420</v>
      </c>
      <c r="DB58" s="703" t="s">
        <v>10058</v>
      </c>
      <c r="DC58" s="703" t="s">
        <v>410</v>
      </c>
      <c r="DD58" s="703" t="s">
        <v>503</v>
      </c>
      <c r="DE58" s="864"/>
      <c r="DF58" s="703" t="s">
        <v>2022</v>
      </c>
      <c r="DG58" s="703" t="s">
        <v>10059</v>
      </c>
      <c r="DH58" s="864"/>
      <c r="DI58" s="707" t="s">
        <v>10060</v>
      </c>
      <c r="DJ58" s="866"/>
      <c r="DK58" s="866"/>
      <c r="DL58" s="866"/>
      <c r="DM58" s="612" t="s">
        <v>477</v>
      </c>
      <c r="DN58" s="707" t="s">
        <v>1527</v>
      </c>
      <c r="DO58" s="707" t="s">
        <v>10061</v>
      </c>
      <c r="DP58" s="866"/>
      <c r="DQ58" s="866"/>
      <c r="DR58" s="707" t="s">
        <v>5693</v>
      </c>
      <c r="DS58" s="707" t="s">
        <v>10062</v>
      </c>
      <c r="DT58" s="866"/>
      <c r="DU58" s="707" t="s">
        <v>10063</v>
      </c>
      <c r="DV58" s="866"/>
      <c r="DW58" s="707" t="s">
        <v>10064</v>
      </c>
      <c r="DX58" s="866"/>
      <c r="DY58" s="707" t="s">
        <v>1686</v>
      </c>
      <c r="DZ58" s="483" t="s">
        <v>4060</v>
      </c>
      <c r="EA58" s="866"/>
      <c r="EB58" s="707" t="s">
        <v>4770</v>
      </c>
      <c r="EC58" s="707" t="s">
        <v>2812</v>
      </c>
      <c r="ED58" s="479" t="s">
        <v>4108</v>
      </c>
    </row>
    <row r="59">
      <c r="A59" s="228" t="s">
        <v>100</v>
      </c>
      <c r="B59" s="229" t="s">
        <v>10065</v>
      </c>
      <c r="C59" s="230" t="s">
        <v>155</v>
      </c>
      <c r="D59" s="231" t="s">
        <v>155</v>
      </c>
      <c r="E59" s="232" t="s">
        <v>155</v>
      </c>
      <c r="F59" s="233" t="s">
        <v>1340</v>
      </c>
      <c r="G59" s="229" t="s">
        <v>10066</v>
      </c>
      <c r="H59" s="242" t="s">
        <v>9866</v>
      </c>
      <c r="I59" s="242" t="s">
        <v>8952</v>
      </c>
      <c r="J59" s="242" t="s">
        <v>10067</v>
      </c>
      <c r="K59" s="242" t="s">
        <v>785</v>
      </c>
      <c r="L59" s="242" t="s">
        <v>1449</v>
      </c>
      <c r="M59" s="908" t="s">
        <v>4631</v>
      </c>
      <c r="N59" s="242" t="s">
        <v>10068</v>
      </c>
      <c r="O59" s="242" t="s">
        <v>9944</v>
      </c>
      <c r="P59" s="242" t="s">
        <v>10069</v>
      </c>
      <c r="Q59" s="304"/>
      <c r="R59" s="304"/>
      <c r="S59" s="908" t="s">
        <v>1712</v>
      </c>
      <c r="T59" s="304"/>
      <c r="U59" s="273" t="s">
        <v>10070</v>
      </c>
      <c r="V59" s="304"/>
      <c r="W59" s="62"/>
      <c r="X59" s="908" t="s">
        <v>10071</v>
      </c>
      <c r="Y59" s="263" t="s">
        <v>3392</v>
      </c>
      <c r="Z59" s="908" t="s">
        <v>9782</v>
      </c>
      <c r="AA59" s="242" t="s">
        <v>2367</v>
      </c>
      <c r="AB59" s="908" t="s">
        <v>775</v>
      </c>
      <c r="AC59" s="908" t="s">
        <v>4989</v>
      </c>
      <c r="AD59" s="242" t="s">
        <v>6052</v>
      </c>
      <c r="AE59" s="304"/>
      <c r="AF59" s="242" t="s">
        <v>7945</v>
      </c>
      <c r="AG59" s="242" t="s">
        <v>10072</v>
      </c>
      <c r="AH59" s="304"/>
      <c r="AI59" s="304"/>
      <c r="AJ59" s="273" t="s">
        <v>3589</v>
      </c>
      <c r="AK59" s="304"/>
      <c r="AL59" s="61"/>
      <c r="AM59" s="273" t="s">
        <v>1315</v>
      </c>
      <c r="AN59" s="908" t="s">
        <v>9833</v>
      </c>
      <c r="AO59" s="1727" t="s">
        <v>2527</v>
      </c>
      <c r="AP59" s="273" t="s">
        <v>10073</v>
      </c>
      <c r="AQ59" s="304"/>
      <c r="AR59" s="304"/>
      <c r="AS59" s="304"/>
      <c r="AT59" s="304"/>
      <c r="AU59" s="908" t="s">
        <v>6063</v>
      </c>
      <c r="AV59" s="908" t="s">
        <v>5001</v>
      </c>
      <c r="AW59" s="273" t="s">
        <v>1898</v>
      </c>
      <c r="AX59" s="304"/>
      <c r="AY59" s="908" t="s">
        <v>1729</v>
      </c>
      <c r="AZ59" s="242" t="s">
        <v>2540</v>
      </c>
      <c r="BA59" s="304"/>
      <c r="BB59" s="242" t="s">
        <v>1983</v>
      </c>
      <c r="BC59" s="242" t="s">
        <v>5622</v>
      </c>
      <c r="BD59" s="242" t="s">
        <v>4224</v>
      </c>
      <c r="BE59" s="908" t="s">
        <v>10018</v>
      </c>
      <c r="BF59" s="242" t="s">
        <v>6584</v>
      </c>
      <c r="BG59" s="273" t="s">
        <v>227</v>
      </c>
      <c r="BH59" s="273" t="s">
        <v>10074</v>
      </c>
      <c r="BI59" s="908" t="s">
        <v>2987</v>
      </c>
      <c r="BJ59" s="273"/>
      <c r="BK59" s="908" t="s">
        <v>3020</v>
      </c>
      <c r="BL59" s="242" t="s">
        <v>4376</v>
      </c>
      <c r="BM59" s="242" t="s">
        <v>10075</v>
      </c>
      <c r="BN59" s="273" t="s">
        <v>2408</v>
      </c>
      <c r="BO59" s="273" t="s">
        <v>7177</v>
      </c>
      <c r="BP59" s="273" t="s">
        <v>4083</v>
      </c>
      <c r="BQ59" s="841"/>
      <c r="BR59" s="242" t="s">
        <v>10076</v>
      </c>
      <c r="BS59" s="242" t="s">
        <v>10077</v>
      </c>
      <c r="BT59" s="242" t="s">
        <v>10078</v>
      </c>
      <c r="BU59" s="908" t="s">
        <v>1430</v>
      </c>
      <c r="BV59" s="242" t="s">
        <v>10079</v>
      </c>
      <c r="BW59" s="242" t="s">
        <v>4689</v>
      </c>
      <c r="BX59" s="273" t="s">
        <v>10080</v>
      </c>
      <c r="BY59" s="273" t="s">
        <v>10081</v>
      </c>
      <c r="BZ59" s="242" t="s">
        <v>10082</v>
      </c>
      <c r="CA59" s="242" t="s">
        <v>10083</v>
      </c>
      <c r="CB59" s="242" t="s">
        <v>10084</v>
      </c>
      <c r="CC59" s="242" t="s">
        <v>1822</v>
      </c>
      <c r="CD59" s="242" t="s">
        <v>10085</v>
      </c>
      <c r="CE59" s="304"/>
      <c r="CF59" s="841"/>
      <c r="CG59" s="908" t="s">
        <v>6416</v>
      </c>
      <c r="CH59" s="242" t="s">
        <v>9616</v>
      </c>
      <c r="CI59" s="273" t="s">
        <v>4633</v>
      </c>
      <c r="CJ59" s="273" t="s">
        <v>6636</v>
      </c>
      <c r="CK59" s="273" t="s">
        <v>6939</v>
      </c>
      <c r="CL59" s="273" t="s">
        <v>10027</v>
      </c>
      <c r="CM59" s="273" t="s">
        <v>10086</v>
      </c>
      <c r="CN59" s="908" t="s">
        <v>10087</v>
      </c>
      <c r="CO59" s="273" t="s">
        <v>5055</v>
      </c>
      <c r="CP59" s="273" t="s">
        <v>6573</v>
      </c>
      <c r="CQ59" s="242" t="s">
        <v>10088</v>
      </c>
      <c r="CR59" s="304"/>
      <c r="CS59" s="242" t="s">
        <v>10089</v>
      </c>
      <c r="CT59" s="304"/>
      <c r="CU59" s="62"/>
      <c r="CV59" s="273" t="s">
        <v>3138</v>
      </c>
      <c r="CW59" s="242" t="s">
        <v>5709</v>
      </c>
      <c r="CX59" s="908" t="s">
        <v>4975</v>
      </c>
      <c r="CY59" s="908" t="s">
        <v>842</v>
      </c>
      <c r="CZ59" s="273" t="s">
        <v>10090</v>
      </c>
      <c r="DA59" s="908" t="s">
        <v>1831</v>
      </c>
      <c r="DB59" s="1728" t="s">
        <v>10091</v>
      </c>
      <c r="DC59" s="242" t="s">
        <v>5176</v>
      </c>
      <c r="DD59" s="304"/>
      <c r="DE59" s="908" t="s">
        <v>1549</v>
      </c>
      <c r="DF59" s="273" t="s">
        <v>5341</v>
      </c>
      <c r="DG59" s="304"/>
      <c r="DH59" s="304"/>
      <c r="DI59" s="273" t="s">
        <v>3689</v>
      </c>
      <c r="DJ59" s="304"/>
      <c r="DK59" s="273"/>
      <c r="DL59" s="304"/>
      <c r="DM59" s="242" t="s">
        <v>1824</v>
      </c>
      <c r="DN59" s="273" t="s">
        <v>6888</v>
      </c>
      <c r="DO59" s="908" t="s">
        <v>10092</v>
      </c>
      <c r="DP59" s="273" t="s">
        <v>1621</v>
      </c>
      <c r="DQ59" s="304"/>
      <c r="DR59" s="273" t="s">
        <v>7241</v>
      </c>
      <c r="DS59" s="273" t="s">
        <v>10093</v>
      </c>
      <c r="DT59" s="273" t="s">
        <v>1491</v>
      </c>
      <c r="DU59" s="242" t="s">
        <v>10094</v>
      </c>
      <c r="DV59" s="273" t="s">
        <v>3221</v>
      </c>
      <c r="DW59" s="522" t="s">
        <v>10064</v>
      </c>
      <c r="DX59" s="304"/>
      <c r="DY59" s="522" t="s">
        <v>826</v>
      </c>
      <c r="DZ59" s="273" t="s">
        <v>9606</v>
      </c>
      <c r="EA59" s="273" t="s">
        <v>10095</v>
      </c>
      <c r="EB59" s="908" t="s">
        <v>1770</v>
      </c>
      <c r="EC59" s="908" t="s">
        <v>10096</v>
      </c>
      <c r="ED59" s="885" t="s">
        <v>10097</v>
      </c>
    </row>
    <row r="60">
      <c r="A60" s="1729" t="s">
        <v>3931</v>
      </c>
      <c r="B60" s="381" t="s">
        <v>10098</v>
      </c>
      <c r="C60" s="384" t="s">
        <v>155</v>
      </c>
      <c r="D60" s="386" t="s">
        <v>155</v>
      </c>
      <c r="E60" s="389" t="s">
        <v>155</v>
      </c>
      <c r="F60" s="390" t="s">
        <v>6920</v>
      </c>
      <c r="G60" s="381" t="s">
        <v>3666</v>
      </c>
      <c r="H60" s="406" t="s">
        <v>10099</v>
      </c>
      <c r="I60" s="406" t="s">
        <v>6951</v>
      </c>
      <c r="J60" s="406" t="s">
        <v>10100</v>
      </c>
      <c r="K60" s="406" t="s">
        <v>774</v>
      </c>
      <c r="L60" s="406" t="s">
        <v>898</v>
      </c>
      <c r="M60" s="406" t="s">
        <v>10101</v>
      </c>
      <c r="N60" s="406" t="s">
        <v>377</v>
      </c>
      <c r="O60" s="406" t="s">
        <v>10102</v>
      </c>
      <c r="P60" s="406" t="s">
        <v>10103</v>
      </c>
      <c r="Q60" s="547" t="s">
        <v>10104</v>
      </c>
      <c r="R60" s="849"/>
      <c r="S60" s="406" t="s">
        <v>1718</v>
      </c>
      <c r="T60" s="849"/>
      <c r="U60" s="406" t="s">
        <v>7114</v>
      </c>
      <c r="V60" s="547" t="s">
        <v>10105</v>
      </c>
      <c r="W60" s="62"/>
      <c r="X60" s="417" t="s">
        <v>9661</v>
      </c>
      <c r="Y60" s="919"/>
      <c r="Z60" s="417" t="s">
        <v>2356</v>
      </c>
      <c r="AA60" s="417" t="s">
        <v>5778</v>
      </c>
      <c r="AB60" s="417" t="s">
        <v>9999</v>
      </c>
      <c r="AC60" s="417" t="s">
        <v>9925</v>
      </c>
      <c r="AD60" s="417" t="s">
        <v>9905</v>
      </c>
      <c r="AE60" s="421"/>
      <c r="AF60" s="417" t="s">
        <v>9969</v>
      </c>
      <c r="AG60" s="417" t="s">
        <v>2020</v>
      </c>
      <c r="AH60" s="852"/>
      <c r="AI60" s="852"/>
      <c r="AJ60" s="417" t="s">
        <v>2277</v>
      </c>
      <c r="AK60" s="683" t="s">
        <v>10106</v>
      </c>
      <c r="AL60" s="61"/>
      <c r="AM60" s="855"/>
      <c r="AN60" s="427" t="s">
        <v>10107</v>
      </c>
      <c r="AO60" s="855"/>
      <c r="AP60" s="427" t="s">
        <v>3766</v>
      </c>
      <c r="AQ60" s="571" t="s">
        <v>3788</v>
      </c>
      <c r="AR60" s="571"/>
      <c r="AS60" s="571" t="s">
        <v>10108</v>
      </c>
      <c r="AT60" s="571" t="s">
        <v>538</v>
      </c>
      <c r="AU60" s="427" t="s">
        <v>3913</v>
      </c>
      <c r="AV60" s="427" t="s">
        <v>2358</v>
      </c>
      <c r="AW60" s="855"/>
      <c r="AX60" s="855"/>
      <c r="AY60" s="427" t="s">
        <v>2621</v>
      </c>
      <c r="AZ60" s="571" t="s">
        <v>10109</v>
      </c>
      <c r="BA60" s="571"/>
      <c r="BB60" s="439" t="s">
        <v>9659</v>
      </c>
      <c r="BC60" s="439" t="s">
        <v>9406</v>
      </c>
      <c r="BD60" s="439" t="s">
        <v>4132</v>
      </c>
      <c r="BE60" s="586" t="s">
        <v>1281</v>
      </c>
      <c r="BF60" s="439" t="s">
        <v>3042</v>
      </c>
      <c r="BG60" s="439" t="s">
        <v>565</v>
      </c>
      <c r="BH60" s="587"/>
      <c r="BI60" s="439" t="s">
        <v>1219</v>
      </c>
      <c r="BJ60" s="439" t="s">
        <v>314</v>
      </c>
      <c r="BK60" s="439" t="s">
        <v>4277</v>
      </c>
      <c r="BL60" s="439" t="s">
        <v>4392</v>
      </c>
      <c r="BM60" s="587"/>
      <c r="BN60" s="439" t="s">
        <v>10110</v>
      </c>
      <c r="BO60" s="439" t="s">
        <v>4437</v>
      </c>
      <c r="BP60" s="587"/>
      <c r="BQ60" s="857"/>
      <c r="BR60" s="448" t="s">
        <v>10111</v>
      </c>
      <c r="BS60" s="448" t="s">
        <v>4019</v>
      </c>
      <c r="BT60" s="448" t="s">
        <v>3371</v>
      </c>
      <c r="BU60" s="448" t="s">
        <v>10112</v>
      </c>
      <c r="BV60" s="448" t="s">
        <v>4296</v>
      </c>
      <c r="BW60" s="448" t="s">
        <v>4698</v>
      </c>
      <c r="BX60" s="859"/>
      <c r="BY60" s="448" t="s">
        <v>10113</v>
      </c>
      <c r="BZ60" s="448" t="s">
        <v>8745</v>
      </c>
      <c r="CA60" s="448" t="s">
        <v>5031</v>
      </c>
      <c r="CB60" s="448" t="s">
        <v>10114</v>
      </c>
      <c r="CC60" s="448" t="s">
        <v>4790</v>
      </c>
      <c r="CD60" s="448" t="s">
        <v>4006</v>
      </c>
      <c r="CE60" s="594" t="s">
        <v>10115</v>
      </c>
      <c r="CF60" s="594"/>
      <c r="CG60" s="459" t="s">
        <v>2677</v>
      </c>
      <c r="CH60" s="459" t="s">
        <v>1566</v>
      </c>
      <c r="CI60" s="459" t="s">
        <v>3473</v>
      </c>
      <c r="CJ60" s="459" t="s">
        <v>10116</v>
      </c>
      <c r="CK60" s="904"/>
      <c r="CL60" s="459" t="s">
        <v>6092</v>
      </c>
      <c r="CM60" s="459" t="s">
        <v>2531</v>
      </c>
      <c r="CN60" s="459" t="s">
        <v>4855</v>
      </c>
      <c r="CO60" s="459" t="s">
        <v>4548</v>
      </c>
      <c r="CP60" s="863"/>
      <c r="CQ60" s="863"/>
      <c r="CR60" s="606"/>
      <c r="CS60" s="459" t="s">
        <v>2635</v>
      </c>
      <c r="CT60" s="863"/>
      <c r="CU60" s="62"/>
      <c r="CV60" s="466" t="s">
        <v>4043</v>
      </c>
      <c r="CW60" s="466" t="s">
        <v>787</v>
      </c>
      <c r="CX60" s="466" t="s">
        <v>2835</v>
      </c>
      <c r="CY60" s="466" t="s">
        <v>5283</v>
      </c>
      <c r="CZ60" s="466" t="s">
        <v>10117</v>
      </c>
      <c r="DA60" s="703" t="s">
        <v>4166</v>
      </c>
      <c r="DB60" s="466" t="s">
        <v>10118</v>
      </c>
      <c r="DC60" s="466" t="s">
        <v>3913</v>
      </c>
      <c r="DD60" s="864"/>
      <c r="DE60" s="864"/>
      <c r="DF60" s="864"/>
      <c r="DG60" s="703" t="s">
        <v>7138</v>
      </c>
      <c r="DH60" s="703"/>
      <c r="DI60" s="483" t="s">
        <v>9589</v>
      </c>
      <c r="DJ60" s="866"/>
      <c r="DK60" s="866"/>
      <c r="DL60" s="866"/>
      <c r="DM60" s="483" t="s">
        <v>1824</v>
      </c>
      <c r="DN60" s="866"/>
      <c r="DO60" s="866"/>
      <c r="DP60" s="483" t="s">
        <v>3818</v>
      </c>
      <c r="DQ60" s="866"/>
      <c r="DR60" s="483" t="s">
        <v>5590</v>
      </c>
      <c r="DS60" s="710" t="s">
        <v>8995</v>
      </c>
      <c r="DT60" s="707" t="s">
        <v>10119</v>
      </c>
      <c r="DU60" s="866"/>
      <c r="DV60" s="866"/>
      <c r="DW60" s="483" t="s">
        <v>5533</v>
      </c>
      <c r="DX60" s="866"/>
      <c r="DY60" s="866"/>
      <c r="DZ60" s="866"/>
      <c r="EA60" s="483" t="s">
        <v>10120</v>
      </c>
      <c r="EB60" s="866"/>
      <c r="EC60" s="483" t="s">
        <v>10121</v>
      </c>
      <c r="ED60" s="475" t="s">
        <v>10122</v>
      </c>
    </row>
    <row r="61">
      <c r="A61" s="1730" t="s">
        <v>10123</v>
      </c>
      <c r="B61" s="229" t="s">
        <v>10124</v>
      </c>
      <c r="C61" s="230" t="s">
        <v>155</v>
      </c>
      <c r="D61" s="231" t="s">
        <v>155</v>
      </c>
      <c r="E61" s="232" t="s">
        <v>155</v>
      </c>
      <c r="F61" s="233" t="s">
        <v>3612</v>
      </c>
      <c r="G61" s="229" t="s">
        <v>541</v>
      </c>
      <c r="H61" s="273" t="s">
        <v>10125</v>
      </c>
      <c r="I61" s="273" t="s">
        <v>6199</v>
      </c>
      <c r="J61" s="273" t="s">
        <v>10126</v>
      </c>
      <c r="K61" s="242" t="s">
        <v>9588</v>
      </c>
      <c r="L61" s="242" t="s">
        <v>891</v>
      </c>
      <c r="M61" s="273" t="s">
        <v>10127</v>
      </c>
      <c r="N61" s="242" t="s">
        <v>10128</v>
      </c>
      <c r="O61" s="273" t="s">
        <v>1281</v>
      </c>
      <c r="P61" s="273" t="s">
        <v>4550</v>
      </c>
      <c r="Q61" s="522" t="s">
        <v>10129</v>
      </c>
      <c r="R61" s="242" t="s">
        <v>10130</v>
      </c>
      <c r="S61" s="273" t="s">
        <v>10131</v>
      </c>
      <c r="T61" s="273" t="s">
        <v>5137</v>
      </c>
      <c r="U61" s="242" t="s">
        <v>6594</v>
      </c>
      <c r="V61" s="522" t="s">
        <v>10132</v>
      </c>
      <c r="W61" s="410"/>
      <c r="X61" s="273" t="s">
        <v>10133</v>
      </c>
      <c r="Y61" s="273"/>
      <c r="Z61" s="273" t="s">
        <v>10134</v>
      </c>
      <c r="AA61" s="273" t="s">
        <v>10135</v>
      </c>
      <c r="AB61" s="273" t="s">
        <v>3662</v>
      </c>
      <c r="AC61" s="273" t="s">
        <v>10136</v>
      </c>
      <c r="AD61" s="273" t="s">
        <v>6600</v>
      </c>
      <c r="AE61" s="273" t="s">
        <v>7956</v>
      </c>
      <c r="AF61" s="273" t="s">
        <v>3153</v>
      </c>
      <c r="AG61" s="273" t="s">
        <v>2223</v>
      </c>
      <c r="AH61" s="273" t="s">
        <v>10070</v>
      </c>
      <c r="AI61" s="273" t="s">
        <v>9768</v>
      </c>
      <c r="AJ61" s="273" t="s">
        <v>9718</v>
      </c>
      <c r="AK61" s="273" t="s">
        <v>3182</v>
      </c>
      <c r="AL61" s="61"/>
      <c r="AM61" s="273" t="s">
        <v>5212</v>
      </c>
      <c r="AN61" s="273" t="s">
        <v>4865</v>
      </c>
      <c r="AO61" s="273" t="s">
        <v>10137</v>
      </c>
      <c r="AP61" s="273" t="s">
        <v>5663</v>
      </c>
      <c r="AQ61" s="273" t="s">
        <v>10138</v>
      </c>
      <c r="AR61" s="273" t="s">
        <v>10139</v>
      </c>
      <c r="AS61" s="273" t="s">
        <v>10140</v>
      </c>
      <c r="AT61" s="273"/>
      <c r="AU61" s="273" t="s">
        <v>10141</v>
      </c>
      <c r="AV61" s="242" t="s">
        <v>10142</v>
      </c>
      <c r="AW61" s="273" t="s">
        <v>905</v>
      </c>
      <c r="AX61" s="273"/>
      <c r="AY61" s="273" t="s">
        <v>3635</v>
      </c>
      <c r="AZ61" s="273" t="s">
        <v>10143</v>
      </c>
      <c r="BA61" s="273"/>
      <c r="BB61" s="273" t="s">
        <v>1926</v>
      </c>
      <c r="BC61" s="242" t="s">
        <v>486</v>
      </c>
      <c r="BD61" s="242" t="s">
        <v>8358</v>
      </c>
      <c r="BE61" s="273" t="s">
        <v>10144</v>
      </c>
      <c r="BF61" s="273" t="s">
        <v>10145</v>
      </c>
      <c r="BG61" s="273" t="s">
        <v>4557</v>
      </c>
      <c r="BH61" s="273" t="s">
        <v>10146</v>
      </c>
      <c r="BI61" s="242" t="s">
        <v>5181</v>
      </c>
      <c r="BJ61" s="273" t="s">
        <v>3281</v>
      </c>
      <c r="BK61" s="273" t="s">
        <v>10147</v>
      </c>
      <c r="BL61" s="273" t="s">
        <v>10148</v>
      </c>
      <c r="BM61" s="273"/>
      <c r="BN61" s="242" t="s">
        <v>4002</v>
      </c>
      <c r="BO61" s="273" t="s">
        <v>4438</v>
      </c>
      <c r="BP61" s="273" t="s">
        <v>9874</v>
      </c>
      <c r="BQ61" s="273"/>
      <c r="BR61" s="242" t="s">
        <v>5664</v>
      </c>
      <c r="BS61" s="273" t="s">
        <v>4832</v>
      </c>
      <c r="BT61" s="273" t="s">
        <v>10149</v>
      </c>
      <c r="BU61" s="273" t="s">
        <v>83</v>
      </c>
      <c r="BV61" s="273" t="s">
        <v>5429</v>
      </c>
      <c r="BW61" s="273" t="s">
        <v>10150</v>
      </c>
      <c r="BX61" s="273" t="s">
        <v>6223</v>
      </c>
      <c r="BY61" s="273" t="s">
        <v>10151</v>
      </c>
      <c r="BZ61" s="273" t="s">
        <v>9772</v>
      </c>
      <c r="CA61" s="273" t="s">
        <v>10152</v>
      </c>
      <c r="CB61" s="273" t="s">
        <v>9376</v>
      </c>
      <c r="CC61" s="273" t="s">
        <v>3636</v>
      </c>
      <c r="CD61" s="273" t="s">
        <v>2131</v>
      </c>
      <c r="CE61" s="273" t="s">
        <v>10153</v>
      </c>
      <c r="CF61" s="273"/>
      <c r="CG61" s="273" t="s">
        <v>3783</v>
      </c>
      <c r="CH61" s="522" t="s">
        <v>802</v>
      </c>
      <c r="CI61" s="273" t="s">
        <v>5380</v>
      </c>
      <c r="CJ61" s="273" t="s">
        <v>9705</v>
      </c>
      <c r="CK61" s="273"/>
      <c r="CL61" s="273" t="s">
        <v>10154</v>
      </c>
      <c r="CM61" s="273" t="s">
        <v>2205</v>
      </c>
      <c r="CN61" s="273" t="s">
        <v>1899</v>
      </c>
      <c r="CO61" s="273" t="s">
        <v>3690</v>
      </c>
      <c r="CP61" s="273" t="s">
        <v>1224</v>
      </c>
      <c r="CQ61" s="242" t="s">
        <v>807</v>
      </c>
      <c r="CR61" s="273"/>
      <c r="CS61" s="273" t="s">
        <v>10155</v>
      </c>
      <c r="CT61" s="273" t="s">
        <v>5780</v>
      </c>
      <c r="CU61" s="62"/>
      <c r="CV61" s="273" t="s">
        <v>10156</v>
      </c>
      <c r="CW61" s="273" t="s">
        <v>5113</v>
      </c>
      <c r="CX61" s="242" t="s">
        <v>515</v>
      </c>
      <c r="CY61" s="273" t="s">
        <v>4745</v>
      </c>
      <c r="CZ61" s="522" t="s">
        <v>10020</v>
      </c>
      <c r="DA61" s="273" t="s">
        <v>10157</v>
      </c>
      <c r="DB61" s="908" t="s">
        <v>9095</v>
      </c>
      <c r="DC61" s="242" t="s">
        <v>5391</v>
      </c>
      <c r="DD61" s="273" t="s">
        <v>7885</v>
      </c>
      <c r="DE61" s="273" t="s">
        <v>7211</v>
      </c>
      <c r="DF61" s="273" t="s">
        <v>4445</v>
      </c>
      <c r="DG61" s="273" t="s">
        <v>10158</v>
      </c>
      <c r="DH61" s="273"/>
      <c r="DI61" s="273" t="s">
        <v>10159</v>
      </c>
      <c r="DJ61" s="273"/>
      <c r="DK61" s="273" t="s">
        <v>10160</v>
      </c>
      <c r="DL61" s="273" t="s">
        <v>10161</v>
      </c>
      <c r="DM61" s="273" t="s">
        <v>2613</v>
      </c>
      <c r="DN61" s="273" t="s">
        <v>10162</v>
      </c>
      <c r="DO61" s="273" t="s">
        <v>511</v>
      </c>
      <c r="DP61" s="273" t="s">
        <v>10163</v>
      </c>
      <c r="DQ61" s="273" t="s">
        <v>2274</v>
      </c>
      <c r="DR61" s="273" t="s">
        <v>6605</v>
      </c>
      <c r="DS61" s="273" t="s">
        <v>2194</v>
      </c>
      <c r="DT61" s="273" t="s">
        <v>359</v>
      </c>
      <c r="DU61" s="273" t="s">
        <v>5380</v>
      </c>
      <c r="DV61" s="273" t="s">
        <v>9766</v>
      </c>
      <c r="DW61" s="273" t="s">
        <v>5859</v>
      </c>
      <c r="DX61" s="273" t="s">
        <v>10164</v>
      </c>
      <c r="DY61" s="273" t="s">
        <v>1088</v>
      </c>
      <c r="DZ61" s="273" t="s">
        <v>1390</v>
      </c>
      <c r="EA61" s="273" t="s">
        <v>1515</v>
      </c>
      <c r="EB61" s="273" t="s">
        <v>10165</v>
      </c>
      <c r="EC61" s="273" t="s">
        <v>1219</v>
      </c>
      <c r="ED61" s="885" t="s">
        <v>10166</v>
      </c>
    </row>
    <row r="62">
      <c r="A62" s="545" t="s">
        <v>7513</v>
      </c>
      <c r="B62" s="381" t="s">
        <v>10167</v>
      </c>
      <c r="C62" s="384" t="s">
        <v>155</v>
      </c>
      <c r="D62" s="386" t="s">
        <v>155</v>
      </c>
      <c r="E62" s="389" t="s">
        <v>155</v>
      </c>
      <c r="F62" s="390" t="s">
        <v>156</v>
      </c>
      <c r="G62" s="381" t="s">
        <v>10168</v>
      </c>
      <c r="H62" s="845" t="s">
        <v>1928</v>
      </c>
      <c r="I62" s="845" t="s">
        <v>7680</v>
      </c>
      <c r="J62" s="845" t="s">
        <v>10169</v>
      </c>
      <c r="K62" s="845" t="s">
        <v>767</v>
      </c>
      <c r="L62" s="845" t="s">
        <v>3222</v>
      </c>
      <c r="M62" s="845" t="s">
        <v>10170</v>
      </c>
      <c r="N62" s="845" t="s">
        <v>10171</v>
      </c>
      <c r="O62" s="845" t="s">
        <v>1714</v>
      </c>
      <c r="P62" s="845" t="s">
        <v>10103</v>
      </c>
      <c r="Q62" s="845"/>
      <c r="R62" s="845" t="s">
        <v>3834</v>
      </c>
      <c r="S62" s="845" t="s">
        <v>10110</v>
      </c>
      <c r="T62" s="845" t="s">
        <v>5033</v>
      </c>
      <c r="U62" s="845" t="s">
        <v>8236</v>
      </c>
      <c r="V62" s="845" t="s">
        <v>1509</v>
      </c>
      <c r="W62" s="1731"/>
      <c r="X62" s="680" t="s">
        <v>9807</v>
      </c>
      <c r="Y62" s="680"/>
      <c r="Z62" s="680" t="s">
        <v>4379</v>
      </c>
      <c r="AA62" s="680" t="s">
        <v>2049</v>
      </c>
      <c r="AB62" s="680" t="s">
        <v>10172</v>
      </c>
      <c r="AC62" s="1732" t="s">
        <v>10173</v>
      </c>
      <c r="AD62" s="680" t="s">
        <v>7236</v>
      </c>
      <c r="AE62" s="680" t="s">
        <v>940</v>
      </c>
      <c r="AF62" s="417" t="s">
        <v>7562</v>
      </c>
      <c r="AG62" s="680" t="s">
        <v>10174</v>
      </c>
      <c r="AH62" s="680" t="s">
        <v>10175</v>
      </c>
      <c r="AI62" s="1733"/>
      <c r="AJ62" s="1733"/>
      <c r="AK62" s="680" t="s">
        <v>3453</v>
      </c>
      <c r="AL62" s="1734"/>
      <c r="AM62" s="685" t="s">
        <v>9520</v>
      </c>
      <c r="AN62" s="685" t="s">
        <v>5073</v>
      </c>
      <c r="AO62" s="685" t="s">
        <v>10176</v>
      </c>
      <c r="AP62" s="685" t="s">
        <v>10177</v>
      </c>
      <c r="AQ62" s="685" t="s">
        <v>10178</v>
      </c>
      <c r="AR62" s="685" t="s">
        <v>5000</v>
      </c>
      <c r="AS62" s="685" t="s">
        <v>9889</v>
      </c>
      <c r="AT62" s="1735"/>
      <c r="AU62" s="685" t="s">
        <v>10179</v>
      </c>
      <c r="AV62" s="685" t="s">
        <v>4125</v>
      </c>
      <c r="AW62" s="685" t="s">
        <v>5808</v>
      </c>
      <c r="AX62" s="1735"/>
      <c r="AY62" s="685" t="s">
        <v>1481</v>
      </c>
      <c r="AZ62" s="685" t="s">
        <v>10180</v>
      </c>
      <c r="BA62" s="685"/>
      <c r="BB62" s="586" t="s">
        <v>10181</v>
      </c>
      <c r="BC62" s="586" t="s">
        <v>885</v>
      </c>
      <c r="BD62" s="586" t="s">
        <v>2987</v>
      </c>
      <c r="BE62" s="586" t="s">
        <v>10182</v>
      </c>
      <c r="BF62" s="586" t="s">
        <v>6584</v>
      </c>
      <c r="BG62" s="586" t="s">
        <v>2235</v>
      </c>
      <c r="BH62" s="586" t="s">
        <v>10183</v>
      </c>
      <c r="BI62" s="586" t="s">
        <v>3755</v>
      </c>
      <c r="BJ62" s="586" t="s">
        <v>6490</v>
      </c>
      <c r="BK62" s="586" t="s">
        <v>10184</v>
      </c>
      <c r="BL62" s="586" t="s">
        <v>4371</v>
      </c>
      <c r="BM62" s="1736"/>
      <c r="BN62" s="586" t="s">
        <v>1164</v>
      </c>
      <c r="BO62" s="586" t="s">
        <v>7467</v>
      </c>
      <c r="BP62" s="586" t="s">
        <v>4725</v>
      </c>
      <c r="BQ62" s="586"/>
      <c r="BR62" s="968" t="s">
        <v>1193</v>
      </c>
      <c r="BS62" s="448" t="s">
        <v>661</v>
      </c>
      <c r="BT62" s="968" t="s">
        <v>8337</v>
      </c>
      <c r="BU62" s="968" t="s">
        <v>10185</v>
      </c>
      <c r="BV62" s="968" t="s">
        <v>10186</v>
      </c>
      <c r="BW62" s="968" t="s">
        <v>10187</v>
      </c>
      <c r="BX62" s="968" t="s">
        <v>10188</v>
      </c>
      <c r="BY62" s="968"/>
      <c r="BZ62" s="968" t="s">
        <v>3331</v>
      </c>
      <c r="CA62" s="968" t="s">
        <v>5135</v>
      </c>
      <c r="CB62" s="968" t="s">
        <v>10189</v>
      </c>
      <c r="CC62" s="968" t="s">
        <v>10190</v>
      </c>
      <c r="CD62" s="968" t="s">
        <v>10191</v>
      </c>
      <c r="CE62" s="968" t="s">
        <v>10192</v>
      </c>
      <c r="CF62" s="968"/>
      <c r="CG62" s="1012" t="s">
        <v>3092</v>
      </c>
      <c r="CH62" s="1012" t="s">
        <v>8312</v>
      </c>
      <c r="CI62" s="1012" t="s">
        <v>10193</v>
      </c>
      <c r="CJ62" s="1012" t="s">
        <v>2574</v>
      </c>
      <c r="CK62" s="1012" t="s">
        <v>10194</v>
      </c>
      <c r="CL62" s="1012" t="s">
        <v>10195</v>
      </c>
      <c r="CM62" s="1012" t="s">
        <v>10196</v>
      </c>
      <c r="CN62" s="1012" t="s">
        <v>1898</v>
      </c>
      <c r="CO62" s="1012" t="s">
        <v>10069</v>
      </c>
      <c r="CP62" s="1737"/>
      <c r="CQ62" s="1737"/>
      <c r="CR62" s="1737"/>
      <c r="CS62" s="1012" t="s">
        <v>10197</v>
      </c>
      <c r="CT62" s="1012" t="s">
        <v>631</v>
      </c>
      <c r="CU62" s="1731"/>
      <c r="CV62" s="1561" t="s">
        <v>4205</v>
      </c>
      <c r="CW62" s="1561" t="s">
        <v>764</v>
      </c>
      <c r="CX62" s="1561" t="s">
        <v>1898</v>
      </c>
      <c r="CY62" s="1561" t="s">
        <v>3941</v>
      </c>
      <c r="CZ62" s="1561" t="s">
        <v>10198</v>
      </c>
      <c r="DA62" s="1561" t="s">
        <v>3950</v>
      </c>
      <c r="DB62" s="1561" t="s">
        <v>10199</v>
      </c>
      <c r="DC62" s="1561" t="s">
        <v>9937</v>
      </c>
      <c r="DD62" s="1561" t="s">
        <v>10200</v>
      </c>
      <c r="DE62" s="1561" t="s">
        <v>3375</v>
      </c>
      <c r="DF62" s="1561" t="s">
        <v>10201</v>
      </c>
      <c r="DG62" s="1561" t="s">
        <v>7819</v>
      </c>
      <c r="DH62" s="1561"/>
      <c r="DI62" s="483" t="s">
        <v>829</v>
      </c>
      <c r="DJ62" s="710" t="s">
        <v>503</v>
      </c>
      <c r="DK62" s="710" t="s">
        <v>6866</v>
      </c>
      <c r="DL62" s="710"/>
      <c r="DM62" s="710" t="s">
        <v>1883</v>
      </c>
      <c r="DN62" s="710" t="s">
        <v>4967</v>
      </c>
      <c r="DO62" s="710" t="s">
        <v>10202</v>
      </c>
      <c r="DP62" s="710" t="s">
        <v>10203</v>
      </c>
      <c r="DQ62" s="710" t="s">
        <v>2223</v>
      </c>
      <c r="DR62" s="710" t="s">
        <v>6556</v>
      </c>
      <c r="DS62" s="710" t="s">
        <v>10204</v>
      </c>
      <c r="DT62" s="710" t="s">
        <v>764</v>
      </c>
      <c r="DU62" s="710" t="s">
        <v>10205</v>
      </c>
      <c r="DV62" s="710" t="s">
        <v>5490</v>
      </c>
      <c r="DW62" s="710" t="s">
        <v>3480</v>
      </c>
      <c r="DX62" s="710" t="s">
        <v>5924</v>
      </c>
      <c r="DY62" s="710" t="s">
        <v>1088</v>
      </c>
      <c r="DZ62" s="710" t="s">
        <v>2693</v>
      </c>
      <c r="EA62" s="710" t="s">
        <v>4395</v>
      </c>
      <c r="EB62" s="710" t="s">
        <v>2358</v>
      </c>
      <c r="EC62" s="710" t="s">
        <v>10206</v>
      </c>
      <c r="ED62" s="973" t="s">
        <v>10207</v>
      </c>
    </row>
    <row r="63">
      <c r="A63" s="228" t="s">
        <v>10208</v>
      </c>
      <c r="B63" s="229" t="s">
        <v>10209</v>
      </c>
      <c r="C63" s="230" t="s">
        <v>155</v>
      </c>
      <c r="D63" s="231" t="s">
        <v>155</v>
      </c>
      <c r="E63" s="232" t="s">
        <v>155</v>
      </c>
      <c r="F63" s="233" t="s">
        <v>539</v>
      </c>
      <c r="G63" s="229" t="s">
        <v>2294</v>
      </c>
      <c r="H63" s="242" t="s">
        <v>9256</v>
      </c>
      <c r="I63" s="242" t="s">
        <v>10210</v>
      </c>
      <c r="J63" s="242" t="s">
        <v>3714</v>
      </c>
      <c r="K63" s="301" t="s">
        <v>768</v>
      </c>
      <c r="L63" s="242" t="s">
        <v>4861</v>
      </c>
      <c r="M63" s="273" t="s">
        <v>10211</v>
      </c>
      <c r="N63" s="273" t="s">
        <v>10212</v>
      </c>
      <c r="O63" s="273" t="s">
        <v>10144</v>
      </c>
      <c r="P63" s="273" t="s">
        <v>1354</v>
      </c>
      <c r="Q63" s="273" t="s">
        <v>3334</v>
      </c>
      <c r="R63" s="304"/>
      <c r="S63" s="304"/>
      <c r="T63" s="304"/>
      <c r="U63" s="304"/>
      <c r="V63" s="273" t="s">
        <v>10213</v>
      </c>
      <c r="W63" s="62"/>
      <c r="X63" s="242" t="s">
        <v>9436</v>
      </c>
      <c r="Y63" s="333"/>
      <c r="Z63" s="242" t="s">
        <v>10214</v>
      </c>
      <c r="AA63" s="242" t="s">
        <v>5901</v>
      </c>
      <c r="AB63" s="273" t="s">
        <v>9738</v>
      </c>
      <c r="AC63" s="273" t="s">
        <v>9739</v>
      </c>
      <c r="AD63" s="263" t="s">
        <v>3047</v>
      </c>
      <c r="AE63" s="304"/>
      <c r="AF63" s="273" t="s">
        <v>2382</v>
      </c>
      <c r="AG63" s="273" t="s">
        <v>5328</v>
      </c>
      <c r="AH63" s="304"/>
      <c r="AI63" s="304"/>
      <c r="AJ63" s="304"/>
      <c r="AK63" s="304"/>
      <c r="AL63" s="61"/>
      <c r="AM63" s="273" t="s">
        <v>1475</v>
      </c>
      <c r="AN63" s="273" t="s">
        <v>2319</v>
      </c>
      <c r="AO63" s="273" t="s">
        <v>10215</v>
      </c>
      <c r="AP63" s="304"/>
      <c r="AQ63" s="273" t="s">
        <v>739</v>
      </c>
      <c r="AR63" s="273"/>
      <c r="AS63" s="304"/>
      <c r="AT63" s="304"/>
      <c r="AU63" s="242" t="s">
        <v>5440</v>
      </c>
      <c r="AV63" s="242" t="s">
        <v>2801</v>
      </c>
      <c r="AW63" s="304"/>
      <c r="AX63" s="304"/>
      <c r="AY63" s="304"/>
      <c r="AZ63" s="304"/>
      <c r="BA63" s="304"/>
      <c r="BB63" s="304"/>
      <c r="BC63" s="273" t="s">
        <v>3752</v>
      </c>
      <c r="BD63" s="242" t="s">
        <v>4125</v>
      </c>
      <c r="BE63" s="242" t="s">
        <v>10216</v>
      </c>
      <c r="BF63" s="273" t="s">
        <v>4833</v>
      </c>
      <c r="BG63" s="304"/>
      <c r="BH63" s="304"/>
      <c r="BI63" s="273" t="s">
        <v>919</v>
      </c>
      <c r="BJ63" s="304"/>
      <c r="BK63" s="273" t="s">
        <v>8962</v>
      </c>
      <c r="BL63" s="273" t="s">
        <v>4339</v>
      </c>
      <c r="BM63" s="304"/>
      <c r="BN63" s="304"/>
      <c r="BO63" s="304"/>
      <c r="BP63" s="304"/>
      <c r="BQ63" s="841"/>
      <c r="BR63" s="273"/>
      <c r="BS63" s="273" t="s">
        <v>1596</v>
      </c>
      <c r="BT63" s="273" t="s">
        <v>9549</v>
      </c>
      <c r="BU63" s="273" t="s">
        <v>4596</v>
      </c>
      <c r="BV63" s="273" t="s">
        <v>8804</v>
      </c>
      <c r="BW63" s="273" t="s">
        <v>4665</v>
      </c>
      <c r="BX63" s="304"/>
      <c r="BY63" s="304"/>
      <c r="BZ63" s="304"/>
      <c r="CA63" s="273" t="s">
        <v>10217</v>
      </c>
      <c r="CB63" s="273" t="s">
        <v>10218</v>
      </c>
      <c r="CC63" s="304"/>
      <c r="CD63" s="304"/>
      <c r="CE63" s="304"/>
      <c r="CF63" s="841"/>
      <c r="CG63" s="273" t="s">
        <v>10219</v>
      </c>
      <c r="CH63" s="242" t="s">
        <v>3755</v>
      </c>
      <c r="CI63" s="301" t="str">
        <f>HYPERLINK("https://youtu.be/weD44uJQ8hg","35.17")</f>
        <v>35.17</v>
      </c>
      <c r="CJ63" s="304"/>
      <c r="CK63" s="304"/>
      <c r="CL63" s="304"/>
      <c r="CM63" s="242" t="s">
        <v>10220</v>
      </c>
      <c r="CN63" s="273" t="s">
        <v>1899</v>
      </c>
      <c r="CO63" s="273" t="s">
        <v>2028</v>
      </c>
      <c r="CP63" s="304"/>
      <c r="CQ63" s="273" t="s">
        <v>10221</v>
      </c>
      <c r="CR63" s="273"/>
      <c r="CS63" s="273" t="s">
        <v>3166</v>
      </c>
      <c r="CT63" s="304"/>
      <c r="CU63" s="62"/>
      <c r="CV63" s="273" t="s">
        <v>2368</v>
      </c>
      <c r="CW63" s="304"/>
      <c r="CX63" s="242" t="s">
        <v>4233</v>
      </c>
      <c r="CY63" s="273" t="s">
        <v>9378</v>
      </c>
      <c r="CZ63" s="273"/>
      <c r="DA63" s="273"/>
      <c r="DB63" s="273" t="s">
        <v>5316</v>
      </c>
      <c r="DC63" s="273" t="s">
        <v>902</v>
      </c>
      <c r="DD63" s="304"/>
      <c r="DE63" s="304"/>
      <c r="DF63" s="304"/>
      <c r="DG63" s="304"/>
      <c r="DH63" s="304"/>
      <c r="DI63" s="304"/>
      <c r="DJ63" s="304"/>
      <c r="DK63" s="304"/>
      <c r="DL63" s="304"/>
      <c r="DM63" s="304"/>
      <c r="DN63" s="304"/>
      <c r="DO63" s="304"/>
      <c r="DP63" s="304"/>
      <c r="DQ63" s="304"/>
      <c r="DR63" s="273" t="s">
        <v>10222</v>
      </c>
      <c r="DS63" s="273"/>
      <c r="DT63" s="304"/>
      <c r="DU63" s="304"/>
      <c r="DV63" s="304"/>
      <c r="DW63" s="304"/>
      <c r="DX63" s="304"/>
      <c r="DY63" s="304"/>
      <c r="DZ63" s="273" t="s">
        <v>10223</v>
      </c>
      <c r="EA63" s="273" t="s">
        <v>9369</v>
      </c>
      <c r="EB63" s="273" t="s">
        <v>10224</v>
      </c>
      <c r="EC63" s="304"/>
      <c r="ED63" s="885"/>
    </row>
    <row r="64">
      <c r="A64" s="545" t="s">
        <v>10225</v>
      </c>
      <c r="B64" s="381" t="s">
        <v>10226</v>
      </c>
      <c r="C64" s="384" t="s">
        <v>155</v>
      </c>
      <c r="D64" s="386" t="s">
        <v>155</v>
      </c>
      <c r="E64" s="389" t="s">
        <v>155</v>
      </c>
      <c r="F64" s="390" t="s">
        <v>157</v>
      </c>
      <c r="G64" s="381" t="s">
        <v>1344</v>
      </c>
      <c r="H64" s="849"/>
      <c r="I64" s="547" t="s">
        <v>10227</v>
      </c>
      <c r="J64" s="547" t="s">
        <v>692</v>
      </c>
      <c r="K64" s="1715" t="s">
        <v>9588</v>
      </c>
      <c r="L64" s="547" t="s">
        <v>2238</v>
      </c>
      <c r="M64" s="1549" t="s">
        <v>10228</v>
      </c>
      <c r="N64" s="547" t="s">
        <v>2743</v>
      </c>
      <c r="O64" s="547" t="s">
        <v>1420</v>
      </c>
      <c r="P64" s="547" t="s">
        <v>222</v>
      </c>
      <c r="Q64" s="849"/>
      <c r="R64" s="849"/>
      <c r="S64" s="849"/>
      <c r="T64" s="849"/>
      <c r="U64" s="849"/>
      <c r="V64" s="849"/>
      <c r="W64" s="62"/>
      <c r="X64" s="683" t="s">
        <v>9592</v>
      </c>
      <c r="Y64" s="683"/>
      <c r="Z64" s="683" t="s">
        <v>10229</v>
      </c>
      <c r="AA64" s="683" t="s">
        <v>6368</v>
      </c>
      <c r="AB64" s="683" t="s">
        <v>10230</v>
      </c>
      <c r="AC64" s="683" t="s">
        <v>5001</v>
      </c>
      <c r="AD64" s="683" t="s">
        <v>5424</v>
      </c>
      <c r="AE64" s="683"/>
      <c r="AF64" s="680" t="s">
        <v>10231</v>
      </c>
      <c r="AG64" s="683" t="s">
        <v>10232</v>
      </c>
      <c r="AH64" s="852"/>
      <c r="AI64" s="852"/>
      <c r="AJ64" s="852"/>
      <c r="AK64" s="852"/>
      <c r="AL64" s="61"/>
      <c r="AM64" s="855"/>
      <c r="AN64" s="855"/>
      <c r="AO64" s="855"/>
      <c r="AP64" s="855"/>
      <c r="AQ64" s="855"/>
      <c r="AR64" s="855"/>
      <c r="AS64" s="855"/>
      <c r="AT64" s="855"/>
      <c r="AU64" s="571" t="s">
        <v>10045</v>
      </c>
      <c r="AV64" s="425" t="str">
        <f>HYPERLINK("https://www.youtube.com/watch?v=fLOf7TJX7c0","29.95")</f>
        <v>29.95</v>
      </c>
      <c r="AW64" s="855"/>
      <c r="AX64" s="855"/>
      <c r="AY64" s="855"/>
      <c r="AZ64" s="855"/>
      <c r="BA64" s="855"/>
      <c r="BB64" s="589" t="s">
        <v>555</v>
      </c>
      <c r="BC64" s="589" t="s">
        <v>4008</v>
      </c>
      <c r="BD64" s="589" t="s">
        <v>8358</v>
      </c>
      <c r="BE64" s="589" t="s">
        <v>10233</v>
      </c>
      <c r="BF64" s="1736" t="s">
        <v>10234</v>
      </c>
      <c r="BG64" s="587"/>
      <c r="BH64" s="587"/>
      <c r="BI64" s="589" t="s">
        <v>6489</v>
      </c>
      <c r="BJ64" s="1716" t="s">
        <v>10235</v>
      </c>
      <c r="BK64" s="1716"/>
      <c r="BL64" s="589" t="s">
        <v>2942</v>
      </c>
      <c r="BM64" s="587"/>
      <c r="BN64" s="587"/>
      <c r="BO64" s="587"/>
      <c r="BP64" s="587"/>
      <c r="BQ64" s="857"/>
      <c r="BR64" s="1010"/>
      <c r="BS64" s="594" t="s">
        <v>9880</v>
      </c>
      <c r="BT64" s="594" t="s">
        <v>9922</v>
      </c>
      <c r="BU64" s="594" t="s">
        <v>4670</v>
      </c>
      <c r="BV64" s="594" t="s">
        <v>5271</v>
      </c>
      <c r="BW64" s="594" t="s">
        <v>10150</v>
      </c>
      <c r="BX64" s="594" t="s">
        <v>10236</v>
      </c>
      <c r="BY64" s="447" t="str">
        <f>HYPERLINK("https://clips.twitch.tv/EnergeticWrongManateeKlappa","2:32.84")</f>
        <v>2:32.84</v>
      </c>
      <c r="BZ64" s="594" t="s">
        <v>10237</v>
      </c>
      <c r="CA64" s="594" t="s">
        <v>4041</v>
      </c>
      <c r="CB64" s="859"/>
      <c r="CC64" s="859"/>
      <c r="CD64" s="859"/>
      <c r="CE64" s="859"/>
      <c r="CF64" s="861"/>
      <c r="CG64" s="452" t="s">
        <v>2283</v>
      </c>
      <c r="CH64" s="606" t="s">
        <v>9506</v>
      </c>
      <c r="CI64" s="606" t="s">
        <v>4451</v>
      </c>
      <c r="CJ64" s="606" t="s">
        <v>1027</v>
      </c>
      <c r="CK64" s="606"/>
      <c r="CL64" s="606" t="s">
        <v>3010</v>
      </c>
      <c r="CM64" s="606" t="s">
        <v>4075</v>
      </c>
      <c r="CN64" s="606" t="s">
        <v>4996</v>
      </c>
      <c r="CO64" s="452" t="str">
        <f>HYPERLINK("https://www.youtube.com/watch?v=LpklkoraHfQ","15.53")</f>
        <v>15.53</v>
      </c>
      <c r="CP64" s="863"/>
      <c r="CQ64" s="606"/>
      <c r="CR64" s="863"/>
      <c r="CS64" s="863"/>
      <c r="CT64" s="863"/>
      <c r="CU64" s="62"/>
      <c r="CV64" s="703" t="s">
        <v>10238</v>
      </c>
      <c r="CW64" s="703" t="s">
        <v>787</v>
      </c>
      <c r="CX64" s="703" t="s">
        <v>10239</v>
      </c>
      <c r="CY64" s="466" t="s">
        <v>10240</v>
      </c>
      <c r="CZ64" s="971" t="s">
        <v>10241</v>
      </c>
      <c r="DA64" s="971" t="s">
        <v>10242</v>
      </c>
      <c r="DB64" s="703" t="s">
        <v>10243</v>
      </c>
      <c r="DC64" s="703" t="s">
        <v>4171</v>
      </c>
      <c r="DD64" s="864"/>
      <c r="DE64" s="864"/>
      <c r="DF64" s="864"/>
      <c r="DG64" s="864"/>
      <c r="DH64" s="864"/>
      <c r="DI64" s="707" t="s">
        <v>10244</v>
      </c>
      <c r="DJ64" s="866"/>
      <c r="DK64" s="866"/>
      <c r="DL64" s="866"/>
      <c r="DM64" s="866"/>
      <c r="DN64" s="866"/>
      <c r="DO64" s="866"/>
      <c r="DP64" s="866"/>
      <c r="DQ64" s="866"/>
      <c r="DR64" s="707" t="s">
        <v>6433</v>
      </c>
      <c r="DS64" s="707"/>
      <c r="DT64" s="866"/>
      <c r="DU64" s="866"/>
      <c r="DV64" s="866"/>
      <c r="DW64" s="866"/>
      <c r="DX64" s="866"/>
      <c r="DY64" s="866"/>
      <c r="DZ64" s="866"/>
      <c r="EA64" s="866"/>
      <c r="EB64" s="866"/>
      <c r="EC64" s="866"/>
      <c r="ED64" s="974"/>
    </row>
    <row r="65">
      <c r="A65" s="1738" t="s">
        <v>128</v>
      </c>
      <c r="B65" s="229" t="s">
        <v>10245</v>
      </c>
      <c r="C65" s="230" t="s">
        <v>155</v>
      </c>
      <c r="D65" s="231" t="s">
        <v>155</v>
      </c>
      <c r="E65" s="232" t="s">
        <v>155</v>
      </c>
      <c r="F65" s="233" t="s">
        <v>1016</v>
      </c>
      <c r="G65" s="229" t="s">
        <v>3412</v>
      </c>
      <c r="H65" s="242" t="s">
        <v>9960</v>
      </c>
      <c r="I65" s="273" t="s">
        <v>6677</v>
      </c>
      <c r="J65" s="273" t="s">
        <v>10246</v>
      </c>
      <c r="K65" s="273" t="s">
        <v>744</v>
      </c>
      <c r="L65" s="273" t="s">
        <v>5273</v>
      </c>
      <c r="M65" s="273" t="s">
        <v>8325</v>
      </c>
      <c r="N65" s="273" t="s">
        <v>7603</v>
      </c>
      <c r="O65" s="273" t="s">
        <v>10247</v>
      </c>
      <c r="P65" s="273" t="s">
        <v>1677</v>
      </c>
      <c r="Q65" s="273" t="s">
        <v>10248</v>
      </c>
      <c r="R65" s="885" t="s">
        <v>10249</v>
      </c>
      <c r="S65" s="242" t="s">
        <v>5547</v>
      </c>
      <c r="T65" s="304"/>
      <c r="U65" s="273" t="s">
        <v>1847</v>
      </c>
      <c r="V65" s="273" t="s">
        <v>2840</v>
      </c>
      <c r="W65" s="62"/>
      <c r="X65" s="242" t="s">
        <v>5271</v>
      </c>
      <c r="Y65" s="273"/>
      <c r="Z65" s="273" t="s">
        <v>10250</v>
      </c>
      <c r="AA65" s="273" t="s">
        <v>4547</v>
      </c>
      <c r="AB65" s="273" t="s">
        <v>10251</v>
      </c>
      <c r="AC65" s="273" t="s">
        <v>10252</v>
      </c>
      <c r="AD65" s="273" t="s">
        <v>4062</v>
      </c>
      <c r="AE65" s="273" t="s">
        <v>9559</v>
      </c>
      <c r="AF65" s="273" t="s">
        <v>9785</v>
      </c>
      <c r="AG65" s="273" t="s">
        <v>4901</v>
      </c>
      <c r="AH65" s="273" t="s">
        <v>10253</v>
      </c>
      <c r="AI65" s="273"/>
      <c r="AJ65" s="273" t="s">
        <v>3852</v>
      </c>
      <c r="AK65" s="273" t="s">
        <v>10254</v>
      </c>
      <c r="AL65" s="61"/>
      <c r="AM65" s="273" t="s">
        <v>4295</v>
      </c>
      <c r="AN65" s="273" t="s">
        <v>10255</v>
      </c>
      <c r="AO65" s="273" t="s">
        <v>10256</v>
      </c>
      <c r="AP65" s="273" t="s">
        <v>426</v>
      </c>
      <c r="AQ65" s="273" t="s">
        <v>6887</v>
      </c>
      <c r="AR65" s="273" t="s">
        <v>468</v>
      </c>
      <c r="AS65" s="273" t="s">
        <v>6144</v>
      </c>
      <c r="AT65" s="273" t="s">
        <v>3894</v>
      </c>
      <c r="AU65" s="273" t="s">
        <v>2043</v>
      </c>
      <c r="AV65" s="273" t="s">
        <v>10257</v>
      </c>
      <c r="AW65" s="273" t="s">
        <v>10258</v>
      </c>
      <c r="AX65" s="273" t="s">
        <v>10259</v>
      </c>
      <c r="AY65" s="242" t="s">
        <v>1962</v>
      </c>
      <c r="AZ65" s="273" t="s">
        <v>10260</v>
      </c>
      <c r="BA65" s="304"/>
      <c r="BB65" s="273" t="s">
        <v>505</v>
      </c>
      <c r="BC65" s="273" t="s">
        <v>10261</v>
      </c>
      <c r="BD65" s="273" t="s">
        <v>1538</v>
      </c>
      <c r="BE65" s="242" t="s">
        <v>4036</v>
      </c>
      <c r="BF65" s="273" t="s">
        <v>9684</v>
      </c>
      <c r="BG65" s="273" t="s">
        <v>10262</v>
      </c>
      <c r="BH65" s="273" t="s">
        <v>10263</v>
      </c>
      <c r="BI65" s="273" t="s">
        <v>9422</v>
      </c>
      <c r="BJ65" s="273" t="s">
        <v>5998</v>
      </c>
      <c r="BK65" s="273"/>
      <c r="BL65" s="273" t="s">
        <v>10264</v>
      </c>
      <c r="BM65" s="273" t="s">
        <v>5039</v>
      </c>
      <c r="BN65" s="273" t="s">
        <v>10131</v>
      </c>
      <c r="BO65" s="273" t="s">
        <v>10265</v>
      </c>
      <c r="BP65" s="273" t="s">
        <v>10266</v>
      </c>
      <c r="BQ65" s="312"/>
      <c r="BR65" s="273" t="s">
        <v>10267</v>
      </c>
      <c r="BS65" s="242" t="s">
        <v>10268</v>
      </c>
      <c r="BT65" s="273" t="s">
        <v>2787</v>
      </c>
      <c r="BU65" s="273" t="s">
        <v>4673</v>
      </c>
      <c r="BV65" s="273" t="s">
        <v>2531</v>
      </c>
      <c r="BW65" s="273" t="s">
        <v>5135</v>
      </c>
      <c r="BX65" s="273" t="s">
        <v>10269</v>
      </c>
      <c r="BY65" s="273" t="s">
        <v>10270</v>
      </c>
      <c r="BZ65" s="304"/>
      <c r="CA65" s="273" t="s">
        <v>10271</v>
      </c>
      <c r="CB65" s="273" t="s">
        <v>10272</v>
      </c>
      <c r="CC65" s="273" t="s">
        <v>3961</v>
      </c>
      <c r="CD65" s="273" t="s">
        <v>10273</v>
      </c>
      <c r="CE65" s="273" t="s">
        <v>10274</v>
      </c>
      <c r="CF65" s="841"/>
      <c r="CG65" s="1739">
        <v>55.85</v>
      </c>
      <c r="CH65" s="273" t="s">
        <v>613</v>
      </c>
      <c r="CI65" s="273" t="s">
        <v>10275</v>
      </c>
      <c r="CJ65" s="273" t="s">
        <v>9713</v>
      </c>
      <c r="CK65" s="273"/>
      <c r="CL65" s="273" t="s">
        <v>4931</v>
      </c>
      <c r="CM65" s="273" t="s">
        <v>10276</v>
      </c>
      <c r="CN65" s="273" t="s">
        <v>9434</v>
      </c>
      <c r="CO65" s="263" t="s">
        <v>2378</v>
      </c>
      <c r="CP65" s="273" t="s">
        <v>2534</v>
      </c>
      <c r="CQ65" s="273" t="s">
        <v>10277</v>
      </c>
      <c r="CR65" s="304"/>
      <c r="CS65" s="273" t="s">
        <v>10278</v>
      </c>
      <c r="CT65" s="273" t="s">
        <v>10279</v>
      </c>
      <c r="CU65" s="62"/>
      <c r="CV65" s="273" t="s">
        <v>3536</v>
      </c>
      <c r="CW65" s="242" t="s">
        <v>5709</v>
      </c>
      <c r="CX65" s="301" t="str">
        <f>HYPERLINK("https://youtu.be/1NiHXh4G_7o","31.54")</f>
        <v>31.54</v>
      </c>
      <c r="CY65" s="273" t="s">
        <v>6254</v>
      </c>
      <c r="CZ65" s="273" t="s">
        <v>10280</v>
      </c>
      <c r="DA65" s="273" t="s">
        <v>2815</v>
      </c>
      <c r="DB65" s="273" t="s">
        <v>10281</v>
      </c>
      <c r="DC65" s="242" t="s">
        <v>3821</v>
      </c>
      <c r="DD65" s="273" t="s">
        <v>1434</v>
      </c>
      <c r="DE65" s="273" t="s">
        <v>4202</v>
      </c>
      <c r="DF65" s="273" t="s">
        <v>4562</v>
      </c>
      <c r="DG65" s="273" t="s">
        <v>6722</v>
      </c>
      <c r="DH65" s="304"/>
      <c r="DI65" s="242" t="s">
        <v>894</v>
      </c>
      <c r="DJ65" s="273"/>
      <c r="DK65" s="273" t="s">
        <v>6224</v>
      </c>
      <c r="DL65" s="273" t="s">
        <v>10282</v>
      </c>
      <c r="DM65" s="273" t="s">
        <v>10283</v>
      </c>
      <c r="DN65" s="273" t="s">
        <v>2071</v>
      </c>
      <c r="DO65" s="273" t="s">
        <v>6185</v>
      </c>
      <c r="DP65" s="273" t="s">
        <v>10284</v>
      </c>
      <c r="DQ65" s="273" t="s">
        <v>10285</v>
      </c>
      <c r="DR65" s="273" t="s">
        <v>564</v>
      </c>
      <c r="DS65" s="242" t="s">
        <v>4007</v>
      </c>
      <c r="DT65" s="273" t="s">
        <v>768</v>
      </c>
      <c r="DU65" s="273" t="s">
        <v>9922</v>
      </c>
      <c r="DV65" s="273" t="s">
        <v>3499</v>
      </c>
      <c r="DW65" s="273" t="s">
        <v>10286</v>
      </c>
      <c r="DX65" s="273" t="s">
        <v>1279</v>
      </c>
      <c r="DY65" s="1740" t="s">
        <v>297</v>
      </c>
      <c r="DZ65" s="273" t="s">
        <v>1641</v>
      </c>
      <c r="EA65" s="273" t="s">
        <v>10287</v>
      </c>
      <c r="EB65" s="273" t="s">
        <v>977</v>
      </c>
      <c r="EC65" s="273" t="s">
        <v>10288</v>
      </c>
      <c r="ED65" s="885" t="s">
        <v>10289</v>
      </c>
    </row>
    <row r="66">
      <c r="A66" s="545" t="s">
        <v>3995</v>
      </c>
      <c r="B66" s="381" t="s">
        <v>10290</v>
      </c>
      <c r="C66" s="384" t="s">
        <v>155</v>
      </c>
      <c r="D66" s="386" t="s">
        <v>155</v>
      </c>
      <c r="E66" s="389" t="s">
        <v>155</v>
      </c>
      <c r="F66" s="390" t="s">
        <v>81</v>
      </c>
      <c r="G66" s="381" t="s">
        <v>1212</v>
      </c>
      <c r="H66" s="547" t="s">
        <v>2531</v>
      </c>
      <c r="I66" s="547" t="s">
        <v>10291</v>
      </c>
      <c r="J66" s="547" t="s">
        <v>708</v>
      </c>
      <c r="K66" s="1003" t="s">
        <v>767</v>
      </c>
      <c r="L66" s="406" t="s">
        <v>715</v>
      </c>
      <c r="M66" s="547" t="s">
        <v>10292</v>
      </c>
      <c r="N66" s="547" t="s">
        <v>2743</v>
      </c>
      <c r="O66" s="547" t="s">
        <v>1356</v>
      </c>
      <c r="P66" s="406" t="s">
        <v>379</v>
      </c>
      <c r="Q66" s="849"/>
      <c r="R66" s="849"/>
      <c r="S66" s="406" t="s">
        <v>9517</v>
      </c>
      <c r="T66" s="849"/>
      <c r="U66" s="547" t="s">
        <v>7040</v>
      </c>
      <c r="V66" s="849"/>
      <c r="W66" s="62"/>
      <c r="X66" s="683" t="s">
        <v>4641</v>
      </c>
      <c r="Y66" s="683"/>
      <c r="Z66" s="683" t="s">
        <v>10293</v>
      </c>
      <c r="AA66" s="683" t="s">
        <v>10103</v>
      </c>
      <c r="AB66" s="683" t="s">
        <v>843</v>
      </c>
      <c r="AC66" s="683" t="s">
        <v>4855</v>
      </c>
      <c r="AD66" s="683" t="s">
        <v>6616</v>
      </c>
      <c r="AE66" s="852"/>
      <c r="AF66" s="683" t="s">
        <v>9696</v>
      </c>
      <c r="AG66" s="683" t="s">
        <v>10294</v>
      </c>
      <c r="AH66" s="852"/>
      <c r="AI66" s="683"/>
      <c r="AJ66" s="683" t="s">
        <v>9603</v>
      </c>
      <c r="AK66" s="852"/>
      <c r="AL66" s="61"/>
      <c r="AM66" s="571" t="s">
        <v>2684</v>
      </c>
      <c r="AN66" s="571" t="s">
        <v>10295</v>
      </c>
      <c r="AO66" s="855"/>
      <c r="AP66" s="855"/>
      <c r="AQ66" s="855"/>
      <c r="AR66" s="855"/>
      <c r="AS66" s="855"/>
      <c r="AT66" s="855"/>
      <c r="AU66" s="966" t="s">
        <v>10002</v>
      </c>
      <c r="AV66" s="571" t="s">
        <v>3755</v>
      </c>
      <c r="AW66" s="571" t="s">
        <v>1550</v>
      </c>
      <c r="AX66" s="855"/>
      <c r="AY66" s="571" t="s">
        <v>4157</v>
      </c>
      <c r="AZ66" s="855"/>
      <c r="BA66" s="855"/>
      <c r="BB66" s="589" t="s">
        <v>4080</v>
      </c>
      <c r="BC66" s="589" t="s">
        <v>10296</v>
      </c>
      <c r="BD66" s="589" t="s">
        <v>4132</v>
      </c>
      <c r="BE66" s="439" t="s">
        <v>10297</v>
      </c>
      <c r="BF66" s="439" t="s">
        <v>3413</v>
      </c>
      <c r="BG66" s="589" t="s">
        <v>5033</v>
      </c>
      <c r="BH66" s="587"/>
      <c r="BI66" s="589" t="s">
        <v>1108</v>
      </c>
      <c r="BJ66" s="587"/>
      <c r="BK66" s="589" t="s">
        <v>10298</v>
      </c>
      <c r="BL66" s="589" t="s">
        <v>9797</v>
      </c>
      <c r="BM66" s="587"/>
      <c r="BN66" s="439" t="s">
        <v>1459</v>
      </c>
      <c r="BO66" s="589" t="s">
        <v>7177</v>
      </c>
      <c r="BP66" s="587"/>
      <c r="BQ66" s="857"/>
      <c r="BR66" s="594"/>
      <c r="BS66" s="594" t="s">
        <v>9371</v>
      </c>
      <c r="BT66" s="594" t="s">
        <v>2787</v>
      </c>
      <c r="BU66" s="594" t="s">
        <v>10299</v>
      </c>
      <c r="BV66" s="594" t="s">
        <v>1642</v>
      </c>
      <c r="BW66" s="594" t="s">
        <v>833</v>
      </c>
      <c r="BX66" s="859"/>
      <c r="BY66" s="859"/>
      <c r="BZ66" s="594" t="s">
        <v>10300</v>
      </c>
      <c r="CA66" s="594" t="s">
        <v>4111</v>
      </c>
      <c r="CB66" s="594" t="s">
        <v>10301</v>
      </c>
      <c r="CC66" s="594" t="s">
        <v>9716</v>
      </c>
      <c r="CD66" s="594" t="s">
        <v>428</v>
      </c>
      <c r="CE66" s="859"/>
      <c r="CF66" s="861"/>
      <c r="CG66" s="606" t="s">
        <v>10302</v>
      </c>
      <c r="CH66" s="606" t="s">
        <v>9701</v>
      </c>
      <c r="CI66" s="606" t="s">
        <v>10303</v>
      </c>
      <c r="CJ66" s="606" t="s">
        <v>10304</v>
      </c>
      <c r="CK66" s="606"/>
      <c r="CL66" s="606"/>
      <c r="CM66" s="606" t="s">
        <v>6137</v>
      </c>
      <c r="CN66" s="606" t="s">
        <v>3472</v>
      </c>
      <c r="CO66" s="606" t="s">
        <v>9529</v>
      </c>
      <c r="CP66" s="863"/>
      <c r="CQ66" s="863"/>
      <c r="CR66" s="606"/>
      <c r="CS66" s="606" t="s">
        <v>8990</v>
      </c>
      <c r="CT66" s="863"/>
      <c r="CU66" s="62"/>
      <c r="CV66" s="703" t="s">
        <v>5251</v>
      </c>
      <c r="CW66" s="703" t="s">
        <v>764</v>
      </c>
      <c r="CX66" s="703" t="s">
        <v>10305</v>
      </c>
      <c r="CY66" s="703" t="s">
        <v>10306</v>
      </c>
      <c r="CZ66" s="703" t="s">
        <v>7089</v>
      </c>
      <c r="DA66" s="703" t="s">
        <v>7636</v>
      </c>
      <c r="DB66" s="466" t="s">
        <v>10014</v>
      </c>
      <c r="DC66" s="703" t="s">
        <v>2121</v>
      </c>
      <c r="DD66" s="864"/>
      <c r="DE66" s="864"/>
      <c r="DF66" s="864"/>
      <c r="DG66" s="864"/>
      <c r="DH66" s="864"/>
      <c r="DI66" s="707" t="s">
        <v>675</v>
      </c>
      <c r="DJ66" s="866"/>
      <c r="DK66" s="866"/>
      <c r="DL66" s="707"/>
      <c r="DM66" s="866"/>
      <c r="DN66" s="707" t="s">
        <v>10224</v>
      </c>
      <c r="DO66" s="866"/>
      <c r="DP66" s="866"/>
      <c r="DQ66" s="866"/>
      <c r="DR66" s="707" t="s">
        <v>10307</v>
      </c>
      <c r="DS66" s="707"/>
      <c r="DT66" s="866"/>
      <c r="DU66" s="866"/>
      <c r="DV66" s="707" t="s">
        <v>10308</v>
      </c>
      <c r="DW66" s="866"/>
      <c r="DX66" s="866"/>
      <c r="DY66" s="866"/>
      <c r="DZ66" s="866"/>
      <c r="EA66" s="707" t="s">
        <v>10309</v>
      </c>
      <c r="EB66" s="866"/>
      <c r="EC66" s="866"/>
      <c r="ED66" s="974" t="s">
        <v>10310</v>
      </c>
    </row>
    <row r="67">
      <c r="A67" s="1741" t="s">
        <v>4119</v>
      </c>
      <c r="B67" s="1742" t="s">
        <v>10311</v>
      </c>
      <c r="C67" s="1743" t="s">
        <v>155</v>
      </c>
      <c r="D67" s="1744" t="s">
        <v>155</v>
      </c>
      <c r="E67" s="1745" t="s">
        <v>155</v>
      </c>
      <c r="F67" s="1746" t="s">
        <v>1976</v>
      </c>
      <c r="G67" s="1742" t="s">
        <v>1568</v>
      </c>
      <c r="H67" s="1706" t="s">
        <v>10312</v>
      </c>
      <c r="I67" s="1706" t="s">
        <v>7070</v>
      </c>
      <c r="J67" s="1016" t="s">
        <v>4995</v>
      </c>
      <c r="K67" s="1706" t="s">
        <v>10313</v>
      </c>
      <c r="L67" s="1706" t="s">
        <v>5258</v>
      </c>
      <c r="M67" s="1706" t="s">
        <v>10314</v>
      </c>
      <c r="N67" s="1016" t="s">
        <v>6748</v>
      </c>
      <c r="O67" s="1747" t="s">
        <v>10315</v>
      </c>
      <c r="P67" s="1706" t="s">
        <v>1679</v>
      </c>
      <c r="Q67" s="1706" t="s">
        <v>10316</v>
      </c>
      <c r="R67" s="1706" t="s">
        <v>2609</v>
      </c>
      <c r="S67" s="1706" t="s">
        <v>10317</v>
      </c>
      <c r="T67" s="1706" t="s">
        <v>2526</v>
      </c>
      <c r="U67" s="1706" t="s">
        <v>2114</v>
      </c>
      <c r="V67" s="1706" t="s">
        <v>10318</v>
      </c>
      <c r="W67" s="504"/>
      <c r="X67" s="1016" t="s">
        <v>10319</v>
      </c>
      <c r="Y67" s="1748"/>
      <c r="Z67" s="1016" t="s">
        <v>2090</v>
      </c>
      <c r="AA67" s="1706" t="s">
        <v>3416</v>
      </c>
      <c r="AB67" s="1016" t="s">
        <v>922</v>
      </c>
      <c r="AC67" s="1016" t="s">
        <v>6126</v>
      </c>
      <c r="AD67" s="1016" t="s">
        <v>10320</v>
      </c>
      <c r="AE67" s="1706" t="s">
        <v>9286</v>
      </c>
      <c r="AF67" s="1706" t="s">
        <v>2436</v>
      </c>
      <c r="AG67" s="1016" t="s">
        <v>10174</v>
      </c>
      <c r="AH67" s="1706" t="s">
        <v>3288</v>
      </c>
      <c r="AI67" s="1016" t="s">
        <v>5131</v>
      </c>
      <c r="AJ67" s="1706" t="s">
        <v>6584</v>
      </c>
      <c r="AK67" s="1706" t="s">
        <v>10321</v>
      </c>
      <c r="AL67" s="512"/>
      <c r="AM67" s="1016" t="s">
        <v>1383</v>
      </c>
      <c r="AN67" s="1747" t="s">
        <v>4967</v>
      </c>
      <c r="AO67" s="1749" t="s">
        <v>10322</v>
      </c>
      <c r="AP67" s="1706" t="s">
        <v>10323</v>
      </c>
      <c r="AQ67" s="1706" t="s">
        <v>10324</v>
      </c>
      <c r="AR67" s="1706" t="s">
        <v>9462</v>
      </c>
      <c r="AS67" s="1706" t="s">
        <v>10325</v>
      </c>
      <c r="AT67" s="1706" t="s">
        <v>10326</v>
      </c>
      <c r="AU67" s="1749" t="s">
        <v>5391</v>
      </c>
      <c r="AV67" s="1016" t="s">
        <v>1219</v>
      </c>
      <c r="AW67" s="1706" t="s">
        <v>10028</v>
      </c>
      <c r="AX67" s="1706" t="s">
        <v>5236</v>
      </c>
      <c r="AY67" s="1706" t="s">
        <v>3945</v>
      </c>
      <c r="AZ67" s="1706" t="s">
        <v>10327</v>
      </c>
      <c r="BA67" s="1706"/>
      <c r="BB67" s="1706" t="s">
        <v>10328</v>
      </c>
      <c r="BC67" s="1016" t="s">
        <v>1832</v>
      </c>
      <c r="BD67" s="1706" t="s">
        <v>4831</v>
      </c>
      <c r="BE67" s="1706" t="s">
        <v>9779</v>
      </c>
      <c r="BF67" s="1706" t="s">
        <v>7402</v>
      </c>
      <c r="BG67" s="1747" t="s">
        <v>5262</v>
      </c>
      <c r="BH67" s="1016" t="s">
        <v>3116</v>
      </c>
      <c r="BI67" s="1747" t="s">
        <v>10329</v>
      </c>
      <c r="BJ67" s="1016" t="s">
        <v>10330</v>
      </c>
      <c r="BK67" s="1016" t="s">
        <v>6596</v>
      </c>
      <c r="BL67" s="1706" t="s">
        <v>10325</v>
      </c>
      <c r="BM67" s="1706" t="s">
        <v>9319</v>
      </c>
      <c r="BN67" s="1706" t="s">
        <v>4532</v>
      </c>
      <c r="BO67" s="1706" t="s">
        <v>446</v>
      </c>
      <c r="BP67" s="1706" t="s">
        <v>10331</v>
      </c>
      <c r="BQ67" s="1706"/>
      <c r="BR67" s="1016" t="s">
        <v>10332</v>
      </c>
      <c r="BS67" s="1747" t="s">
        <v>9794</v>
      </c>
      <c r="BT67" s="1016" t="s">
        <v>10333</v>
      </c>
      <c r="BU67" s="1749" t="s">
        <v>710</v>
      </c>
      <c r="BV67" s="1706" t="s">
        <v>2943</v>
      </c>
      <c r="BW67" s="1706" t="s">
        <v>1374</v>
      </c>
      <c r="BX67" s="1706" t="s">
        <v>2529</v>
      </c>
      <c r="BY67" s="1016" t="s">
        <v>8366</v>
      </c>
      <c r="BZ67" s="1747" t="s">
        <v>10334</v>
      </c>
      <c r="CA67" s="1706" t="s">
        <v>9420</v>
      </c>
      <c r="CB67" s="1706" t="s">
        <v>10335</v>
      </c>
      <c r="CC67" s="1706" t="s">
        <v>1114</v>
      </c>
      <c r="CD67" s="1706" t="s">
        <v>1473</v>
      </c>
      <c r="CE67" s="1016" t="s">
        <v>10336</v>
      </c>
      <c r="CF67" s="1705"/>
      <c r="CG67" s="1706" t="s">
        <v>3562</v>
      </c>
      <c r="CH67" s="1706" t="s">
        <v>9793</v>
      </c>
      <c r="CI67" s="1706" t="s">
        <v>716</v>
      </c>
      <c r="CJ67" s="1016" t="s">
        <v>10337</v>
      </c>
      <c r="CK67" s="1748"/>
      <c r="CL67" s="1748" t="s">
        <v>10338</v>
      </c>
      <c r="CM67" s="1706" t="s">
        <v>7009</v>
      </c>
      <c r="CN67" s="1016" t="s">
        <v>3395</v>
      </c>
      <c r="CO67" s="1016" t="s">
        <v>3434</v>
      </c>
      <c r="CP67" s="1706" t="s">
        <v>6958</v>
      </c>
      <c r="CQ67" s="1706" t="s">
        <v>3928</v>
      </c>
      <c r="CR67" s="1706"/>
      <c r="CS67" s="1706" t="s">
        <v>4903</v>
      </c>
      <c r="CT67" s="1706" t="s">
        <v>9954</v>
      </c>
      <c r="CU67" s="504"/>
      <c r="CV67" s="1706" t="s">
        <v>705</v>
      </c>
      <c r="CW67" s="1706" t="s">
        <v>10339</v>
      </c>
      <c r="CX67" s="1706" t="s">
        <v>4541</v>
      </c>
      <c r="CY67" s="1706" t="s">
        <v>6400</v>
      </c>
      <c r="CZ67" s="1706" t="s">
        <v>10340</v>
      </c>
      <c r="DA67" s="1706" t="s">
        <v>10341</v>
      </c>
      <c r="DB67" s="1747" t="s">
        <v>10342</v>
      </c>
      <c r="DC67" s="1706" t="s">
        <v>10343</v>
      </c>
      <c r="DD67" s="1706" t="s">
        <v>10344</v>
      </c>
      <c r="DE67" s="1706" t="s">
        <v>3339</v>
      </c>
      <c r="DF67" s="1706" t="s">
        <v>2171</v>
      </c>
      <c r="DG67" s="1706" t="s">
        <v>7607</v>
      </c>
      <c r="DH67" s="1706"/>
      <c r="DI67" s="1706" t="s">
        <v>5913</v>
      </c>
      <c r="DJ67" s="1706"/>
      <c r="DK67" s="1706" t="s">
        <v>5457</v>
      </c>
      <c r="DL67" s="1706" t="s">
        <v>5465</v>
      </c>
      <c r="DM67" s="1706" t="s">
        <v>9468</v>
      </c>
      <c r="DN67" s="1706" t="s">
        <v>2071</v>
      </c>
      <c r="DO67" s="1706" t="s">
        <v>10345</v>
      </c>
      <c r="DP67" s="1706" t="s">
        <v>10346</v>
      </c>
      <c r="DQ67" s="1706" t="s">
        <v>2613</v>
      </c>
      <c r="DR67" s="1706" t="s">
        <v>10222</v>
      </c>
      <c r="DS67" s="1706" t="s">
        <v>10347</v>
      </c>
      <c r="DT67" s="1706" t="s">
        <v>9966</v>
      </c>
      <c r="DU67" s="1706" t="s">
        <v>10348</v>
      </c>
      <c r="DV67" s="1747" t="s">
        <v>9275</v>
      </c>
      <c r="DW67" s="1749" t="s">
        <v>2461</v>
      </c>
      <c r="DX67" s="1706" t="s">
        <v>10349</v>
      </c>
      <c r="DY67" s="1706" t="s">
        <v>9506</v>
      </c>
      <c r="DZ67" s="1706" t="s">
        <v>10139</v>
      </c>
      <c r="EA67" s="1706" t="s">
        <v>692</v>
      </c>
      <c r="EB67" s="1706" t="s">
        <v>4670</v>
      </c>
      <c r="EC67" s="1706" t="s">
        <v>6126</v>
      </c>
      <c r="ED67" s="885" t="s">
        <v>10350</v>
      </c>
    </row>
    <row r="68">
      <c r="A68" s="545" t="s">
        <v>96</v>
      </c>
      <c r="B68" s="381" t="s">
        <v>10351</v>
      </c>
      <c r="C68" s="384" t="s">
        <v>155</v>
      </c>
      <c r="D68" s="386" t="s">
        <v>76</v>
      </c>
      <c r="E68" s="389" t="s">
        <v>155</v>
      </c>
      <c r="F68" s="390" t="s">
        <v>551</v>
      </c>
      <c r="G68" s="381" t="s">
        <v>10352</v>
      </c>
      <c r="H68" s="547" t="s">
        <v>10353</v>
      </c>
      <c r="I68" s="547" t="s">
        <v>7070</v>
      </c>
      <c r="J68" s="547" t="s">
        <v>10164</v>
      </c>
      <c r="K68" s="547" t="s">
        <v>736</v>
      </c>
      <c r="L68" s="845" t="s">
        <v>9448</v>
      </c>
      <c r="M68" s="547" t="s">
        <v>10354</v>
      </c>
      <c r="N68" s="547" t="s">
        <v>3031</v>
      </c>
      <c r="O68" s="547" t="s">
        <v>10355</v>
      </c>
      <c r="P68" s="406" t="s">
        <v>1677</v>
      </c>
      <c r="Q68" s="547" t="s">
        <v>1781</v>
      </c>
      <c r="R68" s="547" t="s">
        <v>1898</v>
      </c>
      <c r="S68" s="406" t="s">
        <v>2348</v>
      </c>
      <c r="T68" s="849"/>
      <c r="U68" s="406" t="s">
        <v>9372</v>
      </c>
      <c r="V68" s="547" t="s">
        <v>10356</v>
      </c>
      <c r="W68" s="62"/>
      <c r="X68" s="417" t="s">
        <v>10357</v>
      </c>
      <c r="Y68" s="683"/>
      <c r="Z68" s="683" t="s">
        <v>2079</v>
      </c>
      <c r="AA68" s="683" t="s">
        <v>2346</v>
      </c>
      <c r="AB68" s="417" t="s">
        <v>10172</v>
      </c>
      <c r="AC68" s="417" t="s">
        <v>2752</v>
      </c>
      <c r="AD68" s="683" t="s">
        <v>7673</v>
      </c>
      <c r="AE68" s="683"/>
      <c r="AF68" s="683" t="s">
        <v>10358</v>
      </c>
      <c r="AG68" s="683" t="s">
        <v>8921</v>
      </c>
      <c r="AH68" s="683" t="s">
        <v>7718</v>
      </c>
      <c r="AI68" s="683"/>
      <c r="AJ68" s="683" t="s">
        <v>7676</v>
      </c>
      <c r="AK68" s="417" t="s">
        <v>2900</v>
      </c>
      <c r="AL68" s="61"/>
      <c r="AM68" s="571" t="s">
        <v>10048</v>
      </c>
      <c r="AN68" s="427" t="s">
        <v>10295</v>
      </c>
      <c r="AO68" s="571" t="s">
        <v>10359</v>
      </c>
      <c r="AP68" s="571" t="s">
        <v>5407</v>
      </c>
      <c r="AQ68" s="571" t="s">
        <v>2309</v>
      </c>
      <c r="AR68" s="571" t="s">
        <v>9544</v>
      </c>
      <c r="AS68" s="855"/>
      <c r="AT68" s="855"/>
      <c r="AU68" s="571" t="s">
        <v>6063</v>
      </c>
      <c r="AV68" s="571" t="s">
        <v>4393</v>
      </c>
      <c r="AW68" s="571" t="s">
        <v>7923</v>
      </c>
      <c r="AX68" s="855"/>
      <c r="AY68" s="427" t="s">
        <v>10360</v>
      </c>
      <c r="AZ68" s="571" t="s">
        <v>10361</v>
      </c>
      <c r="BA68" s="571"/>
      <c r="BB68" s="439" t="s">
        <v>2187</v>
      </c>
      <c r="BC68" s="589" t="s">
        <v>3604</v>
      </c>
      <c r="BD68" s="439" t="s">
        <v>4831</v>
      </c>
      <c r="BE68" s="439" t="s">
        <v>10018</v>
      </c>
      <c r="BF68" s="586" t="s">
        <v>7677</v>
      </c>
      <c r="BG68" s="589" t="s">
        <v>8547</v>
      </c>
      <c r="BH68" s="589" t="s">
        <v>6137</v>
      </c>
      <c r="BI68" s="589" t="s">
        <v>2499</v>
      </c>
      <c r="BJ68" s="589" t="s">
        <v>918</v>
      </c>
      <c r="BK68" s="586" t="s">
        <v>6504</v>
      </c>
      <c r="BL68" s="589" t="s">
        <v>2973</v>
      </c>
      <c r="BM68" s="439" t="s">
        <v>5475</v>
      </c>
      <c r="BN68" s="439" t="s">
        <v>777</v>
      </c>
      <c r="BO68" s="589" t="s">
        <v>5702</v>
      </c>
      <c r="BP68" s="589" t="s">
        <v>10362</v>
      </c>
      <c r="BQ68" s="589"/>
      <c r="BR68" s="448" t="s">
        <v>8711</v>
      </c>
      <c r="BS68" s="594" t="s">
        <v>10268</v>
      </c>
      <c r="BT68" s="448" t="s">
        <v>10363</v>
      </c>
      <c r="BU68" s="968" t="s">
        <v>10112</v>
      </c>
      <c r="BV68" s="594" t="s">
        <v>6815</v>
      </c>
      <c r="BW68" s="968" t="s">
        <v>833</v>
      </c>
      <c r="BX68" s="859"/>
      <c r="BY68" s="594" t="s">
        <v>10364</v>
      </c>
      <c r="BZ68" s="594" t="s">
        <v>10365</v>
      </c>
      <c r="CA68" s="594" t="s">
        <v>5240</v>
      </c>
      <c r="CB68" s="448" t="s">
        <v>10366</v>
      </c>
      <c r="CC68" s="448" t="s">
        <v>2347</v>
      </c>
      <c r="CD68" s="968" t="s">
        <v>3645</v>
      </c>
      <c r="CE68" s="968" t="s">
        <v>2856</v>
      </c>
      <c r="CF68" s="594"/>
      <c r="CG68" s="459" t="s">
        <v>10308</v>
      </c>
      <c r="CH68" s="459" t="s">
        <v>1525</v>
      </c>
      <c r="CI68" s="1012" t="s">
        <v>10367</v>
      </c>
      <c r="CJ68" s="459" t="s">
        <v>10368</v>
      </c>
      <c r="CK68" s="460"/>
      <c r="CL68" s="460"/>
      <c r="CM68" s="1703" t="s">
        <v>10369</v>
      </c>
      <c r="CN68" s="459" t="s">
        <v>5247</v>
      </c>
      <c r="CO68" s="606" t="s">
        <v>10370</v>
      </c>
      <c r="CP68" s="863"/>
      <c r="CQ68" s="606" t="s">
        <v>9606</v>
      </c>
      <c r="CR68" s="606" t="s">
        <v>8385</v>
      </c>
      <c r="CS68" s="606" t="s">
        <v>10371</v>
      </c>
      <c r="CT68" s="606" t="s">
        <v>10372</v>
      </c>
      <c r="CU68" s="62"/>
      <c r="CV68" s="703" t="s">
        <v>5418</v>
      </c>
      <c r="CW68" s="703" t="s">
        <v>10373</v>
      </c>
      <c r="CX68" s="703" t="s">
        <v>10063</v>
      </c>
      <c r="CY68" s="466" t="s">
        <v>10374</v>
      </c>
      <c r="CZ68" s="703" t="s">
        <v>8143</v>
      </c>
      <c r="DA68" s="1013" t="s">
        <v>10375</v>
      </c>
      <c r="DB68" s="1561" t="s">
        <v>10376</v>
      </c>
      <c r="DC68" s="703" t="s">
        <v>5075</v>
      </c>
      <c r="DD68" s="703" t="s">
        <v>10377</v>
      </c>
      <c r="DE68" s="466" t="s">
        <v>6630</v>
      </c>
      <c r="DF68" s="703" t="s">
        <v>3790</v>
      </c>
      <c r="DG68" s="466" t="s">
        <v>10378</v>
      </c>
      <c r="DH68" s="703"/>
      <c r="DI68" s="707" t="s">
        <v>10379</v>
      </c>
      <c r="DJ68" s="707" t="s">
        <v>4083</v>
      </c>
      <c r="DK68" s="866"/>
      <c r="DL68" s="707"/>
      <c r="DM68" s="612" t="s">
        <v>477</v>
      </c>
      <c r="DN68" s="707" t="s">
        <v>10380</v>
      </c>
      <c r="DO68" s="707" t="s">
        <v>2208</v>
      </c>
      <c r="DP68" s="707" t="s">
        <v>9939</v>
      </c>
      <c r="DQ68" s="866"/>
      <c r="DR68" s="707" t="s">
        <v>6037</v>
      </c>
      <c r="DS68" s="707" t="s">
        <v>9804</v>
      </c>
      <c r="DT68" s="866"/>
      <c r="DU68" s="707" t="s">
        <v>2813</v>
      </c>
      <c r="DV68" s="707" t="s">
        <v>10381</v>
      </c>
      <c r="DW68" s="707" t="s">
        <v>3839</v>
      </c>
      <c r="DX68" s="707" t="s">
        <v>673</v>
      </c>
      <c r="DY68" s="707" t="s">
        <v>4393</v>
      </c>
      <c r="DZ68" s="707" t="s">
        <v>9454</v>
      </c>
      <c r="EA68" s="707" t="s">
        <v>4979</v>
      </c>
      <c r="EB68" s="707" t="s">
        <v>5290</v>
      </c>
      <c r="EC68" s="483" t="s">
        <v>9860</v>
      </c>
      <c r="ED68" s="974" t="s">
        <v>4054</v>
      </c>
    </row>
    <row r="69">
      <c r="A69" s="228" t="s">
        <v>10382</v>
      </c>
      <c r="B69" s="229" t="s">
        <v>10383</v>
      </c>
      <c r="C69" s="230" t="s">
        <v>155</v>
      </c>
      <c r="D69" s="231" t="s">
        <v>155</v>
      </c>
      <c r="E69" s="232" t="s">
        <v>155</v>
      </c>
      <c r="F69" s="233" t="s">
        <v>1671</v>
      </c>
      <c r="G69" s="229" t="s">
        <v>10384</v>
      </c>
      <c r="H69" s="304"/>
      <c r="I69" s="908" t="s">
        <v>10385</v>
      </c>
      <c r="J69" s="242" t="s">
        <v>10386</v>
      </c>
      <c r="K69" s="242" t="s">
        <v>794</v>
      </c>
      <c r="L69" s="908" t="s">
        <v>10387</v>
      </c>
      <c r="M69" s="304"/>
      <c r="N69" s="242" t="s">
        <v>5551</v>
      </c>
      <c r="O69" s="242" t="s">
        <v>1506</v>
      </c>
      <c r="P69" s="242" t="s">
        <v>1652</v>
      </c>
      <c r="Q69" s="304"/>
      <c r="R69" s="304"/>
      <c r="S69" s="304"/>
      <c r="T69" s="304"/>
      <c r="U69" s="304"/>
      <c r="V69" s="304"/>
      <c r="W69" s="62"/>
      <c r="X69" s="242" t="s">
        <v>2851</v>
      </c>
      <c r="Y69" s="333"/>
      <c r="Z69" s="242" t="s">
        <v>10388</v>
      </c>
      <c r="AA69" s="242" t="s">
        <v>174</v>
      </c>
      <c r="AB69" s="242" t="s">
        <v>10389</v>
      </c>
      <c r="AC69" s="242" t="s">
        <v>1916</v>
      </c>
      <c r="AD69" s="242" t="s">
        <v>3001</v>
      </c>
      <c r="AE69" s="304"/>
      <c r="AF69" s="304"/>
      <c r="AG69" s="242" t="s">
        <v>10072</v>
      </c>
      <c r="AH69" s="304"/>
      <c r="AI69" s="333"/>
      <c r="AJ69" s="242" t="s">
        <v>5295</v>
      </c>
      <c r="AK69" s="304"/>
      <c r="AL69" s="61"/>
      <c r="AM69" s="304"/>
      <c r="AN69" s="242" t="s">
        <v>5583</v>
      </c>
      <c r="AO69" s="304"/>
      <c r="AP69" s="304"/>
      <c r="AQ69" s="304"/>
      <c r="AR69" s="304"/>
      <c r="AS69" s="304"/>
      <c r="AT69" s="304"/>
      <c r="AU69" s="242" t="s">
        <v>10045</v>
      </c>
      <c r="AV69" s="242" t="s">
        <v>465</v>
      </c>
      <c r="AW69" s="304"/>
      <c r="AX69" s="304"/>
      <c r="AY69" s="304"/>
      <c r="AZ69" s="304"/>
      <c r="BA69" s="304"/>
      <c r="BB69" s="242" t="s">
        <v>491</v>
      </c>
      <c r="BC69" s="522" t="s">
        <v>888</v>
      </c>
      <c r="BD69" s="242" t="s">
        <v>430</v>
      </c>
      <c r="BE69" s="242" t="s">
        <v>4305</v>
      </c>
      <c r="BF69" s="242" t="s">
        <v>9317</v>
      </c>
      <c r="BG69" s="242" t="s">
        <v>876</v>
      </c>
      <c r="BH69" s="304"/>
      <c r="BI69" s="242" t="s">
        <v>529</v>
      </c>
      <c r="BJ69" s="242" t="s">
        <v>6814</v>
      </c>
      <c r="BK69" s="333"/>
      <c r="BL69" s="242" t="s">
        <v>2973</v>
      </c>
      <c r="BM69" s="304"/>
      <c r="BN69" s="304"/>
      <c r="BO69" s="304"/>
      <c r="BP69" s="304"/>
      <c r="BQ69" s="841"/>
      <c r="BR69" s="304"/>
      <c r="BS69" s="242" t="s">
        <v>4960</v>
      </c>
      <c r="BT69" s="242" t="s">
        <v>10363</v>
      </c>
      <c r="BU69" s="242" t="s">
        <v>652</v>
      </c>
      <c r="BV69" s="522" t="s">
        <v>4511</v>
      </c>
      <c r="BW69" s="242" t="s">
        <v>4682</v>
      </c>
      <c r="BX69" s="304"/>
      <c r="BY69" s="304"/>
      <c r="BZ69" s="304"/>
      <c r="CA69" s="242" t="s">
        <v>5381</v>
      </c>
      <c r="CB69" s="304"/>
      <c r="CC69" s="304"/>
      <c r="CD69" s="304"/>
      <c r="CE69" s="304"/>
      <c r="CF69" s="841"/>
      <c r="CG69" s="522" t="s">
        <v>10319</v>
      </c>
      <c r="CH69" s="522" t="s">
        <v>625</v>
      </c>
      <c r="CI69" s="304"/>
      <c r="CJ69" s="304"/>
      <c r="CK69" s="304"/>
      <c r="CL69" s="304"/>
      <c r="CM69" s="304"/>
      <c r="CN69" s="242" t="s">
        <v>3926</v>
      </c>
      <c r="CO69" s="242" t="s">
        <v>5216</v>
      </c>
      <c r="CP69" s="304"/>
      <c r="CQ69" s="304"/>
      <c r="CR69" s="304"/>
      <c r="CS69" s="304"/>
      <c r="CT69" s="304"/>
      <c r="CU69" s="62"/>
      <c r="CV69" s="304"/>
      <c r="CW69" s="242" t="s">
        <v>487</v>
      </c>
      <c r="CX69" s="242" t="s">
        <v>3860</v>
      </c>
      <c r="CY69" s="242" t="s">
        <v>9811</v>
      </c>
      <c r="CZ69" s="304"/>
      <c r="DA69" s="304"/>
      <c r="DB69" s="885" t="s">
        <v>3629</v>
      </c>
      <c r="DC69" s="242" t="s">
        <v>410</v>
      </c>
      <c r="DD69" s="304"/>
      <c r="DE69" s="304"/>
      <c r="DF69" s="304"/>
      <c r="DG69" s="242" t="s">
        <v>10390</v>
      </c>
      <c r="DH69" s="333"/>
      <c r="DI69" s="304"/>
      <c r="DJ69" s="304"/>
      <c r="DK69" s="304"/>
      <c r="DL69" s="333"/>
      <c r="DM69" s="304"/>
      <c r="DN69" s="242" t="s">
        <v>803</v>
      </c>
      <c r="DO69" s="304"/>
      <c r="DP69" s="304"/>
      <c r="DQ69" s="304"/>
      <c r="DR69" s="242" t="s">
        <v>6085</v>
      </c>
      <c r="DS69" s="908"/>
      <c r="DT69" s="304"/>
      <c r="DU69" s="242" t="s">
        <v>5618</v>
      </c>
      <c r="DV69" s="304"/>
      <c r="DW69" s="242" t="s">
        <v>3839</v>
      </c>
      <c r="DX69" s="304"/>
      <c r="DY69" s="304"/>
      <c r="DZ69" s="304"/>
      <c r="EA69" s="304"/>
      <c r="EB69" s="304"/>
      <c r="EC69" s="304"/>
      <c r="ED69" s="885"/>
    </row>
    <row r="70">
      <c r="A70" s="379" t="s">
        <v>10391</v>
      </c>
      <c r="B70" s="1750" t="s">
        <v>10392</v>
      </c>
      <c r="C70" s="1751" t="s">
        <v>155</v>
      </c>
      <c r="D70" s="1752" t="s">
        <v>76</v>
      </c>
      <c r="E70" s="1753" t="s">
        <v>76</v>
      </c>
      <c r="F70" s="1754" t="s">
        <v>2189</v>
      </c>
      <c r="G70" s="1750" t="s">
        <v>556</v>
      </c>
      <c r="H70" s="1755" t="s">
        <v>10393</v>
      </c>
      <c r="I70" s="1755" t="s">
        <v>9734</v>
      </c>
      <c r="J70" s="1755" t="s">
        <v>3430</v>
      </c>
      <c r="K70" s="1755" t="s">
        <v>791</v>
      </c>
      <c r="L70" s="1755" t="s">
        <v>4335</v>
      </c>
      <c r="M70" s="1755" t="s">
        <v>10394</v>
      </c>
      <c r="N70" s="1756" t="s">
        <v>10395</v>
      </c>
      <c r="O70" s="1756" t="s">
        <v>10396</v>
      </c>
      <c r="P70" s="1755" t="s">
        <v>2612</v>
      </c>
      <c r="Q70" s="1756"/>
      <c r="R70" s="1756"/>
      <c r="S70" s="1756"/>
      <c r="T70" s="1756"/>
      <c r="U70" s="1756"/>
      <c r="V70" s="1756"/>
      <c r="W70" s="702"/>
      <c r="X70" s="1757" t="s">
        <v>4894</v>
      </c>
      <c r="Y70" s="1758"/>
      <c r="Z70" s="1757" t="s">
        <v>10397</v>
      </c>
      <c r="AA70" s="423" t="s">
        <v>4299</v>
      </c>
      <c r="AB70" s="1757" t="s">
        <v>2385</v>
      </c>
      <c r="AC70" s="1757" t="s">
        <v>2774</v>
      </c>
      <c r="AD70" s="1759" t="s">
        <v>7673</v>
      </c>
      <c r="AE70" s="1757" t="s">
        <v>4163</v>
      </c>
      <c r="AF70" s="1759" t="s">
        <v>7916</v>
      </c>
      <c r="AG70" s="1757" t="s">
        <v>4901</v>
      </c>
      <c r="AH70" s="1759"/>
      <c r="AI70" s="1759"/>
      <c r="AJ70" s="1759"/>
      <c r="AK70" s="1759"/>
      <c r="AL70" s="702"/>
      <c r="AM70" s="1760" t="s">
        <v>10398</v>
      </c>
      <c r="AN70" s="1761" t="s">
        <v>6063</v>
      </c>
      <c r="AO70" s="1762"/>
      <c r="AP70" s="1762"/>
      <c r="AQ70" s="1762"/>
      <c r="AR70" s="1762"/>
      <c r="AS70" s="1762" t="s">
        <v>10399</v>
      </c>
      <c r="AT70" s="1762"/>
      <c r="AU70" s="1761" t="s">
        <v>9833</v>
      </c>
      <c r="AV70" s="1761" t="s">
        <v>10400</v>
      </c>
      <c r="AW70" s="1762"/>
      <c r="AX70" s="1762"/>
      <c r="AY70" s="1762"/>
      <c r="AZ70" s="1762"/>
      <c r="BA70" s="1762"/>
      <c r="BB70" s="1763" t="s">
        <v>10401</v>
      </c>
      <c r="BC70" s="1763" t="s">
        <v>4114</v>
      </c>
      <c r="BD70" s="1764" t="s">
        <v>2456</v>
      </c>
      <c r="BE70" s="1764" t="s">
        <v>2148</v>
      </c>
      <c r="BF70" s="1763" t="s">
        <v>10175</v>
      </c>
      <c r="BG70" s="1764"/>
      <c r="BH70" s="1764"/>
      <c r="BI70" s="1764" t="s">
        <v>9058</v>
      </c>
      <c r="BJ70" s="1764"/>
      <c r="BK70" s="1764" t="s">
        <v>10402</v>
      </c>
      <c r="BL70" s="1764" t="s">
        <v>2464</v>
      </c>
      <c r="BM70" s="1764"/>
      <c r="BN70" s="1764"/>
      <c r="BO70" s="1764"/>
      <c r="BP70" s="1764"/>
      <c r="BQ70" s="1764"/>
      <c r="BR70" s="1765"/>
      <c r="BS70" s="1765" t="s">
        <v>2132</v>
      </c>
      <c r="BT70" s="1766" t="s">
        <v>9544</v>
      </c>
      <c r="BU70" s="1765"/>
      <c r="BV70" s="1765"/>
      <c r="BW70" s="1765" t="s">
        <v>6888</v>
      </c>
      <c r="BX70" s="1765"/>
      <c r="BY70" s="1765"/>
      <c r="BZ70" s="1765"/>
      <c r="CA70" s="1765"/>
      <c r="CB70" s="1765"/>
      <c r="CC70" s="1765"/>
      <c r="CD70" s="1765"/>
      <c r="CE70" s="1765"/>
      <c r="CF70" s="859"/>
      <c r="CG70" s="1767" t="s">
        <v>10403</v>
      </c>
      <c r="CH70" s="452" t="s">
        <v>5025</v>
      </c>
      <c r="CI70" s="1768"/>
      <c r="CJ70" s="1768"/>
      <c r="CK70" s="1768"/>
      <c r="CL70" s="1768"/>
      <c r="CM70" s="863"/>
      <c r="CN70" s="1767" t="s">
        <v>4168</v>
      </c>
      <c r="CO70" s="1768" t="s">
        <v>10404</v>
      </c>
      <c r="CP70" s="1768"/>
      <c r="CQ70" s="1768"/>
      <c r="CR70" s="1768"/>
      <c r="CS70" s="1768"/>
      <c r="CT70" s="1768"/>
      <c r="CU70" s="702"/>
      <c r="CV70" s="864"/>
      <c r="CW70" s="1769"/>
      <c r="CX70" s="1770" t="s">
        <v>613</v>
      </c>
      <c r="CY70" s="1769"/>
      <c r="CZ70" s="864"/>
      <c r="DA70" s="1769"/>
      <c r="DB70" s="1769" t="s">
        <v>10170</v>
      </c>
      <c r="DC70" s="1769"/>
      <c r="DD70" s="1769"/>
      <c r="DE70" s="1769"/>
      <c r="DF70" s="1769"/>
      <c r="DG70" s="864"/>
      <c r="DH70" s="1769"/>
      <c r="DI70" s="1771" t="s">
        <v>4253</v>
      </c>
      <c r="DJ70" s="866"/>
      <c r="DK70" s="1772"/>
      <c r="DL70" s="1773"/>
      <c r="DM70" s="1772" t="s">
        <v>1883</v>
      </c>
      <c r="DN70" s="1774" t="s">
        <v>2262</v>
      </c>
      <c r="DO70" s="1772"/>
      <c r="DP70" s="709"/>
      <c r="DQ70" s="866"/>
      <c r="DR70" s="1774" t="s">
        <v>513</v>
      </c>
      <c r="DS70" s="1772"/>
      <c r="DT70" s="1772"/>
      <c r="DU70" s="1772"/>
      <c r="DV70" s="1772"/>
      <c r="DW70" s="1774" t="s">
        <v>525</v>
      </c>
      <c r="DX70" s="1772"/>
      <c r="DY70" s="1772"/>
      <c r="DZ70" s="1772"/>
      <c r="EA70" s="866"/>
      <c r="EB70" s="866"/>
      <c r="EC70" s="866"/>
      <c r="ED70" s="1772"/>
    </row>
    <row r="71">
      <c r="A71" s="1530" t="s">
        <v>10405</v>
      </c>
      <c r="B71" s="229" t="s">
        <v>10406</v>
      </c>
      <c r="C71" s="230" t="s">
        <v>127</v>
      </c>
      <c r="D71" s="231" t="s">
        <v>79</v>
      </c>
      <c r="E71" s="232" t="s">
        <v>156</v>
      </c>
      <c r="F71" s="233" t="s">
        <v>1671</v>
      </c>
      <c r="G71" s="229" t="s">
        <v>1671</v>
      </c>
      <c r="H71" s="304"/>
      <c r="I71" s="242" t="s">
        <v>4406</v>
      </c>
      <c r="J71" s="304"/>
      <c r="K71" s="242" t="s">
        <v>771</v>
      </c>
      <c r="L71" s="304"/>
      <c r="M71" s="304"/>
      <c r="N71" s="242" t="s">
        <v>10407</v>
      </c>
      <c r="O71" s="242" t="s">
        <v>1714</v>
      </c>
      <c r="P71" s="1642" t="str">
        <f>HYPERLINK("https://youtu.be/o2oK7_9FlpI", "16.02")</f>
        <v>16.02</v>
      </c>
      <c r="Q71" s="304"/>
      <c r="R71" s="304"/>
      <c r="S71" s="1642" t="str">
        <f>HYPERLINK("https://youtu.be/5bePzbPRA_s", "38.09")</f>
        <v>38.09</v>
      </c>
      <c r="T71" s="304"/>
      <c r="U71" s="1642" t="str">
        <f>HYPERLINK("https://youtu.be/TZ_M1xPlryQ", "50.03")</f>
        <v>50.03</v>
      </c>
      <c r="V71" s="304"/>
      <c r="W71" s="62"/>
      <c r="X71" s="248" t="s">
        <v>2572</v>
      </c>
      <c r="Y71" s="248" t="s">
        <v>614</v>
      </c>
      <c r="Z71" s="242" t="s">
        <v>934</v>
      </c>
      <c r="AA71" s="242" t="s">
        <v>756</v>
      </c>
      <c r="AB71" s="242" t="s">
        <v>10408</v>
      </c>
      <c r="AC71" s="242" t="s">
        <v>1635</v>
      </c>
      <c r="AD71" s="247" t="s">
        <v>267</v>
      </c>
      <c r="AE71" s="304"/>
      <c r="AF71" s="242" t="s">
        <v>1162</v>
      </c>
      <c r="AG71" s="242" t="s">
        <v>2367</v>
      </c>
      <c r="AH71" s="242" t="s">
        <v>5635</v>
      </c>
      <c r="AI71" s="304"/>
      <c r="AJ71" s="1642" t="str">
        <f>HYPERLINK("https://youtu.be/SxETIJsg_5k", "59.78")</f>
        <v>59.78</v>
      </c>
      <c r="AK71" s="242" t="s">
        <v>6290</v>
      </c>
      <c r="AL71" s="61"/>
      <c r="AM71" s="304"/>
      <c r="AN71" s="304"/>
      <c r="AO71" s="304"/>
      <c r="AP71" s="304"/>
      <c r="AQ71" s="304"/>
      <c r="AR71" s="304"/>
      <c r="AS71" s="304"/>
      <c r="AT71" s="304"/>
      <c r="AU71" s="304"/>
      <c r="AV71" s="304"/>
      <c r="AW71" s="304"/>
      <c r="AX71" s="304"/>
      <c r="AY71" s="304"/>
      <c r="AZ71" s="304"/>
      <c r="BA71" s="304"/>
      <c r="BB71" s="304"/>
      <c r="BC71" s="304"/>
      <c r="BD71" s="242" t="s">
        <v>1274</v>
      </c>
      <c r="BE71" s="242" t="s">
        <v>5231</v>
      </c>
      <c r="BF71" s="304"/>
      <c r="BG71" s="242" t="s">
        <v>4253</v>
      </c>
      <c r="BH71" s="304"/>
      <c r="BI71" s="242" t="s">
        <v>3972</v>
      </c>
      <c r="BJ71" s="304"/>
      <c r="BK71" s="304"/>
      <c r="BL71" s="304"/>
      <c r="BM71" s="304"/>
      <c r="BN71" s="1642" t="str">
        <f>HYPERLINK("https://youtu.be/sez0OMnBphE", "35.45")</f>
        <v>35.45</v>
      </c>
      <c r="BO71" s="1642" t="str">
        <f>HYPERLINK("https://youtu.be/j7YnJS-7oEk", "1:25.17")</f>
        <v>1:25.17</v>
      </c>
      <c r="BP71" s="304"/>
      <c r="BQ71" s="841"/>
      <c r="BR71" s="304"/>
      <c r="BS71" s="304"/>
      <c r="BT71" s="242" t="s">
        <v>5114</v>
      </c>
      <c r="BU71" s="304"/>
      <c r="BV71" s="304"/>
      <c r="BW71" s="1642" t="str">
        <f>HYPERLINK("https://youtu.be/RY16i7jgLAo", "22.14")</f>
        <v>22.14</v>
      </c>
      <c r="BX71" s="304"/>
      <c r="BY71" s="304"/>
      <c r="BZ71" s="304"/>
      <c r="CA71" s="304"/>
      <c r="CB71" s="304"/>
      <c r="CC71" s="304"/>
      <c r="CD71" s="304"/>
      <c r="CE71" s="304"/>
      <c r="CF71" s="841"/>
      <c r="CG71" s="242" t="s">
        <v>1123</v>
      </c>
      <c r="CH71" s="242" t="s">
        <v>1938</v>
      </c>
      <c r="CI71" s="248" t="s">
        <v>3054</v>
      </c>
      <c r="CJ71" s="304"/>
      <c r="CK71" s="304"/>
      <c r="CL71" s="304"/>
      <c r="CM71" s="304"/>
      <c r="CN71" s="1642" t="str">
        <f>HYPERLINK("https://youtu.be/ovo9mzVpiyE", "31.11")</f>
        <v>31.11</v>
      </c>
      <c r="CO71" s="1642" t="str">
        <f>HYPERLINK("https://youtu.be/SjsfFJ_c4Hw", "16.11")</f>
        <v>16.11</v>
      </c>
      <c r="CP71" s="304"/>
      <c r="CQ71" s="304"/>
      <c r="CR71" s="304"/>
      <c r="CS71" s="304"/>
      <c r="CT71" s="304"/>
      <c r="CU71" s="62"/>
      <c r="CV71" s="236" t="s">
        <v>10409</v>
      </c>
      <c r="CW71" s="304"/>
      <c r="CX71" s="242" t="s">
        <v>429</v>
      </c>
      <c r="CY71" s="304"/>
      <c r="CZ71" s="304"/>
      <c r="DA71" s="247" t="s">
        <v>10410</v>
      </c>
      <c r="DB71" s="242" t="s">
        <v>10411</v>
      </c>
      <c r="DC71" s="304"/>
      <c r="DD71" s="304"/>
      <c r="DE71" s="304"/>
      <c r="DF71" s="304"/>
      <c r="DG71" s="304"/>
      <c r="DH71" s="304"/>
      <c r="DI71" s="304"/>
      <c r="DJ71" s="304"/>
      <c r="DK71" s="304"/>
      <c r="DL71" s="304"/>
      <c r="DM71" s="1775" t="str">
        <f>HYPERLINK("https://youtu.be/xBxcZCbjszY", "15.59")</f>
        <v>15.59</v>
      </c>
      <c r="DN71" s="304"/>
      <c r="DO71" s="304"/>
      <c r="DP71" s="304"/>
      <c r="DQ71" s="304"/>
      <c r="DR71" s="304"/>
      <c r="DS71" s="304"/>
      <c r="DT71" s="1776" t="str">
        <f>HYPERLINK("https://youtu.be/st160yUA7Cg", "10.38")</f>
        <v>10.38</v>
      </c>
      <c r="DU71" s="1777" t="str">
        <f>HYPERLINK("https://youtu.be/CQPQZc9PKjw", "31.45")</f>
        <v>31.45</v>
      </c>
      <c r="DV71" s="304"/>
      <c r="DW71" s="304"/>
      <c r="DX71" s="304"/>
      <c r="DY71" s="304"/>
      <c r="DZ71" s="304"/>
      <c r="EA71" s="242" t="s">
        <v>4675</v>
      </c>
      <c r="EB71" s="304"/>
      <c r="EC71" s="304"/>
      <c r="ED71" s="1639"/>
    </row>
    <row r="72">
      <c r="A72" s="545" t="s">
        <v>4065</v>
      </c>
      <c r="B72" s="381" t="s">
        <v>10412</v>
      </c>
      <c r="C72" s="384" t="s">
        <v>155</v>
      </c>
      <c r="D72" s="386" t="s">
        <v>155</v>
      </c>
      <c r="E72" s="389" t="s">
        <v>155</v>
      </c>
      <c r="F72" s="390" t="s">
        <v>3725</v>
      </c>
      <c r="G72" s="381" t="s">
        <v>9959</v>
      </c>
      <c r="H72" s="406" t="s">
        <v>4192</v>
      </c>
      <c r="I72" s="406" t="s">
        <v>10413</v>
      </c>
      <c r="J72" s="406" t="s">
        <v>716</v>
      </c>
      <c r="K72" s="406" t="s">
        <v>774</v>
      </c>
      <c r="L72" s="406" t="s">
        <v>4201</v>
      </c>
      <c r="M72" s="406" t="s">
        <v>10414</v>
      </c>
      <c r="N72" s="406" t="s">
        <v>7218</v>
      </c>
      <c r="O72" s="406" t="s">
        <v>7662</v>
      </c>
      <c r="P72" s="406" t="s">
        <v>379</v>
      </c>
      <c r="Q72" s="849"/>
      <c r="R72" s="849"/>
      <c r="S72" s="849"/>
      <c r="T72" s="849"/>
      <c r="U72" s="849"/>
      <c r="V72" s="849"/>
      <c r="W72" s="62"/>
      <c r="X72" s="417" t="s">
        <v>4832</v>
      </c>
      <c r="Y72" s="919"/>
      <c r="Z72" s="417" t="s">
        <v>9593</v>
      </c>
      <c r="AA72" s="417" t="s">
        <v>10415</v>
      </c>
      <c r="AB72" s="417" t="s">
        <v>10416</v>
      </c>
      <c r="AC72" s="417" t="s">
        <v>2105</v>
      </c>
      <c r="AD72" s="417" t="s">
        <v>6192</v>
      </c>
      <c r="AE72" s="852"/>
      <c r="AF72" s="417" t="s">
        <v>10417</v>
      </c>
      <c r="AG72" s="417" t="s">
        <v>2762</v>
      </c>
      <c r="AH72" s="417" t="s">
        <v>10418</v>
      </c>
      <c r="AI72" s="852"/>
      <c r="AJ72" s="852"/>
      <c r="AK72" s="852"/>
      <c r="AL72" s="61"/>
      <c r="AM72" s="427" t="s">
        <v>6132</v>
      </c>
      <c r="AN72" s="427" t="s">
        <v>2207</v>
      </c>
      <c r="AO72" s="855"/>
      <c r="AP72" s="855"/>
      <c r="AQ72" s="855"/>
      <c r="AR72" s="855"/>
      <c r="AS72" s="855"/>
      <c r="AT72" s="855"/>
      <c r="AU72" s="427" t="s">
        <v>9817</v>
      </c>
      <c r="AV72" s="427" t="s">
        <v>1446</v>
      </c>
      <c r="AW72" s="855"/>
      <c r="AX72" s="855"/>
      <c r="AY72" s="855"/>
      <c r="AZ72" s="855"/>
      <c r="BA72" s="855"/>
      <c r="BB72" s="439" t="s">
        <v>9659</v>
      </c>
      <c r="BC72" s="439" t="s">
        <v>866</v>
      </c>
      <c r="BD72" s="439" t="s">
        <v>4320</v>
      </c>
      <c r="BE72" s="439" t="s">
        <v>1417</v>
      </c>
      <c r="BF72" s="439" t="s">
        <v>10419</v>
      </c>
      <c r="BG72" s="439" t="s">
        <v>9809</v>
      </c>
      <c r="BH72" s="439" t="s">
        <v>5595</v>
      </c>
      <c r="BI72" s="439" t="s">
        <v>2579</v>
      </c>
      <c r="BJ72" s="439" t="s">
        <v>6721</v>
      </c>
      <c r="BK72" s="439" t="s">
        <v>7760</v>
      </c>
      <c r="BL72" s="439" t="s">
        <v>2973</v>
      </c>
      <c r="BM72" s="439" t="s">
        <v>8855</v>
      </c>
      <c r="BN72" s="439" t="s">
        <v>777</v>
      </c>
      <c r="BO72" s="439" t="s">
        <v>7393</v>
      </c>
      <c r="BP72" s="587"/>
      <c r="BQ72" s="857"/>
      <c r="BR72" s="448" t="s">
        <v>5459</v>
      </c>
      <c r="BS72" s="448" t="s">
        <v>10420</v>
      </c>
      <c r="BT72" s="448" t="s">
        <v>10205</v>
      </c>
      <c r="BU72" s="448" t="s">
        <v>4600</v>
      </c>
      <c r="BV72" s="448" t="s">
        <v>4937</v>
      </c>
      <c r="BW72" s="448" t="s">
        <v>4276</v>
      </c>
      <c r="BX72" s="448" t="s">
        <v>7517</v>
      </c>
      <c r="BY72" s="448" t="s">
        <v>10421</v>
      </c>
      <c r="BZ72" s="859"/>
      <c r="CA72" s="448" t="s">
        <v>9472</v>
      </c>
      <c r="CB72" s="859"/>
      <c r="CC72" s="859"/>
      <c r="CD72" s="448" t="s">
        <v>10422</v>
      </c>
      <c r="CE72" s="859"/>
      <c r="CF72" s="861"/>
      <c r="CG72" s="459" t="s">
        <v>2056</v>
      </c>
      <c r="CH72" s="459" t="s">
        <v>10423</v>
      </c>
      <c r="CI72" s="459" t="s">
        <v>8009</v>
      </c>
      <c r="CJ72" s="459" t="s">
        <v>10424</v>
      </c>
      <c r="CK72" s="904"/>
      <c r="CL72" s="459" t="s">
        <v>9797</v>
      </c>
      <c r="CM72" s="459" t="s">
        <v>1231</v>
      </c>
      <c r="CN72" s="459" t="s">
        <v>1646</v>
      </c>
      <c r="CO72" s="459" t="s">
        <v>2053</v>
      </c>
      <c r="CP72" s="863"/>
      <c r="CQ72" s="863"/>
      <c r="CR72" s="863"/>
      <c r="CS72" s="863"/>
      <c r="CT72" s="863"/>
      <c r="CU72" s="62"/>
      <c r="CV72" s="466" t="s">
        <v>6194</v>
      </c>
      <c r="CW72" s="466" t="s">
        <v>788</v>
      </c>
      <c r="CX72" s="466" t="s">
        <v>10425</v>
      </c>
      <c r="CY72" s="466" t="s">
        <v>5259</v>
      </c>
      <c r="CZ72" s="466" t="s">
        <v>9486</v>
      </c>
      <c r="DA72" s="466" t="s">
        <v>6126</v>
      </c>
      <c r="DB72" s="466" t="s">
        <v>10426</v>
      </c>
      <c r="DC72" s="466" t="s">
        <v>10427</v>
      </c>
      <c r="DD72" s="864"/>
      <c r="DE72" s="864"/>
      <c r="DF72" s="466" t="s">
        <v>8111</v>
      </c>
      <c r="DG72" s="864"/>
      <c r="DH72" s="864"/>
      <c r="DI72" s="866"/>
      <c r="DJ72" s="866"/>
      <c r="DK72" s="707" t="s">
        <v>7177</v>
      </c>
      <c r="DL72" s="866"/>
      <c r="DM72" s="483" t="s">
        <v>1883</v>
      </c>
      <c r="DN72" s="483" t="s">
        <v>1083</v>
      </c>
      <c r="DO72" s="707" t="s">
        <v>10092</v>
      </c>
      <c r="DP72" s="707" t="s">
        <v>10397</v>
      </c>
      <c r="DQ72" s="866"/>
      <c r="DR72" s="483" t="s">
        <v>6473</v>
      </c>
      <c r="DS72" s="483" t="s">
        <v>3834</v>
      </c>
      <c r="DT72" s="707" t="s">
        <v>10428</v>
      </c>
      <c r="DU72" s="707" t="s">
        <v>6246</v>
      </c>
      <c r="DV72" s="707" t="s">
        <v>10429</v>
      </c>
      <c r="DW72" s="483" t="s">
        <v>5237</v>
      </c>
      <c r="DX72" s="707" t="s">
        <v>2621</v>
      </c>
      <c r="DY72" s="707" t="s">
        <v>3936</v>
      </c>
      <c r="DZ72" s="483" t="s">
        <v>10430</v>
      </c>
      <c r="EA72" s="483" t="s">
        <v>8354</v>
      </c>
      <c r="EB72" s="707" t="s">
        <v>10431</v>
      </c>
      <c r="EC72" s="707" t="s">
        <v>4850</v>
      </c>
      <c r="ED72" s="1114" t="s">
        <v>10432</v>
      </c>
    </row>
    <row r="73">
      <c r="A73" s="228" t="s">
        <v>10433</v>
      </c>
      <c r="B73" s="229" t="s">
        <v>10434</v>
      </c>
      <c r="C73" s="230" t="s">
        <v>155</v>
      </c>
      <c r="D73" s="231" t="s">
        <v>155</v>
      </c>
      <c r="E73" s="232" t="s">
        <v>155</v>
      </c>
      <c r="F73" s="233" t="s">
        <v>155</v>
      </c>
      <c r="G73" s="229" t="s">
        <v>10435</v>
      </c>
      <c r="H73" s="273" t="s">
        <v>4197</v>
      </c>
      <c r="I73" s="273" t="s">
        <v>10436</v>
      </c>
      <c r="J73" s="273" t="s">
        <v>5543</v>
      </c>
      <c r="K73" s="273" t="s">
        <v>9810</v>
      </c>
      <c r="L73" s="273" t="s">
        <v>9999</v>
      </c>
      <c r="M73" s="273" t="s">
        <v>1852</v>
      </c>
      <c r="N73" s="273" t="s">
        <v>4109</v>
      </c>
      <c r="O73" s="273" t="s">
        <v>10437</v>
      </c>
      <c r="P73" s="273" t="s">
        <v>10438</v>
      </c>
      <c r="Q73" s="273" t="s">
        <v>10439</v>
      </c>
      <c r="R73" s="304"/>
      <c r="S73" s="273" t="s">
        <v>10440</v>
      </c>
      <c r="T73" s="304"/>
      <c r="U73" s="304"/>
      <c r="V73" s="273" t="s">
        <v>10441</v>
      </c>
      <c r="W73" s="62"/>
      <c r="X73" s="273" t="s">
        <v>4197</v>
      </c>
      <c r="Y73" s="273"/>
      <c r="Z73" s="273" t="s">
        <v>2902</v>
      </c>
      <c r="AA73" s="273" t="s">
        <v>5216</v>
      </c>
      <c r="AB73" s="273" t="s">
        <v>10442</v>
      </c>
      <c r="AC73" s="273" t="s">
        <v>10443</v>
      </c>
      <c r="AD73" s="273" t="s">
        <v>4181</v>
      </c>
      <c r="AE73" s="273"/>
      <c r="AF73" s="273" t="s">
        <v>3317</v>
      </c>
      <c r="AG73" s="273" t="s">
        <v>4488</v>
      </c>
      <c r="AH73" s="273" t="s">
        <v>1560</v>
      </c>
      <c r="AI73" s="273"/>
      <c r="AJ73" s="273" t="s">
        <v>2728</v>
      </c>
      <c r="AK73" s="273" t="s">
        <v>9460</v>
      </c>
      <c r="AL73" s="61"/>
      <c r="AM73" s="273" t="s">
        <v>10230</v>
      </c>
      <c r="AN73" s="273" t="s">
        <v>5306</v>
      </c>
      <c r="AO73" s="273" t="s">
        <v>10444</v>
      </c>
      <c r="AP73" s="273" t="s">
        <v>5850</v>
      </c>
      <c r="AQ73" s="273" t="s">
        <v>1207</v>
      </c>
      <c r="AR73" s="273"/>
      <c r="AS73" s="273" t="s">
        <v>1062</v>
      </c>
      <c r="AT73" s="273" t="s">
        <v>8642</v>
      </c>
      <c r="AU73" s="273" t="s">
        <v>3465</v>
      </c>
      <c r="AV73" s="273" t="s">
        <v>3944</v>
      </c>
      <c r="AW73" s="273" t="s">
        <v>10445</v>
      </c>
      <c r="AX73" s="304"/>
      <c r="AY73" s="304"/>
      <c r="AZ73" s="273" t="s">
        <v>10446</v>
      </c>
      <c r="BA73" s="273"/>
      <c r="BB73" s="273" t="s">
        <v>2132</v>
      </c>
      <c r="BC73" s="273" t="s">
        <v>5163</v>
      </c>
      <c r="BD73" s="273" t="s">
        <v>9548</v>
      </c>
      <c r="BE73" s="273" t="s">
        <v>10447</v>
      </c>
      <c r="BF73" s="273" t="s">
        <v>10448</v>
      </c>
      <c r="BG73" s="273" t="s">
        <v>1451</v>
      </c>
      <c r="BH73" s="273" t="s">
        <v>4948</v>
      </c>
      <c r="BI73" s="273" t="s">
        <v>10449</v>
      </c>
      <c r="BJ73" s="273" t="s">
        <v>6000</v>
      </c>
      <c r="BK73" s="273" t="s">
        <v>6585</v>
      </c>
      <c r="BL73" s="273" t="s">
        <v>10154</v>
      </c>
      <c r="BM73" s="273" t="s">
        <v>7540</v>
      </c>
      <c r="BN73" s="304"/>
      <c r="BO73" s="304"/>
      <c r="BP73" s="304"/>
      <c r="BQ73" s="841"/>
      <c r="BR73" s="273" t="s">
        <v>4885</v>
      </c>
      <c r="BS73" s="273" t="s">
        <v>6634</v>
      </c>
      <c r="BT73" s="273" t="s">
        <v>10450</v>
      </c>
      <c r="BU73" s="273" t="s">
        <v>10451</v>
      </c>
      <c r="BV73" s="273" t="s">
        <v>10452</v>
      </c>
      <c r="BW73" s="273" t="s">
        <v>5017</v>
      </c>
      <c r="BX73" s="273" t="s">
        <v>4719</v>
      </c>
      <c r="BY73" s="273" t="s">
        <v>10453</v>
      </c>
      <c r="BZ73" s="273" t="s">
        <v>10454</v>
      </c>
      <c r="CA73" s="273" t="s">
        <v>4665</v>
      </c>
      <c r="CB73" s="273" t="s">
        <v>10455</v>
      </c>
      <c r="CC73" s="304"/>
      <c r="CD73" s="304"/>
      <c r="CE73" s="304"/>
      <c r="CF73" s="841"/>
      <c r="CG73" s="273" t="s">
        <v>3567</v>
      </c>
      <c r="CH73" s="273" t="s">
        <v>10456</v>
      </c>
      <c r="CI73" s="273" t="s">
        <v>3642</v>
      </c>
      <c r="CJ73" s="273" t="s">
        <v>10457</v>
      </c>
      <c r="CK73" s="273"/>
      <c r="CL73" s="273" t="s">
        <v>771</v>
      </c>
      <c r="CM73" s="273" t="s">
        <v>4910</v>
      </c>
      <c r="CN73" s="273" t="s">
        <v>3850</v>
      </c>
      <c r="CO73" s="273" t="s">
        <v>3690</v>
      </c>
      <c r="CP73" s="273" t="s">
        <v>10458</v>
      </c>
      <c r="CQ73" s="273" t="s">
        <v>1051</v>
      </c>
      <c r="CR73" s="304"/>
      <c r="CS73" s="304"/>
      <c r="CT73" s="304"/>
      <c r="CU73" s="62"/>
      <c r="CV73" s="273" t="s">
        <v>848</v>
      </c>
      <c r="CW73" s="273" t="s">
        <v>10459</v>
      </c>
      <c r="CX73" s="273" t="s">
        <v>10460</v>
      </c>
      <c r="CY73" s="273" t="s">
        <v>9392</v>
      </c>
      <c r="CZ73" s="273" t="s">
        <v>10461</v>
      </c>
      <c r="DA73" s="273" t="s">
        <v>10462</v>
      </c>
      <c r="DB73" s="273" t="s">
        <v>10463</v>
      </c>
      <c r="DC73" s="273" t="s">
        <v>5335</v>
      </c>
      <c r="DD73" s="273"/>
      <c r="DE73" s="304"/>
      <c r="DF73" s="304"/>
      <c r="DG73" s="304"/>
      <c r="DH73" s="304"/>
      <c r="DI73" s="273" t="s">
        <v>489</v>
      </c>
      <c r="DJ73" s="304"/>
      <c r="DK73" s="273" t="s">
        <v>8566</v>
      </c>
      <c r="DL73" s="273"/>
      <c r="DM73" s="273" t="s">
        <v>2145</v>
      </c>
      <c r="DN73" s="273" t="s">
        <v>2265</v>
      </c>
      <c r="DO73" s="273" t="s">
        <v>4698</v>
      </c>
      <c r="DP73" s="273" t="s">
        <v>4316</v>
      </c>
      <c r="DQ73" s="273" t="s">
        <v>10464</v>
      </c>
      <c r="DR73" s="273" t="s">
        <v>8426</v>
      </c>
      <c r="DS73" s="273" t="s">
        <v>4977</v>
      </c>
      <c r="DT73" s="273" t="s">
        <v>10373</v>
      </c>
      <c r="DU73" s="273" t="s">
        <v>10465</v>
      </c>
      <c r="DV73" s="273" t="s">
        <v>7612</v>
      </c>
      <c r="DW73" s="273" t="s">
        <v>4111</v>
      </c>
      <c r="DX73" s="273" t="s">
        <v>10466</v>
      </c>
      <c r="DY73" s="273" t="s">
        <v>4697</v>
      </c>
      <c r="DZ73" s="273" t="s">
        <v>10396</v>
      </c>
      <c r="EA73" s="273" t="s">
        <v>10467</v>
      </c>
      <c r="EB73" s="273" t="s">
        <v>10121</v>
      </c>
      <c r="EC73" s="273" t="s">
        <v>10468</v>
      </c>
      <c r="ED73" s="885" t="s">
        <v>10469</v>
      </c>
    </row>
    <row r="74">
      <c r="A74" s="545" t="s">
        <v>123</v>
      </c>
      <c r="B74" s="381" t="s">
        <v>10470</v>
      </c>
      <c r="C74" s="384" t="s">
        <v>191</v>
      </c>
      <c r="D74" s="386" t="s">
        <v>155</v>
      </c>
      <c r="E74" s="389" t="s">
        <v>155</v>
      </c>
      <c r="F74" s="390" t="s">
        <v>551</v>
      </c>
      <c r="G74" s="381" t="s">
        <v>3732</v>
      </c>
      <c r="H74" s="406" t="s">
        <v>10393</v>
      </c>
      <c r="I74" s="849"/>
      <c r="J74" s="849"/>
      <c r="K74" s="849"/>
      <c r="L74" s="547" t="s">
        <v>1103</v>
      </c>
      <c r="M74" s="849"/>
      <c r="N74" s="849"/>
      <c r="O74" s="547" t="s">
        <v>1293</v>
      </c>
      <c r="P74" s="547" t="s">
        <v>1354</v>
      </c>
      <c r="Q74" s="402" t="s">
        <v>580</v>
      </c>
      <c r="R74" s="849"/>
      <c r="S74" s="849"/>
      <c r="T74" s="547" t="s">
        <v>1830</v>
      </c>
      <c r="U74" s="547" t="s">
        <v>10070</v>
      </c>
      <c r="V74" s="846" t="s">
        <v>1349</v>
      </c>
      <c r="W74" s="62"/>
      <c r="X74" s="852"/>
      <c r="Y74" s="683"/>
      <c r="Z74" s="683" t="s">
        <v>9782</v>
      </c>
      <c r="AA74" s="412" t="str">
        <f>HYPERLINK("https://youtu.be/esd_xoh2Wlk","14.77")</f>
        <v>14.77</v>
      </c>
      <c r="AB74" s="852"/>
      <c r="AC74" s="417" t="s">
        <v>1539</v>
      </c>
      <c r="AD74" s="683" t="s">
        <v>6785</v>
      </c>
      <c r="AE74" s="852"/>
      <c r="AF74" s="852"/>
      <c r="AG74" s="683" t="s">
        <v>10174</v>
      </c>
      <c r="AH74" s="683" t="s">
        <v>9909</v>
      </c>
      <c r="AI74" s="683"/>
      <c r="AJ74" s="683" t="s">
        <v>3577</v>
      </c>
      <c r="AK74" s="1644" t="s">
        <v>8614</v>
      </c>
      <c r="AL74" s="61"/>
      <c r="AM74" s="855"/>
      <c r="AN74" s="855"/>
      <c r="AO74" s="427" t="s">
        <v>10471</v>
      </c>
      <c r="AP74" s="855"/>
      <c r="AQ74" s="685" t="s">
        <v>1264</v>
      </c>
      <c r="AR74" s="427" t="s">
        <v>2628</v>
      </c>
      <c r="AS74" s="855"/>
      <c r="AT74" s="571" t="s">
        <v>7236</v>
      </c>
      <c r="AU74" s="571" t="s">
        <v>607</v>
      </c>
      <c r="AV74" s="427" t="s">
        <v>1779</v>
      </c>
      <c r="AW74" s="427" t="s">
        <v>3553</v>
      </c>
      <c r="AX74" s="855"/>
      <c r="AY74" s="855"/>
      <c r="AZ74" s="576" t="s">
        <v>5411</v>
      </c>
      <c r="BA74" s="855"/>
      <c r="BB74" s="587"/>
      <c r="BC74" s="587"/>
      <c r="BD74" s="589"/>
      <c r="BE74" s="439" t="s">
        <v>2194</v>
      </c>
      <c r="BF74" s="587"/>
      <c r="BG74" s="439" t="s">
        <v>5165</v>
      </c>
      <c r="BH74" s="587"/>
      <c r="BI74" s="439" t="s">
        <v>1554</v>
      </c>
      <c r="BJ74" s="587"/>
      <c r="BK74" s="587"/>
      <c r="BL74" s="589" t="s">
        <v>2934</v>
      </c>
      <c r="BM74" s="856" t="s">
        <v>10472</v>
      </c>
      <c r="BN74" s="587"/>
      <c r="BO74" s="587"/>
      <c r="BP74" s="856" t="s">
        <v>6641</v>
      </c>
      <c r="BQ74" s="589"/>
      <c r="BR74" s="859"/>
      <c r="BS74" s="859"/>
      <c r="BT74" s="594" t="s">
        <v>670</v>
      </c>
      <c r="BU74" s="594" t="s">
        <v>10473</v>
      </c>
      <c r="BV74" s="859"/>
      <c r="BW74" s="594" t="s">
        <v>3876</v>
      </c>
      <c r="BX74" s="859"/>
      <c r="BY74" s="859"/>
      <c r="BZ74" s="859"/>
      <c r="CA74" s="859"/>
      <c r="CB74" s="448" t="s">
        <v>641</v>
      </c>
      <c r="CC74" s="594" t="s">
        <v>4784</v>
      </c>
      <c r="CD74" s="594" t="s">
        <v>1252</v>
      </c>
      <c r="CE74" s="903" t="s">
        <v>10474</v>
      </c>
      <c r="CF74" s="1011"/>
      <c r="CG74" s="606" t="s">
        <v>9766</v>
      </c>
      <c r="CH74" s="459" t="s">
        <v>9888</v>
      </c>
      <c r="CI74" s="970" t="s">
        <v>4541</v>
      </c>
      <c r="CJ74" s="606" t="s">
        <v>9618</v>
      </c>
      <c r="CK74" s="606"/>
      <c r="CL74" s="606" t="s">
        <v>9889</v>
      </c>
      <c r="CM74" s="606" t="s">
        <v>4443</v>
      </c>
      <c r="CN74" s="606" t="s">
        <v>5635</v>
      </c>
      <c r="CO74" s="863"/>
      <c r="CP74" s="863"/>
      <c r="CQ74" s="1012" t="s">
        <v>6109</v>
      </c>
      <c r="CR74" s="863"/>
      <c r="CS74" s="863"/>
      <c r="CT74" s="818" t="s">
        <v>5122</v>
      </c>
      <c r="CU74" s="62"/>
      <c r="CV74" s="864"/>
      <c r="CW74" s="864"/>
      <c r="CX74" s="864"/>
      <c r="CY74" s="864"/>
      <c r="CZ74" s="864"/>
      <c r="DA74" s="703" t="s">
        <v>3926</v>
      </c>
      <c r="DB74" s="703" t="s">
        <v>7416</v>
      </c>
      <c r="DC74" s="864"/>
      <c r="DD74" s="933" t="s">
        <v>8134</v>
      </c>
      <c r="DE74" s="703"/>
      <c r="DF74" s="466" t="s">
        <v>499</v>
      </c>
      <c r="DG74" s="933" t="s">
        <v>2889</v>
      </c>
      <c r="DH74" s="703"/>
      <c r="DI74" s="866"/>
      <c r="DJ74" s="866"/>
      <c r="DK74" s="866"/>
      <c r="DL74" s="471" t="s">
        <v>10070</v>
      </c>
      <c r="DM74" s="707" t="s">
        <v>1883</v>
      </c>
      <c r="DN74" s="866"/>
      <c r="DO74" s="707" t="s">
        <v>4343</v>
      </c>
      <c r="DP74" s="707" t="s">
        <v>5063</v>
      </c>
      <c r="DQ74" s="866"/>
      <c r="DR74" s="866"/>
      <c r="DS74" s="483" t="s">
        <v>3926</v>
      </c>
      <c r="DT74" s="866"/>
      <c r="DU74" s="866"/>
      <c r="DV74" s="707" t="s">
        <v>9601</v>
      </c>
      <c r="DW74" s="866"/>
      <c r="DX74" s="866"/>
      <c r="DY74" s="707" t="s">
        <v>3250</v>
      </c>
      <c r="DZ74" s="475" t="s">
        <v>9726</v>
      </c>
      <c r="EA74" s="475" t="str">
        <f>HYPERLINK("https://youtu.be/cSRvv7G0qWk","25.28")</f>
        <v>25.28</v>
      </c>
      <c r="EB74" s="707" t="s">
        <v>10475</v>
      </c>
      <c r="EC74" s="707" t="s">
        <v>10476</v>
      </c>
      <c r="ED74" s="974"/>
    </row>
    <row r="75">
      <c r="A75" s="228" t="s">
        <v>8039</v>
      </c>
      <c r="B75" s="229" t="s">
        <v>10477</v>
      </c>
      <c r="C75" s="230" t="s">
        <v>155</v>
      </c>
      <c r="D75" s="231" t="s">
        <v>155</v>
      </c>
      <c r="E75" s="232" t="s">
        <v>155</v>
      </c>
      <c r="F75" s="233" t="s">
        <v>154</v>
      </c>
      <c r="G75" s="229" t="s">
        <v>721</v>
      </c>
      <c r="H75" s="301" t="str">
        <f>HYPERLINK("https://clips.twitch.tv/LachrymoseCourteousDelicataSeemsGood","51.28")</f>
        <v>51.28</v>
      </c>
      <c r="I75" s="263" t="s">
        <v>10478</v>
      </c>
      <c r="J75" s="263" t="s">
        <v>694</v>
      </c>
      <c r="K75" s="273" t="s">
        <v>785</v>
      </c>
      <c r="L75" s="263" t="s">
        <v>9779</v>
      </c>
      <c r="M75" s="273" t="s">
        <v>8732</v>
      </c>
      <c r="N75" s="273" t="s">
        <v>10479</v>
      </c>
      <c r="O75" s="263" t="s">
        <v>749</v>
      </c>
      <c r="P75" s="301" t="str">
        <f>HYPERLINK("https://clips.twitch.tv/OpenFastVelociraptorPastaThat","16.00")</f>
        <v>16.00</v>
      </c>
      <c r="Q75" s="304"/>
      <c r="R75" s="304"/>
      <c r="S75" s="304"/>
      <c r="T75" s="304"/>
      <c r="U75" s="304"/>
      <c r="V75" s="304"/>
      <c r="W75" s="62"/>
      <c r="X75" s="273" t="s">
        <v>3155</v>
      </c>
      <c r="Y75" s="263"/>
      <c r="Z75" s="263" t="s">
        <v>10480</v>
      </c>
      <c r="AA75" s="301" t="str">
        <f>HYPERLINK("https://youtu.be/DcWVHDR229E","14.90")</f>
        <v>14.90</v>
      </c>
      <c r="AB75" s="273" t="s">
        <v>10481</v>
      </c>
      <c r="AC75" s="301" t="str">
        <f>HYPERLINK("https://clips.twitch.tv/DifferentUninterestedGerbilHassaanChop","30.28")</f>
        <v>30.28</v>
      </c>
      <c r="AD75" s="301" t="str">
        <f>HYPERLINK("https://clips.twitch.tv/RenownedTiredGnatBigBrother","57.66")</f>
        <v>57.66</v>
      </c>
      <c r="AE75" s="304"/>
      <c r="AF75" s="273" t="s">
        <v>7725</v>
      </c>
      <c r="AG75" s="263" t="s">
        <v>8921</v>
      </c>
      <c r="AH75" s="304"/>
      <c r="AI75" s="304"/>
      <c r="AJ75" s="304"/>
      <c r="AK75" s="304"/>
      <c r="AL75" s="61"/>
      <c r="AM75" s="301" t="str">
        <f>HYPERLINK("https://clips.twitch.tv/UnsightlyRenownedBatKappaPride","39.58")</f>
        <v>39.58</v>
      </c>
      <c r="AN75" s="301" t="str">
        <f>HYPERLINK("https://clips.twitch.tv/EncouragingCarelessMacaroniPipeHype","19.15")</f>
        <v>19.15</v>
      </c>
      <c r="AO75" s="304"/>
      <c r="AP75" s="304"/>
      <c r="AQ75" s="304"/>
      <c r="AR75" s="304"/>
      <c r="AS75" s="304"/>
      <c r="AT75" s="304"/>
      <c r="AU75" s="263" t="s">
        <v>10482</v>
      </c>
      <c r="AV75" s="263" t="s">
        <v>4984</v>
      </c>
      <c r="AW75" s="304"/>
      <c r="AX75" s="304"/>
      <c r="AY75" s="304"/>
      <c r="AZ75" s="304"/>
      <c r="BA75" s="304"/>
      <c r="BB75" s="1778" t="str">
        <f>HYPERLINK("https://clips.twitch.tv/BovineSecretiveTireItsBoshyTime","49.95")</f>
        <v>49.95</v>
      </c>
      <c r="BC75" s="273" t="s">
        <v>4008</v>
      </c>
      <c r="BD75" s="301" t="str">
        <f>HYPERLINK("https://youtu.be/TzgOslc32vU","28.68")</f>
        <v>28.68</v>
      </c>
      <c r="BE75" s="273" t="s">
        <v>10483</v>
      </c>
      <c r="BF75" s="273" t="s">
        <v>10079</v>
      </c>
      <c r="BG75" s="304"/>
      <c r="BH75" s="304"/>
      <c r="BI75" s="273"/>
      <c r="BJ75" s="304"/>
      <c r="BK75" s="273" t="s">
        <v>4498</v>
      </c>
      <c r="BL75" s="273" t="s">
        <v>10264</v>
      </c>
      <c r="BM75" s="304"/>
      <c r="BN75" s="304"/>
      <c r="BO75" s="304"/>
      <c r="BP75" s="304"/>
      <c r="BQ75" s="841"/>
      <c r="BR75" s="273"/>
      <c r="BS75" s="263" t="s">
        <v>2921</v>
      </c>
      <c r="BT75" s="273" t="s">
        <v>10484</v>
      </c>
      <c r="BU75" s="273" t="s">
        <v>265</v>
      </c>
      <c r="BV75" s="273" t="s">
        <v>1868</v>
      </c>
      <c r="BW75" s="263" t="s">
        <v>4681</v>
      </c>
      <c r="BX75" s="304"/>
      <c r="BY75" s="304"/>
      <c r="BZ75" s="263"/>
      <c r="CA75" s="263" t="s">
        <v>10485</v>
      </c>
      <c r="CB75" s="273" t="s">
        <v>10486</v>
      </c>
      <c r="CC75" s="304"/>
      <c r="CD75" s="304"/>
      <c r="CE75" s="304"/>
      <c r="CF75" s="841"/>
      <c r="CG75" s="273" t="s">
        <v>5673</v>
      </c>
      <c r="CH75" s="301" t="str">
        <f>HYPERLINK("https://youtu.be/AR9q0_E3gEQ","28.75")</f>
        <v>28.75</v>
      </c>
      <c r="CI75" s="273" t="s">
        <v>3927</v>
      </c>
      <c r="CJ75" s="273"/>
      <c r="CK75" s="273"/>
      <c r="CL75" s="273"/>
      <c r="CM75" s="273" t="s">
        <v>9410</v>
      </c>
      <c r="CN75" s="263" t="s">
        <v>10375</v>
      </c>
      <c r="CO75" s="273" t="s">
        <v>10370</v>
      </c>
      <c r="CP75" s="304"/>
      <c r="CQ75" s="304"/>
      <c r="CR75" s="304"/>
      <c r="CS75" s="304"/>
      <c r="CT75" s="304"/>
      <c r="CU75" s="62"/>
      <c r="CV75" s="273" t="s">
        <v>10487</v>
      </c>
      <c r="CW75" s="304"/>
      <c r="CX75" s="273" t="s">
        <v>10423</v>
      </c>
      <c r="CY75" s="273" t="s">
        <v>10488</v>
      </c>
      <c r="CZ75" s="273"/>
      <c r="DA75" s="273"/>
      <c r="DB75" s="301" t="str">
        <f>HYPERLINK("https://youtu.be/XTRC8xLEK0E","2:15.69")</f>
        <v>2:15.69</v>
      </c>
      <c r="DC75" s="273" t="s">
        <v>3542</v>
      </c>
      <c r="DD75" s="304"/>
      <c r="DE75" s="304"/>
      <c r="DF75" s="304"/>
      <c r="DG75" s="304"/>
      <c r="DH75" s="304"/>
      <c r="DI75" s="304"/>
      <c r="DJ75" s="304"/>
      <c r="DK75" s="304"/>
      <c r="DL75" s="304"/>
      <c r="DM75" s="301" t="str">
        <f>HYPERLINK("https://clips.twitch.tv/KathishAwkwardHareBCWarrior","15.73")</f>
        <v>15.73</v>
      </c>
      <c r="DN75" s="304"/>
      <c r="DO75" s="273"/>
      <c r="DP75" s="304"/>
      <c r="DQ75" s="304"/>
      <c r="DR75" s="273" t="s">
        <v>5122</v>
      </c>
      <c r="DS75" s="273"/>
      <c r="DT75" s="304"/>
      <c r="DU75" s="304"/>
      <c r="DV75" s="304"/>
      <c r="DW75" s="304"/>
      <c r="DX75" s="304"/>
      <c r="DY75" s="304"/>
      <c r="DZ75" s="304"/>
      <c r="EA75" s="304"/>
      <c r="EB75" s="304"/>
      <c r="EC75" s="304"/>
      <c r="ED75" s="885"/>
    </row>
    <row r="76">
      <c r="A76" s="545" t="s">
        <v>10489</v>
      </c>
      <c r="B76" s="381" t="s">
        <v>10490</v>
      </c>
      <c r="C76" s="384" t="s">
        <v>155</v>
      </c>
      <c r="D76" s="386" t="s">
        <v>155</v>
      </c>
      <c r="E76" s="389" t="s">
        <v>155</v>
      </c>
      <c r="F76" s="390" t="s">
        <v>155</v>
      </c>
      <c r="G76" s="381" t="s">
        <v>10352</v>
      </c>
      <c r="H76" s="547" t="s">
        <v>3851</v>
      </c>
      <c r="I76" s="547" t="s">
        <v>8931</v>
      </c>
      <c r="J76" s="547" t="s">
        <v>10491</v>
      </c>
      <c r="K76" s="547" t="s">
        <v>10492</v>
      </c>
      <c r="L76" s="547" t="s">
        <v>10493</v>
      </c>
      <c r="M76" s="547" t="s">
        <v>10494</v>
      </c>
      <c r="N76" s="547" t="s">
        <v>10495</v>
      </c>
      <c r="O76" s="547" t="s">
        <v>1372</v>
      </c>
      <c r="P76" s="547" t="s">
        <v>4550</v>
      </c>
      <c r="Q76" s="547" t="s">
        <v>5499</v>
      </c>
      <c r="R76" s="547" t="s">
        <v>2336</v>
      </c>
      <c r="S76" s="547" t="s">
        <v>10496</v>
      </c>
      <c r="T76" s="849"/>
      <c r="U76" s="849"/>
      <c r="V76" s="547" t="s">
        <v>9083</v>
      </c>
      <c r="W76" s="62"/>
      <c r="X76" s="683" t="s">
        <v>4178</v>
      </c>
      <c r="Y76" s="683"/>
      <c r="Z76" s="683" t="s">
        <v>10497</v>
      </c>
      <c r="AA76" s="683" t="s">
        <v>9683</v>
      </c>
      <c r="AB76" s="683" t="s">
        <v>2014</v>
      </c>
      <c r="AC76" s="683" t="s">
        <v>10033</v>
      </c>
      <c r="AD76" s="683" t="s">
        <v>6472</v>
      </c>
      <c r="AE76" s="683" t="s">
        <v>9134</v>
      </c>
      <c r="AF76" s="683" t="s">
        <v>10498</v>
      </c>
      <c r="AG76" s="683" t="s">
        <v>2762</v>
      </c>
      <c r="AH76" s="683" t="s">
        <v>10499</v>
      </c>
      <c r="AI76" s="683"/>
      <c r="AJ76" s="683" t="s">
        <v>10500</v>
      </c>
      <c r="AK76" s="683" t="s">
        <v>10501</v>
      </c>
      <c r="AL76" s="61"/>
      <c r="AM76" s="571" t="s">
        <v>891</v>
      </c>
      <c r="AN76" s="571" t="s">
        <v>10502</v>
      </c>
      <c r="AO76" s="571" t="s">
        <v>10503</v>
      </c>
      <c r="AP76" s="571" t="s">
        <v>2352</v>
      </c>
      <c r="AQ76" s="571" t="s">
        <v>10504</v>
      </c>
      <c r="AR76" s="571" t="s">
        <v>2774</v>
      </c>
      <c r="AS76" s="571" t="s">
        <v>4314</v>
      </c>
      <c r="AT76" s="571" t="s">
        <v>10505</v>
      </c>
      <c r="AU76" s="571" t="s">
        <v>947</v>
      </c>
      <c r="AV76" s="571" t="s">
        <v>2615</v>
      </c>
      <c r="AW76" s="571" t="s">
        <v>10506</v>
      </c>
      <c r="AX76" s="571" t="s">
        <v>5607</v>
      </c>
      <c r="AY76" s="571" t="s">
        <v>5547</v>
      </c>
      <c r="AZ76" s="571" t="s">
        <v>10507</v>
      </c>
      <c r="BA76" s="571"/>
      <c r="BB76" s="589" t="s">
        <v>2191</v>
      </c>
      <c r="BC76" s="589" t="s">
        <v>5105</v>
      </c>
      <c r="BD76" s="589" t="s">
        <v>9701</v>
      </c>
      <c r="BE76" s="589" t="s">
        <v>686</v>
      </c>
      <c r="BF76" s="589" t="s">
        <v>10308</v>
      </c>
      <c r="BG76" s="589" t="s">
        <v>4557</v>
      </c>
      <c r="BH76" s="589" t="s">
        <v>3070</v>
      </c>
      <c r="BI76" s="589" t="s">
        <v>1842</v>
      </c>
      <c r="BJ76" s="587"/>
      <c r="BK76" s="589" t="s">
        <v>7214</v>
      </c>
      <c r="BL76" s="589" t="s">
        <v>9518</v>
      </c>
      <c r="BM76" s="587"/>
      <c r="BN76" s="589" t="s">
        <v>4532</v>
      </c>
      <c r="BO76" s="589" t="s">
        <v>3363</v>
      </c>
      <c r="BP76" s="589" t="s">
        <v>10508</v>
      </c>
      <c r="BQ76" s="589"/>
      <c r="BR76" s="594"/>
      <c r="BS76" s="594" t="s">
        <v>10509</v>
      </c>
      <c r="BT76" s="594" t="s">
        <v>10510</v>
      </c>
      <c r="BU76" s="594" t="s">
        <v>10511</v>
      </c>
      <c r="BV76" s="594" t="s">
        <v>10512</v>
      </c>
      <c r="BW76" s="594" t="s">
        <v>10513</v>
      </c>
      <c r="BX76" s="594" t="s">
        <v>4843</v>
      </c>
      <c r="BY76" s="859"/>
      <c r="BZ76" s="594" t="s">
        <v>10514</v>
      </c>
      <c r="CA76" s="594" t="s">
        <v>10515</v>
      </c>
      <c r="CB76" s="594" t="s">
        <v>10516</v>
      </c>
      <c r="CC76" s="594" t="s">
        <v>10517</v>
      </c>
      <c r="CD76" s="594" t="s">
        <v>4409</v>
      </c>
      <c r="CE76" s="594" t="s">
        <v>10518</v>
      </c>
      <c r="CF76" s="594"/>
      <c r="CG76" s="606" t="s">
        <v>8282</v>
      </c>
      <c r="CH76" s="606" t="s">
        <v>10519</v>
      </c>
      <c r="CI76" s="606" t="s">
        <v>10520</v>
      </c>
      <c r="CJ76" s="606" t="s">
        <v>10521</v>
      </c>
      <c r="CK76" s="606"/>
      <c r="CL76" s="606" t="s">
        <v>608</v>
      </c>
      <c r="CM76" s="1779" t="s">
        <v>1683</v>
      </c>
      <c r="CN76" s="606" t="s">
        <v>9910</v>
      </c>
      <c r="CO76" s="606" t="s">
        <v>3690</v>
      </c>
      <c r="CP76" s="863"/>
      <c r="CQ76" s="606" t="s">
        <v>4816</v>
      </c>
      <c r="CR76" s="606"/>
      <c r="CS76" s="606" t="s">
        <v>3466</v>
      </c>
      <c r="CT76" s="606" t="s">
        <v>9018</v>
      </c>
      <c r="CU76" s="62"/>
      <c r="CV76" s="703" t="s">
        <v>5140</v>
      </c>
      <c r="CW76" s="703" t="s">
        <v>6070</v>
      </c>
      <c r="CX76" s="703" t="s">
        <v>10522</v>
      </c>
      <c r="CY76" s="703" t="s">
        <v>5060</v>
      </c>
      <c r="CZ76" s="703" t="s">
        <v>10523</v>
      </c>
      <c r="DA76" s="703" t="s">
        <v>10524</v>
      </c>
      <c r="DB76" s="703" t="s">
        <v>10525</v>
      </c>
      <c r="DC76" s="703" t="s">
        <v>5344</v>
      </c>
      <c r="DD76" s="703" t="s">
        <v>2426</v>
      </c>
      <c r="DE76" s="703" t="s">
        <v>10526</v>
      </c>
      <c r="DF76" s="703" t="s">
        <v>5188</v>
      </c>
      <c r="DG76" s="703" t="s">
        <v>10527</v>
      </c>
      <c r="DH76" s="703"/>
      <c r="DI76" s="707" t="s">
        <v>1678</v>
      </c>
      <c r="DJ76" s="707" t="s">
        <v>500</v>
      </c>
      <c r="DK76" s="707" t="s">
        <v>7003</v>
      </c>
      <c r="DL76" s="707"/>
      <c r="DM76" s="707" t="s">
        <v>3434</v>
      </c>
      <c r="DN76" s="707" t="s">
        <v>10528</v>
      </c>
      <c r="DO76" s="707" t="s">
        <v>1374</v>
      </c>
      <c r="DP76" s="707" t="s">
        <v>10529</v>
      </c>
      <c r="DQ76" s="866"/>
      <c r="DR76" s="707" t="s">
        <v>10530</v>
      </c>
      <c r="DS76" s="707" t="s">
        <v>10531</v>
      </c>
      <c r="DT76" s="866"/>
      <c r="DU76" s="707" t="s">
        <v>10094</v>
      </c>
      <c r="DV76" s="707" t="s">
        <v>4774</v>
      </c>
      <c r="DW76" s="707" t="s">
        <v>4111</v>
      </c>
      <c r="DX76" s="866"/>
      <c r="DY76" s="707" t="s">
        <v>8467</v>
      </c>
      <c r="DZ76" s="707" t="s">
        <v>9931</v>
      </c>
      <c r="EA76" s="707" t="s">
        <v>420</v>
      </c>
      <c r="EB76" s="707" t="s">
        <v>10532</v>
      </c>
      <c r="EC76" s="707" t="s">
        <v>9379</v>
      </c>
      <c r="ED76" s="974" t="s">
        <v>9863</v>
      </c>
    </row>
    <row r="77">
      <c r="A77" s="228" t="s">
        <v>6609</v>
      </c>
      <c r="B77" s="229" t="s">
        <v>10533</v>
      </c>
      <c r="C77" s="230" t="s">
        <v>76</v>
      </c>
      <c r="D77" s="231" t="s">
        <v>155</v>
      </c>
      <c r="E77" s="232" t="s">
        <v>155</v>
      </c>
      <c r="F77" s="233" t="s">
        <v>156</v>
      </c>
      <c r="G77" s="229" t="s">
        <v>3770</v>
      </c>
      <c r="H77" s="273" t="s">
        <v>2793</v>
      </c>
      <c r="I77" s="263" t="s">
        <v>6019</v>
      </c>
      <c r="J77" s="263" t="s">
        <v>10273</v>
      </c>
      <c r="K77" s="273" t="s">
        <v>9588</v>
      </c>
      <c r="L77" s="263" t="s">
        <v>10534</v>
      </c>
      <c r="M77" s="304"/>
      <c r="N77" s="263" t="s">
        <v>10535</v>
      </c>
      <c r="O77" s="263" t="s">
        <v>9826</v>
      </c>
      <c r="P77" s="273" t="s">
        <v>379</v>
      </c>
      <c r="Q77" s="304"/>
      <c r="R77" s="304"/>
      <c r="S77" s="273" t="s">
        <v>1712</v>
      </c>
      <c r="T77" s="273" t="s">
        <v>3570</v>
      </c>
      <c r="U77" s="304"/>
      <c r="V77" s="304"/>
      <c r="W77" s="62"/>
      <c r="X77" s="273" t="s">
        <v>10536</v>
      </c>
      <c r="Y77" s="273"/>
      <c r="Z77" s="273" t="s">
        <v>10537</v>
      </c>
      <c r="AA77" s="273" t="s">
        <v>10338</v>
      </c>
      <c r="AB77" s="273" t="s">
        <v>6339</v>
      </c>
      <c r="AC77" s="273" t="s">
        <v>5247</v>
      </c>
      <c r="AD77" s="273" t="s">
        <v>6937</v>
      </c>
      <c r="AE77" s="304"/>
      <c r="AF77" s="273"/>
      <c r="AG77" s="273" t="s">
        <v>359</v>
      </c>
      <c r="AH77" s="304"/>
      <c r="AI77" s="273"/>
      <c r="AJ77" s="273" t="s">
        <v>9540</v>
      </c>
      <c r="AK77" s="304"/>
      <c r="AL77" s="61"/>
      <c r="AM77" s="273" t="s">
        <v>3998</v>
      </c>
      <c r="AN77" s="273" t="s">
        <v>10538</v>
      </c>
      <c r="AO77" s="304"/>
      <c r="AP77" s="273" t="s">
        <v>5442</v>
      </c>
      <c r="AQ77" s="304"/>
      <c r="AR77" s="304"/>
      <c r="AS77" s="304"/>
      <c r="AT77" s="304"/>
      <c r="AU77" s="273" t="s">
        <v>5336</v>
      </c>
      <c r="AV77" s="273" t="s">
        <v>1443</v>
      </c>
      <c r="AW77" s="273"/>
      <c r="AX77" s="304"/>
      <c r="AY77" s="273" t="s">
        <v>408</v>
      </c>
      <c r="AZ77" s="304"/>
      <c r="BA77" s="304"/>
      <c r="BB77" s="273" t="s">
        <v>10539</v>
      </c>
      <c r="BC77" s="273" t="s">
        <v>1607</v>
      </c>
      <c r="BD77" s="273" t="s">
        <v>9795</v>
      </c>
      <c r="BE77" s="263" t="s">
        <v>10540</v>
      </c>
      <c r="BF77" s="273" t="s">
        <v>4833</v>
      </c>
      <c r="BG77" s="304"/>
      <c r="BH77" s="304"/>
      <c r="BI77" s="273" t="s">
        <v>4716</v>
      </c>
      <c r="BJ77" s="273"/>
      <c r="BK77" s="273"/>
      <c r="BL77" s="273" t="s">
        <v>3014</v>
      </c>
      <c r="BM77" s="304"/>
      <c r="BN77" s="273" t="s">
        <v>9768</v>
      </c>
      <c r="BO77" s="273" t="s">
        <v>3363</v>
      </c>
      <c r="BP77" s="304"/>
      <c r="BQ77" s="841"/>
      <c r="BR77" s="273"/>
      <c r="BS77" s="263" t="s">
        <v>7094</v>
      </c>
      <c r="BT77" s="273" t="s">
        <v>10363</v>
      </c>
      <c r="BU77" s="273" t="s">
        <v>10541</v>
      </c>
      <c r="BV77" s="273" t="s">
        <v>8621</v>
      </c>
      <c r="BW77" s="273" t="s">
        <v>3073</v>
      </c>
      <c r="BX77" s="236" t="s">
        <v>10542</v>
      </c>
      <c r="BY77" s="304"/>
      <c r="BZ77" s="273" t="s">
        <v>10543</v>
      </c>
      <c r="CA77" s="273" t="s">
        <v>9379</v>
      </c>
      <c r="CB77" s="263" t="s">
        <v>10544</v>
      </c>
      <c r="CC77" s="273" t="s">
        <v>10545</v>
      </c>
      <c r="CD77" s="273" t="s">
        <v>2829</v>
      </c>
      <c r="CE77" s="304"/>
      <c r="CF77" s="841"/>
      <c r="CG77" s="263" t="s">
        <v>3270</v>
      </c>
      <c r="CH77" s="273" t="s">
        <v>1513</v>
      </c>
      <c r="CI77" s="263"/>
      <c r="CJ77" s="242" t="s">
        <v>7719</v>
      </c>
      <c r="CK77" s="333"/>
      <c r="CL77" s="333"/>
      <c r="CM77" s="273" t="s">
        <v>9605</v>
      </c>
      <c r="CN77" s="273" t="s">
        <v>3936</v>
      </c>
      <c r="CO77" s="273" t="s">
        <v>1354</v>
      </c>
      <c r="CP77" s="304"/>
      <c r="CQ77" s="304"/>
      <c r="CR77" s="304"/>
      <c r="CS77" s="304"/>
      <c r="CT77" s="304"/>
      <c r="CU77" s="62"/>
      <c r="CV77" s="273" t="s">
        <v>8916</v>
      </c>
      <c r="CW77" s="304"/>
      <c r="CX77" s="273" t="s">
        <v>5007</v>
      </c>
      <c r="CY77" s="273" t="s">
        <v>3536</v>
      </c>
      <c r="CZ77" s="304"/>
      <c r="DA77" s="304"/>
      <c r="DB77" s="273" t="s">
        <v>3629</v>
      </c>
      <c r="DC77" s="301" t="str">
        <f>HYPERLINK("https://www.youtube.com/watch?v=lJ0vz6bQQE0","18.10")</f>
        <v>18.10</v>
      </c>
      <c r="DD77" s="304"/>
      <c r="DE77" s="273" t="s">
        <v>4783</v>
      </c>
      <c r="DF77" s="304"/>
      <c r="DG77" s="304"/>
      <c r="DH77" s="304"/>
      <c r="DI77" s="304"/>
      <c r="DJ77" s="304"/>
      <c r="DK77" s="304"/>
      <c r="DL77" s="304"/>
      <c r="DM77" s="304"/>
      <c r="DN77" s="304"/>
      <c r="DO77" s="304"/>
      <c r="DP77" s="304"/>
      <c r="DQ77" s="304"/>
      <c r="DR77" s="273" t="s">
        <v>10546</v>
      </c>
      <c r="DS77" s="273"/>
      <c r="DT77" s="304"/>
      <c r="DU77" s="304"/>
      <c r="DV77" s="273" t="s">
        <v>6357</v>
      </c>
      <c r="DW77" s="304"/>
      <c r="DX77" s="304"/>
      <c r="DY77" s="304"/>
      <c r="DZ77" s="304"/>
      <c r="EA77" s="273" t="s">
        <v>4089</v>
      </c>
      <c r="EB77" s="304"/>
      <c r="EC77" s="304"/>
      <c r="ED77" s="885"/>
    </row>
    <row r="78">
      <c r="A78" s="545" t="s">
        <v>10547</v>
      </c>
      <c r="B78" s="381" t="s">
        <v>10548</v>
      </c>
      <c r="C78" s="384" t="s">
        <v>155</v>
      </c>
      <c r="D78" s="386" t="s">
        <v>155</v>
      </c>
      <c r="E78" s="389" t="s">
        <v>155</v>
      </c>
      <c r="F78" s="390" t="s">
        <v>155</v>
      </c>
      <c r="G78" s="381" t="s">
        <v>2294</v>
      </c>
      <c r="H78" s="547"/>
      <c r="I78" s="547" t="s">
        <v>10549</v>
      </c>
      <c r="J78" s="547" t="s">
        <v>659</v>
      </c>
      <c r="K78" s="547" t="s">
        <v>774</v>
      </c>
      <c r="L78" s="547" t="s">
        <v>10156</v>
      </c>
      <c r="M78" s="547" t="s">
        <v>10550</v>
      </c>
      <c r="N78" s="547" t="s">
        <v>6365</v>
      </c>
      <c r="O78" s="547" t="s">
        <v>10396</v>
      </c>
      <c r="P78" s="547" t="s">
        <v>10551</v>
      </c>
      <c r="Q78" s="849"/>
      <c r="R78" s="849"/>
      <c r="S78" s="849"/>
      <c r="T78" s="849"/>
      <c r="U78" s="849"/>
      <c r="V78" s="849"/>
      <c r="W78" s="62"/>
      <c r="X78" s="683" t="s">
        <v>4641</v>
      </c>
      <c r="Y78" s="683"/>
      <c r="Z78" s="683" t="s">
        <v>10552</v>
      </c>
      <c r="AA78" s="683" t="s">
        <v>2466</v>
      </c>
      <c r="AB78" s="683" t="s">
        <v>4563</v>
      </c>
      <c r="AC78" s="683" t="s">
        <v>3553</v>
      </c>
      <c r="AD78" s="683" t="s">
        <v>3070</v>
      </c>
      <c r="AE78" s="852"/>
      <c r="AF78" s="1218" t="s">
        <v>3214</v>
      </c>
      <c r="AG78" s="683" t="s">
        <v>10388</v>
      </c>
      <c r="AH78" s="852"/>
      <c r="AI78" s="852"/>
      <c r="AJ78" s="852"/>
      <c r="AK78" s="852"/>
      <c r="AL78" s="61"/>
      <c r="AM78" s="855"/>
      <c r="AN78" s="855"/>
      <c r="AO78" s="855"/>
      <c r="AP78" s="855"/>
      <c r="AQ78" s="855"/>
      <c r="AR78" s="855"/>
      <c r="AS78" s="855"/>
      <c r="AT78" s="855"/>
      <c r="AU78" s="571" t="s">
        <v>3866</v>
      </c>
      <c r="AV78" s="571" t="s">
        <v>5346</v>
      </c>
      <c r="AW78" s="855"/>
      <c r="AX78" s="855"/>
      <c r="AY78" s="855"/>
      <c r="AZ78" s="855"/>
      <c r="BA78" s="855"/>
      <c r="BB78" s="695" t="s">
        <v>9014</v>
      </c>
      <c r="BC78" s="589" t="s">
        <v>10553</v>
      </c>
      <c r="BD78" s="589" t="s">
        <v>9492</v>
      </c>
      <c r="BE78" s="589" t="s">
        <v>10554</v>
      </c>
      <c r="BF78" s="589" t="s">
        <v>10555</v>
      </c>
      <c r="BG78" s="589" t="s">
        <v>1280</v>
      </c>
      <c r="BH78" s="587"/>
      <c r="BI78" s="589" t="s">
        <v>4856</v>
      </c>
      <c r="BJ78" s="589" t="s">
        <v>10556</v>
      </c>
      <c r="BK78" s="589" t="s">
        <v>10557</v>
      </c>
      <c r="BL78" s="589" t="s">
        <v>4371</v>
      </c>
      <c r="BM78" s="587"/>
      <c r="BN78" s="587"/>
      <c r="BO78" s="587"/>
      <c r="BP78" s="587"/>
      <c r="BQ78" s="857"/>
      <c r="BR78" s="594" t="s">
        <v>10558</v>
      </c>
      <c r="BS78" s="594" t="s">
        <v>10559</v>
      </c>
      <c r="BT78" s="594" t="s">
        <v>10363</v>
      </c>
      <c r="BU78" s="594" t="s">
        <v>9746</v>
      </c>
      <c r="BV78" s="594" t="s">
        <v>3856</v>
      </c>
      <c r="BW78" s="594" t="s">
        <v>10560</v>
      </c>
      <c r="BX78" s="594" t="s">
        <v>10561</v>
      </c>
      <c r="BY78" s="594" t="s">
        <v>10562</v>
      </c>
      <c r="BZ78" s="594" t="s">
        <v>10563</v>
      </c>
      <c r="CA78" s="594" t="s">
        <v>10150</v>
      </c>
      <c r="CB78" s="859"/>
      <c r="CC78" s="859"/>
      <c r="CD78" s="859"/>
      <c r="CE78" s="859"/>
      <c r="CF78" s="861"/>
      <c r="CG78" s="606" t="s">
        <v>8340</v>
      </c>
      <c r="CH78" s="606" t="s">
        <v>9635</v>
      </c>
      <c r="CI78" s="606" t="s">
        <v>10297</v>
      </c>
      <c r="CJ78" s="606" t="s">
        <v>10564</v>
      </c>
      <c r="CK78" s="606"/>
      <c r="CL78" s="606" t="s">
        <v>10565</v>
      </c>
      <c r="CM78" s="606" t="s">
        <v>1969</v>
      </c>
      <c r="CN78" s="606" t="s">
        <v>10287</v>
      </c>
      <c r="CO78" s="606" t="s">
        <v>3701</v>
      </c>
      <c r="CP78" s="863"/>
      <c r="CQ78" s="863"/>
      <c r="CR78" s="863"/>
      <c r="CS78" s="863"/>
      <c r="CT78" s="863"/>
      <c r="CU78" s="62"/>
      <c r="CV78" s="703" t="s">
        <v>2398</v>
      </c>
      <c r="CW78" s="703" t="s">
        <v>741</v>
      </c>
      <c r="CX78" s="703" t="s">
        <v>3400</v>
      </c>
      <c r="CY78" s="703" t="s">
        <v>3187</v>
      </c>
      <c r="CZ78" s="703" t="s">
        <v>6397</v>
      </c>
      <c r="DA78" s="703" t="s">
        <v>10566</v>
      </c>
      <c r="DB78" s="703" t="s">
        <v>10567</v>
      </c>
      <c r="DC78" s="703" t="s">
        <v>10568</v>
      </c>
      <c r="DD78" s="864"/>
      <c r="DE78" s="864"/>
      <c r="DF78" s="864"/>
      <c r="DG78" s="864"/>
      <c r="DH78" s="864"/>
      <c r="DI78" s="866"/>
      <c r="DJ78" s="866"/>
      <c r="DK78" s="866"/>
      <c r="DL78" s="866"/>
      <c r="DM78" s="866"/>
      <c r="DN78" s="866"/>
      <c r="DO78" s="866"/>
      <c r="DP78" s="866"/>
      <c r="DQ78" s="866"/>
      <c r="DR78" s="707" t="s">
        <v>6913</v>
      </c>
      <c r="DS78" s="707" t="s">
        <v>5231</v>
      </c>
      <c r="DT78" s="866"/>
      <c r="DU78" s="866"/>
      <c r="DV78" s="866"/>
      <c r="DW78" s="866"/>
      <c r="DX78" s="866"/>
      <c r="DY78" s="866"/>
      <c r="DZ78" s="866"/>
      <c r="EA78" s="866"/>
      <c r="EB78" s="866"/>
      <c r="EC78" s="866"/>
      <c r="ED78" s="974"/>
    </row>
    <row r="79">
      <c r="A79" s="1780" t="s">
        <v>10569</v>
      </c>
      <c r="B79" s="229" t="s">
        <v>10570</v>
      </c>
      <c r="C79" s="230" t="s">
        <v>155</v>
      </c>
      <c r="D79" s="231" t="s">
        <v>155</v>
      </c>
      <c r="E79" s="232" t="s">
        <v>155</v>
      </c>
      <c r="F79" s="233" t="s">
        <v>76</v>
      </c>
      <c r="G79" s="229" t="s">
        <v>1494</v>
      </c>
      <c r="H79" s="273" t="s">
        <v>2258</v>
      </c>
      <c r="I79" s="273" t="s">
        <v>5435</v>
      </c>
      <c r="J79" s="273" t="s">
        <v>10102</v>
      </c>
      <c r="K79" s="273" t="s">
        <v>743</v>
      </c>
      <c r="L79" s="273" t="s">
        <v>5024</v>
      </c>
      <c r="M79" s="273" t="s">
        <v>9049</v>
      </c>
      <c r="N79" s="273" t="s">
        <v>10571</v>
      </c>
      <c r="O79" s="273" t="s">
        <v>10572</v>
      </c>
      <c r="P79" s="273" t="s">
        <v>1354</v>
      </c>
      <c r="Q79" s="304"/>
      <c r="R79" s="304"/>
      <c r="S79" s="273" t="s">
        <v>4735</v>
      </c>
      <c r="T79" s="304"/>
      <c r="U79" s="273" t="s">
        <v>10573</v>
      </c>
      <c r="V79" s="304"/>
      <c r="W79" s="62"/>
      <c r="X79" s="273" t="s">
        <v>10574</v>
      </c>
      <c r="Y79" s="273"/>
      <c r="Z79" s="273" t="s">
        <v>10575</v>
      </c>
      <c r="AA79" s="273" t="s">
        <v>1824</v>
      </c>
      <c r="AB79" s="273" t="s">
        <v>10576</v>
      </c>
      <c r="AC79" s="273" t="s">
        <v>10258</v>
      </c>
      <c r="AD79" s="273" t="s">
        <v>7263</v>
      </c>
      <c r="AE79" s="304"/>
      <c r="AF79" s="273" t="s">
        <v>9696</v>
      </c>
      <c r="AG79" s="273" t="s">
        <v>1613</v>
      </c>
      <c r="AH79" s="273" t="s">
        <v>10577</v>
      </c>
      <c r="AI79" s="304"/>
      <c r="AJ79" s="304"/>
      <c r="AK79" s="304"/>
      <c r="AL79" s="61"/>
      <c r="AM79" s="304"/>
      <c r="AN79" s="273" t="s">
        <v>3719</v>
      </c>
      <c r="AO79" s="304"/>
      <c r="AP79" s="304"/>
      <c r="AQ79" s="304"/>
      <c r="AR79" s="304"/>
      <c r="AS79" s="304"/>
      <c r="AT79" s="304"/>
      <c r="AU79" s="273" t="s">
        <v>6063</v>
      </c>
      <c r="AV79" s="273" t="s">
        <v>10329</v>
      </c>
      <c r="AW79" s="304"/>
      <c r="AX79" s="304"/>
      <c r="AY79" s="304"/>
      <c r="AZ79" s="304"/>
      <c r="BA79" s="304"/>
      <c r="BB79" s="273" t="s">
        <v>1967</v>
      </c>
      <c r="BC79" s="273" t="s">
        <v>8037</v>
      </c>
      <c r="BD79" s="273" t="s">
        <v>802</v>
      </c>
      <c r="BE79" s="273" t="s">
        <v>10578</v>
      </c>
      <c r="BF79" s="273" t="s">
        <v>6442</v>
      </c>
      <c r="BG79" s="273" t="s">
        <v>267</v>
      </c>
      <c r="BH79" s="304"/>
      <c r="BI79" s="273" t="s">
        <v>711</v>
      </c>
      <c r="BJ79" s="273" t="s">
        <v>342</v>
      </c>
      <c r="BK79" s="304"/>
      <c r="BL79" s="273" t="s">
        <v>9413</v>
      </c>
      <c r="BM79" s="304"/>
      <c r="BN79" s="304"/>
      <c r="BO79" s="273" t="s">
        <v>10579</v>
      </c>
      <c r="BP79" s="304"/>
      <c r="BQ79" s="841"/>
      <c r="BR79" s="273" t="s">
        <v>10580</v>
      </c>
      <c r="BS79" s="1017" t="s">
        <v>1953</v>
      </c>
      <c r="BT79" s="1017" t="s">
        <v>10581</v>
      </c>
      <c r="BU79" s="1017" t="s">
        <v>10582</v>
      </c>
      <c r="BV79" s="1706" t="s">
        <v>4195</v>
      </c>
      <c r="BW79" s="1017" t="s">
        <v>5859</v>
      </c>
      <c r="BX79" s="242" t="s">
        <v>10583</v>
      </c>
      <c r="BY79" s="273" t="s">
        <v>5312</v>
      </c>
      <c r="BZ79" s="304"/>
      <c r="CA79" s="273" t="s">
        <v>10584</v>
      </c>
      <c r="CB79" s="304"/>
      <c r="CC79" s="304"/>
      <c r="CD79" s="304"/>
      <c r="CE79" s="304"/>
      <c r="CF79" s="841"/>
      <c r="CG79" s="1017" t="s">
        <v>3071</v>
      </c>
      <c r="CH79" s="1706" t="s">
        <v>2987</v>
      </c>
      <c r="CI79" s="1706" t="s">
        <v>10585</v>
      </c>
      <c r="CJ79" s="1706" t="s">
        <v>10586</v>
      </c>
      <c r="CK79" s="1706"/>
      <c r="CL79" s="1706" t="s">
        <v>788</v>
      </c>
      <c r="CM79" s="1017" t="s">
        <v>10587</v>
      </c>
      <c r="CN79" s="1706" t="s">
        <v>5007</v>
      </c>
      <c r="CO79" s="1017" t="s">
        <v>9398</v>
      </c>
      <c r="CP79" s="304"/>
      <c r="CQ79" s="304"/>
      <c r="CR79" s="304"/>
      <c r="CS79" s="304"/>
      <c r="CT79" s="304"/>
      <c r="CU79" s="62"/>
      <c r="CV79" s="1017" t="s">
        <v>2892</v>
      </c>
      <c r="CW79" s="1706" t="s">
        <v>764</v>
      </c>
      <c r="CX79" s="1017" t="s">
        <v>581</v>
      </c>
      <c r="CY79" s="1017" t="s">
        <v>3248</v>
      </c>
      <c r="CZ79" s="1017" t="s">
        <v>4962</v>
      </c>
      <c r="DA79" s="1017" t="s">
        <v>581</v>
      </c>
      <c r="DB79" s="1706" t="s">
        <v>10588</v>
      </c>
      <c r="DC79" s="1017" t="s">
        <v>2290</v>
      </c>
      <c r="DD79" s="304"/>
      <c r="DE79" s="304"/>
      <c r="DF79" s="304"/>
      <c r="DG79" s="304"/>
      <c r="DH79" s="304"/>
      <c r="DI79" s="1017"/>
      <c r="DJ79" s="1017"/>
      <c r="DK79" s="1017"/>
      <c r="DL79" s="1017"/>
      <c r="DM79" s="1017"/>
      <c r="DN79" s="273" t="s">
        <v>4710</v>
      </c>
      <c r="DO79" s="1017"/>
      <c r="DP79" s="1017"/>
      <c r="DQ79" s="273" t="s">
        <v>10283</v>
      </c>
      <c r="DR79" s="273" t="s">
        <v>6040</v>
      </c>
      <c r="DS79" s="273" t="s">
        <v>10589</v>
      </c>
      <c r="DT79" s="273" t="s">
        <v>10174</v>
      </c>
      <c r="DU79" s="273" t="s">
        <v>9778</v>
      </c>
      <c r="DV79" s="1017"/>
      <c r="DW79" s="1017"/>
      <c r="DX79" s="304"/>
      <c r="DY79" s="273" t="s">
        <v>2159</v>
      </c>
      <c r="DZ79" s="1017"/>
      <c r="EA79" s="1017"/>
      <c r="EB79" s="1017"/>
      <c r="EC79" s="273" t="s">
        <v>4175</v>
      </c>
      <c r="ED79" s="1706" t="s">
        <v>10590</v>
      </c>
    </row>
    <row r="80">
      <c r="A80" s="1691" t="s">
        <v>3102</v>
      </c>
      <c r="B80" s="381" t="s">
        <v>10591</v>
      </c>
      <c r="C80" s="384" t="s">
        <v>155</v>
      </c>
      <c r="D80" s="386" t="s">
        <v>155</v>
      </c>
      <c r="E80" s="389" t="s">
        <v>155</v>
      </c>
      <c r="F80" s="390" t="s">
        <v>3612</v>
      </c>
      <c r="G80" s="381" t="s">
        <v>3535</v>
      </c>
      <c r="H80" s="406" t="s">
        <v>9641</v>
      </c>
      <c r="I80" s="1003" t="s">
        <v>8419</v>
      </c>
      <c r="J80" s="547" t="s">
        <v>378</v>
      </c>
      <c r="K80" s="547" t="s">
        <v>729</v>
      </c>
      <c r="L80" s="547" t="s">
        <v>847</v>
      </c>
      <c r="M80" s="547" t="s">
        <v>10592</v>
      </c>
      <c r="N80" s="547" t="s">
        <v>892</v>
      </c>
      <c r="O80" s="547" t="s">
        <v>1252</v>
      </c>
      <c r="P80" s="547" t="s">
        <v>9683</v>
      </c>
      <c r="Q80" s="406" t="s">
        <v>3333</v>
      </c>
      <c r="R80" s="547" t="s">
        <v>9422</v>
      </c>
      <c r="S80" s="845" t="s">
        <v>9702</v>
      </c>
      <c r="T80" s="547" t="s">
        <v>9697</v>
      </c>
      <c r="U80" s="547" t="s">
        <v>5280</v>
      </c>
      <c r="V80" s="547" t="s">
        <v>10593</v>
      </c>
      <c r="W80" s="62"/>
      <c r="X80" s="1007" t="s">
        <v>10594</v>
      </c>
      <c r="Y80" s="683"/>
      <c r="Z80" s="683" t="s">
        <v>9755</v>
      </c>
      <c r="AA80" s="919" t="s">
        <v>387</v>
      </c>
      <c r="AB80" s="680" t="s">
        <v>10172</v>
      </c>
      <c r="AC80" s="680" t="s">
        <v>10595</v>
      </c>
      <c r="AD80" s="417" t="s">
        <v>6810</v>
      </c>
      <c r="AE80" s="852"/>
      <c r="AF80" s="417" t="s">
        <v>9874</v>
      </c>
      <c r="AG80" s="919" t="s">
        <v>10596</v>
      </c>
      <c r="AH80" s="683" t="s">
        <v>3588</v>
      </c>
      <c r="AI80" s="852"/>
      <c r="AJ80" s="683" t="s">
        <v>7009</v>
      </c>
      <c r="AK80" s="683" t="s">
        <v>10597</v>
      </c>
      <c r="AL80" s="61"/>
      <c r="AM80" s="571" t="s">
        <v>421</v>
      </c>
      <c r="AN80" s="571" t="s">
        <v>4734</v>
      </c>
      <c r="AO80" s="571" t="s">
        <v>6852</v>
      </c>
      <c r="AP80" s="571" t="s">
        <v>3771</v>
      </c>
      <c r="AQ80" s="571" t="s">
        <v>4889</v>
      </c>
      <c r="AR80" s="571" t="s">
        <v>3834</v>
      </c>
      <c r="AS80" s="571" t="s">
        <v>6092</v>
      </c>
      <c r="AT80" s="571" t="s">
        <v>10598</v>
      </c>
      <c r="AU80" s="571" t="s">
        <v>4250</v>
      </c>
      <c r="AV80" s="571" t="s">
        <v>4996</v>
      </c>
      <c r="AW80" s="571" t="s">
        <v>10599</v>
      </c>
      <c r="AX80" s="855"/>
      <c r="AY80" s="571" t="s">
        <v>713</v>
      </c>
      <c r="AZ80" s="966" t="s">
        <v>10600</v>
      </c>
      <c r="BA80" s="571"/>
      <c r="BB80" s="589" t="s">
        <v>10601</v>
      </c>
      <c r="BC80" s="589" t="s">
        <v>10602</v>
      </c>
      <c r="BD80" s="439" t="s">
        <v>4831</v>
      </c>
      <c r="BE80" s="589" t="s">
        <v>10603</v>
      </c>
      <c r="BF80" s="589" t="s">
        <v>7211</v>
      </c>
      <c r="BG80" s="589" t="s">
        <v>10604</v>
      </c>
      <c r="BH80" s="589" t="s">
        <v>6227</v>
      </c>
      <c r="BI80" s="589" t="s">
        <v>9422</v>
      </c>
      <c r="BJ80" s="589" t="s">
        <v>10605</v>
      </c>
      <c r="BK80" s="589" t="s">
        <v>10606</v>
      </c>
      <c r="BL80" s="589" t="s">
        <v>2934</v>
      </c>
      <c r="BM80" s="589" t="s">
        <v>8641</v>
      </c>
      <c r="BN80" s="1222" t="s">
        <v>10277</v>
      </c>
      <c r="BO80" s="589" t="s">
        <v>7467</v>
      </c>
      <c r="BP80" s="589" t="s">
        <v>10607</v>
      </c>
      <c r="BQ80" s="589"/>
      <c r="BR80" s="448" t="s">
        <v>9032</v>
      </c>
      <c r="BS80" s="594" t="s">
        <v>8489</v>
      </c>
      <c r="BT80" s="594" t="s">
        <v>10608</v>
      </c>
      <c r="BU80" s="448" t="s">
        <v>10609</v>
      </c>
      <c r="BV80" s="594" t="s">
        <v>6865</v>
      </c>
      <c r="BW80" s="594" t="s">
        <v>959</v>
      </c>
      <c r="BX80" s="859"/>
      <c r="BY80" s="594" t="s">
        <v>5682</v>
      </c>
      <c r="BZ80" s="595" t="s">
        <v>8745</v>
      </c>
      <c r="CA80" s="594" t="s">
        <v>10476</v>
      </c>
      <c r="CB80" s="594" t="s">
        <v>10610</v>
      </c>
      <c r="CC80" s="594" t="s">
        <v>10611</v>
      </c>
      <c r="CD80" s="594" t="s">
        <v>9842</v>
      </c>
      <c r="CE80" s="594" t="s">
        <v>10612</v>
      </c>
      <c r="CF80" s="861"/>
      <c r="CG80" s="606" t="s">
        <v>10613</v>
      </c>
      <c r="CH80" s="606" t="s">
        <v>2835</v>
      </c>
      <c r="CI80" s="606" t="s">
        <v>10614</v>
      </c>
      <c r="CJ80" s="606" t="s">
        <v>8417</v>
      </c>
      <c r="CK80" s="606"/>
      <c r="CL80" s="606" t="s">
        <v>371</v>
      </c>
      <c r="CM80" s="606" t="s">
        <v>8978</v>
      </c>
      <c r="CN80" s="459" t="s">
        <v>1132</v>
      </c>
      <c r="CO80" s="606" t="s">
        <v>6440</v>
      </c>
      <c r="CP80" s="606" t="s">
        <v>6497</v>
      </c>
      <c r="CQ80" s="606" t="s">
        <v>3777</v>
      </c>
      <c r="CR80" s="606"/>
      <c r="CS80" s="606" t="s">
        <v>4903</v>
      </c>
      <c r="CT80" s="459" t="s">
        <v>10615</v>
      </c>
      <c r="CU80" s="62"/>
      <c r="CV80" s="703" t="s">
        <v>6077</v>
      </c>
      <c r="CW80" s="703" t="s">
        <v>4420</v>
      </c>
      <c r="CX80" s="703" t="s">
        <v>8753</v>
      </c>
      <c r="CY80" s="703" t="s">
        <v>9866</v>
      </c>
      <c r="CZ80" s="703" t="s">
        <v>4956</v>
      </c>
      <c r="DA80" s="703" t="s">
        <v>10616</v>
      </c>
      <c r="DB80" s="823" t="s">
        <v>10617</v>
      </c>
      <c r="DC80" s="703" t="s">
        <v>10618</v>
      </c>
      <c r="DD80" s="703" t="s">
        <v>10619</v>
      </c>
      <c r="DE80" s="703" t="s">
        <v>9694</v>
      </c>
      <c r="DF80" s="703" t="s">
        <v>4530</v>
      </c>
      <c r="DG80" s="466" t="s">
        <v>10620</v>
      </c>
      <c r="DH80" s="703"/>
      <c r="DI80" s="866"/>
      <c r="DJ80" s="866"/>
      <c r="DK80" s="707" t="s">
        <v>6615</v>
      </c>
      <c r="DL80" s="866"/>
      <c r="DM80" s="483" t="s">
        <v>1381</v>
      </c>
      <c r="DN80" s="707" t="s">
        <v>6175</v>
      </c>
      <c r="DO80" s="707" t="s">
        <v>10345</v>
      </c>
      <c r="DP80" s="707" t="s">
        <v>10621</v>
      </c>
      <c r="DQ80" s="707" t="s">
        <v>4487</v>
      </c>
      <c r="DR80" s="707" t="s">
        <v>10471</v>
      </c>
      <c r="DS80" s="707" t="s">
        <v>9479</v>
      </c>
      <c r="DT80" s="707" t="s">
        <v>10229</v>
      </c>
      <c r="DU80" s="707" t="s">
        <v>5239</v>
      </c>
      <c r="DV80" s="707" t="s">
        <v>1959</v>
      </c>
      <c r="DW80" s="707" t="s">
        <v>10622</v>
      </c>
      <c r="DX80" s="707" t="s">
        <v>10623</v>
      </c>
      <c r="DY80" s="707" t="s">
        <v>10624</v>
      </c>
      <c r="DZ80" s="707" t="s">
        <v>653</v>
      </c>
      <c r="EA80" s="707" t="s">
        <v>10625</v>
      </c>
      <c r="EB80" s="483" t="s">
        <v>4686</v>
      </c>
      <c r="EC80" s="483" t="s">
        <v>5290</v>
      </c>
      <c r="ED80" s="475" t="s">
        <v>9731</v>
      </c>
    </row>
    <row r="81">
      <c r="A81" s="1781" t="s">
        <v>10626</v>
      </c>
      <c r="B81" s="1782" t="s">
        <v>10627</v>
      </c>
      <c r="C81" s="1783" t="s">
        <v>155</v>
      </c>
      <c r="D81" s="1784" t="s">
        <v>155</v>
      </c>
      <c r="E81" s="1785" t="s">
        <v>155</v>
      </c>
      <c r="F81" s="1786" t="s">
        <v>127</v>
      </c>
      <c r="G81" s="1782" t="s">
        <v>557</v>
      </c>
      <c r="H81" s="908"/>
      <c r="I81" s="885" t="s">
        <v>335</v>
      </c>
      <c r="J81" s="908" t="s">
        <v>1469</v>
      </c>
      <c r="K81" s="908" t="s">
        <v>158</v>
      </c>
      <c r="L81" s="908" t="s">
        <v>9663</v>
      </c>
      <c r="M81" s="242" t="s">
        <v>3147</v>
      </c>
      <c r="N81" s="908" t="s">
        <v>3370</v>
      </c>
      <c r="O81" s="908" t="s">
        <v>1356</v>
      </c>
      <c r="P81" s="908" t="s">
        <v>1677</v>
      </c>
      <c r="Q81" s="1650"/>
      <c r="R81" s="1650"/>
      <c r="S81" s="1650"/>
      <c r="T81" s="1650"/>
      <c r="U81" s="1650"/>
      <c r="V81" s="1650"/>
      <c r="W81" s="1787"/>
      <c r="X81" s="908" t="s">
        <v>5374</v>
      </c>
      <c r="Y81" s="908"/>
      <c r="Z81" s="908" t="s">
        <v>5064</v>
      </c>
      <c r="AA81" s="908" t="s">
        <v>2861</v>
      </c>
      <c r="AB81" s="908" t="s">
        <v>10306</v>
      </c>
      <c r="AC81" s="908" t="s">
        <v>3553</v>
      </c>
      <c r="AD81" s="908" t="s">
        <v>9740</v>
      </c>
      <c r="AE81" s="1650"/>
      <c r="AF81" s="908" t="s">
        <v>9286</v>
      </c>
      <c r="AG81" s="908" t="s">
        <v>4360</v>
      </c>
      <c r="AH81" s="1650"/>
      <c r="AI81" s="1650"/>
      <c r="AJ81" s="908"/>
      <c r="AK81" s="1650"/>
      <c r="AL81" s="1788"/>
      <c r="AM81" s="908"/>
      <c r="AN81" s="908"/>
      <c r="AO81" s="1650"/>
      <c r="AP81" s="1650"/>
      <c r="AQ81" s="1789"/>
      <c r="AR81" s="1789"/>
      <c r="AS81" s="1650"/>
      <c r="AT81" s="1650"/>
      <c r="AU81" s="908" t="s">
        <v>3706</v>
      </c>
      <c r="AV81" s="908" t="s">
        <v>4125</v>
      </c>
      <c r="AW81" s="908"/>
      <c r="AX81" s="1650"/>
      <c r="AY81" s="1650"/>
      <c r="AZ81" s="1650"/>
      <c r="BA81" s="1650"/>
      <c r="BB81" s="908" t="s">
        <v>9491</v>
      </c>
      <c r="BC81" s="908" t="s">
        <v>3603</v>
      </c>
      <c r="BD81" s="908" t="s">
        <v>802</v>
      </c>
      <c r="BE81" s="908" t="s">
        <v>10628</v>
      </c>
      <c r="BF81" s="908" t="s">
        <v>10629</v>
      </c>
      <c r="BG81" s="908"/>
      <c r="BH81" s="1650"/>
      <c r="BI81" s="908" t="s">
        <v>1443</v>
      </c>
      <c r="BJ81" s="1650"/>
      <c r="BK81" s="908" t="s">
        <v>10630</v>
      </c>
      <c r="BL81" s="908" t="s">
        <v>4376</v>
      </c>
      <c r="BM81" s="1650"/>
      <c r="BN81" s="1650"/>
      <c r="BO81" s="908"/>
      <c r="BP81" s="1650"/>
      <c r="BQ81" s="1790"/>
      <c r="BR81" s="908" t="s">
        <v>10631</v>
      </c>
      <c r="BS81" s="908" t="s">
        <v>10632</v>
      </c>
      <c r="BT81" s="908" t="s">
        <v>10633</v>
      </c>
      <c r="BU81" s="908" t="s">
        <v>10634</v>
      </c>
      <c r="BV81" s="908" t="s">
        <v>10635</v>
      </c>
      <c r="BW81" s="908" t="s">
        <v>3486</v>
      </c>
      <c r="BX81" s="242" t="s">
        <v>10636</v>
      </c>
      <c r="BY81" s="908"/>
      <c r="BZ81" s="908" t="s">
        <v>10637</v>
      </c>
      <c r="CA81" s="908" t="s">
        <v>4603</v>
      </c>
      <c r="CB81" s="1650"/>
      <c r="CC81" s="1650"/>
      <c r="CD81" s="1650"/>
      <c r="CE81" s="1650"/>
      <c r="CF81" s="1790"/>
      <c r="CG81" s="908" t="s">
        <v>7281</v>
      </c>
      <c r="CH81" s="908" t="s">
        <v>488</v>
      </c>
      <c r="CI81" s="908" t="s">
        <v>2621</v>
      </c>
      <c r="CJ81" s="908" t="s">
        <v>10638</v>
      </c>
      <c r="CK81" s="908"/>
      <c r="CL81" s="908" t="s">
        <v>10639</v>
      </c>
      <c r="CM81" s="908" t="s">
        <v>5510</v>
      </c>
      <c r="CN81" s="908" t="s">
        <v>2894</v>
      </c>
      <c r="CO81" s="908" t="s">
        <v>10640</v>
      </c>
      <c r="CP81" s="1791"/>
      <c r="CQ81" s="1650"/>
      <c r="CR81" s="1650"/>
      <c r="CS81" s="1650"/>
      <c r="CT81" s="1650"/>
      <c r="CU81" s="1787"/>
      <c r="CV81" s="908" t="s">
        <v>2729</v>
      </c>
      <c r="CW81" s="908" t="s">
        <v>10641</v>
      </c>
      <c r="CX81" s="908" t="s">
        <v>4251</v>
      </c>
      <c r="CY81" s="908" t="s">
        <v>10172</v>
      </c>
      <c r="CZ81" s="908" t="s">
        <v>4864</v>
      </c>
      <c r="DA81" s="908" t="s">
        <v>10239</v>
      </c>
      <c r="DB81" s="908" t="s">
        <v>10642</v>
      </c>
      <c r="DC81" s="908" t="s">
        <v>5344</v>
      </c>
      <c r="DD81" s="1650"/>
      <c r="DE81" s="1650"/>
      <c r="DF81" s="1650"/>
      <c r="DG81" s="1650"/>
      <c r="DH81" s="1650"/>
      <c r="DI81" s="908" t="s">
        <v>10643</v>
      </c>
      <c r="DJ81" s="1650"/>
      <c r="DK81" s="1650"/>
      <c r="DL81" s="908"/>
      <c r="DM81" s="908"/>
      <c r="DN81" s="908"/>
      <c r="DO81" s="1650"/>
      <c r="DP81" s="1650"/>
      <c r="DQ81" s="1650"/>
      <c r="DR81" s="908" t="s">
        <v>8959</v>
      </c>
      <c r="DS81" s="908" t="s">
        <v>3953</v>
      </c>
      <c r="DT81" s="1650"/>
      <c r="DU81" s="908"/>
      <c r="DV81" s="1650"/>
      <c r="DW81" s="1650"/>
      <c r="DX81" s="1650"/>
      <c r="DY81" s="1650"/>
      <c r="DZ81" s="1650"/>
      <c r="EA81" s="908"/>
      <c r="EB81" s="1650"/>
      <c r="EC81" s="1650"/>
      <c r="ED81" s="885"/>
    </row>
    <row r="82">
      <c r="A82" s="545" t="s">
        <v>7256</v>
      </c>
      <c r="B82" s="381" t="s">
        <v>10644</v>
      </c>
      <c r="C82" s="384" t="s">
        <v>155</v>
      </c>
      <c r="D82" s="386" t="s">
        <v>155</v>
      </c>
      <c r="E82" s="389" t="s">
        <v>155</v>
      </c>
      <c r="F82" s="390" t="s">
        <v>260</v>
      </c>
      <c r="G82" s="381" t="s">
        <v>1671</v>
      </c>
      <c r="H82" s="547"/>
      <c r="I82" s="406" t="s">
        <v>10645</v>
      </c>
      <c r="J82" s="849" t="s">
        <v>5547</v>
      </c>
      <c r="K82" s="845" t="s">
        <v>10646</v>
      </c>
      <c r="L82" s="406" t="s">
        <v>4863</v>
      </c>
      <c r="M82" s="1549" t="s">
        <v>5153</v>
      </c>
      <c r="N82" s="849"/>
      <c r="O82" s="787" t="s">
        <v>10647</v>
      </c>
      <c r="P82" s="406" t="s">
        <v>1354</v>
      </c>
      <c r="Q82" s="849"/>
      <c r="R82" s="547"/>
      <c r="S82" s="547"/>
      <c r="T82" s="849"/>
      <c r="U82" s="849"/>
      <c r="V82" s="849"/>
      <c r="W82" s="62"/>
      <c r="X82" s="417" t="s">
        <v>5591</v>
      </c>
      <c r="Y82" s="683"/>
      <c r="Z82" s="683" t="s">
        <v>10575</v>
      </c>
      <c r="AA82" s="417" t="s">
        <v>2464</v>
      </c>
      <c r="AB82" s="683" t="s">
        <v>2082</v>
      </c>
      <c r="AC82" s="417" t="s">
        <v>2831</v>
      </c>
      <c r="AD82" s="683" t="s">
        <v>2287</v>
      </c>
      <c r="AE82" s="852"/>
      <c r="AF82" s="683"/>
      <c r="AG82" s="852"/>
      <c r="AH82" s="852"/>
      <c r="AI82" s="852"/>
      <c r="AJ82" s="852"/>
      <c r="AK82" s="852"/>
      <c r="AL82" s="61"/>
      <c r="AM82" s="855"/>
      <c r="AN82" s="855"/>
      <c r="AO82" s="571" t="s">
        <v>10648</v>
      </c>
      <c r="AP82" s="855"/>
      <c r="AQ82" s="855"/>
      <c r="AR82" s="855"/>
      <c r="AS82" s="855"/>
      <c r="AT82" s="571" t="s">
        <v>5154</v>
      </c>
      <c r="AU82" s="574" t="s">
        <v>3126</v>
      </c>
      <c r="AV82" s="855"/>
      <c r="AW82" s="855"/>
      <c r="AX82" s="855"/>
      <c r="AY82" s="855"/>
      <c r="AZ82" s="855"/>
      <c r="BA82" s="855"/>
      <c r="BB82" s="587"/>
      <c r="BC82" s="587"/>
      <c r="BD82" s="589" t="s">
        <v>2822</v>
      </c>
      <c r="BE82" s="439" t="s">
        <v>3777</v>
      </c>
      <c r="BF82" s="589" t="s">
        <v>5978</v>
      </c>
      <c r="BG82" s="587"/>
      <c r="BH82" s="587"/>
      <c r="BI82" s="589" t="s">
        <v>4657</v>
      </c>
      <c r="BJ82" s="589" t="s">
        <v>10649</v>
      </c>
      <c r="BK82" s="589"/>
      <c r="BL82" s="587"/>
      <c r="BM82" s="587"/>
      <c r="BN82" s="587"/>
      <c r="BO82" s="587"/>
      <c r="BP82" s="587"/>
      <c r="BQ82" s="857"/>
      <c r="BR82" s="594" t="s">
        <v>10650</v>
      </c>
      <c r="BS82" s="595" t="s">
        <v>10559</v>
      </c>
      <c r="BT82" s="594" t="s">
        <v>9606</v>
      </c>
      <c r="BU82" s="448" t="s">
        <v>10152</v>
      </c>
      <c r="BV82" s="859"/>
      <c r="BW82" s="448" t="s">
        <v>452</v>
      </c>
      <c r="BX82" s="859"/>
      <c r="BY82" s="594" t="s">
        <v>10651</v>
      </c>
      <c r="BZ82" s="859"/>
      <c r="CA82" s="859"/>
      <c r="CB82" s="859"/>
      <c r="CC82" s="859"/>
      <c r="CD82" s="859"/>
      <c r="CE82" s="859"/>
      <c r="CF82" s="861"/>
      <c r="CG82" s="606" t="s">
        <v>2677</v>
      </c>
      <c r="CH82" s="452" t="str">
        <f>HYPERLINK("https://www.youtube.com/watch?v=UbZGpsQP5wY","28.32")</f>
        <v>28.32</v>
      </c>
      <c r="CI82" s="606" t="s">
        <v>1735</v>
      </c>
      <c r="CJ82" s="863"/>
      <c r="CK82" s="863"/>
      <c r="CL82" s="863"/>
      <c r="CM82" s="606" t="s">
        <v>779</v>
      </c>
      <c r="CN82" s="459" t="s">
        <v>476</v>
      </c>
      <c r="CO82" s="459" t="s">
        <v>9846</v>
      </c>
      <c r="CP82" s="863"/>
      <c r="CQ82" s="863"/>
      <c r="CR82" s="863"/>
      <c r="CS82" s="863"/>
      <c r="CT82" s="863"/>
      <c r="CU82" s="62"/>
      <c r="CV82" s="703" t="s">
        <v>10652</v>
      </c>
      <c r="CW82" s="864"/>
      <c r="CX82" s="823" t="s">
        <v>2774</v>
      </c>
      <c r="CY82" s="703" t="s">
        <v>9899</v>
      </c>
      <c r="CZ82" s="703" t="s">
        <v>1986</v>
      </c>
      <c r="DA82" s="703" t="s">
        <v>1689</v>
      </c>
      <c r="DB82" s="466" t="s">
        <v>10588</v>
      </c>
      <c r="DC82" s="864"/>
      <c r="DD82" s="864"/>
      <c r="DE82" s="864"/>
      <c r="DF82" s="864"/>
      <c r="DG82" s="864"/>
      <c r="DH82" s="864"/>
      <c r="DI82" s="866"/>
      <c r="DJ82" s="866"/>
      <c r="DK82" s="866"/>
      <c r="DL82" s="866"/>
      <c r="DM82" s="866"/>
      <c r="DN82" s="866"/>
      <c r="DO82" s="866"/>
      <c r="DP82" s="866"/>
      <c r="DQ82" s="866"/>
      <c r="DR82" s="707" t="s">
        <v>6279</v>
      </c>
      <c r="DS82" s="707"/>
      <c r="DT82" s="866"/>
      <c r="DU82" s="866"/>
      <c r="DV82" s="866"/>
      <c r="DW82" s="866"/>
      <c r="DX82" s="866"/>
      <c r="DY82" s="866"/>
      <c r="DZ82" s="866"/>
      <c r="EA82" s="866"/>
      <c r="EB82" s="866"/>
      <c r="EC82" s="866"/>
      <c r="ED82" s="974"/>
    </row>
    <row r="83">
      <c r="A83" s="228" t="s">
        <v>317</v>
      </c>
      <c r="B83" s="229" t="s">
        <v>10653</v>
      </c>
      <c r="C83" s="230" t="s">
        <v>155</v>
      </c>
      <c r="D83" s="231" t="s">
        <v>155</v>
      </c>
      <c r="E83" s="232" t="s">
        <v>155</v>
      </c>
      <c r="F83" s="233" t="s">
        <v>721</v>
      </c>
      <c r="G83" s="229" t="s">
        <v>3081</v>
      </c>
      <c r="H83" s="242" t="s">
        <v>10654</v>
      </c>
      <c r="I83" s="242" t="s">
        <v>5717</v>
      </c>
      <c r="J83" s="908" t="s">
        <v>3088</v>
      </c>
      <c r="K83" s="242" t="s">
        <v>10655</v>
      </c>
      <c r="L83" s="242" t="s">
        <v>524</v>
      </c>
      <c r="M83" s="242" t="s">
        <v>10656</v>
      </c>
      <c r="N83" s="242" t="s">
        <v>10657</v>
      </c>
      <c r="O83" s="242" t="s">
        <v>10658</v>
      </c>
      <c r="P83" s="242" t="s">
        <v>605</v>
      </c>
      <c r="Q83" s="242" t="s">
        <v>10659</v>
      </c>
      <c r="R83" s="273" t="s">
        <v>3959</v>
      </c>
      <c r="S83" s="273" t="s">
        <v>10484</v>
      </c>
      <c r="T83" s="273" t="s">
        <v>5019</v>
      </c>
      <c r="U83" s="273" t="s">
        <v>5286</v>
      </c>
      <c r="V83" s="273" t="s">
        <v>10660</v>
      </c>
      <c r="W83" s="62"/>
      <c r="X83" s="242" t="s">
        <v>4937</v>
      </c>
      <c r="Y83" s="333"/>
      <c r="Z83" s="242" t="s">
        <v>1666</v>
      </c>
      <c r="AA83" s="242" t="s">
        <v>640</v>
      </c>
      <c r="AB83" s="273" t="s">
        <v>5146</v>
      </c>
      <c r="AC83" s="273" t="s">
        <v>9793</v>
      </c>
      <c r="AD83" s="242" t="s">
        <v>9622</v>
      </c>
      <c r="AE83" s="242" t="s">
        <v>8686</v>
      </c>
      <c r="AF83" s="242" t="s">
        <v>9183</v>
      </c>
      <c r="AG83" s="242" t="s">
        <v>1649</v>
      </c>
      <c r="AH83" s="273" t="s">
        <v>10661</v>
      </c>
      <c r="AI83" s="273" t="s">
        <v>3784</v>
      </c>
      <c r="AJ83" s="273" t="s">
        <v>2277</v>
      </c>
      <c r="AK83" s="273" t="s">
        <v>10662</v>
      </c>
      <c r="AL83" s="61"/>
      <c r="AM83" s="273" t="s">
        <v>2984</v>
      </c>
      <c r="AN83" s="273" t="s">
        <v>10663</v>
      </c>
      <c r="AO83" s="273" t="s">
        <v>3115</v>
      </c>
      <c r="AP83" s="273" t="s">
        <v>9088</v>
      </c>
      <c r="AQ83" s="273" t="s">
        <v>1184</v>
      </c>
      <c r="AR83" s="273"/>
      <c r="AS83" s="273" t="s">
        <v>10108</v>
      </c>
      <c r="AT83" s="273" t="s">
        <v>9704</v>
      </c>
      <c r="AU83" s="242" t="s">
        <v>5371</v>
      </c>
      <c r="AV83" s="242" t="s">
        <v>479</v>
      </c>
      <c r="AW83" s="242" t="s">
        <v>2430</v>
      </c>
      <c r="AX83" s="273" t="s">
        <v>3776</v>
      </c>
      <c r="AY83" s="273" t="s">
        <v>2586</v>
      </c>
      <c r="AZ83" s="273" t="s">
        <v>10664</v>
      </c>
      <c r="BA83" s="273"/>
      <c r="BB83" s="242" t="s">
        <v>779</v>
      </c>
      <c r="BC83" s="242" t="s">
        <v>5105</v>
      </c>
      <c r="BD83" s="242" t="s">
        <v>10665</v>
      </c>
      <c r="BE83" s="242" t="s">
        <v>10056</v>
      </c>
      <c r="BF83" s="273" t="s">
        <v>10666</v>
      </c>
      <c r="BG83" s="273" t="s">
        <v>10667</v>
      </c>
      <c r="BH83" s="273" t="s">
        <v>10668</v>
      </c>
      <c r="BI83" s="242" t="s">
        <v>802</v>
      </c>
      <c r="BJ83" s="273" t="s">
        <v>6202</v>
      </c>
      <c r="BK83" s="273"/>
      <c r="BL83" s="242" t="s">
        <v>10669</v>
      </c>
      <c r="BM83" s="273" t="s">
        <v>3543</v>
      </c>
      <c r="BN83" s="273" t="s">
        <v>3790</v>
      </c>
      <c r="BO83" s="242" t="s">
        <v>10670</v>
      </c>
      <c r="BP83" s="273" t="s">
        <v>10671</v>
      </c>
      <c r="BQ83" s="273"/>
      <c r="BR83" s="304"/>
      <c r="BS83" s="273" t="s">
        <v>4837</v>
      </c>
      <c r="BT83" s="242" t="s">
        <v>708</v>
      </c>
      <c r="BU83" s="242" t="s">
        <v>4377</v>
      </c>
      <c r="BV83" s="242" t="s">
        <v>3247</v>
      </c>
      <c r="BW83" s="242" t="s">
        <v>805</v>
      </c>
      <c r="BX83" s="273" t="s">
        <v>2900</v>
      </c>
      <c r="BY83" s="273" t="s">
        <v>10672</v>
      </c>
      <c r="BZ83" s="304"/>
      <c r="CA83" s="242" t="s">
        <v>4593</v>
      </c>
      <c r="CB83" s="242" t="s">
        <v>10673</v>
      </c>
      <c r="CC83" s="242" t="s">
        <v>4399</v>
      </c>
      <c r="CD83" s="273" t="s">
        <v>382</v>
      </c>
      <c r="CE83" s="273" t="s">
        <v>10674</v>
      </c>
      <c r="CF83" s="273"/>
      <c r="CG83" s="908" t="s">
        <v>10675</v>
      </c>
      <c r="CH83" s="242" t="s">
        <v>5164</v>
      </c>
      <c r="CI83" s="242" t="s">
        <v>10676</v>
      </c>
      <c r="CJ83" s="273" t="s">
        <v>8171</v>
      </c>
      <c r="CK83" s="273"/>
      <c r="CL83" s="1642" t="s">
        <v>10459</v>
      </c>
      <c r="CM83" s="242" t="s">
        <v>8647</v>
      </c>
      <c r="CN83" s="242" t="s">
        <v>1132</v>
      </c>
      <c r="CO83" s="242" t="s">
        <v>5216</v>
      </c>
      <c r="CP83" s="273" t="s">
        <v>10677</v>
      </c>
      <c r="CQ83" s="273" t="s">
        <v>3215</v>
      </c>
      <c r="CR83" s="273" t="s">
        <v>8949</v>
      </c>
      <c r="CS83" s="273" t="s">
        <v>10678</v>
      </c>
      <c r="CT83" s="273" t="s">
        <v>4045</v>
      </c>
      <c r="CU83" s="62"/>
      <c r="CV83" s="908" t="s">
        <v>391</v>
      </c>
      <c r="CW83" s="242" t="s">
        <v>6691</v>
      </c>
      <c r="CX83" s="273" t="s">
        <v>9416</v>
      </c>
      <c r="CY83" s="273" t="s">
        <v>9267</v>
      </c>
      <c r="CZ83" s="273" t="s">
        <v>1936</v>
      </c>
      <c r="DA83" s="273" t="s">
        <v>10347</v>
      </c>
      <c r="DB83" s="242" t="s">
        <v>10679</v>
      </c>
      <c r="DC83" s="273" t="s">
        <v>1197</v>
      </c>
      <c r="DD83" s="273" t="s">
        <v>10680</v>
      </c>
      <c r="DE83" s="273" t="s">
        <v>3413</v>
      </c>
      <c r="DF83" s="273" t="s">
        <v>2631</v>
      </c>
      <c r="DG83" s="273" t="s">
        <v>10681</v>
      </c>
      <c r="DH83" s="273"/>
      <c r="DI83" s="273" t="s">
        <v>10682</v>
      </c>
      <c r="DJ83" s="273" t="s">
        <v>10683</v>
      </c>
      <c r="DK83" s="273" t="s">
        <v>6268</v>
      </c>
      <c r="DL83" s="242" t="s">
        <v>3208</v>
      </c>
      <c r="DM83" s="242" t="s">
        <v>3434</v>
      </c>
      <c r="DN83" s="273" t="s">
        <v>10684</v>
      </c>
      <c r="DO83" s="273" t="s">
        <v>10685</v>
      </c>
      <c r="DP83" s="273" t="s">
        <v>9755</v>
      </c>
      <c r="DQ83" s="273" t="s">
        <v>10464</v>
      </c>
      <c r="DR83" s="242" t="s">
        <v>7646</v>
      </c>
      <c r="DS83" s="242" t="s">
        <v>1126</v>
      </c>
      <c r="DT83" s="242" t="s">
        <v>10195</v>
      </c>
      <c r="DU83" s="273" t="s">
        <v>3940</v>
      </c>
      <c r="DV83" s="273" t="s">
        <v>10686</v>
      </c>
      <c r="DW83" s="242" t="s">
        <v>4676</v>
      </c>
      <c r="DX83" s="273" t="s">
        <v>3371</v>
      </c>
      <c r="DY83" s="273" t="s">
        <v>6126</v>
      </c>
      <c r="DZ83" s="273" t="s">
        <v>1263</v>
      </c>
      <c r="EA83" s="273" t="s">
        <v>4927</v>
      </c>
      <c r="EB83" s="273" t="s">
        <v>5337</v>
      </c>
      <c r="EC83" s="273" t="s">
        <v>9510</v>
      </c>
      <c r="ED83" s="301" t="s">
        <v>10687</v>
      </c>
    </row>
    <row r="84">
      <c r="A84" s="545" t="s">
        <v>10688</v>
      </c>
      <c r="B84" s="381" t="s">
        <v>10689</v>
      </c>
      <c r="C84" s="384" t="s">
        <v>155</v>
      </c>
      <c r="D84" s="386" t="s">
        <v>155</v>
      </c>
      <c r="E84" s="389" t="s">
        <v>155</v>
      </c>
      <c r="F84" s="390" t="s">
        <v>155</v>
      </c>
      <c r="G84" s="381" t="s">
        <v>2094</v>
      </c>
      <c r="H84" s="849"/>
      <c r="I84" s="547" t="s">
        <v>425</v>
      </c>
      <c r="J84" s="547" t="s">
        <v>10690</v>
      </c>
      <c r="K84" s="547" t="s">
        <v>10691</v>
      </c>
      <c r="L84" s="547" t="s">
        <v>8949</v>
      </c>
      <c r="M84" s="547" t="s">
        <v>10692</v>
      </c>
      <c r="N84" s="547" t="s">
        <v>6703</v>
      </c>
      <c r="O84" s="547" t="s">
        <v>3645</v>
      </c>
      <c r="P84" s="547" t="s">
        <v>2346</v>
      </c>
      <c r="Q84" s="849"/>
      <c r="R84" s="547" t="s">
        <v>3834</v>
      </c>
      <c r="S84" s="547" t="s">
        <v>4995</v>
      </c>
      <c r="T84" s="849"/>
      <c r="U84" s="849"/>
      <c r="V84" s="849"/>
      <c r="W84" s="62"/>
      <c r="X84" s="683" t="s">
        <v>1983</v>
      </c>
      <c r="Y84" s="683"/>
      <c r="Z84" s="683" t="s">
        <v>1197</v>
      </c>
      <c r="AA84" s="683" t="s">
        <v>1354</v>
      </c>
      <c r="AB84" s="1218" t="s">
        <v>10693</v>
      </c>
      <c r="AC84" s="1792" t="s">
        <v>5247</v>
      </c>
      <c r="AD84" s="683" t="s">
        <v>8808</v>
      </c>
      <c r="AE84" s="683"/>
      <c r="AF84" s="683" t="s">
        <v>5509</v>
      </c>
      <c r="AG84" s="683" t="s">
        <v>10694</v>
      </c>
      <c r="AH84" s="852"/>
      <c r="AI84" s="852"/>
      <c r="AJ84" s="852"/>
      <c r="AK84" s="683" t="s">
        <v>10695</v>
      </c>
      <c r="AL84" s="61"/>
      <c r="AM84" s="571"/>
      <c r="AN84" s="571" t="s">
        <v>2393</v>
      </c>
      <c r="AO84" s="855"/>
      <c r="AP84" s="571" t="s">
        <v>1524</v>
      </c>
      <c r="AQ84" s="855"/>
      <c r="AR84" s="855"/>
      <c r="AS84" s="855"/>
      <c r="AT84" s="855"/>
      <c r="AU84" s="855"/>
      <c r="AV84" s="571" t="s">
        <v>1842</v>
      </c>
      <c r="AW84" s="855"/>
      <c r="AX84" s="855"/>
      <c r="AY84" s="571" t="s">
        <v>4789</v>
      </c>
      <c r="AZ84" s="855"/>
      <c r="BA84" s="855"/>
      <c r="BB84" s="587"/>
      <c r="BC84" s="589" t="s">
        <v>2766</v>
      </c>
      <c r="BD84" s="589" t="s">
        <v>2456</v>
      </c>
      <c r="BE84" s="1793" t="s">
        <v>2348</v>
      </c>
      <c r="BF84" s="589" t="s">
        <v>4833</v>
      </c>
      <c r="BG84" s="587"/>
      <c r="BH84" s="587"/>
      <c r="BI84" s="589" t="s">
        <v>2456</v>
      </c>
      <c r="BJ84" s="589" t="s">
        <v>2253</v>
      </c>
      <c r="BK84" s="589"/>
      <c r="BL84" s="587"/>
      <c r="BM84" s="587"/>
      <c r="BN84" s="589" t="s">
        <v>10696</v>
      </c>
      <c r="BO84" s="587"/>
      <c r="BP84" s="587"/>
      <c r="BQ84" s="857"/>
      <c r="BR84" s="594" t="s">
        <v>10697</v>
      </c>
      <c r="BS84" s="594" t="s">
        <v>10125</v>
      </c>
      <c r="BT84" s="594" t="s">
        <v>9844</v>
      </c>
      <c r="BU84" s="594" t="s">
        <v>10476</v>
      </c>
      <c r="BV84" s="594" t="s">
        <v>9697</v>
      </c>
      <c r="BW84" s="594" t="s">
        <v>4672</v>
      </c>
      <c r="BX84" s="859"/>
      <c r="BY84" s="594" t="s">
        <v>10698</v>
      </c>
      <c r="BZ84" s="594"/>
      <c r="CA84" s="594" t="s">
        <v>10699</v>
      </c>
      <c r="CB84" s="859"/>
      <c r="CC84" s="859"/>
      <c r="CD84" s="859"/>
      <c r="CE84" s="1717" t="s">
        <v>10700</v>
      </c>
      <c r="CF84" s="1717"/>
      <c r="CG84" s="606" t="s">
        <v>6387</v>
      </c>
      <c r="CH84" s="606" t="s">
        <v>10701</v>
      </c>
      <c r="CI84" s="606" t="s">
        <v>10702</v>
      </c>
      <c r="CJ84" s="606" t="s">
        <v>10703</v>
      </c>
      <c r="CK84" s="606"/>
      <c r="CL84" s="606"/>
      <c r="CM84" s="606" t="s">
        <v>4842</v>
      </c>
      <c r="CN84" s="606" t="s">
        <v>3237</v>
      </c>
      <c r="CO84" s="606" t="s">
        <v>1541</v>
      </c>
      <c r="CP84" s="863"/>
      <c r="CQ84" s="863"/>
      <c r="CR84" s="863"/>
      <c r="CS84" s="863"/>
      <c r="CT84" s="606" t="s">
        <v>10704</v>
      </c>
      <c r="CU84" s="62"/>
      <c r="CV84" s="703" t="s">
        <v>2478</v>
      </c>
      <c r="CW84" s="864"/>
      <c r="CX84" s="703" t="s">
        <v>3945</v>
      </c>
      <c r="CY84" s="703" t="s">
        <v>1318</v>
      </c>
      <c r="CZ84" s="703" t="s">
        <v>6195</v>
      </c>
      <c r="DA84" s="703" t="s">
        <v>4011</v>
      </c>
      <c r="DB84" s="703" t="s">
        <v>6335</v>
      </c>
      <c r="DC84" s="703" t="s">
        <v>5075</v>
      </c>
      <c r="DD84" s="864"/>
      <c r="DE84" s="864"/>
      <c r="DF84" s="864"/>
      <c r="DG84" s="703" t="s">
        <v>10705</v>
      </c>
      <c r="DH84" s="703"/>
      <c r="DI84" s="707" t="s">
        <v>10706</v>
      </c>
      <c r="DJ84" s="866"/>
      <c r="DK84" s="866"/>
      <c r="DL84" s="866"/>
      <c r="DM84" s="866"/>
      <c r="DN84" s="866"/>
      <c r="DO84" s="866"/>
      <c r="DP84" s="866"/>
      <c r="DQ84" s="866"/>
      <c r="DR84" s="707" t="s">
        <v>9759</v>
      </c>
      <c r="DS84" s="707"/>
      <c r="DT84" s="866"/>
      <c r="DU84" s="866"/>
      <c r="DV84" s="866"/>
      <c r="DW84" s="866"/>
      <c r="DX84" s="866"/>
      <c r="DY84" s="866"/>
      <c r="DZ84" s="866"/>
      <c r="EA84" s="866"/>
      <c r="EB84" s="866"/>
      <c r="EC84" s="866"/>
      <c r="ED84" s="974"/>
    </row>
    <row r="85">
      <c r="A85" s="228" t="s">
        <v>10707</v>
      </c>
      <c r="B85" s="229" t="s">
        <v>10708</v>
      </c>
      <c r="C85" s="230" t="s">
        <v>155</v>
      </c>
      <c r="D85" s="231" t="s">
        <v>155</v>
      </c>
      <c r="E85" s="232" t="s">
        <v>155</v>
      </c>
      <c r="F85" s="233" t="s">
        <v>127</v>
      </c>
      <c r="G85" s="229" t="s">
        <v>720</v>
      </c>
      <c r="H85" s="273"/>
      <c r="I85" s="273" t="s">
        <v>5427</v>
      </c>
      <c r="J85" s="273" t="s">
        <v>3714</v>
      </c>
      <c r="K85" s="273" t="s">
        <v>744</v>
      </c>
      <c r="L85" s="273" t="s">
        <v>10709</v>
      </c>
      <c r="M85" s="304"/>
      <c r="N85" s="273" t="s">
        <v>4567</v>
      </c>
      <c r="O85" s="273" t="s">
        <v>1256</v>
      </c>
      <c r="P85" s="273" t="s">
        <v>605</v>
      </c>
      <c r="Q85" s="304"/>
      <c r="R85" s="304"/>
      <c r="S85" s="304"/>
      <c r="T85" s="304"/>
      <c r="U85" s="304"/>
      <c r="V85" s="304"/>
      <c r="W85" s="62"/>
      <c r="X85" s="273" t="s">
        <v>921</v>
      </c>
      <c r="Y85" s="273"/>
      <c r="Z85" s="273" t="s">
        <v>2073</v>
      </c>
      <c r="AA85" s="273" t="s">
        <v>10103</v>
      </c>
      <c r="AB85" s="273" t="s">
        <v>2688</v>
      </c>
      <c r="AC85" s="273" t="s">
        <v>10136</v>
      </c>
      <c r="AD85" s="273" t="s">
        <v>4950</v>
      </c>
      <c r="AE85" s="304"/>
      <c r="AF85" s="304"/>
      <c r="AG85" s="273" t="s">
        <v>9897</v>
      </c>
      <c r="AH85" s="304"/>
      <c r="AI85" s="304"/>
      <c r="AJ85" s="304"/>
      <c r="AK85" s="304"/>
      <c r="AL85" s="61"/>
      <c r="AM85" s="304"/>
      <c r="AN85" s="304"/>
      <c r="AO85" s="304"/>
      <c r="AP85" s="304"/>
      <c r="AQ85" s="304"/>
      <c r="AR85" s="304"/>
      <c r="AS85" s="304"/>
      <c r="AT85" s="304"/>
      <c r="AU85" s="273" t="s">
        <v>3821</v>
      </c>
      <c r="AV85" s="273" t="s">
        <v>4365</v>
      </c>
      <c r="AW85" s="304"/>
      <c r="AX85" s="304"/>
      <c r="AY85" s="304"/>
      <c r="AZ85" s="304"/>
      <c r="BA85" s="304"/>
      <c r="BB85" s="304"/>
      <c r="BC85" s="273" t="s">
        <v>5622</v>
      </c>
      <c r="BD85" s="273" t="s">
        <v>4125</v>
      </c>
      <c r="BE85" s="273" t="s">
        <v>10581</v>
      </c>
      <c r="BF85" s="273" t="s">
        <v>3656</v>
      </c>
      <c r="BG85" s="304"/>
      <c r="BH85" s="304"/>
      <c r="BI85" s="273" t="s">
        <v>3185</v>
      </c>
      <c r="BJ85" s="304"/>
      <c r="BK85" s="273" t="s">
        <v>10710</v>
      </c>
      <c r="BL85" s="273" t="s">
        <v>1840</v>
      </c>
      <c r="BM85" s="304"/>
      <c r="BN85" s="304"/>
      <c r="BO85" s="304"/>
      <c r="BP85" s="304"/>
      <c r="BQ85" s="841"/>
      <c r="BR85" s="273"/>
      <c r="BS85" s="304"/>
      <c r="BT85" s="304"/>
      <c r="BU85" s="304"/>
      <c r="BV85" s="304"/>
      <c r="BW85" s="273" t="s">
        <v>2901</v>
      </c>
      <c r="BX85" s="304"/>
      <c r="BY85" s="304"/>
      <c r="BZ85" s="304"/>
      <c r="CA85" s="304"/>
      <c r="CB85" s="304"/>
      <c r="CC85" s="304"/>
      <c r="CD85" s="304"/>
      <c r="CE85" s="304"/>
      <c r="CF85" s="841"/>
      <c r="CG85" s="273" t="s">
        <v>3413</v>
      </c>
      <c r="CH85" s="273" t="s">
        <v>1916</v>
      </c>
      <c r="CI85" s="242" t="s">
        <v>10711</v>
      </c>
      <c r="CJ85" s="273" t="s">
        <v>6724</v>
      </c>
      <c r="CK85" s="273"/>
      <c r="CL85" s="273"/>
      <c r="CM85" s="273" t="s">
        <v>10086</v>
      </c>
      <c r="CN85" s="273" t="s">
        <v>4989</v>
      </c>
      <c r="CO85" s="273" t="s">
        <v>10640</v>
      </c>
      <c r="CP85" s="304"/>
      <c r="CQ85" s="304"/>
      <c r="CR85" s="304"/>
      <c r="CS85" s="304"/>
      <c r="CT85" s="304"/>
      <c r="CU85" s="62"/>
      <c r="CV85" s="273" t="s">
        <v>5279</v>
      </c>
      <c r="CW85" s="304"/>
      <c r="CX85" s="273" t="s">
        <v>6126</v>
      </c>
      <c r="CY85" s="242" t="s">
        <v>10712</v>
      </c>
      <c r="CZ85" s="273" t="s">
        <v>10713</v>
      </c>
      <c r="DA85" s="273" t="s">
        <v>9946</v>
      </c>
      <c r="DB85" s="273" t="s">
        <v>6956</v>
      </c>
      <c r="DC85" s="273" t="s">
        <v>5371</v>
      </c>
      <c r="DD85" s="304"/>
      <c r="DE85" s="304"/>
      <c r="DF85" s="304"/>
      <c r="DG85" s="304"/>
      <c r="DH85" s="304"/>
      <c r="DI85" s="304"/>
      <c r="DJ85" s="304"/>
      <c r="DK85" s="304"/>
      <c r="DL85" s="304"/>
      <c r="DM85" s="304"/>
      <c r="DN85" s="304"/>
      <c r="DO85" s="304"/>
      <c r="DP85" s="304"/>
      <c r="DQ85" s="304"/>
      <c r="DR85" s="273" t="s">
        <v>5309</v>
      </c>
      <c r="DS85" s="273"/>
      <c r="DT85" s="304"/>
      <c r="DU85" s="304"/>
      <c r="DV85" s="304"/>
      <c r="DW85" s="304"/>
      <c r="DX85" s="304"/>
      <c r="DY85" s="304"/>
      <c r="DZ85" s="304"/>
      <c r="EA85" s="304"/>
      <c r="EB85" s="304"/>
      <c r="EC85" s="304"/>
      <c r="ED85" s="885"/>
    </row>
    <row r="86">
      <c r="A86" s="545" t="s">
        <v>7101</v>
      </c>
      <c r="B86" s="381" t="s">
        <v>10714</v>
      </c>
      <c r="C86" s="384" t="s">
        <v>155</v>
      </c>
      <c r="D86" s="386" t="s">
        <v>155</v>
      </c>
      <c r="E86" s="389" t="s">
        <v>155</v>
      </c>
      <c r="F86" s="390" t="s">
        <v>1671</v>
      </c>
      <c r="G86" s="381" t="s">
        <v>721</v>
      </c>
      <c r="H86" s="547" t="s">
        <v>10715</v>
      </c>
      <c r="I86" s="402" t="str">
        <f>HYPERLINK("https://www.twitch.tv/videos/595022396","1:21.70")</f>
        <v>1:21.70</v>
      </c>
      <c r="J86" s="402" t="str">
        <f>HYPERLINK("https://www.twitch.tv/videos/595022398","37.94")</f>
        <v>37.94</v>
      </c>
      <c r="K86" s="402" t="str">
        <f>HYPERLINK("https://www.twitch.tv/videos/595022391","14.06")</f>
        <v>14.06</v>
      </c>
      <c r="L86" s="402" t="str">
        <f>HYPERLINK("https://www.twitch.tv/videos/595022397","44.40")</f>
        <v>44.40</v>
      </c>
      <c r="M86" s="402" t="str">
        <f>HYPERLINK("https://www.twitch.tv/videos/201038163","2:22.19")</f>
        <v>2:22.19</v>
      </c>
      <c r="N86" s="402" t="str">
        <f>HYPERLINK("https://www.twitch.tv/videos/201041470","1:14.57")</f>
        <v>1:14.57</v>
      </c>
      <c r="O86" s="402" t="str">
        <f>HYPERLINK("https://www.twitch.tv/videos/595022393","41.13")</f>
        <v>41.13</v>
      </c>
      <c r="P86" s="402" t="str">
        <f>HYPERLINK("https://clips.twitch.tv/QuaintSweetOcelotTooSpicy","16.10")</f>
        <v>16.10</v>
      </c>
      <c r="Q86" s="849"/>
      <c r="R86" s="849"/>
      <c r="S86" s="849"/>
      <c r="T86" s="849"/>
      <c r="U86" s="849"/>
      <c r="V86" s="849"/>
      <c r="W86" s="62"/>
      <c r="X86" s="412" t="str">
        <f>HYPERLINK("https://www.twitch.tv/videos/202029796","55.36")</f>
        <v>55.36</v>
      </c>
      <c r="Y86" s="413"/>
      <c r="Z86" s="412" t="str">
        <f>HYPERLINK("https://clips.twitch.tv/SilkyShakingHedgehogWTRuck","17.88")</f>
        <v>17.88</v>
      </c>
      <c r="AA86" s="412" t="str">
        <f>HYPERLINK("https://clips.twitch.tv/MoldyBlindingSwordItsBoshyTime","16.00")</f>
        <v>16.00</v>
      </c>
      <c r="AB86" s="412" t="str">
        <f>HYPERLINK("https://www.twitch.tv/videos/607481438","45.54")</f>
        <v>45.54</v>
      </c>
      <c r="AC86" s="412" t="str">
        <f>HYPERLINK("https://clips.twitch.tv/HeartlessWildHerdKeyboardCat","30.78")</f>
        <v>30.78</v>
      </c>
      <c r="AD86" s="412" t="str">
        <f>HYPERLINK("https://www.twitch.tv/videos/208641786","57.42")</f>
        <v>57.42</v>
      </c>
      <c r="AE86" s="852"/>
      <c r="AF86" s="412" t="str">
        <f>HYPERLINK("https://clips.twitch.tv/ClearOutstandingSpiderRlyTho","1:33.18")</f>
        <v>1:33.18</v>
      </c>
      <c r="AG86" s="412" t="str">
        <f>HYPERLINK("https://clips.twitch.tv/ColorfulTallEndivePogChamp","16.80")</f>
        <v>16.80</v>
      </c>
      <c r="AH86" s="852"/>
      <c r="AI86" s="852"/>
      <c r="AJ86" s="852"/>
      <c r="AK86" s="852"/>
      <c r="AL86" s="61"/>
      <c r="AM86" s="855"/>
      <c r="AN86" s="855"/>
      <c r="AO86" s="855"/>
      <c r="AP86" s="855"/>
      <c r="AQ86" s="855"/>
      <c r="AR86" s="855"/>
      <c r="AS86" s="855"/>
      <c r="AT86" s="855"/>
      <c r="AU86" s="425" t="str">
        <f>HYPERLINK("https://clips.twitch.tv/AgitatedCogentBatTheThing","19.67")</f>
        <v>19.67</v>
      </c>
      <c r="AV86" s="425" t="str">
        <f>HYPERLINK("https://clips.twitch.tv/LaconicAbrasiveJamBabyRage","29.23")</f>
        <v>29.23</v>
      </c>
      <c r="AW86" s="855"/>
      <c r="AX86" s="855"/>
      <c r="AY86" s="855"/>
      <c r="AZ86" s="855"/>
      <c r="BA86" s="855"/>
      <c r="BB86" s="436" t="str">
        <f>HYPERLINK("https://www.twitch.tv/videos/201286009","57.90")</f>
        <v>57.90</v>
      </c>
      <c r="BC86" s="436" t="str">
        <f>HYPERLINK("https://clips.twitch.tv/TrustworthyHilariousChinchillaPhilosoraptor","44.32")</f>
        <v>44.32</v>
      </c>
      <c r="BD86" s="436" t="str">
        <f>HYPERLINK("https://clips.twitch.tv/TsundereEnchantingRatAMPTropPunch","29.14")</f>
        <v>29.14</v>
      </c>
      <c r="BE86" s="1222" t="s">
        <v>2787</v>
      </c>
      <c r="BF86" s="436" t="str">
        <f>HYPERLINK("https://www.twitch.tv/videos/212002831","53.30")</f>
        <v>53.30</v>
      </c>
      <c r="BG86" s="587"/>
      <c r="BH86" s="587"/>
      <c r="BI86" s="436" t="str">
        <f>HYPERLINK("https://clips.twitch.tv/ImpossibleLitigiousElephantSpicyBoy","28.85")</f>
        <v>28.85</v>
      </c>
      <c r="BJ86" s="587"/>
      <c r="BK86" s="1222" t="s">
        <v>4021</v>
      </c>
      <c r="BL86" s="436" t="str">
        <f>HYPERLINK("https://clips.twitch.tv/MiniatureCorrectRabbitNerfRedBlaster","12.61")</f>
        <v>12.61</v>
      </c>
      <c r="BM86" s="587"/>
      <c r="BN86" s="587"/>
      <c r="BO86" s="587"/>
      <c r="BP86" s="587"/>
      <c r="BQ86" s="857"/>
      <c r="BR86" s="807"/>
      <c r="BS86" s="447" t="str">
        <f>HYPERLINK("https://www.twitch.tv/videos/202979420","57.70")</f>
        <v>57.70</v>
      </c>
      <c r="BT86" s="447" t="str">
        <f>HYPERLINK("https://clips.twitch.tv/ZanyFriendlyEchidnaDatBoi","35.53")</f>
        <v>35.53</v>
      </c>
      <c r="BU86" s="447" t="str">
        <f>HYPERLINK("https://clips.twitch.tv/AmazonianChillyCakeWutFace","27.76")</f>
        <v>27.76</v>
      </c>
      <c r="BV86" s="447" t="str">
        <f>HYPERLINK("https://www.twitch.tv/videos/203121525","59.13")</f>
        <v>59.13</v>
      </c>
      <c r="BW86" s="447" t="str">
        <f>HYPERLINK("https://clips.twitch.tv/PolishedOnerousWolverineRedCoat","24.61")</f>
        <v>24.61</v>
      </c>
      <c r="BX86" s="1794" t="str">
        <f>HYPERLINK("https://www.twitch.tv/videos/203123762","2:20.78")</f>
        <v>2:20.78</v>
      </c>
      <c r="BY86" s="859"/>
      <c r="BZ86" s="447" t="str">
        <f>HYPERLINK("https://clips.twitch.tv/TacitOnerousFennelArgieB8","2:20.23")</f>
        <v>2:20.23</v>
      </c>
      <c r="CA86" s="447" t="str">
        <f>HYPERLINK("https://clips.twitch.tv/GleamingPlayfulTubersMcaT","26.95")</f>
        <v>26.95</v>
      </c>
      <c r="CB86" s="859"/>
      <c r="CC86" s="859"/>
      <c r="CD86" s="859"/>
      <c r="CE86" s="859"/>
      <c r="CF86" s="861"/>
      <c r="CG86" s="904" t="s">
        <v>860</v>
      </c>
      <c r="CH86" s="904" t="s">
        <v>735</v>
      </c>
      <c r="CI86" s="452" t="str">
        <f>HYPERLINK("https://clips.twitch.tv/VenomousSavoryOtterPeteZaroll","36.77")</f>
        <v>36.77</v>
      </c>
      <c r="CJ86" s="1795" t="str">
        <f>HYPERLINK("https://www.twitch.tv/videos/203127903","1:35.90")</f>
        <v>1:35.90</v>
      </c>
      <c r="CK86" s="1796"/>
      <c r="CL86" s="1796"/>
      <c r="CM86" s="904" t="s">
        <v>10716</v>
      </c>
      <c r="CN86" s="904" t="s">
        <v>1646</v>
      </c>
      <c r="CO86" s="452" t="str">
        <f>HYPERLINK("https://clips.twitch.tv/FineWimpySalsifyTBTacoRight","19.71")</f>
        <v>19.71</v>
      </c>
      <c r="CP86" s="863"/>
      <c r="CQ86" s="863"/>
      <c r="CR86" s="863"/>
      <c r="CS86" s="863"/>
      <c r="CT86" s="863"/>
      <c r="CU86" s="62"/>
      <c r="CV86" s="461" t="str">
        <f>HYPERLINK("https://clips.twitch.tv/ProudMoralRhinocerosBIRB","45.60")</f>
        <v>45.60</v>
      </c>
      <c r="CW86" s="864"/>
      <c r="CX86" s="823" t="s">
        <v>4233</v>
      </c>
      <c r="CY86" s="461" t="str">
        <f>HYPERLINK("https://clips.twitch.tv/HilariousDreamyPeafowlCharlietheUnicorn","46.06")</f>
        <v>46.06</v>
      </c>
      <c r="CZ86" s="828"/>
      <c r="DA86" s="828"/>
      <c r="DB86" s="461" t="str">
        <f>HYPERLINK("https://clips.twitch.tv/ManlyKindTroutShazBotstix","2:15.53")</f>
        <v>2:15.53</v>
      </c>
      <c r="DC86" s="461" t="str">
        <f>HYPERLINK("https://clips.twitch.tv/TolerantNurturingJamItsBoshyTime","18.31")</f>
        <v>18.31</v>
      </c>
      <c r="DD86" s="864"/>
      <c r="DE86" s="864"/>
      <c r="DF86" s="864"/>
      <c r="DG86" s="864"/>
      <c r="DH86" s="864"/>
      <c r="DI86" s="866"/>
      <c r="DJ86" s="866"/>
      <c r="DK86" s="866"/>
      <c r="DL86" s="866"/>
      <c r="DM86" s="866"/>
      <c r="DN86" s="866"/>
      <c r="DO86" s="866"/>
      <c r="DP86" s="866"/>
      <c r="DQ86" s="866"/>
      <c r="DR86" s="475" t="str">
        <f>HYPERLINK("https://www.twitch.tv/videos/203136900","1:24.03")</f>
        <v>1:24.03</v>
      </c>
      <c r="DS86" s="479"/>
      <c r="DT86" s="866"/>
      <c r="DU86" s="866"/>
      <c r="DV86" s="866"/>
      <c r="DW86" s="866"/>
      <c r="DX86" s="866"/>
      <c r="DY86" s="866"/>
      <c r="DZ86" s="866"/>
      <c r="EA86" s="866"/>
      <c r="EB86" s="866"/>
      <c r="EC86" s="866"/>
      <c r="ED86" s="974"/>
    </row>
    <row r="87">
      <c r="A87" s="228" t="s">
        <v>3921</v>
      </c>
      <c r="B87" s="229" t="s">
        <v>10717</v>
      </c>
      <c r="C87" s="230" t="s">
        <v>155</v>
      </c>
      <c r="D87" s="231" t="s">
        <v>155</v>
      </c>
      <c r="E87" s="232" t="s">
        <v>155</v>
      </c>
      <c r="F87" s="233" t="s">
        <v>155</v>
      </c>
      <c r="G87" s="229" t="s">
        <v>2094</v>
      </c>
      <c r="H87" s="273"/>
      <c r="I87" s="273" t="s">
        <v>5590</v>
      </c>
      <c r="J87" s="273" t="s">
        <v>10718</v>
      </c>
      <c r="K87" s="273" t="s">
        <v>772</v>
      </c>
      <c r="L87" s="273" t="s">
        <v>2209</v>
      </c>
      <c r="M87" s="304"/>
      <c r="N87" s="273" t="s">
        <v>7301</v>
      </c>
      <c r="O87" s="273" t="s">
        <v>1293</v>
      </c>
      <c r="P87" s="273" t="s">
        <v>10719</v>
      </c>
      <c r="Q87" s="304"/>
      <c r="R87" s="304"/>
      <c r="S87" s="273" t="s">
        <v>4527</v>
      </c>
      <c r="T87" s="304"/>
      <c r="U87" s="273" t="s">
        <v>6017</v>
      </c>
      <c r="V87" s="304"/>
      <c r="W87" s="62"/>
      <c r="X87" s="273" t="s">
        <v>4701</v>
      </c>
      <c r="Y87" s="273"/>
      <c r="Z87" s="273" t="s">
        <v>2902</v>
      </c>
      <c r="AA87" s="273" t="s">
        <v>10720</v>
      </c>
      <c r="AB87" s="273" t="s">
        <v>842</v>
      </c>
      <c r="AC87" s="273" t="s">
        <v>5007</v>
      </c>
      <c r="AD87" s="273" t="s">
        <v>3589</v>
      </c>
      <c r="AE87" s="304"/>
      <c r="AF87" s="273" t="s">
        <v>9785</v>
      </c>
      <c r="AG87" s="304"/>
      <c r="AH87" s="304"/>
      <c r="AI87" s="273"/>
      <c r="AJ87" s="273" t="s">
        <v>8385</v>
      </c>
      <c r="AK87" s="304"/>
      <c r="AL87" s="61"/>
      <c r="AM87" s="304"/>
      <c r="AN87" s="273" t="s">
        <v>10482</v>
      </c>
      <c r="AO87" s="304"/>
      <c r="AP87" s="273" t="s">
        <v>10721</v>
      </c>
      <c r="AQ87" s="304"/>
      <c r="AR87" s="304"/>
      <c r="AS87" s="304"/>
      <c r="AT87" s="304"/>
      <c r="AU87" s="273" t="s">
        <v>6063</v>
      </c>
      <c r="AV87" s="273" t="s">
        <v>982</v>
      </c>
      <c r="AW87" s="304"/>
      <c r="AX87" s="273"/>
      <c r="AY87" s="273" t="s">
        <v>10722</v>
      </c>
      <c r="AZ87" s="304"/>
      <c r="BA87" s="304"/>
      <c r="BB87" s="273" t="s">
        <v>4642</v>
      </c>
      <c r="BC87" s="273" t="s">
        <v>10534</v>
      </c>
      <c r="BD87" s="304"/>
      <c r="BE87" s="273" t="s">
        <v>1332</v>
      </c>
      <c r="BF87" s="273" t="s">
        <v>5008</v>
      </c>
      <c r="BG87" s="304"/>
      <c r="BH87" s="304"/>
      <c r="BI87" s="273" t="s">
        <v>4476</v>
      </c>
      <c r="BJ87" s="273" t="s">
        <v>10723</v>
      </c>
      <c r="BK87" s="273"/>
      <c r="BL87" s="304"/>
      <c r="BM87" s="304"/>
      <c r="BN87" s="273" t="s">
        <v>10131</v>
      </c>
      <c r="BO87" s="304"/>
      <c r="BP87" s="304"/>
      <c r="BQ87" s="841"/>
      <c r="BR87" s="273" t="s">
        <v>10724</v>
      </c>
      <c r="BS87" s="273" t="s">
        <v>10125</v>
      </c>
      <c r="BT87" s="273" t="s">
        <v>8972</v>
      </c>
      <c r="BU87" s="273" t="s">
        <v>10725</v>
      </c>
      <c r="BV87" s="273" t="s">
        <v>615</v>
      </c>
      <c r="BW87" s="273" t="s">
        <v>4670</v>
      </c>
      <c r="BX87" s="304"/>
      <c r="BY87" s="273" t="s">
        <v>8725</v>
      </c>
      <c r="BZ87" s="273" t="s">
        <v>10726</v>
      </c>
      <c r="CA87" s="273"/>
      <c r="CB87" s="304"/>
      <c r="CC87" s="273" t="s">
        <v>4956</v>
      </c>
      <c r="CD87" s="273" t="s">
        <v>428</v>
      </c>
      <c r="CE87" s="304"/>
      <c r="CF87" s="841"/>
      <c r="CG87" s="273" t="s">
        <v>7676</v>
      </c>
      <c r="CH87" s="273" t="s">
        <v>1821</v>
      </c>
      <c r="CI87" s="1797"/>
      <c r="CJ87" s="273" t="s">
        <v>10727</v>
      </c>
      <c r="CK87" s="273"/>
      <c r="CL87" s="273"/>
      <c r="CM87" s="273" t="s">
        <v>10728</v>
      </c>
      <c r="CN87" s="273" t="s">
        <v>5252</v>
      </c>
      <c r="CO87" s="304"/>
      <c r="CP87" s="304"/>
      <c r="CQ87" s="304"/>
      <c r="CR87" s="273"/>
      <c r="CS87" s="273" t="s">
        <v>10729</v>
      </c>
      <c r="CT87" s="304"/>
      <c r="CU87" s="62"/>
      <c r="CV87" s="273" t="s">
        <v>10238</v>
      </c>
      <c r="CW87" s="304"/>
      <c r="CX87" s="273" t="s">
        <v>10701</v>
      </c>
      <c r="CY87" s="273" t="s">
        <v>6446</v>
      </c>
      <c r="CZ87" s="273" t="s">
        <v>6937</v>
      </c>
      <c r="DA87" s="304"/>
      <c r="DB87" s="273" t="s">
        <v>1611</v>
      </c>
      <c r="DC87" s="273" t="s">
        <v>10730</v>
      </c>
      <c r="DD87" s="304"/>
      <c r="DE87" s="273" t="s">
        <v>3052</v>
      </c>
      <c r="DF87" s="304"/>
      <c r="DG87" s="304"/>
      <c r="DH87" s="304"/>
      <c r="DI87" s="304"/>
      <c r="DJ87" s="304"/>
      <c r="DK87" s="304"/>
      <c r="DL87" s="304"/>
      <c r="DM87" s="273" t="s">
        <v>222</v>
      </c>
      <c r="DN87" s="304"/>
      <c r="DO87" s="304"/>
      <c r="DP87" s="304"/>
      <c r="DQ87" s="304"/>
      <c r="DR87" s="304"/>
      <c r="DS87" s="304"/>
      <c r="DT87" s="273" t="s">
        <v>10731</v>
      </c>
      <c r="DU87" s="304"/>
      <c r="DV87" s="304"/>
      <c r="DW87" s="273" t="s">
        <v>10732</v>
      </c>
      <c r="DX87" s="304"/>
      <c r="DY87" s="304"/>
      <c r="DZ87" s="273" t="s">
        <v>431</v>
      </c>
      <c r="EA87" s="273" t="s">
        <v>10733</v>
      </c>
      <c r="EB87" s="304"/>
      <c r="EC87" s="304"/>
      <c r="ED87" s="885"/>
    </row>
    <row r="88">
      <c r="A88" s="1798" t="s">
        <v>134</v>
      </c>
      <c r="B88" s="381" t="s">
        <v>10734</v>
      </c>
      <c r="C88" s="384" t="s">
        <v>155</v>
      </c>
      <c r="D88" s="386" t="s">
        <v>127</v>
      </c>
      <c r="E88" s="389" t="s">
        <v>155</v>
      </c>
      <c r="F88" s="390" t="s">
        <v>870</v>
      </c>
      <c r="G88" s="381" t="s">
        <v>6919</v>
      </c>
      <c r="H88" s="406" t="s">
        <v>10125</v>
      </c>
      <c r="I88" s="1799"/>
      <c r="J88" s="1711" t="s">
        <v>10735</v>
      </c>
      <c r="K88" s="406" t="s">
        <v>762</v>
      </c>
      <c r="L88" s="406" t="s">
        <v>2547</v>
      </c>
      <c r="M88" s="406" t="s">
        <v>10736</v>
      </c>
      <c r="N88" s="1711"/>
      <c r="O88" s="1711" t="s">
        <v>378</v>
      </c>
      <c r="P88" s="406" t="s">
        <v>1652</v>
      </c>
      <c r="Q88" s="406" t="s">
        <v>9002</v>
      </c>
      <c r="R88" s="406" t="s">
        <v>1473</v>
      </c>
      <c r="S88" s="849"/>
      <c r="T88" s="406" t="s">
        <v>10737</v>
      </c>
      <c r="U88" s="849"/>
      <c r="V88" s="406" t="s">
        <v>10738</v>
      </c>
      <c r="W88" s="62"/>
      <c r="X88" s="421"/>
      <c r="Y88" s="421"/>
      <c r="Z88" s="421" t="s">
        <v>5410</v>
      </c>
      <c r="AA88" s="417" t="s">
        <v>915</v>
      </c>
      <c r="AB88" s="1007"/>
      <c r="AC88" s="421" t="s">
        <v>4393</v>
      </c>
      <c r="AD88" s="417" t="s">
        <v>7730</v>
      </c>
      <c r="AE88" s="683" t="s">
        <v>10739</v>
      </c>
      <c r="AF88" s="417" t="s">
        <v>8920</v>
      </c>
      <c r="AG88" s="417" t="s">
        <v>401</v>
      </c>
      <c r="AH88" s="417" t="s">
        <v>4117</v>
      </c>
      <c r="AI88" s="417" t="s">
        <v>3575</v>
      </c>
      <c r="AJ88" s="417" t="s">
        <v>3575</v>
      </c>
      <c r="AK88" s="417" t="s">
        <v>8548</v>
      </c>
      <c r="AL88" s="61"/>
      <c r="AM88" s="435"/>
      <c r="AN88" s="435"/>
      <c r="AO88" s="855"/>
      <c r="AP88" s="855"/>
      <c r="AQ88" s="571"/>
      <c r="AR88" s="571"/>
      <c r="AS88" s="855"/>
      <c r="AT88" s="855"/>
      <c r="AU88" s="435" t="s">
        <v>1197</v>
      </c>
      <c r="AV88" s="427" t="s">
        <v>10740</v>
      </c>
      <c r="AW88" s="435"/>
      <c r="AX88" s="427" t="s">
        <v>3657</v>
      </c>
      <c r="AY88" s="427" t="s">
        <v>3657</v>
      </c>
      <c r="AZ88" s="574"/>
      <c r="BA88" s="855"/>
      <c r="BB88" s="1645"/>
      <c r="BC88" s="1645"/>
      <c r="BD88" s="1645"/>
      <c r="BE88" s="439" t="s">
        <v>4927</v>
      </c>
      <c r="BF88" s="1645"/>
      <c r="BG88" s="439" t="s">
        <v>10741</v>
      </c>
      <c r="BH88" s="587"/>
      <c r="BI88" s="1645"/>
      <c r="BJ88" s="587"/>
      <c r="BK88" s="1645" t="s">
        <v>10742</v>
      </c>
      <c r="BL88" s="445" t="s">
        <v>10743</v>
      </c>
      <c r="BM88" s="587"/>
      <c r="BN88" s="439" t="s">
        <v>1356</v>
      </c>
      <c r="BO88" s="439" t="s">
        <v>7058</v>
      </c>
      <c r="BP88" s="587"/>
      <c r="BQ88" s="857"/>
      <c r="BR88" s="451"/>
      <c r="BS88" s="451"/>
      <c r="BT88" s="448" t="s">
        <v>10744</v>
      </c>
      <c r="BU88" s="451"/>
      <c r="BV88" s="451"/>
      <c r="BW88" s="451"/>
      <c r="BX88" s="859"/>
      <c r="BY88" s="451" t="s">
        <v>10745</v>
      </c>
      <c r="BZ88" s="451" t="s">
        <v>10421</v>
      </c>
      <c r="CA88" s="451"/>
      <c r="CB88" s="859"/>
      <c r="CC88" s="448" t="s">
        <v>10746</v>
      </c>
      <c r="CD88" s="859"/>
      <c r="CE88" s="859"/>
      <c r="CF88" s="861"/>
      <c r="CG88" s="459" t="s">
        <v>4829</v>
      </c>
      <c r="CH88" s="459" t="s">
        <v>4857</v>
      </c>
      <c r="CI88" s="459" t="s">
        <v>1454</v>
      </c>
      <c r="CJ88" s="460"/>
      <c r="CK88" s="460"/>
      <c r="CL88" s="460"/>
      <c r="CM88" s="460"/>
      <c r="CN88" s="459" t="s">
        <v>3553</v>
      </c>
      <c r="CO88" s="459" t="s">
        <v>2378</v>
      </c>
      <c r="CP88" s="1800"/>
      <c r="CQ88" s="863"/>
      <c r="CR88" s="820" t="s">
        <v>10747</v>
      </c>
      <c r="CS88" s="459" t="s">
        <v>3661</v>
      </c>
      <c r="CT88" s="863"/>
      <c r="CU88" s="62"/>
      <c r="CV88" s="470"/>
      <c r="CW88" s="470"/>
      <c r="CX88" s="466" t="s">
        <v>3369</v>
      </c>
      <c r="CY88" s="466" t="s">
        <v>8344</v>
      </c>
      <c r="CZ88" s="470"/>
      <c r="DA88" s="470"/>
      <c r="DB88" s="466" t="s">
        <v>10463</v>
      </c>
      <c r="DC88" s="466" t="s">
        <v>2028</v>
      </c>
      <c r="DD88" s="466" t="s">
        <v>10748</v>
      </c>
      <c r="DE88" s="466" t="s">
        <v>10749</v>
      </c>
      <c r="DF88" s="864"/>
      <c r="DG88" s="864"/>
      <c r="DH88" s="864"/>
      <c r="DI88" s="709"/>
      <c r="DJ88" s="866"/>
      <c r="DK88" s="866"/>
      <c r="DL88" s="709"/>
      <c r="DM88" s="709"/>
      <c r="DN88" s="709"/>
      <c r="DO88" s="866"/>
      <c r="DP88" s="866"/>
      <c r="DQ88" s="866"/>
      <c r="DR88" s="709"/>
      <c r="DS88" s="709"/>
      <c r="DT88" s="866"/>
      <c r="DU88" s="709"/>
      <c r="DV88" s="866"/>
      <c r="DW88" s="866"/>
      <c r="DX88" s="483" t="s">
        <v>10750</v>
      </c>
      <c r="DY88" s="866"/>
      <c r="DZ88" s="866"/>
      <c r="EA88" s="709"/>
      <c r="EB88" s="866"/>
      <c r="EC88" s="866"/>
      <c r="ED88" s="974"/>
    </row>
    <row r="89">
      <c r="A89" s="228" t="s">
        <v>10751</v>
      </c>
      <c r="B89" s="229" t="s">
        <v>10752</v>
      </c>
      <c r="C89" s="230" t="s">
        <v>155</v>
      </c>
      <c r="D89" s="231" t="s">
        <v>155</v>
      </c>
      <c r="E89" s="232" t="s">
        <v>155</v>
      </c>
      <c r="F89" s="233" t="s">
        <v>156</v>
      </c>
      <c r="G89" s="229" t="s">
        <v>1212</v>
      </c>
      <c r="H89" s="273" t="s">
        <v>10753</v>
      </c>
      <c r="I89" s="273" t="s">
        <v>10413</v>
      </c>
      <c r="J89" s="273" t="s">
        <v>10520</v>
      </c>
      <c r="K89" s="273" t="s">
        <v>774</v>
      </c>
      <c r="L89" s="273" t="s">
        <v>6963</v>
      </c>
      <c r="M89" s="273" t="s">
        <v>10754</v>
      </c>
      <c r="N89" s="273" t="s">
        <v>10755</v>
      </c>
      <c r="O89" s="273" t="s">
        <v>3998</v>
      </c>
      <c r="P89" s="273" t="s">
        <v>10756</v>
      </c>
      <c r="Q89" s="304"/>
      <c r="R89" s="304"/>
      <c r="S89" s="273" t="s">
        <v>10757</v>
      </c>
      <c r="T89" s="273"/>
      <c r="U89" s="273" t="s">
        <v>6942</v>
      </c>
      <c r="V89" s="304"/>
      <c r="W89" s="62"/>
      <c r="X89" s="273" t="s">
        <v>10758</v>
      </c>
      <c r="Y89" s="273"/>
      <c r="Z89" s="273" t="s">
        <v>10250</v>
      </c>
      <c r="AA89" s="273" t="s">
        <v>10759</v>
      </c>
      <c r="AB89" s="273" t="s">
        <v>10760</v>
      </c>
      <c r="AC89" s="273" t="s">
        <v>10425</v>
      </c>
      <c r="AD89" s="273" t="s">
        <v>1260</v>
      </c>
      <c r="AE89" s="273"/>
      <c r="AF89" s="273" t="s">
        <v>789</v>
      </c>
      <c r="AG89" s="273" t="s">
        <v>4901</v>
      </c>
      <c r="AH89" s="304"/>
      <c r="AI89" s="304"/>
      <c r="AJ89" s="273" t="s">
        <v>5891</v>
      </c>
      <c r="AK89" s="304"/>
      <c r="AL89" s="61"/>
      <c r="AM89" s="273" t="s">
        <v>5469</v>
      </c>
      <c r="AN89" s="273" t="s">
        <v>3667</v>
      </c>
      <c r="AO89" s="304"/>
      <c r="AP89" s="304"/>
      <c r="AQ89" s="304"/>
      <c r="AR89" s="304"/>
      <c r="AS89" s="304"/>
      <c r="AT89" s="304"/>
      <c r="AU89" s="273" t="s">
        <v>3690</v>
      </c>
      <c r="AV89" s="273" t="s">
        <v>10131</v>
      </c>
      <c r="AW89" s="304"/>
      <c r="AX89" s="304"/>
      <c r="AY89" s="273" t="s">
        <v>8335</v>
      </c>
      <c r="AZ89" s="304"/>
      <c r="BA89" s="304"/>
      <c r="BB89" s="273" t="s">
        <v>10761</v>
      </c>
      <c r="BC89" s="273" t="s">
        <v>434</v>
      </c>
      <c r="BD89" s="273" t="s">
        <v>9548</v>
      </c>
      <c r="BE89" s="273" t="s">
        <v>6548</v>
      </c>
      <c r="BF89" s="273" t="s">
        <v>5764</v>
      </c>
      <c r="BG89" s="273"/>
      <c r="BH89" s="304"/>
      <c r="BI89" s="273" t="s">
        <v>5338</v>
      </c>
      <c r="BJ89" s="273" t="s">
        <v>10762</v>
      </c>
      <c r="BK89" s="273"/>
      <c r="BL89" s="273" t="s">
        <v>2942</v>
      </c>
      <c r="BM89" s="273" t="s">
        <v>10763</v>
      </c>
      <c r="BN89" s="273" t="s">
        <v>10131</v>
      </c>
      <c r="BO89" s="304"/>
      <c r="BP89" s="304"/>
      <c r="BQ89" s="841"/>
      <c r="BR89" s="273"/>
      <c r="BS89" s="273" t="s">
        <v>6961</v>
      </c>
      <c r="BT89" s="273" t="s">
        <v>10608</v>
      </c>
      <c r="BU89" s="242" t="s">
        <v>3839</v>
      </c>
      <c r="BV89" s="273" t="s">
        <v>10764</v>
      </c>
      <c r="BW89" s="242" t="s">
        <v>3552</v>
      </c>
      <c r="BX89" s="273" t="s">
        <v>9996</v>
      </c>
      <c r="BY89" s="273" t="s">
        <v>10765</v>
      </c>
      <c r="BZ89" s="304"/>
      <c r="CA89" s="242" t="s">
        <v>457</v>
      </c>
      <c r="CB89" s="273" t="s">
        <v>10766</v>
      </c>
      <c r="CC89" s="273" t="s">
        <v>2158</v>
      </c>
      <c r="CD89" s="273" t="s">
        <v>904</v>
      </c>
      <c r="CE89" s="304"/>
      <c r="CF89" s="841"/>
      <c r="CG89" s="273" t="s">
        <v>9224</v>
      </c>
      <c r="CH89" s="273" t="s">
        <v>2831</v>
      </c>
      <c r="CI89" s="273" t="s">
        <v>9448</v>
      </c>
      <c r="CJ89" s="273" t="s">
        <v>10767</v>
      </c>
      <c r="CK89" s="273"/>
      <c r="CL89" s="273"/>
      <c r="CM89" s="273" t="s">
        <v>10768</v>
      </c>
      <c r="CN89" s="273" t="s">
        <v>10223</v>
      </c>
      <c r="CO89" s="273" t="s">
        <v>379</v>
      </c>
      <c r="CP89" s="304"/>
      <c r="CQ89" s="304"/>
      <c r="CR89" s="304"/>
      <c r="CS89" s="273" t="s">
        <v>10769</v>
      </c>
      <c r="CT89" s="304"/>
      <c r="CU89" s="62"/>
      <c r="CV89" s="273" t="s">
        <v>215</v>
      </c>
      <c r="CW89" s="273" t="s">
        <v>10770</v>
      </c>
      <c r="CX89" s="273" t="s">
        <v>1913</v>
      </c>
      <c r="CY89" s="273" t="s">
        <v>1820</v>
      </c>
      <c r="CZ89" s="273" t="s">
        <v>10771</v>
      </c>
      <c r="DA89" s="273" t="s">
        <v>4187</v>
      </c>
      <c r="DB89" s="273" t="s">
        <v>10772</v>
      </c>
      <c r="DC89" s="273" t="s">
        <v>1197</v>
      </c>
      <c r="DD89" s="304"/>
      <c r="DE89" s="304"/>
      <c r="DF89" s="304"/>
      <c r="DG89" s="304"/>
      <c r="DH89" s="304"/>
      <c r="DI89" s="304"/>
      <c r="DJ89" s="304"/>
      <c r="DK89" s="304"/>
      <c r="DL89" s="304"/>
      <c r="DM89" s="273" t="s">
        <v>1824</v>
      </c>
      <c r="DN89" s="304"/>
      <c r="DO89" s="304"/>
      <c r="DP89" s="304"/>
      <c r="DQ89" s="304"/>
      <c r="DR89" s="273"/>
      <c r="DS89" s="273" t="s">
        <v>9669</v>
      </c>
      <c r="DT89" s="304"/>
      <c r="DU89" s="273" t="s">
        <v>10773</v>
      </c>
      <c r="DV89" s="273" t="s">
        <v>10774</v>
      </c>
      <c r="DW89" s="273" t="s">
        <v>10010</v>
      </c>
      <c r="DX89" s="304"/>
      <c r="DY89" s="304"/>
      <c r="DZ89" s="273" t="s">
        <v>3603</v>
      </c>
      <c r="EA89" s="273" t="s">
        <v>2987</v>
      </c>
      <c r="EB89" s="304"/>
      <c r="EC89" s="304"/>
      <c r="ED89" s="885"/>
    </row>
    <row r="90">
      <c r="A90" s="1801" t="s">
        <v>10775</v>
      </c>
      <c r="B90" s="1802" t="s">
        <v>10776</v>
      </c>
      <c r="C90" s="1803" t="s">
        <v>155</v>
      </c>
      <c r="D90" s="1804" t="s">
        <v>155</v>
      </c>
      <c r="E90" s="1805" t="s">
        <v>155</v>
      </c>
      <c r="F90" s="1806" t="s">
        <v>1695</v>
      </c>
      <c r="G90" s="1802" t="s">
        <v>4752</v>
      </c>
      <c r="H90" s="1807" t="s">
        <v>2391</v>
      </c>
      <c r="I90" s="1808" t="s">
        <v>10777</v>
      </c>
      <c r="J90" s="1807" t="s">
        <v>10778</v>
      </c>
      <c r="K90" s="1807" t="s">
        <v>8119</v>
      </c>
      <c r="L90" s="1807" t="s">
        <v>9659</v>
      </c>
      <c r="M90" s="1807" t="s">
        <v>10779</v>
      </c>
      <c r="N90" s="1808" t="s">
        <v>10780</v>
      </c>
      <c r="O90" s="1807" t="s">
        <v>1252</v>
      </c>
      <c r="P90" s="1809" t="s">
        <v>10781</v>
      </c>
      <c r="Q90" s="1809" t="s">
        <v>1056</v>
      </c>
      <c r="R90" s="1809" t="s">
        <v>5016</v>
      </c>
      <c r="S90" s="1809" t="s">
        <v>10088</v>
      </c>
      <c r="T90" s="1809" t="s">
        <v>3346</v>
      </c>
      <c r="U90" s="1809" t="s">
        <v>7958</v>
      </c>
      <c r="V90" s="1807" t="s">
        <v>9034</v>
      </c>
      <c r="W90" s="1810"/>
      <c r="X90" s="1811" t="s">
        <v>9673</v>
      </c>
      <c r="Y90" s="1811"/>
      <c r="Z90" s="1811" t="s">
        <v>10782</v>
      </c>
      <c r="AA90" s="1812" t="s">
        <v>1824</v>
      </c>
      <c r="AB90" s="1812" t="s">
        <v>2360</v>
      </c>
      <c r="AC90" s="1811" t="s">
        <v>2362</v>
      </c>
      <c r="AD90" s="1812" t="s">
        <v>10783</v>
      </c>
      <c r="AE90" s="1811"/>
      <c r="AF90" s="1811" t="s">
        <v>10784</v>
      </c>
      <c r="AG90" s="1813" t="s">
        <v>624</v>
      </c>
      <c r="AH90" s="1811" t="s">
        <v>10099</v>
      </c>
      <c r="AI90" s="1814" t="s">
        <v>4845</v>
      </c>
      <c r="AJ90" s="417" t="s">
        <v>8346</v>
      </c>
      <c r="AK90" s="1814" t="s">
        <v>10785</v>
      </c>
      <c r="AL90" s="1815"/>
      <c r="AM90" s="1816" t="s">
        <v>5269</v>
      </c>
      <c r="AN90" s="1816" t="s">
        <v>4682</v>
      </c>
      <c r="AO90" s="1816" t="s">
        <v>10786</v>
      </c>
      <c r="AP90" s="1817" t="s">
        <v>9691</v>
      </c>
      <c r="AQ90" s="1817" t="s">
        <v>413</v>
      </c>
      <c r="AR90" s="1817" t="s">
        <v>2076</v>
      </c>
      <c r="AS90" s="1816" t="s">
        <v>6306</v>
      </c>
      <c r="AT90" s="1817" t="s">
        <v>10787</v>
      </c>
      <c r="AU90" s="1817" t="s">
        <v>3874</v>
      </c>
      <c r="AV90" s="1818" t="s">
        <v>9435</v>
      </c>
      <c r="AW90" s="1816" t="s">
        <v>4977</v>
      </c>
      <c r="AX90" s="1817" t="s">
        <v>678</v>
      </c>
      <c r="AY90" s="1817" t="s">
        <v>3093</v>
      </c>
      <c r="AZ90" s="1817" t="s">
        <v>10788</v>
      </c>
      <c r="BA90" s="1819"/>
      <c r="BB90" s="1820" t="s">
        <v>3649</v>
      </c>
      <c r="BC90" s="1821" t="s">
        <v>10789</v>
      </c>
      <c r="BD90" s="1820" t="s">
        <v>2306</v>
      </c>
      <c r="BE90" s="1822" t="s">
        <v>421</v>
      </c>
      <c r="BF90" s="1820" t="s">
        <v>10790</v>
      </c>
      <c r="BG90" s="1820" t="s">
        <v>6614</v>
      </c>
      <c r="BH90" s="1820" t="s">
        <v>10555</v>
      </c>
      <c r="BI90" s="1820" t="s">
        <v>5001</v>
      </c>
      <c r="BJ90" s="1820" t="s">
        <v>10791</v>
      </c>
      <c r="BK90" s="589"/>
      <c r="BL90" s="1822" t="s">
        <v>9413</v>
      </c>
      <c r="BM90" s="1823"/>
      <c r="BN90" s="1823"/>
      <c r="BO90" s="1823"/>
      <c r="BP90" s="1823"/>
      <c r="BQ90" s="1824"/>
      <c r="BR90" s="1825"/>
      <c r="BS90" s="1826" t="s">
        <v>5472</v>
      </c>
      <c r="BT90" s="1827" t="s">
        <v>10792</v>
      </c>
      <c r="BU90" s="1826" t="s">
        <v>9642</v>
      </c>
      <c r="BV90" s="1827" t="s">
        <v>10555</v>
      </c>
      <c r="BW90" s="1827" t="s">
        <v>4675</v>
      </c>
      <c r="BX90" s="1827" t="s">
        <v>10793</v>
      </c>
      <c r="BY90" s="1828" t="s">
        <v>10794</v>
      </c>
      <c r="BZ90" s="1825"/>
      <c r="CA90" s="1829" t="s">
        <v>10795</v>
      </c>
      <c r="CB90" s="1825"/>
      <c r="CC90" s="1825"/>
      <c r="CD90" s="1825"/>
      <c r="CE90" s="1825"/>
      <c r="CF90" s="1830"/>
      <c r="CG90" s="1831" t="s">
        <v>10796</v>
      </c>
      <c r="CH90" s="1832" t="s">
        <v>807</v>
      </c>
      <c r="CI90" s="1833" t="s">
        <v>4117</v>
      </c>
      <c r="CJ90" s="1832" t="s">
        <v>6796</v>
      </c>
      <c r="CK90" s="1832"/>
      <c r="CL90" s="1832" t="s">
        <v>8288</v>
      </c>
      <c r="CM90" s="1832" t="s">
        <v>2623</v>
      </c>
      <c r="CN90" s="1832" t="s">
        <v>4139</v>
      </c>
      <c r="CO90" s="1833" t="s">
        <v>5055</v>
      </c>
      <c r="CP90" s="1832"/>
      <c r="CQ90" s="1833" t="s">
        <v>2281</v>
      </c>
      <c r="CR90" s="1833" t="s">
        <v>10797</v>
      </c>
      <c r="CS90" s="1834"/>
      <c r="CT90" s="1834"/>
      <c r="CU90" s="1810"/>
      <c r="CV90" s="1835" t="s">
        <v>10667</v>
      </c>
      <c r="CW90" s="1836" t="s">
        <v>7821</v>
      </c>
      <c r="CX90" s="1837" t="s">
        <v>1648</v>
      </c>
      <c r="CY90" s="1836" t="s">
        <v>10798</v>
      </c>
      <c r="CZ90" s="1837" t="s">
        <v>8362</v>
      </c>
      <c r="DA90" s="1835" t="s">
        <v>2408</v>
      </c>
      <c r="DB90" s="1838" t="s">
        <v>10799</v>
      </c>
      <c r="DC90" s="1839" t="s">
        <v>1851</v>
      </c>
      <c r="DD90" s="1840"/>
      <c r="DE90" s="1840"/>
      <c r="DF90" s="1840"/>
      <c r="DG90" s="1840"/>
      <c r="DH90" s="1840"/>
      <c r="DI90" s="1841" t="s">
        <v>5273</v>
      </c>
      <c r="DJ90" s="1842"/>
      <c r="DK90" s="1841" t="s">
        <v>10800</v>
      </c>
      <c r="DL90" s="1841"/>
      <c r="DM90" s="1843" t="s">
        <v>10801</v>
      </c>
      <c r="DN90" s="1841" t="s">
        <v>2161</v>
      </c>
      <c r="DO90" s="1841" t="s">
        <v>10802</v>
      </c>
      <c r="DP90" s="1841" t="s">
        <v>6220</v>
      </c>
      <c r="DQ90" s="1841" t="s">
        <v>10803</v>
      </c>
      <c r="DR90" s="1841" t="s">
        <v>10804</v>
      </c>
      <c r="DS90" s="1844" t="s">
        <v>10805</v>
      </c>
      <c r="DT90" s="1841" t="s">
        <v>9918</v>
      </c>
      <c r="DU90" s="1841" t="s">
        <v>10806</v>
      </c>
      <c r="DV90" s="1845"/>
      <c r="DW90" s="1843" t="s">
        <v>5135</v>
      </c>
      <c r="DX90" s="1842"/>
      <c r="DY90" s="1843" t="s">
        <v>1522</v>
      </c>
      <c r="DZ90" s="1841" t="s">
        <v>638</v>
      </c>
      <c r="EA90" s="1845"/>
      <c r="EB90" s="1841" t="s">
        <v>2262</v>
      </c>
      <c r="EC90" s="1845"/>
      <c r="ED90" s="475" t="s">
        <v>10807</v>
      </c>
    </row>
    <row r="91">
      <c r="A91" s="1738" t="s">
        <v>10808</v>
      </c>
      <c r="B91" s="229" t="s">
        <v>10809</v>
      </c>
      <c r="C91" s="230" t="s">
        <v>76</v>
      </c>
      <c r="D91" s="231" t="s">
        <v>155</v>
      </c>
      <c r="E91" s="232" t="s">
        <v>76</v>
      </c>
      <c r="F91" s="233" t="s">
        <v>260</v>
      </c>
      <c r="G91" s="229" t="s">
        <v>1508</v>
      </c>
      <c r="H91" s="333" t="s">
        <v>10403</v>
      </c>
      <c r="I91" s="274" t="s">
        <v>7105</v>
      </c>
      <c r="J91" s="242" t="s">
        <v>10810</v>
      </c>
      <c r="K91" s="242" t="s">
        <v>9588</v>
      </c>
      <c r="L91" s="333" t="s">
        <v>752</v>
      </c>
      <c r="M91" s="333"/>
      <c r="N91" s="333"/>
      <c r="O91" s="333" t="s">
        <v>9842</v>
      </c>
      <c r="P91" s="333" t="s">
        <v>4156</v>
      </c>
      <c r="Q91" s="304"/>
      <c r="R91" s="304"/>
      <c r="S91" s="304"/>
      <c r="T91" s="304"/>
      <c r="U91" s="304"/>
      <c r="V91" s="304"/>
      <c r="W91" s="62"/>
      <c r="X91" s="908" t="s">
        <v>3532</v>
      </c>
      <c r="Y91" s="333"/>
      <c r="Z91" s="333" t="s">
        <v>10229</v>
      </c>
      <c r="AA91" s="333" t="s">
        <v>10103</v>
      </c>
      <c r="AB91" s="908"/>
      <c r="AC91" s="333"/>
      <c r="AD91" s="333"/>
      <c r="AE91" s="304"/>
      <c r="AF91" s="333" t="s">
        <v>10811</v>
      </c>
      <c r="AG91" s="333" t="s">
        <v>4482</v>
      </c>
      <c r="AH91" s="304"/>
      <c r="AI91" s="304"/>
      <c r="AJ91" s="333"/>
      <c r="AK91" s="304"/>
      <c r="AL91" s="61"/>
      <c r="AM91" s="333"/>
      <c r="AN91" s="242" t="s">
        <v>3542</v>
      </c>
      <c r="AO91" s="304"/>
      <c r="AP91" s="304"/>
      <c r="AQ91" s="273"/>
      <c r="AR91" s="273"/>
      <c r="AS91" s="304"/>
      <c r="AT91" s="304"/>
      <c r="AU91" s="333"/>
      <c r="AV91" s="333" t="s">
        <v>9862</v>
      </c>
      <c r="AW91" s="333" t="s">
        <v>4989</v>
      </c>
      <c r="AX91" s="304"/>
      <c r="AY91" s="304"/>
      <c r="AZ91" s="304"/>
      <c r="BA91" s="304"/>
      <c r="BB91" s="333"/>
      <c r="BC91" s="333"/>
      <c r="BD91" s="333" t="s">
        <v>4320</v>
      </c>
      <c r="BE91" s="333"/>
      <c r="BF91" s="333"/>
      <c r="BG91" s="333"/>
      <c r="BH91" s="304"/>
      <c r="BI91" s="333" t="s">
        <v>4857</v>
      </c>
      <c r="BJ91" s="304"/>
      <c r="BK91" s="333"/>
      <c r="BL91" s="333"/>
      <c r="BM91" s="304"/>
      <c r="BN91" s="273" t="s">
        <v>660</v>
      </c>
      <c r="BO91" s="333"/>
      <c r="BP91" s="304"/>
      <c r="BQ91" s="841"/>
      <c r="BR91" s="242" t="s">
        <v>445</v>
      </c>
      <c r="BS91" s="236" t="s">
        <v>10812</v>
      </c>
      <c r="BT91" s="247" t="s">
        <v>5908</v>
      </c>
      <c r="BU91" s="242" t="s">
        <v>9433</v>
      </c>
      <c r="BV91" s="242" t="s">
        <v>2235</v>
      </c>
      <c r="BW91" s="242" t="s">
        <v>878</v>
      </c>
      <c r="BX91" s="242" t="s">
        <v>453</v>
      </c>
      <c r="BY91" s="333" t="s">
        <v>10813</v>
      </c>
      <c r="BZ91" s="1846" t="s">
        <v>10814</v>
      </c>
      <c r="CA91" s="242" t="s">
        <v>5207</v>
      </c>
      <c r="CB91" s="242" t="s">
        <v>10815</v>
      </c>
      <c r="CC91" s="242" t="s">
        <v>10816</v>
      </c>
      <c r="CD91" s="908" t="s">
        <v>5476</v>
      </c>
      <c r="CE91" s="304"/>
      <c r="CF91" s="841"/>
      <c r="CG91" s="333" t="s">
        <v>7569</v>
      </c>
      <c r="CH91" s="333"/>
      <c r="CI91" s="333"/>
      <c r="CJ91" s="333"/>
      <c r="CK91" s="333" t="s">
        <v>500</v>
      </c>
      <c r="CL91" s="333"/>
      <c r="CM91" s="333"/>
      <c r="CN91" s="333" t="s">
        <v>4983</v>
      </c>
      <c r="CO91" s="333" t="s">
        <v>2378</v>
      </c>
      <c r="CP91" s="768"/>
      <c r="CQ91" s="304"/>
      <c r="CR91" s="304"/>
      <c r="CS91" s="304"/>
      <c r="CT91" s="304"/>
      <c r="CU91" s="62"/>
      <c r="CV91" s="333" t="s">
        <v>2870</v>
      </c>
      <c r="CW91" s="333"/>
      <c r="CX91" s="1847" t="s">
        <v>2234</v>
      </c>
      <c r="CY91" s="333"/>
      <c r="CZ91" s="333"/>
      <c r="DA91" s="333" t="s">
        <v>6175</v>
      </c>
      <c r="DB91" s="333"/>
      <c r="DC91" s="908" t="s">
        <v>639</v>
      </c>
      <c r="DD91" s="304"/>
      <c r="DE91" s="304"/>
      <c r="DF91" s="304"/>
      <c r="DG91" s="304"/>
      <c r="DH91" s="304"/>
      <c r="DI91" s="333"/>
      <c r="DJ91" s="304"/>
      <c r="DK91" s="304"/>
      <c r="DL91" s="333"/>
      <c r="DM91" s="333"/>
      <c r="DN91" s="333"/>
      <c r="DO91" s="304"/>
      <c r="DP91" s="304"/>
      <c r="DQ91" s="304"/>
      <c r="DR91" s="333" t="s">
        <v>8463</v>
      </c>
      <c r="DS91" s="333" t="s">
        <v>9769</v>
      </c>
      <c r="DT91" s="304"/>
      <c r="DU91" s="333"/>
      <c r="DV91" s="273" t="s">
        <v>4829</v>
      </c>
      <c r="DW91" s="304"/>
      <c r="DX91" s="304"/>
      <c r="DY91" s="304"/>
      <c r="DZ91" s="304"/>
      <c r="EA91" s="333"/>
      <c r="EB91" s="304"/>
      <c r="EC91" s="304"/>
      <c r="ED91" s="885"/>
    </row>
    <row r="92">
      <c r="A92" s="1848" t="s">
        <v>10817</v>
      </c>
      <c r="B92" s="381" t="s">
        <v>10818</v>
      </c>
      <c r="C92" s="384" t="s">
        <v>155</v>
      </c>
      <c r="D92" s="386" t="s">
        <v>155</v>
      </c>
      <c r="E92" s="389" t="s">
        <v>155</v>
      </c>
      <c r="F92" s="390" t="s">
        <v>3360</v>
      </c>
      <c r="G92" s="381" t="s">
        <v>1342</v>
      </c>
      <c r="H92" s="849"/>
      <c r="I92" s="406" t="s">
        <v>6433</v>
      </c>
      <c r="J92" s="406" t="s">
        <v>2968</v>
      </c>
      <c r="K92" s="406" t="s">
        <v>774</v>
      </c>
      <c r="L92" s="406" t="s">
        <v>3512</v>
      </c>
      <c r="M92" s="406" t="s">
        <v>10819</v>
      </c>
      <c r="N92" s="406" t="s">
        <v>2955</v>
      </c>
      <c r="O92" s="406" t="s">
        <v>1314</v>
      </c>
      <c r="P92" s="406" t="s">
        <v>1652</v>
      </c>
      <c r="Q92" s="849"/>
      <c r="R92" s="849"/>
      <c r="S92" s="849"/>
      <c r="T92" s="849"/>
      <c r="U92" s="849"/>
      <c r="V92" s="849"/>
      <c r="W92" s="62"/>
      <c r="X92" s="417" t="s">
        <v>10820</v>
      </c>
      <c r="Y92" s="852"/>
      <c r="Z92" s="852"/>
      <c r="AA92" s="417" t="s">
        <v>4556</v>
      </c>
      <c r="AB92" s="417" t="s">
        <v>6879</v>
      </c>
      <c r="AC92" s="417" t="s">
        <v>8273</v>
      </c>
      <c r="AD92" s="417" t="s">
        <v>2701</v>
      </c>
      <c r="AE92" s="852"/>
      <c r="AF92" s="852"/>
      <c r="AG92" s="417" t="s">
        <v>4901</v>
      </c>
      <c r="AH92" s="852"/>
      <c r="AI92" s="852"/>
      <c r="AJ92" s="852"/>
      <c r="AK92" s="852"/>
      <c r="AL92" s="61"/>
      <c r="AM92" s="855"/>
      <c r="AN92" s="855"/>
      <c r="AO92" s="855"/>
      <c r="AP92" s="855"/>
      <c r="AQ92" s="855"/>
      <c r="AR92" s="855"/>
      <c r="AS92" s="855"/>
      <c r="AT92" s="855"/>
      <c r="AU92" s="427" t="s">
        <v>458</v>
      </c>
      <c r="AV92" s="427" t="s">
        <v>6248</v>
      </c>
      <c r="AW92" s="855"/>
      <c r="AX92" s="855"/>
      <c r="AY92" s="855"/>
      <c r="AZ92" s="855"/>
      <c r="BA92" s="855"/>
      <c r="BB92" s="587"/>
      <c r="BC92" s="439" t="s">
        <v>10821</v>
      </c>
      <c r="BD92" s="439" t="s">
        <v>8354</v>
      </c>
      <c r="BE92" s="439" t="s">
        <v>654</v>
      </c>
      <c r="BF92" s="439" t="s">
        <v>8130</v>
      </c>
      <c r="BG92" s="587"/>
      <c r="BH92" s="587"/>
      <c r="BI92" s="439" t="s">
        <v>1398</v>
      </c>
      <c r="BJ92" s="587"/>
      <c r="BK92" s="439" t="s">
        <v>5614</v>
      </c>
      <c r="BL92" s="439" t="s">
        <v>4366</v>
      </c>
      <c r="BM92" s="587"/>
      <c r="BN92" s="587"/>
      <c r="BO92" s="587"/>
      <c r="BP92" s="587"/>
      <c r="BQ92" s="857"/>
      <c r="BR92" s="448" t="s">
        <v>2168</v>
      </c>
      <c r="BS92" s="448" t="s">
        <v>8378</v>
      </c>
      <c r="BT92" s="448" t="s">
        <v>2621</v>
      </c>
      <c r="BU92" s="448" t="s">
        <v>10822</v>
      </c>
      <c r="BV92" s="859"/>
      <c r="BW92" s="448" t="s">
        <v>4128</v>
      </c>
      <c r="BX92" s="594" t="s">
        <v>10823</v>
      </c>
      <c r="BY92" s="859"/>
      <c r="BZ92" s="448" t="s">
        <v>10824</v>
      </c>
      <c r="CA92" s="448" t="s">
        <v>4741</v>
      </c>
      <c r="CB92" s="859"/>
      <c r="CC92" s="859"/>
      <c r="CD92" s="859"/>
      <c r="CE92" s="859"/>
      <c r="CF92" s="861"/>
      <c r="CG92" s="863"/>
      <c r="CH92" s="459" t="s">
        <v>2774</v>
      </c>
      <c r="CI92" s="863"/>
      <c r="CJ92" s="606" t="s">
        <v>10825</v>
      </c>
      <c r="CK92" s="606"/>
      <c r="CL92" s="606"/>
      <c r="CM92" s="863"/>
      <c r="CN92" s="459" t="s">
        <v>10055</v>
      </c>
      <c r="CO92" s="459" t="s">
        <v>9529</v>
      </c>
      <c r="CP92" s="863"/>
      <c r="CQ92" s="863"/>
      <c r="CR92" s="863"/>
      <c r="CS92" s="863"/>
      <c r="CT92" s="863"/>
      <c r="CU92" s="62"/>
      <c r="CV92" s="466" t="s">
        <v>10826</v>
      </c>
      <c r="CW92" s="1646" t="str">
        <f>HYPERLINK("https://youtu.be/E3G9EWGMU-8?t=986", "14.55")</f>
        <v>14.55</v>
      </c>
      <c r="CX92" s="466" t="s">
        <v>10033</v>
      </c>
      <c r="CY92" s="466" t="s">
        <v>4319</v>
      </c>
      <c r="CZ92" s="466" t="s">
        <v>2331</v>
      </c>
      <c r="DA92" s="864"/>
      <c r="DB92" s="466" t="s">
        <v>5767</v>
      </c>
      <c r="DC92" s="466" t="s">
        <v>3821</v>
      </c>
      <c r="DD92" s="864"/>
      <c r="DE92" s="864"/>
      <c r="DF92" s="864"/>
      <c r="DG92" s="864"/>
      <c r="DH92" s="864"/>
      <c r="DI92" s="483" t="s">
        <v>589</v>
      </c>
      <c r="DJ92" s="866"/>
      <c r="DK92" s="866"/>
      <c r="DL92" s="866"/>
      <c r="DM92" s="483" t="s">
        <v>1883</v>
      </c>
      <c r="DN92" s="866"/>
      <c r="DO92" s="866"/>
      <c r="DP92" s="866"/>
      <c r="DQ92" s="866"/>
      <c r="DR92" s="483" t="s">
        <v>7005</v>
      </c>
      <c r="DS92" s="483" t="s">
        <v>9434</v>
      </c>
      <c r="DT92" s="866"/>
      <c r="DU92" s="866"/>
      <c r="DV92" s="866"/>
      <c r="DW92" s="866"/>
      <c r="DX92" s="866"/>
      <c r="DY92" s="866"/>
      <c r="DZ92" s="866"/>
      <c r="EA92" s="707" t="s">
        <v>3967</v>
      </c>
      <c r="EB92" s="483" t="s">
        <v>9576</v>
      </c>
      <c r="EC92" s="866"/>
      <c r="ED92" s="475" t="s">
        <v>5242</v>
      </c>
    </row>
    <row r="93">
      <c r="A93" s="1849" t="s">
        <v>10827</v>
      </c>
      <c r="B93" s="229" t="s">
        <v>10734</v>
      </c>
      <c r="C93" s="230" t="s">
        <v>155</v>
      </c>
      <c r="D93" s="231" t="s">
        <v>155</v>
      </c>
      <c r="E93" s="232" t="s">
        <v>155</v>
      </c>
      <c r="F93" s="233" t="s">
        <v>156</v>
      </c>
      <c r="G93" s="229" t="s">
        <v>263</v>
      </c>
      <c r="H93" s="273" t="s">
        <v>10220</v>
      </c>
      <c r="I93" s="242" t="s">
        <v>10828</v>
      </c>
      <c r="J93" s="273" t="s">
        <v>10067</v>
      </c>
      <c r="K93" s="273" t="s">
        <v>9476</v>
      </c>
      <c r="L93" s="263" t="s">
        <v>309</v>
      </c>
      <c r="M93" s="304"/>
      <c r="N93" s="304"/>
      <c r="O93" s="263" t="s">
        <v>4799</v>
      </c>
      <c r="P93" s="273" t="s">
        <v>1663</v>
      </c>
      <c r="Q93" s="304"/>
      <c r="R93" s="273"/>
      <c r="S93" s="273"/>
      <c r="T93" s="304"/>
      <c r="U93" s="304"/>
      <c r="V93" s="304"/>
      <c r="W93" s="62"/>
      <c r="X93" s="273" t="s">
        <v>601</v>
      </c>
      <c r="Y93" s="304"/>
      <c r="Z93" s="304"/>
      <c r="AA93" s="273" t="s">
        <v>2506</v>
      </c>
      <c r="AB93" s="273" t="s">
        <v>4795</v>
      </c>
      <c r="AC93" s="333" t="s">
        <v>10829</v>
      </c>
      <c r="AD93" s="273" t="s">
        <v>10830</v>
      </c>
      <c r="AE93" s="304"/>
      <c r="AF93" s="304"/>
      <c r="AG93" s="273" t="s">
        <v>2223</v>
      </c>
      <c r="AH93" s="304"/>
      <c r="AI93" s="304"/>
      <c r="AJ93" s="304"/>
      <c r="AK93" s="304"/>
      <c r="AL93" s="61"/>
      <c r="AM93" s="304"/>
      <c r="AN93" s="304"/>
      <c r="AO93" s="304"/>
      <c r="AP93" s="304"/>
      <c r="AQ93" s="304"/>
      <c r="AR93" s="304"/>
      <c r="AS93" s="304"/>
      <c r="AT93" s="304"/>
      <c r="AU93" s="301" t="str">
        <f>HYPERLINK("https://clips.twitch.tv/SpinelessSnappyCocoaPunchTrees","19.81")</f>
        <v>19.81</v>
      </c>
      <c r="AV93" s="242" t="s">
        <v>10831</v>
      </c>
      <c r="AW93" s="304"/>
      <c r="AX93" s="304"/>
      <c r="AY93" s="304"/>
      <c r="AZ93" s="304"/>
      <c r="BA93" s="304"/>
      <c r="BB93" s="273" t="s">
        <v>10832</v>
      </c>
      <c r="BC93" s="273" t="s">
        <v>8037</v>
      </c>
      <c r="BD93" s="304"/>
      <c r="BE93" s="273" t="s">
        <v>4528</v>
      </c>
      <c r="BF93" s="273" t="s">
        <v>3346</v>
      </c>
      <c r="BG93" s="304"/>
      <c r="BH93" s="304"/>
      <c r="BI93" s="273" t="s">
        <v>5970</v>
      </c>
      <c r="BJ93" s="273" t="s">
        <v>10833</v>
      </c>
      <c r="BK93" s="273"/>
      <c r="BL93" s="273" t="s">
        <v>9511</v>
      </c>
      <c r="BM93" s="304"/>
      <c r="BN93" s="304"/>
      <c r="BO93" s="304"/>
      <c r="BP93" s="304"/>
      <c r="BQ93" s="841"/>
      <c r="BR93" s="333" t="s">
        <v>10834</v>
      </c>
      <c r="BS93" s="263" t="s">
        <v>4062</v>
      </c>
      <c r="BT93" s="273" t="s">
        <v>10835</v>
      </c>
      <c r="BU93" s="273" t="s">
        <v>2514</v>
      </c>
      <c r="BV93" s="304"/>
      <c r="BW93" s="273" t="s">
        <v>10836</v>
      </c>
      <c r="BX93" s="304"/>
      <c r="BY93" s="304"/>
      <c r="BZ93" s="304"/>
      <c r="CA93" s="304"/>
      <c r="CB93" s="304"/>
      <c r="CC93" s="304"/>
      <c r="CD93" s="304"/>
      <c r="CE93" s="304"/>
      <c r="CF93" s="841"/>
      <c r="CG93" s="273" t="s">
        <v>3637</v>
      </c>
      <c r="CH93" s="263" t="s">
        <v>10837</v>
      </c>
      <c r="CI93" s="304"/>
      <c r="CJ93" s="1850" t="s">
        <v>10838</v>
      </c>
      <c r="CK93" s="1850" t="s">
        <v>5916</v>
      </c>
      <c r="CL93" s="304"/>
      <c r="CM93" s="273" t="s">
        <v>4959</v>
      </c>
      <c r="CN93" s="273" t="s">
        <v>1646</v>
      </c>
      <c r="CO93" s="885" t="s">
        <v>5083</v>
      </c>
      <c r="CP93" s="304"/>
      <c r="CQ93" s="304"/>
      <c r="CR93" s="304"/>
      <c r="CS93" s="304"/>
      <c r="CT93" s="304"/>
      <c r="CU93" s="62"/>
      <c r="CV93" s="273" t="s">
        <v>10839</v>
      </c>
      <c r="CW93" s="304"/>
      <c r="CX93" s="263" t="s">
        <v>3846</v>
      </c>
      <c r="CY93" s="304"/>
      <c r="CZ93" s="304"/>
      <c r="DA93" s="273" t="s">
        <v>5236</v>
      </c>
      <c r="DB93" s="304"/>
      <c r="DC93" s="304"/>
      <c r="DD93" s="304"/>
      <c r="DE93" s="304"/>
      <c r="DF93" s="304"/>
      <c r="DG93" s="304"/>
      <c r="DH93" s="304"/>
      <c r="DI93" s="273" t="s">
        <v>10840</v>
      </c>
      <c r="DJ93" s="304"/>
      <c r="DK93" s="304"/>
      <c r="DL93" s="304"/>
      <c r="DM93" s="304"/>
      <c r="DN93" s="304"/>
      <c r="DO93" s="304"/>
      <c r="DP93" s="304"/>
      <c r="DQ93" s="304"/>
      <c r="DR93" s="304"/>
      <c r="DS93" s="304"/>
      <c r="DT93" s="304"/>
      <c r="DU93" s="304"/>
      <c r="DV93" s="304"/>
      <c r="DW93" s="304"/>
      <c r="DX93" s="304"/>
      <c r="DY93" s="304"/>
      <c r="DZ93" s="304"/>
      <c r="EA93" s="304"/>
      <c r="EB93" s="304"/>
      <c r="EC93" s="304"/>
      <c r="ED93" s="885"/>
    </row>
    <row r="94">
      <c r="A94" s="545" t="s">
        <v>3268</v>
      </c>
      <c r="B94" s="381" t="s">
        <v>10841</v>
      </c>
      <c r="C94" s="384" t="s">
        <v>155</v>
      </c>
      <c r="D94" s="386" t="s">
        <v>155</v>
      </c>
      <c r="E94" s="389" t="s">
        <v>155</v>
      </c>
      <c r="F94" s="390" t="s">
        <v>81</v>
      </c>
      <c r="G94" s="381" t="s">
        <v>5876</v>
      </c>
      <c r="H94" s="547" t="s">
        <v>5222</v>
      </c>
      <c r="I94" s="547" t="s">
        <v>10842</v>
      </c>
      <c r="J94" s="547" t="s">
        <v>4789</v>
      </c>
      <c r="K94" s="547" t="s">
        <v>10691</v>
      </c>
      <c r="L94" s="547" t="s">
        <v>5421</v>
      </c>
      <c r="M94" s="849"/>
      <c r="N94" s="547" t="s">
        <v>6826</v>
      </c>
      <c r="O94" s="547" t="s">
        <v>10578</v>
      </c>
      <c r="P94" s="547" t="s">
        <v>10843</v>
      </c>
      <c r="Q94" s="547" t="s">
        <v>1480</v>
      </c>
      <c r="R94" s="849"/>
      <c r="S94" s="547" t="s">
        <v>3790</v>
      </c>
      <c r="T94" s="849"/>
      <c r="U94" s="849"/>
      <c r="V94" s="547" t="s">
        <v>10844</v>
      </c>
      <c r="W94" s="62"/>
      <c r="X94" s="683" t="s">
        <v>10845</v>
      </c>
      <c r="Y94" s="683"/>
      <c r="Z94" s="683" t="s">
        <v>10846</v>
      </c>
      <c r="AA94" s="683" t="s">
        <v>605</v>
      </c>
      <c r="AB94" s="683" t="s">
        <v>10847</v>
      </c>
      <c r="AC94" s="683" t="s">
        <v>10848</v>
      </c>
      <c r="AD94" s="683" t="s">
        <v>8743</v>
      </c>
      <c r="AE94" s="683" t="s">
        <v>10615</v>
      </c>
      <c r="AF94" s="683" t="s">
        <v>3151</v>
      </c>
      <c r="AG94" s="683" t="s">
        <v>10551</v>
      </c>
      <c r="AH94" s="683" t="s">
        <v>4738</v>
      </c>
      <c r="AI94" s="683"/>
      <c r="AJ94" s="417" t="s">
        <v>10849</v>
      </c>
      <c r="AK94" s="683" t="s">
        <v>10850</v>
      </c>
      <c r="AL94" s="61"/>
      <c r="AM94" s="571" t="s">
        <v>10159</v>
      </c>
      <c r="AN94" s="571" t="s">
        <v>1358</v>
      </c>
      <c r="AO94" s="571" t="s">
        <v>10851</v>
      </c>
      <c r="AP94" s="571" t="s">
        <v>1970</v>
      </c>
      <c r="AQ94" s="571" t="s">
        <v>5081</v>
      </c>
      <c r="AR94" s="571"/>
      <c r="AS94" s="571" t="s">
        <v>5040</v>
      </c>
      <c r="AT94" s="571" t="s">
        <v>10852</v>
      </c>
      <c r="AU94" s="571" t="s">
        <v>9398</v>
      </c>
      <c r="AV94" s="427" t="s">
        <v>10853</v>
      </c>
      <c r="AW94" s="571" t="s">
        <v>5234</v>
      </c>
      <c r="AX94" s="855"/>
      <c r="AY94" s="571" t="s">
        <v>3635</v>
      </c>
      <c r="AZ94" s="571" t="s">
        <v>10854</v>
      </c>
      <c r="BA94" s="571"/>
      <c r="BB94" s="587"/>
      <c r="BC94" s="589" t="s">
        <v>3608</v>
      </c>
      <c r="BD94" s="589" t="s">
        <v>4373</v>
      </c>
      <c r="BE94" s="589" t="s">
        <v>4709</v>
      </c>
      <c r="BF94" s="589" t="s">
        <v>10855</v>
      </c>
      <c r="BG94" s="589" t="s">
        <v>723</v>
      </c>
      <c r="BH94" s="587"/>
      <c r="BI94" s="589" t="s">
        <v>1426</v>
      </c>
      <c r="BJ94" s="589" t="s">
        <v>1890</v>
      </c>
      <c r="BK94" s="589" t="s">
        <v>10856</v>
      </c>
      <c r="BL94" s="589" t="s">
        <v>10857</v>
      </c>
      <c r="BM94" s="587"/>
      <c r="BN94" s="589" t="s">
        <v>9922</v>
      </c>
      <c r="BO94" s="589" t="s">
        <v>8958</v>
      </c>
      <c r="BP94" s="589" t="s">
        <v>10858</v>
      </c>
      <c r="BQ94" s="589"/>
      <c r="BR94" s="859"/>
      <c r="BS94" s="859"/>
      <c r="BT94" s="594" t="s">
        <v>10859</v>
      </c>
      <c r="BU94" s="594" t="s">
        <v>8131</v>
      </c>
      <c r="BV94" s="594" t="s">
        <v>5997</v>
      </c>
      <c r="BW94" s="594" t="s">
        <v>9688</v>
      </c>
      <c r="BX94" s="859"/>
      <c r="BY94" s="594" t="s">
        <v>10860</v>
      </c>
      <c r="BZ94" s="859"/>
      <c r="CA94" s="594" t="s">
        <v>6193</v>
      </c>
      <c r="CB94" s="594" t="s">
        <v>10861</v>
      </c>
      <c r="CC94" s="594" t="s">
        <v>2706</v>
      </c>
      <c r="CD94" s="594" t="s">
        <v>1417</v>
      </c>
      <c r="CE94" s="448" t="s">
        <v>10862</v>
      </c>
      <c r="CF94" s="1011"/>
      <c r="CG94" s="606" t="s">
        <v>10863</v>
      </c>
      <c r="CH94" s="606" t="s">
        <v>2801</v>
      </c>
      <c r="CI94" s="863"/>
      <c r="CJ94" s="863"/>
      <c r="CK94" s="863"/>
      <c r="CL94" s="863" t="s">
        <v>9850</v>
      </c>
      <c r="CM94" s="863"/>
      <c r="CN94" s="606" t="s">
        <v>10864</v>
      </c>
      <c r="CO94" s="606" t="s">
        <v>10002</v>
      </c>
      <c r="CP94" s="863"/>
      <c r="CQ94" s="606" t="s">
        <v>777</v>
      </c>
      <c r="CR94" s="863"/>
      <c r="CS94" s="863"/>
      <c r="CT94" s="459" t="s">
        <v>10865</v>
      </c>
      <c r="CU94" s="62"/>
      <c r="CV94" s="703" t="s">
        <v>4309</v>
      </c>
      <c r="CW94" s="466" t="s">
        <v>8396</v>
      </c>
      <c r="CX94" s="703" t="s">
        <v>4537</v>
      </c>
      <c r="CY94" s="703" t="s">
        <v>4584</v>
      </c>
      <c r="CZ94" s="703" t="s">
        <v>10866</v>
      </c>
      <c r="DA94" s="864"/>
      <c r="DB94" s="864"/>
      <c r="DC94" s="703" t="s">
        <v>2326</v>
      </c>
      <c r="DD94" s="466" t="s">
        <v>6356</v>
      </c>
      <c r="DE94" s="703" t="s">
        <v>3346</v>
      </c>
      <c r="DF94" s="864"/>
      <c r="DG94" s="703" t="s">
        <v>3897</v>
      </c>
      <c r="DH94" s="703"/>
      <c r="DI94" s="866"/>
      <c r="DJ94" s="707" t="s">
        <v>7003</v>
      </c>
      <c r="DK94" s="866"/>
      <c r="DL94" s="707"/>
      <c r="DM94" s="707" t="s">
        <v>10719</v>
      </c>
      <c r="DN94" s="707" t="s">
        <v>2072</v>
      </c>
      <c r="DO94" s="483" t="s">
        <v>6185</v>
      </c>
      <c r="DP94" s="707" t="s">
        <v>9816</v>
      </c>
      <c r="DQ94" s="707" t="s">
        <v>8935</v>
      </c>
      <c r="DR94" s="707" t="s">
        <v>4359</v>
      </c>
      <c r="DS94" s="866"/>
      <c r="DT94" s="707" t="s">
        <v>10867</v>
      </c>
      <c r="DU94" s="707" t="s">
        <v>5548</v>
      </c>
      <c r="DV94" s="707" t="s">
        <v>10868</v>
      </c>
      <c r="DW94" s="707" t="s">
        <v>4687</v>
      </c>
      <c r="DX94" s="707" t="s">
        <v>5924</v>
      </c>
      <c r="DY94" s="707" t="s">
        <v>4697</v>
      </c>
      <c r="DZ94" s="707" t="s">
        <v>10067</v>
      </c>
      <c r="EA94" s="707" t="s">
        <v>10142</v>
      </c>
      <c r="EB94" s="707" t="s">
        <v>10869</v>
      </c>
      <c r="EC94" s="707" t="s">
        <v>2349</v>
      </c>
      <c r="ED94" s="974" t="s">
        <v>10870</v>
      </c>
    </row>
    <row r="95">
      <c r="A95" s="1851" t="s">
        <v>10871</v>
      </c>
      <c r="B95" s="229" t="s">
        <v>10872</v>
      </c>
      <c r="C95" s="230" t="s">
        <v>155</v>
      </c>
      <c r="D95" s="231" t="s">
        <v>155</v>
      </c>
      <c r="E95" s="232" t="s">
        <v>155</v>
      </c>
      <c r="F95" s="233" t="s">
        <v>3612</v>
      </c>
      <c r="G95" s="229" t="s">
        <v>3732</v>
      </c>
      <c r="H95" s="304"/>
      <c r="I95" s="304"/>
      <c r="J95" s="273" t="s">
        <v>10873</v>
      </c>
      <c r="K95" s="273" t="s">
        <v>4299</v>
      </c>
      <c r="L95" s="273" t="s">
        <v>5151</v>
      </c>
      <c r="M95" s="273" t="s">
        <v>10874</v>
      </c>
      <c r="N95" s="273" t="s">
        <v>6062</v>
      </c>
      <c r="O95" s="273" t="s">
        <v>9571</v>
      </c>
      <c r="P95" s="242" t="s">
        <v>1677</v>
      </c>
      <c r="Q95" s="304"/>
      <c r="R95" s="304"/>
      <c r="S95" s="304"/>
      <c r="T95" s="304"/>
      <c r="U95" s="304"/>
      <c r="V95" s="273" t="s">
        <v>10875</v>
      </c>
      <c r="W95" s="62"/>
      <c r="X95" s="908" t="s">
        <v>10876</v>
      </c>
      <c r="Y95" s="273"/>
      <c r="Z95" s="273" t="s">
        <v>2079</v>
      </c>
      <c r="AA95" s="242" t="s">
        <v>10596</v>
      </c>
      <c r="AB95" s="242" t="s">
        <v>2025</v>
      </c>
      <c r="AC95" s="242" t="s">
        <v>9056</v>
      </c>
      <c r="AD95" s="908" t="s">
        <v>10526</v>
      </c>
      <c r="AE95" s="273"/>
      <c r="AF95" s="522" t="s">
        <v>3127</v>
      </c>
      <c r="AG95" s="242" t="s">
        <v>5901</v>
      </c>
      <c r="AH95" s="304"/>
      <c r="AI95" s="304"/>
      <c r="AJ95" s="273" t="s">
        <v>1753</v>
      </c>
      <c r="AK95" s="273" t="s">
        <v>10877</v>
      </c>
      <c r="AL95" s="61"/>
      <c r="AM95" s="304"/>
      <c r="AN95" s="304"/>
      <c r="AO95" s="304"/>
      <c r="AP95" s="304"/>
      <c r="AQ95" s="273" t="s">
        <v>591</v>
      </c>
      <c r="AR95" s="273"/>
      <c r="AS95" s="304"/>
      <c r="AT95" s="304"/>
      <c r="AU95" s="273" t="s">
        <v>4127</v>
      </c>
      <c r="AV95" s="908" t="s">
        <v>5010</v>
      </c>
      <c r="AW95" s="304"/>
      <c r="AX95" s="304"/>
      <c r="AY95" s="242" t="s">
        <v>1089</v>
      </c>
      <c r="AZ95" s="273" t="s">
        <v>10878</v>
      </c>
      <c r="BA95" s="273"/>
      <c r="BB95" s="273" t="s">
        <v>8978</v>
      </c>
      <c r="BC95" s="273" t="s">
        <v>6208</v>
      </c>
      <c r="BD95" s="273" t="s">
        <v>8354</v>
      </c>
      <c r="BE95" s="242" t="s">
        <v>749</v>
      </c>
      <c r="BF95" s="273" t="s">
        <v>4573</v>
      </c>
      <c r="BG95" s="304"/>
      <c r="BH95" s="304"/>
      <c r="BI95" s="908" t="s">
        <v>9542</v>
      </c>
      <c r="BJ95" s="304"/>
      <c r="BK95" s="273" t="s">
        <v>5568</v>
      </c>
      <c r="BL95" s="304"/>
      <c r="BM95" s="273"/>
      <c r="BN95" s="273" t="s">
        <v>2281</v>
      </c>
      <c r="BO95" s="273" t="s">
        <v>6615</v>
      </c>
      <c r="BP95" s="304"/>
      <c r="BQ95" s="841"/>
      <c r="BR95" s="304"/>
      <c r="BS95" s="273" t="s">
        <v>8373</v>
      </c>
      <c r="BT95" s="301" t="s">
        <v>10130</v>
      </c>
      <c r="BU95" s="273" t="s">
        <v>6897</v>
      </c>
      <c r="BV95" s="273" t="s">
        <v>10879</v>
      </c>
      <c r="BW95" s="273" t="s">
        <v>9688</v>
      </c>
      <c r="BX95" s="304"/>
      <c r="BY95" s="304"/>
      <c r="BZ95" s="304"/>
      <c r="CA95" s="242" t="s">
        <v>10795</v>
      </c>
      <c r="CB95" s="242" t="s">
        <v>10880</v>
      </c>
      <c r="CC95" s="304"/>
      <c r="CD95" s="242" t="s">
        <v>1372</v>
      </c>
      <c r="CE95" s="273" t="s">
        <v>10881</v>
      </c>
      <c r="CF95" s="273"/>
      <c r="CG95" s="273" t="s">
        <v>2091</v>
      </c>
      <c r="CH95" s="242" t="s">
        <v>802</v>
      </c>
      <c r="CI95" s="273" t="s">
        <v>5183</v>
      </c>
      <c r="CJ95" s="273" t="s">
        <v>10882</v>
      </c>
      <c r="CK95" s="273"/>
      <c r="CL95" s="273"/>
      <c r="CM95" s="304"/>
      <c r="CN95" s="273" t="s">
        <v>10735</v>
      </c>
      <c r="CO95" s="242" t="s">
        <v>9529</v>
      </c>
      <c r="CP95" s="304"/>
      <c r="CQ95" s="273"/>
      <c r="CR95" s="304"/>
      <c r="CS95" s="304"/>
      <c r="CT95" s="273" t="s">
        <v>10883</v>
      </c>
      <c r="CU95" s="62"/>
      <c r="CV95" s="273" t="s">
        <v>7958</v>
      </c>
      <c r="CW95" s="304"/>
      <c r="CX95" s="908" t="s">
        <v>5111</v>
      </c>
      <c r="CY95" s="273" t="s">
        <v>2892</v>
      </c>
      <c r="CZ95" s="273" t="s">
        <v>9015</v>
      </c>
      <c r="DA95" s="273" t="s">
        <v>10884</v>
      </c>
      <c r="DB95" s="908" t="s">
        <v>1611</v>
      </c>
      <c r="DC95" s="273" t="s">
        <v>5075</v>
      </c>
      <c r="DD95" s="908" t="s">
        <v>8729</v>
      </c>
      <c r="DE95" s="304"/>
      <c r="DF95" s="304"/>
      <c r="DG95" s="242" t="s">
        <v>9069</v>
      </c>
      <c r="DH95" s="333"/>
      <c r="DI95" s="304"/>
      <c r="DJ95" s="304"/>
      <c r="DK95" s="304"/>
      <c r="DL95" s="273"/>
      <c r="DM95" s="304"/>
      <c r="DN95" s="273" t="s">
        <v>10885</v>
      </c>
      <c r="DO95" s="304"/>
      <c r="DP95" s="304"/>
      <c r="DQ95" s="304"/>
      <c r="DR95" s="273" t="s">
        <v>6583</v>
      </c>
      <c r="DS95" s="304"/>
      <c r="DT95" s="273" t="s">
        <v>740</v>
      </c>
      <c r="DU95" s="304"/>
      <c r="DV95" s="304"/>
      <c r="DW95" s="304"/>
      <c r="DX95" s="304"/>
      <c r="DY95" s="304"/>
      <c r="DZ95" s="304"/>
      <c r="EA95" s="273" t="s">
        <v>1347</v>
      </c>
      <c r="EB95" s="304"/>
      <c r="EC95" s="304"/>
      <c r="ED95" s="885" t="s">
        <v>10886</v>
      </c>
    </row>
    <row r="96">
      <c r="A96" s="1852" t="s">
        <v>10887</v>
      </c>
      <c r="B96" s="381" t="s">
        <v>10888</v>
      </c>
      <c r="C96" s="384" t="s">
        <v>155</v>
      </c>
      <c r="D96" s="386" t="s">
        <v>76</v>
      </c>
      <c r="E96" s="389" t="s">
        <v>155</v>
      </c>
      <c r="F96" s="390" t="s">
        <v>3801</v>
      </c>
      <c r="G96" s="381" t="s">
        <v>6920</v>
      </c>
      <c r="H96" s="547" t="s">
        <v>896</v>
      </c>
      <c r="I96" s="406" t="s">
        <v>7158</v>
      </c>
      <c r="J96" s="406" t="s">
        <v>1483</v>
      </c>
      <c r="K96" s="406" t="s">
        <v>744</v>
      </c>
      <c r="L96" s="406" t="s">
        <v>9664</v>
      </c>
      <c r="M96" s="406" t="s">
        <v>9963</v>
      </c>
      <c r="N96" s="406" t="s">
        <v>2571</v>
      </c>
      <c r="O96" s="406" t="s">
        <v>1293</v>
      </c>
      <c r="P96" s="406" t="s">
        <v>1618</v>
      </c>
      <c r="Q96" s="406" t="s">
        <v>10889</v>
      </c>
      <c r="R96" s="849"/>
      <c r="S96" s="406" t="s">
        <v>4007</v>
      </c>
      <c r="T96" s="406" t="s">
        <v>7686</v>
      </c>
      <c r="U96" s="849"/>
      <c r="V96" s="547" t="s">
        <v>10890</v>
      </c>
      <c r="W96" s="62"/>
      <c r="X96" s="417" t="s">
        <v>4842</v>
      </c>
      <c r="Y96" s="852"/>
      <c r="Z96" s="852"/>
      <c r="AA96" s="417" t="s">
        <v>4156</v>
      </c>
      <c r="AB96" s="680" t="s">
        <v>10891</v>
      </c>
      <c r="AC96" s="417" t="s">
        <v>3845</v>
      </c>
      <c r="AD96" s="683" t="s">
        <v>8442</v>
      </c>
      <c r="AE96" s="852"/>
      <c r="AF96" s="417" t="s">
        <v>3127</v>
      </c>
      <c r="AG96" s="417" t="s">
        <v>10892</v>
      </c>
      <c r="AH96" s="852"/>
      <c r="AI96" s="683" t="s">
        <v>1978</v>
      </c>
      <c r="AJ96" s="683" t="s">
        <v>3059</v>
      </c>
      <c r="AK96" s="852"/>
      <c r="AL96" s="61"/>
      <c r="AM96" s="571" t="s">
        <v>10893</v>
      </c>
      <c r="AN96" s="571" t="s">
        <v>6183</v>
      </c>
      <c r="AO96" s="855"/>
      <c r="AP96" s="571" t="s">
        <v>10894</v>
      </c>
      <c r="AQ96" s="855"/>
      <c r="AR96" s="855"/>
      <c r="AS96" s="855"/>
      <c r="AT96" s="571" t="s">
        <v>572</v>
      </c>
      <c r="AU96" s="427" t="s">
        <v>2290</v>
      </c>
      <c r="AV96" s="427" t="s">
        <v>297</v>
      </c>
      <c r="AW96" s="427" t="s">
        <v>4815</v>
      </c>
      <c r="AX96" s="855"/>
      <c r="AY96" s="427" t="s">
        <v>10496</v>
      </c>
      <c r="AZ96" s="855"/>
      <c r="BA96" s="855"/>
      <c r="BB96" s="589" t="s">
        <v>6922</v>
      </c>
      <c r="BC96" s="589" t="s">
        <v>898</v>
      </c>
      <c r="BD96" s="589" t="s">
        <v>5338</v>
      </c>
      <c r="BE96" s="439" t="s">
        <v>9382</v>
      </c>
      <c r="BF96" s="439" t="s">
        <v>4950</v>
      </c>
      <c r="BG96" s="587"/>
      <c r="BH96" s="587"/>
      <c r="BI96" s="439" t="s">
        <v>4856</v>
      </c>
      <c r="BJ96" s="587"/>
      <c r="BK96" s="439" t="s">
        <v>9272</v>
      </c>
      <c r="BL96" s="439" t="s">
        <v>9511</v>
      </c>
      <c r="BM96" s="587"/>
      <c r="BN96" s="439" t="s">
        <v>1263</v>
      </c>
      <c r="BO96" s="587"/>
      <c r="BP96" s="587"/>
      <c r="BQ96" s="857"/>
      <c r="BR96" s="448" t="s">
        <v>1136</v>
      </c>
      <c r="BS96" s="859"/>
      <c r="BT96" s="594" t="s">
        <v>10895</v>
      </c>
      <c r="BU96" s="448" t="s">
        <v>4603</v>
      </c>
      <c r="BV96" s="859"/>
      <c r="BW96" s="859"/>
      <c r="BX96" s="859"/>
      <c r="BY96" s="594" t="s">
        <v>10896</v>
      </c>
      <c r="BZ96" s="968" t="s">
        <v>3417</v>
      </c>
      <c r="CA96" s="448" t="s">
        <v>10897</v>
      </c>
      <c r="CB96" s="448" t="s">
        <v>10898</v>
      </c>
      <c r="CC96" s="594" t="s">
        <v>10749</v>
      </c>
      <c r="CD96" s="448" t="s">
        <v>10360</v>
      </c>
      <c r="CE96" s="859"/>
      <c r="CF96" s="861"/>
      <c r="CG96" s="459" t="s">
        <v>10899</v>
      </c>
      <c r="CH96" s="459" t="s">
        <v>3846</v>
      </c>
      <c r="CI96" s="606" t="s">
        <v>10900</v>
      </c>
      <c r="CJ96" s="459" t="s">
        <v>3571</v>
      </c>
      <c r="CK96" s="460"/>
      <c r="CL96" s="459" t="s">
        <v>10901</v>
      </c>
      <c r="CM96" s="459" t="s">
        <v>5978</v>
      </c>
      <c r="CN96" s="606" t="s">
        <v>10902</v>
      </c>
      <c r="CO96" s="459" t="s">
        <v>576</v>
      </c>
      <c r="CP96" s="863"/>
      <c r="CQ96" s="863"/>
      <c r="CR96" s="460"/>
      <c r="CS96" s="459" t="s">
        <v>3346</v>
      </c>
      <c r="CT96" s="863"/>
      <c r="CU96" s="62"/>
      <c r="CV96" s="1561" t="s">
        <v>6017</v>
      </c>
      <c r="CW96" s="864"/>
      <c r="CX96" s="703" t="s">
        <v>5111</v>
      </c>
      <c r="CY96" s="466" t="s">
        <v>2394</v>
      </c>
      <c r="CZ96" s="864"/>
      <c r="DA96" s="703" t="s">
        <v>3399</v>
      </c>
      <c r="DB96" s="703" t="s">
        <v>10903</v>
      </c>
      <c r="DC96" s="466" t="s">
        <v>9031</v>
      </c>
      <c r="DD96" s="864"/>
      <c r="DE96" s="703" t="s">
        <v>10904</v>
      </c>
      <c r="DF96" s="466" t="s">
        <v>10905</v>
      </c>
      <c r="DG96" s="864"/>
      <c r="DH96" s="864"/>
      <c r="DI96" s="866"/>
      <c r="DJ96" s="866"/>
      <c r="DK96" s="866"/>
      <c r="DL96" s="866"/>
      <c r="DM96" s="866"/>
      <c r="DN96" s="866"/>
      <c r="DO96" s="483" t="s">
        <v>4503</v>
      </c>
      <c r="DP96" s="707" t="s">
        <v>9939</v>
      </c>
      <c r="DQ96" s="707" t="s">
        <v>10906</v>
      </c>
      <c r="DR96" s="866"/>
      <c r="DS96" s="866"/>
      <c r="DT96" s="707" t="s">
        <v>1679</v>
      </c>
      <c r="DU96" s="707" t="s">
        <v>1302</v>
      </c>
      <c r="DV96" s="866"/>
      <c r="DW96" s="707" t="s">
        <v>4687</v>
      </c>
      <c r="DX96" s="866"/>
      <c r="DY96" s="866"/>
      <c r="DZ96" s="866"/>
      <c r="EA96" s="612" t="s">
        <v>4674</v>
      </c>
      <c r="EB96" s="866"/>
      <c r="EC96" s="866"/>
      <c r="ED96" s="974"/>
    </row>
    <row r="97">
      <c r="A97" s="1853" t="s">
        <v>3748</v>
      </c>
      <c r="B97" s="229" t="s">
        <v>10907</v>
      </c>
      <c r="C97" s="230" t="s">
        <v>155</v>
      </c>
      <c r="D97" s="231" t="s">
        <v>76</v>
      </c>
      <c r="E97" s="232" t="s">
        <v>155</v>
      </c>
      <c r="F97" s="233" t="s">
        <v>3360</v>
      </c>
      <c r="G97" s="229" t="s">
        <v>3889</v>
      </c>
      <c r="H97" s="242" t="s">
        <v>4832</v>
      </c>
      <c r="I97" s="908" t="s">
        <v>314</v>
      </c>
      <c r="J97" s="242" t="s">
        <v>10908</v>
      </c>
      <c r="K97" s="242" t="s">
        <v>10909</v>
      </c>
      <c r="L97" s="242" t="s">
        <v>10910</v>
      </c>
      <c r="M97" s="242" t="s">
        <v>10911</v>
      </c>
      <c r="N97" s="242" t="s">
        <v>10912</v>
      </c>
      <c r="O97" s="242" t="s">
        <v>10913</v>
      </c>
      <c r="P97" s="908" t="s">
        <v>1677</v>
      </c>
      <c r="Q97" s="908" t="s">
        <v>7652</v>
      </c>
      <c r="R97" s="242" t="s">
        <v>9860</v>
      </c>
      <c r="S97" s="242" t="s">
        <v>10853</v>
      </c>
      <c r="T97" s="304"/>
      <c r="U97" s="242" t="s">
        <v>2770</v>
      </c>
      <c r="V97" s="242" t="s">
        <v>10914</v>
      </c>
      <c r="W97" s="62"/>
      <c r="X97" s="908" t="s">
        <v>9706</v>
      </c>
      <c r="Y97" s="908"/>
      <c r="Z97" s="908" t="s">
        <v>10915</v>
      </c>
      <c r="AA97" s="908" t="s">
        <v>1421</v>
      </c>
      <c r="AB97" s="908" t="s">
        <v>7275</v>
      </c>
      <c r="AC97" s="908" t="s">
        <v>10916</v>
      </c>
      <c r="AD97" s="908" t="s">
        <v>2972</v>
      </c>
      <c r="AE97" s="273"/>
      <c r="AF97" s="242" t="s">
        <v>4083</v>
      </c>
      <c r="AG97" s="242" t="s">
        <v>10917</v>
      </c>
      <c r="AH97" s="242" t="s">
        <v>10918</v>
      </c>
      <c r="AI97" s="273"/>
      <c r="AJ97" s="242" t="s">
        <v>4642</v>
      </c>
      <c r="AK97" s="242" t="s">
        <v>7815</v>
      </c>
      <c r="AL97" s="61"/>
      <c r="AM97" s="242" t="s">
        <v>8581</v>
      </c>
      <c r="AN97" s="242" t="s">
        <v>328</v>
      </c>
      <c r="AO97" s="304"/>
      <c r="AP97" s="304"/>
      <c r="AQ97" s="304"/>
      <c r="AR97" s="304"/>
      <c r="AS97" s="304"/>
      <c r="AT97" s="304"/>
      <c r="AU97" s="908" t="s">
        <v>5077</v>
      </c>
      <c r="AV97" s="242" t="s">
        <v>10919</v>
      </c>
      <c r="AW97" s="242" t="s">
        <v>10920</v>
      </c>
      <c r="AX97" s="242" t="s">
        <v>3555</v>
      </c>
      <c r="AY97" s="242" t="s">
        <v>712</v>
      </c>
      <c r="AZ97" s="304"/>
      <c r="BA97" s="304"/>
      <c r="BB97" s="908" t="s">
        <v>1207</v>
      </c>
      <c r="BC97" s="242" t="s">
        <v>10921</v>
      </c>
      <c r="BD97" s="908" t="s">
        <v>9566</v>
      </c>
      <c r="BE97" s="908" t="s">
        <v>6086</v>
      </c>
      <c r="BF97" s="242" t="s">
        <v>2401</v>
      </c>
      <c r="BG97" s="242" t="s">
        <v>10922</v>
      </c>
      <c r="BH97" s="242" t="s">
        <v>6584</v>
      </c>
      <c r="BI97" s="908" t="s">
        <v>826</v>
      </c>
      <c r="BJ97" s="273" t="s">
        <v>10923</v>
      </c>
      <c r="BK97" s="304"/>
      <c r="BL97" s="908" t="s">
        <v>3006</v>
      </c>
      <c r="BM97" s="304"/>
      <c r="BN97" s="242" t="s">
        <v>402</v>
      </c>
      <c r="BO97" s="304"/>
      <c r="BP97" s="273" t="s">
        <v>10924</v>
      </c>
      <c r="BQ97" s="841"/>
      <c r="BR97" s="242" t="s">
        <v>10925</v>
      </c>
      <c r="BS97" s="908" t="s">
        <v>10926</v>
      </c>
      <c r="BT97" s="908" t="s">
        <v>10927</v>
      </c>
      <c r="BU97" s="242" t="s">
        <v>10928</v>
      </c>
      <c r="BV97" s="908" t="s">
        <v>7240</v>
      </c>
      <c r="BW97" s="908" t="s">
        <v>4664</v>
      </c>
      <c r="BX97" s="242" t="s">
        <v>9049</v>
      </c>
      <c r="BY97" s="908" t="s">
        <v>10929</v>
      </c>
      <c r="BZ97" s="304"/>
      <c r="CA97" s="908" t="s">
        <v>10930</v>
      </c>
      <c r="CB97" s="242" t="s">
        <v>10931</v>
      </c>
      <c r="CC97" s="304"/>
      <c r="CD97" s="304"/>
      <c r="CE97" s="304"/>
      <c r="CF97" s="841"/>
      <c r="CG97" s="242" t="s">
        <v>10932</v>
      </c>
      <c r="CH97" s="242" t="s">
        <v>905</v>
      </c>
      <c r="CI97" s="242" t="s">
        <v>1475</v>
      </c>
      <c r="CJ97" s="273" t="s">
        <v>10933</v>
      </c>
      <c r="CK97" s="273"/>
      <c r="CL97" s="1642" t="s">
        <v>10934</v>
      </c>
      <c r="CM97" s="273" t="s">
        <v>10935</v>
      </c>
      <c r="CN97" s="242" t="s">
        <v>4905</v>
      </c>
      <c r="CO97" s="242" t="s">
        <v>5055</v>
      </c>
      <c r="CP97" s="304"/>
      <c r="CQ97" s="304"/>
      <c r="CR97" s="304"/>
      <c r="CS97" s="304"/>
      <c r="CT97" s="242" t="s">
        <v>10936</v>
      </c>
      <c r="CU97" s="62"/>
      <c r="CV97" s="242" t="s">
        <v>3225</v>
      </c>
      <c r="CW97" s="908" t="s">
        <v>10339</v>
      </c>
      <c r="CX97" s="908" t="s">
        <v>10540</v>
      </c>
      <c r="CY97" s="908" t="s">
        <v>9661</v>
      </c>
      <c r="CZ97" s="242" t="s">
        <v>10937</v>
      </c>
      <c r="DA97" s="908" t="s">
        <v>8077</v>
      </c>
      <c r="DB97" s="908" t="s">
        <v>10938</v>
      </c>
      <c r="DC97" s="908" t="s">
        <v>9598</v>
      </c>
      <c r="DD97" s="304"/>
      <c r="DE97" s="304"/>
      <c r="DF97" s="304"/>
      <c r="DG97" s="242" t="s">
        <v>1701</v>
      </c>
      <c r="DH97" s="333"/>
      <c r="DI97" s="273" t="s">
        <v>5324</v>
      </c>
      <c r="DJ97" s="304"/>
      <c r="DK97" s="304"/>
      <c r="DL97" s="304"/>
      <c r="DM97" s="248" t="s">
        <v>477</v>
      </c>
      <c r="DN97" s="242" t="s">
        <v>2265</v>
      </c>
      <c r="DO97" s="304"/>
      <c r="DP97" s="304"/>
      <c r="DQ97" s="304"/>
      <c r="DR97" s="273" t="s">
        <v>9646</v>
      </c>
      <c r="DS97" s="273" t="s">
        <v>9625</v>
      </c>
      <c r="DT97" s="304"/>
      <c r="DU97" s="242" t="s">
        <v>8009</v>
      </c>
      <c r="DV97" s="304"/>
      <c r="DW97" s="273" t="s">
        <v>3876</v>
      </c>
      <c r="DX97" s="304"/>
      <c r="DY97" s="242" t="s">
        <v>2731</v>
      </c>
      <c r="DZ97" s="273" t="s">
        <v>6313</v>
      </c>
      <c r="EA97" s="304"/>
      <c r="EB97" s="304"/>
      <c r="EC97" s="304"/>
      <c r="ED97" s="301" t="s">
        <v>9438</v>
      </c>
    </row>
    <row r="98">
      <c r="A98" s="1854" t="s">
        <v>3264</v>
      </c>
      <c r="B98" s="1855" t="s">
        <v>10939</v>
      </c>
      <c r="C98" s="1856" t="s">
        <v>155</v>
      </c>
      <c r="D98" s="1857" t="s">
        <v>155</v>
      </c>
      <c r="E98" s="1858" t="s">
        <v>155</v>
      </c>
      <c r="F98" s="1859" t="s">
        <v>261</v>
      </c>
      <c r="G98" s="1855" t="s">
        <v>10940</v>
      </c>
      <c r="H98" s="1549" t="s">
        <v>2967</v>
      </c>
      <c r="I98" s="1549" t="s">
        <v>8463</v>
      </c>
      <c r="J98" s="402" t="s">
        <v>10941</v>
      </c>
      <c r="K98" s="1549" t="s">
        <v>732</v>
      </c>
      <c r="L98" s="402" t="s">
        <v>10942</v>
      </c>
      <c r="M98" s="962" t="s">
        <v>10943</v>
      </c>
      <c r="N98" s="1549" t="s">
        <v>10944</v>
      </c>
      <c r="O98" s="1549" t="s">
        <v>10945</v>
      </c>
      <c r="P98" s="1549" t="s">
        <v>10946</v>
      </c>
      <c r="R98" s="1860"/>
      <c r="S98" s="402" t="s">
        <v>10947</v>
      </c>
      <c r="T98" s="1860"/>
      <c r="U98" s="962" t="s">
        <v>4754</v>
      </c>
      <c r="V98" s="1860"/>
      <c r="W98" s="1861"/>
      <c r="X98" s="1218" t="s">
        <v>3078</v>
      </c>
      <c r="Y98" s="1218"/>
      <c r="Z98" s="1218" t="s">
        <v>2319</v>
      </c>
      <c r="AA98" s="1218" t="s">
        <v>10948</v>
      </c>
      <c r="AB98" s="1218"/>
      <c r="AC98" s="1218" t="s">
        <v>10949</v>
      </c>
      <c r="AD98" s="1218" t="s">
        <v>3718</v>
      </c>
      <c r="AE98" s="1862"/>
      <c r="AF98" s="1218"/>
      <c r="AG98" s="1218"/>
      <c r="AH98" s="1863"/>
      <c r="AI98" s="1863"/>
      <c r="AJ98" s="1218" t="s">
        <v>6441</v>
      </c>
      <c r="AK98" s="1863"/>
      <c r="AL98" s="1864"/>
      <c r="AM98" s="1725"/>
      <c r="AN98" s="1725"/>
      <c r="AO98" s="1865" t="s">
        <v>3279</v>
      </c>
      <c r="AP98" s="1865"/>
      <c r="AQ98" s="1865"/>
      <c r="AR98" s="1865"/>
      <c r="AS98" s="1866"/>
      <c r="AT98" s="1866"/>
      <c r="AU98" s="1725"/>
      <c r="AV98" s="1725" t="s">
        <v>10950</v>
      </c>
      <c r="AW98" s="1725"/>
      <c r="AX98" s="1866"/>
      <c r="AY98" s="425" t="s">
        <v>1594</v>
      </c>
      <c r="AZ98" s="1866"/>
      <c r="BA98" s="1866"/>
      <c r="BB98" s="695"/>
      <c r="BC98" s="695" t="s">
        <v>10951</v>
      </c>
      <c r="BD98" s="695" t="s">
        <v>10952</v>
      </c>
      <c r="BE98" s="695" t="s">
        <v>10953</v>
      </c>
      <c r="BF98" s="695" t="s">
        <v>10954</v>
      </c>
      <c r="BG98" s="695"/>
      <c r="BH98" s="1867"/>
      <c r="BI98" s="695" t="s">
        <v>10955</v>
      </c>
      <c r="BJ98" s="1867"/>
      <c r="BK98" s="695" t="s">
        <v>10956</v>
      </c>
      <c r="BL98" s="436" t="s">
        <v>10957</v>
      </c>
      <c r="BM98" s="1867"/>
      <c r="BN98" s="1868" t="s">
        <v>10110</v>
      </c>
      <c r="BO98" s="695" t="s">
        <v>9672</v>
      </c>
      <c r="BP98" s="1867"/>
      <c r="BQ98" s="1869"/>
      <c r="BR98" s="1717" t="s">
        <v>10958</v>
      </c>
      <c r="BS98" s="1717" t="s">
        <v>10959</v>
      </c>
      <c r="BT98" s="1717" t="s">
        <v>10277</v>
      </c>
      <c r="BU98" s="1717" t="s">
        <v>10960</v>
      </c>
      <c r="BV98" s="447" t="s">
        <v>3027</v>
      </c>
      <c r="BW98" s="1717" t="s">
        <v>10961</v>
      </c>
      <c r="BX98" s="1870"/>
      <c r="BY98" s="1717"/>
      <c r="BZ98" s="1717"/>
      <c r="CA98" s="1717"/>
      <c r="CB98" s="1871" t="s">
        <v>3304</v>
      </c>
      <c r="CC98" s="1871" t="s">
        <v>10962</v>
      </c>
      <c r="CD98" s="1871" t="s">
        <v>1437</v>
      </c>
      <c r="CE98" s="1870"/>
      <c r="CF98" s="1872"/>
      <c r="CG98" s="1607" t="s">
        <v>10963</v>
      </c>
      <c r="CH98" s="1607" t="s">
        <v>10964</v>
      </c>
      <c r="CI98" s="1607" t="s">
        <v>10965</v>
      </c>
      <c r="CJ98" s="452" t="s">
        <v>10966</v>
      </c>
      <c r="CK98" s="1607" t="s">
        <v>1156</v>
      </c>
      <c r="CL98" s="1607"/>
      <c r="CM98" s="1607"/>
      <c r="CN98" s="1607" t="s">
        <v>10967</v>
      </c>
      <c r="CO98" s="1873">
        <v>19.7</v>
      </c>
      <c r="CP98" s="1874"/>
      <c r="CQ98" s="1875" t="s">
        <v>10968</v>
      </c>
      <c r="CR98" s="1876"/>
      <c r="CS98" s="1875" t="s">
        <v>10969</v>
      </c>
      <c r="CT98" s="1876"/>
      <c r="CU98" s="1861"/>
      <c r="CV98" s="972" t="s">
        <v>10970</v>
      </c>
      <c r="CW98" s="972" t="s">
        <v>10655</v>
      </c>
      <c r="CX98" s="972" t="s">
        <v>10971</v>
      </c>
      <c r="CY98" s="972" t="s">
        <v>10970</v>
      </c>
      <c r="CZ98" s="972" t="s">
        <v>10972</v>
      </c>
      <c r="DA98" s="972" t="s">
        <v>10973</v>
      </c>
      <c r="DB98" s="972"/>
      <c r="DC98" s="972"/>
      <c r="DD98" s="1877"/>
      <c r="DE98" s="1878" t="s">
        <v>10419</v>
      </c>
      <c r="DF98" s="1878" t="s">
        <v>4409</v>
      </c>
      <c r="DG98" s="1877"/>
      <c r="DH98" s="1877"/>
      <c r="DI98" s="974" t="s">
        <v>10974</v>
      </c>
      <c r="DJ98" s="1879"/>
      <c r="DK98" s="1879"/>
      <c r="DL98" s="974"/>
      <c r="DM98" s="974"/>
      <c r="DN98" s="974"/>
      <c r="DO98" s="1879"/>
      <c r="DP98" s="1879"/>
      <c r="DQ98" s="1879"/>
      <c r="DR98" s="974" t="s">
        <v>10975</v>
      </c>
      <c r="DS98" s="974" t="s">
        <v>10976</v>
      </c>
      <c r="DT98" s="1879"/>
      <c r="DU98" s="974"/>
      <c r="DV98" s="475" t="s">
        <v>10977</v>
      </c>
      <c r="DW98" s="1879"/>
      <c r="DX98" s="1879"/>
      <c r="DY98" s="1879"/>
      <c r="DZ98" s="1879"/>
      <c r="EA98" s="974" t="s">
        <v>10978</v>
      </c>
      <c r="EB98" s="1879"/>
      <c r="EC98" s="1880" t="s">
        <v>10979</v>
      </c>
      <c r="ED98" s="974"/>
    </row>
    <row r="99">
      <c r="A99" s="1881" t="s">
        <v>2001</v>
      </c>
      <c r="B99" s="229" t="s">
        <v>10980</v>
      </c>
      <c r="C99" s="230" t="s">
        <v>155</v>
      </c>
      <c r="D99" s="231" t="s">
        <v>76</v>
      </c>
      <c r="E99" s="232" t="s">
        <v>76</v>
      </c>
      <c r="F99" s="233" t="s">
        <v>1695</v>
      </c>
      <c r="G99" s="229" t="s">
        <v>3360</v>
      </c>
      <c r="H99" s="273" t="s">
        <v>1123</v>
      </c>
      <c r="I99" s="273" t="s">
        <v>10981</v>
      </c>
      <c r="J99" s="273" t="s">
        <v>10982</v>
      </c>
      <c r="K99" s="908" t="s">
        <v>9588</v>
      </c>
      <c r="L99" s="242" t="s">
        <v>3176</v>
      </c>
      <c r="M99" s="304"/>
      <c r="N99" s="304"/>
      <c r="O99" s="304"/>
      <c r="P99" s="242" t="s">
        <v>1354</v>
      </c>
      <c r="Q99" s="304"/>
      <c r="R99" s="304"/>
      <c r="S99" s="242" t="s">
        <v>1336</v>
      </c>
      <c r="T99" s="304"/>
      <c r="U99" s="304"/>
      <c r="V99" s="242" t="s">
        <v>8536</v>
      </c>
      <c r="W99" s="62"/>
      <c r="X99" s="242" t="s">
        <v>921</v>
      </c>
      <c r="Y99" s="333"/>
      <c r="Z99" s="242" t="s">
        <v>8339</v>
      </c>
      <c r="AA99" s="242" t="s">
        <v>2466</v>
      </c>
      <c r="AB99" s="242" t="s">
        <v>2123</v>
      </c>
      <c r="AC99" s="242" t="s">
        <v>4989</v>
      </c>
      <c r="AD99" s="304"/>
      <c r="AE99" s="304"/>
      <c r="AF99" s="304"/>
      <c r="AG99" s="242" t="s">
        <v>10232</v>
      </c>
      <c r="AH99" s="304"/>
      <c r="AI99" s="304"/>
      <c r="AJ99" s="304"/>
      <c r="AK99" s="304"/>
      <c r="AL99" s="61"/>
      <c r="AM99" s="304"/>
      <c r="AN99" s="304"/>
      <c r="AO99" s="304"/>
      <c r="AP99" s="242" t="s">
        <v>2980</v>
      </c>
      <c r="AQ99" s="304"/>
      <c r="AR99" s="242" t="s">
        <v>414</v>
      </c>
      <c r="AS99" s="304"/>
      <c r="AT99" s="304"/>
      <c r="AU99" s="304"/>
      <c r="AV99" s="304"/>
      <c r="AW99" s="242" t="s">
        <v>9862</v>
      </c>
      <c r="AX99" s="304"/>
      <c r="AY99" s="304"/>
      <c r="AZ99" s="304"/>
      <c r="BA99" s="304"/>
      <c r="BB99" s="304"/>
      <c r="BC99" s="273" t="s">
        <v>10602</v>
      </c>
      <c r="BD99" s="242" t="s">
        <v>8358</v>
      </c>
      <c r="BE99" s="242" t="s">
        <v>3430</v>
      </c>
      <c r="BF99" s="304"/>
      <c r="BG99" s="304"/>
      <c r="BH99" s="304"/>
      <c r="BI99" s="242" t="s">
        <v>2349</v>
      </c>
      <c r="BJ99" s="273" t="s">
        <v>10983</v>
      </c>
      <c r="BK99" s="304"/>
      <c r="BL99" s="304"/>
      <c r="BM99" s="304"/>
      <c r="BN99" s="242" t="s">
        <v>2829</v>
      </c>
      <c r="BO99" s="304"/>
      <c r="BP99" s="242" t="s">
        <v>10984</v>
      </c>
      <c r="BQ99" s="841"/>
      <c r="BR99" s="242" t="s">
        <v>10985</v>
      </c>
      <c r="BS99" s="304"/>
      <c r="BT99" s="304"/>
      <c r="BU99" s="242" t="s">
        <v>10986</v>
      </c>
      <c r="BV99" s="304"/>
      <c r="BW99" s="273" t="s">
        <v>10987</v>
      </c>
      <c r="BX99" s="304"/>
      <c r="BY99" s="242" t="s">
        <v>10988</v>
      </c>
      <c r="BZ99" s="304"/>
      <c r="CA99" s="304"/>
      <c r="CB99" s="242" t="s">
        <v>10516</v>
      </c>
      <c r="CC99" s="304"/>
      <c r="CD99" s="304"/>
      <c r="CE99" s="242" t="s">
        <v>3593</v>
      </c>
      <c r="CF99" s="841"/>
      <c r="CG99" s="304"/>
      <c r="CH99" s="242" t="s">
        <v>1419</v>
      </c>
      <c r="CI99" s="304"/>
      <c r="CJ99" s="304"/>
      <c r="CK99" s="304"/>
      <c r="CL99" s="304"/>
      <c r="CM99" s="304"/>
      <c r="CN99" s="304"/>
      <c r="CO99" s="242" t="s">
        <v>9468</v>
      </c>
      <c r="CP99" s="304"/>
      <c r="CQ99" s="304"/>
      <c r="CR99" s="304"/>
      <c r="CS99" s="304"/>
      <c r="CT99" s="242" t="s">
        <v>2692</v>
      </c>
      <c r="CU99" s="62"/>
      <c r="CV99" s="273" t="s">
        <v>1985</v>
      </c>
      <c r="CW99" s="273" t="s">
        <v>10989</v>
      </c>
      <c r="CX99" s="273" t="s">
        <v>10990</v>
      </c>
      <c r="CY99" s="304"/>
      <c r="CZ99" s="273" t="s">
        <v>10991</v>
      </c>
      <c r="DA99" s="304"/>
      <c r="DB99" s="242" t="s">
        <v>6335</v>
      </c>
      <c r="DC99" s="304"/>
      <c r="DD99" s="304"/>
      <c r="DE99" s="304"/>
      <c r="DF99" s="273" t="s">
        <v>1252</v>
      </c>
      <c r="DG99" s="304"/>
      <c r="DH99" s="304"/>
      <c r="DI99" s="304"/>
      <c r="DJ99" s="304"/>
      <c r="DK99" s="304"/>
      <c r="DL99" s="242" t="s">
        <v>3784</v>
      </c>
      <c r="DM99" s="315" t="s">
        <v>477</v>
      </c>
      <c r="DN99" s="304"/>
      <c r="DO99" s="242" t="s">
        <v>1489</v>
      </c>
      <c r="DP99" s="247" t="s">
        <v>3663</v>
      </c>
      <c r="DQ99" s="242" t="s">
        <v>10992</v>
      </c>
      <c r="DR99" s="304"/>
      <c r="DS99" s="304"/>
      <c r="DT99" s="304"/>
      <c r="DU99" s="273" t="s">
        <v>10608</v>
      </c>
      <c r="DV99" s="304"/>
      <c r="DW99" s="273" t="s">
        <v>4757</v>
      </c>
      <c r="DX99" s="304"/>
      <c r="DY99" s="304"/>
      <c r="DZ99" s="304"/>
      <c r="EA99" s="304"/>
      <c r="EB99" s="304"/>
      <c r="EC99" s="304"/>
      <c r="ED99" s="885"/>
    </row>
    <row r="100">
      <c r="A100" s="1699" t="s">
        <v>10993</v>
      </c>
      <c r="B100" s="1882" t="s">
        <v>10994</v>
      </c>
      <c r="C100" s="1883" t="s">
        <v>155</v>
      </c>
      <c r="D100" s="1884" t="s">
        <v>155</v>
      </c>
      <c r="E100" s="1885" t="s">
        <v>155</v>
      </c>
      <c r="F100" s="1886" t="s">
        <v>81</v>
      </c>
      <c r="G100" s="1882" t="s">
        <v>536</v>
      </c>
      <c r="H100" s="1269"/>
      <c r="I100" s="1269"/>
      <c r="J100" s="1269"/>
      <c r="K100" s="1887" t="s">
        <v>791</v>
      </c>
      <c r="L100" s="1420"/>
      <c r="M100" s="1269"/>
      <c r="N100" s="1888" t="s">
        <v>10995</v>
      </c>
      <c r="O100" s="1418" t="str">
        <f>HYPERLINK("https://youtu.be/4C3xQ7A4UhU","38.19")</f>
        <v>38.19</v>
      </c>
      <c r="P100" s="1418" t="str">
        <f>HYPERLINK("https://www.youtube.com/watch?v=-VtDfPtntro&amp;feature=youtu.be","16.00")</f>
        <v>16.00</v>
      </c>
      <c r="Q100" s="1269"/>
      <c r="R100" s="1269"/>
      <c r="S100" s="1269"/>
      <c r="T100" s="1269"/>
      <c r="U100" s="1269"/>
      <c r="V100" s="1269"/>
      <c r="W100" s="504"/>
      <c r="X100" s="1273"/>
      <c r="Y100" s="1889"/>
      <c r="Z100" s="1890" t="str">
        <f>HYPERLINK("https://clips.twitch.tv/AdventurousTawdryOxDoggo","16.51")</f>
        <v>16.51</v>
      </c>
      <c r="AA100" s="1272" t="s">
        <v>10996</v>
      </c>
      <c r="AB100" s="1272" t="s">
        <v>2653</v>
      </c>
      <c r="AC100" s="1891" t="s">
        <v>10997</v>
      </c>
      <c r="AD100" s="1273"/>
      <c r="AE100" s="1273"/>
      <c r="AF100" s="1892" t="s">
        <v>400</v>
      </c>
      <c r="AG100" s="1891" t="s">
        <v>623</v>
      </c>
      <c r="AH100" s="1273"/>
      <c r="AI100" s="1273"/>
      <c r="AJ100" s="1273"/>
      <c r="AK100" s="1273"/>
      <c r="AL100" s="512"/>
      <c r="AM100" s="1285"/>
      <c r="AN100" s="1285"/>
      <c r="AO100" s="1285"/>
      <c r="AP100" s="1285"/>
      <c r="AQ100" s="1285"/>
      <c r="AR100" s="1285"/>
      <c r="AS100" s="1285"/>
      <c r="AT100" s="1285"/>
      <c r="AU100" s="705" t="s">
        <v>2009</v>
      </c>
      <c r="AV100" s="705" t="s">
        <v>10998</v>
      </c>
      <c r="AW100" s="1285"/>
      <c r="AX100" s="1285"/>
      <c r="AY100" s="1285"/>
      <c r="AZ100" s="1285"/>
      <c r="BA100" s="1285"/>
      <c r="BB100" s="1295"/>
      <c r="BC100" s="1471"/>
      <c r="BD100" s="1471"/>
      <c r="BE100" s="1471"/>
      <c r="BF100" s="1893" t="s">
        <v>1123</v>
      </c>
      <c r="BG100" s="1295"/>
      <c r="BH100" s="1295"/>
      <c r="BI100" s="1893" t="s">
        <v>5537</v>
      </c>
      <c r="BJ100" s="1295"/>
      <c r="BK100" s="1295"/>
      <c r="BL100" s="1894" t="str">
        <f>HYPERLINK("https://clips.twitch.tv/LitigiousAlluringClintPeoplesChamp","12.27")</f>
        <v>12.27</v>
      </c>
      <c r="BM100" s="1295"/>
      <c r="BN100" s="1295"/>
      <c r="BO100" s="1295"/>
      <c r="BP100" s="1295"/>
      <c r="BQ100" s="1477"/>
      <c r="BR100" s="1298"/>
      <c r="BS100" s="1298"/>
      <c r="BT100" s="1298"/>
      <c r="BU100" s="1487"/>
      <c r="BV100" s="1298"/>
      <c r="BW100" s="1895" t="str">
        <f>HYPERLINK("https://www.youtube.com/watch?v=M4YsVEbtlSY&amp;feature=youtu.be","20.70")</f>
        <v>20.70</v>
      </c>
      <c r="BX100" s="1298"/>
      <c r="BY100" s="1487"/>
      <c r="BZ100" s="1298"/>
      <c r="CA100" s="1298"/>
      <c r="CB100" s="1298"/>
      <c r="CC100" s="1298"/>
      <c r="CD100" s="1298"/>
      <c r="CE100" s="1298"/>
      <c r="CF100" s="1491"/>
      <c r="CG100" s="1896"/>
      <c r="CH100" s="1897" t="str">
        <f>HYPERLINK("https://youtu.be/WrtP8ZKcFfA","27.54")</f>
        <v>27.54</v>
      </c>
      <c r="CI100" s="1326"/>
      <c r="CJ100" s="1326"/>
      <c r="CK100" s="1326"/>
      <c r="CL100" s="1326"/>
      <c r="CM100" s="1326"/>
      <c r="CN100" s="1898" t="s">
        <v>4132</v>
      </c>
      <c r="CO100" s="1897" t="str">
        <f>HYPERLINK("https://www.youtube.com/watch?v=7vxyeq3ZJvE&amp;feature=youtu.be","15.49")</f>
        <v>15.49</v>
      </c>
      <c r="CP100" s="1326"/>
      <c r="CQ100" s="1326"/>
      <c r="CR100" s="1326"/>
      <c r="CS100" s="1326"/>
      <c r="CT100" s="1326"/>
      <c r="CU100" s="504"/>
      <c r="CV100" s="1334"/>
      <c r="CW100" s="1334"/>
      <c r="CX100" s="1334"/>
      <c r="CY100" s="1334"/>
      <c r="CZ100" s="1334"/>
      <c r="DA100" s="1334"/>
      <c r="DB100" s="1334"/>
      <c r="DC100" s="1899" t="s">
        <v>3423</v>
      </c>
      <c r="DD100" s="1334"/>
      <c r="DE100" s="1334"/>
      <c r="DF100" s="1334"/>
      <c r="DG100" s="1334"/>
      <c r="DH100" s="1334"/>
      <c r="DI100" s="1341"/>
      <c r="DJ100" s="1341"/>
      <c r="DK100" s="1341"/>
      <c r="DL100" s="1341"/>
      <c r="DM100" s="1341"/>
      <c r="DN100" s="1341"/>
      <c r="DO100" s="1341"/>
      <c r="DP100" s="1341"/>
      <c r="DQ100" s="1341"/>
      <c r="DR100" s="1341"/>
      <c r="DS100" s="1341"/>
      <c r="DT100" s="1341"/>
      <c r="DU100" s="1341"/>
      <c r="DV100" s="1341"/>
      <c r="DW100" s="1341"/>
      <c r="DX100" s="1341"/>
      <c r="DY100" s="1341"/>
      <c r="DZ100" s="1341"/>
      <c r="EA100" s="1341"/>
      <c r="EB100" s="1341"/>
      <c r="EC100" s="1341"/>
      <c r="ED100" s="1900"/>
    </row>
    <row r="101">
      <c r="A101" s="906" t="s">
        <v>10999</v>
      </c>
      <c r="B101" s="229" t="s">
        <v>11000</v>
      </c>
      <c r="C101" s="230" t="s">
        <v>155</v>
      </c>
      <c r="D101" s="231" t="s">
        <v>76</v>
      </c>
      <c r="E101" s="232" t="s">
        <v>155</v>
      </c>
      <c r="F101" s="233" t="s">
        <v>79</v>
      </c>
      <c r="G101" s="229" t="s">
        <v>721</v>
      </c>
      <c r="H101" s="333" t="s">
        <v>464</v>
      </c>
      <c r="I101" s="274" t="s">
        <v>6973</v>
      </c>
      <c r="J101" s="908" t="s">
        <v>1950</v>
      </c>
      <c r="K101" s="908" t="s">
        <v>11001</v>
      </c>
      <c r="L101" s="908" t="s">
        <v>11002</v>
      </c>
      <c r="M101" s="333"/>
      <c r="N101" s="333" t="s">
        <v>10571</v>
      </c>
      <c r="O101" s="333" t="s">
        <v>881</v>
      </c>
      <c r="P101" s="908" t="s">
        <v>1677</v>
      </c>
      <c r="Q101" s="304"/>
      <c r="R101" s="304"/>
      <c r="S101" s="304"/>
      <c r="T101" s="304"/>
      <c r="U101" s="304"/>
      <c r="V101" s="304"/>
      <c r="W101" s="62"/>
      <c r="X101" s="333" t="s">
        <v>10219</v>
      </c>
      <c r="Y101" s="333"/>
      <c r="Z101" s="242" t="s">
        <v>5079</v>
      </c>
      <c r="AA101" s="333" t="s">
        <v>11003</v>
      </c>
      <c r="AB101" s="908" t="s">
        <v>11004</v>
      </c>
      <c r="AC101" s="333" t="s">
        <v>4226</v>
      </c>
      <c r="AD101" s="333" t="s">
        <v>4783</v>
      </c>
      <c r="AE101" s="304"/>
      <c r="AF101" s="242" t="s">
        <v>1162</v>
      </c>
      <c r="AG101" s="333" t="s">
        <v>5216</v>
      </c>
      <c r="AH101" s="304"/>
      <c r="AI101" s="304"/>
      <c r="AJ101" s="333"/>
      <c r="AK101" s="304"/>
      <c r="AL101" s="61"/>
      <c r="AM101" s="333"/>
      <c r="AN101" s="333"/>
      <c r="AO101" s="304"/>
      <c r="AP101" s="304"/>
      <c r="AQ101" s="273"/>
      <c r="AR101" s="273"/>
      <c r="AS101" s="304"/>
      <c r="AT101" s="304"/>
      <c r="AU101" s="333" t="s">
        <v>9386</v>
      </c>
      <c r="AV101" s="333"/>
      <c r="AW101" s="333"/>
      <c r="AX101" s="304"/>
      <c r="AY101" s="304"/>
      <c r="AZ101" s="304"/>
      <c r="BA101" s="304"/>
      <c r="BB101" s="333"/>
      <c r="BC101" s="333" t="s">
        <v>11005</v>
      </c>
      <c r="BD101" s="333" t="s">
        <v>9548</v>
      </c>
      <c r="BE101" s="333" t="s">
        <v>5994</v>
      </c>
      <c r="BF101" s="333"/>
      <c r="BG101" s="333" t="s">
        <v>9014</v>
      </c>
      <c r="BH101" s="304"/>
      <c r="BI101" s="333" t="s">
        <v>1398</v>
      </c>
      <c r="BJ101" s="304"/>
      <c r="BK101" s="333"/>
      <c r="BL101" s="333" t="s">
        <v>11006</v>
      </c>
      <c r="BM101" s="304"/>
      <c r="BN101" s="304"/>
      <c r="BO101" s="333"/>
      <c r="BP101" s="304"/>
      <c r="BQ101" s="841"/>
      <c r="BR101" s="333" t="s">
        <v>11007</v>
      </c>
      <c r="BS101" s="333" t="s">
        <v>2205</v>
      </c>
      <c r="BT101" s="333" t="s">
        <v>10182</v>
      </c>
      <c r="BU101" s="333"/>
      <c r="BV101" s="333"/>
      <c r="BW101" s="333" t="s">
        <v>4664</v>
      </c>
      <c r="BX101" s="304"/>
      <c r="BY101" s="333" t="s">
        <v>5477</v>
      </c>
      <c r="BZ101" s="333"/>
      <c r="CA101" s="333"/>
      <c r="CB101" s="304"/>
      <c r="CC101" s="304"/>
      <c r="CD101" s="273" t="s">
        <v>11008</v>
      </c>
      <c r="CE101" s="304"/>
      <c r="CF101" s="841"/>
      <c r="CG101" s="333" t="s">
        <v>1002</v>
      </c>
      <c r="CH101" s="333" t="s">
        <v>3936</v>
      </c>
      <c r="CI101" s="333" t="s">
        <v>3807</v>
      </c>
      <c r="CJ101" s="333"/>
      <c r="CK101" s="333"/>
      <c r="CL101" s="333" t="s">
        <v>11009</v>
      </c>
      <c r="CM101" s="333" t="s">
        <v>4294</v>
      </c>
      <c r="CN101" s="242" t="s">
        <v>4997</v>
      </c>
      <c r="CO101" s="333" t="s">
        <v>3874</v>
      </c>
      <c r="CP101" s="1901" t="s">
        <v>11010</v>
      </c>
      <c r="CQ101" s="304"/>
      <c r="CR101" s="304"/>
      <c r="CS101" s="304"/>
      <c r="CT101" s="304"/>
      <c r="CU101" s="62"/>
      <c r="CV101" s="333" t="s">
        <v>7031</v>
      </c>
      <c r="CW101" s="333" t="s">
        <v>10459</v>
      </c>
      <c r="CX101" s="333" t="s">
        <v>10864</v>
      </c>
      <c r="CY101" s="333" t="s">
        <v>5449</v>
      </c>
      <c r="CZ101" s="333"/>
      <c r="DA101" s="333" t="s">
        <v>11011</v>
      </c>
      <c r="DB101" s="333" t="s">
        <v>10642</v>
      </c>
      <c r="DC101" s="333" t="s">
        <v>3873</v>
      </c>
      <c r="DD101" s="304"/>
      <c r="DE101" s="304"/>
      <c r="DF101" s="304"/>
      <c r="DG101" s="304"/>
      <c r="DH101" s="304"/>
      <c r="DI101" s="333"/>
      <c r="DJ101" s="304"/>
      <c r="DK101" s="304"/>
      <c r="DL101" s="333"/>
      <c r="DM101" s="248" t="s">
        <v>477</v>
      </c>
      <c r="DN101" s="333"/>
      <c r="DO101" s="304"/>
      <c r="DP101" s="304"/>
      <c r="DQ101" s="304"/>
      <c r="DR101" s="333" t="s">
        <v>11012</v>
      </c>
      <c r="DS101" s="333" t="s">
        <v>9900</v>
      </c>
      <c r="DT101" s="304"/>
      <c r="DU101" s="333"/>
      <c r="DV101" s="304"/>
      <c r="DW101" s="273" t="s">
        <v>10286</v>
      </c>
      <c r="DX101" s="304"/>
      <c r="DY101" s="304"/>
      <c r="DZ101" s="304"/>
      <c r="EA101" s="333"/>
      <c r="EB101" s="304"/>
      <c r="EC101" s="304"/>
      <c r="ED101" s="885"/>
    </row>
    <row r="102">
      <c r="A102" s="545" t="s">
        <v>11013</v>
      </c>
      <c r="B102" s="381" t="s">
        <v>11014</v>
      </c>
      <c r="C102" s="384" t="s">
        <v>155</v>
      </c>
      <c r="D102" s="386" t="s">
        <v>155</v>
      </c>
      <c r="E102" s="389" t="s">
        <v>155</v>
      </c>
      <c r="F102" s="390" t="s">
        <v>157</v>
      </c>
      <c r="G102" s="381" t="s">
        <v>3058</v>
      </c>
      <c r="H102" s="849"/>
      <c r="I102" s="547" t="s">
        <v>5860</v>
      </c>
      <c r="J102" s="547" t="s">
        <v>655</v>
      </c>
      <c r="K102" s="547" t="s">
        <v>767</v>
      </c>
      <c r="L102" s="1715" t="s">
        <v>11015</v>
      </c>
      <c r="M102" s="849"/>
      <c r="N102" s="547" t="s">
        <v>3717</v>
      </c>
      <c r="O102" s="547" t="s">
        <v>11016</v>
      </c>
      <c r="P102" s="547" t="s">
        <v>1677</v>
      </c>
      <c r="Q102" s="849"/>
      <c r="R102" s="849"/>
      <c r="S102" s="849"/>
      <c r="T102" s="849"/>
      <c r="U102" s="849"/>
      <c r="V102" s="849"/>
      <c r="W102" s="62"/>
      <c r="X102" s="683" t="s">
        <v>11017</v>
      </c>
      <c r="Y102" s="683"/>
      <c r="Z102" s="683" t="s">
        <v>4896</v>
      </c>
      <c r="AA102" s="683" t="s">
        <v>11018</v>
      </c>
      <c r="AB102" s="683" t="s">
        <v>2368</v>
      </c>
      <c r="AC102" s="417" t="s">
        <v>396</v>
      </c>
      <c r="AD102" s="683" t="s">
        <v>11019</v>
      </c>
      <c r="AE102" s="852"/>
      <c r="AF102" s="852"/>
      <c r="AG102" s="852"/>
      <c r="AH102" s="852"/>
      <c r="AI102" s="852"/>
      <c r="AJ102" s="852"/>
      <c r="AK102" s="852"/>
      <c r="AL102" s="61"/>
      <c r="AM102" s="855"/>
      <c r="AN102" s="855"/>
      <c r="AO102" s="855"/>
      <c r="AP102" s="855"/>
      <c r="AQ102" s="855"/>
      <c r="AR102" s="855"/>
      <c r="AS102" s="855"/>
      <c r="AT102" s="855"/>
      <c r="AU102" s="855"/>
      <c r="AV102" s="855"/>
      <c r="AW102" s="855"/>
      <c r="AX102" s="855"/>
      <c r="AY102" s="855"/>
      <c r="AZ102" s="855"/>
      <c r="BA102" s="855"/>
      <c r="BB102" s="587"/>
      <c r="BC102" s="587"/>
      <c r="BD102" s="587"/>
      <c r="BE102" s="1040" t="s">
        <v>2195</v>
      </c>
      <c r="BF102" s="587"/>
      <c r="BG102" s="439" t="s">
        <v>5227</v>
      </c>
      <c r="BH102" s="587"/>
      <c r="BI102" s="439" t="s">
        <v>1938</v>
      </c>
      <c r="BJ102" s="587"/>
      <c r="BK102" s="587"/>
      <c r="BL102" s="587"/>
      <c r="BM102" s="587"/>
      <c r="BN102" s="587"/>
      <c r="BO102" s="587"/>
      <c r="BP102" s="587"/>
      <c r="BQ102" s="857"/>
      <c r="BR102" s="859"/>
      <c r="BS102" s="594" t="s">
        <v>4075</v>
      </c>
      <c r="BT102" s="594" t="s">
        <v>11020</v>
      </c>
      <c r="BU102" s="594" t="s">
        <v>9983</v>
      </c>
      <c r="BV102" s="594" t="s">
        <v>11021</v>
      </c>
      <c r="BW102" s="594" t="s">
        <v>10010</v>
      </c>
      <c r="BX102" s="859"/>
      <c r="BY102" s="859"/>
      <c r="BZ102" s="594" t="s">
        <v>11022</v>
      </c>
      <c r="CA102" s="859"/>
      <c r="CB102" s="859"/>
      <c r="CC102" s="859"/>
      <c r="CD102" s="859"/>
      <c r="CE102" s="859"/>
      <c r="CF102" s="861"/>
      <c r="CG102" s="606" t="s">
        <v>2530</v>
      </c>
      <c r="CH102" s="459" t="s">
        <v>2144</v>
      </c>
      <c r="CI102" s="863"/>
      <c r="CJ102" s="863"/>
      <c r="CK102" s="863"/>
      <c r="CL102" s="863"/>
      <c r="CM102" s="863"/>
      <c r="CN102" s="1703" t="s">
        <v>9647</v>
      </c>
      <c r="CO102" s="863"/>
      <c r="CP102" s="863"/>
      <c r="CQ102" s="863"/>
      <c r="CR102" s="863"/>
      <c r="CS102" s="863"/>
      <c r="CT102" s="863"/>
      <c r="CU102" s="62"/>
      <c r="CV102" s="703" t="s">
        <v>3531</v>
      </c>
      <c r="CW102" s="864"/>
      <c r="CX102" s="864"/>
      <c r="CY102" s="864"/>
      <c r="CZ102" s="703" t="s">
        <v>6436</v>
      </c>
      <c r="DA102" s="864"/>
      <c r="DB102" s="466" t="s">
        <v>11023</v>
      </c>
      <c r="DC102" s="864"/>
      <c r="DD102" s="864"/>
      <c r="DE102" s="864"/>
      <c r="DF102" s="864"/>
      <c r="DG102" s="864"/>
      <c r="DH102" s="864"/>
      <c r="DI102" s="866"/>
      <c r="DJ102" s="866"/>
      <c r="DK102" s="866"/>
      <c r="DL102" s="866"/>
      <c r="DM102" s="866"/>
      <c r="DN102" s="866"/>
      <c r="DO102" s="866"/>
      <c r="DP102" s="866"/>
      <c r="DQ102" s="866"/>
      <c r="DR102" s="866"/>
      <c r="DS102" s="866"/>
      <c r="DT102" s="866"/>
      <c r="DU102" s="866"/>
      <c r="DV102" s="866"/>
      <c r="DW102" s="866"/>
      <c r="DX102" s="866"/>
      <c r="DY102" s="866"/>
      <c r="DZ102" s="866"/>
      <c r="EA102" s="866"/>
      <c r="EB102" s="866"/>
      <c r="EC102" s="866"/>
      <c r="ED102" s="974"/>
    </row>
    <row r="103">
      <c r="A103" s="1902" t="s">
        <v>11024</v>
      </c>
      <c r="B103" s="229" t="s">
        <v>11025</v>
      </c>
      <c r="C103" s="230" t="s">
        <v>155</v>
      </c>
      <c r="D103" s="231" t="s">
        <v>155</v>
      </c>
      <c r="E103" s="232" t="s">
        <v>155</v>
      </c>
      <c r="F103" s="233" t="s">
        <v>76</v>
      </c>
      <c r="G103" s="229" t="s">
        <v>3360</v>
      </c>
      <c r="H103" s="885"/>
      <c r="I103" s="885" t="s">
        <v>4286</v>
      </c>
      <c r="J103" s="885" t="s">
        <v>2968</v>
      </c>
      <c r="K103" s="885" t="s">
        <v>10036</v>
      </c>
      <c r="L103" s="885" t="s">
        <v>11026</v>
      </c>
      <c r="M103" s="885"/>
      <c r="N103" s="885" t="s">
        <v>9617</v>
      </c>
      <c r="O103" s="885" t="s">
        <v>4915</v>
      </c>
      <c r="P103" s="885" t="s">
        <v>1679</v>
      </c>
      <c r="Q103" s="1903"/>
      <c r="R103" s="1903"/>
      <c r="S103" s="1903"/>
      <c r="T103" s="1903"/>
      <c r="U103" s="1903"/>
      <c r="V103" s="1903"/>
      <c r="W103" s="62"/>
      <c r="X103" s="885" t="s">
        <v>10319</v>
      </c>
      <c r="Y103" s="885"/>
      <c r="Z103" s="885" t="s">
        <v>1197</v>
      </c>
      <c r="AA103" s="885" t="s">
        <v>5083</v>
      </c>
      <c r="AB103" s="885" t="s">
        <v>4152</v>
      </c>
      <c r="AC103" s="885" t="s">
        <v>10595</v>
      </c>
      <c r="AD103" s="885" t="s">
        <v>2857</v>
      </c>
      <c r="AE103" s="1903"/>
      <c r="AF103" s="885" t="s">
        <v>11027</v>
      </c>
      <c r="AG103" s="885" t="s">
        <v>11028</v>
      </c>
      <c r="AH103" s="1903"/>
      <c r="AI103" s="1903"/>
      <c r="AJ103" s="885"/>
      <c r="AK103" s="1903"/>
      <c r="AL103" s="1864"/>
      <c r="AM103" s="885"/>
      <c r="AN103" s="885"/>
      <c r="AO103" s="1903"/>
      <c r="AP103" s="1903"/>
      <c r="AQ103" s="1246"/>
      <c r="AR103" s="1246"/>
      <c r="AS103" s="1903"/>
      <c r="AT103" s="1903"/>
      <c r="AU103" s="885" t="s">
        <v>9928</v>
      </c>
      <c r="AV103" s="885" t="s">
        <v>11029</v>
      </c>
      <c r="AW103" s="885"/>
      <c r="AX103" s="1903"/>
      <c r="AY103" s="1903"/>
      <c r="AZ103" s="1903"/>
      <c r="BA103" s="1903"/>
      <c r="BB103" s="885" t="s">
        <v>10353</v>
      </c>
      <c r="BC103" s="885" t="s">
        <v>11030</v>
      </c>
      <c r="BD103" s="885" t="s">
        <v>2306</v>
      </c>
      <c r="BE103" s="885" t="s">
        <v>10921</v>
      </c>
      <c r="BF103" s="885"/>
      <c r="BG103" s="885"/>
      <c r="BH103" s="1903"/>
      <c r="BI103" s="1904" t="s">
        <v>2358</v>
      </c>
      <c r="BJ103" s="1246" t="s">
        <v>5777</v>
      </c>
      <c r="BK103" s="885"/>
      <c r="BL103" s="885"/>
      <c r="BM103" s="1903"/>
      <c r="BN103" s="1903"/>
      <c r="BO103" s="885"/>
      <c r="BP103" s="1903"/>
      <c r="BQ103" s="1905"/>
      <c r="BR103" s="885" t="s">
        <v>11031</v>
      </c>
      <c r="BS103" s="885" t="s">
        <v>9871</v>
      </c>
      <c r="BT103" s="885" t="s">
        <v>11020</v>
      </c>
      <c r="BU103" s="885" t="s">
        <v>10885</v>
      </c>
      <c r="BV103" s="885" t="s">
        <v>2130</v>
      </c>
      <c r="BW103" s="885" t="s">
        <v>5022</v>
      </c>
      <c r="BX103" s="1903"/>
      <c r="BY103" s="885" t="s">
        <v>11032</v>
      </c>
      <c r="BZ103" s="885"/>
      <c r="CA103" s="885" t="s">
        <v>11033</v>
      </c>
      <c r="CB103" s="1903"/>
      <c r="CC103" s="1903"/>
      <c r="CD103" s="1903"/>
      <c r="CE103" s="1903"/>
      <c r="CF103" s="1905"/>
      <c r="CG103" s="885" t="s">
        <v>6588</v>
      </c>
      <c r="CH103" s="885" t="s">
        <v>2832</v>
      </c>
      <c r="CI103" s="885"/>
      <c r="CJ103" s="301" t="s">
        <v>9177</v>
      </c>
      <c r="CK103" s="1906"/>
      <c r="CL103" s="885"/>
      <c r="CM103" s="885"/>
      <c r="CN103" s="885" t="s">
        <v>3335</v>
      </c>
      <c r="CO103" s="885" t="s">
        <v>2319</v>
      </c>
      <c r="CP103" s="1907"/>
      <c r="CQ103" s="1903"/>
      <c r="CR103" s="1903"/>
      <c r="CS103" s="1903"/>
      <c r="CT103" s="1903"/>
      <c r="CU103" s="1861"/>
      <c r="CV103" s="885" t="s">
        <v>6254</v>
      </c>
      <c r="CW103" s="885" t="s">
        <v>608</v>
      </c>
      <c r="CX103" s="885" t="s">
        <v>5134</v>
      </c>
      <c r="CY103" s="885" t="s">
        <v>4297</v>
      </c>
      <c r="CZ103" s="885" t="s">
        <v>8804</v>
      </c>
      <c r="DA103" s="885" t="s">
        <v>10524</v>
      </c>
      <c r="DB103" s="885" t="s">
        <v>11034</v>
      </c>
      <c r="DC103" s="885" t="s">
        <v>10568</v>
      </c>
      <c r="DD103" s="1903"/>
      <c r="DE103" s="1903"/>
      <c r="DF103" s="1903"/>
      <c r="DG103" s="1903"/>
      <c r="DH103" s="1903"/>
      <c r="DI103" s="885"/>
      <c r="DJ103" s="1903"/>
      <c r="DK103" s="1903"/>
      <c r="DL103" s="885"/>
      <c r="DM103" s="885"/>
      <c r="DN103" s="885"/>
      <c r="DO103" s="1903"/>
      <c r="DP103" s="1903"/>
      <c r="DQ103" s="1903"/>
      <c r="DR103" s="885" t="s">
        <v>9857</v>
      </c>
      <c r="DS103" s="885" t="s">
        <v>10623</v>
      </c>
      <c r="DT103" s="1903"/>
      <c r="DU103" s="885"/>
      <c r="DV103" s="1903"/>
      <c r="DW103" s="1903"/>
      <c r="DX103" s="1903"/>
      <c r="DY103" s="1903"/>
      <c r="DZ103" s="1903"/>
      <c r="EA103" s="885"/>
      <c r="EB103" s="1903"/>
      <c r="EC103" s="1903"/>
      <c r="ED103" s="885"/>
    </row>
    <row r="104">
      <c r="A104" s="1908" t="s">
        <v>11035</v>
      </c>
      <c r="B104" s="381" t="s">
        <v>11036</v>
      </c>
      <c r="C104" s="384" t="s">
        <v>155</v>
      </c>
      <c r="D104" s="386" t="s">
        <v>155</v>
      </c>
      <c r="E104" s="389" t="s">
        <v>155</v>
      </c>
      <c r="F104" s="390" t="s">
        <v>76</v>
      </c>
      <c r="G104" s="381" t="s">
        <v>3732</v>
      </c>
      <c r="H104" s="547" t="s">
        <v>2793</v>
      </c>
      <c r="I104" s="547" t="s">
        <v>5845</v>
      </c>
      <c r="J104" s="547" t="s">
        <v>11037</v>
      </c>
      <c r="K104" s="547" t="s">
        <v>11038</v>
      </c>
      <c r="L104" s="547" t="s">
        <v>9664</v>
      </c>
      <c r="M104" s="547" t="s">
        <v>11039</v>
      </c>
      <c r="N104" s="547" t="s">
        <v>6647</v>
      </c>
      <c r="O104" s="547" t="s">
        <v>1300</v>
      </c>
      <c r="P104" s="547" t="s">
        <v>2061</v>
      </c>
      <c r="Q104" s="849"/>
      <c r="R104" s="849"/>
      <c r="S104" s="547" t="s">
        <v>2813</v>
      </c>
      <c r="T104" s="849"/>
      <c r="U104" s="547" t="s">
        <v>2440</v>
      </c>
      <c r="V104" s="849"/>
      <c r="W104" s="62"/>
      <c r="X104" s="683" t="s">
        <v>6716</v>
      </c>
      <c r="Y104" s="683"/>
      <c r="Z104" s="683" t="s">
        <v>6117</v>
      </c>
      <c r="AA104" s="683" t="s">
        <v>1139</v>
      </c>
      <c r="AB104" s="683" t="s">
        <v>6594</v>
      </c>
      <c r="AC104" s="1909" t="s">
        <v>5635</v>
      </c>
      <c r="AD104" s="683" t="s">
        <v>10613</v>
      </c>
      <c r="AE104" s="852"/>
      <c r="AF104" s="852"/>
      <c r="AG104" s="683" t="s">
        <v>2383</v>
      </c>
      <c r="AH104" s="852"/>
      <c r="AI104" s="852"/>
      <c r="AJ104" s="852"/>
      <c r="AK104" s="852"/>
      <c r="AL104" s="61"/>
      <c r="AM104" s="571" t="s">
        <v>9368</v>
      </c>
      <c r="AN104" s="571" t="s">
        <v>832</v>
      </c>
      <c r="AO104" s="855"/>
      <c r="AP104" s="855"/>
      <c r="AQ104" s="855"/>
      <c r="AR104" s="855"/>
      <c r="AS104" s="571" t="s">
        <v>4420</v>
      </c>
      <c r="AT104" s="855"/>
      <c r="AU104" s="571" t="s">
        <v>3867</v>
      </c>
      <c r="AV104" s="571" t="s">
        <v>5618</v>
      </c>
      <c r="AW104" s="571" t="s">
        <v>1051</v>
      </c>
      <c r="AX104" s="855"/>
      <c r="AY104" s="571" t="s">
        <v>11040</v>
      </c>
      <c r="AZ104" s="571" t="s">
        <v>11041</v>
      </c>
      <c r="BA104" s="571"/>
      <c r="BB104" s="589" t="s">
        <v>11042</v>
      </c>
      <c r="BC104" s="589" t="s">
        <v>11043</v>
      </c>
      <c r="BD104" s="589" t="s">
        <v>4373</v>
      </c>
      <c r="BE104" s="589" t="s">
        <v>4335</v>
      </c>
      <c r="BF104" s="589" t="s">
        <v>9718</v>
      </c>
      <c r="BG104" s="589" t="s">
        <v>1768</v>
      </c>
      <c r="BH104" s="589" t="s">
        <v>6378</v>
      </c>
      <c r="BI104" s="589" t="s">
        <v>544</v>
      </c>
      <c r="BJ104" s="587"/>
      <c r="BK104" s="589" t="s">
        <v>5540</v>
      </c>
      <c r="BL104" s="589" t="s">
        <v>4368</v>
      </c>
      <c r="BM104" s="587"/>
      <c r="BN104" s="587"/>
      <c r="BO104" s="589"/>
      <c r="BP104" s="587"/>
      <c r="BQ104" s="857"/>
      <c r="BR104" s="859"/>
      <c r="BS104" s="859"/>
      <c r="BT104" s="594" t="s">
        <v>11044</v>
      </c>
      <c r="BU104" s="594" t="s">
        <v>8374</v>
      </c>
      <c r="BV104" s="859"/>
      <c r="BW104" s="594" t="s">
        <v>10025</v>
      </c>
      <c r="BX104" s="859"/>
      <c r="BY104" s="859"/>
      <c r="BZ104" s="859"/>
      <c r="CA104" s="594" t="s">
        <v>9472</v>
      </c>
      <c r="CB104" s="859"/>
      <c r="CC104" s="594" t="s">
        <v>11045</v>
      </c>
      <c r="CD104" s="859"/>
      <c r="CE104" s="859"/>
      <c r="CF104" s="861"/>
      <c r="CG104" s="606" t="s">
        <v>11046</v>
      </c>
      <c r="CH104" s="606" t="s">
        <v>2237</v>
      </c>
      <c r="CI104" s="606" t="s">
        <v>1336</v>
      </c>
      <c r="CJ104" s="606"/>
      <c r="CK104" s="606"/>
      <c r="CL104" s="606" t="s">
        <v>11047</v>
      </c>
      <c r="CM104" s="606" t="s">
        <v>6195</v>
      </c>
      <c r="CN104" s="1896" t="s">
        <v>4855</v>
      </c>
      <c r="CO104" s="606" t="s">
        <v>9788</v>
      </c>
      <c r="CP104" s="863"/>
      <c r="CQ104" s="863"/>
      <c r="CR104" s="606"/>
      <c r="CS104" s="606" t="s">
        <v>11048</v>
      </c>
      <c r="CT104" s="863"/>
      <c r="CU104" s="62"/>
      <c r="CV104" s="703" t="s">
        <v>1925</v>
      </c>
      <c r="CW104" s="703" t="s">
        <v>764</v>
      </c>
      <c r="CX104" s="703" t="s">
        <v>11049</v>
      </c>
      <c r="CY104" s="703" t="s">
        <v>7263</v>
      </c>
      <c r="CZ104" s="864"/>
      <c r="DA104" s="703" t="s">
        <v>1347</v>
      </c>
      <c r="DB104" s="703" t="s">
        <v>11050</v>
      </c>
      <c r="DC104" s="703" t="s">
        <v>607</v>
      </c>
      <c r="DD104" s="864"/>
      <c r="DE104" s="864"/>
      <c r="DF104" s="703" t="s">
        <v>10060</v>
      </c>
      <c r="DG104" s="703" t="s">
        <v>5051</v>
      </c>
      <c r="DH104" s="703"/>
      <c r="DI104" s="866"/>
      <c r="DJ104" s="866"/>
      <c r="DK104" s="866"/>
      <c r="DL104" s="707"/>
      <c r="DM104" s="707" t="s">
        <v>11051</v>
      </c>
      <c r="DN104" s="707" t="s">
        <v>11052</v>
      </c>
      <c r="DO104" s="866"/>
      <c r="DP104" s="866"/>
      <c r="DQ104" s="866"/>
      <c r="DR104" s="866"/>
      <c r="DS104" s="866"/>
      <c r="DT104" s="707" t="s">
        <v>8753</v>
      </c>
      <c r="DU104" s="707" t="s">
        <v>11053</v>
      </c>
      <c r="DV104" s="866"/>
      <c r="DW104" s="866"/>
      <c r="DX104" s="866"/>
      <c r="DY104" s="866"/>
      <c r="DZ104" s="866"/>
      <c r="EA104" s="866"/>
      <c r="EB104" s="866"/>
      <c r="EC104" s="866"/>
      <c r="ED104" s="974"/>
    </row>
    <row r="105">
      <c r="A105" s="1849" t="s">
        <v>3533</v>
      </c>
      <c r="B105" s="229" t="s">
        <v>11054</v>
      </c>
      <c r="C105" s="230" t="s">
        <v>155</v>
      </c>
      <c r="D105" s="231" t="s">
        <v>155</v>
      </c>
      <c r="E105" s="232" t="s">
        <v>155</v>
      </c>
      <c r="F105" s="233" t="s">
        <v>154</v>
      </c>
      <c r="G105" s="229" t="s">
        <v>11055</v>
      </c>
      <c r="H105" s="242" t="s">
        <v>11056</v>
      </c>
      <c r="I105" s="242" t="s">
        <v>5608</v>
      </c>
      <c r="J105" s="242" t="s">
        <v>1473</v>
      </c>
      <c r="K105" s="273" t="s">
        <v>2445</v>
      </c>
      <c r="L105" s="273" t="s">
        <v>5601</v>
      </c>
      <c r="M105" s="273" t="s">
        <v>11057</v>
      </c>
      <c r="N105" s="273" t="s">
        <v>11058</v>
      </c>
      <c r="O105" s="273" t="s">
        <v>5619</v>
      </c>
      <c r="P105" s="242" t="s">
        <v>2346</v>
      </c>
      <c r="Q105" s="273" t="s">
        <v>349</v>
      </c>
      <c r="R105" s="304"/>
      <c r="S105" s="273" t="s">
        <v>4816</v>
      </c>
      <c r="T105" s="304"/>
      <c r="U105" s="273" t="s">
        <v>583</v>
      </c>
      <c r="V105" s="885" t="s">
        <v>11059</v>
      </c>
      <c r="W105" s="788"/>
      <c r="X105" s="273" t="s">
        <v>4833</v>
      </c>
      <c r="Y105" s="263"/>
      <c r="Z105" s="263" t="s">
        <v>3690</v>
      </c>
      <c r="AA105" s="273" t="s">
        <v>11060</v>
      </c>
      <c r="AB105" s="273" t="s">
        <v>192</v>
      </c>
      <c r="AC105" s="273" t="s">
        <v>2359</v>
      </c>
      <c r="AD105" s="273" t="s">
        <v>8682</v>
      </c>
      <c r="AE105" s="304"/>
      <c r="AF105" s="273" t="s">
        <v>584</v>
      </c>
      <c r="AG105" s="273" t="s">
        <v>2471</v>
      </c>
      <c r="AH105" s="273" t="s">
        <v>9504</v>
      </c>
      <c r="AI105" s="273"/>
      <c r="AJ105" s="273" t="s">
        <v>4501</v>
      </c>
      <c r="AK105" s="885" t="s">
        <v>11061</v>
      </c>
      <c r="AL105" s="61"/>
      <c r="AM105" s="273" t="s">
        <v>5284</v>
      </c>
      <c r="AN105" s="273" t="s">
        <v>11062</v>
      </c>
      <c r="AO105" s="273" t="s">
        <v>7634</v>
      </c>
      <c r="AP105" s="273" t="s">
        <v>4990</v>
      </c>
      <c r="AQ105" s="273" t="s">
        <v>10178</v>
      </c>
      <c r="AR105" s="273" t="s">
        <v>1710</v>
      </c>
      <c r="AS105" s="304"/>
      <c r="AT105" s="273" t="s">
        <v>11063</v>
      </c>
      <c r="AU105" s="242" t="s">
        <v>2325</v>
      </c>
      <c r="AV105" s="273" t="s">
        <v>9900</v>
      </c>
      <c r="AW105" s="273" t="s">
        <v>10425</v>
      </c>
      <c r="AX105" s="304"/>
      <c r="AY105" s="301" t="str">
        <f>HYPERLINK("https://clips.twitch.tv/PeppyAbstruseSmoothieCurseLit","39.09")</f>
        <v>39.09</v>
      </c>
      <c r="AZ105" s="273" t="s">
        <v>11064</v>
      </c>
      <c r="BA105" s="273"/>
      <c r="BB105" s="273" t="s">
        <v>4025</v>
      </c>
      <c r="BC105" s="273" t="s">
        <v>11065</v>
      </c>
      <c r="BD105" s="273" t="s">
        <v>1689</v>
      </c>
      <c r="BE105" s="273" t="s">
        <v>9471</v>
      </c>
      <c r="BF105" s="273" t="s">
        <v>8682</v>
      </c>
      <c r="BG105" s="273" t="s">
        <v>10146</v>
      </c>
      <c r="BH105" s="304"/>
      <c r="BI105" s="301" t="str">
        <f>HYPERLINK("https://clips.twitch.tv/SavagePeacefulEagleWOOP","29.65")</f>
        <v>29.65</v>
      </c>
      <c r="BJ105" s="304"/>
      <c r="BK105" s="304"/>
      <c r="BL105" s="242" t="s">
        <v>7382</v>
      </c>
      <c r="BM105" s="273" t="s">
        <v>11066</v>
      </c>
      <c r="BN105" s="301" t="str">
        <f>HYPERLINK("https://clips.twitch.tv/PeacefulSavoryAlfalfa4Head","35.58")</f>
        <v>35.58</v>
      </c>
      <c r="BO105" s="304"/>
      <c r="BP105" s="273" t="s">
        <v>11067</v>
      </c>
      <c r="BQ105" s="841"/>
      <c r="BR105" s="273" t="s">
        <v>11068</v>
      </c>
      <c r="BS105" s="273"/>
      <c r="BT105" s="273" t="s">
        <v>10608</v>
      </c>
      <c r="BU105" s="273" t="s">
        <v>5346</v>
      </c>
      <c r="BV105" s="304"/>
      <c r="BW105" s="263" t="s">
        <v>1530</v>
      </c>
      <c r="BX105" s="304"/>
      <c r="BY105" s="304"/>
      <c r="BZ105" s="273" t="s">
        <v>10213</v>
      </c>
      <c r="CA105" s="273" t="s">
        <v>265</v>
      </c>
      <c r="CB105" s="242" t="s">
        <v>2146</v>
      </c>
      <c r="CC105" s="273" t="s">
        <v>11069</v>
      </c>
      <c r="CD105" s="273" t="s">
        <v>4006</v>
      </c>
      <c r="CE105" s="273" t="s">
        <v>11070</v>
      </c>
      <c r="CF105" s="312"/>
      <c r="CG105" s="273" t="s">
        <v>4722</v>
      </c>
      <c r="CH105" s="273" t="s">
        <v>5287</v>
      </c>
      <c r="CI105" s="273" t="s">
        <v>1441</v>
      </c>
      <c r="CJ105" s="273" t="s">
        <v>11071</v>
      </c>
      <c r="CK105" s="273"/>
      <c r="CL105" s="273" t="s">
        <v>750</v>
      </c>
      <c r="CM105" s="304"/>
      <c r="CN105" s="273" t="s">
        <v>4535</v>
      </c>
      <c r="CO105" s="273" t="s">
        <v>5057</v>
      </c>
      <c r="CP105" s="273" t="s">
        <v>11072</v>
      </c>
      <c r="CQ105" s="273" t="s">
        <v>11073</v>
      </c>
      <c r="CR105" s="273"/>
      <c r="CS105" s="273" t="s">
        <v>11074</v>
      </c>
      <c r="CT105" s="273" t="s">
        <v>3648</v>
      </c>
      <c r="CU105" s="62"/>
      <c r="CV105" s="273" t="s">
        <v>3781</v>
      </c>
      <c r="CW105" s="273" t="s">
        <v>4547</v>
      </c>
      <c r="CX105" s="242" t="s">
        <v>11075</v>
      </c>
      <c r="CY105" s="273" t="s">
        <v>2897</v>
      </c>
      <c r="CZ105" s="304"/>
      <c r="DA105" s="273" t="s">
        <v>10520</v>
      </c>
      <c r="DB105" s="273" t="s">
        <v>11076</v>
      </c>
      <c r="DC105" s="273" t="s">
        <v>5055</v>
      </c>
      <c r="DD105" s="273" t="s">
        <v>11077</v>
      </c>
      <c r="DE105" s="273" t="s">
        <v>2004</v>
      </c>
      <c r="DF105" s="273" t="s">
        <v>885</v>
      </c>
      <c r="DG105" s="273" t="s">
        <v>11078</v>
      </c>
      <c r="DH105" s="273"/>
      <c r="DI105" s="304"/>
      <c r="DJ105" s="304"/>
      <c r="DK105" s="304"/>
      <c r="DL105" s="304"/>
      <c r="DM105" s="273" t="s">
        <v>11003</v>
      </c>
      <c r="DN105" s="273" t="s">
        <v>11079</v>
      </c>
      <c r="DO105" s="301" t="str">
        <f>HYPERLINK("https://clips.twitch.tv/CutePoliteCiderSwiftRage","21.16")</f>
        <v>21.16</v>
      </c>
      <c r="DP105" s="273" t="s">
        <v>11080</v>
      </c>
      <c r="DQ105" s="304"/>
      <c r="DR105" s="304"/>
      <c r="DS105" s="304"/>
      <c r="DT105" s="273" t="s">
        <v>10730</v>
      </c>
      <c r="DU105" s="273" t="s">
        <v>11081</v>
      </c>
      <c r="DV105" s="273" t="s">
        <v>7864</v>
      </c>
      <c r="DW105" s="273" t="s">
        <v>702</v>
      </c>
      <c r="DX105" s="273" t="s">
        <v>4172</v>
      </c>
      <c r="DY105" s="273" t="s">
        <v>2987</v>
      </c>
      <c r="DZ105" s="273" t="s">
        <v>11082</v>
      </c>
      <c r="EA105" s="273" t="s">
        <v>10998</v>
      </c>
      <c r="EB105" s="273" t="s">
        <v>265</v>
      </c>
      <c r="EC105" s="273" t="s">
        <v>3950</v>
      </c>
      <c r="ED105" s="885" t="s">
        <v>11083</v>
      </c>
    </row>
    <row r="106">
      <c r="A106" s="545" t="s">
        <v>8185</v>
      </c>
      <c r="B106" s="381" t="s">
        <v>11084</v>
      </c>
      <c r="C106" s="384" t="s">
        <v>155</v>
      </c>
      <c r="D106" s="386" t="s">
        <v>155</v>
      </c>
      <c r="E106" s="389" t="s">
        <v>155</v>
      </c>
      <c r="F106" s="390" t="s">
        <v>127</v>
      </c>
      <c r="G106" s="381" t="s">
        <v>1671</v>
      </c>
      <c r="H106" s="547" t="s">
        <v>4293</v>
      </c>
      <c r="I106" s="849"/>
      <c r="J106" s="547" t="s">
        <v>11085</v>
      </c>
      <c r="K106" s="547" t="s">
        <v>11038</v>
      </c>
      <c r="L106" s="547" t="s">
        <v>2365</v>
      </c>
      <c r="M106" s="547" t="s">
        <v>8506</v>
      </c>
      <c r="N106" s="547" t="s">
        <v>5082</v>
      </c>
      <c r="O106" s="547" t="s">
        <v>3992</v>
      </c>
      <c r="P106" s="547" t="s">
        <v>4171</v>
      </c>
      <c r="Q106" s="849"/>
      <c r="R106" s="849"/>
      <c r="S106" s="849"/>
      <c r="T106" s="849"/>
      <c r="U106" s="849"/>
      <c r="V106" s="849"/>
      <c r="W106" s="62"/>
      <c r="X106" s="852"/>
      <c r="Y106" s="683"/>
      <c r="Z106" s="683" t="s">
        <v>2476</v>
      </c>
      <c r="AA106" s="683" t="s">
        <v>5216</v>
      </c>
      <c r="AB106" s="919" t="s">
        <v>5274</v>
      </c>
      <c r="AC106" s="683" t="s">
        <v>5114</v>
      </c>
      <c r="AD106" s="683" t="s">
        <v>4294</v>
      </c>
      <c r="AE106" s="852"/>
      <c r="AF106" s="852"/>
      <c r="AG106" s="683" t="s">
        <v>2223</v>
      </c>
      <c r="AH106" s="852"/>
      <c r="AI106" s="852"/>
      <c r="AJ106" s="852"/>
      <c r="AK106" s="852"/>
      <c r="AL106" s="61"/>
      <c r="AM106" s="855"/>
      <c r="AN106" s="855"/>
      <c r="AO106" s="855"/>
      <c r="AP106" s="855"/>
      <c r="AQ106" s="855"/>
      <c r="AR106" s="855"/>
      <c r="AS106" s="855"/>
      <c r="AT106" s="855"/>
      <c r="AU106" s="425" t="str">
        <f>HYPERLINK("https://clips.twitch.tv/WiseAntsyAsparagusCoolStoryBro","18.27")</f>
        <v>18.27</v>
      </c>
      <c r="AV106" s="571" t="s">
        <v>8335</v>
      </c>
      <c r="AW106" s="855"/>
      <c r="AX106" s="855"/>
      <c r="AY106" s="855"/>
      <c r="AZ106" s="855"/>
      <c r="BA106" s="855"/>
      <c r="BB106" s="587"/>
      <c r="BC106" s="589" t="s">
        <v>10230</v>
      </c>
      <c r="BD106" s="589" t="s">
        <v>4373</v>
      </c>
      <c r="BE106" s="589" t="s">
        <v>5020</v>
      </c>
      <c r="BF106" s="589"/>
      <c r="BG106" s="589" t="s">
        <v>11086</v>
      </c>
      <c r="BH106" s="587"/>
      <c r="BI106" s="436" t="str">
        <f>HYPERLINK("https://www.youtube.com/watch?v=D3qit_yrtB8&amp;feature=youtu.be","27.76")</f>
        <v>27.76</v>
      </c>
      <c r="BJ106" s="589" t="s">
        <v>8419</v>
      </c>
      <c r="BK106" s="589"/>
      <c r="BL106" s="589" t="s">
        <v>11087</v>
      </c>
      <c r="BM106" s="587"/>
      <c r="BN106" s="589" t="s">
        <v>4528</v>
      </c>
      <c r="BO106" s="587"/>
      <c r="BP106" s="587"/>
      <c r="BQ106" s="857"/>
      <c r="BR106" s="859"/>
      <c r="BS106" s="594" t="s">
        <v>4262</v>
      </c>
      <c r="BT106" s="594" t="s">
        <v>11088</v>
      </c>
      <c r="BU106" s="594" t="s">
        <v>10560</v>
      </c>
      <c r="BV106" s="859"/>
      <c r="BW106" s="594" t="s">
        <v>2535</v>
      </c>
      <c r="BX106" s="859"/>
      <c r="BY106" s="594" t="s">
        <v>2332</v>
      </c>
      <c r="BZ106" s="859"/>
      <c r="CA106" s="594" t="s">
        <v>2276</v>
      </c>
      <c r="CB106" s="594" t="s">
        <v>11089</v>
      </c>
      <c r="CC106" s="859"/>
      <c r="CD106" s="859"/>
      <c r="CE106" s="859"/>
      <c r="CF106" s="861"/>
      <c r="CG106" s="606" t="s">
        <v>6602</v>
      </c>
      <c r="CH106" s="904" t="s">
        <v>5014</v>
      </c>
      <c r="CI106" s="606"/>
      <c r="CJ106" s="863"/>
      <c r="CK106" s="863"/>
      <c r="CL106" s="863" t="s">
        <v>788</v>
      </c>
      <c r="CM106" s="863"/>
      <c r="CN106" s="904" t="s">
        <v>5247</v>
      </c>
      <c r="CO106" s="606" t="s">
        <v>11090</v>
      </c>
      <c r="CP106" s="863"/>
      <c r="CQ106" s="863"/>
      <c r="CR106" s="863"/>
      <c r="CS106" s="863"/>
      <c r="CT106" s="863"/>
      <c r="CU106" s="62"/>
      <c r="CV106" s="703" t="s">
        <v>3630</v>
      </c>
      <c r="CW106" s="703"/>
      <c r="CX106" s="703" t="s">
        <v>10063</v>
      </c>
      <c r="CY106" s="864"/>
      <c r="CZ106" s="864"/>
      <c r="DA106" s="864"/>
      <c r="DB106" s="703" t="s">
        <v>11091</v>
      </c>
      <c r="DC106" s="703" t="s">
        <v>2062</v>
      </c>
      <c r="DD106" s="864"/>
      <c r="DE106" s="864"/>
      <c r="DF106" s="864"/>
      <c r="DG106" s="864"/>
      <c r="DH106" s="864"/>
      <c r="DI106" s="866"/>
      <c r="DJ106" s="866"/>
      <c r="DK106" s="866"/>
      <c r="DL106" s="866"/>
      <c r="DM106" s="866"/>
      <c r="DN106" s="866"/>
      <c r="DO106" s="866"/>
      <c r="DP106" s="866"/>
      <c r="DQ106" s="866"/>
      <c r="DR106" s="866"/>
      <c r="DS106" s="866"/>
      <c r="DT106" s="866"/>
      <c r="DU106" s="866"/>
      <c r="DV106" s="866"/>
      <c r="DW106" s="866"/>
      <c r="DX106" s="866"/>
      <c r="DY106" s="866"/>
      <c r="DZ106" s="866"/>
      <c r="EA106" s="866"/>
      <c r="EB106" s="866"/>
      <c r="EC106" s="866"/>
      <c r="ED106" s="974"/>
    </row>
    <row r="107">
      <c r="A107" s="228" t="s">
        <v>11092</v>
      </c>
      <c r="B107" s="229" t="s">
        <v>11093</v>
      </c>
      <c r="C107" s="230" t="s">
        <v>155</v>
      </c>
      <c r="D107" s="231" t="s">
        <v>155</v>
      </c>
      <c r="E107" s="232" t="s">
        <v>155</v>
      </c>
      <c r="F107" s="233" t="s">
        <v>79</v>
      </c>
      <c r="G107" s="229" t="s">
        <v>870</v>
      </c>
      <c r="H107" s="273" t="s">
        <v>9497</v>
      </c>
      <c r="I107" s="273" t="s">
        <v>5457</v>
      </c>
      <c r="J107" s="273" t="s">
        <v>11094</v>
      </c>
      <c r="K107" s="273" t="s">
        <v>10313</v>
      </c>
      <c r="L107" s="273" t="s">
        <v>11095</v>
      </c>
      <c r="M107" s="273" t="s">
        <v>11096</v>
      </c>
      <c r="N107" s="273" t="s">
        <v>11097</v>
      </c>
      <c r="O107" s="273" t="s">
        <v>11098</v>
      </c>
      <c r="P107" s="273" t="s">
        <v>1663</v>
      </c>
      <c r="Q107" s="304"/>
      <c r="R107" s="304"/>
      <c r="S107" s="304"/>
      <c r="T107" s="304"/>
      <c r="U107" s="304"/>
      <c r="V107" s="304"/>
      <c r="W107" s="62"/>
      <c r="X107" s="273" t="s">
        <v>10020</v>
      </c>
      <c r="Y107" s="273"/>
      <c r="Z107" s="273" t="s">
        <v>10045</v>
      </c>
      <c r="AA107" s="273" t="s">
        <v>10892</v>
      </c>
      <c r="AB107" s="301" t="str">
        <f>HYPERLINK("https://youtu.be/qJ6N4MrS6B4","48.05")</f>
        <v>48.05</v>
      </c>
      <c r="AC107" s="273" t="s">
        <v>5001</v>
      </c>
      <c r="AD107" s="301" t="str">
        <f>HYPERLINK("https://www.twitch.tv/videos/230818041","57.20")</f>
        <v>57.20</v>
      </c>
      <c r="AE107" s="304"/>
      <c r="AF107" s="273" t="s">
        <v>7725</v>
      </c>
      <c r="AG107" s="273" t="s">
        <v>10781</v>
      </c>
      <c r="AH107" s="304"/>
      <c r="AI107" s="304"/>
      <c r="AJ107" s="304"/>
      <c r="AK107" s="304"/>
      <c r="AL107" s="61"/>
      <c r="AM107" s="304"/>
      <c r="AN107" s="304"/>
      <c r="AO107" s="304"/>
      <c r="AP107" s="304"/>
      <c r="AQ107" s="304"/>
      <c r="AR107" s="304"/>
      <c r="AS107" s="304"/>
      <c r="AT107" s="304"/>
      <c r="AU107" s="273" t="s">
        <v>3706</v>
      </c>
      <c r="AV107" s="273" t="s">
        <v>9624</v>
      </c>
      <c r="AW107" s="304"/>
      <c r="AX107" s="304"/>
      <c r="AY107" s="304"/>
      <c r="AZ107" s="304"/>
      <c r="BA107" s="304"/>
      <c r="BB107" s="273"/>
      <c r="BC107" s="273" t="s">
        <v>2652</v>
      </c>
      <c r="BD107" s="301" t="str">
        <f>HYPERLINK("https://youtu.be/jzNyA3Lqtt4","28.84")</f>
        <v>28.84</v>
      </c>
      <c r="BE107" s="273" t="s">
        <v>11099</v>
      </c>
      <c r="BF107" s="273" t="s">
        <v>2046</v>
      </c>
      <c r="BG107" s="304"/>
      <c r="BH107" s="304"/>
      <c r="BI107" s="273" t="s">
        <v>5970</v>
      </c>
      <c r="BJ107" s="304"/>
      <c r="BK107" s="273" t="s">
        <v>6809</v>
      </c>
      <c r="BL107" s="273" t="s">
        <v>2979</v>
      </c>
      <c r="BM107" s="304"/>
      <c r="BN107" s="304"/>
      <c r="BO107" s="304"/>
      <c r="BP107" s="304"/>
      <c r="BQ107" s="841"/>
      <c r="BR107" s="274"/>
      <c r="BS107" s="304"/>
      <c r="BT107" s="273" t="s">
        <v>11100</v>
      </c>
      <c r="BU107" s="273" t="s">
        <v>11101</v>
      </c>
      <c r="BV107" s="273" t="s">
        <v>3758</v>
      </c>
      <c r="BW107" s="301" t="str">
        <f>HYPERLINK("https://www.youtube.com/watch?v=HaeMpTna7bY","21.54")</f>
        <v>21.54</v>
      </c>
      <c r="BX107" s="304"/>
      <c r="BY107" s="263"/>
      <c r="BZ107" s="263"/>
      <c r="CA107" s="304"/>
      <c r="CB107" s="304"/>
      <c r="CC107" s="304"/>
      <c r="CD107" s="304"/>
      <c r="CE107" s="304"/>
      <c r="CF107" s="841"/>
      <c r="CG107" s="273" t="s">
        <v>8978</v>
      </c>
      <c r="CH107" s="273" t="s">
        <v>1148</v>
      </c>
      <c r="CI107" s="273" t="s">
        <v>1471</v>
      </c>
      <c r="CJ107" s="304"/>
      <c r="CK107" s="304"/>
      <c r="CL107" s="304"/>
      <c r="CM107" s="273" t="s">
        <v>10308</v>
      </c>
      <c r="CN107" s="273" t="s">
        <v>10033</v>
      </c>
      <c r="CO107" s="304"/>
      <c r="CP107" s="304"/>
      <c r="CQ107" s="304"/>
      <c r="CR107" s="304"/>
      <c r="CS107" s="304"/>
      <c r="CT107" s="304"/>
      <c r="CU107" s="62"/>
      <c r="CV107" s="273" t="s">
        <v>4311</v>
      </c>
      <c r="CW107" s="304"/>
      <c r="CX107" s="273" t="s">
        <v>11102</v>
      </c>
      <c r="CY107" s="273" t="s">
        <v>11103</v>
      </c>
      <c r="CZ107" s="273"/>
      <c r="DA107" s="274"/>
      <c r="DB107" s="273" t="s">
        <v>11104</v>
      </c>
      <c r="DC107" s="273" t="s">
        <v>2033</v>
      </c>
      <c r="DD107" s="304"/>
      <c r="DE107" s="304"/>
      <c r="DF107" s="304"/>
      <c r="DG107" s="304"/>
      <c r="DH107" s="304"/>
      <c r="DI107" s="304"/>
      <c r="DJ107" s="304"/>
      <c r="DK107" s="304"/>
      <c r="DL107" s="304"/>
      <c r="DM107" s="304"/>
      <c r="DN107" s="304"/>
      <c r="DO107" s="304"/>
      <c r="DP107" s="304"/>
      <c r="DQ107" s="304"/>
      <c r="DR107" s="273" t="s">
        <v>11105</v>
      </c>
      <c r="DS107" s="273"/>
      <c r="DT107" s="304"/>
      <c r="DU107" s="304"/>
      <c r="DV107" s="304"/>
      <c r="DW107" s="304"/>
      <c r="DX107" s="304"/>
      <c r="DY107" s="304"/>
      <c r="DZ107" s="304"/>
      <c r="EA107" s="304"/>
      <c r="EB107" s="304"/>
      <c r="EC107" s="304"/>
      <c r="ED107" s="885"/>
    </row>
    <row r="108">
      <c r="A108" s="545" t="s">
        <v>4022</v>
      </c>
      <c r="B108" s="381" t="s">
        <v>11106</v>
      </c>
      <c r="C108" s="384" t="s">
        <v>155</v>
      </c>
      <c r="D108" s="386" t="s">
        <v>155</v>
      </c>
      <c r="E108" s="389" t="s">
        <v>155</v>
      </c>
      <c r="F108" s="390" t="s">
        <v>156</v>
      </c>
      <c r="G108" s="381" t="s">
        <v>556</v>
      </c>
      <c r="H108" s="547" t="s">
        <v>4075</v>
      </c>
      <c r="I108" s="547" t="s">
        <v>7953</v>
      </c>
      <c r="J108" s="547" t="s">
        <v>11107</v>
      </c>
      <c r="K108" s="547" t="s">
        <v>10492</v>
      </c>
      <c r="L108" s="547" t="s">
        <v>2681</v>
      </c>
      <c r="M108" s="849"/>
      <c r="N108" s="547" t="s">
        <v>10535</v>
      </c>
      <c r="O108" s="547" t="s">
        <v>4004</v>
      </c>
      <c r="P108" s="547" t="s">
        <v>2346</v>
      </c>
      <c r="Q108" s="849"/>
      <c r="R108" s="849"/>
      <c r="S108" s="849"/>
      <c r="T108" s="849"/>
      <c r="U108" s="849"/>
      <c r="V108" s="849"/>
      <c r="W108" s="62"/>
      <c r="X108" s="683" t="s">
        <v>10849</v>
      </c>
      <c r="Y108" s="683"/>
      <c r="Z108" s="683" t="s">
        <v>9928</v>
      </c>
      <c r="AA108" s="683" t="s">
        <v>11108</v>
      </c>
      <c r="AB108" s="683" t="s">
        <v>10891</v>
      </c>
      <c r="AC108" s="852"/>
      <c r="AD108" s="683" t="s">
        <v>2728</v>
      </c>
      <c r="AE108" s="852"/>
      <c r="AF108" s="683" t="s">
        <v>9874</v>
      </c>
      <c r="AG108" s="683" t="s">
        <v>2599</v>
      </c>
      <c r="AH108" s="852"/>
      <c r="AI108" s="852"/>
      <c r="AJ108" s="852"/>
      <c r="AK108" s="852"/>
      <c r="AL108" s="61"/>
      <c r="AM108" s="571" t="s">
        <v>10379</v>
      </c>
      <c r="AN108" s="855"/>
      <c r="AO108" s="855"/>
      <c r="AP108" s="855"/>
      <c r="AQ108" s="855"/>
      <c r="AR108" s="855"/>
      <c r="AS108" s="855"/>
      <c r="AT108" s="855"/>
      <c r="AU108" s="855"/>
      <c r="AV108" s="571" t="s">
        <v>11109</v>
      </c>
      <c r="AW108" s="571" t="s">
        <v>10853</v>
      </c>
      <c r="AX108" s="855"/>
      <c r="AY108" s="855"/>
      <c r="AZ108" s="855"/>
      <c r="BA108" s="855"/>
      <c r="BB108" s="589" t="s">
        <v>6695</v>
      </c>
      <c r="BC108" s="587"/>
      <c r="BD108" s="589" t="s">
        <v>11110</v>
      </c>
      <c r="BE108" s="589" t="s">
        <v>11020</v>
      </c>
      <c r="BF108" s="439" t="s">
        <v>10419</v>
      </c>
      <c r="BG108" s="589" t="s">
        <v>4738</v>
      </c>
      <c r="BH108" s="587"/>
      <c r="BI108" s="589" t="s">
        <v>9548</v>
      </c>
      <c r="BJ108" s="589" t="s">
        <v>6562</v>
      </c>
      <c r="BK108" s="589" t="s">
        <v>7690</v>
      </c>
      <c r="BL108" s="587"/>
      <c r="BM108" s="587"/>
      <c r="BN108" s="587"/>
      <c r="BO108" s="587"/>
      <c r="BP108" s="587"/>
      <c r="BQ108" s="857"/>
      <c r="BR108" s="594" t="s">
        <v>2574</v>
      </c>
      <c r="BS108" s="859"/>
      <c r="BT108" s="594" t="s">
        <v>11111</v>
      </c>
      <c r="BU108" s="594" t="s">
        <v>11112</v>
      </c>
      <c r="BV108" s="859"/>
      <c r="BW108" s="594" t="s">
        <v>11113</v>
      </c>
      <c r="BX108" s="859"/>
      <c r="BY108" s="859"/>
      <c r="BZ108" s="594" t="s">
        <v>10213</v>
      </c>
      <c r="CA108" s="859"/>
      <c r="CB108" s="859"/>
      <c r="CC108" s="859"/>
      <c r="CD108" s="859"/>
      <c r="CE108" s="859"/>
      <c r="CF108" s="861"/>
      <c r="CG108" s="606" t="s">
        <v>7263</v>
      </c>
      <c r="CH108" s="606" t="s">
        <v>488</v>
      </c>
      <c r="CI108" s="863"/>
      <c r="CJ108" s="606" t="s">
        <v>11114</v>
      </c>
      <c r="CK108" s="606"/>
      <c r="CL108" s="606"/>
      <c r="CM108" s="606" t="s">
        <v>11115</v>
      </c>
      <c r="CN108" s="459" t="s">
        <v>3854</v>
      </c>
      <c r="CO108" s="863"/>
      <c r="CP108" s="863"/>
      <c r="CQ108" s="863"/>
      <c r="CR108" s="863"/>
      <c r="CS108" s="863"/>
      <c r="CT108" s="863"/>
      <c r="CU108" s="62"/>
      <c r="CV108" s="703" t="s">
        <v>9619</v>
      </c>
      <c r="CW108" s="703" t="s">
        <v>4556</v>
      </c>
      <c r="CX108" s="703" t="s">
        <v>10033</v>
      </c>
      <c r="CY108" s="703" t="s">
        <v>9664</v>
      </c>
      <c r="CZ108" s="864"/>
      <c r="DA108" s="466" t="s">
        <v>1912</v>
      </c>
      <c r="DB108" s="703" t="s">
        <v>11116</v>
      </c>
      <c r="DC108" s="703" t="s">
        <v>410</v>
      </c>
      <c r="DD108" s="864"/>
      <c r="DE108" s="864"/>
      <c r="DF108" s="864"/>
      <c r="DG108" s="864"/>
      <c r="DH108" s="864"/>
      <c r="DI108" s="866"/>
      <c r="DJ108" s="866"/>
      <c r="DK108" s="866"/>
      <c r="DL108" s="866"/>
      <c r="DM108" s="866"/>
      <c r="DN108" s="866"/>
      <c r="DO108" s="866"/>
      <c r="DP108" s="866"/>
      <c r="DQ108" s="866"/>
      <c r="DR108" s="707" t="s">
        <v>7097</v>
      </c>
      <c r="DS108" s="707"/>
      <c r="DT108" s="866"/>
      <c r="DU108" s="866"/>
      <c r="DV108" s="866"/>
      <c r="DW108" s="866"/>
      <c r="DX108" s="866"/>
      <c r="DY108" s="707" t="s">
        <v>2129</v>
      </c>
      <c r="DZ108" s="866"/>
      <c r="EA108" s="866"/>
      <c r="EB108" s="866"/>
      <c r="EC108" s="866"/>
      <c r="ED108" s="974"/>
    </row>
    <row r="109">
      <c r="A109" s="228" t="s">
        <v>11117</v>
      </c>
      <c r="B109" s="229" t="s">
        <v>11118</v>
      </c>
      <c r="C109" s="230" t="s">
        <v>155</v>
      </c>
      <c r="D109" s="231" t="s">
        <v>155</v>
      </c>
      <c r="E109" s="232" t="s">
        <v>155</v>
      </c>
      <c r="F109" s="233" t="s">
        <v>76</v>
      </c>
      <c r="G109" s="229" t="s">
        <v>2507</v>
      </c>
      <c r="H109" s="273" t="s">
        <v>11119</v>
      </c>
      <c r="I109" s="273" t="s">
        <v>10458</v>
      </c>
      <c r="J109" s="273" t="s">
        <v>11120</v>
      </c>
      <c r="K109" s="263" t="s">
        <v>10565</v>
      </c>
      <c r="L109" s="273" t="s">
        <v>11121</v>
      </c>
      <c r="M109" s="304"/>
      <c r="N109" s="273" t="s">
        <v>2743</v>
      </c>
      <c r="O109" s="273" t="s">
        <v>1420</v>
      </c>
      <c r="P109" s="273" t="s">
        <v>10537</v>
      </c>
      <c r="Q109" s="273" t="s">
        <v>11122</v>
      </c>
      <c r="R109" s="273"/>
      <c r="S109" s="273" t="s">
        <v>575</v>
      </c>
      <c r="T109" s="304"/>
      <c r="U109" s="273" t="s">
        <v>9372</v>
      </c>
      <c r="V109" s="273" t="s">
        <v>11123</v>
      </c>
      <c r="W109" s="62"/>
      <c r="X109" s="273" t="s">
        <v>2656</v>
      </c>
      <c r="Y109" s="263"/>
      <c r="Z109" s="263" t="s">
        <v>9558</v>
      </c>
      <c r="AA109" s="273" t="s">
        <v>4490</v>
      </c>
      <c r="AB109" s="273" t="s">
        <v>11004</v>
      </c>
      <c r="AC109" s="273" t="s">
        <v>3850</v>
      </c>
      <c r="AD109" s="273" t="s">
        <v>10539</v>
      </c>
      <c r="AE109" s="273" t="s">
        <v>2732</v>
      </c>
      <c r="AF109" s="273" t="s">
        <v>3151</v>
      </c>
      <c r="AG109" s="263" t="s">
        <v>3316</v>
      </c>
      <c r="AH109" s="304"/>
      <c r="AI109" s="274"/>
      <c r="AJ109" s="301" t="str">
        <f>HYPERLINK("https://www.youtube.com/watch?v=KtPfnnrz_CQ","1:01.05")</f>
        <v>1:01.05</v>
      </c>
      <c r="AK109" s="304"/>
      <c r="AL109" s="61"/>
      <c r="AM109" s="273" t="s">
        <v>5619</v>
      </c>
      <c r="AN109" s="304"/>
      <c r="AO109" s="304"/>
      <c r="AP109" s="304"/>
      <c r="AQ109" s="304"/>
      <c r="AR109" s="304"/>
      <c r="AS109" s="304"/>
      <c r="AT109" s="304"/>
      <c r="AU109" s="263"/>
      <c r="AV109" s="304"/>
      <c r="AW109" s="304"/>
      <c r="AX109" s="304"/>
      <c r="AY109" s="273" t="s">
        <v>1498</v>
      </c>
      <c r="AZ109" s="304"/>
      <c r="BA109" s="304"/>
      <c r="BB109" s="273" t="s">
        <v>7792</v>
      </c>
      <c r="BC109" s="273" t="s">
        <v>5626</v>
      </c>
      <c r="BD109" s="273" t="s">
        <v>2358</v>
      </c>
      <c r="BE109" s="273" t="s">
        <v>11124</v>
      </c>
      <c r="BF109" s="304"/>
      <c r="BG109" s="304"/>
      <c r="BH109" s="304"/>
      <c r="BI109" s="273" t="s">
        <v>11125</v>
      </c>
      <c r="BJ109" s="304"/>
      <c r="BK109" s="304"/>
      <c r="BL109" s="304"/>
      <c r="BM109" s="304"/>
      <c r="BN109" s="273" t="s">
        <v>11126</v>
      </c>
      <c r="BO109" s="273" t="s">
        <v>9672</v>
      </c>
      <c r="BP109" s="304"/>
      <c r="BQ109" s="841"/>
      <c r="BR109" s="304"/>
      <c r="BS109" s="273"/>
      <c r="BT109" s="273" t="s">
        <v>2151</v>
      </c>
      <c r="BU109" s="273" t="s">
        <v>710</v>
      </c>
      <c r="BV109" s="304"/>
      <c r="BW109" s="304"/>
      <c r="BX109" s="304"/>
      <c r="BY109" s="304"/>
      <c r="BZ109" s="304"/>
      <c r="CA109" s="304"/>
      <c r="CB109" s="304"/>
      <c r="CC109" s="304"/>
      <c r="CD109" s="304"/>
      <c r="CE109" s="304"/>
      <c r="CF109" s="841"/>
      <c r="CG109" s="304"/>
      <c r="CH109" s="263"/>
      <c r="CI109" s="304"/>
      <c r="CJ109" s="304"/>
      <c r="CK109" s="304"/>
      <c r="CL109" s="304"/>
      <c r="CM109" s="304"/>
      <c r="CN109" s="304"/>
      <c r="CO109" s="304"/>
      <c r="CP109" s="304"/>
      <c r="CQ109" s="304"/>
      <c r="CR109" s="304"/>
      <c r="CS109" s="304"/>
      <c r="CT109" s="304"/>
      <c r="CU109" s="62"/>
      <c r="CV109" s="304"/>
      <c r="CW109" s="304"/>
      <c r="CX109" s="273" t="s">
        <v>11127</v>
      </c>
      <c r="CY109" s="304"/>
      <c r="CZ109" s="304"/>
      <c r="DA109" s="304"/>
      <c r="DB109" s="273" t="s">
        <v>1897</v>
      </c>
      <c r="DC109" s="304"/>
      <c r="DD109" s="304"/>
      <c r="DE109" s="304"/>
      <c r="DF109" s="304"/>
      <c r="DG109" s="304"/>
      <c r="DH109" s="304"/>
      <c r="DI109" s="304"/>
      <c r="DJ109" s="304"/>
      <c r="DK109" s="304"/>
      <c r="DL109" s="304"/>
      <c r="DM109" s="304"/>
      <c r="DN109" s="304"/>
      <c r="DO109" s="273" t="s">
        <v>6185</v>
      </c>
      <c r="DP109" s="273" t="s">
        <v>11128</v>
      </c>
      <c r="DQ109" s="263"/>
      <c r="DR109" s="304"/>
      <c r="DS109" s="304"/>
      <c r="DT109" s="304"/>
      <c r="DU109" s="304"/>
      <c r="DV109" s="304"/>
      <c r="DW109" s="304"/>
      <c r="DX109" s="304"/>
      <c r="DY109" s="304"/>
      <c r="DZ109" s="304"/>
      <c r="EA109" s="304"/>
      <c r="EB109" s="304"/>
      <c r="EC109" s="304"/>
      <c r="ED109" s="885"/>
    </row>
    <row r="110">
      <c r="A110" s="545" t="s">
        <v>11129</v>
      </c>
      <c r="B110" s="381" t="s">
        <v>11130</v>
      </c>
      <c r="C110" s="384" t="s">
        <v>155</v>
      </c>
      <c r="D110" s="386" t="s">
        <v>155</v>
      </c>
      <c r="E110" s="389" t="s">
        <v>155</v>
      </c>
      <c r="F110" s="390" t="s">
        <v>155</v>
      </c>
      <c r="G110" s="381" t="s">
        <v>1601</v>
      </c>
      <c r="H110" s="849"/>
      <c r="I110" s="547" t="s">
        <v>5452</v>
      </c>
      <c r="J110" s="547" t="s">
        <v>11131</v>
      </c>
      <c r="K110" s="547" t="s">
        <v>4299</v>
      </c>
      <c r="L110" s="547" t="s">
        <v>917</v>
      </c>
      <c r="M110" s="849"/>
      <c r="N110" s="547" t="s">
        <v>10935</v>
      </c>
      <c r="O110" s="547" t="s">
        <v>9382</v>
      </c>
      <c r="P110" s="547" t="s">
        <v>1630</v>
      </c>
      <c r="Q110" s="849"/>
      <c r="R110" s="849"/>
      <c r="S110" s="849"/>
      <c r="T110" s="849"/>
      <c r="U110" s="849"/>
      <c r="V110" s="849"/>
      <c r="W110" s="62"/>
      <c r="X110" s="683" t="s">
        <v>9880</v>
      </c>
      <c r="Y110" s="683"/>
      <c r="Z110" s="683" t="s">
        <v>10575</v>
      </c>
      <c r="AA110" s="683" t="s">
        <v>10373</v>
      </c>
      <c r="AB110" s="683" t="s">
        <v>3176</v>
      </c>
      <c r="AC110" s="683" t="s">
        <v>10519</v>
      </c>
      <c r="AD110" s="683" t="s">
        <v>11132</v>
      </c>
      <c r="AE110" s="852"/>
      <c r="AF110" s="683" t="s">
        <v>3164</v>
      </c>
      <c r="AG110" s="683" t="s">
        <v>1259</v>
      </c>
      <c r="AH110" s="852"/>
      <c r="AI110" s="852"/>
      <c r="AJ110" s="852"/>
      <c r="AK110" s="852"/>
      <c r="AL110" s="61"/>
      <c r="AM110" s="855"/>
      <c r="AN110" s="855"/>
      <c r="AO110" s="855"/>
      <c r="AP110" s="855"/>
      <c r="AQ110" s="855"/>
      <c r="AR110" s="855"/>
      <c r="AS110" s="855"/>
      <c r="AT110" s="855"/>
      <c r="AU110" s="571" t="s">
        <v>10538</v>
      </c>
      <c r="AV110" s="571" t="s">
        <v>4989</v>
      </c>
      <c r="AW110" s="855"/>
      <c r="AX110" s="855"/>
      <c r="AY110" s="855"/>
      <c r="AZ110" s="855"/>
      <c r="BA110" s="855"/>
      <c r="BB110" s="589" t="s">
        <v>10601</v>
      </c>
      <c r="BC110" s="589" t="s">
        <v>715</v>
      </c>
      <c r="BD110" s="587"/>
      <c r="BE110" s="589" t="s">
        <v>10578</v>
      </c>
      <c r="BF110" s="589" t="s">
        <v>6488</v>
      </c>
      <c r="BG110" s="587"/>
      <c r="BH110" s="587"/>
      <c r="BI110" s="589" t="s">
        <v>9925</v>
      </c>
      <c r="BJ110" s="589" t="s">
        <v>11133</v>
      </c>
      <c r="BK110" s="587"/>
      <c r="BL110" s="589" t="s">
        <v>4973</v>
      </c>
      <c r="BM110" s="587"/>
      <c r="BN110" s="587"/>
      <c r="BO110" s="587"/>
      <c r="BP110" s="587"/>
      <c r="BQ110" s="857"/>
      <c r="BR110" s="594" t="s">
        <v>11134</v>
      </c>
      <c r="BS110" s="594" t="s">
        <v>6472</v>
      </c>
      <c r="BT110" s="594" t="s">
        <v>4527</v>
      </c>
      <c r="BU110" s="594" t="s">
        <v>11135</v>
      </c>
      <c r="BV110" s="594" t="s">
        <v>2864</v>
      </c>
      <c r="BW110" s="594" t="s">
        <v>11136</v>
      </c>
      <c r="BX110" s="859"/>
      <c r="BY110" s="594" t="s">
        <v>11137</v>
      </c>
      <c r="BZ110" s="859"/>
      <c r="CA110" s="859"/>
      <c r="CB110" s="859"/>
      <c r="CC110" s="859"/>
      <c r="CD110" s="859"/>
      <c r="CE110" s="859"/>
      <c r="CF110" s="861"/>
      <c r="CG110" s="606" t="s">
        <v>8081</v>
      </c>
      <c r="CH110" s="606" t="s">
        <v>2995</v>
      </c>
      <c r="CI110" s="606" t="s">
        <v>4169</v>
      </c>
      <c r="CJ110" s="606" t="s">
        <v>9076</v>
      </c>
      <c r="CK110" s="606"/>
      <c r="CL110" s="606"/>
      <c r="CM110" s="606" t="s">
        <v>3286</v>
      </c>
      <c r="CN110" s="606" t="s">
        <v>1550</v>
      </c>
      <c r="CO110" s="606" t="s">
        <v>11138</v>
      </c>
      <c r="CP110" s="863"/>
      <c r="CQ110" s="863"/>
      <c r="CR110" s="863"/>
      <c r="CS110" s="863"/>
      <c r="CT110" s="863"/>
      <c r="CU110" s="62"/>
      <c r="CV110" s="703" t="s">
        <v>8053</v>
      </c>
      <c r="CW110" s="864"/>
      <c r="CX110" s="703" t="s">
        <v>11139</v>
      </c>
      <c r="CY110" s="703" t="s">
        <v>8446</v>
      </c>
      <c r="CZ110" s="703" t="s">
        <v>11140</v>
      </c>
      <c r="DA110" s="864"/>
      <c r="DB110" s="703" t="s">
        <v>11141</v>
      </c>
      <c r="DC110" s="703" t="s">
        <v>11142</v>
      </c>
      <c r="DD110" s="864"/>
      <c r="DE110" s="864"/>
      <c r="DF110" s="864"/>
      <c r="DG110" s="864"/>
      <c r="DH110" s="864"/>
      <c r="DI110" s="866"/>
      <c r="DJ110" s="866"/>
      <c r="DK110" s="866"/>
      <c r="DL110" s="866"/>
      <c r="DM110" s="866"/>
      <c r="DN110" s="866"/>
      <c r="DO110" s="866"/>
      <c r="DP110" s="866"/>
      <c r="DQ110" s="866"/>
      <c r="DR110" s="866"/>
      <c r="DS110" s="866"/>
      <c r="DT110" s="866"/>
      <c r="DU110" s="866"/>
      <c r="DV110" s="866"/>
      <c r="DW110" s="866"/>
      <c r="DX110" s="866"/>
      <c r="DY110" s="866"/>
      <c r="DZ110" s="866"/>
      <c r="EA110" s="866"/>
      <c r="EB110" s="866"/>
      <c r="EC110" s="866"/>
      <c r="ED110" s="974"/>
    </row>
    <row r="111">
      <c r="A111" s="1910" t="s">
        <v>73</v>
      </c>
      <c r="B111" s="229" t="s">
        <v>11143</v>
      </c>
      <c r="C111" s="230" t="s">
        <v>155</v>
      </c>
      <c r="D111" s="231" t="s">
        <v>155</v>
      </c>
      <c r="E111" s="232" t="s">
        <v>155</v>
      </c>
      <c r="F111" s="233" t="s">
        <v>1976</v>
      </c>
      <c r="G111" s="229" t="s">
        <v>11144</v>
      </c>
      <c r="H111" s="242" t="s">
        <v>11145</v>
      </c>
      <c r="I111" s="242" t="s">
        <v>5658</v>
      </c>
      <c r="J111" s="242" t="s">
        <v>10982</v>
      </c>
      <c r="K111" s="242" t="s">
        <v>736</v>
      </c>
      <c r="L111" s="242" t="s">
        <v>10393</v>
      </c>
      <c r="M111" s="273" t="s">
        <v>3726</v>
      </c>
      <c r="N111" s="273" t="s">
        <v>8704</v>
      </c>
      <c r="O111" s="908" t="s">
        <v>444</v>
      </c>
      <c r="P111" s="242" t="s">
        <v>1663</v>
      </c>
      <c r="Q111" s="304"/>
      <c r="R111" s="304"/>
      <c r="S111" s="273" t="s">
        <v>9910</v>
      </c>
      <c r="T111" s="304"/>
      <c r="U111" s="242" t="s">
        <v>11146</v>
      </c>
      <c r="V111" s="304"/>
      <c r="W111" s="62"/>
      <c r="X111" s="908" t="s">
        <v>10849</v>
      </c>
      <c r="Y111" s="908"/>
      <c r="Z111" s="908" t="s">
        <v>10250</v>
      </c>
      <c r="AA111" s="242" t="s">
        <v>1628</v>
      </c>
      <c r="AB111" s="273" t="s">
        <v>4637</v>
      </c>
      <c r="AC111" s="242" t="s">
        <v>593</v>
      </c>
      <c r="AD111" s="908" t="s">
        <v>7931</v>
      </c>
      <c r="AE111" s="304"/>
      <c r="AF111" s="273" t="s">
        <v>7204</v>
      </c>
      <c r="AG111" s="908" t="s">
        <v>3316</v>
      </c>
      <c r="AH111" s="273" t="s">
        <v>5219</v>
      </c>
      <c r="AI111" s="304"/>
      <c r="AJ111" s="242" t="s">
        <v>3783</v>
      </c>
      <c r="AK111" s="304"/>
      <c r="AL111" s="61"/>
      <c r="AM111" s="273" t="s">
        <v>10602</v>
      </c>
      <c r="AN111" s="273" t="s">
        <v>4389</v>
      </c>
      <c r="AO111" s="304"/>
      <c r="AP111" s="273" t="s">
        <v>6842</v>
      </c>
      <c r="AQ111" s="273" t="s">
        <v>11147</v>
      </c>
      <c r="AR111" s="273" t="s">
        <v>11148</v>
      </c>
      <c r="AS111" s="242" t="s">
        <v>5598</v>
      </c>
      <c r="AT111" s="304"/>
      <c r="AU111" s="885" t="s">
        <v>10141</v>
      </c>
      <c r="AV111" s="908" t="s">
        <v>10757</v>
      </c>
      <c r="AW111" s="242" t="s">
        <v>11149</v>
      </c>
      <c r="AX111" s="304"/>
      <c r="AY111" s="273" t="s">
        <v>11150</v>
      </c>
      <c r="AZ111" s="304"/>
      <c r="BA111" s="304"/>
      <c r="BB111" s="273" t="s">
        <v>3270</v>
      </c>
      <c r="BC111" s="273" t="s">
        <v>502</v>
      </c>
      <c r="BD111" s="242" t="s">
        <v>10733</v>
      </c>
      <c r="BE111" s="273" t="s">
        <v>7040</v>
      </c>
      <c r="BF111" s="273" t="s">
        <v>6937</v>
      </c>
      <c r="BG111" s="273" t="s">
        <v>9436</v>
      </c>
      <c r="BH111" s="273" t="s">
        <v>8874</v>
      </c>
      <c r="BI111" s="273" t="s">
        <v>10055</v>
      </c>
      <c r="BJ111" s="273" t="s">
        <v>11151</v>
      </c>
      <c r="BK111" s="273"/>
      <c r="BL111" s="273" t="s">
        <v>9918</v>
      </c>
      <c r="BM111" s="304"/>
      <c r="BN111" s="242" t="s">
        <v>2618</v>
      </c>
      <c r="BO111" s="242" t="s">
        <v>6455</v>
      </c>
      <c r="BP111" s="273" t="s">
        <v>11152</v>
      </c>
      <c r="BQ111" s="841"/>
      <c r="BR111" s="304"/>
      <c r="BS111" s="304"/>
      <c r="BT111" s="273" t="s">
        <v>11153</v>
      </c>
      <c r="BU111" s="273" t="s">
        <v>11154</v>
      </c>
      <c r="BV111" s="273" t="s">
        <v>11155</v>
      </c>
      <c r="BW111" s="273" t="s">
        <v>11156</v>
      </c>
      <c r="BX111" s="304"/>
      <c r="BY111" s="273" t="s">
        <v>11023</v>
      </c>
      <c r="BZ111" s="304"/>
      <c r="CA111" s="273" t="s">
        <v>11157</v>
      </c>
      <c r="CB111" s="273" t="s">
        <v>11158</v>
      </c>
      <c r="CC111" s="242" t="s">
        <v>11159</v>
      </c>
      <c r="CD111" s="242" t="s">
        <v>11160</v>
      </c>
      <c r="CE111" s="304"/>
      <c r="CF111" s="841"/>
      <c r="CG111" s="273" t="s">
        <v>11161</v>
      </c>
      <c r="CH111" s="273" t="s">
        <v>2948</v>
      </c>
      <c r="CI111" s="273" t="s">
        <v>11162</v>
      </c>
      <c r="CJ111" s="273" t="s">
        <v>11163</v>
      </c>
      <c r="CK111" s="273"/>
      <c r="CL111" s="273"/>
      <c r="CM111" s="304"/>
      <c r="CN111" s="273" t="s">
        <v>4927</v>
      </c>
      <c r="CO111" s="273" t="s">
        <v>10002</v>
      </c>
      <c r="CP111" s="304"/>
      <c r="CQ111" s="304"/>
      <c r="CR111" s="304"/>
      <c r="CS111" s="242" t="s">
        <v>2710</v>
      </c>
      <c r="CT111" s="304"/>
      <c r="CU111" s="62"/>
      <c r="CV111" s="908" t="s">
        <v>4858</v>
      </c>
      <c r="CW111" s="242" t="s">
        <v>11164</v>
      </c>
      <c r="CX111" s="273" t="s">
        <v>11165</v>
      </c>
      <c r="CY111" s="273" t="s">
        <v>11166</v>
      </c>
      <c r="CZ111" s="304"/>
      <c r="DA111" s="304"/>
      <c r="DB111" s="908" t="s">
        <v>11167</v>
      </c>
      <c r="DC111" s="273" t="s">
        <v>2810</v>
      </c>
      <c r="DD111" s="304"/>
      <c r="DE111" s="242" t="s">
        <v>723</v>
      </c>
      <c r="DF111" s="304"/>
      <c r="DG111" s="304"/>
      <c r="DH111" s="304"/>
      <c r="DI111" s="273" t="s">
        <v>11168</v>
      </c>
      <c r="DJ111" s="304"/>
      <c r="DK111" s="304"/>
      <c r="DL111" s="304"/>
      <c r="DM111" s="273" t="s">
        <v>2378</v>
      </c>
      <c r="DN111" s="304"/>
      <c r="DO111" s="304"/>
      <c r="DP111" s="242" t="s">
        <v>11169</v>
      </c>
      <c r="DQ111" s="304"/>
      <c r="DR111" s="273" t="s">
        <v>1359</v>
      </c>
      <c r="DS111" s="273" t="s">
        <v>2948</v>
      </c>
      <c r="DT111" s="273" t="s">
        <v>11170</v>
      </c>
      <c r="DU111" s="304"/>
      <c r="DV111" s="273" t="s">
        <v>6415</v>
      </c>
      <c r="DW111" s="242" t="s">
        <v>9934</v>
      </c>
      <c r="DX111" s="304"/>
      <c r="DY111" s="304"/>
      <c r="DZ111" s="304"/>
      <c r="EA111" s="304"/>
      <c r="EB111" s="304"/>
      <c r="EC111" s="304"/>
      <c r="ED111" s="885"/>
    </row>
    <row r="112">
      <c r="A112" s="545" t="s">
        <v>11171</v>
      </c>
      <c r="B112" s="381" t="s">
        <v>11172</v>
      </c>
      <c r="C112" s="384" t="s">
        <v>155</v>
      </c>
      <c r="D112" s="386" t="s">
        <v>155</v>
      </c>
      <c r="E112" s="389" t="s">
        <v>155</v>
      </c>
      <c r="F112" s="390" t="s">
        <v>2507</v>
      </c>
      <c r="G112" s="381" t="s">
        <v>1601</v>
      </c>
      <c r="H112" s="849"/>
      <c r="I112" s="673" t="s">
        <v>9961</v>
      </c>
      <c r="J112" s="673" t="s">
        <v>11008</v>
      </c>
      <c r="K112" s="673" t="s">
        <v>753</v>
      </c>
      <c r="L112" s="673" t="s">
        <v>11095</v>
      </c>
      <c r="M112" s="849"/>
      <c r="N112" s="402" t="str">
        <f>HYPERLINK("https://youtu.be/d2hHmu07X1I","1:16.18")</f>
        <v>1:16.18</v>
      </c>
      <c r="O112" s="402" t="str">
        <f>HYPERLINK("https://youtu.be/bOfs2E8VD7U","41.72")</f>
        <v>41.72</v>
      </c>
      <c r="P112" s="402" t="str">
        <f>HYPERLINK("https://youtu.be/ttNW88fKd-Q","16.17")</f>
        <v>16.17</v>
      </c>
      <c r="Q112" s="849"/>
      <c r="R112" s="849"/>
      <c r="S112" s="849"/>
      <c r="T112" s="849"/>
      <c r="U112" s="849"/>
      <c r="V112" s="849"/>
      <c r="W112" s="62"/>
      <c r="X112" s="412" t="str">
        <f>HYPERLINK("https://youtu.be/Mzuts7ESj1E","55.33")</f>
        <v>55.33</v>
      </c>
      <c r="Y112" s="413"/>
      <c r="Z112" s="412" t="str">
        <f>HYPERLINK("https://youtu.be/L7K3YzloRgk","18.81")</f>
        <v>18.81</v>
      </c>
      <c r="AA112" s="412" t="str">
        <f>HYPERLINK("https://youtu.be/rAxoTDa4EfI","16.08")</f>
        <v>16.08</v>
      </c>
      <c r="AB112" s="412" t="str">
        <f>HYPERLINK("https://youtu.be/ZrjpL0iD02w","50.39")</f>
        <v>50.39</v>
      </c>
      <c r="AC112" s="412" t="str">
        <f>HYPERLINK("https://youtu.be/sa6u4O9MT1M","32.66")</f>
        <v>32.66</v>
      </c>
      <c r="AD112" s="412" t="str">
        <f>HYPERLINK("https://youtu.be/GozrT86fqbM","58.70")</f>
        <v>58.70</v>
      </c>
      <c r="AE112" s="852"/>
      <c r="AF112" s="412" t="str">
        <f>HYPERLINK("https://youtu.be/PVFUWugsyg8","1:33.34")</f>
        <v>1:33.34</v>
      </c>
      <c r="AG112" s="412" t="str">
        <f>HYPERLINK("https://youtu.be/NldxLPYEXu8","16.20")</f>
        <v>16.20</v>
      </c>
      <c r="AH112" s="852"/>
      <c r="AI112" s="852"/>
      <c r="AJ112" s="852"/>
      <c r="AK112" s="852"/>
      <c r="AL112" s="61"/>
      <c r="AM112" s="855"/>
      <c r="AN112" s="855"/>
      <c r="AO112" s="855"/>
      <c r="AP112" s="855"/>
      <c r="AQ112" s="855"/>
      <c r="AR112" s="855"/>
      <c r="AS112" s="855"/>
      <c r="AT112" s="855"/>
      <c r="AU112" s="855" t="s">
        <v>159</v>
      </c>
      <c r="AV112" s="574" t="s">
        <v>10443</v>
      </c>
      <c r="AW112" s="855"/>
      <c r="AX112" s="855"/>
      <c r="AY112" s="855"/>
      <c r="AZ112" s="855"/>
      <c r="BA112" s="855"/>
      <c r="BB112" s="436" t="str">
        <f>HYPERLINK("https://youtu.be/FVUrPTSxMUI","58.48")</f>
        <v>58.48</v>
      </c>
      <c r="BC112" s="436" t="str">
        <f>HYPERLINK("https://youtu.be/udpjU0UJxjs","44.66")</f>
        <v>44.66</v>
      </c>
      <c r="BD112" s="587"/>
      <c r="BE112" s="436" t="str">
        <f>HYPERLINK("https://youtu.be/Tcy-nguijJ0","42.63")</f>
        <v>42.63</v>
      </c>
      <c r="BF112" s="436" t="str">
        <f>HYPERLINK("https://youtu.be/G5KP-Cm26MY","57.13")</f>
        <v>57.13</v>
      </c>
      <c r="BG112" s="587"/>
      <c r="BH112" s="587"/>
      <c r="BI112" s="436" t="str">
        <f>HYPERLINK("https://youtu.be/IM1EGP9Yw_I","30.52")</f>
        <v>30.52</v>
      </c>
      <c r="BJ112" s="436" t="str">
        <f>HYPERLINK("https://youtu.be/LziEUjbbRpI","1:38.20")</f>
        <v>1:38.20</v>
      </c>
      <c r="BK112" s="1911"/>
      <c r="BL112" s="436" t="str">
        <f>HYPERLINK("https://youtu.be/s2PuD6GykFw","13.17")</f>
        <v>13.17</v>
      </c>
      <c r="BM112" s="587"/>
      <c r="BN112" s="587"/>
      <c r="BO112" s="587"/>
      <c r="BP112" s="587"/>
      <c r="BQ112" s="857"/>
      <c r="BR112" s="807"/>
      <c r="BS112" s="447" t="str">
        <f>HYPERLINK("https://youtu.be/6w-myNoajJg","58.38")</f>
        <v>58.38</v>
      </c>
      <c r="BT112" s="447" t="str">
        <f>HYPERLINK("https://youtu.be/gKxrYjtW2uU","37.09")</f>
        <v>37.09</v>
      </c>
      <c r="BU112" s="447" t="str">
        <f>HYPERLINK("https://youtu.be/ZaAyA8XkdIg","27.59")</f>
        <v>27.59</v>
      </c>
      <c r="BV112" s="447" t="str">
        <f>HYPERLINK("https://youtu.be/A-AjGNT9Akw","1:01.41")</f>
        <v>1:01.41</v>
      </c>
      <c r="BW112" s="447" t="str">
        <f>HYPERLINK("https://youtu.be/OZdwQtQ-2Ik","24.84")</f>
        <v>24.84</v>
      </c>
      <c r="BX112" s="859"/>
      <c r="BY112" s="447" t="str">
        <f>HYPERLINK("https://youtu.be/NPeVhJzT7Z8","2:25.25")</f>
        <v>2:25.25</v>
      </c>
      <c r="BZ112" s="859"/>
      <c r="CA112" s="447" t="str">
        <f>HYPERLINK("https://youtu.be/BawHjdQYAtM","26.95")</f>
        <v>26.95</v>
      </c>
      <c r="CB112" s="859"/>
      <c r="CC112" s="859"/>
      <c r="CD112" s="859"/>
      <c r="CE112" s="859"/>
      <c r="CF112" s="861"/>
      <c r="CG112" s="452" t="str">
        <f>HYPERLINK("https://youtu.be/62NhTLPVKjw","1:00.91")</f>
        <v>1:00.91</v>
      </c>
      <c r="CH112" s="452" t="str">
        <f>HYPERLINK("https://youtu.be/EBdeVZy-Uj8","31.85")</f>
        <v>31.85</v>
      </c>
      <c r="CI112" s="452" t="str">
        <f>HYPERLINK("https://youtu.be/F7o8tiqYcoQ","36.53")</f>
        <v>36.53</v>
      </c>
      <c r="CJ112" s="452" t="str">
        <f>HYPERLINK("https://youtu.be/F-20O1FDNbI","1:45.11")</f>
        <v>1:45.11</v>
      </c>
      <c r="CK112" s="457"/>
      <c r="CL112" s="457"/>
      <c r="CM112" s="452" t="str">
        <f>HYPERLINK("https://youtu.be/laXVd0bt5ls","59.39")</f>
        <v>59.39</v>
      </c>
      <c r="CN112" s="452" t="str">
        <f>HYPERLINK("https://youtu.be/bbQZUGvQ660","33.64")</f>
        <v>33.64</v>
      </c>
      <c r="CO112" s="452" t="str">
        <f>HYPERLINK("https://youtu.be/qmCJrcHmGv0","18.97")</f>
        <v>18.97</v>
      </c>
      <c r="CP112" s="863"/>
      <c r="CQ112" s="863"/>
      <c r="CR112" s="863"/>
      <c r="CS112" s="863"/>
      <c r="CT112" s="863"/>
      <c r="CU112" s="62"/>
      <c r="CV112" s="972" t="s">
        <v>11173</v>
      </c>
      <c r="CW112" s="864"/>
      <c r="CX112" s="461" t="str">
        <f>HYPERLINK("https://youtu.be/2KJZjpdxuJ4","34.36")</f>
        <v>34.36</v>
      </c>
      <c r="CY112" s="461" t="str">
        <f>HYPERLINK("https://youtu.be/cSzurkVRqKk","47.30")</f>
        <v>47.30</v>
      </c>
      <c r="CZ112" s="828"/>
      <c r="DA112" s="864"/>
      <c r="DB112" s="461" t="str">
        <f>HYPERLINK("https://youtu.be/pJSyxtrpIkc","2:09.20")</f>
        <v>2:09.20</v>
      </c>
      <c r="DC112" s="461" t="str">
        <f>HYPERLINK("https://youtu.be/UyQIhy-_kf8","19.15")</f>
        <v>19.15</v>
      </c>
      <c r="DD112" s="864"/>
      <c r="DE112" s="864"/>
      <c r="DF112" s="864"/>
      <c r="DG112" s="864"/>
      <c r="DH112" s="864"/>
      <c r="DI112" s="866"/>
      <c r="DJ112" s="866"/>
      <c r="DK112" s="866"/>
      <c r="DL112" s="866"/>
      <c r="DM112" s="866"/>
      <c r="DN112" s="866"/>
      <c r="DO112" s="866"/>
      <c r="DP112" s="866"/>
      <c r="DQ112" s="866"/>
      <c r="DR112" s="475" t="str">
        <f>HYPERLINK("https://youtu.be/e2gZuoa_caE","1:35.31")</f>
        <v>1:35.31</v>
      </c>
      <c r="DS112" s="479"/>
      <c r="DT112" s="866"/>
      <c r="DU112" s="866"/>
      <c r="DV112" s="866"/>
      <c r="DW112" s="866"/>
      <c r="DX112" s="866"/>
      <c r="DY112" s="866"/>
      <c r="DZ112" s="866"/>
      <c r="EA112" s="866"/>
      <c r="EB112" s="866"/>
      <c r="EC112" s="866"/>
      <c r="ED112" s="974"/>
    </row>
    <row r="113">
      <c r="A113" s="228" t="s">
        <v>8694</v>
      </c>
      <c r="B113" s="229" t="s">
        <v>11174</v>
      </c>
      <c r="C113" s="230" t="s">
        <v>155</v>
      </c>
      <c r="D113" s="231" t="s">
        <v>155</v>
      </c>
      <c r="E113" s="232" t="s">
        <v>155</v>
      </c>
      <c r="F113" s="233" t="s">
        <v>76</v>
      </c>
      <c r="G113" s="229" t="s">
        <v>2467</v>
      </c>
      <c r="H113" s="304"/>
      <c r="I113" s="273" t="s">
        <v>6330</v>
      </c>
      <c r="J113" s="242" t="s">
        <v>11175</v>
      </c>
      <c r="K113" s="273" t="s">
        <v>10646</v>
      </c>
      <c r="L113" s="908" t="s">
        <v>1997</v>
      </c>
      <c r="M113" s="304"/>
      <c r="N113" s="273" t="s">
        <v>5404</v>
      </c>
      <c r="O113" s="273" t="s">
        <v>4335</v>
      </c>
      <c r="P113" s="273" t="s">
        <v>10103</v>
      </c>
      <c r="Q113" s="304"/>
      <c r="R113" s="304"/>
      <c r="S113" s="304"/>
      <c r="T113" s="304"/>
      <c r="U113" s="304"/>
      <c r="V113" s="304"/>
      <c r="W113" s="62"/>
      <c r="X113" s="273" t="s">
        <v>6532</v>
      </c>
      <c r="Y113" s="273"/>
      <c r="Z113" s="273" t="s">
        <v>2079</v>
      </c>
      <c r="AA113" s="273" t="s">
        <v>9897</v>
      </c>
      <c r="AB113" s="273" t="s">
        <v>11176</v>
      </c>
      <c r="AC113" s="273" t="s">
        <v>1503</v>
      </c>
      <c r="AD113" s="273" t="s">
        <v>7949</v>
      </c>
      <c r="AE113" s="304"/>
      <c r="AF113" s="304"/>
      <c r="AG113" s="273" t="s">
        <v>1618</v>
      </c>
      <c r="AH113" s="304"/>
      <c r="AI113" s="304"/>
      <c r="AJ113" s="304"/>
      <c r="AK113" s="304"/>
      <c r="AL113" s="61"/>
      <c r="AM113" s="304"/>
      <c r="AN113" s="304"/>
      <c r="AO113" s="304"/>
      <c r="AP113" s="304"/>
      <c r="AQ113" s="304"/>
      <c r="AR113" s="304"/>
      <c r="AS113" s="304"/>
      <c r="AT113" s="304"/>
      <c r="AU113" s="273" t="s">
        <v>10002</v>
      </c>
      <c r="AV113" s="273" t="s">
        <v>11177</v>
      </c>
      <c r="AW113" s="304"/>
      <c r="AX113" s="304"/>
      <c r="AY113" s="304"/>
      <c r="AZ113" s="304"/>
      <c r="BA113" s="304"/>
      <c r="BB113" s="273" t="s">
        <v>4517</v>
      </c>
      <c r="BC113" s="273" t="s">
        <v>1252</v>
      </c>
      <c r="BD113" s="273" t="s">
        <v>10733</v>
      </c>
      <c r="BE113" s="273" t="s">
        <v>9382</v>
      </c>
      <c r="BF113" s="273" t="s">
        <v>4181</v>
      </c>
      <c r="BG113" s="304"/>
      <c r="BH113" s="304"/>
      <c r="BI113" s="273" t="s">
        <v>6489</v>
      </c>
      <c r="BJ113" s="273" t="s">
        <v>11178</v>
      </c>
      <c r="BK113" s="273" t="s">
        <v>2833</v>
      </c>
      <c r="BL113" s="273" t="s">
        <v>10669</v>
      </c>
      <c r="BM113" s="304"/>
      <c r="BN113" s="304"/>
      <c r="BO113" s="304"/>
      <c r="BP113" s="304"/>
      <c r="BQ113" s="841"/>
      <c r="BR113" s="304"/>
      <c r="BS113" s="304"/>
      <c r="BT113" s="273" t="s">
        <v>11179</v>
      </c>
      <c r="BU113" s="273" t="s">
        <v>11180</v>
      </c>
      <c r="BV113" s="304"/>
      <c r="BW113" s="273" t="s">
        <v>11181</v>
      </c>
      <c r="BX113" s="304"/>
      <c r="BY113" s="304"/>
      <c r="BZ113" s="304"/>
      <c r="CA113" s="304"/>
      <c r="CB113" s="304"/>
      <c r="CC113" s="304"/>
      <c r="CD113" s="304"/>
      <c r="CE113" s="304"/>
      <c r="CF113" s="841"/>
      <c r="CG113" s="273" t="s">
        <v>5704</v>
      </c>
      <c r="CH113" s="273" t="s">
        <v>9613</v>
      </c>
      <c r="CI113" s="304"/>
      <c r="CJ113" s="304"/>
      <c r="CK113" s="304"/>
      <c r="CL113" s="304"/>
      <c r="CM113" s="273" t="s">
        <v>7757</v>
      </c>
      <c r="CN113" s="273" t="s">
        <v>4997</v>
      </c>
      <c r="CO113" s="304"/>
      <c r="CP113" s="304"/>
      <c r="CQ113" s="304"/>
      <c r="CR113" s="304"/>
      <c r="CS113" s="304"/>
      <c r="CT113" s="304"/>
      <c r="CU113" s="62"/>
      <c r="CV113" s="304"/>
      <c r="CW113" s="304"/>
      <c r="CX113" s="273" t="s">
        <v>4996</v>
      </c>
      <c r="CY113" s="304"/>
      <c r="CZ113" s="304"/>
      <c r="DA113" s="304"/>
      <c r="DB113" s="304"/>
      <c r="DC113" s="304"/>
      <c r="DD113" s="304"/>
      <c r="DE113" s="304"/>
      <c r="DF113" s="304"/>
      <c r="DG113" s="304"/>
      <c r="DH113" s="304"/>
      <c r="DI113" s="304"/>
      <c r="DJ113" s="304"/>
      <c r="DK113" s="304"/>
      <c r="DL113" s="304"/>
      <c r="DM113" s="304"/>
      <c r="DN113" s="304"/>
      <c r="DO113" s="304"/>
      <c r="DP113" s="304"/>
      <c r="DQ113" s="304"/>
      <c r="DR113" s="304"/>
      <c r="DS113" s="304"/>
      <c r="DT113" s="304"/>
      <c r="DU113" s="304"/>
      <c r="DV113" s="304"/>
      <c r="DW113" s="304"/>
      <c r="DX113" s="304"/>
      <c r="DY113" s="304"/>
      <c r="DZ113" s="304"/>
      <c r="EA113" s="304"/>
      <c r="EB113" s="304"/>
      <c r="EC113" s="304"/>
      <c r="ED113" s="885"/>
    </row>
    <row r="114">
      <c r="A114" s="545" t="s">
        <v>11182</v>
      </c>
      <c r="B114" s="381" t="s">
        <v>11183</v>
      </c>
      <c r="C114" s="384" t="s">
        <v>155</v>
      </c>
      <c r="D114" s="386" t="s">
        <v>155</v>
      </c>
      <c r="E114" s="389" t="s">
        <v>155</v>
      </c>
      <c r="F114" s="390" t="s">
        <v>76</v>
      </c>
      <c r="G114" s="381" t="s">
        <v>1508</v>
      </c>
      <c r="H114" s="547"/>
      <c r="I114" s="547" t="s">
        <v>11184</v>
      </c>
      <c r="J114" s="547" t="s">
        <v>11185</v>
      </c>
      <c r="K114" s="547" t="s">
        <v>10027</v>
      </c>
      <c r="L114" s="547" t="s">
        <v>6606</v>
      </c>
      <c r="M114" s="402" t="str">
        <f>HYPERLINK("https://www.twitch.tv/videos/204820156","2:20.22")</f>
        <v>2:20.22</v>
      </c>
      <c r="N114" s="547" t="s">
        <v>4263</v>
      </c>
      <c r="O114" s="547" t="s">
        <v>4445</v>
      </c>
      <c r="P114" s="1807" t="s">
        <v>1609</v>
      </c>
      <c r="Q114" s="547"/>
      <c r="R114" s="547"/>
      <c r="S114" s="547"/>
      <c r="T114" s="547"/>
      <c r="U114" s="547"/>
      <c r="V114" s="849"/>
      <c r="W114" s="62"/>
      <c r="X114" s="683" t="s">
        <v>3224</v>
      </c>
      <c r="Y114" s="1218"/>
      <c r="Z114" s="1218" t="s">
        <v>1815</v>
      </c>
      <c r="AA114" s="683" t="s">
        <v>1824</v>
      </c>
      <c r="AB114" s="683" t="s">
        <v>11004</v>
      </c>
      <c r="AC114" s="683" t="s">
        <v>10519</v>
      </c>
      <c r="AD114" s="683" t="s">
        <v>6346</v>
      </c>
      <c r="AE114" s="683"/>
      <c r="AF114" s="683" t="s">
        <v>3108</v>
      </c>
      <c r="AG114" s="683" t="s">
        <v>10892</v>
      </c>
      <c r="AH114" s="683"/>
      <c r="AI114" s="683"/>
      <c r="AJ114" s="683"/>
      <c r="AK114" s="852"/>
      <c r="AL114" s="61"/>
      <c r="AM114" s="855"/>
      <c r="AN114" s="571"/>
      <c r="AO114" s="855"/>
      <c r="AP114" s="571"/>
      <c r="AQ114" s="855"/>
      <c r="AR114" s="855"/>
      <c r="AS114" s="855"/>
      <c r="AT114" s="571"/>
      <c r="AU114" s="571" t="s">
        <v>3874</v>
      </c>
      <c r="AV114" s="571" t="s">
        <v>10019</v>
      </c>
      <c r="AW114" s="855"/>
      <c r="AX114" s="571"/>
      <c r="AY114" s="571"/>
      <c r="AZ114" s="571"/>
      <c r="BA114" s="571"/>
      <c r="BB114" s="589" t="s">
        <v>7686</v>
      </c>
      <c r="BC114" s="589" t="s">
        <v>9881</v>
      </c>
      <c r="BD114" s="589" t="s">
        <v>8312</v>
      </c>
      <c r="BE114" s="589" t="s">
        <v>10647</v>
      </c>
      <c r="BF114" s="589" t="s">
        <v>6442</v>
      </c>
      <c r="BG114" s="589"/>
      <c r="BH114" s="589"/>
      <c r="BI114" s="589" t="s">
        <v>2144</v>
      </c>
      <c r="BJ114" s="587"/>
      <c r="BK114" s="589" t="s">
        <v>11186</v>
      </c>
      <c r="BL114" s="589"/>
      <c r="BM114" s="589"/>
      <c r="BN114" s="589"/>
      <c r="BO114" s="589"/>
      <c r="BP114" s="589"/>
      <c r="BQ114" s="1009"/>
      <c r="BR114" s="594"/>
      <c r="BS114" s="594"/>
      <c r="BT114" s="594" t="s">
        <v>11187</v>
      </c>
      <c r="BU114" s="594"/>
      <c r="BV114" s="594" t="s">
        <v>4031</v>
      </c>
      <c r="BW114" s="594" t="s">
        <v>11188</v>
      </c>
      <c r="BX114" s="594"/>
      <c r="BY114" s="594"/>
      <c r="BZ114" s="594" t="s">
        <v>4418</v>
      </c>
      <c r="CA114" s="594" t="s">
        <v>4121</v>
      </c>
      <c r="CB114" s="594"/>
      <c r="CC114" s="594"/>
      <c r="CD114" s="594"/>
      <c r="CE114" s="594"/>
      <c r="CF114" s="1011"/>
      <c r="CG114" s="606" t="s">
        <v>6203</v>
      </c>
      <c r="CH114" s="606" t="s">
        <v>5236</v>
      </c>
      <c r="CI114" s="606"/>
      <c r="CJ114" s="606"/>
      <c r="CK114" s="606"/>
      <c r="CL114" s="606"/>
      <c r="CM114" s="606" t="s">
        <v>3570</v>
      </c>
      <c r="CN114" s="606" t="s">
        <v>522</v>
      </c>
      <c r="CO114" s="606" t="s">
        <v>10141</v>
      </c>
      <c r="CP114" s="606"/>
      <c r="CQ114" s="606"/>
      <c r="CR114" s="606"/>
      <c r="CS114" s="606"/>
      <c r="CT114" s="606"/>
      <c r="CU114" s="62"/>
      <c r="CV114" s="703" t="s">
        <v>7201</v>
      </c>
      <c r="CW114" s="703" t="s">
        <v>4482</v>
      </c>
      <c r="CX114" s="703" t="s">
        <v>11029</v>
      </c>
      <c r="CY114" s="703" t="s">
        <v>4425</v>
      </c>
      <c r="CZ114" s="703" t="s">
        <v>11189</v>
      </c>
      <c r="DA114" s="703"/>
      <c r="DB114" s="703" t="s">
        <v>11190</v>
      </c>
      <c r="DC114" s="703" t="s">
        <v>5064</v>
      </c>
      <c r="DD114" s="703"/>
      <c r="DE114" s="703"/>
      <c r="DF114" s="703"/>
      <c r="DG114" s="703"/>
      <c r="DH114" s="703"/>
      <c r="DI114" s="707"/>
      <c r="DJ114" s="707"/>
      <c r="DK114" s="707"/>
      <c r="DL114" s="707"/>
      <c r="DM114" s="707"/>
      <c r="DN114" s="707"/>
      <c r="DO114" s="707"/>
      <c r="DP114" s="707"/>
      <c r="DQ114" s="707"/>
      <c r="DR114" s="707"/>
      <c r="DS114" s="707"/>
      <c r="DT114" s="707"/>
      <c r="DU114" s="707"/>
      <c r="DV114" s="707"/>
      <c r="DW114" s="707"/>
      <c r="DX114" s="707"/>
      <c r="DY114" s="707"/>
      <c r="DZ114" s="707"/>
      <c r="EA114" s="707"/>
      <c r="EB114" s="707"/>
      <c r="EC114" s="707"/>
      <c r="ED114" s="974"/>
    </row>
    <row r="115">
      <c r="A115" s="492" t="s">
        <v>11191</v>
      </c>
      <c r="B115" s="229" t="s">
        <v>11192</v>
      </c>
      <c r="C115" s="230" t="s">
        <v>155</v>
      </c>
      <c r="D115" s="231" t="s">
        <v>155</v>
      </c>
      <c r="E115" s="232" t="s">
        <v>155</v>
      </c>
      <c r="F115" s="233" t="s">
        <v>79</v>
      </c>
      <c r="G115" s="229" t="s">
        <v>1340</v>
      </c>
      <c r="H115" s="273" t="s">
        <v>3224</v>
      </c>
      <c r="I115" s="1912" t="s">
        <v>6939</v>
      </c>
      <c r="J115" s="273" t="s">
        <v>11193</v>
      </c>
      <c r="K115" s="242" t="s">
        <v>9588</v>
      </c>
      <c r="L115" s="273" t="s">
        <v>5476</v>
      </c>
      <c r="M115" s="304"/>
      <c r="N115" s="304"/>
      <c r="O115" s="273" t="s">
        <v>678</v>
      </c>
      <c r="P115" s="273" t="s">
        <v>379</v>
      </c>
      <c r="Q115" s="304"/>
      <c r="R115" s="304"/>
      <c r="S115" s="273" t="s">
        <v>9470</v>
      </c>
      <c r="T115" s="304"/>
      <c r="U115" s="304"/>
      <c r="V115" s="304"/>
      <c r="W115" s="62"/>
      <c r="X115" s="242" t="s">
        <v>9750</v>
      </c>
      <c r="Y115" s="263"/>
      <c r="Z115" s="263" t="s">
        <v>3822</v>
      </c>
      <c r="AA115" s="263" t="s">
        <v>10373</v>
      </c>
      <c r="AB115" s="263" t="s">
        <v>6492</v>
      </c>
      <c r="AC115" s="273" t="s">
        <v>11194</v>
      </c>
      <c r="AD115" s="273" t="s">
        <v>5510</v>
      </c>
      <c r="AE115" s="304"/>
      <c r="AF115" s="273" t="s">
        <v>8018</v>
      </c>
      <c r="AG115" s="273" t="s">
        <v>1605</v>
      </c>
      <c r="AH115" s="304"/>
      <c r="AI115" s="304"/>
      <c r="AJ115" s="304"/>
      <c r="AK115" s="304"/>
      <c r="AL115" s="61"/>
      <c r="AM115" s="304"/>
      <c r="AN115" s="304"/>
      <c r="AO115" s="304"/>
      <c r="AP115" s="304"/>
      <c r="AQ115" s="304"/>
      <c r="AR115" s="304"/>
      <c r="AS115" s="304"/>
      <c r="AT115" s="304"/>
      <c r="AU115" s="273" t="s">
        <v>5061</v>
      </c>
      <c r="AV115" s="301" t="str">
        <f>HYPERLINK("https://clips.twitch.tv/RepleteObedientChickenPicoMause","29.05")</f>
        <v>29.05</v>
      </c>
      <c r="AW115" s="304"/>
      <c r="AX115" s="304"/>
      <c r="AY115" s="304"/>
      <c r="AZ115" s="304"/>
      <c r="BA115" s="304"/>
      <c r="BB115" s="304"/>
      <c r="BC115" s="304"/>
      <c r="BD115" s="273" t="s">
        <v>625</v>
      </c>
      <c r="BE115" s="273" t="s">
        <v>3154</v>
      </c>
      <c r="BF115" s="273" t="s">
        <v>7757</v>
      </c>
      <c r="BG115" s="304"/>
      <c r="BH115" s="304"/>
      <c r="BI115" s="1789" t="s">
        <v>3950</v>
      </c>
      <c r="BJ115" s="304"/>
      <c r="BK115" s="304"/>
      <c r="BL115" s="304"/>
      <c r="BM115" s="304"/>
      <c r="BN115" s="304"/>
      <c r="BO115" s="304"/>
      <c r="BP115" s="304"/>
      <c r="BQ115" s="841"/>
      <c r="BR115" s="273"/>
      <c r="BS115" s="304"/>
      <c r="BT115" s="273" t="s">
        <v>11111</v>
      </c>
      <c r="BU115" s="273" t="s">
        <v>265</v>
      </c>
      <c r="BV115" s="304"/>
      <c r="BW115" s="242" t="s">
        <v>4276</v>
      </c>
      <c r="BX115" s="304"/>
      <c r="BY115" s="304"/>
      <c r="BZ115" s="304"/>
      <c r="CA115" s="304"/>
      <c r="CB115" s="304"/>
      <c r="CC115" s="273" t="s">
        <v>11195</v>
      </c>
      <c r="CD115" s="273"/>
      <c r="CE115" s="304"/>
      <c r="CF115" s="841"/>
      <c r="CG115" s="273" t="s">
        <v>11196</v>
      </c>
      <c r="CH115" s="304"/>
      <c r="CI115" s="304"/>
      <c r="CJ115" s="304"/>
      <c r="CK115" s="304"/>
      <c r="CL115" s="304"/>
      <c r="CM115" s="304"/>
      <c r="CN115" s="522" t="s">
        <v>4187</v>
      </c>
      <c r="CO115" s="273"/>
      <c r="CP115" s="304"/>
      <c r="CQ115" s="304"/>
      <c r="CR115" s="304"/>
      <c r="CS115" s="304"/>
      <c r="CT115" s="304"/>
      <c r="CU115" s="62"/>
      <c r="CV115" s="273" t="s">
        <v>10234</v>
      </c>
      <c r="CW115" s="273" t="s">
        <v>10565</v>
      </c>
      <c r="CX115" s="263" t="s">
        <v>9992</v>
      </c>
      <c r="CY115" s="273" t="s">
        <v>4087</v>
      </c>
      <c r="CZ115" s="273" t="s">
        <v>7005</v>
      </c>
      <c r="DA115" s="304"/>
      <c r="DB115" s="273" t="s">
        <v>10269</v>
      </c>
      <c r="DC115" s="273" t="s">
        <v>5390</v>
      </c>
      <c r="DD115" s="304"/>
      <c r="DE115" s="304"/>
      <c r="DF115" s="304"/>
      <c r="DG115" s="304"/>
      <c r="DH115" s="304"/>
      <c r="DI115" s="273" t="s">
        <v>1286</v>
      </c>
      <c r="DJ115" s="304"/>
      <c r="DK115" s="304"/>
      <c r="DL115" s="304"/>
      <c r="DM115" s="304"/>
      <c r="DN115" s="304"/>
      <c r="DO115" s="304"/>
      <c r="DP115" s="304"/>
      <c r="DQ115" s="304"/>
      <c r="DR115" s="304"/>
      <c r="DS115" s="304"/>
      <c r="DT115" s="304"/>
      <c r="DU115" s="304"/>
      <c r="DV115" s="304"/>
      <c r="DW115" s="304"/>
      <c r="DX115" s="273"/>
      <c r="DY115" s="304"/>
      <c r="DZ115" s="304"/>
      <c r="EA115" s="304"/>
      <c r="EB115" s="304"/>
      <c r="EC115" s="304"/>
      <c r="ED115" s="885"/>
    </row>
    <row r="116">
      <c r="A116" s="545" t="s">
        <v>132</v>
      </c>
      <c r="B116" s="381" t="s">
        <v>11197</v>
      </c>
      <c r="C116" s="1913" t="s">
        <v>155</v>
      </c>
      <c r="D116" s="1914" t="s">
        <v>155</v>
      </c>
      <c r="E116" s="1915" t="s">
        <v>155</v>
      </c>
      <c r="F116" s="390" t="s">
        <v>211</v>
      </c>
      <c r="G116" s="1916" t="s">
        <v>1210</v>
      </c>
      <c r="H116" s="849"/>
      <c r="I116" s="1917" t="s">
        <v>5880</v>
      </c>
      <c r="J116" s="547" t="s">
        <v>11198</v>
      </c>
      <c r="K116" s="1918" t="s">
        <v>11199</v>
      </c>
      <c r="L116" s="1917" t="s">
        <v>6374</v>
      </c>
      <c r="M116" s="547" t="s">
        <v>5420</v>
      </c>
      <c r="N116" s="547" t="s">
        <v>10742</v>
      </c>
      <c r="O116" s="1919" t="s">
        <v>9768</v>
      </c>
      <c r="P116" s="1919" t="s">
        <v>10906</v>
      </c>
      <c r="Q116" s="849"/>
      <c r="R116" s="849"/>
      <c r="S116" s="1919" t="s">
        <v>10835</v>
      </c>
      <c r="T116" s="849"/>
      <c r="U116" s="849"/>
      <c r="V116" s="849"/>
      <c r="W116" s="62"/>
      <c r="X116" s="1920" t="s">
        <v>3588</v>
      </c>
      <c r="Y116" s="919"/>
      <c r="Z116" s="1921" t="s">
        <v>2276</v>
      </c>
      <c r="AA116" s="683" t="s">
        <v>1630</v>
      </c>
      <c r="AB116" s="1922" t="s">
        <v>5615</v>
      </c>
      <c r="AC116" s="1920" t="s">
        <v>5253</v>
      </c>
      <c r="AD116" s="683" t="s">
        <v>11200</v>
      </c>
      <c r="AE116" s="852"/>
      <c r="AF116" s="852"/>
      <c r="AG116" s="1922" t="s">
        <v>348</v>
      </c>
      <c r="AH116" s="852"/>
      <c r="AI116" s="852"/>
      <c r="AJ116" s="683" t="s">
        <v>4642</v>
      </c>
      <c r="AK116" s="1922" t="s">
        <v>11201</v>
      </c>
      <c r="AL116" s="61"/>
      <c r="AM116" s="855"/>
      <c r="AN116" s="1923" t="s">
        <v>1885</v>
      </c>
      <c r="AO116" s="1923" t="s">
        <v>11202</v>
      </c>
      <c r="AP116" s="855"/>
      <c r="AQ116" s="1923" t="s">
        <v>3562</v>
      </c>
      <c r="AR116" s="571"/>
      <c r="AS116" s="855"/>
      <c r="AT116" s="855"/>
      <c r="AU116" s="1923" t="s">
        <v>11138</v>
      </c>
      <c r="AV116" s="1923" t="s">
        <v>11203</v>
      </c>
      <c r="AW116" s="855"/>
      <c r="AX116" s="855"/>
      <c r="AY116" s="1923" t="s">
        <v>11204</v>
      </c>
      <c r="AZ116" s="855"/>
      <c r="BA116" s="855"/>
      <c r="BB116" s="1009" t="s">
        <v>11205</v>
      </c>
      <c r="BC116" s="1009" t="s">
        <v>3769</v>
      </c>
      <c r="BD116" s="1009" t="s">
        <v>10733</v>
      </c>
      <c r="BE116" s="1924" t="s">
        <v>2888</v>
      </c>
      <c r="BF116" s="589" t="s">
        <v>4178</v>
      </c>
      <c r="BG116" s="587"/>
      <c r="BH116" s="587"/>
      <c r="BI116" s="1009" t="s">
        <v>2801</v>
      </c>
      <c r="BJ116" s="1925"/>
      <c r="BK116" s="1009" t="s">
        <v>11206</v>
      </c>
      <c r="BL116" s="1009" t="s">
        <v>11207</v>
      </c>
      <c r="BM116" s="589"/>
      <c r="BN116" s="439" t="s">
        <v>2281</v>
      </c>
      <c r="BO116" s="587"/>
      <c r="BP116" s="587"/>
      <c r="BQ116" s="857"/>
      <c r="BR116" s="1011" t="s">
        <v>6383</v>
      </c>
      <c r="BS116" s="594" t="s">
        <v>11208</v>
      </c>
      <c r="BT116" s="1011" t="s">
        <v>4291</v>
      </c>
      <c r="BU116" s="859"/>
      <c r="BV116" s="594" t="s">
        <v>10666</v>
      </c>
      <c r="BW116" s="1926" t="s">
        <v>3710</v>
      </c>
      <c r="BX116" s="1011" t="s">
        <v>11209</v>
      </c>
      <c r="BY116" s="1927" t="s">
        <v>1588</v>
      </c>
      <c r="BZ116" s="1927" t="s">
        <v>11210</v>
      </c>
      <c r="CA116" s="448" t="s">
        <v>9934</v>
      </c>
      <c r="CB116" s="859"/>
      <c r="CC116" s="859"/>
      <c r="CD116" s="1011" t="s">
        <v>9536</v>
      </c>
      <c r="CE116" s="859"/>
      <c r="CF116" s="861"/>
      <c r="CG116" s="1928" t="s">
        <v>8452</v>
      </c>
      <c r="CH116" s="1928" t="s">
        <v>11211</v>
      </c>
      <c r="CI116" s="863"/>
      <c r="CJ116" s="863"/>
      <c r="CK116" s="863"/>
      <c r="CL116" s="863"/>
      <c r="CM116" s="863"/>
      <c r="CN116" s="1928" t="s">
        <v>1467</v>
      </c>
      <c r="CO116" s="1928" t="s">
        <v>10529</v>
      </c>
      <c r="CP116" s="863"/>
      <c r="CQ116" s="863"/>
      <c r="CR116" s="863"/>
      <c r="CS116" s="863"/>
      <c r="CT116" s="863"/>
      <c r="CU116" s="62"/>
      <c r="CV116" s="1929" t="s">
        <v>2440</v>
      </c>
      <c r="CW116" s="864"/>
      <c r="CX116" s="461" t="s">
        <v>5817</v>
      </c>
      <c r="CY116" s="703"/>
      <c r="CZ116" s="1930" t="s">
        <v>11212</v>
      </c>
      <c r="DA116" s="864"/>
      <c r="DB116" s="1931" t="s">
        <v>11213</v>
      </c>
      <c r="DC116" s="1930" t="s">
        <v>11214</v>
      </c>
      <c r="DD116" s="864"/>
      <c r="DE116" s="864"/>
      <c r="DF116" s="703"/>
      <c r="DG116" s="864"/>
      <c r="DH116" s="864"/>
      <c r="DI116" s="866"/>
      <c r="DJ116" s="866"/>
      <c r="DK116" s="866"/>
      <c r="DL116" s="707"/>
      <c r="DM116" s="483" t="s">
        <v>1883</v>
      </c>
      <c r="DN116" s="1932" t="s">
        <v>11215</v>
      </c>
      <c r="DO116" s="1932" t="s">
        <v>4503</v>
      </c>
      <c r="DP116" s="1932" t="s">
        <v>11216</v>
      </c>
      <c r="DQ116" s="866"/>
      <c r="DR116" s="866"/>
      <c r="DS116" s="866"/>
      <c r="DT116" s="866"/>
      <c r="DU116" s="866"/>
      <c r="DV116" s="866"/>
      <c r="DW116" s="866"/>
      <c r="DX116" s="866"/>
      <c r="DY116" s="866"/>
      <c r="DZ116" s="1933" t="s">
        <v>1126</v>
      </c>
      <c r="EA116" s="1932" t="s">
        <v>9769</v>
      </c>
      <c r="EB116" s="866"/>
      <c r="EC116" s="866"/>
      <c r="ED116" s="974"/>
    </row>
    <row r="117">
      <c r="A117" s="1723" t="s">
        <v>3491</v>
      </c>
      <c r="B117" s="229" t="s">
        <v>11217</v>
      </c>
      <c r="C117" s="230" t="s">
        <v>155</v>
      </c>
      <c r="D117" s="231" t="s">
        <v>155</v>
      </c>
      <c r="E117" s="232" t="s">
        <v>155</v>
      </c>
      <c r="F117" s="233" t="s">
        <v>537</v>
      </c>
      <c r="G117" s="229" t="s">
        <v>11055</v>
      </c>
      <c r="H117" s="273" t="s">
        <v>9926</v>
      </c>
      <c r="I117" s="273" t="s">
        <v>1964</v>
      </c>
      <c r="J117" s="273" t="s">
        <v>11218</v>
      </c>
      <c r="K117" s="273" t="s">
        <v>3114</v>
      </c>
      <c r="L117" s="273" t="s">
        <v>3532</v>
      </c>
      <c r="M117" s="304"/>
      <c r="N117" s="273" t="s">
        <v>9867</v>
      </c>
      <c r="O117" s="273" t="s">
        <v>3603</v>
      </c>
      <c r="P117" s="242" t="s">
        <v>1652</v>
      </c>
      <c r="Q117" s="273" t="s">
        <v>3209</v>
      </c>
      <c r="R117" s="304"/>
      <c r="S117" s="242" t="s">
        <v>9544</v>
      </c>
      <c r="T117" s="304"/>
      <c r="U117" s="273" t="s">
        <v>11219</v>
      </c>
      <c r="V117" s="242" t="s">
        <v>3504</v>
      </c>
      <c r="W117" s="62"/>
      <c r="X117" s="273" t="s">
        <v>10472</v>
      </c>
      <c r="Y117" s="273"/>
      <c r="Z117" s="273" t="s">
        <v>3667</v>
      </c>
      <c r="AA117" s="273" t="s">
        <v>5015</v>
      </c>
      <c r="AB117" s="273" t="s">
        <v>2272</v>
      </c>
      <c r="AC117" s="273" t="s">
        <v>10216</v>
      </c>
      <c r="AD117" s="273" t="s">
        <v>11220</v>
      </c>
      <c r="AE117" s="273"/>
      <c r="AF117" s="273" t="s">
        <v>6596</v>
      </c>
      <c r="AG117" s="242" t="s">
        <v>4559</v>
      </c>
      <c r="AH117" s="273" t="s">
        <v>9577</v>
      </c>
      <c r="AI117" s="333"/>
      <c r="AJ117" s="242" t="s">
        <v>9740</v>
      </c>
      <c r="AK117" s="273" t="s">
        <v>11221</v>
      </c>
      <c r="AL117" s="61"/>
      <c r="AM117" s="273" t="s">
        <v>10070</v>
      </c>
      <c r="AN117" s="273" t="s">
        <v>4682</v>
      </c>
      <c r="AO117" s="304"/>
      <c r="AP117" s="242" t="s">
        <v>11222</v>
      </c>
      <c r="AQ117" s="273" t="s">
        <v>4113</v>
      </c>
      <c r="AR117" s="273"/>
      <c r="AS117" s="273" t="s">
        <v>11223</v>
      </c>
      <c r="AT117" s="273" t="s">
        <v>11224</v>
      </c>
      <c r="AU117" s="242" t="s">
        <v>3679</v>
      </c>
      <c r="AV117" s="273" t="s">
        <v>11225</v>
      </c>
      <c r="AW117" s="273" t="s">
        <v>11226</v>
      </c>
      <c r="AX117" s="304"/>
      <c r="AY117" s="242" t="s">
        <v>5607</v>
      </c>
      <c r="AZ117" s="273" t="s">
        <v>11227</v>
      </c>
      <c r="BA117" s="273"/>
      <c r="BB117" s="304"/>
      <c r="BC117" s="273" t="s">
        <v>11228</v>
      </c>
      <c r="BD117" s="273" t="s">
        <v>10019</v>
      </c>
      <c r="BE117" s="273" t="s">
        <v>3596</v>
      </c>
      <c r="BF117" s="273" t="s">
        <v>3501</v>
      </c>
      <c r="BG117" s="273" t="s">
        <v>9901</v>
      </c>
      <c r="BH117" s="304"/>
      <c r="BI117" s="273" t="s">
        <v>11229</v>
      </c>
      <c r="BJ117" s="273" t="s">
        <v>4423</v>
      </c>
      <c r="BK117" s="304"/>
      <c r="BL117" s="522" t="s">
        <v>11207</v>
      </c>
      <c r="BM117" s="273" t="s">
        <v>6881</v>
      </c>
      <c r="BN117" s="273" t="s">
        <v>777</v>
      </c>
      <c r="BO117" s="304"/>
      <c r="BP117" s="273" t="s">
        <v>11230</v>
      </c>
      <c r="BQ117" s="273"/>
      <c r="BR117" s="304"/>
      <c r="BS117" s="273" t="s">
        <v>11231</v>
      </c>
      <c r="BT117" s="273" t="s">
        <v>575</v>
      </c>
      <c r="BU117" s="273" t="s">
        <v>2077</v>
      </c>
      <c r="BV117" s="273" t="s">
        <v>2890</v>
      </c>
      <c r="BW117" s="273" t="s">
        <v>11232</v>
      </c>
      <c r="BX117" s="304"/>
      <c r="BY117" s="242" t="s">
        <v>9772</v>
      </c>
      <c r="BZ117" s="304"/>
      <c r="CA117" s="242" t="s">
        <v>10217</v>
      </c>
      <c r="CB117" s="242" t="s">
        <v>11233</v>
      </c>
      <c r="CC117" s="242" t="s">
        <v>11234</v>
      </c>
      <c r="CD117" s="273" t="s">
        <v>9606</v>
      </c>
      <c r="CE117" s="273" t="s">
        <v>3520</v>
      </c>
      <c r="CF117" s="273"/>
      <c r="CG117" s="273" t="s">
        <v>3585</v>
      </c>
      <c r="CH117" s="273" t="s">
        <v>9972</v>
      </c>
      <c r="CI117" s="273" t="s">
        <v>1721</v>
      </c>
      <c r="CJ117" s="273" t="s">
        <v>11235</v>
      </c>
      <c r="CK117" s="273"/>
      <c r="CL117" s="273"/>
      <c r="CM117" s="273" t="s">
        <v>11236</v>
      </c>
      <c r="CN117" s="908" t="s">
        <v>4543</v>
      </c>
      <c r="CO117" s="242" t="s">
        <v>10103</v>
      </c>
      <c r="CP117" s="304"/>
      <c r="CQ117" s="273" t="s">
        <v>11237</v>
      </c>
      <c r="CR117" s="304"/>
      <c r="CS117" s="304"/>
      <c r="CT117" s="273" t="s">
        <v>6223</v>
      </c>
      <c r="CU117" s="62"/>
      <c r="CV117" s="273" t="s">
        <v>220</v>
      </c>
      <c r="CW117" s="273" t="s">
        <v>10770</v>
      </c>
      <c r="CX117" s="273" t="s">
        <v>9884</v>
      </c>
      <c r="CY117" s="273" t="s">
        <v>1596</v>
      </c>
      <c r="CZ117" s="304"/>
      <c r="DA117" s="304"/>
      <c r="DB117" s="242" t="s">
        <v>9268</v>
      </c>
      <c r="DC117" s="242" t="s">
        <v>1571</v>
      </c>
      <c r="DD117" s="273" t="s">
        <v>11238</v>
      </c>
      <c r="DE117" s="273" t="s">
        <v>6606</v>
      </c>
      <c r="DF117" s="273" t="s">
        <v>11239</v>
      </c>
      <c r="DG117" s="273" t="s">
        <v>11240</v>
      </c>
      <c r="DH117" s="273"/>
      <c r="DI117" s="273" t="s">
        <v>10416</v>
      </c>
      <c r="DJ117" s="273"/>
      <c r="DK117" s="273" t="s">
        <v>11241</v>
      </c>
      <c r="DL117" s="273"/>
      <c r="DM117" s="273" t="s">
        <v>1903</v>
      </c>
      <c r="DN117" s="273" t="s">
        <v>3950</v>
      </c>
      <c r="DO117" s="522" t="s">
        <v>11242</v>
      </c>
      <c r="DP117" s="273" t="s">
        <v>10397</v>
      </c>
      <c r="DQ117" s="304"/>
      <c r="DR117" s="273" t="s">
        <v>1963</v>
      </c>
      <c r="DS117" s="273" t="s">
        <v>11243</v>
      </c>
      <c r="DT117" s="273" t="s">
        <v>10179</v>
      </c>
      <c r="DU117" s="273" t="s">
        <v>10018</v>
      </c>
      <c r="DV117" s="273" t="s">
        <v>4173</v>
      </c>
      <c r="DW117" s="273" t="s">
        <v>4743</v>
      </c>
      <c r="DX117" s="273" t="s">
        <v>10430</v>
      </c>
      <c r="DY117" s="273" t="s">
        <v>4325</v>
      </c>
      <c r="DZ117" s="273" t="s">
        <v>865</v>
      </c>
      <c r="EA117" s="273" t="s">
        <v>2114</v>
      </c>
      <c r="EB117" s="273" t="s">
        <v>625</v>
      </c>
      <c r="EC117" s="273" t="s">
        <v>4187</v>
      </c>
      <c r="ED117" s="885" t="s">
        <v>11244</v>
      </c>
    </row>
    <row r="118">
      <c r="A118" s="545" t="s">
        <v>11245</v>
      </c>
      <c r="B118" s="381" t="s">
        <v>11246</v>
      </c>
      <c r="C118" s="384" t="s">
        <v>155</v>
      </c>
      <c r="D118" s="386" t="s">
        <v>155</v>
      </c>
      <c r="E118" s="389" t="s">
        <v>155</v>
      </c>
      <c r="F118" s="390" t="s">
        <v>155</v>
      </c>
      <c r="G118" s="381" t="s">
        <v>8332</v>
      </c>
      <c r="H118" s="547" t="s">
        <v>5472</v>
      </c>
      <c r="I118" s="547" t="s">
        <v>8997</v>
      </c>
      <c r="J118" s="547" t="s">
        <v>6101</v>
      </c>
      <c r="K118" s="547" t="s">
        <v>4420</v>
      </c>
      <c r="L118" s="547" t="s">
        <v>220</v>
      </c>
      <c r="M118" s="547" t="s">
        <v>11247</v>
      </c>
      <c r="N118" s="547" t="s">
        <v>8507</v>
      </c>
      <c r="O118" s="547" t="s">
        <v>1071</v>
      </c>
      <c r="P118" s="547" t="s">
        <v>5905</v>
      </c>
      <c r="Q118" s="849"/>
      <c r="R118" s="849"/>
      <c r="S118" s="547" t="s">
        <v>5908</v>
      </c>
      <c r="T118" s="849"/>
      <c r="U118" s="547" t="s">
        <v>4118</v>
      </c>
      <c r="V118" s="849"/>
      <c r="W118" s="62"/>
      <c r="X118" s="683" t="s">
        <v>11248</v>
      </c>
      <c r="Y118" s="683"/>
      <c r="Z118" s="683" t="s">
        <v>3665</v>
      </c>
      <c r="AA118" s="683" t="s">
        <v>1998</v>
      </c>
      <c r="AB118" s="683" t="s">
        <v>6179</v>
      </c>
      <c r="AC118" s="683" t="s">
        <v>11249</v>
      </c>
      <c r="AD118" s="683" t="s">
        <v>11250</v>
      </c>
      <c r="AE118" s="683" t="s">
        <v>8871</v>
      </c>
      <c r="AF118" s="683" t="s">
        <v>5125</v>
      </c>
      <c r="AG118" s="683" t="s">
        <v>10551</v>
      </c>
      <c r="AH118" s="683" t="s">
        <v>5907</v>
      </c>
      <c r="AI118" s="683"/>
      <c r="AJ118" s="683" t="s">
        <v>4774</v>
      </c>
      <c r="AK118" s="683" t="s">
        <v>7987</v>
      </c>
      <c r="AL118" s="61"/>
      <c r="AM118" s="571" t="s">
        <v>5320</v>
      </c>
      <c r="AN118" s="571" t="s">
        <v>5063</v>
      </c>
      <c r="AO118" s="855"/>
      <c r="AP118" s="855"/>
      <c r="AQ118" s="855"/>
      <c r="AR118" s="855"/>
      <c r="AS118" s="571" t="s">
        <v>10388</v>
      </c>
      <c r="AT118" s="855"/>
      <c r="AU118" s="571" t="s">
        <v>11251</v>
      </c>
      <c r="AV118" s="571" t="s">
        <v>11252</v>
      </c>
      <c r="AW118" s="855"/>
      <c r="AX118" s="855"/>
      <c r="AY118" s="855"/>
      <c r="AZ118" s="855"/>
      <c r="BA118" s="855"/>
      <c r="BB118" s="589" t="s">
        <v>11253</v>
      </c>
      <c r="BC118" s="589" t="s">
        <v>11254</v>
      </c>
      <c r="BD118" s="589" t="s">
        <v>4373</v>
      </c>
      <c r="BE118" s="589" t="s">
        <v>9395</v>
      </c>
      <c r="BF118" s="589" t="s">
        <v>11255</v>
      </c>
      <c r="BG118" s="589" t="s">
        <v>1868</v>
      </c>
      <c r="BH118" s="589" t="s">
        <v>10666</v>
      </c>
      <c r="BI118" s="589" t="s">
        <v>4993</v>
      </c>
      <c r="BJ118" s="589" t="s">
        <v>3157</v>
      </c>
      <c r="BK118" s="589"/>
      <c r="BL118" s="589" t="s">
        <v>11256</v>
      </c>
      <c r="BM118" s="587"/>
      <c r="BN118" s="589" t="s">
        <v>5924</v>
      </c>
      <c r="BO118" s="589" t="s">
        <v>9348</v>
      </c>
      <c r="BP118" s="587"/>
      <c r="BQ118" s="857"/>
      <c r="BR118" s="594"/>
      <c r="BS118" s="594" t="s">
        <v>1902</v>
      </c>
      <c r="BT118" s="594" t="s">
        <v>9625</v>
      </c>
      <c r="BU118" s="594" t="s">
        <v>8823</v>
      </c>
      <c r="BV118" s="594" t="s">
        <v>11257</v>
      </c>
      <c r="BW118" s="594" t="s">
        <v>527</v>
      </c>
      <c r="BX118" s="594" t="s">
        <v>11258</v>
      </c>
      <c r="BY118" s="859"/>
      <c r="BZ118" s="594" t="s">
        <v>11259</v>
      </c>
      <c r="CA118" s="594" t="s">
        <v>11260</v>
      </c>
      <c r="CB118" s="859"/>
      <c r="CC118" s="594" t="s">
        <v>5096</v>
      </c>
      <c r="CD118" s="594" t="s">
        <v>712</v>
      </c>
      <c r="CE118" s="859"/>
      <c r="CF118" s="861"/>
      <c r="CG118" s="606" t="s">
        <v>2091</v>
      </c>
      <c r="CH118" s="606" t="s">
        <v>2801</v>
      </c>
      <c r="CI118" s="606" t="s">
        <v>1407</v>
      </c>
      <c r="CJ118" s="606" t="s">
        <v>11261</v>
      </c>
      <c r="CK118" s="606"/>
      <c r="CL118" s="606" t="s">
        <v>737</v>
      </c>
      <c r="CM118" s="606" t="s">
        <v>11262</v>
      </c>
      <c r="CN118" s="606" t="s">
        <v>4913</v>
      </c>
      <c r="CO118" s="606" t="s">
        <v>5077</v>
      </c>
      <c r="CP118" s="606" t="s">
        <v>9206</v>
      </c>
      <c r="CQ118" s="606" t="s">
        <v>1940</v>
      </c>
      <c r="CR118" s="606"/>
      <c r="CS118" s="606" t="s">
        <v>11161</v>
      </c>
      <c r="CT118" s="863"/>
      <c r="CU118" s="62"/>
      <c r="CV118" s="703" t="s">
        <v>11263</v>
      </c>
      <c r="CW118" s="703" t="s">
        <v>11264</v>
      </c>
      <c r="CX118" s="703" t="s">
        <v>9955</v>
      </c>
      <c r="CY118" s="703" t="s">
        <v>5429</v>
      </c>
      <c r="CZ118" s="703" t="s">
        <v>11265</v>
      </c>
      <c r="DA118" s="703" t="s">
        <v>10348</v>
      </c>
      <c r="DB118" s="703" t="s">
        <v>11266</v>
      </c>
      <c r="DC118" s="703" t="s">
        <v>3867</v>
      </c>
      <c r="DD118" s="703" t="s">
        <v>9227</v>
      </c>
      <c r="DE118" s="703" t="s">
        <v>4892</v>
      </c>
      <c r="DF118" s="864"/>
      <c r="DG118" s="864"/>
      <c r="DH118" s="864"/>
      <c r="DI118" s="866"/>
      <c r="DJ118" s="866"/>
      <c r="DK118" s="866"/>
      <c r="DL118" s="866"/>
      <c r="DM118" s="866"/>
      <c r="DN118" s="866"/>
      <c r="DO118" s="866"/>
      <c r="DP118" s="866"/>
      <c r="DQ118" s="866"/>
      <c r="DR118" s="866"/>
      <c r="DS118" s="866"/>
      <c r="DT118" s="866"/>
      <c r="DU118" s="866"/>
      <c r="DV118" s="866"/>
      <c r="DW118" s="866"/>
      <c r="DX118" s="866"/>
      <c r="DY118" s="866"/>
      <c r="DZ118" s="866"/>
      <c r="EA118" s="866"/>
      <c r="EB118" s="866"/>
      <c r="EC118" s="866"/>
      <c r="ED118" s="974"/>
    </row>
    <row r="119">
      <c r="A119" s="228" t="s">
        <v>11267</v>
      </c>
      <c r="B119" s="229" t="s">
        <v>11268</v>
      </c>
      <c r="C119" s="230" t="s">
        <v>155</v>
      </c>
      <c r="D119" s="231" t="s">
        <v>155</v>
      </c>
      <c r="E119" s="232" t="s">
        <v>155</v>
      </c>
      <c r="F119" s="233" t="s">
        <v>156</v>
      </c>
      <c r="G119" s="229" t="s">
        <v>1342</v>
      </c>
      <c r="H119" s="273" t="s">
        <v>2677</v>
      </c>
      <c r="I119" s="273" t="s">
        <v>7461</v>
      </c>
      <c r="J119" s="273" t="s">
        <v>3657</v>
      </c>
      <c r="K119" s="273" t="s">
        <v>736</v>
      </c>
      <c r="L119" s="273" t="s">
        <v>2478</v>
      </c>
      <c r="M119" s="273" t="s">
        <v>11269</v>
      </c>
      <c r="N119" s="273" t="s">
        <v>7106</v>
      </c>
      <c r="O119" s="273" t="s">
        <v>444</v>
      </c>
      <c r="P119" s="273" t="s">
        <v>639</v>
      </c>
      <c r="Q119" s="304"/>
      <c r="R119" s="304"/>
      <c r="S119" s="304"/>
      <c r="T119" s="304"/>
      <c r="U119" s="304"/>
      <c r="V119" s="304"/>
      <c r="W119" s="62"/>
      <c r="X119" s="273" t="s">
        <v>11270</v>
      </c>
      <c r="Y119" s="274"/>
      <c r="Z119" s="301" t="str">
        <f>HYPERLINK("https://clips.twitch.tv/RudeLuckyBananaSMOrc","17.25")</f>
        <v>17.25</v>
      </c>
      <c r="AA119" s="273" t="s">
        <v>2476</v>
      </c>
      <c r="AB119" s="273" t="s">
        <v>6043</v>
      </c>
      <c r="AC119" s="301" t="str">
        <f>HYPERLINK("https://www.youtube.com/watch?v=2hvItIHk4rM&amp;feature=youtu.be","30.45")</f>
        <v>30.45</v>
      </c>
      <c r="AD119" s="273" t="s">
        <v>1988</v>
      </c>
      <c r="AE119" s="273" t="s">
        <v>8521</v>
      </c>
      <c r="AF119" s="273" t="s">
        <v>11271</v>
      </c>
      <c r="AG119" s="273" t="s">
        <v>301</v>
      </c>
      <c r="AH119" s="304"/>
      <c r="AI119" s="304"/>
      <c r="AJ119" s="304"/>
      <c r="AK119" s="304"/>
      <c r="AL119" s="61"/>
      <c r="AM119" s="304"/>
      <c r="AN119" s="304"/>
      <c r="AO119" s="304"/>
      <c r="AP119" s="304"/>
      <c r="AQ119" s="304"/>
      <c r="AR119" s="304"/>
      <c r="AS119" s="304"/>
      <c r="AT119" s="304"/>
      <c r="AU119" s="273" t="s">
        <v>328</v>
      </c>
      <c r="AV119" s="273" t="s">
        <v>11272</v>
      </c>
      <c r="AW119" s="304"/>
      <c r="AX119" s="304"/>
      <c r="AY119" s="304"/>
      <c r="AZ119" s="304"/>
      <c r="BA119" s="304"/>
      <c r="BB119" s="273" t="s">
        <v>11273</v>
      </c>
      <c r="BC119" s="273" t="s">
        <v>9881</v>
      </c>
      <c r="BD119" s="273" t="s">
        <v>4225</v>
      </c>
      <c r="BE119" s="304"/>
      <c r="BF119" s="304"/>
      <c r="BG119" s="304"/>
      <c r="BH119" s="304"/>
      <c r="BI119" s="304"/>
      <c r="BJ119" s="304"/>
      <c r="BK119" s="273" t="s">
        <v>11274</v>
      </c>
      <c r="BL119" s="304"/>
      <c r="BM119" s="304"/>
      <c r="BN119" s="304"/>
      <c r="BO119" s="304"/>
      <c r="BP119" s="304"/>
      <c r="BQ119" s="841"/>
      <c r="BR119" s="273" t="s">
        <v>11275</v>
      </c>
      <c r="BS119" s="273" t="s">
        <v>6046</v>
      </c>
      <c r="BT119" s="273" t="s">
        <v>4012</v>
      </c>
      <c r="BU119" s="273" t="s">
        <v>4708</v>
      </c>
      <c r="BV119" s="273" t="s">
        <v>10675</v>
      </c>
      <c r="BW119" s="301" t="str">
        <f>HYPERLINK("https://www.youtube.com/watch?v=9KMv5u5AP-g&amp;feature=youtu.be","24.60")</f>
        <v>24.60</v>
      </c>
      <c r="BX119" s="273" t="s">
        <v>11276</v>
      </c>
      <c r="BY119" s="304"/>
      <c r="BZ119" s="273" t="s">
        <v>11277</v>
      </c>
      <c r="CA119" s="273" t="s">
        <v>926</v>
      </c>
      <c r="CB119" s="304"/>
      <c r="CC119" s="304"/>
      <c r="CD119" s="304"/>
      <c r="CE119" s="304"/>
      <c r="CF119" s="841"/>
      <c r="CG119" s="273" t="s">
        <v>1819</v>
      </c>
      <c r="CH119" s="273" t="s">
        <v>11278</v>
      </c>
      <c r="CI119" s="273" t="s">
        <v>1234</v>
      </c>
      <c r="CJ119" s="273" t="s">
        <v>11279</v>
      </c>
      <c r="CK119" s="273"/>
      <c r="CL119" s="273" t="s">
        <v>2861</v>
      </c>
      <c r="CM119" s="273" t="s">
        <v>11280</v>
      </c>
      <c r="CN119" s="273" t="s">
        <v>8656</v>
      </c>
      <c r="CO119" s="273" t="s">
        <v>5061</v>
      </c>
      <c r="CP119" s="304"/>
      <c r="CQ119" s="304"/>
      <c r="CR119" s="304"/>
      <c r="CS119" s="304"/>
      <c r="CT119" s="304"/>
      <c r="CU119" s="62"/>
      <c r="CV119" s="273" t="s">
        <v>3781</v>
      </c>
      <c r="CW119" s="273" t="s">
        <v>9714</v>
      </c>
      <c r="CX119" s="273" t="s">
        <v>10466</v>
      </c>
      <c r="CY119" s="273" t="s">
        <v>6606</v>
      </c>
      <c r="CZ119" s="273" t="s">
        <v>9224</v>
      </c>
      <c r="DA119" s="273" t="s">
        <v>3935</v>
      </c>
      <c r="DB119" s="273" t="s">
        <v>3619</v>
      </c>
      <c r="DC119" s="273" t="s">
        <v>3709</v>
      </c>
      <c r="DD119" s="304"/>
      <c r="DE119" s="304"/>
      <c r="DF119" s="304"/>
      <c r="DG119" s="304"/>
      <c r="DH119" s="304"/>
      <c r="DI119" s="304"/>
      <c r="DJ119" s="304"/>
      <c r="DK119" s="304"/>
      <c r="DL119" s="304"/>
      <c r="DM119" s="304"/>
      <c r="DN119" s="304"/>
      <c r="DO119" s="304"/>
      <c r="DP119" s="304"/>
      <c r="DQ119" s="304"/>
      <c r="DR119" s="304"/>
      <c r="DS119" s="304"/>
      <c r="DT119" s="304"/>
      <c r="DU119" s="304"/>
      <c r="DV119" s="304"/>
      <c r="DW119" s="304"/>
      <c r="DX119" s="304"/>
      <c r="DY119" s="304"/>
      <c r="DZ119" s="304"/>
      <c r="EA119" s="304"/>
      <c r="EB119" s="304"/>
      <c r="EC119" s="304"/>
      <c r="ED119" s="885"/>
    </row>
    <row r="120">
      <c r="A120" s="1934" t="s">
        <v>9038</v>
      </c>
      <c r="B120" s="381" t="s">
        <v>11281</v>
      </c>
      <c r="C120" s="384" t="s">
        <v>155</v>
      </c>
      <c r="D120" s="386" t="s">
        <v>155</v>
      </c>
      <c r="E120" s="389" t="s">
        <v>155</v>
      </c>
      <c r="F120" s="390" t="s">
        <v>155</v>
      </c>
      <c r="G120" s="381" t="s">
        <v>11282</v>
      </c>
      <c r="H120" s="547" t="s">
        <v>11283</v>
      </c>
      <c r="I120" s="547" t="s">
        <v>7122</v>
      </c>
      <c r="J120" s="547" t="s">
        <v>4533</v>
      </c>
      <c r="K120" s="547" t="s">
        <v>11284</v>
      </c>
      <c r="L120" s="547" t="s">
        <v>1783</v>
      </c>
      <c r="M120" s="849"/>
      <c r="N120" s="547" t="s">
        <v>11285</v>
      </c>
      <c r="O120" s="547" t="s">
        <v>1238</v>
      </c>
      <c r="P120" s="547" t="s">
        <v>348</v>
      </c>
      <c r="Q120" s="849"/>
      <c r="R120" s="849"/>
      <c r="S120" s="547" t="s">
        <v>2051</v>
      </c>
      <c r="T120" s="849"/>
      <c r="U120" s="849"/>
      <c r="V120" s="849"/>
      <c r="W120" s="62"/>
      <c r="X120" s="683" t="s">
        <v>2068</v>
      </c>
      <c r="Y120" s="683"/>
      <c r="Z120" s="683" t="s">
        <v>770</v>
      </c>
      <c r="AA120" s="683" t="s">
        <v>1887</v>
      </c>
      <c r="AB120" s="683" t="s">
        <v>4929</v>
      </c>
      <c r="AC120" s="683" t="s">
        <v>11286</v>
      </c>
      <c r="AD120" s="683" t="s">
        <v>11287</v>
      </c>
      <c r="AE120" s="852"/>
      <c r="AF120" s="683" t="s">
        <v>789</v>
      </c>
      <c r="AG120" s="683" t="s">
        <v>4483</v>
      </c>
      <c r="AH120" s="852"/>
      <c r="AI120" s="852"/>
      <c r="AJ120" s="683" t="s">
        <v>4632</v>
      </c>
      <c r="AK120" s="852"/>
      <c r="AL120" s="61"/>
      <c r="AM120" s="571" t="s">
        <v>847</v>
      </c>
      <c r="AN120" s="571" t="s">
        <v>10165</v>
      </c>
      <c r="AO120" s="855"/>
      <c r="AP120" s="855"/>
      <c r="AQ120" s="855"/>
      <c r="AR120" s="855"/>
      <c r="AS120" s="571" t="s">
        <v>11288</v>
      </c>
      <c r="AT120" s="855"/>
      <c r="AU120" s="571" t="s">
        <v>5233</v>
      </c>
      <c r="AV120" s="571" t="s">
        <v>3940</v>
      </c>
      <c r="AW120" s="571" t="s">
        <v>3337</v>
      </c>
      <c r="AX120" s="855"/>
      <c r="AY120" s="571" t="s">
        <v>11286</v>
      </c>
      <c r="AZ120" s="855"/>
      <c r="BA120" s="855"/>
      <c r="BB120" s="589" t="s">
        <v>7055</v>
      </c>
      <c r="BC120" s="589" t="s">
        <v>486</v>
      </c>
      <c r="BD120" s="589" t="s">
        <v>11289</v>
      </c>
      <c r="BE120" s="589" t="s">
        <v>2729</v>
      </c>
      <c r="BF120" s="589" t="s">
        <v>7944</v>
      </c>
      <c r="BG120" s="589" t="s">
        <v>11290</v>
      </c>
      <c r="BH120" s="589" t="s">
        <v>10737</v>
      </c>
      <c r="BI120" s="589" t="s">
        <v>2456</v>
      </c>
      <c r="BJ120" s="589" t="s">
        <v>5797</v>
      </c>
      <c r="BK120" s="589" t="s">
        <v>11291</v>
      </c>
      <c r="BL120" s="589" t="s">
        <v>11292</v>
      </c>
      <c r="BM120" s="587"/>
      <c r="BN120" s="589" t="s">
        <v>2456</v>
      </c>
      <c r="BO120" s="589" t="s">
        <v>10068</v>
      </c>
      <c r="BP120" s="587"/>
      <c r="BQ120" s="857"/>
      <c r="BR120" s="594" t="s">
        <v>11293</v>
      </c>
      <c r="BS120" s="859"/>
      <c r="BT120" s="594" t="s">
        <v>10608</v>
      </c>
      <c r="BU120" s="594" t="s">
        <v>11294</v>
      </c>
      <c r="BV120" s="594" t="s">
        <v>4949</v>
      </c>
      <c r="BW120" s="594" t="s">
        <v>11295</v>
      </c>
      <c r="BX120" s="859"/>
      <c r="BY120" s="594" t="s">
        <v>10243</v>
      </c>
      <c r="BZ120" s="594" t="s">
        <v>11296</v>
      </c>
      <c r="CA120" s="594" t="s">
        <v>11297</v>
      </c>
      <c r="CB120" s="859"/>
      <c r="CC120" s="859"/>
      <c r="CD120" s="859"/>
      <c r="CE120" s="859"/>
      <c r="CF120" s="861"/>
      <c r="CG120" s="606" t="s">
        <v>11298</v>
      </c>
      <c r="CH120" s="606" t="s">
        <v>4172</v>
      </c>
      <c r="CI120" s="606" t="s">
        <v>4287</v>
      </c>
      <c r="CJ120" s="606" t="s">
        <v>11299</v>
      </c>
      <c r="CK120" s="606"/>
      <c r="CL120" s="606" t="s">
        <v>10438</v>
      </c>
      <c r="CM120" s="606" t="s">
        <v>11300</v>
      </c>
      <c r="CN120" s="606" t="s">
        <v>11301</v>
      </c>
      <c r="CO120" s="606" t="s">
        <v>2053</v>
      </c>
      <c r="CP120" s="863"/>
      <c r="CQ120" s="606" t="s">
        <v>11302</v>
      </c>
      <c r="CR120" s="863"/>
      <c r="CS120" s="863"/>
      <c r="CT120" s="863"/>
      <c r="CU120" s="62"/>
      <c r="CV120" s="703" t="s">
        <v>5161</v>
      </c>
      <c r="CW120" s="703" t="s">
        <v>11303</v>
      </c>
      <c r="CX120" s="703" t="s">
        <v>2895</v>
      </c>
      <c r="CY120" s="703" t="s">
        <v>10020</v>
      </c>
      <c r="CZ120" s="703" t="s">
        <v>11304</v>
      </c>
      <c r="DA120" s="703" t="s">
        <v>6134</v>
      </c>
      <c r="DB120" s="703" t="s">
        <v>6907</v>
      </c>
      <c r="DC120" s="703" t="s">
        <v>5072</v>
      </c>
      <c r="DD120" s="864"/>
      <c r="DE120" s="864"/>
      <c r="DF120" s="703" t="s">
        <v>1152</v>
      </c>
      <c r="DG120" s="864"/>
      <c r="DH120" s="864"/>
      <c r="DI120" s="707" t="s">
        <v>9409</v>
      </c>
      <c r="DJ120" s="866"/>
      <c r="DK120" s="707" t="s">
        <v>6583</v>
      </c>
      <c r="DL120" s="707"/>
      <c r="DM120" s="707" t="s">
        <v>1824</v>
      </c>
      <c r="DN120" s="707" t="s">
        <v>4237</v>
      </c>
      <c r="DO120" s="707" t="s">
        <v>11305</v>
      </c>
      <c r="DP120" s="707" t="s">
        <v>11306</v>
      </c>
      <c r="DQ120" s="707" t="s">
        <v>11307</v>
      </c>
      <c r="DR120" s="707" t="s">
        <v>8215</v>
      </c>
      <c r="DS120" s="707" t="s">
        <v>4144</v>
      </c>
      <c r="DT120" s="707" t="s">
        <v>5061</v>
      </c>
      <c r="DU120" s="866"/>
      <c r="DV120" s="866"/>
      <c r="DW120" s="707" t="s">
        <v>710</v>
      </c>
      <c r="DX120" s="866"/>
      <c r="DY120" s="707" t="s">
        <v>2059</v>
      </c>
      <c r="DZ120" s="707" t="s">
        <v>2829</v>
      </c>
      <c r="EA120" s="707" t="s">
        <v>8890</v>
      </c>
      <c r="EB120" s="866"/>
      <c r="EC120" s="707" t="s">
        <v>3436</v>
      </c>
      <c r="ED120" s="1935" t="s">
        <v>11308</v>
      </c>
    </row>
    <row r="121">
      <c r="A121" s="228" t="s">
        <v>11309</v>
      </c>
      <c r="B121" s="229" t="s">
        <v>11310</v>
      </c>
      <c r="C121" s="230" t="s">
        <v>155</v>
      </c>
      <c r="D121" s="231" t="s">
        <v>155</v>
      </c>
      <c r="E121" s="232" t="s">
        <v>155</v>
      </c>
      <c r="F121" s="233" t="s">
        <v>156</v>
      </c>
      <c r="G121" s="229" t="s">
        <v>3725</v>
      </c>
      <c r="H121" s="908" t="s">
        <v>4701</v>
      </c>
      <c r="I121" s="908" t="s">
        <v>5750</v>
      </c>
      <c r="J121" s="908" t="s">
        <v>11311</v>
      </c>
      <c r="K121" s="908" t="s">
        <v>729</v>
      </c>
      <c r="L121" s="908" t="s">
        <v>10604</v>
      </c>
      <c r="M121" s="908" t="s">
        <v>11312</v>
      </c>
      <c r="N121" s="908" t="s">
        <v>6119</v>
      </c>
      <c r="O121" s="908" t="s">
        <v>4927</v>
      </c>
      <c r="P121" s="242" t="s">
        <v>2079</v>
      </c>
      <c r="Q121" s="242" t="s">
        <v>11313</v>
      </c>
      <c r="R121" s="304"/>
      <c r="S121" s="304"/>
      <c r="T121" s="304"/>
      <c r="U121" s="304"/>
      <c r="V121" s="304"/>
      <c r="W121" s="62"/>
      <c r="X121" s="908" t="s">
        <v>11314</v>
      </c>
      <c r="Y121" s="908"/>
      <c r="Z121" s="908" t="s">
        <v>10284</v>
      </c>
      <c r="AA121" s="908" t="s">
        <v>3865</v>
      </c>
      <c r="AB121" s="908" t="s">
        <v>4643</v>
      </c>
      <c r="AC121" s="908" t="s">
        <v>11315</v>
      </c>
      <c r="AD121" s="908" t="s">
        <v>11316</v>
      </c>
      <c r="AE121" s="273"/>
      <c r="AF121" s="273" t="s">
        <v>1258</v>
      </c>
      <c r="AG121" s="242" t="s">
        <v>3563</v>
      </c>
      <c r="AH121" s="273" t="s">
        <v>1075</v>
      </c>
      <c r="AI121" s="273"/>
      <c r="AJ121" s="273" t="s">
        <v>8987</v>
      </c>
      <c r="AK121" s="304"/>
      <c r="AL121" s="61"/>
      <c r="AM121" s="304"/>
      <c r="AN121" s="273" t="s">
        <v>804</v>
      </c>
      <c r="AO121" s="304"/>
      <c r="AP121" s="304"/>
      <c r="AQ121" s="304"/>
      <c r="AR121" s="304"/>
      <c r="AS121" s="273" t="s">
        <v>11317</v>
      </c>
      <c r="AT121" s="304"/>
      <c r="AU121" s="273" t="s">
        <v>5029</v>
      </c>
      <c r="AV121" s="273" t="s">
        <v>11139</v>
      </c>
      <c r="AW121" s="304"/>
      <c r="AX121" s="304"/>
      <c r="AY121" s="304"/>
      <c r="AZ121" s="304"/>
      <c r="BA121" s="304"/>
      <c r="BB121" s="273" t="s">
        <v>4954</v>
      </c>
      <c r="BC121" s="908" t="s">
        <v>4000</v>
      </c>
      <c r="BD121" s="908" t="s">
        <v>2306</v>
      </c>
      <c r="BE121" s="273" t="s">
        <v>1596</v>
      </c>
      <c r="BF121" s="273" t="s">
        <v>8743</v>
      </c>
      <c r="BG121" s="273" t="s">
        <v>11318</v>
      </c>
      <c r="BH121" s="273" t="s">
        <v>11319</v>
      </c>
      <c r="BI121" s="273" t="s">
        <v>11320</v>
      </c>
      <c r="BJ121" s="304"/>
      <c r="BK121" s="273" t="s">
        <v>6082</v>
      </c>
      <c r="BL121" s="273" t="s">
        <v>2378</v>
      </c>
      <c r="BM121" s="304"/>
      <c r="BN121" s="273" t="s">
        <v>2895</v>
      </c>
      <c r="BO121" s="273" t="s">
        <v>892</v>
      </c>
      <c r="BP121" s="273" t="s">
        <v>11321</v>
      </c>
      <c r="BQ121" s="273"/>
      <c r="BR121" s="273"/>
      <c r="BS121" s="273" t="s">
        <v>10308</v>
      </c>
      <c r="BT121" s="273" t="s">
        <v>2693</v>
      </c>
      <c r="BU121" s="273" t="s">
        <v>11322</v>
      </c>
      <c r="BV121" s="273" t="s">
        <v>9015</v>
      </c>
      <c r="BW121" s="273" t="s">
        <v>10582</v>
      </c>
      <c r="BX121" s="304"/>
      <c r="BY121" s="273" t="s">
        <v>11323</v>
      </c>
      <c r="BZ121" s="273" t="s">
        <v>11324</v>
      </c>
      <c r="CA121" s="273" t="s">
        <v>11325</v>
      </c>
      <c r="CB121" s="304"/>
      <c r="CC121" s="304"/>
      <c r="CD121" s="304"/>
      <c r="CE121" s="304"/>
      <c r="CF121" s="841"/>
      <c r="CG121" s="273" t="s">
        <v>11326</v>
      </c>
      <c r="CH121" s="273" t="s">
        <v>11327</v>
      </c>
      <c r="CI121" s="273" t="s">
        <v>5622</v>
      </c>
      <c r="CJ121" s="273" t="s">
        <v>7079</v>
      </c>
      <c r="CK121" s="273"/>
      <c r="CL121" s="273" t="s">
        <v>10438</v>
      </c>
      <c r="CM121" s="273" t="s">
        <v>6884</v>
      </c>
      <c r="CN121" s="273" t="s">
        <v>3802</v>
      </c>
      <c r="CO121" s="273" t="s">
        <v>6184</v>
      </c>
      <c r="CP121" s="304"/>
      <c r="CQ121" s="304"/>
      <c r="CR121" s="304"/>
      <c r="CS121" s="304"/>
      <c r="CT121" s="304"/>
      <c r="CU121" s="62"/>
      <c r="CV121" s="273" t="s">
        <v>5812</v>
      </c>
      <c r="CW121" s="273" t="s">
        <v>9810</v>
      </c>
      <c r="CX121" s="273" t="s">
        <v>11328</v>
      </c>
      <c r="CY121" s="273" t="s">
        <v>5611</v>
      </c>
      <c r="CZ121" s="273" t="s">
        <v>11329</v>
      </c>
      <c r="DA121" s="273" t="s">
        <v>2801</v>
      </c>
      <c r="DB121" s="273" t="s">
        <v>11330</v>
      </c>
      <c r="DC121" s="273" t="s">
        <v>9833</v>
      </c>
      <c r="DD121" s="304"/>
      <c r="DE121" s="304"/>
      <c r="DF121" s="304"/>
      <c r="DG121" s="273" t="s">
        <v>11331</v>
      </c>
      <c r="DH121" s="273"/>
      <c r="DI121" s="273" t="s">
        <v>9378</v>
      </c>
      <c r="DJ121" s="304"/>
      <c r="DK121" s="304"/>
      <c r="DL121" s="273"/>
      <c r="DM121" s="304"/>
      <c r="DN121" s="273" t="s">
        <v>11332</v>
      </c>
      <c r="DO121" s="273" t="s">
        <v>10202</v>
      </c>
      <c r="DP121" s="273" t="s">
        <v>4496</v>
      </c>
      <c r="DQ121" s="304"/>
      <c r="DR121" s="273" t="s">
        <v>11333</v>
      </c>
      <c r="DS121" s="273"/>
      <c r="DT121" s="304"/>
      <c r="DU121" s="304"/>
      <c r="DV121" s="273" t="s">
        <v>9752</v>
      </c>
      <c r="DW121" s="304"/>
      <c r="DX121" s="304"/>
      <c r="DY121" s="304"/>
      <c r="DZ121" s="273" t="s">
        <v>9407</v>
      </c>
      <c r="EA121" s="304"/>
      <c r="EB121" s="304"/>
      <c r="EC121" s="304"/>
      <c r="ED121" s="885" t="s">
        <v>11334</v>
      </c>
    </row>
    <row r="122">
      <c r="A122" s="1936" t="s">
        <v>4074</v>
      </c>
      <c r="B122" s="381" t="s">
        <v>11335</v>
      </c>
      <c r="C122" s="384" t="s">
        <v>155</v>
      </c>
      <c r="D122" s="386" t="s">
        <v>155</v>
      </c>
      <c r="E122" s="389" t="s">
        <v>155</v>
      </c>
      <c r="F122" s="390" t="s">
        <v>2294</v>
      </c>
      <c r="G122" s="381" t="s">
        <v>1210</v>
      </c>
      <c r="H122" s="1711"/>
      <c r="I122" s="402" t="s">
        <v>11336</v>
      </c>
      <c r="J122" s="406" t="s">
        <v>9442</v>
      </c>
      <c r="K122" s="406" t="s">
        <v>3114</v>
      </c>
      <c r="L122" s="406" t="s">
        <v>11337</v>
      </c>
      <c r="M122" s="406" t="s">
        <v>6846</v>
      </c>
      <c r="N122" s="406" t="s">
        <v>6152</v>
      </c>
      <c r="O122" s="406" t="s">
        <v>901</v>
      </c>
      <c r="P122" s="406" t="s">
        <v>11338</v>
      </c>
      <c r="Q122" s="849"/>
      <c r="R122" s="849"/>
      <c r="S122" s="849"/>
      <c r="T122" s="849"/>
      <c r="U122" s="849"/>
      <c r="V122" s="849"/>
      <c r="W122" s="62"/>
      <c r="X122" s="417" t="s">
        <v>11339</v>
      </c>
      <c r="Y122" s="417" t="s">
        <v>5809</v>
      </c>
      <c r="Z122" s="417" t="s">
        <v>3702</v>
      </c>
      <c r="AA122" s="417" t="s">
        <v>11340</v>
      </c>
      <c r="AB122" s="417" t="s">
        <v>9208</v>
      </c>
      <c r="AC122" s="417" t="s">
        <v>4174</v>
      </c>
      <c r="AD122" s="417" t="s">
        <v>7236</v>
      </c>
      <c r="AE122" s="417" t="s">
        <v>3216</v>
      </c>
      <c r="AF122" s="417" t="s">
        <v>8875</v>
      </c>
      <c r="AG122" s="417" t="s">
        <v>10781</v>
      </c>
      <c r="AH122" s="852"/>
      <c r="AI122" s="852"/>
      <c r="AJ122" s="421"/>
      <c r="AK122" s="852"/>
      <c r="AL122" s="61"/>
      <c r="AM122" s="435"/>
      <c r="AN122" s="435"/>
      <c r="AO122" s="855"/>
      <c r="AP122" s="855"/>
      <c r="AQ122" s="571"/>
      <c r="AR122" s="571"/>
      <c r="AS122" s="855"/>
      <c r="AT122" s="855"/>
      <c r="AU122" s="427" t="s">
        <v>11341</v>
      </c>
      <c r="AV122" s="427" t="s">
        <v>11342</v>
      </c>
      <c r="AW122" s="435"/>
      <c r="AX122" s="855"/>
      <c r="AY122" s="855"/>
      <c r="AZ122" s="855"/>
      <c r="BA122" s="855"/>
      <c r="BB122" s="439" t="s">
        <v>9930</v>
      </c>
      <c r="BC122" s="439" t="s">
        <v>1142</v>
      </c>
      <c r="BD122" s="439" t="s">
        <v>9862</v>
      </c>
      <c r="BE122" s="439" t="s">
        <v>550</v>
      </c>
      <c r="BF122" s="439" t="s">
        <v>11343</v>
      </c>
      <c r="BG122" s="1645"/>
      <c r="BH122" s="587"/>
      <c r="BI122" s="439" t="s">
        <v>3936</v>
      </c>
      <c r="BJ122" s="587"/>
      <c r="BK122" s="439" t="s">
        <v>11344</v>
      </c>
      <c r="BL122" s="439" t="s">
        <v>5709</v>
      </c>
      <c r="BM122" s="587"/>
      <c r="BN122" s="587"/>
      <c r="BO122" s="1645"/>
      <c r="BP122" s="587"/>
      <c r="BQ122" s="857"/>
      <c r="BR122" s="448" t="s">
        <v>11345</v>
      </c>
      <c r="BS122" s="448" t="s">
        <v>11346</v>
      </c>
      <c r="BT122" s="448" t="s">
        <v>11347</v>
      </c>
      <c r="BU122" s="448" t="s">
        <v>11348</v>
      </c>
      <c r="BV122" s="448" t="s">
        <v>6378</v>
      </c>
      <c r="BW122" s="448" t="s">
        <v>942</v>
      </c>
      <c r="BX122" s="448" t="s">
        <v>11349</v>
      </c>
      <c r="BY122" s="451"/>
      <c r="BZ122" s="448" t="s">
        <v>11350</v>
      </c>
      <c r="CA122" s="448" t="s">
        <v>10582</v>
      </c>
      <c r="CB122" s="859"/>
      <c r="CC122" s="859"/>
      <c r="CD122" s="594"/>
      <c r="CE122" s="859"/>
      <c r="CF122" s="861"/>
      <c r="CG122" s="459" t="s">
        <v>10661</v>
      </c>
      <c r="CH122" s="459" t="s">
        <v>8972</v>
      </c>
      <c r="CI122" s="459" t="s">
        <v>867</v>
      </c>
      <c r="CJ122" s="459" t="s">
        <v>7634</v>
      </c>
      <c r="CK122" s="459" t="s">
        <v>2168</v>
      </c>
      <c r="CL122" s="459" t="s">
        <v>11351</v>
      </c>
      <c r="CM122" s="459" t="s">
        <v>11253</v>
      </c>
      <c r="CN122" s="459" t="s">
        <v>9922</v>
      </c>
      <c r="CO122" s="459" t="s">
        <v>5055</v>
      </c>
      <c r="CP122" s="1800"/>
      <c r="CQ122" s="863"/>
      <c r="CR122" s="863"/>
      <c r="CS122" s="863"/>
      <c r="CT122" s="863"/>
      <c r="CU122" s="62"/>
      <c r="CV122" s="466" t="s">
        <v>3154</v>
      </c>
      <c r="CW122" s="466" t="s">
        <v>5169</v>
      </c>
      <c r="CX122" s="466" t="s">
        <v>402</v>
      </c>
      <c r="CY122" s="466" t="s">
        <v>5506</v>
      </c>
      <c r="CZ122" s="466" t="s">
        <v>11352</v>
      </c>
      <c r="DA122" s="466" t="s">
        <v>11353</v>
      </c>
      <c r="DB122" s="466" t="s">
        <v>1120</v>
      </c>
      <c r="DC122" s="466" t="s">
        <v>11214</v>
      </c>
      <c r="DD122" s="864"/>
      <c r="DE122" s="864"/>
      <c r="DF122" s="864"/>
      <c r="DG122" s="864"/>
      <c r="DH122" s="864"/>
      <c r="DI122" s="709"/>
      <c r="DJ122" s="866"/>
      <c r="DK122" s="866"/>
      <c r="DL122" s="709"/>
      <c r="DM122" s="709" t="s">
        <v>11354</v>
      </c>
      <c r="DN122" s="709"/>
      <c r="DO122" s="866"/>
      <c r="DP122" s="866"/>
      <c r="DQ122" s="866"/>
      <c r="DR122" s="483" t="s">
        <v>11355</v>
      </c>
      <c r="DS122" s="483" t="s">
        <v>11356</v>
      </c>
      <c r="DT122" s="866"/>
      <c r="DU122" s="709"/>
      <c r="DV122" s="866"/>
      <c r="DW122" s="866"/>
      <c r="DX122" s="866"/>
      <c r="DY122" s="866"/>
      <c r="DZ122" s="866"/>
      <c r="EA122" s="709"/>
      <c r="EB122" s="866"/>
      <c r="EC122" s="866"/>
      <c r="ED122" s="974" t="s">
        <v>11357</v>
      </c>
    </row>
    <row r="123">
      <c r="A123" s="228" t="s">
        <v>11358</v>
      </c>
      <c r="B123" s="229" t="s">
        <v>11359</v>
      </c>
      <c r="C123" s="230" t="s">
        <v>155</v>
      </c>
      <c r="D123" s="231" t="s">
        <v>155</v>
      </c>
      <c r="E123" s="232" t="s">
        <v>155</v>
      </c>
      <c r="F123" s="233" t="s">
        <v>191</v>
      </c>
      <c r="G123" s="229" t="s">
        <v>537</v>
      </c>
      <c r="H123" s="304"/>
      <c r="I123" s="273" t="s">
        <v>10227</v>
      </c>
      <c r="J123" s="304"/>
      <c r="K123" s="301" t="str">
        <f>HYPERLINK("https://www.youtube.com/watch?v=fhmkEG98u50","13.86")</f>
        <v>13.86</v>
      </c>
      <c r="L123" s="304" t="s">
        <v>5313</v>
      </c>
      <c r="M123" s="304"/>
      <c r="N123" s="304"/>
      <c r="O123" s="301" t="s">
        <v>10100</v>
      </c>
      <c r="P123" s="304"/>
      <c r="Q123" s="304"/>
      <c r="R123" s="304"/>
      <c r="S123" s="304"/>
      <c r="T123" s="304"/>
      <c r="U123" s="304"/>
      <c r="V123" s="304"/>
      <c r="W123" s="62"/>
      <c r="X123" s="304"/>
      <c r="Y123" s="304"/>
      <c r="Z123" s="304"/>
      <c r="AA123" s="304"/>
      <c r="AB123" s="304"/>
      <c r="AC123" s="242" t="s">
        <v>6109</v>
      </c>
      <c r="AD123" s="304"/>
      <c r="AE123" s="304"/>
      <c r="AF123" s="304"/>
      <c r="AG123" s="304"/>
      <c r="AH123" s="304"/>
      <c r="AI123" s="304"/>
      <c r="AJ123" s="304"/>
      <c r="AK123" s="304"/>
      <c r="AL123" s="61"/>
      <c r="AM123" s="304"/>
      <c r="AN123" s="304"/>
      <c r="AO123" s="304"/>
      <c r="AP123" s="304"/>
      <c r="AQ123" s="304"/>
      <c r="AR123" s="304"/>
      <c r="AS123" s="304"/>
      <c r="AT123" s="304"/>
      <c r="AU123" s="304"/>
      <c r="AV123" s="304"/>
      <c r="AW123" s="304"/>
      <c r="AX123" s="304"/>
      <c r="AY123" s="304"/>
      <c r="AZ123" s="304"/>
      <c r="BA123" s="304"/>
      <c r="BB123" s="304"/>
      <c r="BC123" s="304"/>
      <c r="BD123" s="304"/>
      <c r="BE123" s="1394" t="s">
        <v>4782</v>
      </c>
      <c r="BF123" s="273" t="s">
        <v>8951</v>
      </c>
      <c r="BG123" s="304"/>
      <c r="BH123" s="304"/>
      <c r="BI123" s="301" t="str">
        <f>HYPERLINK("https://www.youtube.com/watch?v=mubp31A-xCY","27.82")</f>
        <v>27.82</v>
      </c>
      <c r="BJ123" s="301" t="str">
        <f>HYPERLINK("https://www.youtube.com/watch?v=cbuANo-Xzpo&amp;t","1:20.58")</f>
        <v>1:20.58</v>
      </c>
      <c r="BK123" s="274"/>
      <c r="BL123" s="304"/>
      <c r="BM123" s="304"/>
      <c r="BN123" s="304"/>
      <c r="BO123" s="304"/>
      <c r="BP123" s="304"/>
      <c r="BQ123" s="841"/>
      <c r="BR123" s="304"/>
      <c r="BS123" s="304"/>
      <c r="BT123" s="301" t="str">
        <f>HYPERLINK("https://www.youtube.com/watch?v=pigHYi4moow","34.65")</f>
        <v>34.65</v>
      </c>
      <c r="BU123" s="304"/>
      <c r="BV123" s="304"/>
      <c r="BW123" s="301" t="str">
        <f>HYPERLINK("https://www.youtube.com/watch?v=GasWvSHyFBE","21.04")</f>
        <v>21.04</v>
      </c>
      <c r="BX123" s="304"/>
      <c r="BY123" s="263" t="s">
        <v>8897</v>
      </c>
      <c r="BZ123" s="304"/>
      <c r="CA123" s="304"/>
      <c r="CB123" s="304"/>
      <c r="CC123" s="304"/>
      <c r="CD123" s="304"/>
      <c r="CE123" s="304"/>
      <c r="CF123" s="841"/>
      <c r="CG123" s="263" t="s">
        <v>4833</v>
      </c>
      <c r="CH123" s="301" t="str">
        <f>HYPERLINK("https://www.youtube.com/watch?v=ZbtOKdesyr0","28.46")</f>
        <v>28.46</v>
      </c>
      <c r="CI123" s="304"/>
      <c r="CJ123" s="304"/>
      <c r="CK123" s="304"/>
      <c r="CL123" s="304"/>
      <c r="CM123" s="304"/>
      <c r="CN123" s="301" t="str">
        <f>HYPERLINK("https://www.youtube.com/watch?v=mHHDMjmyFKc","30.19")</f>
        <v>30.19</v>
      </c>
      <c r="CO123" s="304"/>
      <c r="CP123" s="304"/>
      <c r="CQ123" s="304"/>
      <c r="CR123" s="304"/>
      <c r="CS123" s="304"/>
      <c r="CT123" s="304"/>
      <c r="CU123" s="62"/>
      <c r="CV123" s="304"/>
      <c r="CW123" s="304"/>
      <c r="CX123" s="304"/>
      <c r="CY123" s="304"/>
      <c r="CZ123" s="304"/>
      <c r="DA123" s="304"/>
      <c r="DB123" s="304"/>
      <c r="DC123" s="304"/>
      <c r="DD123" s="304"/>
      <c r="DE123" s="304"/>
      <c r="DF123" s="304"/>
      <c r="DG123" s="304"/>
      <c r="DH123" s="304"/>
      <c r="DI123" s="304"/>
      <c r="DJ123" s="304"/>
      <c r="DK123" s="304"/>
      <c r="DL123" s="304"/>
      <c r="DM123" s="304"/>
      <c r="DN123" s="304"/>
      <c r="DO123" s="304"/>
      <c r="DP123" s="304"/>
      <c r="DQ123" s="304"/>
      <c r="DR123" s="304"/>
      <c r="DS123" s="304"/>
      <c r="DT123" s="304"/>
      <c r="DU123" s="304"/>
      <c r="DV123" s="304"/>
      <c r="DW123" s="304"/>
      <c r="DX123" s="304"/>
      <c r="DY123" s="304"/>
      <c r="DZ123" s="304"/>
      <c r="EA123" s="304"/>
      <c r="EB123" s="304"/>
      <c r="EC123" s="304"/>
      <c r="ED123" s="885"/>
    </row>
    <row r="124">
      <c r="A124" s="1408" t="s">
        <v>9164</v>
      </c>
      <c r="B124" s="381" t="s">
        <v>11360</v>
      </c>
      <c r="C124" s="384" t="s">
        <v>155</v>
      </c>
      <c r="D124" s="386" t="s">
        <v>155</v>
      </c>
      <c r="E124" s="389" t="s">
        <v>155</v>
      </c>
      <c r="F124" s="390" t="s">
        <v>156</v>
      </c>
      <c r="G124" s="381" t="s">
        <v>1792</v>
      </c>
      <c r="H124" s="547"/>
      <c r="I124" s="547" t="s">
        <v>11361</v>
      </c>
      <c r="J124" s="406" t="s">
        <v>657</v>
      </c>
      <c r="K124" s="406" t="s">
        <v>737</v>
      </c>
      <c r="L124" s="547" t="s">
        <v>7031</v>
      </c>
      <c r="M124" s="849"/>
      <c r="N124" s="547" t="s">
        <v>1559</v>
      </c>
      <c r="O124" s="547" t="s">
        <v>4530</v>
      </c>
      <c r="P124" s="406" t="s">
        <v>10438</v>
      </c>
      <c r="Q124" s="849"/>
      <c r="R124" s="849"/>
      <c r="S124" s="849"/>
      <c r="T124" s="849"/>
      <c r="U124" s="849"/>
      <c r="V124" s="849"/>
      <c r="W124" s="62"/>
      <c r="X124" s="683" t="s">
        <v>9697</v>
      </c>
      <c r="Y124" s="683"/>
      <c r="Z124" s="683" t="s">
        <v>5062</v>
      </c>
      <c r="AA124" s="683" t="s">
        <v>10782</v>
      </c>
      <c r="AB124" s="683" t="s">
        <v>4297</v>
      </c>
      <c r="AC124" s="683" t="s">
        <v>2105</v>
      </c>
      <c r="AD124" s="683" t="s">
        <v>11362</v>
      </c>
      <c r="AE124" s="683"/>
      <c r="AF124" s="1272" t="s">
        <v>11363</v>
      </c>
      <c r="AG124" s="683" t="s">
        <v>11364</v>
      </c>
      <c r="AH124" s="852"/>
      <c r="AI124" s="852"/>
      <c r="AJ124" s="852"/>
      <c r="AK124" s="852"/>
      <c r="AL124" s="61"/>
      <c r="AM124" s="855"/>
      <c r="AN124" s="855"/>
      <c r="AO124" s="855"/>
      <c r="AP124" s="855"/>
      <c r="AQ124" s="855"/>
      <c r="AR124" s="855"/>
      <c r="AS124" s="855"/>
      <c r="AT124" s="855"/>
      <c r="AU124" s="571" t="s">
        <v>2293</v>
      </c>
      <c r="AV124" s="571" t="s">
        <v>4325</v>
      </c>
      <c r="AW124" s="855"/>
      <c r="AX124" s="855"/>
      <c r="AY124" s="855"/>
      <c r="AZ124" s="855"/>
      <c r="BA124" s="855"/>
      <c r="BB124" s="589" t="s">
        <v>3027</v>
      </c>
      <c r="BC124" s="589" t="s">
        <v>11365</v>
      </c>
      <c r="BD124" s="589" t="s">
        <v>5338</v>
      </c>
      <c r="BE124" s="589" t="s">
        <v>1239</v>
      </c>
      <c r="BF124" s="589" t="s">
        <v>7730</v>
      </c>
      <c r="BG124" s="589" t="s">
        <v>5595</v>
      </c>
      <c r="BH124" s="587"/>
      <c r="BI124" s="1040" t="s">
        <v>1398</v>
      </c>
      <c r="BJ124" s="589" t="s">
        <v>340</v>
      </c>
      <c r="BK124" s="589" t="s">
        <v>11366</v>
      </c>
      <c r="BL124" s="589" t="s">
        <v>11367</v>
      </c>
      <c r="BM124" s="587"/>
      <c r="BN124" s="587"/>
      <c r="BO124" s="587"/>
      <c r="BP124" s="587"/>
      <c r="BQ124" s="857"/>
      <c r="BR124" s="594" t="s">
        <v>11368</v>
      </c>
      <c r="BS124" s="594" t="s">
        <v>9766</v>
      </c>
      <c r="BT124" s="594" t="s">
        <v>10895</v>
      </c>
      <c r="BU124" s="594" t="s">
        <v>11154</v>
      </c>
      <c r="BV124" s="594" t="s">
        <v>4941</v>
      </c>
      <c r="BW124" s="594" t="s">
        <v>10725</v>
      </c>
      <c r="BX124" s="859"/>
      <c r="BY124" s="594" t="s">
        <v>3016</v>
      </c>
      <c r="BZ124" s="594" t="s">
        <v>11369</v>
      </c>
      <c r="CA124" s="859"/>
      <c r="CB124" s="859"/>
      <c r="CC124" s="859"/>
      <c r="CD124" s="859"/>
      <c r="CE124" s="859"/>
      <c r="CF124" s="861"/>
      <c r="CG124" s="606" t="s">
        <v>11370</v>
      </c>
      <c r="CH124" s="606" t="s">
        <v>2109</v>
      </c>
      <c r="CI124" s="606" t="s">
        <v>10398</v>
      </c>
      <c r="CJ124" s="606" t="s">
        <v>11371</v>
      </c>
      <c r="CK124" s="606"/>
      <c r="CL124" s="606"/>
      <c r="CM124" s="606" t="s">
        <v>11372</v>
      </c>
      <c r="CN124" s="606" t="s">
        <v>5136</v>
      </c>
      <c r="CO124" s="606" t="s">
        <v>11033</v>
      </c>
      <c r="CP124" s="863"/>
      <c r="CQ124" s="863"/>
      <c r="CR124" s="863"/>
      <c r="CS124" s="863"/>
      <c r="CT124" s="863"/>
      <c r="CU124" s="62"/>
      <c r="CV124" s="703" t="s">
        <v>7532</v>
      </c>
      <c r="CW124" s="703" t="s">
        <v>10373</v>
      </c>
      <c r="CX124" s="703" t="s">
        <v>2281</v>
      </c>
      <c r="CY124" s="703" t="s">
        <v>5199</v>
      </c>
      <c r="CZ124" s="703" t="s">
        <v>11373</v>
      </c>
      <c r="DA124" s="703" t="s">
        <v>11374</v>
      </c>
      <c r="DB124" s="703" t="s">
        <v>10799</v>
      </c>
      <c r="DC124" s="703" t="s">
        <v>11375</v>
      </c>
      <c r="DD124" s="864"/>
      <c r="DE124" s="864"/>
      <c r="DF124" s="864"/>
      <c r="DG124" s="864"/>
      <c r="DH124" s="864"/>
      <c r="DI124" s="866"/>
      <c r="DJ124" s="866"/>
      <c r="DK124" s="866"/>
      <c r="DL124" s="866"/>
      <c r="DM124" s="866"/>
      <c r="DN124" s="866"/>
      <c r="DO124" s="866"/>
      <c r="DP124" s="866"/>
      <c r="DQ124" s="866"/>
      <c r="DR124" s="707" t="s">
        <v>11376</v>
      </c>
      <c r="DS124" s="866"/>
      <c r="DT124" s="866"/>
      <c r="DU124" s="866"/>
      <c r="DV124" s="866"/>
      <c r="DW124" s="866"/>
      <c r="DX124" s="866"/>
      <c r="DY124" s="866"/>
      <c r="DZ124" s="866"/>
      <c r="EA124" s="866"/>
      <c r="EB124" s="866"/>
      <c r="EC124" s="866"/>
      <c r="ED124" s="974"/>
    </row>
    <row r="125">
      <c r="A125" s="1937" t="s">
        <v>11377</v>
      </c>
      <c r="B125" s="229" t="s">
        <v>11378</v>
      </c>
      <c r="C125" s="230" t="s">
        <v>155</v>
      </c>
      <c r="D125" s="231" t="s">
        <v>155</v>
      </c>
      <c r="E125" s="232" t="s">
        <v>155</v>
      </c>
      <c r="F125" s="233" t="s">
        <v>155</v>
      </c>
      <c r="G125" s="229" t="s">
        <v>2094</v>
      </c>
      <c r="H125" s="273" t="s">
        <v>2391</v>
      </c>
      <c r="I125" s="273" t="s">
        <v>11379</v>
      </c>
      <c r="J125" s="273" t="s">
        <v>11193</v>
      </c>
      <c r="K125" s="273" t="s">
        <v>756</v>
      </c>
      <c r="L125" s="273" t="s">
        <v>7275</v>
      </c>
      <c r="M125" s="273" t="s">
        <v>11380</v>
      </c>
      <c r="N125" s="273" t="s">
        <v>11381</v>
      </c>
      <c r="O125" s="273" t="s">
        <v>3964</v>
      </c>
      <c r="P125" s="273" t="s">
        <v>11382</v>
      </c>
      <c r="Q125" s="304"/>
      <c r="R125" s="304"/>
      <c r="S125" s="304"/>
      <c r="T125" s="304"/>
      <c r="U125" s="304"/>
      <c r="V125" s="304"/>
      <c r="W125" s="62"/>
      <c r="X125" s="273" t="s">
        <v>10007</v>
      </c>
      <c r="Y125" s="273"/>
      <c r="Z125" s="273" t="s">
        <v>2043</v>
      </c>
      <c r="AA125" s="273" t="s">
        <v>624</v>
      </c>
      <c r="AB125" s="273" t="s">
        <v>2314</v>
      </c>
      <c r="AC125" s="273" t="s">
        <v>10805</v>
      </c>
      <c r="AD125" s="273" t="s">
        <v>4864</v>
      </c>
      <c r="AE125" s="273"/>
      <c r="AF125" s="273" t="s">
        <v>2867</v>
      </c>
      <c r="AG125" s="273" t="s">
        <v>3345</v>
      </c>
      <c r="AH125" s="304"/>
      <c r="AI125" s="304"/>
      <c r="AJ125" s="304"/>
      <c r="AK125" s="304"/>
      <c r="AL125" s="61"/>
      <c r="AM125" s="304"/>
      <c r="AN125" s="304"/>
      <c r="AO125" s="304"/>
      <c r="AP125" s="304"/>
      <c r="AQ125" s="304"/>
      <c r="AR125" s="304"/>
      <c r="AS125" s="304"/>
      <c r="AT125" s="304"/>
      <c r="AU125" s="273" t="s">
        <v>9788</v>
      </c>
      <c r="AV125" s="273" t="s">
        <v>5002</v>
      </c>
      <c r="AW125" s="304"/>
      <c r="AX125" s="304"/>
      <c r="AY125" s="304"/>
      <c r="AZ125" s="304"/>
      <c r="BA125" s="304"/>
      <c r="BB125" s="273" t="s">
        <v>11383</v>
      </c>
      <c r="BC125" s="273" t="s">
        <v>11365</v>
      </c>
      <c r="BD125" s="273" t="s">
        <v>4373</v>
      </c>
      <c r="BE125" s="273" t="s">
        <v>6627</v>
      </c>
      <c r="BF125" s="273" t="s">
        <v>3432</v>
      </c>
      <c r="BG125" s="273" t="s">
        <v>3908</v>
      </c>
      <c r="BH125" s="273" t="s">
        <v>8448</v>
      </c>
      <c r="BI125" s="273" t="s">
        <v>9778</v>
      </c>
      <c r="BJ125" s="304"/>
      <c r="BK125" s="273" t="s">
        <v>11384</v>
      </c>
      <c r="BL125" s="273" t="s">
        <v>4380</v>
      </c>
      <c r="BM125" s="304"/>
      <c r="BN125" s="304"/>
      <c r="BO125" s="304"/>
      <c r="BP125" s="304"/>
      <c r="BQ125" s="841"/>
      <c r="BR125" s="273" t="s">
        <v>8635</v>
      </c>
      <c r="BS125" s="273" t="s">
        <v>2046</v>
      </c>
      <c r="BT125" s="273" t="s">
        <v>9356</v>
      </c>
      <c r="BU125" s="273" t="s">
        <v>11385</v>
      </c>
      <c r="BV125" s="273" t="s">
        <v>11386</v>
      </c>
      <c r="BW125" s="273" t="s">
        <v>4657</v>
      </c>
      <c r="BX125" s="273" t="s">
        <v>11387</v>
      </c>
      <c r="BY125" s="304"/>
      <c r="BZ125" s="273" t="s">
        <v>11388</v>
      </c>
      <c r="CA125" s="273" t="s">
        <v>11389</v>
      </c>
      <c r="CB125" s="304"/>
      <c r="CC125" s="304"/>
      <c r="CD125" s="304"/>
      <c r="CE125" s="304"/>
      <c r="CF125" s="841"/>
      <c r="CG125" s="273" t="s">
        <v>11390</v>
      </c>
      <c r="CH125" s="273" t="s">
        <v>11226</v>
      </c>
      <c r="CI125" s="273" t="s">
        <v>8328</v>
      </c>
      <c r="CJ125" s="273" t="s">
        <v>11391</v>
      </c>
      <c r="CK125" s="273"/>
      <c r="CL125" s="273" t="s">
        <v>11392</v>
      </c>
      <c r="CM125" s="273" t="s">
        <v>11393</v>
      </c>
      <c r="CN125" s="273" t="s">
        <v>10895</v>
      </c>
      <c r="CO125" s="273" t="s">
        <v>3345</v>
      </c>
      <c r="CP125" s="304"/>
      <c r="CQ125" s="304"/>
      <c r="CR125" s="304"/>
      <c r="CS125" s="304"/>
      <c r="CT125" s="304"/>
      <c r="CU125" s="62"/>
      <c r="CV125" s="273" t="s">
        <v>4315</v>
      </c>
      <c r="CW125" s="273" t="s">
        <v>1139</v>
      </c>
      <c r="CX125" s="273" t="s">
        <v>9861</v>
      </c>
      <c r="CY125" s="273" t="s">
        <v>5286</v>
      </c>
      <c r="CZ125" s="273" t="s">
        <v>11178</v>
      </c>
      <c r="DA125" s="273" t="s">
        <v>10820</v>
      </c>
      <c r="DB125" s="273" t="s">
        <v>11394</v>
      </c>
      <c r="DC125" s="273" t="s">
        <v>10295</v>
      </c>
      <c r="DD125" s="304"/>
      <c r="DE125" s="304"/>
      <c r="DF125" s="304"/>
      <c r="DG125" s="304"/>
      <c r="DH125" s="304"/>
      <c r="DI125" s="273" t="s">
        <v>11395</v>
      </c>
      <c r="DJ125" s="304"/>
      <c r="DK125" s="304"/>
      <c r="DL125" s="304"/>
      <c r="DM125" s="304"/>
      <c r="DN125" s="304"/>
      <c r="DO125" s="304"/>
      <c r="DP125" s="304"/>
      <c r="DQ125" s="304"/>
      <c r="DR125" s="273" t="s">
        <v>8018</v>
      </c>
      <c r="DS125" s="273" t="s">
        <v>2702</v>
      </c>
      <c r="DT125" s="304"/>
      <c r="DU125" s="304"/>
      <c r="DV125" s="304"/>
      <c r="DW125" s="304"/>
      <c r="DX125" s="304"/>
      <c r="DY125" s="304"/>
      <c r="DZ125" s="304"/>
      <c r="EA125" s="304"/>
      <c r="EB125" s="304"/>
      <c r="EC125" s="304"/>
      <c r="ED125" s="1639"/>
    </row>
    <row r="126">
      <c r="A126" s="1852" t="s">
        <v>11396</v>
      </c>
      <c r="B126" s="381" t="s">
        <v>11397</v>
      </c>
      <c r="C126" s="384" t="s">
        <v>155</v>
      </c>
      <c r="D126" s="386" t="s">
        <v>155</v>
      </c>
      <c r="E126" s="389" t="s">
        <v>155</v>
      </c>
      <c r="F126" s="390" t="s">
        <v>79</v>
      </c>
      <c r="G126" s="381" t="s">
        <v>721</v>
      </c>
      <c r="H126" s="547"/>
      <c r="I126" s="547" t="s">
        <v>8238</v>
      </c>
      <c r="J126" s="547" t="s">
        <v>11179</v>
      </c>
      <c r="K126" s="547" t="s">
        <v>746</v>
      </c>
      <c r="L126" s="406" t="s">
        <v>6699</v>
      </c>
      <c r="M126" s="849"/>
      <c r="N126" s="849"/>
      <c r="O126" s="849"/>
      <c r="P126" s="547" t="s">
        <v>11398</v>
      </c>
      <c r="Q126" s="849"/>
      <c r="R126" s="849"/>
      <c r="S126" s="547" t="s">
        <v>10443</v>
      </c>
      <c r="T126" s="849"/>
      <c r="U126" s="547" t="s">
        <v>4085</v>
      </c>
      <c r="V126" s="849"/>
      <c r="W126" s="62"/>
      <c r="X126" s="683" t="s">
        <v>4025</v>
      </c>
      <c r="Y126" s="683"/>
      <c r="Z126" s="683" t="s">
        <v>3831</v>
      </c>
      <c r="AA126" s="683" t="s">
        <v>11338</v>
      </c>
      <c r="AB126" s="852"/>
      <c r="AC126" s="683" t="s">
        <v>402</v>
      </c>
      <c r="AD126" s="852"/>
      <c r="AE126" s="852"/>
      <c r="AF126" s="852"/>
      <c r="AG126" s="683" t="s">
        <v>2490</v>
      </c>
      <c r="AH126" s="683" t="s">
        <v>3828</v>
      </c>
      <c r="AI126" s="852"/>
      <c r="AJ126" s="683" t="s">
        <v>3187</v>
      </c>
      <c r="AK126" s="683" t="s">
        <v>11399</v>
      </c>
      <c r="AL126" s="61"/>
      <c r="AM126" s="571" t="s">
        <v>10026</v>
      </c>
      <c r="AN126" s="571" t="s">
        <v>4609</v>
      </c>
      <c r="AO126" s="855"/>
      <c r="AP126" s="855"/>
      <c r="AQ126" s="855"/>
      <c r="AR126" s="855"/>
      <c r="AS126" s="855"/>
      <c r="AT126" s="855"/>
      <c r="AU126" s="571" t="s">
        <v>11251</v>
      </c>
      <c r="AV126" s="571" t="s">
        <v>3854</v>
      </c>
      <c r="AW126" s="855"/>
      <c r="AX126" s="855"/>
      <c r="AY126" s="571" t="s">
        <v>4407</v>
      </c>
      <c r="AZ126" s="855"/>
      <c r="BA126" s="855"/>
      <c r="BB126" s="587"/>
      <c r="BC126" s="695" t="s">
        <v>589</v>
      </c>
      <c r="BD126" s="589" t="s">
        <v>742</v>
      </c>
      <c r="BE126" s="589" t="s">
        <v>2729</v>
      </c>
      <c r="BF126" s="587"/>
      <c r="BG126" s="589" t="s">
        <v>10488</v>
      </c>
      <c r="BH126" s="587"/>
      <c r="BI126" s="589" t="s">
        <v>613</v>
      </c>
      <c r="BJ126" s="587"/>
      <c r="BK126" s="587"/>
      <c r="BL126" s="589" t="s">
        <v>11400</v>
      </c>
      <c r="BM126" s="587"/>
      <c r="BN126" s="587"/>
      <c r="BO126" s="587"/>
      <c r="BP126" s="587"/>
      <c r="BQ126" s="857"/>
      <c r="BR126" s="859"/>
      <c r="BS126" s="859"/>
      <c r="BT126" s="594" t="s">
        <v>6510</v>
      </c>
      <c r="BU126" s="594" t="s">
        <v>10822</v>
      </c>
      <c r="BV126" s="859"/>
      <c r="BW126" s="594" t="s">
        <v>11401</v>
      </c>
      <c r="BX126" s="859"/>
      <c r="BY126" s="859"/>
      <c r="BZ126" s="859"/>
      <c r="CA126" s="594" t="s">
        <v>1723</v>
      </c>
      <c r="CB126" s="859"/>
      <c r="CC126" s="859"/>
      <c r="CD126" s="859"/>
      <c r="CE126" s="859"/>
      <c r="CF126" s="861"/>
      <c r="CG126" s="606" t="s">
        <v>1830</v>
      </c>
      <c r="CH126" s="459" t="s">
        <v>3755</v>
      </c>
      <c r="CI126" s="606" t="s">
        <v>11402</v>
      </c>
      <c r="CJ126" s="606" t="s">
        <v>11403</v>
      </c>
      <c r="CK126" s="606"/>
      <c r="CL126" s="606" t="s">
        <v>371</v>
      </c>
      <c r="CM126" s="606" t="s">
        <v>11404</v>
      </c>
      <c r="CN126" s="606" t="s">
        <v>9356</v>
      </c>
      <c r="CO126" s="606" t="s">
        <v>2313</v>
      </c>
      <c r="CP126" s="863"/>
      <c r="CQ126" s="863"/>
      <c r="CR126" s="863"/>
      <c r="CS126" s="863"/>
      <c r="CT126" s="863"/>
      <c r="CU126" s="62"/>
      <c r="CV126" s="703" t="s">
        <v>5428</v>
      </c>
      <c r="CW126" s="864"/>
      <c r="CX126" s="703" t="s">
        <v>11405</v>
      </c>
      <c r="CY126" s="864"/>
      <c r="CZ126" s="864"/>
      <c r="DA126" s="864"/>
      <c r="DB126" s="703"/>
      <c r="DC126" s="703" t="s">
        <v>10092</v>
      </c>
      <c r="DD126" s="864"/>
      <c r="DE126" s="864"/>
      <c r="DF126" s="864"/>
      <c r="DG126" s="864"/>
      <c r="DH126" s="864"/>
      <c r="DI126" s="707" t="s">
        <v>5324</v>
      </c>
      <c r="DJ126" s="866"/>
      <c r="DK126" s="866"/>
      <c r="DL126" s="866"/>
      <c r="DM126" s="866"/>
      <c r="DN126" s="866"/>
      <c r="DO126" s="866"/>
      <c r="DP126" s="866"/>
      <c r="DQ126" s="866"/>
      <c r="DR126" s="866"/>
      <c r="DS126" s="866"/>
      <c r="DT126" s="866"/>
      <c r="DU126" s="483" t="s">
        <v>11406</v>
      </c>
      <c r="DV126" s="707" t="s">
        <v>11407</v>
      </c>
      <c r="DW126" s="866"/>
      <c r="DX126" s="707" t="s">
        <v>11408</v>
      </c>
      <c r="DY126" s="866"/>
      <c r="DZ126" s="707" t="s">
        <v>11409</v>
      </c>
      <c r="EA126" s="483" t="s">
        <v>419</v>
      </c>
      <c r="EB126" s="866"/>
      <c r="EC126" s="866"/>
      <c r="ED126" s="974" t="s">
        <v>11410</v>
      </c>
    </row>
    <row r="127">
      <c r="A127" s="1938" t="s">
        <v>11411</v>
      </c>
      <c r="B127" s="229" t="s">
        <v>11412</v>
      </c>
      <c r="C127" s="230" t="s">
        <v>155</v>
      </c>
      <c r="D127" s="231" t="s">
        <v>155</v>
      </c>
      <c r="E127" s="232" t="s">
        <v>155</v>
      </c>
      <c r="F127" s="233" t="s">
        <v>155</v>
      </c>
      <c r="G127" s="229" t="s">
        <v>1342</v>
      </c>
      <c r="H127" s="273" t="s">
        <v>4639</v>
      </c>
      <c r="I127" s="273" t="s">
        <v>2480</v>
      </c>
      <c r="J127" s="273" t="s">
        <v>11413</v>
      </c>
      <c r="K127" s="273" t="s">
        <v>11284</v>
      </c>
      <c r="L127" s="273" t="s">
        <v>9537</v>
      </c>
      <c r="M127" s="304"/>
      <c r="N127" s="273" t="s">
        <v>893</v>
      </c>
      <c r="O127" s="273" t="s">
        <v>2829</v>
      </c>
      <c r="P127" s="273" t="s">
        <v>4640</v>
      </c>
      <c r="Q127" s="304"/>
      <c r="R127" s="304"/>
      <c r="S127" s="304"/>
      <c r="T127" s="304"/>
      <c r="U127" s="304"/>
      <c r="V127" s="304"/>
      <c r="W127" s="62"/>
      <c r="X127" s="273" t="s">
        <v>9400</v>
      </c>
      <c r="Y127" s="273"/>
      <c r="Z127" s="273" t="s">
        <v>2028</v>
      </c>
      <c r="AA127" s="273" t="s">
        <v>2490</v>
      </c>
      <c r="AB127" s="273" t="s">
        <v>8824</v>
      </c>
      <c r="AC127" s="273" t="s">
        <v>10467</v>
      </c>
      <c r="AD127" s="273" t="s">
        <v>4722</v>
      </c>
      <c r="AE127" s="304"/>
      <c r="AF127" s="273" t="s">
        <v>8068</v>
      </c>
      <c r="AG127" s="273" t="s">
        <v>586</v>
      </c>
      <c r="AH127" s="304"/>
      <c r="AI127" s="304"/>
      <c r="AJ127" s="304"/>
      <c r="AK127" s="304"/>
      <c r="AL127" s="61"/>
      <c r="AM127" s="304"/>
      <c r="AN127" s="273" t="s">
        <v>2071</v>
      </c>
      <c r="AO127" s="304"/>
      <c r="AP127" s="304"/>
      <c r="AQ127" s="304"/>
      <c r="AR127" s="304"/>
      <c r="AS127" s="304"/>
      <c r="AT127" s="304"/>
      <c r="AU127" s="273" t="s">
        <v>5306</v>
      </c>
      <c r="AV127" s="273" t="s">
        <v>786</v>
      </c>
      <c r="AW127" s="304"/>
      <c r="AX127" s="304"/>
      <c r="AY127" s="304"/>
      <c r="AZ127" s="304"/>
      <c r="BA127" s="304"/>
      <c r="BB127" s="273" t="s">
        <v>10512</v>
      </c>
      <c r="BC127" s="273" t="s">
        <v>2084</v>
      </c>
      <c r="BD127" s="273" t="s">
        <v>10120</v>
      </c>
      <c r="BE127" s="273" t="s">
        <v>6343</v>
      </c>
      <c r="BF127" s="273" t="s">
        <v>6767</v>
      </c>
      <c r="BG127" s="304"/>
      <c r="BH127" s="1939"/>
      <c r="BI127" s="273" t="s">
        <v>2774</v>
      </c>
      <c r="BJ127" s="273" t="s">
        <v>8241</v>
      </c>
      <c r="BK127" s="304"/>
      <c r="BL127" s="273" t="s">
        <v>10639</v>
      </c>
      <c r="BM127" s="304"/>
      <c r="BN127" s="304"/>
      <c r="BO127" s="304"/>
      <c r="BP127" s="304"/>
      <c r="BQ127" s="841"/>
      <c r="BR127" s="273" t="s">
        <v>5797</v>
      </c>
      <c r="BS127" s="273" t="s">
        <v>3333</v>
      </c>
      <c r="BT127" s="273" t="s">
        <v>1483</v>
      </c>
      <c r="BU127" s="273" t="s">
        <v>5970</v>
      </c>
      <c r="BV127" s="273" t="s">
        <v>4306</v>
      </c>
      <c r="BW127" s="273" t="s">
        <v>11414</v>
      </c>
      <c r="BX127" s="273"/>
      <c r="BY127" s="273" t="s">
        <v>8687</v>
      </c>
      <c r="BZ127" s="304"/>
      <c r="CA127" s="273" t="s">
        <v>8474</v>
      </c>
      <c r="CB127" s="304"/>
      <c r="CC127" s="304"/>
      <c r="CD127" s="304"/>
      <c r="CE127" s="304"/>
      <c r="CF127" s="841"/>
      <c r="CG127" s="273" t="s">
        <v>11415</v>
      </c>
      <c r="CH127" s="273" t="s">
        <v>5638</v>
      </c>
      <c r="CI127" s="304"/>
      <c r="CJ127" s="304"/>
      <c r="CK127" s="304"/>
      <c r="CL127" s="304"/>
      <c r="CM127" s="273" t="s">
        <v>11416</v>
      </c>
      <c r="CN127" s="273" t="s">
        <v>3635</v>
      </c>
      <c r="CO127" s="273" t="s">
        <v>5077</v>
      </c>
      <c r="CP127" s="304"/>
      <c r="CQ127" s="304"/>
      <c r="CR127" s="304"/>
      <c r="CS127" s="304"/>
      <c r="CT127" s="304"/>
      <c r="CU127" s="62"/>
      <c r="CV127" s="273" t="s">
        <v>565</v>
      </c>
      <c r="CW127" s="273" t="s">
        <v>9633</v>
      </c>
      <c r="CX127" s="273" t="s">
        <v>4172</v>
      </c>
      <c r="CY127" s="273" t="s">
        <v>198</v>
      </c>
      <c r="CZ127" s="273" t="s">
        <v>5193</v>
      </c>
      <c r="DA127" s="304"/>
      <c r="DB127" s="273" t="s">
        <v>11034</v>
      </c>
      <c r="DC127" s="273" t="s">
        <v>607</v>
      </c>
      <c r="DD127" s="304"/>
      <c r="DE127" s="304"/>
      <c r="DF127" s="304"/>
      <c r="DG127" s="304"/>
      <c r="DH127" s="304"/>
      <c r="DI127" s="304"/>
      <c r="DJ127" s="304"/>
      <c r="DK127" s="304"/>
      <c r="DL127" s="304"/>
      <c r="DM127" s="304"/>
      <c r="DN127" s="304"/>
      <c r="DO127" s="304"/>
      <c r="DP127" s="304"/>
      <c r="DQ127" s="304"/>
      <c r="DR127" s="273" t="s">
        <v>11417</v>
      </c>
      <c r="DS127" s="273" t="s">
        <v>11418</v>
      </c>
      <c r="DT127" s="304"/>
      <c r="DU127" s="304"/>
      <c r="DV127" s="304"/>
      <c r="DW127" s="304"/>
      <c r="DX127" s="304"/>
      <c r="DY127" s="304"/>
      <c r="DZ127" s="304"/>
      <c r="EA127" s="304"/>
      <c r="EB127" s="304"/>
      <c r="EC127" s="304"/>
      <c r="ED127" s="885"/>
    </row>
    <row r="128">
      <c r="A128" s="1940" t="s">
        <v>11419</v>
      </c>
      <c r="B128" s="381" t="s">
        <v>11420</v>
      </c>
      <c r="C128" s="384" t="s">
        <v>155</v>
      </c>
      <c r="D128" s="386" t="s">
        <v>76</v>
      </c>
      <c r="E128" s="389" t="s">
        <v>155</v>
      </c>
      <c r="F128" s="390" t="s">
        <v>2255</v>
      </c>
      <c r="G128" s="381" t="s">
        <v>1477</v>
      </c>
      <c r="H128" s="849"/>
      <c r="I128" s="406" t="s">
        <v>11421</v>
      </c>
      <c r="J128" s="406" t="s">
        <v>10409</v>
      </c>
      <c r="K128" s="406" t="s">
        <v>3253</v>
      </c>
      <c r="L128" s="406" t="s">
        <v>9392</v>
      </c>
      <c r="M128" s="406" t="s">
        <v>4935</v>
      </c>
      <c r="N128" s="406" t="s">
        <v>8830</v>
      </c>
      <c r="O128" s="406" t="s">
        <v>1323</v>
      </c>
      <c r="P128" s="547" t="s">
        <v>301</v>
      </c>
      <c r="Q128" s="849"/>
      <c r="R128" s="849"/>
      <c r="S128" s="849"/>
      <c r="T128" s="849"/>
      <c r="U128" s="849"/>
      <c r="V128" s="849"/>
      <c r="W128" s="62"/>
      <c r="X128" s="417" t="s">
        <v>9819</v>
      </c>
      <c r="Y128" s="421"/>
      <c r="Z128" s="417" t="s">
        <v>9398</v>
      </c>
      <c r="AA128" s="1007" t="s">
        <v>11422</v>
      </c>
      <c r="AB128" s="683" t="s">
        <v>11423</v>
      </c>
      <c r="AC128" s="417" t="s">
        <v>2787</v>
      </c>
      <c r="AD128" s="1007" t="s">
        <v>9988</v>
      </c>
      <c r="AE128" s="852"/>
      <c r="AF128" s="1007" t="s">
        <v>11424</v>
      </c>
      <c r="AG128" s="417" t="s">
        <v>624</v>
      </c>
      <c r="AH128" s="852"/>
      <c r="AI128" s="852"/>
      <c r="AJ128" s="852"/>
      <c r="AK128" s="852"/>
      <c r="AL128" s="61"/>
      <c r="AM128" s="855"/>
      <c r="AN128" s="855"/>
      <c r="AO128" s="855"/>
      <c r="AP128" s="855"/>
      <c r="AQ128" s="855"/>
      <c r="AR128" s="855"/>
      <c r="AS128" s="855"/>
      <c r="AT128" s="855"/>
      <c r="AU128" s="427" t="s">
        <v>9788</v>
      </c>
      <c r="AV128" s="427" t="s">
        <v>1641</v>
      </c>
      <c r="AW128" s="855"/>
      <c r="AX128" s="855"/>
      <c r="AY128" s="855"/>
      <c r="AZ128" s="855"/>
      <c r="BA128" s="855"/>
      <c r="BB128" s="439" t="s">
        <v>11425</v>
      </c>
      <c r="BC128" s="1040" t="s">
        <v>10408</v>
      </c>
      <c r="BD128" s="1040" t="s">
        <v>2109</v>
      </c>
      <c r="BE128" s="439" t="s">
        <v>9923</v>
      </c>
      <c r="BF128" s="439" t="s">
        <v>4180</v>
      </c>
      <c r="BG128" s="587"/>
      <c r="BH128" s="587"/>
      <c r="BI128" s="439" t="s">
        <v>3928</v>
      </c>
      <c r="BJ128" s="587"/>
      <c r="BK128" s="589" t="s">
        <v>11426</v>
      </c>
      <c r="BL128" s="1040" t="s">
        <v>11427</v>
      </c>
      <c r="BM128" s="587"/>
      <c r="BN128" s="587"/>
      <c r="BO128" s="587"/>
      <c r="BP128" s="587"/>
      <c r="BQ128" s="857"/>
      <c r="BR128" s="448" t="s">
        <v>11428</v>
      </c>
      <c r="BS128" s="594" t="s">
        <v>11429</v>
      </c>
      <c r="BT128" s="594" t="s">
        <v>11430</v>
      </c>
      <c r="BU128" s="594" t="s">
        <v>5238</v>
      </c>
      <c r="BV128" s="594" t="s">
        <v>10863</v>
      </c>
      <c r="BW128" s="594" t="s">
        <v>492</v>
      </c>
      <c r="BX128" s="594" t="s">
        <v>11431</v>
      </c>
      <c r="BY128" s="859"/>
      <c r="BZ128" s="448" t="s">
        <v>11432</v>
      </c>
      <c r="CA128" s="594" t="s">
        <v>11433</v>
      </c>
      <c r="CB128" s="859"/>
      <c r="CC128" s="859"/>
      <c r="CD128" s="859"/>
      <c r="CE128" s="859"/>
      <c r="CF128" s="861"/>
      <c r="CG128" s="606" t="s">
        <v>11434</v>
      </c>
      <c r="CH128" s="459" t="s">
        <v>4541</v>
      </c>
      <c r="CI128" s="459" t="s">
        <v>11435</v>
      </c>
      <c r="CJ128" s="459" t="s">
        <v>11436</v>
      </c>
      <c r="CK128" s="460"/>
      <c r="CL128" s="459" t="s">
        <v>2367</v>
      </c>
      <c r="CM128" s="606" t="s">
        <v>5803</v>
      </c>
      <c r="CN128" s="459" t="s">
        <v>1330</v>
      </c>
      <c r="CO128" s="606" t="s">
        <v>827</v>
      </c>
      <c r="CP128" s="863"/>
      <c r="CQ128" s="863"/>
      <c r="CR128" s="863"/>
      <c r="CS128" s="863"/>
      <c r="CT128" s="863"/>
      <c r="CU128" s="62"/>
      <c r="CV128" s="466" t="s">
        <v>11437</v>
      </c>
      <c r="CW128" s="466" t="s">
        <v>11438</v>
      </c>
      <c r="CX128" s="466" t="s">
        <v>11439</v>
      </c>
      <c r="CY128" s="466" t="s">
        <v>7142</v>
      </c>
      <c r="CZ128" s="466" t="s">
        <v>343</v>
      </c>
      <c r="DA128" s="466" t="s">
        <v>11440</v>
      </c>
      <c r="DB128" s="466" t="s">
        <v>6249</v>
      </c>
      <c r="DC128" s="466" t="s">
        <v>2061</v>
      </c>
      <c r="DD128" s="864"/>
      <c r="DE128" s="864"/>
      <c r="DF128" s="864"/>
      <c r="DG128" s="864"/>
      <c r="DH128" s="864"/>
      <c r="DI128" s="483" t="s">
        <v>909</v>
      </c>
      <c r="DJ128" s="866"/>
      <c r="DK128" s="866"/>
      <c r="DL128" s="866"/>
      <c r="DM128" s="612" t="s">
        <v>477</v>
      </c>
      <c r="DN128" s="866"/>
      <c r="DO128" s="866"/>
      <c r="DP128" s="866"/>
      <c r="DQ128" s="866"/>
      <c r="DR128" s="707" t="s">
        <v>11441</v>
      </c>
      <c r="DS128" s="707" t="s">
        <v>11442</v>
      </c>
      <c r="DT128" s="866"/>
      <c r="DU128" s="866"/>
      <c r="DV128" s="866"/>
      <c r="DW128" s="866"/>
      <c r="DX128" s="866"/>
      <c r="DY128" s="866"/>
      <c r="DZ128" s="866"/>
      <c r="EA128" s="866"/>
      <c r="EB128" s="866"/>
      <c r="EC128" s="866"/>
      <c r="ED128" s="1941"/>
    </row>
    <row r="129">
      <c r="A129" s="1718" t="s">
        <v>11443</v>
      </c>
      <c r="B129" s="229" t="s">
        <v>11444</v>
      </c>
      <c r="C129" s="230" t="s">
        <v>155</v>
      </c>
      <c r="D129" s="231" t="s">
        <v>155</v>
      </c>
      <c r="E129" s="232" t="s">
        <v>155</v>
      </c>
      <c r="F129" s="233" t="s">
        <v>3612</v>
      </c>
      <c r="G129" s="229" t="s">
        <v>1477</v>
      </c>
      <c r="H129" s="333"/>
      <c r="I129" s="301" t="s">
        <v>345</v>
      </c>
      <c r="J129" s="263" t="s">
        <v>10778</v>
      </c>
      <c r="K129" s="242" t="s">
        <v>743</v>
      </c>
      <c r="L129" s="263" t="s">
        <v>4005</v>
      </c>
      <c r="M129" s="242" t="s">
        <v>11445</v>
      </c>
      <c r="N129" s="242" t="s">
        <v>10546</v>
      </c>
      <c r="O129" s="242" t="s">
        <v>11446</v>
      </c>
      <c r="P129" s="242" t="s">
        <v>10575</v>
      </c>
      <c r="Q129" s="304"/>
      <c r="R129" s="304"/>
      <c r="S129" s="304"/>
      <c r="T129" s="304"/>
      <c r="U129" s="304"/>
      <c r="V129" s="304"/>
      <c r="W129" s="62"/>
      <c r="X129" s="263" t="s">
        <v>4858</v>
      </c>
      <c r="Y129" s="263"/>
      <c r="Z129" s="242" t="s">
        <v>11447</v>
      </c>
      <c r="AA129" s="263" t="s">
        <v>1621</v>
      </c>
      <c r="AB129" s="242" t="s">
        <v>6154</v>
      </c>
      <c r="AC129" s="242" t="s">
        <v>4535</v>
      </c>
      <c r="AD129" s="242" t="s">
        <v>5100</v>
      </c>
      <c r="AE129" s="273"/>
      <c r="AF129" s="242" t="s">
        <v>11448</v>
      </c>
      <c r="AG129" s="242" t="s">
        <v>1605</v>
      </c>
      <c r="AH129" s="304"/>
      <c r="AI129" s="304"/>
      <c r="AJ129" s="333"/>
      <c r="AK129" s="304"/>
      <c r="AL129" s="61"/>
      <c r="AM129" s="333"/>
      <c r="AN129" s="333"/>
      <c r="AO129" s="304"/>
      <c r="AP129" s="304"/>
      <c r="AQ129" s="273"/>
      <c r="AR129" s="273"/>
      <c r="AS129" s="304"/>
      <c r="AT129" s="304"/>
      <c r="AU129" s="242" t="s">
        <v>3686</v>
      </c>
      <c r="AV129" s="242" t="s">
        <v>8336</v>
      </c>
      <c r="AW129" s="333"/>
      <c r="AX129" s="304"/>
      <c r="AY129" s="304"/>
      <c r="AZ129" s="304"/>
      <c r="BA129" s="304"/>
      <c r="BB129" s="333" t="s">
        <v>11449</v>
      </c>
      <c r="BC129" s="333" t="s">
        <v>867</v>
      </c>
      <c r="BD129" s="333" t="s">
        <v>3068</v>
      </c>
      <c r="BE129" s="333" t="s">
        <v>6068</v>
      </c>
      <c r="BF129" s="333" t="s">
        <v>11450</v>
      </c>
      <c r="BG129" s="333" t="s">
        <v>2921</v>
      </c>
      <c r="BH129" s="273"/>
      <c r="BI129" s="333" t="s">
        <v>9739</v>
      </c>
      <c r="BJ129" s="273" t="s">
        <v>11451</v>
      </c>
      <c r="BK129" s="333"/>
      <c r="BL129" s="333" t="s">
        <v>11452</v>
      </c>
      <c r="BM129" s="304"/>
      <c r="BN129" s="304"/>
      <c r="BO129" s="333"/>
      <c r="BP129" s="304"/>
      <c r="BQ129" s="841"/>
      <c r="BR129" s="333" t="s">
        <v>11453</v>
      </c>
      <c r="BS129" s="333" t="s">
        <v>8282</v>
      </c>
      <c r="BT129" s="333" t="s">
        <v>1273</v>
      </c>
      <c r="BU129" s="333" t="s">
        <v>5025</v>
      </c>
      <c r="BV129" s="333" t="s">
        <v>11454</v>
      </c>
      <c r="BW129" s="333" t="s">
        <v>11455</v>
      </c>
      <c r="BX129" s="273" t="s">
        <v>11456</v>
      </c>
      <c r="BY129" s="333" t="s">
        <v>11457</v>
      </c>
      <c r="BZ129" s="333"/>
      <c r="CA129" s="333" t="s">
        <v>11458</v>
      </c>
      <c r="CB129" s="304"/>
      <c r="CC129" s="304"/>
      <c r="CD129" s="304"/>
      <c r="CE129" s="304"/>
      <c r="CF129" s="841"/>
      <c r="CG129" s="333" t="s">
        <v>11459</v>
      </c>
      <c r="CH129" s="333" t="s">
        <v>10540</v>
      </c>
      <c r="CI129" s="333" t="s">
        <v>3475</v>
      </c>
      <c r="CJ129" s="333" t="s">
        <v>2250</v>
      </c>
      <c r="CK129" s="333" t="s">
        <v>9240</v>
      </c>
      <c r="CL129" s="333" t="s">
        <v>11351</v>
      </c>
      <c r="CM129" s="333" t="s">
        <v>1226</v>
      </c>
      <c r="CN129" s="333" t="s">
        <v>4002</v>
      </c>
      <c r="CO129" s="333" t="s">
        <v>9928</v>
      </c>
      <c r="CP129" s="768"/>
      <c r="CQ129" s="304"/>
      <c r="CR129" s="304"/>
      <c r="CS129" s="304"/>
      <c r="CT129" s="304"/>
      <c r="CU129" s="62"/>
      <c r="CV129" s="333" t="s">
        <v>10499</v>
      </c>
      <c r="CW129" s="333" t="s">
        <v>11460</v>
      </c>
      <c r="CX129" s="333" t="s">
        <v>5549</v>
      </c>
      <c r="CY129" s="333" t="s">
        <v>1738</v>
      </c>
      <c r="CZ129" s="333" t="s">
        <v>4196</v>
      </c>
      <c r="DA129" s="333" t="s">
        <v>10186</v>
      </c>
      <c r="DB129" s="333" t="s">
        <v>11461</v>
      </c>
      <c r="DC129" s="333" t="s">
        <v>2061</v>
      </c>
      <c r="DD129" s="304"/>
      <c r="DE129" s="304"/>
      <c r="DF129" s="304"/>
      <c r="DG129" s="304"/>
      <c r="DH129" s="304"/>
      <c r="DI129" s="333"/>
      <c r="DJ129" s="304"/>
      <c r="DK129" s="304"/>
      <c r="DL129" s="333"/>
      <c r="DM129" s="333"/>
      <c r="DN129" s="333"/>
      <c r="DO129" s="304"/>
      <c r="DP129" s="304"/>
      <c r="DQ129" s="304"/>
      <c r="DR129" s="333" t="s">
        <v>2247</v>
      </c>
      <c r="DS129" s="333" t="s">
        <v>11462</v>
      </c>
      <c r="DT129" s="304"/>
      <c r="DU129" s="333"/>
      <c r="DV129" s="304"/>
      <c r="DW129" s="304"/>
      <c r="DX129" s="304"/>
      <c r="DY129" s="304"/>
      <c r="DZ129" s="304"/>
      <c r="EA129" s="333"/>
      <c r="EB129" s="304"/>
      <c r="EC129" s="304"/>
      <c r="ED129" s="885"/>
    </row>
    <row r="130">
      <c r="A130" s="1942" t="s">
        <v>11463</v>
      </c>
      <c r="B130" s="381" t="s">
        <v>11464</v>
      </c>
      <c r="C130" s="384" t="s">
        <v>155</v>
      </c>
      <c r="D130" s="386" t="s">
        <v>155</v>
      </c>
      <c r="E130" s="389" t="s">
        <v>155</v>
      </c>
      <c r="F130" s="390" t="s">
        <v>76</v>
      </c>
      <c r="G130" s="381" t="s">
        <v>3378</v>
      </c>
      <c r="H130" s="849"/>
      <c r="I130" s="849"/>
      <c r="J130" s="547" t="s">
        <v>11465</v>
      </c>
      <c r="K130" s="547" t="s">
        <v>10691</v>
      </c>
      <c r="L130" s="547" t="s">
        <v>3596</v>
      </c>
      <c r="M130" s="849"/>
      <c r="N130" s="547" t="s">
        <v>8606</v>
      </c>
      <c r="O130" s="547" t="s">
        <v>907</v>
      </c>
      <c r="P130" s="547" t="s">
        <v>10069</v>
      </c>
      <c r="Q130" s="849"/>
      <c r="R130" s="849"/>
      <c r="S130" s="849"/>
      <c r="T130" s="849"/>
      <c r="U130" s="849"/>
      <c r="V130" s="849"/>
      <c r="W130" s="62"/>
      <c r="X130" s="683" t="s">
        <v>391</v>
      </c>
      <c r="Y130" s="852"/>
      <c r="Z130" s="852"/>
      <c r="AA130" s="683" t="s">
        <v>2612</v>
      </c>
      <c r="AB130" s="683" t="s">
        <v>4160</v>
      </c>
      <c r="AC130" s="852"/>
      <c r="AD130" s="852"/>
      <c r="AE130" s="852"/>
      <c r="AF130" s="852"/>
      <c r="AG130" s="852"/>
      <c r="AH130" s="852"/>
      <c r="AI130" s="852"/>
      <c r="AJ130" s="852"/>
      <c r="AK130" s="852"/>
      <c r="AL130" s="61"/>
      <c r="AM130" s="855"/>
      <c r="AN130" s="855"/>
      <c r="AO130" s="855"/>
      <c r="AP130" s="855"/>
      <c r="AQ130" s="855"/>
      <c r="AR130" s="855"/>
      <c r="AS130" s="855"/>
      <c r="AT130" s="855"/>
      <c r="AU130" s="571" t="s">
        <v>10730</v>
      </c>
      <c r="AV130" s="571" t="s">
        <v>9613</v>
      </c>
      <c r="AW130" s="855"/>
      <c r="AX130" s="855"/>
      <c r="AY130" s="855"/>
      <c r="AZ130" s="855"/>
      <c r="BA130" s="855"/>
      <c r="BB130" s="587"/>
      <c r="BC130" s="587"/>
      <c r="BD130" s="587"/>
      <c r="BE130" s="587"/>
      <c r="BF130" s="589" t="s">
        <v>7700</v>
      </c>
      <c r="BG130" s="587"/>
      <c r="BH130" s="587"/>
      <c r="BI130" s="589" t="s">
        <v>9946</v>
      </c>
      <c r="BJ130" s="587"/>
      <c r="BK130" s="589" t="s">
        <v>11466</v>
      </c>
      <c r="BL130" s="587"/>
      <c r="BM130" s="587"/>
      <c r="BN130" s="587"/>
      <c r="BO130" s="587"/>
      <c r="BP130" s="587"/>
      <c r="BQ130" s="857"/>
      <c r="BR130" s="594" t="s">
        <v>11467</v>
      </c>
      <c r="BS130" s="859"/>
      <c r="BT130" s="859"/>
      <c r="BU130" s="594" t="s">
        <v>10822</v>
      </c>
      <c r="BV130" s="859"/>
      <c r="BW130" s="859"/>
      <c r="BX130" s="859"/>
      <c r="BY130" s="859"/>
      <c r="BZ130" s="859"/>
      <c r="CA130" s="859"/>
      <c r="CB130" s="859"/>
      <c r="CC130" s="859"/>
      <c r="CD130" s="859"/>
      <c r="CE130" s="859"/>
      <c r="CF130" s="861"/>
      <c r="CG130" s="606" t="s">
        <v>11468</v>
      </c>
      <c r="CH130" s="606" t="s">
        <v>4913</v>
      </c>
      <c r="CI130" s="863"/>
      <c r="CJ130" s="606" t="s">
        <v>11469</v>
      </c>
      <c r="CK130" s="606"/>
      <c r="CL130" s="606"/>
      <c r="CM130" s="863"/>
      <c r="CN130" s="863"/>
      <c r="CO130" s="459" t="s">
        <v>4604</v>
      </c>
      <c r="CP130" s="863"/>
      <c r="CQ130" s="863"/>
      <c r="CR130" s="863"/>
      <c r="CS130" s="863"/>
      <c r="CT130" s="863"/>
      <c r="CU130" s="62"/>
      <c r="CV130" s="703" t="s">
        <v>6627</v>
      </c>
      <c r="CW130" s="864"/>
      <c r="CX130" s="864"/>
      <c r="CY130" s="864"/>
      <c r="CZ130" s="864"/>
      <c r="DA130" s="703" t="s">
        <v>4605</v>
      </c>
      <c r="DB130" s="703" t="s">
        <v>4786</v>
      </c>
      <c r="DC130" s="703" t="s">
        <v>1666</v>
      </c>
      <c r="DD130" s="864"/>
      <c r="DE130" s="864"/>
      <c r="DF130" s="864"/>
      <c r="DG130" s="864"/>
      <c r="DH130" s="864"/>
      <c r="DI130" s="866"/>
      <c r="DJ130" s="866"/>
      <c r="DK130" s="866"/>
      <c r="DL130" s="866"/>
      <c r="DM130" s="866"/>
      <c r="DN130" s="866"/>
      <c r="DO130" s="866"/>
      <c r="DP130" s="866"/>
      <c r="DQ130" s="866"/>
      <c r="DR130" s="866"/>
      <c r="DS130" s="866"/>
      <c r="DT130" s="866"/>
      <c r="DU130" s="866"/>
      <c r="DV130" s="866"/>
      <c r="DW130" s="866"/>
      <c r="DX130" s="866"/>
      <c r="DY130" s="866"/>
      <c r="DZ130" s="866"/>
      <c r="EA130" s="866"/>
      <c r="EB130" s="866"/>
      <c r="EC130" s="866"/>
      <c r="ED130" s="1941"/>
    </row>
    <row r="131">
      <c r="A131" s="1943" t="s">
        <v>11470</v>
      </c>
      <c r="B131" s="229" t="s">
        <v>11471</v>
      </c>
      <c r="C131" s="230" t="s">
        <v>155</v>
      </c>
      <c r="D131" s="231" t="s">
        <v>155</v>
      </c>
      <c r="E131" s="232" t="s">
        <v>155</v>
      </c>
      <c r="F131" s="233" t="s">
        <v>191</v>
      </c>
      <c r="G131" s="229" t="s">
        <v>74</v>
      </c>
      <c r="H131" s="333"/>
      <c r="I131" s="274"/>
      <c r="J131" s="333"/>
      <c r="K131" s="242" t="s">
        <v>8119</v>
      </c>
      <c r="L131" s="333" t="s">
        <v>1981</v>
      </c>
      <c r="M131" s="333"/>
      <c r="N131" s="333"/>
      <c r="O131" s="242" t="s">
        <v>11472</v>
      </c>
      <c r="P131" s="242" t="s">
        <v>379</v>
      </c>
      <c r="Q131" s="304"/>
      <c r="R131" s="304"/>
      <c r="S131" s="304"/>
      <c r="T131" s="304"/>
      <c r="U131" s="304"/>
      <c r="V131" s="304"/>
      <c r="W131" s="62"/>
      <c r="X131" s="333" t="s">
        <v>11473</v>
      </c>
      <c r="Y131" s="263"/>
      <c r="Z131" s="242" t="s">
        <v>5079</v>
      </c>
      <c r="AA131" s="242" t="s">
        <v>5043</v>
      </c>
      <c r="AB131" s="908" t="s">
        <v>5271</v>
      </c>
      <c r="AC131" s="242" t="s">
        <v>5252</v>
      </c>
      <c r="AD131" s="333"/>
      <c r="AE131" s="304"/>
      <c r="AF131" s="333"/>
      <c r="AG131" s="333"/>
      <c r="AH131" s="304"/>
      <c r="AI131" s="304"/>
      <c r="AJ131" s="333"/>
      <c r="AK131" s="304"/>
      <c r="AL131" s="61"/>
      <c r="AM131" s="333"/>
      <c r="AN131" s="333"/>
      <c r="AO131" s="304"/>
      <c r="AP131" s="304"/>
      <c r="AQ131" s="273"/>
      <c r="AR131" s="273"/>
      <c r="AS131" s="304"/>
      <c r="AT131" s="304"/>
      <c r="AU131" s="333"/>
      <c r="AV131" s="333" t="s">
        <v>10581</v>
      </c>
      <c r="AW131" s="333"/>
      <c r="AX131" s="304"/>
      <c r="AY131" s="304"/>
      <c r="AZ131" s="304"/>
      <c r="BA131" s="304"/>
      <c r="BB131" s="333"/>
      <c r="BC131" s="333" t="s">
        <v>9938</v>
      </c>
      <c r="BD131" s="333" t="s">
        <v>2987</v>
      </c>
      <c r="BE131" s="333"/>
      <c r="BF131" s="333"/>
      <c r="BG131" s="333"/>
      <c r="BH131" s="304"/>
      <c r="BI131" s="333"/>
      <c r="BJ131" s="304"/>
      <c r="BK131" s="333"/>
      <c r="BL131" s="333"/>
      <c r="BM131" s="304"/>
      <c r="BN131" s="304"/>
      <c r="BO131" s="333"/>
      <c r="BP131" s="304"/>
      <c r="BQ131" s="841"/>
      <c r="BR131" s="333"/>
      <c r="BS131" s="333"/>
      <c r="BT131" s="333"/>
      <c r="BU131" s="333" t="s">
        <v>5137</v>
      </c>
      <c r="BV131" s="333"/>
      <c r="BW131" s="242" t="s">
        <v>11474</v>
      </c>
      <c r="BX131" s="304"/>
      <c r="BY131" s="333"/>
      <c r="BZ131" s="333"/>
      <c r="CA131" s="333"/>
      <c r="CB131" s="304"/>
      <c r="CC131" s="304"/>
      <c r="CD131" s="304"/>
      <c r="CE131" s="304"/>
      <c r="CF131" s="841"/>
      <c r="CG131" s="333"/>
      <c r="CH131" s="333" t="s">
        <v>11475</v>
      </c>
      <c r="CI131" s="333"/>
      <c r="CJ131" s="333"/>
      <c r="CK131" s="333"/>
      <c r="CL131" s="333"/>
      <c r="CM131" s="333"/>
      <c r="CN131" s="885" t="s">
        <v>1735</v>
      </c>
      <c r="CO131" s="242" t="s">
        <v>4604</v>
      </c>
      <c r="CP131" s="768"/>
      <c r="CQ131" s="304"/>
      <c r="CR131" s="304"/>
      <c r="CS131" s="304"/>
      <c r="CT131" s="304"/>
      <c r="CU131" s="62"/>
      <c r="CV131" s="333"/>
      <c r="CW131" s="333"/>
      <c r="CX131" s="242" t="s">
        <v>4233</v>
      </c>
      <c r="CY131" s="333"/>
      <c r="CZ131" s="333"/>
      <c r="DA131" s="333"/>
      <c r="DB131" s="242" t="s">
        <v>11476</v>
      </c>
      <c r="DC131" s="333"/>
      <c r="DD131" s="304"/>
      <c r="DE131" s="304"/>
      <c r="DF131" s="304"/>
      <c r="DG131" s="304"/>
      <c r="DH131" s="304"/>
      <c r="DI131" s="333"/>
      <c r="DJ131" s="304"/>
      <c r="DK131" s="304"/>
      <c r="DL131" s="333"/>
      <c r="DM131" s="333"/>
      <c r="DN131" s="333"/>
      <c r="DO131" s="304"/>
      <c r="DP131" s="304"/>
      <c r="DQ131" s="304"/>
      <c r="DR131" s="333"/>
      <c r="DS131" s="333"/>
      <c r="DT131" s="304"/>
      <c r="DU131" s="333"/>
      <c r="DV131" s="304"/>
      <c r="DW131" s="304"/>
      <c r="DX131" s="304"/>
      <c r="DY131" s="304"/>
      <c r="DZ131" s="304"/>
      <c r="EA131" s="333"/>
      <c r="EB131" s="304"/>
      <c r="EC131" s="304"/>
      <c r="ED131" s="885"/>
    </row>
    <row r="132">
      <c r="A132" s="1944" t="s">
        <v>3888</v>
      </c>
      <c r="B132" s="381" t="s">
        <v>11477</v>
      </c>
      <c r="C132" s="384" t="s">
        <v>155</v>
      </c>
      <c r="D132" s="386" t="s">
        <v>155</v>
      </c>
      <c r="E132" s="389" t="s">
        <v>155</v>
      </c>
      <c r="F132" s="390" t="s">
        <v>155</v>
      </c>
      <c r="G132" s="381" t="s">
        <v>4403</v>
      </c>
      <c r="H132" s="1945" t="s">
        <v>11478</v>
      </c>
      <c r="I132" s="1549" t="s">
        <v>10402</v>
      </c>
      <c r="J132" s="1549" t="s">
        <v>11479</v>
      </c>
      <c r="K132" s="1549" t="s">
        <v>9518</v>
      </c>
      <c r="L132" s="1549" t="s">
        <v>7137</v>
      </c>
      <c r="M132" s="1549" t="s">
        <v>11480</v>
      </c>
      <c r="N132" s="1549" t="s">
        <v>11481</v>
      </c>
      <c r="O132" s="1549" t="s">
        <v>4202</v>
      </c>
      <c r="P132" s="1549" t="s">
        <v>10917</v>
      </c>
      <c r="Q132" s="547" t="s">
        <v>11482</v>
      </c>
      <c r="R132" s="849"/>
      <c r="S132" s="547" t="s">
        <v>3480</v>
      </c>
      <c r="T132" s="849"/>
      <c r="U132" s="547" t="s">
        <v>4633</v>
      </c>
      <c r="V132" s="547" t="s">
        <v>3460</v>
      </c>
      <c r="W132" s="62"/>
      <c r="X132" s="1218" t="s">
        <v>6436</v>
      </c>
      <c r="Y132" s="1218"/>
      <c r="Z132" s="1218" t="s">
        <v>159</v>
      </c>
      <c r="AA132" s="1218" t="s">
        <v>4912</v>
      </c>
      <c r="AB132" s="1007" t="s">
        <v>7761</v>
      </c>
      <c r="AC132" s="1218" t="s">
        <v>5924</v>
      </c>
      <c r="AD132" s="1218" t="s">
        <v>10932</v>
      </c>
      <c r="AE132" s="852"/>
      <c r="AF132" s="1218" t="s">
        <v>9383</v>
      </c>
      <c r="AG132" s="1218" t="s">
        <v>301</v>
      </c>
      <c r="AH132" s="683" t="s">
        <v>5588</v>
      </c>
      <c r="AI132" s="852"/>
      <c r="AJ132" s="1218" t="s">
        <v>8505</v>
      </c>
      <c r="AK132" s="683" t="s">
        <v>11483</v>
      </c>
      <c r="AL132" s="61"/>
      <c r="AM132" s="1725" t="s">
        <v>546</v>
      </c>
      <c r="AN132" s="1725" t="s">
        <v>4318</v>
      </c>
      <c r="AO132" s="855"/>
      <c r="AP132" s="855"/>
      <c r="AQ132" s="571" t="s">
        <v>11484</v>
      </c>
      <c r="AR132" s="571" t="s">
        <v>4344</v>
      </c>
      <c r="AS132" s="571" t="s">
        <v>4420</v>
      </c>
      <c r="AT132" s="855"/>
      <c r="AU132" s="1725" t="s">
        <v>11341</v>
      </c>
      <c r="AV132" s="1725" t="s">
        <v>10773</v>
      </c>
      <c r="AW132" s="435"/>
      <c r="AX132" s="855"/>
      <c r="AY132" s="571" t="s">
        <v>4060</v>
      </c>
      <c r="AZ132" s="571" t="s">
        <v>11485</v>
      </c>
      <c r="BA132" s="855"/>
      <c r="BB132" s="695" t="s">
        <v>11486</v>
      </c>
      <c r="BC132" s="695" t="s">
        <v>5201</v>
      </c>
      <c r="BD132" s="695" t="s">
        <v>11487</v>
      </c>
      <c r="BE132" s="695" t="s">
        <v>8505</v>
      </c>
      <c r="BF132" s="695" t="s">
        <v>11488</v>
      </c>
      <c r="BG132" s="695" t="s">
        <v>10526</v>
      </c>
      <c r="BH132" s="589" t="s">
        <v>11489</v>
      </c>
      <c r="BI132" s="695" t="s">
        <v>10589</v>
      </c>
      <c r="BJ132" s="587"/>
      <c r="BK132" s="695" t="s">
        <v>11490</v>
      </c>
      <c r="BL132" s="695" t="s">
        <v>4368</v>
      </c>
      <c r="BM132" s="589" t="s">
        <v>11491</v>
      </c>
      <c r="BN132" s="587"/>
      <c r="BO132" s="695" t="s">
        <v>572</v>
      </c>
      <c r="BP132" s="587"/>
      <c r="BQ132" s="857"/>
      <c r="BR132" s="1717" t="s">
        <v>11492</v>
      </c>
      <c r="BS132" s="1717" t="s">
        <v>11493</v>
      </c>
      <c r="BT132" s="1717" t="s">
        <v>1352</v>
      </c>
      <c r="BU132" s="1717" t="s">
        <v>1169</v>
      </c>
      <c r="BV132" s="1717" t="s">
        <v>11273</v>
      </c>
      <c r="BW132" s="1717" t="s">
        <v>959</v>
      </c>
      <c r="BX132" s="594" t="s">
        <v>11494</v>
      </c>
      <c r="BY132" s="451"/>
      <c r="BZ132" s="1717" t="s">
        <v>11495</v>
      </c>
      <c r="CA132" s="1717" t="s">
        <v>11496</v>
      </c>
      <c r="CB132" s="594" t="s">
        <v>11497</v>
      </c>
      <c r="CC132" s="859"/>
      <c r="CD132" s="859"/>
      <c r="CE132" s="594" t="s">
        <v>11498</v>
      </c>
      <c r="CF132" s="861"/>
      <c r="CG132" s="1607" t="s">
        <v>1149</v>
      </c>
      <c r="CH132" s="1607" t="s">
        <v>10976</v>
      </c>
      <c r="CI132" s="1607" t="s">
        <v>4385</v>
      </c>
      <c r="CJ132" s="1607" t="s">
        <v>11499</v>
      </c>
      <c r="CK132" s="1607" t="s">
        <v>11500</v>
      </c>
      <c r="CL132" s="1607" t="s">
        <v>11501</v>
      </c>
      <c r="CM132" s="1607" t="s">
        <v>8389</v>
      </c>
      <c r="CN132" s="1607" t="s">
        <v>4093</v>
      </c>
      <c r="CO132" s="1607" t="s">
        <v>4865</v>
      </c>
      <c r="CP132" s="1800"/>
      <c r="CQ132" s="863"/>
      <c r="CR132" s="863"/>
      <c r="CS132" s="863"/>
      <c r="CT132" s="606" t="s">
        <v>11502</v>
      </c>
      <c r="CU132" s="62"/>
      <c r="CV132" s="972" t="s">
        <v>220</v>
      </c>
      <c r="CW132" s="972" t="s">
        <v>11503</v>
      </c>
      <c r="CX132" s="1946" t="s">
        <v>11504</v>
      </c>
      <c r="CY132" s="972" t="s">
        <v>9885</v>
      </c>
      <c r="CZ132" s="972" t="s">
        <v>9132</v>
      </c>
      <c r="DA132" s="972" t="s">
        <v>10353</v>
      </c>
      <c r="DB132" s="972" t="s">
        <v>11505</v>
      </c>
      <c r="DC132" s="972" t="s">
        <v>6482</v>
      </c>
      <c r="DD132" s="703" t="s">
        <v>5454</v>
      </c>
      <c r="DE132" s="864"/>
      <c r="DF132" s="864"/>
      <c r="DG132" s="703" t="s">
        <v>11506</v>
      </c>
      <c r="DH132" s="864"/>
      <c r="DI132" s="974" t="s">
        <v>2022</v>
      </c>
      <c r="DJ132" s="866"/>
      <c r="DK132" s="707" t="s">
        <v>5457</v>
      </c>
      <c r="DL132" s="974" t="s">
        <v>11507</v>
      </c>
      <c r="DM132" s="974" t="s">
        <v>2090</v>
      </c>
      <c r="DN132" s="974" t="s">
        <v>9795</v>
      </c>
      <c r="DO132" s="707" t="s">
        <v>11508</v>
      </c>
      <c r="DP132" s="707" t="s">
        <v>11509</v>
      </c>
      <c r="DQ132" s="707" t="s">
        <v>11510</v>
      </c>
      <c r="DR132" s="974" t="s">
        <v>11511</v>
      </c>
      <c r="DS132" s="709"/>
      <c r="DT132" s="866"/>
      <c r="DU132" s="974" t="s">
        <v>3470</v>
      </c>
      <c r="DV132" s="866"/>
      <c r="DW132" s="866"/>
      <c r="DX132" s="866"/>
      <c r="DY132" s="866"/>
      <c r="DZ132" s="707" t="s">
        <v>6976</v>
      </c>
      <c r="EA132" s="974" t="s">
        <v>8665</v>
      </c>
      <c r="EB132" s="866"/>
      <c r="EC132" s="707" t="s">
        <v>6254</v>
      </c>
      <c r="ED132" s="974" t="s">
        <v>11512</v>
      </c>
    </row>
    <row r="133">
      <c r="A133" s="228" t="s">
        <v>11513</v>
      </c>
      <c r="B133" s="229" t="s">
        <v>11514</v>
      </c>
      <c r="C133" s="230" t="s">
        <v>155</v>
      </c>
      <c r="D133" s="231" t="s">
        <v>155</v>
      </c>
      <c r="E133" s="232" t="s">
        <v>155</v>
      </c>
      <c r="F133" s="233" t="s">
        <v>155</v>
      </c>
      <c r="G133" s="229" t="s">
        <v>1064</v>
      </c>
      <c r="H133" s="304"/>
      <c r="I133" s="273" t="s">
        <v>6927</v>
      </c>
      <c r="J133" s="304"/>
      <c r="K133" s="304"/>
      <c r="L133" s="273" t="s">
        <v>2736</v>
      </c>
      <c r="M133" s="304"/>
      <c r="N133" s="273" t="s">
        <v>7106</v>
      </c>
      <c r="O133" s="273" t="s">
        <v>1351</v>
      </c>
      <c r="P133" s="273" t="s">
        <v>9897</v>
      </c>
      <c r="Q133" s="304"/>
      <c r="R133" s="304"/>
      <c r="S133" s="304"/>
      <c r="T133" s="304"/>
      <c r="U133" s="273" t="s">
        <v>4085</v>
      </c>
      <c r="V133" s="304"/>
      <c r="W133" s="62"/>
      <c r="X133" s="304"/>
      <c r="Y133" s="273"/>
      <c r="Z133" s="273" t="s">
        <v>2073</v>
      </c>
      <c r="AA133" s="273" t="s">
        <v>5043</v>
      </c>
      <c r="AB133" s="304"/>
      <c r="AC133" s="273" t="s">
        <v>4815</v>
      </c>
      <c r="AD133" s="304"/>
      <c r="AE133" s="304"/>
      <c r="AF133" s="273" t="s">
        <v>7725</v>
      </c>
      <c r="AG133" s="304"/>
      <c r="AH133" s="304"/>
      <c r="AI133" s="304"/>
      <c r="AJ133" s="304"/>
      <c r="AK133" s="304"/>
      <c r="AL133" s="61"/>
      <c r="AM133" s="273"/>
      <c r="AN133" s="273" t="s">
        <v>5299</v>
      </c>
      <c r="AO133" s="304"/>
      <c r="AP133" s="304"/>
      <c r="AQ133" s="304"/>
      <c r="AR133" s="304"/>
      <c r="AS133" s="304"/>
      <c r="AT133" s="304"/>
      <c r="AU133" s="273" t="s">
        <v>9817</v>
      </c>
      <c r="AV133" s="304"/>
      <c r="AW133" s="304"/>
      <c r="AX133" s="304"/>
      <c r="AY133" s="273" t="s">
        <v>11272</v>
      </c>
      <c r="AZ133" s="304"/>
      <c r="BA133" s="304"/>
      <c r="BB133" s="304"/>
      <c r="BC133" s="304"/>
      <c r="BD133" s="304"/>
      <c r="BE133" s="273" t="s">
        <v>5619</v>
      </c>
      <c r="BF133" s="273" t="s">
        <v>6772</v>
      </c>
      <c r="BG133" s="304"/>
      <c r="BH133" s="304"/>
      <c r="BI133" s="273" t="s">
        <v>11289</v>
      </c>
      <c r="BJ133" s="304"/>
      <c r="BK133" s="304"/>
      <c r="BL133" s="304"/>
      <c r="BM133" s="304"/>
      <c r="BN133" s="304"/>
      <c r="BO133" s="304"/>
      <c r="BP133" s="304"/>
      <c r="BQ133" s="841"/>
      <c r="BR133" s="304"/>
      <c r="BS133" s="273" t="s">
        <v>2541</v>
      </c>
      <c r="BT133" s="273" t="s">
        <v>5547</v>
      </c>
      <c r="BU133" s="304"/>
      <c r="BV133" s="304"/>
      <c r="BW133" s="273" t="s">
        <v>5859</v>
      </c>
      <c r="BX133" s="304"/>
      <c r="BY133" s="273" t="s">
        <v>11515</v>
      </c>
      <c r="BZ133" s="304"/>
      <c r="CA133" s="304"/>
      <c r="CB133" s="304"/>
      <c r="CC133" s="304"/>
      <c r="CD133" s="304"/>
      <c r="CE133" s="304"/>
      <c r="CF133" s="841"/>
      <c r="CG133" s="304"/>
      <c r="CH133" s="304"/>
      <c r="CI133" s="304"/>
      <c r="CJ133" s="273" t="s">
        <v>11516</v>
      </c>
      <c r="CK133" s="273"/>
      <c r="CL133" s="273"/>
      <c r="CM133" s="304"/>
      <c r="CN133" s="304"/>
      <c r="CO133" s="304"/>
      <c r="CP133" s="304"/>
      <c r="CQ133" s="304"/>
      <c r="CR133" s="304"/>
      <c r="CS133" s="304"/>
      <c r="CT133" s="304"/>
      <c r="CU133" s="62"/>
      <c r="CV133" s="273" t="s">
        <v>4319</v>
      </c>
      <c r="CW133" s="304"/>
      <c r="CX133" s="273" t="s">
        <v>10063</v>
      </c>
      <c r="CY133" s="304"/>
      <c r="CZ133" s="304"/>
      <c r="DA133" s="304"/>
      <c r="DB133" s="273" t="s">
        <v>11517</v>
      </c>
      <c r="DC133" s="273" t="s">
        <v>5336</v>
      </c>
      <c r="DD133" s="304"/>
      <c r="DE133" s="304"/>
      <c r="DF133" s="304"/>
      <c r="DG133" s="304"/>
      <c r="DH133" s="304"/>
      <c r="DI133" s="304"/>
      <c r="DJ133" s="304"/>
      <c r="DK133" s="304"/>
      <c r="DL133" s="304"/>
      <c r="DM133" s="304"/>
      <c r="DN133" s="304"/>
      <c r="DO133" s="304"/>
      <c r="DP133" s="304"/>
      <c r="DQ133" s="304"/>
      <c r="DR133" s="304"/>
      <c r="DS133" s="304"/>
      <c r="DT133" s="304"/>
      <c r="DU133" s="304"/>
      <c r="DV133" s="304"/>
      <c r="DW133" s="304"/>
      <c r="DX133" s="304"/>
      <c r="DY133" s="304"/>
      <c r="DZ133" s="304"/>
      <c r="EA133" s="273" t="s">
        <v>9795</v>
      </c>
      <c r="EB133" s="304"/>
      <c r="EC133" s="304"/>
      <c r="ED133" s="885"/>
    </row>
    <row r="134">
      <c r="A134" s="1947" t="s">
        <v>11518</v>
      </c>
      <c r="B134" s="381" t="s">
        <v>11519</v>
      </c>
      <c r="C134" s="384" t="s">
        <v>155</v>
      </c>
      <c r="D134" s="386" t="s">
        <v>155</v>
      </c>
      <c r="E134" s="389" t="s">
        <v>155</v>
      </c>
      <c r="F134" s="390" t="s">
        <v>1976</v>
      </c>
      <c r="G134" s="381" t="s">
        <v>1976</v>
      </c>
      <c r="H134" s="406" t="s">
        <v>11520</v>
      </c>
      <c r="I134" s="406" t="s">
        <v>2655</v>
      </c>
      <c r="J134" s="406" t="s">
        <v>10722</v>
      </c>
      <c r="K134" s="849"/>
      <c r="L134" s="406" t="s">
        <v>5838</v>
      </c>
      <c r="M134" s="406" t="s">
        <v>11521</v>
      </c>
      <c r="N134" s="849"/>
      <c r="O134" s="849"/>
      <c r="P134" s="406" t="s">
        <v>10103</v>
      </c>
      <c r="Q134" s="849"/>
      <c r="R134" s="849"/>
      <c r="S134" s="849"/>
      <c r="T134" s="849"/>
      <c r="U134" s="849"/>
      <c r="V134" s="849"/>
      <c r="W134" s="62"/>
      <c r="X134" s="417" t="s">
        <v>8951</v>
      </c>
      <c r="Y134" s="919"/>
      <c r="Z134" s="417" t="s">
        <v>2111</v>
      </c>
      <c r="AA134" s="417" t="s">
        <v>2662</v>
      </c>
      <c r="AB134" s="852"/>
      <c r="AC134" s="852"/>
      <c r="AD134" s="852"/>
      <c r="AE134" s="852"/>
      <c r="AF134" s="417" t="s">
        <v>8809</v>
      </c>
      <c r="AG134" s="852"/>
      <c r="AH134" s="852"/>
      <c r="AI134" s="852"/>
      <c r="AJ134" s="852"/>
      <c r="AK134" s="852"/>
      <c r="AL134" s="61"/>
      <c r="AM134" s="855"/>
      <c r="AN134" s="855"/>
      <c r="AO134" s="855"/>
      <c r="AP134" s="855"/>
      <c r="AQ134" s="855"/>
      <c r="AR134" s="855"/>
      <c r="AS134" s="855"/>
      <c r="AT134" s="855"/>
      <c r="AU134" s="855"/>
      <c r="AV134" s="855"/>
      <c r="AW134" s="855"/>
      <c r="AX134" s="855"/>
      <c r="AY134" s="855"/>
      <c r="AZ134" s="855"/>
      <c r="BA134" s="855"/>
      <c r="BB134" s="587"/>
      <c r="BC134" s="587"/>
      <c r="BD134" s="587"/>
      <c r="BE134" s="587"/>
      <c r="BF134" s="439" t="s">
        <v>9766</v>
      </c>
      <c r="BG134" s="587"/>
      <c r="BH134" s="587"/>
      <c r="BI134" s="587"/>
      <c r="BJ134" s="587"/>
      <c r="BK134" s="587"/>
      <c r="BL134" s="587"/>
      <c r="BM134" s="587"/>
      <c r="BN134" s="587"/>
      <c r="BO134" s="587"/>
      <c r="BP134" s="587"/>
      <c r="BQ134" s="857"/>
      <c r="BR134" s="448" t="s">
        <v>8537</v>
      </c>
      <c r="BS134" s="859"/>
      <c r="BT134" s="448" t="s">
        <v>11149</v>
      </c>
      <c r="BU134" s="859"/>
      <c r="BV134" s="859"/>
      <c r="BW134" s="859"/>
      <c r="BX134" s="859"/>
      <c r="BY134" s="859"/>
      <c r="BZ134" s="859"/>
      <c r="CA134" s="448" t="s">
        <v>11522</v>
      </c>
      <c r="CB134" s="859"/>
      <c r="CC134" s="859"/>
      <c r="CD134" s="859"/>
      <c r="CE134" s="859"/>
      <c r="CF134" s="861"/>
      <c r="CG134" s="459" t="s">
        <v>6995</v>
      </c>
      <c r="CH134" s="459" t="s">
        <v>9352</v>
      </c>
      <c r="CI134" s="863"/>
      <c r="CJ134" s="459" t="s">
        <v>10727</v>
      </c>
      <c r="CK134" s="904"/>
      <c r="CL134" s="904"/>
      <c r="CM134" s="459" t="s">
        <v>3718</v>
      </c>
      <c r="CN134" s="459" t="s">
        <v>4996</v>
      </c>
      <c r="CO134" s="863"/>
      <c r="CP134" s="863"/>
      <c r="CQ134" s="863"/>
      <c r="CR134" s="863"/>
      <c r="CS134" s="863"/>
      <c r="CT134" s="863"/>
      <c r="CU134" s="62"/>
      <c r="CV134" s="864"/>
      <c r="CW134" s="864"/>
      <c r="CX134" s="864"/>
      <c r="CY134" s="864"/>
      <c r="CZ134" s="864"/>
      <c r="DA134" s="864"/>
      <c r="DB134" s="466" t="s">
        <v>6295</v>
      </c>
      <c r="DC134" s="864"/>
      <c r="DD134" s="864"/>
      <c r="DE134" s="864"/>
      <c r="DF134" s="864"/>
      <c r="DG134" s="864"/>
      <c r="DH134" s="864"/>
      <c r="DI134" s="483" t="s">
        <v>1286</v>
      </c>
      <c r="DJ134" s="866"/>
      <c r="DK134" s="866"/>
      <c r="DL134" s="866"/>
      <c r="DM134" s="483" t="s">
        <v>5216</v>
      </c>
      <c r="DN134" s="866"/>
      <c r="DO134" s="866"/>
      <c r="DP134" s="866"/>
      <c r="DQ134" s="866"/>
      <c r="DR134" s="866"/>
      <c r="DS134" s="866"/>
      <c r="DT134" s="866"/>
      <c r="DU134" s="866"/>
      <c r="DV134" s="866"/>
      <c r="DW134" s="866"/>
      <c r="DX134" s="866"/>
      <c r="DY134" s="866"/>
      <c r="DZ134" s="866"/>
      <c r="EA134" s="866"/>
      <c r="EB134" s="866"/>
      <c r="EC134" s="866"/>
      <c r="ED134" s="1941"/>
    </row>
    <row r="135">
      <c r="A135" s="492" t="s">
        <v>11523</v>
      </c>
      <c r="B135" s="229" t="s">
        <v>11524</v>
      </c>
      <c r="C135" s="230" t="s">
        <v>155</v>
      </c>
      <c r="D135" s="231" t="s">
        <v>155</v>
      </c>
      <c r="E135" s="232" t="s">
        <v>155</v>
      </c>
      <c r="F135" s="233" t="s">
        <v>155</v>
      </c>
      <c r="G135" s="229" t="s">
        <v>1695</v>
      </c>
      <c r="H135" s="273" t="s">
        <v>11525</v>
      </c>
      <c r="I135" s="273" t="s">
        <v>5893</v>
      </c>
      <c r="J135" s="273" t="s">
        <v>1471</v>
      </c>
      <c r="K135" s="273" t="s">
        <v>744</v>
      </c>
      <c r="L135" s="273" t="s">
        <v>6018</v>
      </c>
      <c r="M135" s="273" t="s">
        <v>11526</v>
      </c>
      <c r="N135" s="273" t="s">
        <v>5768</v>
      </c>
      <c r="O135" s="273" t="s">
        <v>11527</v>
      </c>
      <c r="P135" s="304"/>
      <c r="Q135" s="304"/>
      <c r="R135" s="304"/>
      <c r="S135" s="304"/>
      <c r="T135" s="304"/>
      <c r="U135" s="304"/>
      <c r="V135" s="304"/>
      <c r="W135" s="62"/>
      <c r="X135" s="273" t="s">
        <v>6312</v>
      </c>
      <c r="Y135" s="273"/>
      <c r="Z135" s="273" t="s">
        <v>5296</v>
      </c>
      <c r="AA135" s="273" t="s">
        <v>11364</v>
      </c>
      <c r="AB135" s="273" t="s">
        <v>8111</v>
      </c>
      <c r="AC135" s="273" t="s">
        <v>2237</v>
      </c>
      <c r="AD135" s="273" t="s">
        <v>11132</v>
      </c>
      <c r="AE135" s="304"/>
      <c r="AF135" s="273" t="s">
        <v>7204</v>
      </c>
      <c r="AG135" s="304"/>
      <c r="AH135" s="304"/>
      <c r="AI135" s="304"/>
      <c r="AJ135" s="304"/>
      <c r="AK135" s="304"/>
      <c r="AL135" s="61"/>
      <c r="AM135" s="304"/>
      <c r="AN135" s="304"/>
      <c r="AO135" s="304"/>
      <c r="AP135" s="304"/>
      <c r="AQ135" s="304"/>
      <c r="AR135" s="304"/>
      <c r="AS135" s="304"/>
      <c r="AT135" s="304"/>
      <c r="AU135" s="304"/>
      <c r="AV135" s="273" t="s">
        <v>11020</v>
      </c>
      <c r="AW135" s="304"/>
      <c r="AX135" s="304"/>
      <c r="AY135" s="304"/>
      <c r="AZ135" s="304"/>
      <c r="BA135" s="304"/>
      <c r="BB135" s="273" t="s">
        <v>3075</v>
      </c>
      <c r="BC135" s="273" t="s">
        <v>11528</v>
      </c>
      <c r="BD135" s="273" t="s">
        <v>10423</v>
      </c>
      <c r="BE135" s="304"/>
      <c r="BF135" s="304"/>
      <c r="BG135" s="304"/>
      <c r="BH135" s="304"/>
      <c r="BI135" s="273" t="s">
        <v>3944</v>
      </c>
      <c r="BJ135" s="304"/>
      <c r="BK135" s="304"/>
      <c r="BL135" s="304"/>
      <c r="BM135" s="304"/>
      <c r="BN135" s="304"/>
      <c r="BO135" s="304"/>
      <c r="BP135" s="304"/>
      <c r="BQ135" s="841"/>
      <c r="BR135" s="273"/>
      <c r="BS135" s="273" t="s">
        <v>3375</v>
      </c>
      <c r="BT135" s="273" t="s">
        <v>10859</v>
      </c>
      <c r="BU135" s="273" t="s">
        <v>5354</v>
      </c>
      <c r="BV135" s="273" t="s">
        <v>11407</v>
      </c>
      <c r="BW135" s="273" t="s">
        <v>11401</v>
      </c>
      <c r="BX135" s="304"/>
      <c r="BY135" s="304"/>
      <c r="BZ135" s="304"/>
      <c r="CA135" s="304"/>
      <c r="CB135" s="304"/>
      <c r="CC135" s="304"/>
      <c r="CD135" s="304"/>
      <c r="CE135" s="304"/>
      <c r="CF135" s="841"/>
      <c r="CG135" s="273" t="s">
        <v>11529</v>
      </c>
      <c r="CH135" s="273" t="s">
        <v>10252</v>
      </c>
      <c r="CI135" s="304"/>
      <c r="CJ135" s="304"/>
      <c r="CK135" s="304"/>
      <c r="CL135" s="304"/>
      <c r="CM135" s="304"/>
      <c r="CN135" s="304"/>
      <c r="CO135" s="304"/>
      <c r="CP135" s="304"/>
      <c r="CQ135" s="304"/>
      <c r="CR135" s="304"/>
      <c r="CS135" s="304"/>
      <c r="CT135" s="304"/>
      <c r="CU135" s="62"/>
      <c r="CV135" s="273" t="s">
        <v>10728</v>
      </c>
      <c r="CW135" s="273" t="s">
        <v>11530</v>
      </c>
      <c r="CX135" s="273" t="s">
        <v>11111</v>
      </c>
      <c r="CY135" s="304"/>
      <c r="CZ135" s="304"/>
      <c r="DA135" s="304"/>
      <c r="DB135" s="273" t="s">
        <v>11531</v>
      </c>
      <c r="DC135" s="304"/>
      <c r="DD135" s="304"/>
      <c r="DE135" s="304"/>
      <c r="DF135" s="304"/>
      <c r="DG135" s="304"/>
      <c r="DH135" s="304"/>
      <c r="DI135" s="304"/>
      <c r="DJ135" s="304"/>
      <c r="DK135" s="304"/>
      <c r="DL135" s="304"/>
      <c r="DM135" s="304"/>
      <c r="DN135" s="304"/>
      <c r="DO135" s="304"/>
      <c r="DP135" s="304"/>
      <c r="DQ135" s="304"/>
      <c r="DR135" s="273" t="s">
        <v>11532</v>
      </c>
      <c r="DS135" s="273"/>
      <c r="DT135" s="304"/>
      <c r="DU135" s="304"/>
      <c r="DV135" s="304"/>
      <c r="DW135" s="304"/>
      <c r="DX135" s="304"/>
      <c r="DY135" s="304"/>
      <c r="DZ135" s="304"/>
      <c r="EA135" s="304"/>
      <c r="EB135" s="304"/>
      <c r="EC135" s="304"/>
      <c r="ED135" s="885"/>
    </row>
    <row r="136">
      <c r="A136" s="545" t="s">
        <v>11533</v>
      </c>
      <c r="B136" s="381" t="s">
        <v>11534</v>
      </c>
      <c r="C136" s="384" t="s">
        <v>155</v>
      </c>
      <c r="D136" s="386" t="s">
        <v>155</v>
      </c>
      <c r="E136" s="389" t="s">
        <v>155</v>
      </c>
      <c r="F136" s="390" t="s">
        <v>76</v>
      </c>
      <c r="G136" s="381" t="s">
        <v>1671</v>
      </c>
      <c r="H136" s="547" t="s">
        <v>3567</v>
      </c>
      <c r="I136" s="547" t="s">
        <v>11535</v>
      </c>
      <c r="J136" s="547" t="s">
        <v>9929</v>
      </c>
      <c r="K136" s="547" t="s">
        <v>743</v>
      </c>
      <c r="L136" s="547" t="s">
        <v>6068</v>
      </c>
      <c r="M136" s="547" t="s">
        <v>6470</v>
      </c>
      <c r="N136" s="547" t="s">
        <v>11536</v>
      </c>
      <c r="O136" s="547" t="s">
        <v>554</v>
      </c>
      <c r="P136" s="547" t="s">
        <v>2339</v>
      </c>
      <c r="Q136" s="547"/>
      <c r="R136" s="849"/>
      <c r="S136" s="849"/>
      <c r="T136" s="849"/>
      <c r="U136" s="849"/>
      <c r="V136" s="849"/>
      <c r="W136" s="62"/>
      <c r="X136" s="683" t="s">
        <v>11537</v>
      </c>
      <c r="Y136" s="683"/>
      <c r="Z136" s="683" t="s">
        <v>5023</v>
      </c>
      <c r="AA136" s="683" t="s">
        <v>4559</v>
      </c>
      <c r="AB136" s="683" t="s">
        <v>8865</v>
      </c>
      <c r="AC136" s="683" t="s">
        <v>2787</v>
      </c>
      <c r="AD136" s="683" t="s">
        <v>11538</v>
      </c>
      <c r="AE136" s="852"/>
      <c r="AF136" s="683" t="s">
        <v>11481</v>
      </c>
      <c r="AG136" s="683" t="s">
        <v>2762</v>
      </c>
      <c r="AH136" s="852"/>
      <c r="AI136" s="852"/>
      <c r="AJ136" s="852"/>
      <c r="AK136" s="852"/>
      <c r="AL136" s="61"/>
      <c r="AM136" s="855"/>
      <c r="AN136" s="855"/>
      <c r="AO136" s="855"/>
      <c r="AP136" s="855"/>
      <c r="AQ136" s="855"/>
      <c r="AR136" s="855"/>
      <c r="AS136" s="855"/>
      <c r="AT136" s="855"/>
      <c r="AU136" s="571" t="s">
        <v>5583</v>
      </c>
      <c r="AV136" s="571" t="s">
        <v>5835</v>
      </c>
      <c r="AW136" s="855"/>
      <c r="AX136" s="855"/>
      <c r="AY136" s="855"/>
      <c r="AZ136" s="855"/>
      <c r="BA136" s="855"/>
      <c r="BB136" s="589" t="s">
        <v>10227</v>
      </c>
      <c r="BC136" s="436" t="str">
        <f>HYPERLINK("https://youtu.be/e5hohNlNcxA","42.05")</f>
        <v>42.05</v>
      </c>
      <c r="BD136" s="589" t="s">
        <v>4320</v>
      </c>
      <c r="BE136" s="587"/>
      <c r="BF136" s="587"/>
      <c r="BG136" s="587"/>
      <c r="BH136" s="587"/>
      <c r="BI136" s="589" t="s">
        <v>4997</v>
      </c>
      <c r="BJ136" s="587"/>
      <c r="BK136" s="587"/>
      <c r="BL136" s="589" t="s">
        <v>10857</v>
      </c>
      <c r="BM136" s="587"/>
      <c r="BN136" s="587"/>
      <c r="BO136" s="587"/>
      <c r="BP136" s="587"/>
      <c r="BQ136" s="857"/>
      <c r="BR136" s="594"/>
      <c r="BS136" s="859"/>
      <c r="BT136" s="859"/>
      <c r="BU136" s="594" t="s">
        <v>9404</v>
      </c>
      <c r="BV136" s="859"/>
      <c r="BW136" s="594" t="s">
        <v>11539</v>
      </c>
      <c r="BX136" s="859"/>
      <c r="BY136" s="859"/>
      <c r="BZ136" s="859"/>
      <c r="CA136" s="594" t="s">
        <v>3498</v>
      </c>
      <c r="CB136" s="859"/>
      <c r="CC136" s="859"/>
      <c r="CD136" s="859"/>
      <c r="CE136" s="859"/>
      <c r="CF136" s="861"/>
      <c r="CG136" s="606" t="s">
        <v>11540</v>
      </c>
      <c r="CH136" s="606" t="s">
        <v>499</v>
      </c>
      <c r="CI136" s="606" t="s">
        <v>9455</v>
      </c>
      <c r="CJ136" s="863"/>
      <c r="CK136" s="863"/>
      <c r="CL136" s="863"/>
      <c r="CM136" s="863"/>
      <c r="CN136" s="863"/>
      <c r="CO136" s="606" t="s">
        <v>2431</v>
      </c>
      <c r="CP136" s="863"/>
      <c r="CQ136" s="863"/>
      <c r="CR136" s="863"/>
      <c r="CS136" s="863"/>
      <c r="CT136" s="863"/>
      <c r="CU136" s="62"/>
      <c r="CV136" s="703" t="s">
        <v>1425</v>
      </c>
      <c r="CW136" s="703" t="s">
        <v>11541</v>
      </c>
      <c r="CX136" s="703" t="s">
        <v>5913</v>
      </c>
      <c r="CY136" s="703" t="s">
        <v>1925</v>
      </c>
      <c r="CZ136" s="864"/>
      <c r="DA136" s="864"/>
      <c r="DB136" s="864"/>
      <c r="DC136" s="703"/>
      <c r="DD136" s="864"/>
      <c r="DE136" s="864"/>
      <c r="DF136" s="864"/>
      <c r="DG136" s="864"/>
      <c r="DH136" s="864"/>
      <c r="DI136" s="707" t="s">
        <v>11542</v>
      </c>
      <c r="DJ136" s="866"/>
      <c r="DK136" s="866"/>
      <c r="DL136" s="866"/>
      <c r="DM136" s="866"/>
      <c r="DN136" s="866"/>
      <c r="DO136" s="866"/>
      <c r="DP136" s="866"/>
      <c r="DQ136" s="866"/>
      <c r="DR136" s="866"/>
      <c r="DS136" s="866"/>
      <c r="DT136" s="707" t="s">
        <v>11080</v>
      </c>
      <c r="DU136" s="866"/>
      <c r="DV136" s="866"/>
      <c r="DW136" s="866"/>
      <c r="DX136" s="866"/>
      <c r="DY136" s="866"/>
      <c r="DZ136" s="866"/>
      <c r="EA136" s="866"/>
      <c r="EB136" s="707" t="s">
        <v>10702</v>
      </c>
      <c r="EC136" s="707" t="s">
        <v>9544</v>
      </c>
      <c r="ED136" s="974" t="s">
        <v>11543</v>
      </c>
    </row>
    <row r="137">
      <c r="A137" s="1948" t="s">
        <v>11544</v>
      </c>
      <c r="B137" s="714" t="s">
        <v>11545</v>
      </c>
      <c r="C137" s="715" t="s">
        <v>155</v>
      </c>
      <c r="D137" s="716" t="s">
        <v>155</v>
      </c>
      <c r="E137" s="717" t="s">
        <v>155</v>
      </c>
      <c r="F137" s="718" t="s">
        <v>211</v>
      </c>
      <c r="G137" s="714" t="s">
        <v>2418</v>
      </c>
      <c r="H137" s="1949"/>
      <c r="I137" s="1949" t="s">
        <v>11546</v>
      </c>
      <c r="J137" s="1949"/>
      <c r="K137" s="1949" t="s">
        <v>4358</v>
      </c>
      <c r="L137" s="720" t="s">
        <v>8053</v>
      </c>
      <c r="M137" s="1949"/>
      <c r="N137" s="1950" t="s">
        <v>6710</v>
      </c>
      <c r="O137" s="1950" t="s">
        <v>11472</v>
      </c>
      <c r="P137" s="720" t="s">
        <v>9897</v>
      </c>
      <c r="Q137" s="1949"/>
      <c r="R137" s="1949"/>
      <c r="S137" s="1949" t="s">
        <v>10375</v>
      </c>
      <c r="T137" s="1949"/>
      <c r="U137" s="1949"/>
      <c r="V137" s="1949"/>
      <c r="W137" s="702"/>
      <c r="X137" s="1949"/>
      <c r="Y137" s="1949"/>
      <c r="Z137" s="1949"/>
      <c r="AA137" s="1949" t="s">
        <v>576</v>
      </c>
      <c r="AB137" s="1949"/>
      <c r="AC137" s="1949" t="s">
        <v>4007</v>
      </c>
      <c r="AD137" s="1949"/>
      <c r="AE137" s="1949"/>
      <c r="AF137" s="1949"/>
      <c r="AG137" s="1949"/>
      <c r="AH137" s="1949"/>
      <c r="AI137" s="1949"/>
      <c r="AJ137" s="1949"/>
      <c r="AK137" s="1949"/>
      <c r="AL137" s="1951"/>
      <c r="AM137" s="1949"/>
      <c r="AN137" s="1949" t="s">
        <v>4682</v>
      </c>
      <c r="AO137" s="1949"/>
      <c r="AP137" s="1949" t="s">
        <v>4381</v>
      </c>
      <c r="AQ137" s="1949"/>
      <c r="AR137" s="1949"/>
      <c r="AS137" s="1949"/>
      <c r="AT137" s="1949"/>
      <c r="AU137" s="1949"/>
      <c r="AV137" s="1950" t="s">
        <v>5114</v>
      </c>
      <c r="AW137" s="1949" t="s">
        <v>3935</v>
      </c>
      <c r="AX137" s="1949"/>
      <c r="AY137" s="1949" t="s">
        <v>10625</v>
      </c>
      <c r="AZ137" s="1949"/>
      <c r="BA137" s="1949"/>
      <c r="BB137" s="1949" t="s">
        <v>4649</v>
      </c>
      <c r="BC137" s="1949"/>
      <c r="BD137" s="1949"/>
      <c r="BE137" s="1949" t="s">
        <v>11547</v>
      </c>
      <c r="BF137" s="1949" t="s">
        <v>11548</v>
      </c>
      <c r="BG137" s="1949"/>
      <c r="BH137" s="1949"/>
      <c r="BI137" s="242" t="s">
        <v>5254</v>
      </c>
      <c r="BJ137" s="1949"/>
      <c r="BK137" s="720" t="s">
        <v>9026</v>
      </c>
      <c r="BL137" s="1949"/>
      <c r="BM137" s="1949"/>
      <c r="BN137" s="1949"/>
      <c r="BO137" s="1949"/>
      <c r="BP137" s="1949"/>
      <c r="BQ137" s="1952"/>
      <c r="BR137" s="1949"/>
      <c r="BS137" s="1949"/>
      <c r="BT137" s="1949" t="s">
        <v>2814</v>
      </c>
      <c r="BU137" s="1949"/>
      <c r="BV137" s="242" t="s">
        <v>9451</v>
      </c>
      <c r="BW137" s="242" t="s">
        <v>11295</v>
      </c>
      <c r="BX137" s="1949"/>
      <c r="BY137" s="1949"/>
      <c r="BZ137" s="1949"/>
      <c r="CA137" s="242" t="s">
        <v>10162</v>
      </c>
      <c r="CB137" s="1949" t="s">
        <v>11549</v>
      </c>
      <c r="CC137" s="1949"/>
      <c r="CD137" s="1949"/>
      <c r="CE137" s="1949"/>
      <c r="CF137" s="1952"/>
      <c r="CG137" s="1949" t="s">
        <v>3180</v>
      </c>
      <c r="CH137" s="1949"/>
      <c r="CI137" s="1949"/>
      <c r="CJ137" s="1949" t="s">
        <v>9270</v>
      </c>
      <c r="CK137" s="1949"/>
      <c r="CL137" s="1949"/>
      <c r="CM137" s="1950" t="s">
        <v>11550</v>
      </c>
      <c r="CN137" s="273" t="s">
        <v>11160</v>
      </c>
      <c r="CO137" s="1949"/>
      <c r="CP137" s="1949"/>
      <c r="CQ137" s="1949"/>
      <c r="CR137" s="1949"/>
      <c r="CS137" s="1949"/>
      <c r="CT137" s="1949" t="s">
        <v>11551</v>
      </c>
      <c r="CU137" s="702"/>
      <c r="CV137" s="1949"/>
      <c r="CW137" s="1949"/>
      <c r="CX137" s="1950" t="s">
        <v>10004</v>
      </c>
      <c r="CY137" s="1949" t="s">
        <v>11552</v>
      </c>
      <c r="CZ137" s="1950" t="s">
        <v>11553</v>
      </c>
      <c r="DA137" s="720" t="s">
        <v>5438</v>
      </c>
      <c r="DB137" s="720" t="s">
        <v>11554</v>
      </c>
      <c r="DC137" s="1949"/>
      <c r="DD137" s="1949"/>
      <c r="DE137" s="1949"/>
      <c r="DF137" s="1949"/>
      <c r="DG137" s="1949"/>
      <c r="DH137" s="1949"/>
      <c r="DI137" s="1949"/>
      <c r="DJ137" s="1949"/>
      <c r="DK137" s="1949"/>
      <c r="DL137" s="1949"/>
      <c r="DM137" s="1949"/>
      <c r="DN137" s="1949"/>
      <c r="DO137" s="1949"/>
      <c r="DP137" s="1949"/>
      <c r="DQ137" s="1949"/>
      <c r="DR137" s="1949"/>
      <c r="DS137" s="1949"/>
      <c r="DT137" s="1949"/>
      <c r="DU137" s="1949"/>
      <c r="DV137" s="1949"/>
      <c r="DW137" s="1949"/>
      <c r="DX137" s="1949"/>
      <c r="DY137" s="1949"/>
      <c r="DZ137" s="1949"/>
      <c r="EA137" s="1949" t="s">
        <v>11555</v>
      </c>
      <c r="EB137" s="1949"/>
      <c r="EC137" s="1949"/>
      <c r="ED137" s="1949"/>
    </row>
    <row r="138">
      <c r="A138" s="1798" t="s">
        <v>130</v>
      </c>
      <c r="B138" s="381" t="s">
        <v>11556</v>
      </c>
      <c r="C138" s="384" t="s">
        <v>155</v>
      </c>
      <c r="D138" s="386" t="s">
        <v>155</v>
      </c>
      <c r="E138" s="389" t="s">
        <v>155</v>
      </c>
      <c r="F138" s="390" t="s">
        <v>156</v>
      </c>
      <c r="G138" s="381" t="s">
        <v>10940</v>
      </c>
      <c r="H138" s="1549" t="s">
        <v>10186</v>
      </c>
      <c r="I138" s="1003" t="s">
        <v>3987</v>
      </c>
      <c r="J138" s="1003" t="s">
        <v>2131</v>
      </c>
      <c r="K138" s="1549" t="s">
        <v>756</v>
      </c>
      <c r="L138" s="1549" t="s">
        <v>2272</v>
      </c>
      <c r="M138" s="1549" t="s">
        <v>11557</v>
      </c>
      <c r="N138" s="1549" t="s">
        <v>6432</v>
      </c>
      <c r="O138" s="787" t="s">
        <v>610</v>
      </c>
      <c r="P138" s="1549" t="s">
        <v>10906</v>
      </c>
      <c r="Q138" s="547" t="s">
        <v>11558</v>
      </c>
      <c r="R138" s="849"/>
      <c r="S138" s="547" t="s">
        <v>10375</v>
      </c>
      <c r="T138" s="849"/>
      <c r="U138" s="547" t="s">
        <v>7092</v>
      </c>
      <c r="V138" s="547" t="s">
        <v>11559</v>
      </c>
      <c r="W138" s="62"/>
      <c r="X138" s="1953" t="s">
        <v>2530</v>
      </c>
      <c r="Y138" s="680"/>
      <c r="Z138" s="680" t="s">
        <v>5072</v>
      </c>
      <c r="AA138" s="417" t="s">
        <v>1461</v>
      </c>
      <c r="AB138" s="1007" t="s">
        <v>9486</v>
      </c>
      <c r="AC138" s="1007" t="s">
        <v>1550</v>
      </c>
      <c r="AD138" s="1218" t="s">
        <v>5081</v>
      </c>
      <c r="AE138" s="852"/>
      <c r="AF138" s="919" t="s">
        <v>11560</v>
      </c>
      <c r="AG138" s="1218" t="s">
        <v>1537</v>
      </c>
      <c r="AH138" s="852"/>
      <c r="AI138" s="852"/>
      <c r="AJ138" s="421"/>
      <c r="AK138" s="852"/>
      <c r="AL138" s="61"/>
      <c r="AM138" s="1725" t="s">
        <v>10056</v>
      </c>
      <c r="AN138" s="1725" t="s">
        <v>4690</v>
      </c>
      <c r="AO138" s="571" t="s">
        <v>11561</v>
      </c>
      <c r="AP138" s="571" t="s">
        <v>422</v>
      </c>
      <c r="AQ138" s="571" t="s">
        <v>11562</v>
      </c>
      <c r="AR138" s="571" t="s">
        <v>11085</v>
      </c>
      <c r="AS138" s="571" t="s">
        <v>11563</v>
      </c>
      <c r="AT138" s="571" t="s">
        <v>11564</v>
      </c>
      <c r="AU138" s="1725" t="s">
        <v>10502</v>
      </c>
      <c r="AV138" s="1725" t="s">
        <v>10018</v>
      </c>
      <c r="AW138" s="1725" t="s">
        <v>10445</v>
      </c>
      <c r="AX138" s="855"/>
      <c r="AY138" s="855"/>
      <c r="AZ138" s="855"/>
      <c r="BA138" s="855"/>
      <c r="BB138" s="695" t="s">
        <v>11565</v>
      </c>
      <c r="BC138" s="695" t="s">
        <v>1742</v>
      </c>
      <c r="BD138" s="695" t="s">
        <v>4168</v>
      </c>
      <c r="BE138" s="695" t="s">
        <v>11566</v>
      </c>
      <c r="BF138" s="1645"/>
      <c r="BG138" s="695" t="s">
        <v>2548</v>
      </c>
      <c r="BH138" s="587"/>
      <c r="BI138" s="695" t="s">
        <v>4187</v>
      </c>
      <c r="BJ138" s="587"/>
      <c r="BK138" s="1645"/>
      <c r="BL138" s="695" t="s">
        <v>11567</v>
      </c>
      <c r="BM138" s="587"/>
      <c r="BN138" s="587"/>
      <c r="BO138" s="1645"/>
      <c r="BP138" s="587"/>
      <c r="BQ138" s="857"/>
      <c r="BR138" s="1717" t="s">
        <v>11568</v>
      </c>
      <c r="BS138" s="1717" t="s">
        <v>11569</v>
      </c>
      <c r="BT138" s="1717" t="s">
        <v>10244</v>
      </c>
      <c r="BU138" s="1717" t="s">
        <v>11487</v>
      </c>
      <c r="BV138" s="1717" t="s">
        <v>1612</v>
      </c>
      <c r="BW138" s="1717" t="s">
        <v>10684</v>
      </c>
      <c r="BX138" s="859"/>
      <c r="BY138" s="1717" t="s">
        <v>11570</v>
      </c>
      <c r="BZ138" s="451"/>
      <c r="CA138" s="1717" t="s">
        <v>4123</v>
      </c>
      <c r="CB138" s="859"/>
      <c r="CC138" s="859"/>
      <c r="CD138" s="859"/>
      <c r="CE138" s="859"/>
      <c r="CF138" s="861"/>
      <c r="CG138" s="1607" t="s">
        <v>11571</v>
      </c>
      <c r="CH138" s="1607" t="s">
        <v>3526</v>
      </c>
      <c r="CI138" s="1607" t="s">
        <v>10578</v>
      </c>
      <c r="CJ138" s="460"/>
      <c r="CK138" s="460"/>
      <c r="CL138" s="1607" t="s">
        <v>7807</v>
      </c>
      <c r="CM138" s="460"/>
      <c r="CN138" s="460"/>
      <c r="CO138" s="460"/>
      <c r="CP138" s="1800"/>
      <c r="CQ138" s="863"/>
      <c r="CR138" s="863"/>
      <c r="CS138" s="863"/>
      <c r="CT138" s="863"/>
      <c r="CU138" s="62"/>
      <c r="CV138" s="972" t="s">
        <v>11572</v>
      </c>
      <c r="CW138" s="972" t="s">
        <v>11573</v>
      </c>
      <c r="CX138" s="1954" t="s">
        <v>11574</v>
      </c>
      <c r="CY138" s="466" t="s">
        <v>5978</v>
      </c>
      <c r="CZ138" s="972" t="s">
        <v>3139</v>
      </c>
      <c r="DA138" s="972" t="s">
        <v>10349</v>
      </c>
      <c r="DB138" s="972" t="s">
        <v>11575</v>
      </c>
      <c r="DC138" s="466" t="s">
        <v>5881</v>
      </c>
      <c r="DD138" s="864"/>
      <c r="DE138" s="864"/>
      <c r="DF138" s="864"/>
      <c r="DG138" s="864"/>
      <c r="DH138" s="864"/>
      <c r="DI138" s="974" t="s">
        <v>11576</v>
      </c>
      <c r="DJ138" s="866"/>
      <c r="DK138" s="866"/>
      <c r="DL138" s="709"/>
      <c r="DM138" s="709"/>
      <c r="DN138" s="709"/>
      <c r="DO138" s="866"/>
      <c r="DP138" s="866"/>
      <c r="DQ138" s="866"/>
      <c r="DR138" s="709"/>
      <c r="DS138" s="709"/>
      <c r="DT138" s="866"/>
      <c r="DU138" s="709"/>
      <c r="DV138" s="866"/>
      <c r="DW138" s="866"/>
      <c r="DX138" s="866"/>
      <c r="DY138" s="866"/>
      <c r="DZ138" s="866"/>
      <c r="EA138" s="709"/>
      <c r="EB138" s="866"/>
      <c r="EC138" s="866"/>
      <c r="ED138" s="974"/>
    </row>
    <row r="139">
      <c r="A139" s="228" t="s">
        <v>7980</v>
      </c>
      <c r="B139" s="229" t="s">
        <v>11577</v>
      </c>
      <c r="C139" s="230" t="s">
        <v>155</v>
      </c>
      <c r="D139" s="231" t="s">
        <v>155</v>
      </c>
      <c r="E139" s="232" t="s">
        <v>155</v>
      </c>
      <c r="F139" s="233" t="s">
        <v>155</v>
      </c>
      <c r="G139" s="229" t="s">
        <v>260</v>
      </c>
      <c r="H139" s="263" t="s">
        <v>11578</v>
      </c>
      <c r="I139" s="944" t="s">
        <v>1284</v>
      </c>
      <c r="J139" s="263" t="s">
        <v>638</v>
      </c>
      <c r="K139" s="263" t="s">
        <v>10646</v>
      </c>
      <c r="L139" s="263"/>
      <c r="M139" s="263"/>
      <c r="N139" s="263"/>
      <c r="O139" s="263"/>
      <c r="P139" s="263"/>
      <c r="Q139" s="304"/>
      <c r="R139" s="304"/>
      <c r="S139" s="304"/>
      <c r="T139" s="304"/>
      <c r="U139" s="304"/>
      <c r="V139" s="304"/>
      <c r="W139" s="62"/>
      <c r="X139" s="944" t="s">
        <v>3588</v>
      </c>
      <c r="Y139" s="263"/>
      <c r="Z139" s="263" t="s">
        <v>4896</v>
      </c>
      <c r="AA139" s="263"/>
      <c r="AB139" s="263"/>
      <c r="AC139" s="263"/>
      <c r="AD139" s="263"/>
      <c r="AE139" s="304"/>
      <c r="AF139" s="263"/>
      <c r="AG139" s="944" t="s">
        <v>1613</v>
      </c>
      <c r="AH139" s="304"/>
      <c r="AI139" s="304"/>
      <c r="AJ139" s="304"/>
      <c r="AK139" s="304"/>
      <c r="AL139" s="61"/>
      <c r="AM139" s="304"/>
      <c r="AN139" s="304"/>
      <c r="AO139" s="304"/>
      <c r="AP139" s="304"/>
      <c r="AQ139" s="304"/>
      <c r="AR139" s="304"/>
      <c r="AS139" s="304"/>
      <c r="AT139" s="304"/>
      <c r="AU139" s="944" t="s">
        <v>9833</v>
      </c>
      <c r="AV139" s="263"/>
      <c r="AW139" s="304"/>
      <c r="AX139" s="304"/>
      <c r="AY139" s="304"/>
      <c r="AZ139" s="304"/>
      <c r="BA139" s="304"/>
      <c r="BB139" s="263"/>
      <c r="BC139" s="944" t="s">
        <v>609</v>
      </c>
      <c r="BD139" s="263"/>
      <c r="BE139" s="263"/>
      <c r="BF139" s="944" t="s">
        <v>10504</v>
      </c>
      <c r="BG139" s="304"/>
      <c r="BH139" s="304"/>
      <c r="BI139" s="263"/>
      <c r="BJ139" s="263"/>
      <c r="BK139" s="263"/>
      <c r="BL139" s="263"/>
      <c r="BM139" s="304"/>
      <c r="BN139" s="304"/>
      <c r="BO139" s="304"/>
      <c r="BP139" s="304"/>
      <c r="BQ139" s="841"/>
      <c r="BR139" s="263"/>
      <c r="BS139" s="263"/>
      <c r="BT139" s="263"/>
      <c r="BU139" s="944" t="s">
        <v>5022</v>
      </c>
      <c r="BV139" s="263"/>
      <c r="BW139" s="263"/>
      <c r="BX139" s="1955"/>
      <c r="BY139" s="304"/>
      <c r="BZ139" s="263"/>
      <c r="CA139" s="263"/>
      <c r="CB139" s="304"/>
      <c r="CC139" s="304"/>
      <c r="CD139" s="304"/>
      <c r="CE139" s="304"/>
      <c r="CF139" s="841"/>
      <c r="CG139" s="263"/>
      <c r="CH139" s="263" t="s">
        <v>625</v>
      </c>
      <c r="CI139" s="263"/>
      <c r="CJ139" s="1955"/>
      <c r="CK139" s="1955"/>
      <c r="CL139" s="1955"/>
      <c r="CM139" s="1955"/>
      <c r="CN139" s="263"/>
      <c r="CO139" s="263"/>
      <c r="CP139" s="304"/>
      <c r="CQ139" s="304"/>
      <c r="CR139" s="304"/>
      <c r="CS139" s="304"/>
      <c r="CT139" s="304"/>
      <c r="CU139" s="62"/>
      <c r="CV139" s="263"/>
      <c r="CW139" s="304"/>
      <c r="CX139" s="263"/>
      <c r="CY139" s="944" t="s">
        <v>8344</v>
      </c>
      <c r="CZ139" s="263"/>
      <c r="DA139" s="263"/>
      <c r="DB139" s="263"/>
      <c r="DC139" s="263"/>
      <c r="DD139" s="304"/>
      <c r="DE139" s="304"/>
      <c r="DF139" s="304"/>
      <c r="DG139" s="304"/>
      <c r="DH139" s="304"/>
      <c r="DI139" s="273"/>
      <c r="DJ139" s="304"/>
      <c r="DK139" s="304"/>
      <c r="DL139" s="304"/>
      <c r="DM139" s="304"/>
      <c r="DN139" s="304"/>
      <c r="DO139" s="304"/>
      <c r="DP139" s="304"/>
      <c r="DQ139" s="304"/>
      <c r="DR139" s="263"/>
      <c r="DS139" s="263"/>
      <c r="DT139" s="304"/>
      <c r="DU139" s="304"/>
      <c r="DV139" s="304"/>
      <c r="DW139" s="304"/>
      <c r="DX139" s="304"/>
      <c r="DY139" s="304"/>
      <c r="DZ139" s="304"/>
      <c r="EA139" s="304"/>
      <c r="EB139" s="304"/>
      <c r="EC139" s="304"/>
      <c r="ED139" s="885"/>
    </row>
    <row r="140">
      <c r="A140" s="1956" t="s">
        <v>3827</v>
      </c>
      <c r="B140" s="381" t="s">
        <v>11579</v>
      </c>
      <c r="C140" s="384" t="s">
        <v>155</v>
      </c>
      <c r="D140" s="386" t="s">
        <v>155</v>
      </c>
      <c r="E140" s="389" t="s">
        <v>155</v>
      </c>
      <c r="F140" s="390" t="s">
        <v>260</v>
      </c>
      <c r="G140" s="381" t="s">
        <v>3360</v>
      </c>
      <c r="H140" s="787"/>
      <c r="I140" s="402" t="s">
        <v>3179</v>
      </c>
      <c r="J140" s="406" t="s">
        <v>10778</v>
      </c>
      <c r="K140" s="406" t="s">
        <v>87</v>
      </c>
      <c r="L140" s="406" t="s">
        <v>7137</v>
      </c>
      <c r="M140" s="1711"/>
      <c r="N140" s="406" t="s">
        <v>2964</v>
      </c>
      <c r="O140" s="1003" t="s">
        <v>11580</v>
      </c>
      <c r="P140" s="406" t="s">
        <v>6028</v>
      </c>
      <c r="Q140" s="849"/>
      <c r="R140" s="849"/>
      <c r="S140" s="849"/>
      <c r="T140" s="849"/>
      <c r="U140" s="849"/>
      <c r="V140" s="849"/>
      <c r="W140" s="62"/>
      <c r="X140" s="417" t="s">
        <v>11339</v>
      </c>
      <c r="Y140" s="421"/>
      <c r="Z140" s="421" t="s">
        <v>11581</v>
      </c>
      <c r="AA140" s="421" t="s">
        <v>2290</v>
      </c>
      <c r="AB140" s="1007" t="s">
        <v>9512</v>
      </c>
      <c r="AC140" s="421" t="s">
        <v>10206</v>
      </c>
      <c r="AD140" s="421" t="s">
        <v>11582</v>
      </c>
      <c r="AE140" s="852"/>
      <c r="AF140" s="421"/>
      <c r="AG140" s="421"/>
      <c r="AH140" s="852"/>
      <c r="AI140" s="852"/>
      <c r="AJ140" s="421"/>
      <c r="AK140" s="852"/>
      <c r="AL140" s="61"/>
      <c r="AM140" s="435"/>
      <c r="AN140" s="435"/>
      <c r="AO140" s="855"/>
      <c r="AP140" s="855"/>
      <c r="AQ140" s="571"/>
      <c r="AR140" s="571"/>
      <c r="AS140" s="855"/>
      <c r="AT140" s="855"/>
      <c r="AU140" s="427" t="s">
        <v>4503</v>
      </c>
      <c r="AV140" s="427" t="s">
        <v>5956</v>
      </c>
      <c r="AW140" s="435"/>
      <c r="AX140" s="855"/>
      <c r="AY140" s="855"/>
      <c r="AZ140" s="855"/>
      <c r="BA140" s="855"/>
      <c r="BB140" s="439" t="s">
        <v>11583</v>
      </c>
      <c r="BC140" s="1040" t="s">
        <v>11584</v>
      </c>
      <c r="BD140" s="1645"/>
      <c r="BE140" s="439" t="s">
        <v>5050</v>
      </c>
      <c r="BF140" s="1957" t="s">
        <v>4182</v>
      </c>
      <c r="BG140" s="1645"/>
      <c r="BH140" s="587"/>
      <c r="BI140" s="1222" t="s">
        <v>6232</v>
      </c>
      <c r="BJ140" s="1040" t="s">
        <v>11585</v>
      </c>
      <c r="BK140" s="1645"/>
      <c r="BL140" s="1645"/>
      <c r="BM140" s="587"/>
      <c r="BN140" s="589" t="s">
        <v>9470</v>
      </c>
      <c r="BO140" s="1645" t="s">
        <v>9672</v>
      </c>
      <c r="BP140" s="587"/>
      <c r="BQ140" s="857"/>
      <c r="BR140" s="451" t="s">
        <v>9419</v>
      </c>
      <c r="BS140" s="451" t="s">
        <v>11586</v>
      </c>
      <c r="BT140" s="451" t="s">
        <v>10520</v>
      </c>
      <c r="BU140" s="451" t="s">
        <v>5014</v>
      </c>
      <c r="BV140" s="451" t="s">
        <v>11587</v>
      </c>
      <c r="BW140" s="451" t="s">
        <v>11588</v>
      </c>
      <c r="BX140" s="859"/>
      <c r="BY140" s="451"/>
      <c r="BZ140" s="451"/>
      <c r="CA140" s="451"/>
      <c r="CB140" s="859"/>
      <c r="CC140" s="594" t="s">
        <v>627</v>
      </c>
      <c r="CD140" s="594" t="s">
        <v>9442</v>
      </c>
      <c r="CE140" s="859"/>
      <c r="CF140" s="861"/>
      <c r="CG140" s="460" t="s">
        <v>11589</v>
      </c>
      <c r="CH140" s="460" t="s">
        <v>648</v>
      </c>
      <c r="CI140" s="460" t="s">
        <v>10044</v>
      </c>
      <c r="CJ140" s="460" t="s">
        <v>7323</v>
      </c>
      <c r="CK140" s="460"/>
      <c r="CL140" s="460"/>
      <c r="CM140" s="460" t="s">
        <v>5592</v>
      </c>
      <c r="CN140" s="904" t="s">
        <v>6232</v>
      </c>
      <c r="CO140" s="460"/>
      <c r="CP140" s="1800"/>
      <c r="CQ140" s="863"/>
      <c r="CR140" s="863"/>
      <c r="CS140" s="606" t="s">
        <v>2331</v>
      </c>
      <c r="CT140" s="863"/>
      <c r="CU140" s="62"/>
      <c r="CV140" s="1013" t="s">
        <v>6744</v>
      </c>
      <c r="CW140" s="470"/>
      <c r="CX140" s="1013" t="s">
        <v>11590</v>
      </c>
      <c r="CY140" s="470"/>
      <c r="CZ140" s="466" t="s">
        <v>11591</v>
      </c>
      <c r="DA140" s="470"/>
      <c r="DB140" s="466" t="s">
        <v>6876</v>
      </c>
      <c r="DC140" s="470"/>
      <c r="DD140" s="864"/>
      <c r="DE140" s="703" t="s">
        <v>8218</v>
      </c>
      <c r="DF140" s="864"/>
      <c r="DG140" s="864"/>
      <c r="DH140" s="864"/>
      <c r="DI140" s="709"/>
      <c r="DJ140" s="866"/>
      <c r="DK140" s="866"/>
      <c r="DL140" s="709"/>
      <c r="DM140" s="709"/>
      <c r="DN140" s="709"/>
      <c r="DO140" s="866"/>
      <c r="DP140" s="866"/>
      <c r="DQ140" s="866"/>
      <c r="DR140" s="709" t="s">
        <v>11592</v>
      </c>
      <c r="DS140" s="709"/>
      <c r="DT140" s="866"/>
      <c r="DU140" s="709"/>
      <c r="DV140" s="707" t="s">
        <v>11593</v>
      </c>
      <c r="DW140" s="866"/>
      <c r="DX140" s="866"/>
      <c r="DY140" s="866"/>
      <c r="DZ140" s="707" t="s">
        <v>11594</v>
      </c>
      <c r="EA140" s="709"/>
      <c r="EB140" s="866"/>
      <c r="EC140" s="866"/>
      <c r="ED140" s="974"/>
    </row>
    <row r="141">
      <c r="A141" s="1723" t="s">
        <v>4081</v>
      </c>
      <c r="B141" s="229" t="s">
        <v>11595</v>
      </c>
      <c r="C141" s="230" t="s">
        <v>155</v>
      </c>
      <c r="D141" s="231" t="s">
        <v>155</v>
      </c>
      <c r="E141" s="232" t="s">
        <v>155</v>
      </c>
      <c r="F141" s="233" t="s">
        <v>127</v>
      </c>
      <c r="G141" s="229" t="s">
        <v>9533</v>
      </c>
      <c r="H141" s="273" t="s">
        <v>11596</v>
      </c>
      <c r="I141" s="908" t="s">
        <v>3934</v>
      </c>
      <c r="J141" s="273" t="s">
        <v>11597</v>
      </c>
      <c r="K141" s="273" t="s">
        <v>2506</v>
      </c>
      <c r="L141" s="273" t="s">
        <v>1974</v>
      </c>
      <c r="M141" s="304"/>
      <c r="N141" s="273" t="s">
        <v>2459</v>
      </c>
      <c r="O141" s="273" t="s">
        <v>5622</v>
      </c>
      <c r="P141" s="273" t="s">
        <v>4171</v>
      </c>
      <c r="Q141" s="304"/>
      <c r="R141" s="273" t="s">
        <v>926</v>
      </c>
      <c r="S141" s="273" t="s">
        <v>8354</v>
      </c>
      <c r="T141" s="304"/>
      <c r="U141" s="273" t="s">
        <v>9842</v>
      </c>
      <c r="V141" s="304"/>
      <c r="W141" s="62"/>
      <c r="X141" s="273" t="s">
        <v>7210</v>
      </c>
      <c r="Y141" s="333"/>
      <c r="Z141" s="242" t="s">
        <v>9364</v>
      </c>
      <c r="AA141" s="273" t="s">
        <v>3706</v>
      </c>
      <c r="AB141" s="273" t="s">
        <v>5197</v>
      </c>
      <c r="AC141" s="273" t="s">
        <v>10297</v>
      </c>
      <c r="AD141" s="273" t="s">
        <v>2533</v>
      </c>
      <c r="AE141" s="304"/>
      <c r="AF141" s="273" t="s">
        <v>300</v>
      </c>
      <c r="AG141" s="273" t="s">
        <v>458</v>
      </c>
      <c r="AH141" s="304"/>
      <c r="AI141" s="304"/>
      <c r="AJ141" s="304"/>
      <c r="AK141" s="304"/>
      <c r="AL141" s="61"/>
      <c r="AM141" s="304"/>
      <c r="AN141" s="273" t="s">
        <v>915</v>
      </c>
      <c r="AO141" s="304"/>
      <c r="AP141" s="304"/>
      <c r="AQ141" s="273" t="s">
        <v>8580</v>
      </c>
      <c r="AR141" s="273"/>
      <c r="AS141" s="304"/>
      <c r="AT141" s="304"/>
      <c r="AU141" s="273" t="s">
        <v>2901</v>
      </c>
      <c r="AV141" s="304"/>
      <c r="AW141" s="304"/>
      <c r="AX141" s="304"/>
      <c r="AY141" s="304"/>
      <c r="AZ141" s="304"/>
      <c r="BA141" s="304"/>
      <c r="BB141" s="304"/>
      <c r="BC141" s="273" t="s">
        <v>6108</v>
      </c>
      <c r="BD141" s="273" t="s">
        <v>5741</v>
      </c>
      <c r="BE141" s="273" t="s">
        <v>10070</v>
      </c>
      <c r="BF141" s="273" t="s">
        <v>2541</v>
      </c>
      <c r="BG141" s="304"/>
      <c r="BH141" s="304"/>
      <c r="BI141" s="273" t="s">
        <v>10341</v>
      </c>
      <c r="BJ141" s="273" t="s">
        <v>11598</v>
      </c>
      <c r="BK141" s="273"/>
      <c r="BL141" s="273" t="s">
        <v>784</v>
      </c>
      <c r="BM141" s="304"/>
      <c r="BN141" s="273" t="s">
        <v>10468</v>
      </c>
      <c r="BO141" s="304"/>
      <c r="BP141" s="304"/>
      <c r="BQ141" s="841"/>
      <c r="BR141" s="273" t="s">
        <v>8888</v>
      </c>
      <c r="BS141" s="273" t="s">
        <v>10479</v>
      </c>
      <c r="BT141" s="273" t="s">
        <v>655</v>
      </c>
      <c r="BU141" s="273" t="s">
        <v>11599</v>
      </c>
      <c r="BV141" s="273" t="s">
        <v>11600</v>
      </c>
      <c r="BW141" s="273" t="s">
        <v>11135</v>
      </c>
      <c r="BX141" s="304"/>
      <c r="BY141" s="273" t="s">
        <v>9590</v>
      </c>
      <c r="BZ141" s="304"/>
      <c r="CA141" s="273" t="s">
        <v>11601</v>
      </c>
      <c r="CB141" s="304"/>
      <c r="CC141" s="304"/>
      <c r="CD141" s="304"/>
      <c r="CE141" s="304"/>
      <c r="CF141" s="841"/>
      <c r="CG141" s="273" t="s">
        <v>11602</v>
      </c>
      <c r="CH141" s="273" t="s">
        <v>3777</v>
      </c>
      <c r="CI141" s="273" t="s">
        <v>8355</v>
      </c>
      <c r="CJ141" s="273" t="s">
        <v>11603</v>
      </c>
      <c r="CK141" s="273"/>
      <c r="CL141" s="273" t="s">
        <v>11604</v>
      </c>
      <c r="CM141" s="273" t="s">
        <v>11605</v>
      </c>
      <c r="CN141" s="273" t="s">
        <v>2131</v>
      </c>
      <c r="CO141" s="273" t="s">
        <v>10502</v>
      </c>
      <c r="CP141" s="304"/>
      <c r="CQ141" s="304"/>
      <c r="CR141" s="304"/>
      <c r="CS141" s="304"/>
      <c r="CT141" s="304"/>
      <c r="CU141" s="62"/>
      <c r="CV141" s="273" t="s">
        <v>11606</v>
      </c>
      <c r="CW141" s="273" t="s">
        <v>9633</v>
      </c>
      <c r="CX141" s="273" t="s">
        <v>3834</v>
      </c>
      <c r="CY141" s="273" t="s">
        <v>6458</v>
      </c>
      <c r="CZ141" s="304"/>
      <c r="DA141" s="273" t="s">
        <v>11607</v>
      </c>
      <c r="DB141" s="242" t="s">
        <v>9169</v>
      </c>
      <c r="DC141" s="273" t="s">
        <v>6440</v>
      </c>
      <c r="DD141" s="304"/>
      <c r="DE141" s="304"/>
      <c r="DF141" s="304"/>
      <c r="DG141" s="304"/>
      <c r="DH141" s="304"/>
      <c r="DI141" s="273" t="s">
        <v>9891</v>
      </c>
      <c r="DJ141" s="304"/>
      <c r="DK141" s="304"/>
      <c r="DL141" s="304"/>
      <c r="DM141" s="304"/>
      <c r="DN141" s="304"/>
      <c r="DO141" s="304"/>
      <c r="DP141" s="304"/>
      <c r="DQ141" s="304"/>
      <c r="DR141" s="304"/>
      <c r="DS141" s="304"/>
      <c r="DT141" s="304"/>
      <c r="DU141" s="304"/>
      <c r="DV141" s="273" t="s">
        <v>1074</v>
      </c>
      <c r="DW141" s="273" t="s">
        <v>10375</v>
      </c>
      <c r="DX141" s="273" t="s">
        <v>11608</v>
      </c>
      <c r="DY141" s="273" t="s">
        <v>5252</v>
      </c>
      <c r="DZ141" s="273" t="s">
        <v>1458</v>
      </c>
      <c r="EA141" s="273" t="s">
        <v>9962</v>
      </c>
      <c r="EB141" s="304"/>
      <c r="EC141" s="304"/>
      <c r="ED141" s="885" t="s">
        <v>11609</v>
      </c>
    </row>
    <row r="142">
      <c r="A142" s="1958" t="s">
        <v>11610</v>
      </c>
      <c r="B142" s="381" t="s">
        <v>11595</v>
      </c>
      <c r="C142" s="384" t="s">
        <v>155</v>
      </c>
      <c r="D142" s="386" t="s">
        <v>155</v>
      </c>
      <c r="E142" s="389" t="s">
        <v>155</v>
      </c>
      <c r="F142" s="390" t="s">
        <v>127</v>
      </c>
      <c r="G142" s="381" t="s">
        <v>1342</v>
      </c>
      <c r="H142" s="547"/>
      <c r="I142" s="547" t="s">
        <v>11611</v>
      </c>
      <c r="J142" s="547" t="s">
        <v>1417</v>
      </c>
      <c r="K142" s="406" t="s">
        <v>743</v>
      </c>
      <c r="L142" s="547" t="s">
        <v>9395</v>
      </c>
      <c r="M142" s="547" t="s">
        <v>11612</v>
      </c>
      <c r="N142" s="547" t="s">
        <v>1193</v>
      </c>
      <c r="O142" s="547" t="s">
        <v>2046</v>
      </c>
      <c r="P142" s="547" t="s">
        <v>1989</v>
      </c>
      <c r="Q142" s="849"/>
      <c r="R142" s="849"/>
      <c r="S142" s="849"/>
      <c r="T142" s="849"/>
      <c r="U142" s="849"/>
      <c r="V142" s="849"/>
      <c r="W142" s="62"/>
      <c r="X142" s="683" t="s">
        <v>6387</v>
      </c>
      <c r="Y142" s="683"/>
      <c r="Z142" s="683" t="s">
        <v>5296</v>
      </c>
      <c r="AA142" s="683" t="s">
        <v>5083</v>
      </c>
      <c r="AB142" s="683" t="s">
        <v>7071</v>
      </c>
      <c r="AC142" s="683" t="s">
        <v>10919</v>
      </c>
      <c r="AD142" s="683" t="s">
        <v>11613</v>
      </c>
      <c r="AE142" s="852"/>
      <c r="AF142" s="683" t="s">
        <v>6629</v>
      </c>
      <c r="AG142" s="1007" t="s">
        <v>11028</v>
      </c>
      <c r="AH142" s="852"/>
      <c r="AI142" s="852"/>
      <c r="AJ142" s="852"/>
      <c r="AK142" s="852"/>
      <c r="AL142" s="61"/>
      <c r="AM142" s="855"/>
      <c r="AN142" s="855"/>
      <c r="AO142" s="855"/>
      <c r="AP142" s="855"/>
      <c r="AQ142" s="855"/>
      <c r="AR142" s="855"/>
      <c r="AS142" s="855"/>
      <c r="AT142" s="855"/>
      <c r="AU142" s="571" t="s">
        <v>2393</v>
      </c>
      <c r="AV142" s="571" t="s">
        <v>10792</v>
      </c>
      <c r="AW142" s="855"/>
      <c r="AX142" s="855"/>
      <c r="AY142" s="855"/>
      <c r="AZ142" s="855"/>
      <c r="BA142" s="855"/>
      <c r="BB142" s="589"/>
      <c r="BC142" s="589" t="s">
        <v>5036</v>
      </c>
      <c r="BD142" s="589" t="s">
        <v>1419</v>
      </c>
      <c r="BE142" s="589" t="s">
        <v>7640</v>
      </c>
      <c r="BF142" s="587"/>
      <c r="BG142" s="589" t="s">
        <v>4072</v>
      </c>
      <c r="BH142" s="587"/>
      <c r="BI142" s="589" t="s">
        <v>3901</v>
      </c>
      <c r="BJ142" s="587"/>
      <c r="BK142" s="587"/>
      <c r="BL142" s="587"/>
      <c r="BM142" s="587"/>
      <c r="BN142" s="587"/>
      <c r="BO142" s="587"/>
      <c r="BP142" s="587"/>
      <c r="BQ142" s="857"/>
      <c r="BR142" s="594" t="s">
        <v>11614</v>
      </c>
      <c r="BS142" s="594" t="s">
        <v>11615</v>
      </c>
      <c r="BT142" s="594" t="s">
        <v>773</v>
      </c>
      <c r="BU142" s="1045" t="s">
        <v>9756</v>
      </c>
      <c r="BV142" s="594" t="s">
        <v>7009</v>
      </c>
      <c r="BW142" s="594" t="s">
        <v>11616</v>
      </c>
      <c r="BX142" s="594" t="s">
        <v>11617</v>
      </c>
      <c r="BY142" s="859"/>
      <c r="BZ142" s="594" t="s">
        <v>8100</v>
      </c>
      <c r="CA142" s="594" t="s">
        <v>11618</v>
      </c>
      <c r="CB142" s="859"/>
      <c r="CC142" s="859"/>
      <c r="CD142" s="859"/>
      <c r="CE142" s="859"/>
      <c r="CF142" s="861"/>
      <c r="CG142" s="459" t="s">
        <v>11619</v>
      </c>
      <c r="CH142" s="606" t="s">
        <v>11620</v>
      </c>
      <c r="CI142" s="606" t="s">
        <v>6344</v>
      </c>
      <c r="CJ142" s="606" t="s">
        <v>11621</v>
      </c>
      <c r="CK142" s="606"/>
      <c r="CL142" s="1703" t="s">
        <v>9360</v>
      </c>
      <c r="CM142" s="606" t="s">
        <v>7529</v>
      </c>
      <c r="CN142" s="606" t="s">
        <v>609</v>
      </c>
      <c r="CO142" s="606" t="s">
        <v>10141</v>
      </c>
      <c r="CP142" s="863"/>
      <c r="CQ142" s="863"/>
      <c r="CR142" s="863"/>
      <c r="CS142" s="863"/>
      <c r="CT142" s="863"/>
      <c r="CU142" s="62"/>
      <c r="CV142" s="703" t="s">
        <v>4075</v>
      </c>
      <c r="CW142" s="703" t="s">
        <v>4548</v>
      </c>
      <c r="CX142" s="703" t="s">
        <v>9578</v>
      </c>
      <c r="CY142" s="703" t="s">
        <v>11622</v>
      </c>
      <c r="CZ142" s="703" t="s">
        <v>10155</v>
      </c>
      <c r="DA142" s="703" t="s">
        <v>4154</v>
      </c>
      <c r="DB142" s="703" t="s">
        <v>11623</v>
      </c>
      <c r="DC142" s="703" t="s">
        <v>10224</v>
      </c>
      <c r="DD142" s="864"/>
      <c r="DE142" s="864"/>
      <c r="DF142" s="864"/>
      <c r="DG142" s="864"/>
      <c r="DH142" s="864"/>
      <c r="DI142" s="866"/>
      <c r="DJ142" s="866"/>
      <c r="DK142" s="866"/>
      <c r="DL142" s="866"/>
      <c r="DM142" s="866"/>
      <c r="DN142" s="866"/>
      <c r="DO142" s="866"/>
      <c r="DP142" s="866"/>
      <c r="DQ142" s="866"/>
      <c r="DR142" s="866"/>
      <c r="DS142" s="707" t="s">
        <v>11624</v>
      </c>
      <c r="DT142" s="866"/>
      <c r="DU142" s="866"/>
      <c r="DV142" s="866"/>
      <c r="DW142" s="866"/>
      <c r="DX142" s="866"/>
      <c r="DY142" s="866"/>
      <c r="DZ142" s="866"/>
      <c r="EA142" s="866"/>
      <c r="EB142" s="866"/>
      <c r="EC142" s="866"/>
      <c r="ED142" s="1941"/>
    </row>
    <row r="143">
      <c r="A143" s="1959" t="s">
        <v>11625</v>
      </c>
      <c r="B143" s="229" t="s">
        <v>11626</v>
      </c>
      <c r="C143" s="230" t="s">
        <v>155</v>
      </c>
      <c r="D143" s="231" t="s">
        <v>155</v>
      </c>
      <c r="E143" s="232" t="s">
        <v>155</v>
      </c>
      <c r="F143" s="233" t="s">
        <v>76</v>
      </c>
      <c r="G143" s="229" t="s">
        <v>1492</v>
      </c>
      <c r="H143" s="273"/>
      <c r="I143" s="273" t="s">
        <v>11627</v>
      </c>
      <c r="J143" s="273"/>
      <c r="K143" s="273"/>
      <c r="L143" s="273" t="s">
        <v>5907</v>
      </c>
      <c r="M143" s="273"/>
      <c r="N143" s="273" t="s">
        <v>11628</v>
      </c>
      <c r="O143" s="273" t="s">
        <v>11629</v>
      </c>
      <c r="P143" s="304"/>
      <c r="Q143" s="304"/>
      <c r="R143" s="304"/>
      <c r="S143" s="304"/>
      <c r="T143" s="304"/>
      <c r="U143" s="304"/>
      <c r="V143" s="304"/>
      <c r="W143" s="62"/>
      <c r="X143" s="263"/>
      <c r="Y143" s="273"/>
      <c r="Z143" s="273"/>
      <c r="AA143" s="273" t="s">
        <v>1679</v>
      </c>
      <c r="AB143" s="273"/>
      <c r="AC143" s="273" t="s">
        <v>5751</v>
      </c>
      <c r="AD143" s="263"/>
      <c r="AE143" s="304"/>
      <c r="AF143" s="273"/>
      <c r="AG143" s="273"/>
      <c r="AH143" s="263"/>
      <c r="AI143" s="304"/>
      <c r="AJ143" s="304"/>
      <c r="AK143" s="304"/>
      <c r="AL143" s="61"/>
      <c r="AM143" s="304"/>
      <c r="AN143" s="304"/>
      <c r="AO143" s="304"/>
      <c r="AP143" s="304"/>
      <c r="AQ143" s="304"/>
      <c r="AR143" s="304"/>
      <c r="AS143" s="304"/>
      <c r="AT143" s="304"/>
      <c r="AU143" s="273" t="s">
        <v>3867</v>
      </c>
      <c r="AV143" s="304"/>
      <c r="AW143" s="304"/>
      <c r="AX143" s="304"/>
      <c r="AY143" s="304"/>
      <c r="AZ143" s="304"/>
      <c r="BA143" s="304"/>
      <c r="BB143" s="304"/>
      <c r="BC143" s="263"/>
      <c r="BD143" s="263" t="s">
        <v>4320</v>
      </c>
      <c r="BE143" s="304"/>
      <c r="BF143" s="304"/>
      <c r="BG143" s="263"/>
      <c r="BH143" s="304"/>
      <c r="BI143" s="273" t="s">
        <v>4228</v>
      </c>
      <c r="BJ143" s="304"/>
      <c r="BK143" s="304"/>
      <c r="BL143" s="304"/>
      <c r="BM143" s="304"/>
      <c r="BN143" s="304"/>
      <c r="BO143" s="304"/>
      <c r="BP143" s="304"/>
      <c r="BQ143" s="841"/>
      <c r="BR143" s="263"/>
      <c r="BS143" s="273" t="s">
        <v>11630</v>
      </c>
      <c r="BT143" s="273" t="s">
        <v>11631</v>
      </c>
      <c r="BU143" s="304"/>
      <c r="BV143" s="304"/>
      <c r="BW143" s="273"/>
      <c r="BX143" s="304"/>
      <c r="BY143" s="304"/>
      <c r="BZ143" s="304"/>
      <c r="CA143" s="304"/>
      <c r="CB143" s="304"/>
      <c r="CC143" s="304"/>
      <c r="CD143" s="304"/>
      <c r="CE143" s="304"/>
      <c r="CF143" s="841"/>
      <c r="CG143" s="304"/>
      <c r="CH143" s="273" t="s">
        <v>5252</v>
      </c>
      <c r="CI143" s="304"/>
      <c r="CJ143" s="304"/>
      <c r="CK143" s="304"/>
      <c r="CL143" s="304"/>
      <c r="CM143" s="304"/>
      <c r="CN143" s="301" t="str">
        <f>HYPERLINK("https://www.youtube.com/watch?v=S0CZekzl4IQ","28.55")</f>
        <v>28.55</v>
      </c>
      <c r="CO143" s="304"/>
      <c r="CP143" s="304"/>
      <c r="CQ143" s="304"/>
      <c r="CR143" s="304"/>
      <c r="CS143" s="304"/>
      <c r="CT143" s="304"/>
      <c r="CU143" s="62"/>
      <c r="CV143" s="273"/>
      <c r="CW143" s="304"/>
      <c r="CX143" s="273" t="s">
        <v>9531</v>
      </c>
      <c r="CY143" s="304"/>
      <c r="CZ143" s="273" t="s">
        <v>7790</v>
      </c>
      <c r="DA143" s="304"/>
      <c r="DB143" s="304"/>
      <c r="DC143" s="304"/>
      <c r="DD143" s="304"/>
      <c r="DE143" s="304"/>
      <c r="DF143" s="304"/>
      <c r="DG143" s="304"/>
      <c r="DH143" s="304"/>
      <c r="DI143" s="304"/>
      <c r="DJ143" s="304"/>
      <c r="DK143" s="304"/>
      <c r="DL143" s="273"/>
      <c r="DM143" s="304"/>
      <c r="DN143" s="273" t="s">
        <v>7651</v>
      </c>
      <c r="DO143" s="304"/>
      <c r="DP143" s="304"/>
      <c r="DQ143" s="304"/>
      <c r="DR143" s="273" t="s">
        <v>11632</v>
      </c>
      <c r="DS143" s="273"/>
      <c r="DT143" s="304"/>
      <c r="DU143" s="304"/>
      <c r="DV143" s="304"/>
      <c r="DW143" s="304"/>
      <c r="DX143" s="304"/>
      <c r="DY143" s="304"/>
      <c r="DZ143" s="304"/>
      <c r="EA143" s="304"/>
      <c r="EB143" s="304"/>
      <c r="EC143" s="304"/>
      <c r="ED143" s="885"/>
    </row>
    <row r="144">
      <c r="A144" s="1798" t="s">
        <v>4146</v>
      </c>
      <c r="B144" s="381" t="s">
        <v>11633</v>
      </c>
      <c r="C144" s="384" t="s">
        <v>155</v>
      </c>
      <c r="D144" s="386" t="s">
        <v>155</v>
      </c>
      <c r="E144" s="389" t="s">
        <v>155</v>
      </c>
      <c r="F144" s="390" t="s">
        <v>155</v>
      </c>
      <c r="G144" s="381" t="s">
        <v>263</v>
      </c>
      <c r="H144" s="1549" t="s">
        <v>11634</v>
      </c>
      <c r="I144" s="1549" t="s">
        <v>5670</v>
      </c>
      <c r="J144" s="1549" t="s">
        <v>11635</v>
      </c>
      <c r="K144" s="1549" t="s">
        <v>774</v>
      </c>
      <c r="L144" s="1808" t="s">
        <v>10125</v>
      </c>
      <c r="M144" s="1549" t="s">
        <v>11636</v>
      </c>
      <c r="N144" s="1549" t="s">
        <v>11637</v>
      </c>
      <c r="O144" s="1549" t="s">
        <v>1454</v>
      </c>
      <c r="P144" s="1549" t="s">
        <v>639</v>
      </c>
      <c r="Q144" s="1960"/>
      <c r="R144" s="1960"/>
      <c r="S144" s="1961">
        <v>37.85</v>
      </c>
      <c r="T144" s="1960"/>
      <c r="U144" s="547" t="s">
        <v>5913</v>
      </c>
      <c r="V144" s="1961" t="s">
        <v>11638</v>
      </c>
      <c r="W144" s="1962"/>
      <c r="X144" s="1963"/>
      <c r="Y144" s="1963"/>
      <c r="Z144" s="1963"/>
      <c r="AA144" s="421" t="s">
        <v>5073</v>
      </c>
      <c r="AB144" s="1964"/>
      <c r="AC144" s="1218" t="s">
        <v>10055</v>
      </c>
      <c r="AD144" s="1963"/>
      <c r="AE144" s="1965"/>
      <c r="AF144" s="1963"/>
      <c r="AG144" s="1963"/>
      <c r="AH144" s="1965"/>
      <c r="AI144" s="1965"/>
      <c r="AJ144" s="421" t="s">
        <v>3339</v>
      </c>
      <c r="AK144" s="1965"/>
      <c r="AL144" s="1966"/>
      <c r="AM144" s="1967"/>
      <c r="AN144" s="435" t="s">
        <v>9417</v>
      </c>
      <c r="AO144" s="1968"/>
      <c r="AP144" s="1968"/>
      <c r="AQ144" s="1969"/>
      <c r="AR144" s="1969"/>
      <c r="AS144" s="1968"/>
      <c r="AT144" s="1968"/>
      <c r="AU144" s="1725" t="s">
        <v>5296</v>
      </c>
      <c r="AV144" s="1725" t="s">
        <v>11624</v>
      </c>
      <c r="AW144" s="1725" t="s">
        <v>1721</v>
      </c>
      <c r="AX144" s="1968"/>
      <c r="AY144" s="1968"/>
      <c r="AZ144" s="1968"/>
      <c r="BA144" s="1968"/>
      <c r="BB144" s="1970"/>
      <c r="BC144" s="1970"/>
      <c r="BD144" s="1645" t="s">
        <v>5164</v>
      </c>
      <c r="BE144" s="695" t="s">
        <v>1252</v>
      </c>
      <c r="BF144" s="1970"/>
      <c r="BG144" s="1970"/>
      <c r="BH144" s="1971"/>
      <c r="BI144" s="695" t="s">
        <v>9739</v>
      </c>
      <c r="BJ144" s="1971"/>
      <c r="BK144" s="1645" t="s">
        <v>846</v>
      </c>
      <c r="BL144" s="695" t="s">
        <v>4371</v>
      </c>
      <c r="BM144" s="1971"/>
      <c r="BN144" s="1972">
        <v>35.32</v>
      </c>
      <c r="BO144" s="1970"/>
      <c r="BP144" s="1971"/>
      <c r="BQ144" s="1973"/>
      <c r="BR144" s="1974"/>
      <c r="BS144" s="1974"/>
      <c r="BT144" s="1717" t="s">
        <v>9555</v>
      </c>
      <c r="BU144" s="1717" t="s">
        <v>11639</v>
      </c>
      <c r="BV144" s="1974"/>
      <c r="BW144" s="1717" t="s">
        <v>9770</v>
      </c>
      <c r="BX144" s="1975"/>
      <c r="BY144" s="1974"/>
      <c r="BZ144" s="1974"/>
      <c r="CA144" s="451" t="s">
        <v>11332</v>
      </c>
      <c r="CB144" s="1976" t="s">
        <v>11640</v>
      </c>
      <c r="CC144" s="1975"/>
      <c r="CD144" s="1976">
        <v>37.19</v>
      </c>
      <c r="CE144" s="1976" t="s">
        <v>11641</v>
      </c>
      <c r="CF144" s="1977"/>
      <c r="CG144" s="1978"/>
      <c r="CH144" s="1978"/>
      <c r="CI144" s="1978"/>
      <c r="CJ144" s="1978"/>
      <c r="CK144" s="1978"/>
      <c r="CL144" s="1978"/>
      <c r="CM144" s="1607" t="s">
        <v>11642</v>
      </c>
      <c r="CN144" s="1607" t="s">
        <v>3953</v>
      </c>
      <c r="CO144" s="1978"/>
      <c r="CP144" s="1979"/>
      <c r="CQ144" s="1980"/>
      <c r="CR144" s="1980"/>
      <c r="CS144" s="1981">
        <v>52.7</v>
      </c>
      <c r="CT144" s="1980"/>
      <c r="CU144" s="1962"/>
      <c r="CV144" s="1982"/>
      <c r="CW144" s="972" t="s">
        <v>9875</v>
      </c>
      <c r="CX144" s="470" t="s">
        <v>4535</v>
      </c>
      <c r="CY144" s="1982"/>
      <c r="CZ144" s="1982"/>
      <c r="DA144" s="972" t="s">
        <v>9350</v>
      </c>
      <c r="DB144" s="1983" t="s">
        <v>11643</v>
      </c>
      <c r="DC144" s="1982"/>
      <c r="DD144" s="1984"/>
      <c r="DE144" s="1984"/>
      <c r="DF144" s="1984"/>
      <c r="DG144" s="1984"/>
      <c r="DH144" s="1984"/>
      <c r="DI144" s="1985"/>
      <c r="DJ144" s="1986"/>
      <c r="DK144" s="1986"/>
      <c r="DL144" s="1985"/>
      <c r="DM144" s="1985"/>
      <c r="DN144" s="974" t="s">
        <v>10252</v>
      </c>
      <c r="DO144" s="1986"/>
      <c r="DP144" s="1986"/>
      <c r="DQ144" s="1986"/>
      <c r="DR144" s="974" t="s">
        <v>8115</v>
      </c>
      <c r="DS144" s="974" t="s">
        <v>10643</v>
      </c>
      <c r="DT144" s="1986"/>
      <c r="DU144" s="1985"/>
      <c r="DV144" s="1986"/>
      <c r="DW144" s="1986"/>
      <c r="DX144" s="1986"/>
      <c r="DY144" s="1986"/>
      <c r="DZ144" s="1986"/>
      <c r="EA144" s="1985"/>
      <c r="EB144" s="1986"/>
      <c r="EC144" s="1986"/>
      <c r="ED144" s="1987"/>
    </row>
    <row r="145">
      <c r="A145" s="1723" t="s">
        <v>11644</v>
      </c>
      <c r="B145" s="229" t="s">
        <v>11645</v>
      </c>
      <c r="C145" s="230" t="s">
        <v>155</v>
      </c>
      <c r="D145" s="231" t="s">
        <v>155</v>
      </c>
      <c r="E145" s="232" t="s">
        <v>155</v>
      </c>
      <c r="F145" s="233" t="s">
        <v>155</v>
      </c>
      <c r="G145" s="229" t="s">
        <v>2418</v>
      </c>
      <c r="H145" s="273" t="s">
        <v>3413</v>
      </c>
      <c r="I145" s="273" t="s">
        <v>5664</v>
      </c>
      <c r="J145" s="273" t="s">
        <v>2038</v>
      </c>
      <c r="K145" s="273" t="s">
        <v>9518</v>
      </c>
      <c r="L145" s="273" t="s">
        <v>10393</v>
      </c>
      <c r="M145" s="273" t="s">
        <v>11646</v>
      </c>
      <c r="N145" s="273" t="s">
        <v>5719</v>
      </c>
      <c r="O145" s="273" t="s">
        <v>1250</v>
      </c>
      <c r="P145" s="273" t="s">
        <v>3821</v>
      </c>
      <c r="Q145" s="304"/>
      <c r="R145" s="304"/>
      <c r="S145" s="304"/>
      <c r="T145" s="304"/>
      <c r="U145" s="304"/>
      <c r="V145" s="304"/>
      <c r="W145" s="62"/>
      <c r="X145" s="273" t="s">
        <v>6436</v>
      </c>
      <c r="Y145" s="273"/>
      <c r="Z145" s="273" t="s">
        <v>10482</v>
      </c>
      <c r="AA145" s="273" t="s">
        <v>11354</v>
      </c>
      <c r="AB145" s="273" t="s">
        <v>3252</v>
      </c>
      <c r="AC145" s="273" t="s">
        <v>10522</v>
      </c>
      <c r="AD145" s="273" t="s">
        <v>5157</v>
      </c>
      <c r="AE145" s="304"/>
      <c r="AF145" s="304"/>
      <c r="AG145" s="273" t="s">
        <v>11647</v>
      </c>
      <c r="AH145" s="304"/>
      <c r="AI145" s="304"/>
      <c r="AJ145" s="304"/>
      <c r="AK145" s="304"/>
      <c r="AL145" s="61"/>
      <c r="AM145" s="304"/>
      <c r="AN145" s="304"/>
      <c r="AO145" s="304"/>
      <c r="AP145" s="304"/>
      <c r="AQ145" s="304"/>
      <c r="AR145" s="304"/>
      <c r="AS145" s="304"/>
      <c r="AT145" s="304"/>
      <c r="AU145" s="273" t="s">
        <v>947</v>
      </c>
      <c r="AV145" s="273" t="s">
        <v>449</v>
      </c>
      <c r="AW145" s="304"/>
      <c r="AX145" s="304"/>
      <c r="AY145" s="304"/>
      <c r="AZ145" s="273" t="s">
        <v>11648</v>
      </c>
      <c r="BA145" s="304"/>
      <c r="BB145" s="304"/>
      <c r="BC145" s="304"/>
      <c r="BD145" s="273" t="s">
        <v>1821</v>
      </c>
      <c r="BE145" s="273" t="s">
        <v>775</v>
      </c>
      <c r="BF145" s="304"/>
      <c r="BG145" s="273" t="s">
        <v>3375</v>
      </c>
      <c r="BH145" s="304"/>
      <c r="BI145" s="273" t="s">
        <v>5007</v>
      </c>
      <c r="BJ145" s="304"/>
      <c r="BK145" s="304"/>
      <c r="BL145" s="304"/>
      <c r="BM145" s="304"/>
      <c r="BN145" s="304"/>
      <c r="BO145" s="304"/>
      <c r="BP145" s="304"/>
      <c r="BQ145" s="841"/>
      <c r="BR145" s="304"/>
      <c r="BS145" s="304"/>
      <c r="BT145" s="273" t="s">
        <v>11037</v>
      </c>
      <c r="BU145" s="273" t="s">
        <v>529</v>
      </c>
      <c r="BV145" s="304"/>
      <c r="BW145" s="273" t="s">
        <v>11649</v>
      </c>
      <c r="BX145" s="304"/>
      <c r="BY145" s="304"/>
      <c r="BZ145" s="304"/>
      <c r="CA145" s="304"/>
      <c r="CB145" s="304"/>
      <c r="CC145" s="304"/>
      <c r="CD145" s="304"/>
      <c r="CE145" s="304"/>
      <c r="CF145" s="841"/>
      <c r="CG145" s="304"/>
      <c r="CH145" s="273" t="s">
        <v>468</v>
      </c>
      <c r="CI145" s="304"/>
      <c r="CJ145" s="304"/>
      <c r="CK145" s="304"/>
      <c r="CL145" s="304" t="s">
        <v>9714</v>
      </c>
      <c r="CM145" s="304"/>
      <c r="CN145" s="273" t="s">
        <v>9571</v>
      </c>
      <c r="CO145" s="273" t="s">
        <v>9598</v>
      </c>
      <c r="CP145" s="304"/>
      <c r="CQ145" s="304"/>
      <c r="CR145" s="304"/>
      <c r="CS145" s="304"/>
      <c r="CT145" s="304"/>
      <c r="CU145" s="62"/>
      <c r="CV145" s="304"/>
      <c r="CW145" s="273" t="s">
        <v>750</v>
      </c>
      <c r="CX145" s="304"/>
      <c r="CY145" s="304"/>
      <c r="CZ145" s="304"/>
      <c r="DA145" s="304"/>
      <c r="DB145" s="273" t="s">
        <v>11650</v>
      </c>
      <c r="DC145" s="304"/>
      <c r="DD145" s="304"/>
      <c r="DE145" s="304"/>
      <c r="DF145" s="273" t="s">
        <v>2888</v>
      </c>
      <c r="DG145" s="304"/>
      <c r="DH145" s="304"/>
      <c r="DI145" s="304"/>
      <c r="DJ145" s="304"/>
      <c r="DK145" s="304"/>
      <c r="DL145" s="304"/>
      <c r="DM145" s="273" t="s">
        <v>11651</v>
      </c>
      <c r="DN145" s="304"/>
      <c r="DO145" s="304"/>
      <c r="DP145" s="304"/>
      <c r="DQ145" s="304"/>
      <c r="DR145" s="304"/>
      <c r="DS145" s="304"/>
      <c r="DT145" s="304"/>
      <c r="DU145" s="304"/>
      <c r="DV145" s="304"/>
      <c r="DW145" s="304"/>
      <c r="DX145" s="304"/>
      <c r="DY145" s="304"/>
      <c r="DZ145" s="304"/>
      <c r="EA145" s="273" t="s">
        <v>1550</v>
      </c>
      <c r="EB145" s="304"/>
      <c r="EC145" s="304"/>
      <c r="ED145" s="885"/>
    </row>
    <row r="146">
      <c r="A146" s="545" t="s">
        <v>3819</v>
      </c>
      <c r="B146" s="381" t="s">
        <v>11652</v>
      </c>
      <c r="C146" s="384" t="s">
        <v>155</v>
      </c>
      <c r="D146" s="386" t="s">
        <v>155</v>
      </c>
      <c r="E146" s="389" t="s">
        <v>155</v>
      </c>
      <c r="F146" s="390" t="s">
        <v>154</v>
      </c>
      <c r="G146" s="381" t="s">
        <v>260</v>
      </c>
      <c r="H146" s="849"/>
      <c r="I146" s="849"/>
      <c r="J146" s="849"/>
      <c r="K146" s="849"/>
      <c r="L146" s="406" t="s">
        <v>11653</v>
      </c>
      <c r="M146" s="849"/>
      <c r="N146" s="849"/>
      <c r="O146" s="849"/>
      <c r="P146" s="849"/>
      <c r="Q146" s="406" t="s">
        <v>380</v>
      </c>
      <c r="R146" s="849"/>
      <c r="S146" s="406" t="s">
        <v>1707</v>
      </c>
      <c r="T146" s="849"/>
      <c r="U146" s="849"/>
      <c r="V146" s="849"/>
      <c r="W146" s="62"/>
      <c r="X146" s="852"/>
      <c r="Y146" s="852"/>
      <c r="Z146" s="852"/>
      <c r="AA146" s="852"/>
      <c r="AB146" s="852"/>
      <c r="AC146" s="852"/>
      <c r="AD146" s="852"/>
      <c r="AE146" s="852"/>
      <c r="AF146" s="852"/>
      <c r="AG146" s="852"/>
      <c r="AH146" s="852"/>
      <c r="AI146" s="852"/>
      <c r="AJ146" s="417" t="s">
        <v>3966</v>
      </c>
      <c r="AK146" s="417" t="s">
        <v>11654</v>
      </c>
      <c r="AL146" s="61"/>
      <c r="AM146" s="855"/>
      <c r="AN146" s="855"/>
      <c r="AO146" s="855"/>
      <c r="AP146" s="855"/>
      <c r="AQ146" s="855"/>
      <c r="AR146" s="855"/>
      <c r="AS146" s="855"/>
      <c r="AT146" s="855"/>
      <c r="AU146" s="855"/>
      <c r="AV146" s="855"/>
      <c r="AW146" s="855"/>
      <c r="AX146" s="855"/>
      <c r="AY146" s="855"/>
      <c r="AZ146" s="855"/>
      <c r="BA146" s="855"/>
      <c r="BB146" s="587"/>
      <c r="BC146" s="587"/>
      <c r="BD146" s="587"/>
      <c r="BE146" s="587"/>
      <c r="BF146" s="587"/>
      <c r="BG146" s="587"/>
      <c r="BH146" s="587"/>
      <c r="BI146" s="587"/>
      <c r="BJ146" s="587"/>
      <c r="BK146" s="587"/>
      <c r="BL146" s="587"/>
      <c r="BM146" s="587"/>
      <c r="BN146" s="439" t="s">
        <v>444</v>
      </c>
      <c r="BO146" s="587"/>
      <c r="BP146" s="587"/>
      <c r="BQ146" s="857"/>
      <c r="BR146" s="859"/>
      <c r="BS146" s="859"/>
      <c r="BT146" s="859"/>
      <c r="BU146" s="859"/>
      <c r="BV146" s="859"/>
      <c r="BW146" s="859"/>
      <c r="BX146" s="859"/>
      <c r="BY146" s="859"/>
      <c r="BZ146" s="859"/>
      <c r="CA146" s="859"/>
      <c r="CB146" s="859"/>
      <c r="CC146" s="448" t="s">
        <v>11655</v>
      </c>
      <c r="CD146" s="448" t="s">
        <v>901</v>
      </c>
      <c r="CE146" s="859"/>
      <c r="CF146" s="861"/>
      <c r="CG146" s="863"/>
      <c r="CH146" s="459" t="s">
        <v>1169</v>
      </c>
      <c r="CI146" s="606" t="s">
        <v>11656</v>
      </c>
      <c r="CJ146" s="863"/>
      <c r="CK146" s="863"/>
      <c r="CL146" s="863"/>
      <c r="CM146" s="863"/>
      <c r="CN146" s="863"/>
      <c r="CO146" s="863"/>
      <c r="CP146" s="863"/>
      <c r="CQ146" s="863"/>
      <c r="CR146" s="863"/>
      <c r="CS146" s="863"/>
      <c r="CT146" s="459" t="s">
        <v>11657</v>
      </c>
      <c r="CU146" s="62"/>
      <c r="CV146" s="864"/>
      <c r="CW146" s="864"/>
      <c r="CX146" s="864"/>
      <c r="CY146" s="864"/>
      <c r="CZ146" s="864"/>
      <c r="DA146" s="864"/>
      <c r="DB146" s="466" t="s">
        <v>11658</v>
      </c>
      <c r="DC146" s="864"/>
      <c r="DD146" s="864"/>
      <c r="DE146" s="864"/>
      <c r="DF146" s="864"/>
      <c r="DG146" s="466" t="s">
        <v>5889</v>
      </c>
      <c r="DH146" s="470"/>
      <c r="DI146" s="866"/>
      <c r="DJ146" s="866"/>
      <c r="DK146" s="866"/>
      <c r="DL146" s="866"/>
      <c r="DM146" s="866"/>
      <c r="DN146" s="866"/>
      <c r="DO146" s="866"/>
      <c r="DP146" s="866"/>
      <c r="DQ146" s="866"/>
      <c r="DR146" s="866"/>
      <c r="DS146" s="866"/>
      <c r="DT146" s="866"/>
      <c r="DU146" s="866"/>
      <c r="DV146" s="866"/>
      <c r="DW146" s="866"/>
      <c r="DX146" s="866"/>
      <c r="DY146" s="866"/>
      <c r="DZ146" s="866"/>
      <c r="EA146" s="866"/>
      <c r="EB146" s="866"/>
      <c r="EC146" s="866"/>
      <c r="ED146" s="974"/>
    </row>
    <row r="147">
      <c r="A147" s="1988" t="s">
        <v>120</v>
      </c>
      <c r="B147" s="229" t="s">
        <v>11659</v>
      </c>
      <c r="C147" s="230" t="s">
        <v>155</v>
      </c>
      <c r="D147" s="231" t="s">
        <v>155</v>
      </c>
      <c r="E147" s="232" t="s">
        <v>155</v>
      </c>
      <c r="F147" s="233" t="s">
        <v>127</v>
      </c>
      <c r="G147" s="229" t="s">
        <v>719</v>
      </c>
      <c r="H147" s="1989"/>
      <c r="I147" s="273" t="s">
        <v>345</v>
      </c>
      <c r="J147" s="273" t="s">
        <v>11660</v>
      </c>
      <c r="K147" s="273" t="s">
        <v>11573</v>
      </c>
      <c r="L147" s="273" t="s">
        <v>9668</v>
      </c>
      <c r="M147" s="304"/>
      <c r="N147" s="304"/>
      <c r="O147" s="304"/>
      <c r="P147" s="242" t="s">
        <v>11661</v>
      </c>
      <c r="Q147" s="304"/>
      <c r="R147" s="304"/>
      <c r="S147" s="304"/>
      <c r="T147" s="304"/>
      <c r="U147" s="304"/>
      <c r="V147" s="304"/>
      <c r="W147" s="62"/>
      <c r="X147" s="273" t="s">
        <v>10369</v>
      </c>
      <c r="Y147" s="263"/>
      <c r="Z147" s="242" t="s">
        <v>1197</v>
      </c>
      <c r="AA147" s="908" t="s">
        <v>11662</v>
      </c>
      <c r="AB147" s="273" t="s">
        <v>10812</v>
      </c>
      <c r="AC147" s="273" t="s">
        <v>4509</v>
      </c>
      <c r="AD147" s="304"/>
      <c r="AE147" s="304"/>
      <c r="AF147" s="304"/>
      <c r="AG147" s="304"/>
      <c r="AH147" s="304"/>
      <c r="AI147" s="304"/>
      <c r="AJ147" s="304"/>
      <c r="AK147" s="304"/>
      <c r="AL147" s="61"/>
      <c r="AM147" s="304"/>
      <c r="AN147" s="304"/>
      <c r="AO147" s="304"/>
      <c r="AP147" s="304"/>
      <c r="AQ147" s="304"/>
      <c r="AR147" s="304"/>
      <c r="AS147" s="304"/>
      <c r="AT147" s="304"/>
      <c r="AU147" s="273" t="s">
        <v>4275</v>
      </c>
      <c r="AV147" s="263" t="s">
        <v>5254</v>
      </c>
      <c r="AW147" s="304"/>
      <c r="AX147" s="304"/>
      <c r="AY147" s="304"/>
      <c r="AZ147" s="304"/>
      <c r="BA147" s="304"/>
      <c r="BB147" s="273" t="s">
        <v>11663</v>
      </c>
      <c r="BC147" s="273" t="s">
        <v>4866</v>
      </c>
      <c r="BD147" s="304"/>
      <c r="BE147" s="304"/>
      <c r="BF147" s="304"/>
      <c r="BG147" s="304"/>
      <c r="BH147" s="304"/>
      <c r="BI147" s="304"/>
      <c r="BJ147" s="304"/>
      <c r="BK147" s="304"/>
      <c r="BL147" s="304"/>
      <c r="BM147" s="304"/>
      <c r="BN147" s="304"/>
      <c r="BO147" s="304"/>
      <c r="BP147" s="304"/>
      <c r="BQ147" s="841"/>
      <c r="BR147" s="273" t="s">
        <v>11664</v>
      </c>
      <c r="BS147" s="273" t="s">
        <v>7708</v>
      </c>
      <c r="BT147" s="273" t="s">
        <v>10652</v>
      </c>
      <c r="BU147" s="273" t="s">
        <v>4217</v>
      </c>
      <c r="BV147" s="304"/>
      <c r="BW147" s="273" t="s">
        <v>9821</v>
      </c>
      <c r="BX147" s="304"/>
      <c r="BY147" s="304"/>
      <c r="BZ147" s="304"/>
      <c r="CA147" s="304"/>
      <c r="CB147" s="304"/>
      <c r="CC147" s="304"/>
      <c r="CD147" s="304"/>
      <c r="CE147" s="304"/>
      <c r="CF147" s="841"/>
      <c r="CG147" s="304"/>
      <c r="CH147" s="304"/>
      <c r="CI147" s="304"/>
      <c r="CJ147" s="304"/>
      <c r="CK147" s="304"/>
      <c r="CL147" s="304"/>
      <c r="CM147" s="304"/>
      <c r="CN147" s="304"/>
      <c r="CO147" s="304"/>
      <c r="CP147" s="304"/>
      <c r="CQ147" s="304"/>
      <c r="CR147" s="304"/>
      <c r="CS147" s="304"/>
      <c r="CT147" s="304"/>
      <c r="CU147" s="62"/>
      <c r="CV147" s="273" t="s">
        <v>6458</v>
      </c>
      <c r="CW147" s="273" t="s">
        <v>934</v>
      </c>
      <c r="CX147" s="273" t="s">
        <v>370</v>
      </c>
      <c r="CY147" s="304"/>
      <c r="CZ147" s="304"/>
      <c r="DA147" s="304"/>
      <c r="DB147" s="304"/>
      <c r="DC147" s="304"/>
      <c r="DD147" s="304"/>
      <c r="DE147" s="304"/>
      <c r="DF147" s="304"/>
      <c r="DG147" s="304"/>
      <c r="DH147" s="304"/>
      <c r="DI147" s="304"/>
      <c r="DJ147" s="304"/>
      <c r="DK147" s="304"/>
      <c r="DL147" s="304"/>
      <c r="DM147" s="273" t="s">
        <v>1824</v>
      </c>
      <c r="DN147" s="273"/>
      <c r="DO147" s="304"/>
      <c r="DP147" s="304"/>
      <c r="DQ147" s="304"/>
      <c r="DR147" s="304"/>
      <c r="DS147" s="304"/>
      <c r="DT147" s="304"/>
      <c r="DU147" s="304"/>
      <c r="DV147" s="304"/>
      <c r="DW147" s="304"/>
      <c r="DX147" s="304"/>
      <c r="DY147" s="304"/>
      <c r="DZ147" s="304"/>
      <c r="EA147" s="304"/>
      <c r="EB147" s="304"/>
      <c r="EC147" s="304"/>
      <c r="ED147" s="1639"/>
    </row>
    <row r="148">
      <c r="A148" s="545" t="s">
        <v>11665</v>
      </c>
      <c r="B148" s="381" t="s">
        <v>11666</v>
      </c>
      <c r="C148" s="384" t="s">
        <v>155</v>
      </c>
      <c r="D148" s="386" t="s">
        <v>155</v>
      </c>
      <c r="E148" s="389" t="s">
        <v>155</v>
      </c>
      <c r="F148" s="390" t="s">
        <v>74</v>
      </c>
      <c r="G148" s="381" t="s">
        <v>74</v>
      </c>
      <c r="H148" s="849"/>
      <c r="I148" s="849"/>
      <c r="J148" s="849"/>
      <c r="K148" s="849"/>
      <c r="L148" s="849"/>
      <c r="M148" s="849"/>
      <c r="N148" s="849"/>
      <c r="O148" s="406" t="s">
        <v>4010</v>
      </c>
      <c r="P148" s="406" t="s">
        <v>11667</v>
      </c>
      <c r="Q148" s="849"/>
      <c r="R148" s="849"/>
      <c r="S148" s="849"/>
      <c r="T148" s="849"/>
      <c r="U148" s="849"/>
      <c r="V148" s="849"/>
      <c r="W148" s="62"/>
      <c r="X148" s="852"/>
      <c r="Y148" s="852"/>
      <c r="Z148" s="852"/>
      <c r="AA148" s="417" t="s">
        <v>4481</v>
      </c>
      <c r="AB148" s="919"/>
      <c r="AC148" s="417" t="s">
        <v>11249</v>
      </c>
      <c r="AD148" s="852"/>
      <c r="AE148" s="852"/>
      <c r="AF148" s="852"/>
      <c r="AG148" s="417" t="s">
        <v>1461</v>
      </c>
      <c r="AH148" s="852"/>
      <c r="AI148" s="852"/>
      <c r="AJ148" s="852"/>
      <c r="AK148" s="852"/>
      <c r="AL148" s="61"/>
      <c r="AM148" s="855"/>
      <c r="AN148" s="855"/>
      <c r="AO148" s="855"/>
      <c r="AP148" s="855"/>
      <c r="AQ148" s="855"/>
      <c r="AR148" s="855"/>
      <c r="AS148" s="855"/>
      <c r="AT148" s="855"/>
      <c r="AU148" s="427" t="s">
        <v>9598</v>
      </c>
      <c r="AV148" s="855"/>
      <c r="AW148" s="855"/>
      <c r="AX148" s="855"/>
      <c r="AY148" s="855"/>
      <c r="AZ148" s="855"/>
      <c r="BA148" s="855"/>
      <c r="BB148" s="587"/>
      <c r="BC148" s="587"/>
      <c r="BD148" s="439" t="s">
        <v>11668</v>
      </c>
      <c r="BE148" s="587"/>
      <c r="BF148" s="587"/>
      <c r="BG148" s="587"/>
      <c r="BH148" s="587"/>
      <c r="BI148" s="439" t="s">
        <v>465</v>
      </c>
      <c r="BJ148" s="587"/>
      <c r="BK148" s="587"/>
      <c r="BL148" s="439" t="s">
        <v>7382</v>
      </c>
      <c r="BM148" s="587"/>
      <c r="BN148" s="587"/>
      <c r="BO148" s="587"/>
      <c r="BP148" s="587"/>
      <c r="BQ148" s="857"/>
      <c r="BR148" s="859"/>
      <c r="BS148" s="859"/>
      <c r="BT148" s="859"/>
      <c r="BU148" s="448" t="s">
        <v>4312</v>
      </c>
      <c r="BV148" s="859"/>
      <c r="BW148" s="448" t="s">
        <v>4672</v>
      </c>
      <c r="BX148" s="859"/>
      <c r="BY148" s="859"/>
      <c r="BZ148" s="859"/>
      <c r="CA148" s="448" t="s">
        <v>4703</v>
      </c>
      <c r="CB148" s="859"/>
      <c r="CC148" s="859"/>
      <c r="CD148" s="859"/>
      <c r="CE148" s="859"/>
      <c r="CF148" s="861"/>
      <c r="CG148" s="863"/>
      <c r="CH148" s="863"/>
      <c r="CI148" s="863"/>
      <c r="CJ148" s="459" t="s">
        <v>11669</v>
      </c>
      <c r="CK148" s="904"/>
      <c r="CL148" s="459" t="s">
        <v>11670</v>
      </c>
      <c r="CM148" s="863"/>
      <c r="CN148" s="863"/>
      <c r="CO148" s="459" t="s">
        <v>10092</v>
      </c>
      <c r="CP148" s="863"/>
      <c r="CQ148" s="863"/>
      <c r="CR148" s="863"/>
      <c r="CS148" s="863"/>
      <c r="CT148" s="863"/>
      <c r="CU148" s="62"/>
      <c r="CV148" s="466" t="s">
        <v>9849</v>
      </c>
      <c r="CW148" s="466" t="s">
        <v>11438</v>
      </c>
      <c r="CX148" s="864"/>
      <c r="CY148" s="864"/>
      <c r="CZ148" s="864"/>
      <c r="DA148" s="864"/>
      <c r="DB148" s="864"/>
      <c r="DC148" s="466" t="s">
        <v>3552</v>
      </c>
      <c r="DD148" s="864"/>
      <c r="DE148" s="864"/>
      <c r="DF148" s="864"/>
      <c r="DG148" s="864"/>
      <c r="DH148" s="864"/>
      <c r="DI148" s="866"/>
      <c r="DJ148" s="866"/>
      <c r="DK148" s="866"/>
      <c r="DL148" s="866"/>
      <c r="DM148" s="483" t="s">
        <v>1824</v>
      </c>
      <c r="DN148" s="866"/>
      <c r="DO148" s="866"/>
      <c r="DP148" s="866"/>
      <c r="DQ148" s="866"/>
      <c r="DR148" s="866"/>
      <c r="DS148" s="866"/>
      <c r="DT148" s="866"/>
      <c r="DU148" s="866"/>
      <c r="DV148" s="866"/>
      <c r="DW148" s="866"/>
      <c r="DX148" s="866"/>
      <c r="DY148" s="866"/>
      <c r="DZ148" s="866"/>
      <c r="EA148" s="866"/>
      <c r="EB148" s="866"/>
      <c r="EC148" s="866"/>
      <c r="ED148" s="1941"/>
    </row>
    <row r="149">
      <c r="A149" s="1990" t="s">
        <v>11671</v>
      </c>
      <c r="B149" s="229" t="s">
        <v>11672</v>
      </c>
      <c r="C149" s="230" t="s">
        <v>155</v>
      </c>
      <c r="D149" s="231" t="s">
        <v>155</v>
      </c>
      <c r="E149" s="232" t="s">
        <v>155</v>
      </c>
      <c r="F149" s="233" t="s">
        <v>155</v>
      </c>
      <c r="G149" s="229" t="s">
        <v>8898</v>
      </c>
      <c r="H149" s="273" t="s">
        <v>10263</v>
      </c>
      <c r="I149" s="273" t="s">
        <v>10362</v>
      </c>
      <c r="J149" s="273" t="s">
        <v>2766</v>
      </c>
      <c r="K149" s="273" t="s">
        <v>11662</v>
      </c>
      <c r="L149" s="273" t="s">
        <v>6633</v>
      </c>
      <c r="M149" s="273" t="s">
        <v>7418</v>
      </c>
      <c r="N149" s="273" t="s">
        <v>2521</v>
      </c>
      <c r="O149" s="273" t="s">
        <v>5132</v>
      </c>
      <c r="P149" s="273" t="s">
        <v>2053</v>
      </c>
      <c r="Q149" s="273" t="s">
        <v>11673</v>
      </c>
      <c r="R149" s="304"/>
      <c r="S149" s="273" t="s">
        <v>525</v>
      </c>
      <c r="T149" s="304"/>
      <c r="U149" s="273" t="s">
        <v>11674</v>
      </c>
      <c r="V149" s="273" t="s">
        <v>11675</v>
      </c>
      <c r="W149" s="62"/>
      <c r="X149" s="273" t="s">
        <v>11676</v>
      </c>
      <c r="Y149" s="273"/>
      <c r="Z149" s="273" t="s">
        <v>6901</v>
      </c>
      <c r="AA149" s="273" t="s">
        <v>2356</v>
      </c>
      <c r="AB149" s="273" t="s">
        <v>10125</v>
      </c>
      <c r="AC149" s="273" t="s">
        <v>11620</v>
      </c>
      <c r="AD149" s="273" t="s">
        <v>11677</v>
      </c>
      <c r="AE149" s="273"/>
      <c r="AF149" s="273" t="s">
        <v>1591</v>
      </c>
      <c r="AG149" s="273" t="s">
        <v>11678</v>
      </c>
      <c r="AH149" s="273" t="s">
        <v>5101</v>
      </c>
      <c r="AI149" s="304"/>
      <c r="AJ149" s="273" t="s">
        <v>6548</v>
      </c>
      <c r="AK149" s="273" t="s">
        <v>11679</v>
      </c>
      <c r="AL149" s="61"/>
      <c r="AM149" s="273" t="s">
        <v>11680</v>
      </c>
      <c r="AN149" s="273" t="s">
        <v>11033</v>
      </c>
      <c r="AO149" s="273" t="s">
        <v>11681</v>
      </c>
      <c r="AP149" s="273" t="s">
        <v>3947</v>
      </c>
      <c r="AQ149" s="273" t="s">
        <v>2350</v>
      </c>
      <c r="AR149" s="273" t="s">
        <v>11682</v>
      </c>
      <c r="AS149" s="273" t="s">
        <v>11683</v>
      </c>
      <c r="AT149" s="273" t="s">
        <v>11684</v>
      </c>
      <c r="AU149" s="273" t="s">
        <v>2221</v>
      </c>
      <c r="AV149" s="273" t="s">
        <v>4002</v>
      </c>
      <c r="AW149" s="273" t="s">
        <v>3652</v>
      </c>
      <c r="AX149" s="304"/>
      <c r="AY149" s="273" t="s">
        <v>11685</v>
      </c>
      <c r="AZ149" s="273" t="s">
        <v>11686</v>
      </c>
      <c r="BA149" s="304"/>
      <c r="BB149" s="273" t="s">
        <v>11687</v>
      </c>
      <c r="BC149" s="273" t="s">
        <v>11688</v>
      </c>
      <c r="BD149" s="273" t="s">
        <v>297</v>
      </c>
      <c r="BE149" s="273" t="s">
        <v>10175</v>
      </c>
      <c r="BF149" s="273" t="s">
        <v>11689</v>
      </c>
      <c r="BG149" s="273" t="s">
        <v>8715</v>
      </c>
      <c r="BH149" s="273" t="s">
        <v>11690</v>
      </c>
      <c r="BI149" s="273" t="s">
        <v>11691</v>
      </c>
      <c r="BJ149" s="304"/>
      <c r="BK149" s="304"/>
      <c r="BL149" s="273" t="s">
        <v>1633</v>
      </c>
      <c r="BM149" s="273" t="s">
        <v>8230</v>
      </c>
      <c r="BN149" s="273" t="s">
        <v>3250</v>
      </c>
      <c r="BO149" s="273"/>
      <c r="BP149" s="273" t="s">
        <v>11692</v>
      </c>
      <c r="BQ149" s="841"/>
      <c r="BR149" s="273" t="s">
        <v>11693</v>
      </c>
      <c r="BS149" s="273" t="s">
        <v>4447</v>
      </c>
      <c r="BT149" s="273" t="s">
        <v>2967</v>
      </c>
      <c r="BU149" s="273" t="s">
        <v>4857</v>
      </c>
      <c r="BV149" s="273" t="s">
        <v>11694</v>
      </c>
      <c r="BW149" s="273" t="s">
        <v>11695</v>
      </c>
      <c r="BX149" s="273" t="s">
        <v>5087</v>
      </c>
      <c r="BY149" s="273" t="s">
        <v>4611</v>
      </c>
      <c r="BZ149" s="304"/>
      <c r="CA149" s="273" t="s">
        <v>11696</v>
      </c>
      <c r="CB149" s="273" t="s">
        <v>11697</v>
      </c>
      <c r="CC149" s="273" t="s">
        <v>1617</v>
      </c>
      <c r="CD149" s="273" t="s">
        <v>479</v>
      </c>
      <c r="CE149" s="273" t="s">
        <v>11698</v>
      </c>
      <c r="CF149" s="841"/>
      <c r="CG149" s="273" t="s">
        <v>11699</v>
      </c>
      <c r="CH149" s="273" t="s">
        <v>4915</v>
      </c>
      <c r="CI149" s="273" t="s">
        <v>1744</v>
      </c>
      <c r="CJ149" s="273" t="s">
        <v>11700</v>
      </c>
      <c r="CK149" s="273"/>
      <c r="CL149" s="273" t="s">
        <v>1139</v>
      </c>
      <c r="CM149" s="273" t="s">
        <v>7795</v>
      </c>
      <c r="CN149" s="273" t="s">
        <v>2693</v>
      </c>
      <c r="CO149" s="273" t="s">
        <v>7651</v>
      </c>
      <c r="CP149" s="273" t="s">
        <v>5668</v>
      </c>
      <c r="CQ149" s="273" t="s">
        <v>4001</v>
      </c>
      <c r="CR149" s="304"/>
      <c r="CS149" s="273" t="s">
        <v>11002</v>
      </c>
      <c r="CT149" s="273" t="s">
        <v>11701</v>
      </c>
      <c r="CU149" s="62"/>
      <c r="CV149" s="273" t="s">
        <v>9603</v>
      </c>
      <c r="CW149" s="273" t="s">
        <v>11702</v>
      </c>
      <c r="CX149" s="273" t="s">
        <v>3650</v>
      </c>
      <c r="CY149" s="273" t="s">
        <v>6476</v>
      </c>
      <c r="CZ149" s="273" t="s">
        <v>4899</v>
      </c>
      <c r="DA149" s="273" t="s">
        <v>10461</v>
      </c>
      <c r="DB149" s="273" t="s">
        <v>11703</v>
      </c>
      <c r="DC149" s="273" t="s">
        <v>11704</v>
      </c>
      <c r="DD149" s="273" t="s">
        <v>11705</v>
      </c>
      <c r="DE149" s="273" t="s">
        <v>10437</v>
      </c>
      <c r="DF149" s="273" t="s">
        <v>1104</v>
      </c>
      <c r="DG149" s="273" t="s">
        <v>11706</v>
      </c>
      <c r="DH149" s="304"/>
      <c r="DI149" s="273" t="s">
        <v>876</v>
      </c>
      <c r="DJ149" s="304"/>
      <c r="DK149" s="273" t="s">
        <v>9570</v>
      </c>
      <c r="DL149" s="273" t="s">
        <v>7439</v>
      </c>
      <c r="DM149" s="273" t="s">
        <v>2223</v>
      </c>
      <c r="DN149" s="273" t="s">
        <v>9379</v>
      </c>
      <c r="DO149" s="273" t="s">
        <v>10404</v>
      </c>
      <c r="DP149" s="273" t="s">
        <v>3469</v>
      </c>
      <c r="DQ149" s="273" t="s">
        <v>477</v>
      </c>
      <c r="DR149" s="273" t="s">
        <v>11707</v>
      </c>
      <c r="DS149" s="273" t="s">
        <v>9778</v>
      </c>
      <c r="DT149" s="273" t="s">
        <v>2326</v>
      </c>
      <c r="DU149" s="273" t="s">
        <v>2458</v>
      </c>
      <c r="DV149" s="273" t="s">
        <v>11708</v>
      </c>
      <c r="DW149" s="273" t="s">
        <v>4273</v>
      </c>
      <c r="DX149" s="273" t="s">
        <v>10297</v>
      </c>
      <c r="DY149" s="273" t="s">
        <v>11709</v>
      </c>
      <c r="DZ149" s="273" t="s">
        <v>10602</v>
      </c>
      <c r="EA149" s="273" t="s">
        <v>326</v>
      </c>
      <c r="EB149" s="273" t="s">
        <v>11029</v>
      </c>
      <c r="EC149" s="273" t="s">
        <v>8995</v>
      </c>
      <c r="ED149" s="1246" t="s">
        <v>10590</v>
      </c>
    </row>
    <row r="150">
      <c r="A150" s="1991" t="s">
        <v>11710</v>
      </c>
      <c r="B150" s="381" t="s">
        <v>11711</v>
      </c>
      <c r="C150" s="384" t="s">
        <v>155</v>
      </c>
      <c r="D150" s="386" t="s">
        <v>76</v>
      </c>
      <c r="E150" s="389" t="s">
        <v>155</v>
      </c>
      <c r="F150" s="390" t="s">
        <v>539</v>
      </c>
      <c r="G150" s="381" t="s">
        <v>3058</v>
      </c>
      <c r="H150" s="849"/>
      <c r="I150" s="547" t="s">
        <v>9064</v>
      </c>
      <c r="J150" s="547" t="s">
        <v>6339</v>
      </c>
      <c r="K150" s="406" t="s">
        <v>753</v>
      </c>
      <c r="L150" s="406" t="s">
        <v>11712</v>
      </c>
      <c r="M150" s="849"/>
      <c r="N150" s="849"/>
      <c r="O150" s="406" t="s">
        <v>1361</v>
      </c>
      <c r="P150" s="406" t="s">
        <v>605</v>
      </c>
      <c r="Q150" s="849"/>
      <c r="R150" s="849"/>
      <c r="S150" s="849"/>
      <c r="T150" s="849"/>
      <c r="U150" s="849"/>
      <c r="V150" s="849"/>
      <c r="W150" s="62"/>
      <c r="X150" s="852"/>
      <c r="Y150" s="852"/>
      <c r="Z150" s="852"/>
      <c r="AA150" s="417" t="s">
        <v>5061</v>
      </c>
      <c r="AB150" s="852"/>
      <c r="AC150" s="417" t="s">
        <v>10205</v>
      </c>
      <c r="AD150" s="852"/>
      <c r="AE150" s="852"/>
      <c r="AF150" s="852"/>
      <c r="AG150" s="417" t="s">
        <v>2423</v>
      </c>
      <c r="AH150" s="852"/>
      <c r="AI150" s="852"/>
      <c r="AJ150" s="852"/>
      <c r="AK150" s="852"/>
      <c r="AL150" s="61"/>
      <c r="AM150" s="855"/>
      <c r="AN150" s="427" t="s">
        <v>10482</v>
      </c>
      <c r="AO150" s="855"/>
      <c r="AP150" s="855"/>
      <c r="AQ150" s="855"/>
      <c r="AR150" s="855"/>
      <c r="AS150" s="855"/>
      <c r="AT150" s="855"/>
      <c r="AU150" s="427" t="s">
        <v>5391</v>
      </c>
      <c r="AV150" s="571" t="s">
        <v>687</v>
      </c>
      <c r="AW150" s="427" t="s">
        <v>9700</v>
      </c>
      <c r="AX150" s="855"/>
      <c r="AY150" s="855"/>
      <c r="AZ150" s="855"/>
      <c r="BA150" s="855"/>
      <c r="BB150" s="587"/>
      <c r="BC150" s="587"/>
      <c r="BD150" s="439" t="s">
        <v>2987</v>
      </c>
      <c r="BE150" s="587"/>
      <c r="BF150" s="587"/>
      <c r="BG150" s="587"/>
      <c r="BH150" s="587"/>
      <c r="BI150" s="439" t="s">
        <v>1148</v>
      </c>
      <c r="BJ150" s="587"/>
      <c r="BK150" s="587"/>
      <c r="BL150" s="589" t="s">
        <v>756</v>
      </c>
      <c r="BM150" s="587"/>
      <c r="BN150" s="587"/>
      <c r="BO150" s="587"/>
      <c r="BP150" s="587"/>
      <c r="BQ150" s="857"/>
      <c r="BR150" s="859"/>
      <c r="BS150" s="859"/>
      <c r="BT150" s="594" t="s">
        <v>4641</v>
      </c>
      <c r="BU150" s="594" t="s">
        <v>4535</v>
      </c>
      <c r="BV150" s="859"/>
      <c r="BW150" s="448" t="s">
        <v>2072</v>
      </c>
      <c r="BX150" s="859"/>
      <c r="BY150" s="859"/>
      <c r="BZ150" s="859"/>
      <c r="CA150" s="859"/>
      <c r="CB150" s="859"/>
      <c r="CC150" s="859"/>
      <c r="CD150" s="859"/>
      <c r="CE150" s="859"/>
      <c r="CF150" s="861"/>
      <c r="CG150" s="863"/>
      <c r="CH150" s="459" t="s">
        <v>5175</v>
      </c>
      <c r="CI150" s="863"/>
      <c r="CJ150" s="904" t="s">
        <v>10304</v>
      </c>
      <c r="CK150" s="904"/>
      <c r="CL150" s="904"/>
      <c r="CM150" s="863"/>
      <c r="CN150" s="863"/>
      <c r="CO150" s="606" t="s">
        <v>3641</v>
      </c>
      <c r="CP150" s="863"/>
      <c r="CQ150" s="863"/>
      <c r="CR150" s="863"/>
      <c r="CS150" s="863"/>
      <c r="CT150" s="863"/>
      <c r="CU150" s="62"/>
      <c r="CV150" s="703" t="s">
        <v>11713</v>
      </c>
      <c r="CW150" s="864"/>
      <c r="CX150" s="466" t="s">
        <v>11714</v>
      </c>
      <c r="CY150" s="864"/>
      <c r="CZ150" s="864"/>
      <c r="DA150" s="864"/>
      <c r="DB150" s="864"/>
      <c r="DC150" s="703" t="s">
        <v>6193</v>
      </c>
      <c r="DD150" s="864"/>
      <c r="DE150" s="864"/>
      <c r="DF150" s="864"/>
      <c r="DG150" s="864"/>
      <c r="DH150" s="864"/>
      <c r="DI150" s="866"/>
      <c r="DJ150" s="866"/>
      <c r="DK150" s="866"/>
      <c r="DL150" s="866"/>
      <c r="DM150" s="612" t="s">
        <v>477</v>
      </c>
      <c r="DN150" s="866"/>
      <c r="DO150" s="866"/>
      <c r="DP150" s="866"/>
      <c r="DQ150" s="866"/>
      <c r="DR150" s="866"/>
      <c r="DS150" s="707" t="s">
        <v>2969</v>
      </c>
      <c r="DT150" s="866"/>
      <c r="DU150" s="866"/>
      <c r="DV150" s="866"/>
      <c r="DW150" s="866"/>
      <c r="DX150" s="866"/>
      <c r="DY150" s="866"/>
      <c r="DZ150" s="866"/>
      <c r="EA150" s="866"/>
      <c r="EB150" s="866"/>
      <c r="EC150" s="866"/>
      <c r="ED150" s="1114" t="s">
        <v>11715</v>
      </c>
    </row>
    <row r="151">
      <c r="A151" s="1992" t="s">
        <v>3965</v>
      </c>
      <c r="B151" s="229" t="s">
        <v>11716</v>
      </c>
      <c r="C151" s="230" t="s">
        <v>155</v>
      </c>
      <c r="D151" s="231" t="s">
        <v>155</v>
      </c>
      <c r="E151" s="232" t="s">
        <v>155</v>
      </c>
      <c r="F151" s="233" t="s">
        <v>155</v>
      </c>
      <c r="G151" s="229" t="s">
        <v>3801</v>
      </c>
      <c r="H151" s="1989"/>
      <c r="I151" s="885"/>
      <c r="J151" s="885" t="s">
        <v>4491</v>
      </c>
      <c r="K151" s="885" t="s">
        <v>756</v>
      </c>
      <c r="L151" s="885" t="s">
        <v>1596</v>
      </c>
      <c r="M151" s="885"/>
      <c r="N151" s="885"/>
      <c r="O151" s="885" t="s">
        <v>11717</v>
      </c>
      <c r="P151" s="885" t="s">
        <v>2661</v>
      </c>
      <c r="Q151" s="1903"/>
      <c r="R151" s="1903"/>
      <c r="S151" s="1246" t="s">
        <v>9701</v>
      </c>
      <c r="T151" s="1903"/>
      <c r="U151" s="1903"/>
      <c r="V151" s="1903"/>
      <c r="W151" s="1861"/>
      <c r="X151" s="885" t="s">
        <v>11718</v>
      </c>
      <c r="Y151" s="885"/>
      <c r="Z151" s="885" t="s">
        <v>2315</v>
      </c>
      <c r="AA151" s="885" t="s">
        <v>3831</v>
      </c>
      <c r="AB151" s="885" t="s">
        <v>11719</v>
      </c>
      <c r="AC151" s="885" t="s">
        <v>1550</v>
      </c>
      <c r="AD151" s="885" t="s">
        <v>1825</v>
      </c>
      <c r="AE151" s="1903"/>
      <c r="AF151" s="885" t="s">
        <v>8792</v>
      </c>
      <c r="AG151" s="885" t="s">
        <v>624</v>
      </c>
      <c r="AH151" s="1903"/>
      <c r="AI151" s="1903"/>
      <c r="AJ151" s="885"/>
      <c r="AK151" s="1246"/>
      <c r="AL151" s="1864"/>
      <c r="AM151" s="885"/>
      <c r="AN151" s="885" t="s">
        <v>11720</v>
      </c>
      <c r="AO151" s="1903"/>
      <c r="AP151" s="1903"/>
      <c r="AQ151" s="1246"/>
      <c r="AR151" s="1246"/>
      <c r="AS151" s="1903"/>
      <c r="AT151" s="1903"/>
      <c r="AU151" s="885" t="s">
        <v>10107</v>
      </c>
      <c r="AV151" s="885" t="s">
        <v>1303</v>
      </c>
      <c r="AW151" s="885"/>
      <c r="AX151" s="1903"/>
      <c r="AY151" s="1903"/>
      <c r="AZ151" s="1903"/>
      <c r="BA151" s="1903"/>
      <c r="BB151" s="885"/>
      <c r="BC151" s="885" t="s">
        <v>7098</v>
      </c>
      <c r="BD151" s="885" t="s">
        <v>2831</v>
      </c>
      <c r="BE151" s="885" t="s">
        <v>7644</v>
      </c>
      <c r="BF151" s="885" t="s">
        <v>9384</v>
      </c>
      <c r="BG151" s="885" t="s">
        <v>11721</v>
      </c>
      <c r="BH151" s="1903"/>
      <c r="BI151" s="885" t="s">
        <v>9567</v>
      </c>
      <c r="BJ151" s="1903"/>
      <c r="BK151" s="885" t="s">
        <v>11722</v>
      </c>
      <c r="BL151" s="885" t="s">
        <v>10459</v>
      </c>
      <c r="BM151" s="1903"/>
      <c r="BN151" s="1903"/>
      <c r="BO151" s="885"/>
      <c r="BP151" s="1903"/>
      <c r="BQ151" s="1905"/>
      <c r="BR151" s="885"/>
      <c r="BS151" s="885" t="s">
        <v>11723</v>
      </c>
      <c r="BT151" s="885" t="s">
        <v>2572</v>
      </c>
      <c r="BU151" s="885" t="s">
        <v>10831</v>
      </c>
      <c r="BV151" s="885" t="s">
        <v>11724</v>
      </c>
      <c r="BW151" s="885" t="s">
        <v>4841</v>
      </c>
      <c r="BX151" s="1903"/>
      <c r="BY151" s="885"/>
      <c r="BZ151" s="885" t="s">
        <v>11725</v>
      </c>
      <c r="CA151" s="885" t="s">
        <v>11726</v>
      </c>
      <c r="CB151" s="1246"/>
      <c r="CC151" s="1246" t="s">
        <v>1596</v>
      </c>
      <c r="CD151" s="1903"/>
      <c r="CE151" s="1903"/>
      <c r="CF151" s="1905"/>
      <c r="CG151" s="885" t="s">
        <v>1074</v>
      </c>
      <c r="CH151" s="885" t="s">
        <v>11727</v>
      </c>
      <c r="CI151" s="885"/>
      <c r="CJ151" s="885"/>
      <c r="CK151" s="885" t="s">
        <v>11728</v>
      </c>
      <c r="CL151" s="885"/>
      <c r="CM151" s="885" t="s">
        <v>7081</v>
      </c>
      <c r="CN151" s="885" t="s">
        <v>9517</v>
      </c>
      <c r="CO151" s="885" t="s">
        <v>11729</v>
      </c>
      <c r="CP151" s="1907"/>
      <c r="CQ151" s="1903"/>
      <c r="CR151" s="1903"/>
      <c r="CS151" s="1903"/>
      <c r="CT151" s="1903"/>
      <c r="CU151" s="1861"/>
      <c r="CV151" s="885" t="s">
        <v>6743</v>
      </c>
      <c r="CW151" s="885"/>
      <c r="CX151" s="885" t="s">
        <v>10275</v>
      </c>
      <c r="CY151" s="885"/>
      <c r="CZ151" s="885"/>
      <c r="DA151" s="885"/>
      <c r="DB151" s="885" t="s">
        <v>7454</v>
      </c>
      <c r="DC151" s="885" t="s">
        <v>10141</v>
      </c>
      <c r="DD151" s="1903"/>
      <c r="DE151" s="1903"/>
      <c r="DF151" s="1903"/>
      <c r="DG151" s="1903"/>
      <c r="DH151" s="1903"/>
      <c r="DI151" s="885"/>
      <c r="DJ151" s="1903"/>
      <c r="DK151" s="1903"/>
      <c r="DL151" s="885"/>
      <c r="DM151" s="885"/>
      <c r="DN151" s="885"/>
      <c r="DO151" s="1903"/>
      <c r="DP151" s="1903"/>
      <c r="DQ151" s="1903"/>
      <c r="DR151" s="885"/>
      <c r="DS151" s="885"/>
      <c r="DT151" s="1903"/>
      <c r="DU151" s="885"/>
      <c r="DV151" s="1903"/>
      <c r="DW151" s="1903"/>
      <c r="DX151" s="1903"/>
      <c r="DY151" s="1903"/>
      <c r="DZ151" s="1903"/>
      <c r="EA151" s="885"/>
      <c r="EB151" s="1903"/>
      <c r="EC151" s="1903"/>
      <c r="ED151" s="885"/>
    </row>
    <row r="152">
      <c r="A152" s="1993" t="s">
        <v>11730</v>
      </c>
      <c r="B152" s="381" t="s">
        <v>11731</v>
      </c>
      <c r="C152" s="384" t="s">
        <v>155</v>
      </c>
      <c r="D152" s="386" t="s">
        <v>155</v>
      </c>
      <c r="E152" s="389" t="s">
        <v>155</v>
      </c>
      <c r="F152" s="390" t="s">
        <v>79</v>
      </c>
      <c r="G152" s="381" t="s">
        <v>551</v>
      </c>
      <c r="H152" s="1549"/>
      <c r="I152" s="1549" t="s">
        <v>9240</v>
      </c>
      <c r="J152" s="402" t="s">
        <v>11732</v>
      </c>
      <c r="K152" s="1549" t="s">
        <v>726</v>
      </c>
      <c r="L152" s="1711" t="s">
        <v>10419</v>
      </c>
      <c r="M152" s="1711" t="s">
        <v>11733</v>
      </c>
      <c r="N152" s="1711" t="s">
        <v>8809</v>
      </c>
      <c r="O152" s="1711" t="s">
        <v>11734</v>
      </c>
      <c r="P152" s="1711" t="s">
        <v>1677</v>
      </c>
      <c r="Q152" s="849"/>
      <c r="R152" s="849"/>
      <c r="S152" s="849"/>
      <c r="T152" s="849"/>
      <c r="U152" s="849"/>
      <c r="V152" s="849"/>
      <c r="W152" s="62"/>
      <c r="X152" s="421"/>
      <c r="Y152" s="919"/>
      <c r="Z152" s="417" t="s">
        <v>2315</v>
      </c>
      <c r="AA152" s="421" t="s">
        <v>11090</v>
      </c>
      <c r="AB152" s="1007"/>
      <c r="AC152" s="421" t="s">
        <v>10540</v>
      </c>
      <c r="AD152" s="421"/>
      <c r="AE152" s="852"/>
      <c r="AF152" s="421" t="s">
        <v>11735</v>
      </c>
      <c r="AG152" s="421" t="s">
        <v>2383</v>
      </c>
      <c r="AH152" s="852"/>
      <c r="AI152" s="852"/>
      <c r="AJ152" s="421"/>
      <c r="AK152" s="852"/>
      <c r="AL152" s="61"/>
      <c r="AM152" s="435"/>
      <c r="AN152" s="435"/>
      <c r="AO152" s="855"/>
      <c r="AP152" s="855"/>
      <c r="AQ152" s="571"/>
      <c r="AR152" s="571"/>
      <c r="AS152" s="855"/>
      <c r="AT152" s="571"/>
      <c r="AU152" s="1994" t="s">
        <v>5061</v>
      </c>
      <c r="AV152" s="435"/>
      <c r="AW152" s="435"/>
      <c r="AX152" s="855"/>
      <c r="AY152" s="855"/>
      <c r="AZ152" s="855"/>
      <c r="BA152" s="855"/>
      <c r="BB152" s="1645" t="s">
        <v>9968</v>
      </c>
      <c r="BC152" s="1645"/>
      <c r="BD152" s="1645"/>
      <c r="BE152" s="1645" t="s">
        <v>5286</v>
      </c>
      <c r="BF152" s="1645" t="s">
        <v>11736</v>
      </c>
      <c r="BG152" s="1645"/>
      <c r="BH152" s="587"/>
      <c r="BI152" s="1645"/>
      <c r="BJ152" s="587"/>
      <c r="BK152" s="1645"/>
      <c r="BL152" s="1645"/>
      <c r="BM152" s="587"/>
      <c r="BN152" s="587"/>
      <c r="BO152" s="1645"/>
      <c r="BP152" s="587"/>
      <c r="BQ152" s="857"/>
      <c r="BR152" s="451" t="s">
        <v>11737</v>
      </c>
      <c r="BS152" s="451"/>
      <c r="BT152" s="451"/>
      <c r="BU152" s="448" t="s">
        <v>4168</v>
      </c>
      <c r="BV152" s="451"/>
      <c r="BW152" s="451" t="s">
        <v>11649</v>
      </c>
      <c r="BX152" s="859"/>
      <c r="BY152" s="451"/>
      <c r="BZ152" s="451" t="s">
        <v>3933</v>
      </c>
      <c r="CA152" s="451"/>
      <c r="CB152" s="859"/>
      <c r="CC152" s="859"/>
      <c r="CD152" s="859"/>
      <c r="CE152" s="859"/>
      <c r="CF152" s="861"/>
      <c r="CG152" s="460"/>
      <c r="CH152" s="459" t="s">
        <v>4526</v>
      </c>
      <c r="CI152" s="460"/>
      <c r="CJ152" s="460"/>
      <c r="CK152" s="460"/>
      <c r="CL152" s="460"/>
      <c r="CM152" s="460"/>
      <c r="CN152" s="460"/>
      <c r="CO152" s="460" t="s">
        <v>1630</v>
      </c>
      <c r="CP152" s="1800"/>
      <c r="CQ152" s="863"/>
      <c r="CR152" s="863"/>
      <c r="CS152" s="863"/>
      <c r="CT152" s="863"/>
      <c r="CU152" s="62"/>
      <c r="CV152" s="470"/>
      <c r="CW152" s="470"/>
      <c r="CX152" s="1995" t="s">
        <v>4012</v>
      </c>
      <c r="CY152" s="1995" t="s">
        <v>11738</v>
      </c>
      <c r="CZ152" s="470"/>
      <c r="DA152" s="470" t="s">
        <v>11739</v>
      </c>
      <c r="DB152" s="470" t="s">
        <v>1041</v>
      </c>
      <c r="DC152" s="470"/>
      <c r="DD152" s="864"/>
      <c r="DE152" s="864"/>
      <c r="DF152" s="864"/>
      <c r="DG152" s="864"/>
      <c r="DH152" s="864"/>
      <c r="DI152" s="709"/>
      <c r="DJ152" s="866"/>
      <c r="DK152" s="866"/>
      <c r="DL152" s="709"/>
      <c r="DM152" s="709"/>
      <c r="DN152" s="709"/>
      <c r="DO152" s="866"/>
      <c r="DP152" s="866"/>
      <c r="DQ152" s="866"/>
      <c r="DR152" s="709"/>
      <c r="DS152" s="709"/>
      <c r="DT152" s="866"/>
      <c r="DU152" s="709"/>
      <c r="DV152" s="866"/>
      <c r="DW152" s="866"/>
      <c r="DX152" s="866"/>
      <c r="DY152" s="866"/>
      <c r="DZ152" s="866"/>
      <c r="EA152" s="709"/>
      <c r="EB152" s="866"/>
      <c r="EC152" s="866"/>
      <c r="ED152" s="974"/>
    </row>
    <row r="153">
      <c r="A153" s="228" t="s">
        <v>8851</v>
      </c>
      <c r="B153" s="229" t="s">
        <v>11740</v>
      </c>
      <c r="C153" s="230" t="s">
        <v>155</v>
      </c>
      <c r="D153" s="231" t="s">
        <v>155</v>
      </c>
      <c r="E153" s="232" t="s">
        <v>155</v>
      </c>
      <c r="F153" s="233" t="s">
        <v>76</v>
      </c>
      <c r="G153" s="229" t="s">
        <v>1016</v>
      </c>
      <c r="H153" s="304"/>
      <c r="I153" s="304"/>
      <c r="J153" s="273" t="s">
        <v>11741</v>
      </c>
      <c r="K153" s="273" t="s">
        <v>753</v>
      </c>
      <c r="L153" s="273" t="s">
        <v>5993</v>
      </c>
      <c r="M153" s="304"/>
      <c r="N153" s="273" t="s">
        <v>9452</v>
      </c>
      <c r="O153" s="273" t="s">
        <v>851</v>
      </c>
      <c r="P153" s="304"/>
      <c r="Q153" s="304"/>
      <c r="R153" s="304"/>
      <c r="S153" s="304"/>
      <c r="T153" s="304"/>
      <c r="U153" s="304"/>
      <c r="V153" s="304"/>
      <c r="W153" s="62"/>
      <c r="X153" s="304"/>
      <c r="Y153" s="304"/>
      <c r="Z153" s="304"/>
      <c r="AA153" s="273" t="s">
        <v>11742</v>
      </c>
      <c r="AB153" s="304"/>
      <c r="AC153" s="304"/>
      <c r="AD153" s="304"/>
      <c r="AE153" s="304"/>
      <c r="AF153" s="304"/>
      <c r="AG153" s="304"/>
      <c r="AH153" s="304"/>
      <c r="AI153" s="304"/>
      <c r="AJ153" s="304"/>
      <c r="AK153" s="304"/>
      <c r="AL153" s="61"/>
      <c r="AM153" s="304"/>
      <c r="AN153" s="304"/>
      <c r="AO153" s="304"/>
      <c r="AP153" s="304"/>
      <c r="AQ153" s="304"/>
      <c r="AR153" s="304"/>
      <c r="AS153" s="304"/>
      <c r="AT153" s="304"/>
      <c r="AU153" s="304"/>
      <c r="AV153" s="304"/>
      <c r="AW153" s="304"/>
      <c r="AX153" s="304"/>
      <c r="AY153" s="304"/>
      <c r="AZ153" s="304"/>
      <c r="BA153" s="304"/>
      <c r="BB153" s="304"/>
      <c r="BC153" s="304"/>
      <c r="BD153" s="304"/>
      <c r="BE153" s="273" t="s">
        <v>11743</v>
      </c>
      <c r="BF153" s="304"/>
      <c r="BG153" s="304"/>
      <c r="BH153" s="304"/>
      <c r="BI153" s="273" t="s">
        <v>9795</v>
      </c>
      <c r="BJ153" s="304"/>
      <c r="BK153" s="304"/>
      <c r="BL153" s="304"/>
      <c r="BM153" s="304"/>
      <c r="BN153" s="304"/>
      <c r="BO153" s="304"/>
      <c r="BP153" s="304"/>
      <c r="BQ153" s="841"/>
      <c r="BR153" s="304"/>
      <c r="BS153" s="304"/>
      <c r="BT153" s="304"/>
      <c r="BU153" s="304"/>
      <c r="BV153" s="304"/>
      <c r="BW153" s="304"/>
      <c r="BX153" s="304"/>
      <c r="BY153" s="304"/>
      <c r="BZ153" s="304"/>
      <c r="CA153" s="304"/>
      <c r="CB153" s="304"/>
      <c r="CC153" s="304"/>
      <c r="CD153" s="304"/>
      <c r="CE153" s="304"/>
      <c r="CF153" s="841"/>
      <c r="CG153" s="304"/>
      <c r="CH153" s="301" t="str">
        <f>HYPERLINK("https://twitter.com/Blodvalen/status/1246986499721216006","29.49")</f>
        <v>29.49</v>
      </c>
      <c r="CI153" s="304"/>
      <c r="CJ153" s="304"/>
      <c r="CK153" s="304"/>
      <c r="CL153" s="304"/>
      <c r="CM153" s="304"/>
      <c r="CN153" s="273" t="s">
        <v>4187</v>
      </c>
      <c r="CO153" s="304"/>
      <c r="CP153" s="304"/>
      <c r="CQ153" s="304"/>
      <c r="CR153" s="304"/>
      <c r="CS153" s="304"/>
      <c r="CT153" s="304"/>
      <c r="CU153" s="62"/>
      <c r="CV153" s="304"/>
      <c r="CW153" s="304"/>
      <c r="CX153" s="304"/>
      <c r="CY153" s="304"/>
      <c r="CZ153" s="304"/>
      <c r="DA153" s="304"/>
      <c r="DB153" s="273" t="s">
        <v>9095</v>
      </c>
      <c r="DC153" s="304"/>
      <c r="DD153" s="304"/>
      <c r="DE153" s="304"/>
      <c r="DF153" s="304"/>
      <c r="DG153" s="304"/>
      <c r="DH153" s="304"/>
      <c r="DI153" s="304"/>
      <c r="DJ153" s="304"/>
      <c r="DK153" s="304"/>
      <c r="DL153" s="304"/>
      <c r="DM153" s="304"/>
      <c r="DN153" s="304"/>
      <c r="DO153" s="304"/>
      <c r="DP153" s="304"/>
      <c r="DQ153" s="304"/>
      <c r="DR153" s="304"/>
      <c r="DS153" s="304"/>
      <c r="DT153" s="304"/>
      <c r="DU153" s="304"/>
      <c r="DV153" s="304"/>
      <c r="DW153" s="304"/>
      <c r="DX153" s="304"/>
      <c r="DY153" s="304"/>
      <c r="DZ153" s="304"/>
      <c r="EA153" s="304"/>
      <c r="EB153" s="304"/>
      <c r="EC153" s="304"/>
      <c r="ED153" s="885"/>
    </row>
    <row r="154">
      <c r="A154" s="1798" t="s">
        <v>11744</v>
      </c>
      <c r="B154" s="381" t="s">
        <v>11745</v>
      </c>
      <c r="C154" s="384" t="s">
        <v>155</v>
      </c>
      <c r="D154" s="386" t="s">
        <v>155</v>
      </c>
      <c r="E154" s="389" t="s">
        <v>155</v>
      </c>
      <c r="F154" s="390" t="s">
        <v>155</v>
      </c>
      <c r="G154" s="381" t="s">
        <v>557</v>
      </c>
      <c r="H154" s="1711"/>
      <c r="I154" s="1799" t="s">
        <v>11114</v>
      </c>
      <c r="J154" s="1711" t="s">
        <v>11746</v>
      </c>
      <c r="K154" s="1711" t="s">
        <v>1155</v>
      </c>
      <c r="L154" s="1711" t="s">
        <v>11634</v>
      </c>
      <c r="M154" s="1711" t="s">
        <v>8249</v>
      </c>
      <c r="N154" s="1711" t="s">
        <v>3541</v>
      </c>
      <c r="O154" s="1711" t="s">
        <v>1720</v>
      </c>
      <c r="P154" s="1711" t="s">
        <v>3165</v>
      </c>
      <c r="Q154" s="849"/>
      <c r="R154" s="849"/>
      <c r="S154" s="547"/>
      <c r="T154" s="849"/>
      <c r="U154" s="849"/>
      <c r="V154" s="849"/>
      <c r="W154" s="62"/>
      <c r="X154" s="421" t="s">
        <v>10539</v>
      </c>
      <c r="Y154" s="421"/>
      <c r="Z154" s="421" t="s">
        <v>6901</v>
      </c>
      <c r="AA154" s="421" t="s">
        <v>11747</v>
      </c>
      <c r="AB154" s="1007" t="s">
        <v>6597</v>
      </c>
      <c r="AC154" s="421" t="s">
        <v>11748</v>
      </c>
      <c r="AD154" s="421" t="s">
        <v>10129</v>
      </c>
      <c r="AE154" s="852"/>
      <c r="AF154" s="421" t="s">
        <v>11749</v>
      </c>
      <c r="AG154" s="421" t="s">
        <v>11750</v>
      </c>
      <c r="AH154" s="852"/>
      <c r="AI154" s="852"/>
      <c r="AJ154" s="421"/>
      <c r="AK154" s="852"/>
      <c r="AL154" s="61"/>
      <c r="AM154" s="435"/>
      <c r="AN154" s="435"/>
      <c r="AO154" s="855"/>
      <c r="AP154" s="855"/>
      <c r="AQ154" s="571"/>
      <c r="AR154" s="571"/>
      <c r="AS154" s="855"/>
      <c r="AT154" s="855"/>
      <c r="AU154" s="435" t="s">
        <v>10224</v>
      </c>
      <c r="AV154" s="435" t="s">
        <v>10488</v>
      </c>
      <c r="AW154" s="435"/>
      <c r="AX154" s="855"/>
      <c r="AY154" s="855"/>
      <c r="AZ154" s="855"/>
      <c r="BA154" s="855"/>
      <c r="BB154" s="1645" t="s">
        <v>11689</v>
      </c>
      <c r="BC154" s="1645" t="s">
        <v>8581</v>
      </c>
      <c r="BD154" s="1645" t="s">
        <v>4168</v>
      </c>
      <c r="BE154" s="1645" t="s">
        <v>5625</v>
      </c>
      <c r="BF154" s="1645" t="s">
        <v>11751</v>
      </c>
      <c r="BG154" s="1645"/>
      <c r="BH154" s="587"/>
      <c r="BI154" s="1645" t="s">
        <v>689</v>
      </c>
      <c r="BJ154" s="589" t="s">
        <v>11752</v>
      </c>
      <c r="BK154" s="1645"/>
      <c r="BL154" s="1645" t="s">
        <v>774</v>
      </c>
      <c r="BM154" s="587"/>
      <c r="BN154" s="587"/>
      <c r="BO154" s="1645"/>
      <c r="BP154" s="587"/>
      <c r="BQ154" s="857"/>
      <c r="BR154" s="1974" t="s">
        <v>11753</v>
      </c>
      <c r="BS154" s="451" t="s">
        <v>1196</v>
      </c>
      <c r="BT154" s="451" t="s">
        <v>3908</v>
      </c>
      <c r="BU154" s="451" t="s">
        <v>11754</v>
      </c>
      <c r="BV154" s="451" t="s">
        <v>11755</v>
      </c>
      <c r="BW154" s="451" t="s">
        <v>5025</v>
      </c>
      <c r="BX154" s="594" t="s">
        <v>10454</v>
      </c>
      <c r="BY154" s="451" t="s">
        <v>11756</v>
      </c>
      <c r="BZ154" s="451"/>
      <c r="CA154" s="451" t="s">
        <v>4234</v>
      </c>
      <c r="CB154" s="859"/>
      <c r="CC154" s="859"/>
      <c r="CD154" s="859"/>
      <c r="CE154" s="859"/>
      <c r="CF154" s="861"/>
      <c r="CG154" s="460" t="s">
        <v>11757</v>
      </c>
      <c r="CH154" s="460" t="s">
        <v>3769</v>
      </c>
      <c r="CI154" s="460" t="s">
        <v>10422</v>
      </c>
      <c r="CJ154" s="460"/>
      <c r="CK154" s="460" t="s">
        <v>6836</v>
      </c>
      <c r="CL154" s="460" t="s">
        <v>1197</v>
      </c>
      <c r="CM154" s="460" t="s">
        <v>5666</v>
      </c>
      <c r="CN154" s="460" t="s">
        <v>11758</v>
      </c>
      <c r="CO154" s="460" t="s">
        <v>11759</v>
      </c>
      <c r="CP154" s="1800"/>
      <c r="CQ154" s="863"/>
      <c r="CR154" s="863"/>
      <c r="CS154" s="863"/>
      <c r="CT154" s="863"/>
      <c r="CU154" s="62"/>
      <c r="CV154" s="470" t="s">
        <v>4957</v>
      </c>
      <c r="CW154" s="470" t="s">
        <v>1609</v>
      </c>
      <c r="CX154" s="470" t="s">
        <v>637</v>
      </c>
      <c r="CY154" s="470" t="s">
        <v>7612</v>
      </c>
      <c r="CZ154" s="470" t="s">
        <v>6519</v>
      </c>
      <c r="DA154" s="470" t="s">
        <v>3718</v>
      </c>
      <c r="DB154" s="470" t="s">
        <v>11692</v>
      </c>
      <c r="DC154" s="470" t="s">
        <v>11747</v>
      </c>
      <c r="DD154" s="864"/>
      <c r="DE154" s="864"/>
      <c r="DF154" s="864"/>
      <c r="DG154" s="864"/>
      <c r="DH154" s="864"/>
      <c r="DI154" s="709" t="s">
        <v>9641</v>
      </c>
      <c r="DJ154" s="866"/>
      <c r="DK154" s="866"/>
      <c r="DL154" s="709"/>
      <c r="DM154" s="709"/>
      <c r="DN154" s="709"/>
      <c r="DO154" s="866"/>
      <c r="DP154" s="866"/>
      <c r="DQ154" s="866"/>
      <c r="DR154" s="709" t="s">
        <v>3178</v>
      </c>
      <c r="DS154" s="709" t="s">
        <v>2398</v>
      </c>
      <c r="DT154" s="866"/>
      <c r="DU154" s="709"/>
      <c r="DV154" s="866"/>
      <c r="DW154" s="866"/>
      <c r="DX154" s="866"/>
      <c r="DY154" s="866"/>
      <c r="DZ154" s="866"/>
      <c r="EA154" s="709"/>
      <c r="EB154" s="866"/>
      <c r="EC154" s="866"/>
      <c r="ED154" s="974"/>
    </row>
    <row r="155">
      <c r="A155" s="228" t="s">
        <v>11760</v>
      </c>
      <c r="B155" s="229" t="s">
        <v>11761</v>
      </c>
      <c r="C155" s="230" t="s">
        <v>155</v>
      </c>
      <c r="D155" s="231" t="s">
        <v>155</v>
      </c>
      <c r="E155" s="232" t="s">
        <v>155</v>
      </c>
      <c r="F155" s="233" t="s">
        <v>306</v>
      </c>
      <c r="G155" s="229" t="s">
        <v>2418</v>
      </c>
      <c r="H155" s="273"/>
      <c r="I155" s="242" t="s">
        <v>8608</v>
      </c>
      <c r="J155" s="242" t="s">
        <v>1459</v>
      </c>
      <c r="K155" s="242" t="s">
        <v>5901</v>
      </c>
      <c r="L155" s="242" t="s">
        <v>11762</v>
      </c>
      <c r="M155" s="273" t="s">
        <v>11763</v>
      </c>
      <c r="N155" s="273" t="s">
        <v>6605</v>
      </c>
      <c r="O155" s="273" t="s">
        <v>11160</v>
      </c>
      <c r="P155" s="273" t="s">
        <v>3821</v>
      </c>
      <c r="Q155" s="304"/>
      <c r="R155" s="304"/>
      <c r="S155" s="304"/>
      <c r="T155" s="304"/>
      <c r="U155" s="304"/>
      <c r="V155" s="304"/>
      <c r="W155" s="62"/>
      <c r="X155" s="273" t="s">
        <v>11764</v>
      </c>
      <c r="Y155" s="304"/>
      <c r="Z155" s="304"/>
      <c r="AA155" s="273" t="s">
        <v>2757</v>
      </c>
      <c r="AB155" s="273" t="s">
        <v>3078</v>
      </c>
      <c r="AC155" s="242" t="s">
        <v>11315</v>
      </c>
      <c r="AD155" s="304"/>
      <c r="AE155" s="304"/>
      <c r="AF155" s="273" t="s">
        <v>7492</v>
      </c>
      <c r="AG155" s="273" t="s">
        <v>845</v>
      </c>
      <c r="AH155" s="304"/>
      <c r="AI155" s="304"/>
      <c r="AJ155" s="304"/>
      <c r="AK155" s="304"/>
      <c r="AL155" s="61"/>
      <c r="AM155" s="273"/>
      <c r="AN155" s="273" t="s">
        <v>6184</v>
      </c>
      <c r="AO155" s="304"/>
      <c r="AP155" s="304"/>
      <c r="AQ155" s="304"/>
      <c r="AR155" s="304"/>
      <c r="AS155" s="304"/>
      <c r="AT155" s="304"/>
      <c r="AU155" s="273" t="s">
        <v>11765</v>
      </c>
      <c r="AV155" s="304"/>
      <c r="AW155" s="273" t="s">
        <v>1315</v>
      </c>
      <c r="AX155" s="304"/>
      <c r="AY155" s="304"/>
      <c r="AZ155" s="304"/>
      <c r="BA155" s="304"/>
      <c r="BB155" s="304"/>
      <c r="BC155" s="273" t="s">
        <v>11542</v>
      </c>
      <c r="BD155" s="304"/>
      <c r="BE155" s="273" t="s">
        <v>11766</v>
      </c>
      <c r="BF155" s="273" t="s">
        <v>4444</v>
      </c>
      <c r="BG155" s="273" t="s">
        <v>10797</v>
      </c>
      <c r="BH155" s="304"/>
      <c r="BI155" s="242" t="s">
        <v>11767</v>
      </c>
      <c r="BJ155" s="304"/>
      <c r="BK155" s="304"/>
      <c r="BL155" s="273" t="s">
        <v>371</v>
      </c>
      <c r="BM155" s="304"/>
      <c r="BN155" s="304"/>
      <c r="BO155" s="304"/>
      <c r="BP155" s="304"/>
      <c r="BQ155" s="841"/>
      <c r="BR155" s="273"/>
      <c r="BS155" s="304"/>
      <c r="BT155" s="304"/>
      <c r="BU155" s="273" t="s">
        <v>3974</v>
      </c>
      <c r="BV155" s="304"/>
      <c r="BW155" s="273" t="s">
        <v>5337</v>
      </c>
      <c r="BX155" s="304"/>
      <c r="BY155" s="273" t="s">
        <v>11768</v>
      </c>
      <c r="BZ155" s="304"/>
      <c r="CA155" s="273" t="s">
        <v>11769</v>
      </c>
      <c r="CB155" s="304"/>
      <c r="CC155" s="304"/>
      <c r="CD155" s="304"/>
      <c r="CE155" s="304"/>
      <c r="CF155" s="841"/>
      <c r="CG155" s="304"/>
      <c r="CH155" s="273" t="s">
        <v>11770</v>
      </c>
      <c r="CI155" s="304"/>
      <c r="CJ155" s="263" t="s">
        <v>11771</v>
      </c>
      <c r="CK155" s="263"/>
      <c r="CL155" s="263" t="s">
        <v>11530</v>
      </c>
      <c r="CM155" s="304"/>
      <c r="CN155" s="304"/>
      <c r="CO155" s="304"/>
      <c r="CP155" s="304"/>
      <c r="CQ155" s="304"/>
      <c r="CR155" s="304"/>
      <c r="CS155" s="304"/>
      <c r="CT155" s="304"/>
      <c r="CU155" s="62"/>
      <c r="CV155" s="304"/>
      <c r="CW155" s="273" t="s">
        <v>11438</v>
      </c>
      <c r="CX155" s="273" t="s">
        <v>11772</v>
      </c>
      <c r="CY155" s="304"/>
      <c r="CZ155" s="304"/>
      <c r="DA155" s="273" t="s">
        <v>11294</v>
      </c>
      <c r="DB155" s="263" t="s">
        <v>11388</v>
      </c>
      <c r="DC155" s="273" t="s">
        <v>11773</v>
      </c>
      <c r="DD155" s="304"/>
      <c r="DE155" s="304"/>
      <c r="DF155" s="304"/>
      <c r="DG155" s="304"/>
      <c r="DH155" s="304"/>
      <c r="DI155" s="304"/>
      <c r="DJ155" s="304"/>
      <c r="DK155" s="304"/>
      <c r="DL155" s="304"/>
      <c r="DM155" s="304"/>
      <c r="DN155" s="304"/>
      <c r="DO155" s="304"/>
      <c r="DP155" s="304"/>
      <c r="DQ155" s="304"/>
      <c r="DR155" s="304"/>
      <c r="DS155" s="304"/>
      <c r="DT155" s="304"/>
      <c r="DU155" s="304"/>
      <c r="DV155" s="304"/>
      <c r="DW155" s="304"/>
      <c r="DX155" s="304"/>
      <c r="DY155" s="304"/>
      <c r="DZ155" s="304"/>
      <c r="EA155" s="304"/>
      <c r="EB155" s="304"/>
      <c r="EC155" s="304"/>
      <c r="ED155" s="885"/>
    </row>
    <row r="156">
      <c r="A156" s="545" t="s">
        <v>11774</v>
      </c>
      <c r="B156" s="381" t="s">
        <v>1790</v>
      </c>
      <c r="C156" s="384" t="s">
        <v>155</v>
      </c>
      <c r="D156" s="386" t="s">
        <v>155</v>
      </c>
      <c r="E156" s="389" t="s">
        <v>155</v>
      </c>
      <c r="F156" s="390" t="s">
        <v>306</v>
      </c>
      <c r="G156" s="381" t="s">
        <v>306</v>
      </c>
      <c r="H156" s="849"/>
      <c r="I156" s="849"/>
      <c r="J156" s="849"/>
      <c r="K156" s="1996" t="str">
        <f>HYPERLINK("https://youtu.be/MU1qH8LoqLU","13.87")</f>
        <v>13.87</v>
      </c>
      <c r="L156" s="1996" t="str">
        <f>HYPERLINK("https://youtu.be/hXVYSUclgOo","42.66")</f>
        <v>42.66</v>
      </c>
      <c r="M156" s="849"/>
      <c r="N156" s="849"/>
      <c r="O156" s="849"/>
      <c r="P156" s="849"/>
      <c r="Q156" s="849"/>
      <c r="R156" s="849"/>
      <c r="S156" s="849"/>
      <c r="T156" s="849"/>
      <c r="U156" s="849"/>
      <c r="V156" s="849"/>
      <c r="W156" s="62"/>
      <c r="X156" s="1997" t="str">
        <f>HYPERLINK("https://clips.twitch.tv/SillyWimpySandwichLitty","50.60")</f>
        <v>50.60</v>
      </c>
      <c r="Y156" s="852"/>
      <c r="Z156" s="852"/>
      <c r="AA156" s="852"/>
      <c r="AB156" s="852"/>
      <c r="AC156" s="852"/>
      <c r="AD156" s="1997" t="str">
        <f>HYPERLINK("https://clips.twitch.tv/IncredulousImpossibleCakeGrammarKing?tt_medium=clips_api&amp;tt_content=url","57.80")</f>
        <v>57.80</v>
      </c>
      <c r="AE156" s="852"/>
      <c r="AF156" s="852"/>
      <c r="AG156" s="852"/>
      <c r="AH156" s="852"/>
      <c r="AI156" s="852"/>
      <c r="AJ156" s="852"/>
      <c r="AK156" s="852"/>
      <c r="AL156" s="61"/>
      <c r="AM156" s="855"/>
      <c r="AN156" s="855"/>
      <c r="AO156" s="855"/>
      <c r="AP156" s="855"/>
      <c r="AQ156" s="855"/>
      <c r="AR156" s="855"/>
      <c r="AS156" s="855"/>
      <c r="AT156" s="855"/>
      <c r="AU156" s="855"/>
      <c r="AV156" s="855"/>
      <c r="AW156" s="855"/>
      <c r="AX156" s="855"/>
      <c r="AY156" s="855"/>
      <c r="AZ156" s="855"/>
      <c r="BA156" s="855"/>
      <c r="BB156" s="587"/>
      <c r="BC156" s="587"/>
      <c r="BD156" s="587"/>
      <c r="BE156" s="587"/>
      <c r="BF156" s="587"/>
      <c r="BG156" s="587"/>
      <c r="BH156" s="587"/>
      <c r="BI156" s="587"/>
      <c r="BJ156" s="587"/>
      <c r="BK156" s="587"/>
      <c r="BL156" s="587"/>
      <c r="BM156" s="587"/>
      <c r="BN156" s="587"/>
      <c r="BO156" s="587"/>
      <c r="BP156" s="587"/>
      <c r="BQ156" s="857"/>
      <c r="BR156" s="859"/>
      <c r="BS156" s="859"/>
      <c r="BT156" s="1794" t="str">
        <f>HYPERLINK("https://clips.twitch.tv/SilkyDirtySandwichPJSalt?tt_medium=clips_api&amp;tt_content=url","35.19")</f>
        <v>35.19</v>
      </c>
      <c r="BU156" s="859"/>
      <c r="BV156" s="859"/>
      <c r="BW156" s="1794" t="str">
        <f>HYPERLINK("https://clips.twitch.tv/BombasticDifferentJaguarDoggo?tt_medium=clips_api&amp;tt_content=url","23.80")</f>
        <v>23.80</v>
      </c>
      <c r="BX156" s="859"/>
      <c r="BY156" s="859"/>
      <c r="BZ156" s="859"/>
      <c r="CA156" s="859"/>
      <c r="CB156" s="859"/>
      <c r="CC156" s="859"/>
      <c r="CD156" s="859"/>
      <c r="CE156" s="859"/>
      <c r="CF156" s="861"/>
      <c r="CG156" s="863"/>
      <c r="CH156" s="863"/>
      <c r="CI156" s="863"/>
      <c r="CJ156" s="863"/>
      <c r="CK156" s="863"/>
      <c r="CL156" s="863"/>
      <c r="CM156" s="863"/>
      <c r="CN156" s="863"/>
      <c r="CO156" s="863"/>
      <c r="CP156" s="863"/>
      <c r="CQ156" s="863"/>
      <c r="CR156" s="863"/>
      <c r="CS156" s="863"/>
      <c r="CT156" s="863"/>
      <c r="CU156" s="62"/>
      <c r="CV156" s="864"/>
      <c r="CW156" s="864"/>
      <c r="CX156" s="864"/>
      <c r="CY156" s="864"/>
      <c r="CZ156" s="864"/>
      <c r="DA156" s="864"/>
      <c r="DB156" s="823"/>
      <c r="DC156" s="864"/>
      <c r="DD156" s="864"/>
      <c r="DE156" s="864"/>
      <c r="DF156" s="864"/>
      <c r="DG156" s="864"/>
      <c r="DH156" s="864"/>
      <c r="DI156" s="866"/>
      <c r="DJ156" s="866"/>
      <c r="DK156" s="866"/>
      <c r="DL156" s="866"/>
      <c r="DM156" s="866"/>
      <c r="DN156" s="866"/>
      <c r="DO156" s="866"/>
      <c r="DP156" s="866"/>
      <c r="DQ156" s="866"/>
      <c r="DR156" s="866"/>
      <c r="DS156" s="866"/>
      <c r="DT156" s="866"/>
      <c r="DU156" s="866"/>
      <c r="DV156" s="866"/>
      <c r="DW156" s="866"/>
      <c r="DX156" s="866"/>
      <c r="DY156" s="866"/>
      <c r="DZ156" s="866"/>
      <c r="EA156" s="866"/>
      <c r="EB156" s="866"/>
      <c r="EC156" s="866"/>
      <c r="ED156" s="974"/>
    </row>
    <row r="157">
      <c r="A157" s="228" t="s">
        <v>3782</v>
      </c>
      <c r="B157" s="229" t="s">
        <v>11775</v>
      </c>
      <c r="C157" s="230" t="s">
        <v>155</v>
      </c>
      <c r="D157" s="231" t="s">
        <v>155</v>
      </c>
      <c r="E157" s="232" t="s">
        <v>155</v>
      </c>
      <c r="F157" s="233" t="s">
        <v>127</v>
      </c>
      <c r="G157" s="229" t="s">
        <v>2255</v>
      </c>
      <c r="H157" s="304"/>
      <c r="I157" s="273" t="s">
        <v>6139</v>
      </c>
      <c r="J157" s="273" t="s">
        <v>9449</v>
      </c>
      <c r="K157" s="273" t="s">
        <v>4358</v>
      </c>
      <c r="L157" s="273" t="s">
        <v>4192</v>
      </c>
      <c r="M157" s="273" t="s">
        <v>11776</v>
      </c>
      <c r="N157" s="273" t="s">
        <v>8146</v>
      </c>
      <c r="O157" s="273" t="s">
        <v>3774</v>
      </c>
      <c r="P157" s="273" t="s">
        <v>2053</v>
      </c>
      <c r="Q157" s="304"/>
      <c r="R157" s="304"/>
      <c r="S157" s="304"/>
      <c r="T157" s="304"/>
      <c r="U157" s="304"/>
      <c r="V157" s="304"/>
      <c r="W157" s="62"/>
      <c r="X157" s="273" t="s">
        <v>11248</v>
      </c>
      <c r="Y157" s="273"/>
      <c r="Z157" s="273" t="s">
        <v>805</v>
      </c>
      <c r="AA157" s="273" t="s">
        <v>8409</v>
      </c>
      <c r="AB157" s="273" t="s">
        <v>5429</v>
      </c>
      <c r="AC157" s="273" t="s">
        <v>11777</v>
      </c>
      <c r="AD157" s="242" t="s">
        <v>8587</v>
      </c>
      <c r="AE157" s="304"/>
      <c r="AF157" s="304"/>
      <c r="AG157" s="304"/>
      <c r="AH157" s="304"/>
      <c r="AI157" s="304"/>
      <c r="AJ157" s="304"/>
      <c r="AK157" s="304"/>
      <c r="AL157" s="61"/>
      <c r="AM157" s="304"/>
      <c r="AN157" s="304"/>
      <c r="AO157" s="304"/>
      <c r="AP157" s="304"/>
      <c r="AQ157" s="304"/>
      <c r="AR157" s="304"/>
      <c r="AS157" s="304"/>
      <c r="AT157" s="304"/>
      <c r="AU157" s="273" t="s">
        <v>11759</v>
      </c>
      <c r="AV157" s="273" t="s">
        <v>2586</v>
      </c>
      <c r="AW157" s="304"/>
      <c r="AX157" s="304"/>
      <c r="AY157" s="304"/>
      <c r="AZ157" s="304"/>
      <c r="BA157" s="304"/>
      <c r="BB157" s="304"/>
      <c r="BC157" s="273" t="s">
        <v>4538</v>
      </c>
      <c r="BD157" s="304"/>
      <c r="BE157" s="273" t="s">
        <v>5713</v>
      </c>
      <c r="BF157" s="304"/>
      <c r="BG157" s="273" t="s">
        <v>11778</v>
      </c>
      <c r="BH157" s="304"/>
      <c r="BI157" s="242" t="s">
        <v>5111</v>
      </c>
      <c r="BJ157" s="304"/>
      <c r="BK157" s="304"/>
      <c r="BL157" s="273" t="s">
        <v>11006</v>
      </c>
      <c r="BM157" s="304"/>
      <c r="BN157" s="304"/>
      <c r="BO157" s="304"/>
      <c r="BP157" s="304"/>
      <c r="BQ157" s="841"/>
      <c r="BR157" s="304"/>
      <c r="BS157" s="304"/>
      <c r="BT157" s="273" t="s">
        <v>9409</v>
      </c>
      <c r="BU157" s="304"/>
      <c r="BV157" s="304"/>
      <c r="BW157" s="304"/>
      <c r="BX157" s="304"/>
      <c r="BY157" s="304"/>
      <c r="BZ157" s="304"/>
      <c r="CA157" s="304"/>
      <c r="CB157" s="304"/>
      <c r="CC157" s="304"/>
      <c r="CD157" s="304"/>
      <c r="CE157" s="304"/>
      <c r="CF157" s="841"/>
      <c r="CG157" s="273" t="s">
        <v>2309</v>
      </c>
      <c r="CH157" s="273" t="s">
        <v>2430</v>
      </c>
      <c r="CI157" s="304"/>
      <c r="CJ157" s="304"/>
      <c r="CK157" s="304"/>
      <c r="CL157" s="304"/>
      <c r="CM157" s="304"/>
      <c r="CN157" s="304"/>
      <c r="CO157" s="304"/>
      <c r="CP157" s="304"/>
      <c r="CQ157" s="304"/>
      <c r="CR157" s="304"/>
      <c r="CS157" s="304"/>
      <c r="CT157" s="304"/>
      <c r="CU157" s="62"/>
      <c r="CV157" s="273" t="s">
        <v>10587</v>
      </c>
      <c r="CW157" s="273" t="s">
        <v>1989</v>
      </c>
      <c r="CX157" s="273" t="s">
        <v>11779</v>
      </c>
      <c r="CY157" s="273" t="s">
        <v>5673</v>
      </c>
      <c r="CZ157" s="304"/>
      <c r="DA157" s="304"/>
      <c r="DB157" s="304"/>
      <c r="DC157" s="273" t="s">
        <v>4193</v>
      </c>
      <c r="DD157" s="304"/>
      <c r="DE157" s="304"/>
      <c r="DF157" s="304"/>
      <c r="DG157" s="304"/>
      <c r="DH157" s="304"/>
      <c r="DI157" s="273" t="s">
        <v>11780</v>
      </c>
      <c r="DJ157" s="304"/>
      <c r="DK157" s="304"/>
      <c r="DL157" s="273"/>
      <c r="DM157" s="304"/>
      <c r="DN157" s="273" t="s">
        <v>5380</v>
      </c>
      <c r="DO157" s="273" t="s">
        <v>11781</v>
      </c>
      <c r="DP157" s="304"/>
      <c r="DQ157" s="304"/>
      <c r="DR157" s="304"/>
      <c r="DS157" s="304"/>
      <c r="DT157" s="304"/>
      <c r="DU157" s="304"/>
      <c r="DV157" s="304"/>
      <c r="DW157" s="304"/>
      <c r="DX157" s="304"/>
      <c r="DY157" s="304"/>
      <c r="DZ157" s="273" t="s">
        <v>11782</v>
      </c>
      <c r="EA157" s="304"/>
      <c r="EB157" s="304"/>
      <c r="EC157" s="273" t="s">
        <v>10483</v>
      </c>
      <c r="ED157" s="885"/>
    </row>
    <row r="158">
      <c r="A158" s="545" t="s">
        <v>11783</v>
      </c>
      <c r="B158" s="381" t="s">
        <v>11784</v>
      </c>
      <c r="C158" s="384" t="s">
        <v>155</v>
      </c>
      <c r="D158" s="386" t="s">
        <v>155</v>
      </c>
      <c r="E158" s="389" t="s">
        <v>155</v>
      </c>
      <c r="F158" s="390" t="s">
        <v>155</v>
      </c>
      <c r="G158" s="381" t="s">
        <v>551</v>
      </c>
      <c r="H158" s="547" t="s">
        <v>9568</v>
      </c>
      <c r="I158" s="547" t="s">
        <v>11785</v>
      </c>
      <c r="J158" s="547" t="s">
        <v>10873</v>
      </c>
      <c r="K158" s="547" t="s">
        <v>788</v>
      </c>
      <c r="L158" s="547" t="s">
        <v>2229</v>
      </c>
      <c r="M158" s="849"/>
      <c r="N158" s="849"/>
      <c r="O158" s="547" t="s">
        <v>5912</v>
      </c>
      <c r="P158" s="547" t="s">
        <v>1133</v>
      </c>
      <c r="Q158" s="547"/>
      <c r="R158" s="849"/>
      <c r="S158" s="547" t="s">
        <v>11786</v>
      </c>
      <c r="T158" s="849"/>
      <c r="U158" s="547" t="s">
        <v>4975</v>
      </c>
      <c r="V158" s="849"/>
      <c r="W158" s="62"/>
      <c r="X158" s="683" t="s">
        <v>11787</v>
      </c>
      <c r="Y158" s="852"/>
      <c r="Z158" s="852"/>
      <c r="AA158" s="683" t="s">
        <v>1652</v>
      </c>
      <c r="AB158" s="852"/>
      <c r="AC158" s="852"/>
      <c r="AD158" s="852"/>
      <c r="AE158" s="852"/>
      <c r="AF158" s="852"/>
      <c r="AG158" s="683" t="s">
        <v>11788</v>
      </c>
      <c r="AH158" s="683" t="s">
        <v>11789</v>
      </c>
      <c r="AI158" s="683"/>
      <c r="AJ158" s="683" t="s">
        <v>11790</v>
      </c>
      <c r="AK158" s="852"/>
      <c r="AL158" s="61"/>
      <c r="AM158" s="855"/>
      <c r="AN158" s="571" t="s">
        <v>4815</v>
      </c>
      <c r="AO158" s="855"/>
      <c r="AP158" s="855"/>
      <c r="AQ158" s="855"/>
      <c r="AR158" s="855"/>
      <c r="AS158" s="855"/>
      <c r="AT158" s="855"/>
      <c r="AU158" s="855"/>
      <c r="AV158" s="571" t="s">
        <v>476</v>
      </c>
      <c r="AW158" s="855"/>
      <c r="AX158" s="855"/>
      <c r="AY158" s="571" t="s">
        <v>2251</v>
      </c>
      <c r="AZ158" s="855"/>
      <c r="BA158" s="855"/>
      <c r="BB158" s="587"/>
      <c r="BC158" s="587"/>
      <c r="BD158" s="589" t="s">
        <v>2776</v>
      </c>
      <c r="BE158" s="587"/>
      <c r="BF158" s="587"/>
      <c r="BG158" s="589" t="s">
        <v>1726</v>
      </c>
      <c r="BH158" s="587"/>
      <c r="BI158" s="589" t="s">
        <v>11791</v>
      </c>
      <c r="BJ158" s="587"/>
      <c r="BK158" s="587"/>
      <c r="BL158" s="587"/>
      <c r="BM158" s="587"/>
      <c r="BN158" s="587"/>
      <c r="BO158" s="587"/>
      <c r="BP158" s="587"/>
      <c r="BQ158" s="857"/>
      <c r="BR158" s="594"/>
      <c r="BS158" s="859"/>
      <c r="BT158" s="859"/>
      <c r="BU158" s="594" t="s">
        <v>5282</v>
      </c>
      <c r="BV158" s="859"/>
      <c r="BW158" s="594" t="s">
        <v>4060</v>
      </c>
      <c r="BX158" s="859"/>
      <c r="BY158" s="859"/>
      <c r="BZ158" s="859"/>
      <c r="CA158" s="859"/>
      <c r="CB158" s="859"/>
      <c r="CC158" s="859"/>
      <c r="CD158" s="859"/>
      <c r="CE158" s="859"/>
      <c r="CF158" s="861"/>
      <c r="CG158" s="863"/>
      <c r="CH158" s="863"/>
      <c r="CI158" s="863"/>
      <c r="CJ158" s="863"/>
      <c r="CK158" s="863"/>
      <c r="CL158" s="863"/>
      <c r="CM158" s="863"/>
      <c r="CN158" s="606" t="s">
        <v>242</v>
      </c>
      <c r="CO158" s="863"/>
      <c r="CP158" s="863"/>
      <c r="CQ158" s="863"/>
      <c r="CR158" s="863"/>
      <c r="CS158" s="863"/>
      <c r="CT158" s="863"/>
      <c r="CU158" s="62"/>
      <c r="CV158" s="703" t="s">
        <v>10509</v>
      </c>
      <c r="CW158" s="864"/>
      <c r="CX158" s="864"/>
      <c r="CY158" s="864"/>
      <c r="CZ158" s="864"/>
      <c r="DA158" s="864"/>
      <c r="DB158" s="864"/>
      <c r="DC158" s="864"/>
      <c r="DD158" s="864"/>
      <c r="DE158" s="864"/>
      <c r="DF158" s="864"/>
      <c r="DG158" s="864"/>
      <c r="DH158" s="864"/>
      <c r="DI158" s="866"/>
      <c r="DJ158" s="866"/>
      <c r="DK158" s="866"/>
      <c r="DL158" s="866"/>
      <c r="DM158" s="866"/>
      <c r="DN158" s="866"/>
      <c r="DO158" s="866"/>
      <c r="DP158" s="866"/>
      <c r="DQ158" s="866"/>
      <c r="DR158" s="866"/>
      <c r="DS158" s="866"/>
      <c r="DT158" s="866"/>
      <c r="DU158" s="866"/>
      <c r="DV158" s="866"/>
      <c r="DW158" s="866"/>
      <c r="DX158" s="866"/>
      <c r="DY158" s="707" t="s">
        <v>9350</v>
      </c>
      <c r="DZ158" s="866"/>
      <c r="EA158" s="866"/>
      <c r="EB158" s="866"/>
      <c r="EC158" s="707" t="s">
        <v>10100</v>
      </c>
      <c r="ED158" s="974" t="s">
        <v>1227</v>
      </c>
    </row>
    <row r="159">
      <c r="A159" s="1998" t="s">
        <v>11792</v>
      </c>
      <c r="B159" s="229" t="s">
        <v>11793</v>
      </c>
      <c r="C159" s="230" t="s">
        <v>155</v>
      </c>
      <c r="D159" s="231" t="s">
        <v>155</v>
      </c>
      <c r="E159" s="232" t="s">
        <v>155</v>
      </c>
      <c r="F159" s="233" t="s">
        <v>81</v>
      </c>
      <c r="G159" s="229" t="s">
        <v>154</v>
      </c>
      <c r="H159" s="304"/>
      <c r="I159" s="304"/>
      <c r="J159" s="273" t="s">
        <v>667</v>
      </c>
      <c r="K159" s="242" t="s">
        <v>3253</v>
      </c>
      <c r="L159" s="242" t="s">
        <v>5615</v>
      </c>
      <c r="M159" s="304"/>
      <c r="N159" s="304"/>
      <c r="O159" s="304"/>
      <c r="P159" s="304"/>
      <c r="Q159" s="304"/>
      <c r="R159" s="304"/>
      <c r="S159" s="304"/>
      <c r="T159" s="304"/>
      <c r="U159" s="304"/>
      <c r="V159" s="304"/>
      <c r="W159" s="62"/>
      <c r="X159" s="304"/>
      <c r="Y159" s="304"/>
      <c r="Z159" s="304"/>
      <c r="AA159" s="242" t="s">
        <v>10373</v>
      </c>
      <c r="AB159" s="304"/>
      <c r="AC159" s="273" t="s">
        <v>1759</v>
      </c>
      <c r="AD159" s="304"/>
      <c r="AE159" s="304"/>
      <c r="AF159" s="304"/>
      <c r="AG159" s="273" t="s">
        <v>11364</v>
      </c>
      <c r="AH159" s="304"/>
      <c r="AI159" s="304"/>
      <c r="AJ159" s="304"/>
      <c r="AK159" s="304"/>
      <c r="AL159" s="61"/>
      <c r="AM159" s="304"/>
      <c r="AN159" s="304"/>
      <c r="AO159" s="304"/>
      <c r="AP159" s="304"/>
      <c r="AQ159" s="304"/>
      <c r="AR159" s="304"/>
      <c r="AS159" s="304"/>
      <c r="AT159" s="304"/>
      <c r="AU159" s="304"/>
      <c r="AV159" s="304"/>
      <c r="AW159" s="304"/>
      <c r="AX159" s="304"/>
      <c r="AY159" s="304"/>
      <c r="AZ159" s="304"/>
      <c r="BA159" s="304"/>
      <c r="BB159" s="304"/>
      <c r="BC159" s="304"/>
      <c r="BD159" s="304"/>
      <c r="BE159" s="304"/>
      <c r="BF159" s="304"/>
      <c r="BG159" s="304"/>
      <c r="BH159" s="304"/>
      <c r="BI159" s="304"/>
      <c r="BJ159" s="273" t="s">
        <v>1946</v>
      </c>
      <c r="BK159" s="304"/>
      <c r="BL159" s="304"/>
      <c r="BM159" s="304"/>
      <c r="BN159" s="304"/>
      <c r="BO159" s="304"/>
      <c r="BP159" s="304"/>
      <c r="BQ159" s="841"/>
      <c r="BR159" s="304"/>
      <c r="BS159" s="304"/>
      <c r="BT159" s="242" t="s">
        <v>4755</v>
      </c>
      <c r="BU159" s="242" t="s">
        <v>10476</v>
      </c>
      <c r="BV159" s="304"/>
      <c r="BW159" s="908" t="s">
        <v>11794</v>
      </c>
      <c r="BX159" s="304"/>
      <c r="BY159" s="304"/>
      <c r="BZ159" s="304"/>
      <c r="CA159" s="304"/>
      <c r="CB159" s="304"/>
      <c r="CC159" s="304"/>
      <c r="CD159" s="304"/>
      <c r="CE159" s="304"/>
      <c r="CF159" s="841"/>
      <c r="CG159" s="273"/>
      <c r="CH159" s="242" t="s">
        <v>11795</v>
      </c>
      <c r="CI159" s="304"/>
      <c r="CJ159" s="304"/>
      <c r="CK159" s="304"/>
      <c r="CL159" s="304"/>
      <c r="CM159" s="304"/>
      <c r="CN159" s="304"/>
      <c r="CO159" s="304"/>
      <c r="CP159" s="304"/>
      <c r="CQ159" s="304"/>
      <c r="CR159" s="304"/>
      <c r="CS159" s="304"/>
      <c r="CT159" s="304"/>
      <c r="CU159" s="62"/>
      <c r="CV159" s="304"/>
      <c r="CW159" s="304"/>
      <c r="CX159" s="273"/>
      <c r="CY159" s="304"/>
      <c r="CZ159" s="304"/>
      <c r="DA159" s="304"/>
      <c r="DB159" s="304"/>
      <c r="DC159" s="242" t="s">
        <v>5371</v>
      </c>
      <c r="DD159" s="304"/>
      <c r="DE159" s="304"/>
      <c r="DF159" s="304"/>
      <c r="DG159" s="304"/>
      <c r="DH159" s="304"/>
      <c r="DI159" s="304"/>
      <c r="DJ159" s="304"/>
      <c r="DK159" s="304"/>
      <c r="DL159" s="304"/>
      <c r="DM159" s="304"/>
      <c r="DN159" s="304"/>
      <c r="DO159" s="304"/>
      <c r="DP159" s="304"/>
      <c r="DQ159" s="304"/>
      <c r="DR159" s="304"/>
      <c r="DS159" s="304"/>
      <c r="DT159" s="304"/>
      <c r="DU159" s="304"/>
      <c r="DV159" s="304"/>
      <c r="DW159" s="304"/>
      <c r="DX159" s="304"/>
      <c r="DY159" s="304"/>
      <c r="DZ159" s="304"/>
      <c r="EA159" s="304"/>
      <c r="EB159" s="304"/>
      <c r="EC159" s="304"/>
      <c r="ED159" s="1639"/>
    </row>
    <row r="160">
      <c r="A160" s="545" t="s">
        <v>11796</v>
      </c>
      <c r="B160" s="381" t="s">
        <v>11797</v>
      </c>
      <c r="C160" s="384" t="s">
        <v>155</v>
      </c>
      <c r="D160" s="386" t="s">
        <v>155</v>
      </c>
      <c r="E160" s="389" t="s">
        <v>155</v>
      </c>
      <c r="F160" s="390" t="s">
        <v>157</v>
      </c>
      <c r="G160" s="381" t="s">
        <v>1976</v>
      </c>
      <c r="H160" s="547" t="s">
        <v>11798</v>
      </c>
      <c r="I160" s="547" t="s">
        <v>10984</v>
      </c>
      <c r="J160" s="547" t="s">
        <v>1352</v>
      </c>
      <c r="K160" s="547" t="s">
        <v>2464</v>
      </c>
      <c r="L160" s="547" t="s">
        <v>4202</v>
      </c>
      <c r="M160" s="547" t="s">
        <v>10270</v>
      </c>
      <c r="N160" s="547" t="s">
        <v>11072</v>
      </c>
      <c r="O160" s="849"/>
      <c r="P160" s="849"/>
      <c r="Q160" s="849"/>
      <c r="R160" s="849"/>
      <c r="S160" s="849"/>
      <c r="T160" s="849"/>
      <c r="U160" s="849"/>
      <c r="V160" s="849"/>
      <c r="W160" s="62"/>
      <c r="X160" s="412" t="str">
        <f>HYPERLINK("https://www.youtube.com/watch?v=F9HuyJ73joE","56.96")</f>
        <v>56.96</v>
      </c>
      <c r="Y160" s="683"/>
      <c r="Z160" s="683" t="s">
        <v>5382</v>
      </c>
      <c r="AA160" s="683" t="s">
        <v>2438</v>
      </c>
      <c r="AB160" s="683" t="s">
        <v>10654</v>
      </c>
      <c r="AC160" s="683" t="s">
        <v>11799</v>
      </c>
      <c r="AD160" s="412" t="str">
        <f>HYPERLINK("https://www.youtube.com/watch?v=4W9_mJO1W30","58.79")</f>
        <v>58.79</v>
      </c>
      <c r="AE160" s="852"/>
      <c r="AF160" s="683" t="s">
        <v>869</v>
      </c>
      <c r="AG160" s="683" t="s">
        <v>2609</v>
      </c>
      <c r="AH160" s="412" t="str">
        <f>HYPERLINK("https://www.youtube.com/watch?v=n0bPIySAFn0","50.33")</f>
        <v>50.33</v>
      </c>
      <c r="AI160" s="852"/>
      <c r="AJ160" s="852"/>
      <c r="AK160" s="852"/>
      <c r="AL160" s="61"/>
      <c r="AM160" s="855"/>
      <c r="AN160" s="855"/>
      <c r="AO160" s="855"/>
      <c r="AP160" s="855"/>
      <c r="AQ160" s="855"/>
      <c r="AR160" s="855"/>
      <c r="AS160" s="855"/>
      <c r="AT160" s="855"/>
      <c r="AU160" s="855"/>
      <c r="AV160" s="855"/>
      <c r="AW160" s="855"/>
      <c r="AX160" s="855"/>
      <c r="AY160" s="855"/>
      <c r="AZ160" s="855"/>
      <c r="BA160" s="855"/>
      <c r="BB160" s="587"/>
      <c r="BC160" s="436" t="str">
        <f>HYPERLINK("https://www.youtube.com/watch?v=zGD_5SyGJ6A","44.83")</f>
        <v>44.83</v>
      </c>
      <c r="BD160" s="587"/>
      <c r="BE160" s="587"/>
      <c r="BF160" s="587"/>
      <c r="BG160" s="436" t="str">
        <f>HYPERLINK("https://www.youtube.com/watch?v=6-LxzP01WXc","47.47")</f>
        <v>47.47</v>
      </c>
      <c r="BH160" s="587"/>
      <c r="BI160" s="587"/>
      <c r="BJ160" s="587"/>
      <c r="BK160" s="587"/>
      <c r="BL160" s="587"/>
      <c r="BM160" s="587"/>
      <c r="BN160" s="587"/>
      <c r="BO160" s="587"/>
      <c r="BP160" s="587"/>
      <c r="BQ160" s="857"/>
      <c r="BR160" s="807"/>
      <c r="BS160" s="594" t="s">
        <v>11800</v>
      </c>
      <c r="BT160" s="594" t="s">
        <v>11801</v>
      </c>
      <c r="BU160" s="859"/>
      <c r="BV160" s="859"/>
      <c r="BW160" s="594" t="s">
        <v>1392</v>
      </c>
      <c r="BX160" s="859"/>
      <c r="BY160" s="859"/>
      <c r="BZ160" s="859"/>
      <c r="CA160" s="859"/>
      <c r="CB160" s="859"/>
      <c r="CC160" s="859"/>
      <c r="CD160" s="859"/>
      <c r="CE160" s="859"/>
      <c r="CF160" s="861"/>
      <c r="CG160" s="863"/>
      <c r="CH160" s="863"/>
      <c r="CI160" s="863"/>
      <c r="CJ160" s="863"/>
      <c r="CK160" s="863"/>
      <c r="CL160" s="863"/>
      <c r="CM160" s="863"/>
      <c r="CN160" s="863"/>
      <c r="CO160" s="863"/>
      <c r="CP160" s="863"/>
      <c r="CQ160" s="863"/>
      <c r="CR160" s="863"/>
      <c r="CS160" s="863"/>
      <c r="CT160" s="863"/>
      <c r="CU160" s="62"/>
      <c r="CV160" s="703" t="s">
        <v>5907</v>
      </c>
      <c r="CW160" s="864"/>
      <c r="CX160" s="864"/>
      <c r="CY160" s="864"/>
      <c r="CZ160" s="864"/>
      <c r="DA160" s="864"/>
      <c r="DB160" s="864"/>
      <c r="DC160" s="864"/>
      <c r="DD160" s="864"/>
      <c r="DE160" s="864"/>
      <c r="DF160" s="864"/>
      <c r="DG160" s="864"/>
      <c r="DH160" s="864"/>
      <c r="DI160" s="866"/>
      <c r="DJ160" s="866"/>
      <c r="DK160" s="866"/>
      <c r="DL160" s="866"/>
      <c r="DM160" s="866"/>
      <c r="DN160" s="866"/>
      <c r="DO160" s="866"/>
      <c r="DP160" s="866"/>
      <c r="DQ160" s="866"/>
      <c r="DR160" s="866"/>
      <c r="DS160" s="866"/>
      <c r="DT160" s="866"/>
      <c r="DU160" s="866"/>
      <c r="DV160" s="866"/>
      <c r="DW160" s="866"/>
      <c r="DX160" s="866"/>
      <c r="DY160" s="866"/>
      <c r="DZ160" s="866"/>
      <c r="EA160" s="866"/>
      <c r="EB160" s="866"/>
      <c r="EC160" s="866"/>
      <c r="ED160" s="974"/>
    </row>
    <row r="161">
      <c r="A161" s="1990" t="s">
        <v>11802</v>
      </c>
      <c r="B161" s="229" t="s">
        <v>11803</v>
      </c>
      <c r="C161" s="230" t="s">
        <v>155</v>
      </c>
      <c r="D161" s="231" t="s">
        <v>155</v>
      </c>
      <c r="E161" s="232" t="s">
        <v>155</v>
      </c>
      <c r="F161" s="233" t="s">
        <v>127</v>
      </c>
      <c r="G161" s="229" t="s">
        <v>1694</v>
      </c>
      <c r="H161" s="333"/>
      <c r="I161" s="885" t="s">
        <v>5094</v>
      </c>
      <c r="J161" s="333"/>
      <c r="K161" s="885" t="s">
        <v>736</v>
      </c>
      <c r="L161" s="333"/>
      <c r="M161" s="333"/>
      <c r="N161" s="333"/>
      <c r="O161" s="333"/>
      <c r="P161" s="885" t="s">
        <v>1618</v>
      </c>
      <c r="Q161" s="304"/>
      <c r="R161" s="304"/>
      <c r="S161" s="304"/>
      <c r="T161" s="304"/>
      <c r="U161" s="304"/>
      <c r="V161" s="304"/>
      <c r="W161" s="62"/>
      <c r="X161" s="885" t="s">
        <v>11804</v>
      </c>
      <c r="Y161" s="333"/>
      <c r="Z161" s="333"/>
      <c r="AA161" s="885" t="s">
        <v>5015</v>
      </c>
      <c r="AB161" s="908"/>
      <c r="AC161" s="301" t="s">
        <v>3553</v>
      </c>
      <c r="AD161" s="333"/>
      <c r="AE161" s="304"/>
      <c r="AF161" s="333"/>
      <c r="AG161" s="885" t="s">
        <v>1537</v>
      </c>
      <c r="AH161" s="304"/>
      <c r="AI161" s="304"/>
      <c r="AJ161" s="333"/>
      <c r="AK161" s="304"/>
      <c r="AL161" s="61"/>
      <c r="AM161" s="333"/>
      <c r="AN161" s="333"/>
      <c r="AO161" s="304"/>
      <c r="AP161" s="304"/>
      <c r="AQ161" s="273"/>
      <c r="AR161" s="273"/>
      <c r="AS161" s="304"/>
      <c r="AT161" s="304"/>
      <c r="AU161" s="885" t="s">
        <v>5305</v>
      </c>
      <c r="AV161" s="885" t="s">
        <v>10976</v>
      </c>
      <c r="AW161" s="333"/>
      <c r="AX161" s="304"/>
      <c r="AY161" s="304"/>
      <c r="AZ161" s="304"/>
      <c r="BA161" s="273"/>
      <c r="BB161" s="333"/>
      <c r="BC161" s="301" t="s">
        <v>4300</v>
      </c>
      <c r="BD161" s="885"/>
      <c r="BE161" s="885" t="s">
        <v>11805</v>
      </c>
      <c r="BF161" s="333"/>
      <c r="BG161" s="333"/>
      <c r="BH161" s="304"/>
      <c r="BI161" s="885" t="s">
        <v>5056</v>
      </c>
      <c r="BJ161" s="304"/>
      <c r="BK161" s="333"/>
      <c r="BL161" s="885" t="s">
        <v>11806</v>
      </c>
      <c r="BM161" s="304"/>
      <c r="BN161" s="304"/>
      <c r="BO161" s="333"/>
      <c r="BP161" s="304"/>
      <c r="BQ161" s="841"/>
      <c r="BR161" s="333"/>
      <c r="BS161" s="333"/>
      <c r="BT161" s="333"/>
      <c r="BU161" s="333"/>
      <c r="BV161" s="333"/>
      <c r="BW161" s="885" t="s">
        <v>11807</v>
      </c>
      <c r="BX161" s="304"/>
      <c r="BY161" s="333"/>
      <c r="BZ161" s="333"/>
      <c r="CA161" s="885" t="s">
        <v>8374</v>
      </c>
      <c r="CB161" s="304"/>
      <c r="CC161" s="304"/>
      <c r="CD161" s="304"/>
      <c r="CE161" s="304"/>
      <c r="CF161" s="841"/>
      <c r="CG161" s="333"/>
      <c r="CH161" s="333"/>
      <c r="CI161" s="333"/>
      <c r="CJ161" s="333"/>
      <c r="CK161" s="333"/>
      <c r="CL161" s="333"/>
      <c r="CM161" s="333"/>
      <c r="CN161" s="333"/>
      <c r="CO161" s="885" t="s">
        <v>4770</v>
      </c>
      <c r="CP161" s="768"/>
      <c r="CQ161" s="304"/>
      <c r="CR161" s="304"/>
      <c r="CS161" s="304"/>
      <c r="CT161" s="304"/>
      <c r="CU161" s="62"/>
      <c r="CV161" s="333"/>
      <c r="CW161" s="885" t="s">
        <v>4484</v>
      </c>
      <c r="CX161" s="885" t="s">
        <v>1190</v>
      </c>
      <c r="CY161" s="333"/>
      <c r="CZ161" s="333"/>
      <c r="DA161" s="333"/>
      <c r="DB161" s="885" t="s">
        <v>6886</v>
      </c>
      <c r="DC161" s="885" t="s">
        <v>11808</v>
      </c>
      <c r="DD161" s="304"/>
      <c r="DE161" s="304"/>
      <c r="DF161" s="304"/>
      <c r="DG161" s="304"/>
      <c r="DH161" s="304"/>
      <c r="DI161" s="333"/>
      <c r="DJ161" s="304"/>
      <c r="DK161" s="304"/>
      <c r="DL161" s="333"/>
      <c r="DM161" s="333"/>
      <c r="DN161" s="333"/>
      <c r="DO161" s="304"/>
      <c r="DP161" s="304"/>
      <c r="DQ161" s="304"/>
      <c r="DR161" s="333"/>
      <c r="DS161" s="885" t="s">
        <v>11809</v>
      </c>
      <c r="DT161" s="304"/>
      <c r="DU161" s="333"/>
      <c r="DV161" s="304"/>
      <c r="DW161" s="304"/>
      <c r="DX161" s="304"/>
      <c r="DY161" s="304"/>
      <c r="DZ161" s="304"/>
      <c r="EA161" s="333"/>
      <c r="EB161" s="304"/>
      <c r="EC161" s="304"/>
      <c r="ED161" s="885"/>
    </row>
    <row r="162">
      <c r="A162" s="545" t="s">
        <v>11810</v>
      </c>
      <c r="B162" s="381" t="s">
        <v>11811</v>
      </c>
      <c r="C162" s="384" t="s">
        <v>76</v>
      </c>
      <c r="D162" s="386" t="s">
        <v>155</v>
      </c>
      <c r="E162" s="389" t="s">
        <v>155</v>
      </c>
      <c r="F162" s="390" t="s">
        <v>157</v>
      </c>
      <c r="G162" s="381" t="s">
        <v>157</v>
      </c>
      <c r="H162" s="849"/>
      <c r="I162" s="849"/>
      <c r="J162" s="849"/>
      <c r="K162" s="849"/>
      <c r="L162" s="849"/>
      <c r="M162" s="849"/>
      <c r="N162" s="849"/>
      <c r="O162" s="849"/>
      <c r="P162" s="849"/>
      <c r="Q162" s="849"/>
      <c r="R162" s="849"/>
      <c r="S162" s="849"/>
      <c r="T162" s="849"/>
      <c r="U162" s="849"/>
      <c r="V162" s="849"/>
      <c r="W162" s="62"/>
      <c r="X162" s="852"/>
      <c r="Y162" s="852"/>
      <c r="Z162" s="852"/>
      <c r="AA162" s="1644" t="s">
        <v>10646</v>
      </c>
      <c r="AB162" s="852"/>
      <c r="AC162" s="852"/>
      <c r="AD162" s="852"/>
      <c r="AE162" s="852"/>
      <c r="AF162" s="852"/>
      <c r="AG162" s="852"/>
      <c r="AH162" s="852"/>
      <c r="AI162" s="852"/>
      <c r="AJ162" s="852"/>
      <c r="AK162" s="852"/>
      <c r="AL162" s="61"/>
      <c r="AM162" s="855"/>
      <c r="AN162" s="855"/>
      <c r="AO162" s="855"/>
      <c r="AP162" s="855"/>
      <c r="AQ162" s="855"/>
      <c r="AR162" s="855"/>
      <c r="AS162" s="855"/>
      <c r="AT162" s="855"/>
      <c r="AU162" s="855"/>
      <c r="AV162" s="427" t="s">
        <v>7706</v>
      </c>
      <c r="AW162" s="855"/>
      <c r="AX162" s="855"/>
      <c r="AY162" s="855"/>
      <c r="AZ162" s="855"/>
      <c r="BA162" s="855"/>
      <c r="BB162" s="587"/>
      <c r="BC162" s="587"/>
      <c r="BD162" s="587"/>
      <c r="BE162" s="587"/>
      <c r="BF162" s="587"/>
      <c r="BG162" s="587"/>
      <c r="BH162" s="587"/>
      <c r="BI162" s="587"/>
      <c r="BJ162" s="587"/>
      <c r="BK162" s="587"/>
      <c r="BL162" s="587"/>
      <c r="BM162" s="587"/>
      <c r="BN162" s="587"/>
      <c r="BO162" s="587"/>
      <c r="BP162" s="587"/>
      <c r="BQ162" s="857"/>
      <c r="BR162" s="859"/>
      <c r="BS162" s="859"/>
      <c r="BT162" s="859"/>
      <c r="BU162" s="859"/>
      <c r="BV162" s="859"/>
      <c r="BW162" s="859"/>
      <c r="BX162" s="859"/>
      <c r="BY162" s="859"/>
      <c r="BZ162" s="859"/>
      <c r="CA162" s="859"/>
      <c r="CB162" s="859"/>
      <c r="CC162" s="859"/>
      <c r="CD162" s="859"/>
      <c r="CE162" s="859"/>
      <c r="CF162" s="861"/>
      <c r="CG162" s="863"/>
      <c r="CH162" s="863"/>
      <c r="CI162" s="863"/>
      <c r="CJ162" s="863"/>
      <c r="CK162" s="863"/>
      <c r="CL162" s="863"/>
      <c r="CM162" s="863"/>
      <c r="CN162" s="863"/>
      <c r="CO162" s="459" t="s">
        <v>10720</v>
      </c>
      <c r="CP162" s="863"/>
      <c r="CQ162" s="863"/>
      <c r="CR162" s="863"/>
      <c r="CS162" s="863"/>
      <c r="CT162" s="863"/>
      <c r="CU162" s="62"/>
      <c r="CV162" s="864"/>
      <c r="CW162" s="864"/>
      <c r="CX162" s="864"/>
      <c r="CY162" s="864"/>
      <c r="CZ162" s="864"/>
      <c r="DA162" s="466" t="s">
        <v>11289</v>
      </c>
      <c r="DB162" s="466" t="s">
        <v>3016</v>
      </c>
      <c r="DC162" s="864"/>
      <c r="DD162" s="864"/>
      <c r="DE162" s="864"/>
      <c r="DF162" s="864"/>
      <c r="DG162" s="864"/>
      <c r="DH162" s="864"/>
      <c r="DI162" s="866"/>
      <c r="DJ162" s="866"/>
      <c r="DK162" s="866"/>
      <c r="DL162" s="866"/>
      <c r="DM162" s="866"/>
      <c r="DN162" s="866"/>
      <c r="DO162" s="866"/>
      <c r="DP162" s="866"/>
      <c r="DQ162" s="866"/>
      <c r="DR162" s="866"/>
      <c r="DS162" s="866"/>
      <c r="DT162" s="866"/>
      <c r="DU162" s="866"/>
      <c r="DV162" s="866"/>
      <c r="DW162" s="866"/>
      <c r="DX162" s="866"/>
      <c r="DY162" s="866"/>
      <c r="DZ162" s="866"/>
      <c r="EA162" s="866"/>
      <c r="EB162" s="866"/>
      <c r="EC162" s="866"/>
      <c r="ED162" s="1941"/>
    </row>
    <row r="163">
      <c r="A163" s="1937" t="s">
        <v>3358</v>
      </c>
      <c r="B163" s="229" t="s">
        <v>11812</v>
      </c>
      <c r="C163" s="230" t="s">
        <v>155</v>
      </c>
      <c r="D163" s="231" t="s">
        <v>155</v>
      </c>
      <c r="E163" s="232" t="s">
        <v>155</v>
      </c>
      <c r="F163" s="233" t="s">
        <v>155</v>
      </c>
      <c r="G163" s="229" t="s">
        <v>1058</v>
      </c>
      <c r="H163" s="304"/>
      <c r="I163" s="304"/>
      <c r="J163" s="522" t="s">
        <v>11732</v>
      </c>
      <c r="K163" s="304"/>
      <c r="L163" s="273" t="s">
        <v>11813</v>
      </c>
      <c r="M163" s="304"/>
      <c r="N163" s="273" t="s">
        <v>11105</v>
      </c>
      <c r="O163" s="304"/>
      <c r="P163" s="304"/>
      <c r="Q163" s="304"/>
      <c r="R163" s="304"/>
      <c r="S163" s="304"/>
      <c r="T163" s="304"/>
      <c r="U163" s="304"/>
      <c r="V163" s="304"/>
      <c r="W163" s="62"/>
      <c r="X163" s="273" t="s">
        <v>11814</v>
      </c>
      <c r="Y163" s="273" t="s">
        <v>11815</v>
      </c>
      <c r="Z163" s="273" t="s">
        <v>5304</v>
      </c>
      <c r="AA163" s="273" t="s">
        <v>11090</v>
      </c>
      <c r="AB163" s="273" t="s">
        <v>6500</v>
      </c>
      <c r="AC163" s="273" t="s">
        <v>582</v>
      </c>
      <c r="AD163" s="273" t="s">
        <v>10926</v>
      </c>
      <c r="AE163" s="304"/>
      <c r="AF163" s="304"/>
      <c r="AG163" s="304"/>
      <c r="AH163" s="304"/>
      <c r="AI163" s="304"/>
      <c r="AJ163" s="273" t="s">
        <v>4833</v>
      </c>
      <c r="AK163" s="304"/>
      <c r="AL163" s="61"/>
      <c r="AM163" s="304"/>
      <c r="AN163" s="273" t="s">
        <v>11816</v>
      </c>
      <c r="AO163" s="304"/>
      <c r="AP163" s="304"/>
      <c r="AQ163" s="304"/>
      <c r="AR163" s="304"/>
      <c r="AS163" s="304"/>
      <c r="AT163" s="304"/>
      <c r="AU163" s="304"/>
      <c r="AV163" s="304"/>
      <c r="AW163" s="304"/>
      <c r="AX163" s="304"/>
      <c r="AY163" s="273" t="s">
        <v>6240</v>
      </c>
      <c r="AZ163" s="273"/>
      <c r="BA163" s="304"/>
      <c r="BB163" s="304"/>
      <c r="BC163" s="304"/>
      <c r="BD163" s="304"/>
      <c r="BE163" s="304"/>
      <c r="BF163" s="304"/>
      <c r="BG163" s="304"/>
      <c r="BH163" s="304"/>
      <c r="BI163" s="273" t="s">
        <v>5247</v>
      </c>
      <c r="BJ163" s="304"/>
      <c r="BK163" s="273" t="s">
        <v>11817</v>
      </c>
      <c r="BL163" s="304"/>
      <c r="BM163" s="304"/>
      <c r="BN163" s="273" t="s">
        <v>402</v>
      </c>
      <c r="BO163" s="273" t="s">
        <v>5457</v>
      </c>
      <c r="BP163" s="304"/>
      <c r="BQ163" s="841"/>
      <c r="BR163" s="304"/>
      <c r="BS163" s="304"/>
      <c r="BT163" s="273" t="s">
        <v>4527</v>
      </c>
      <c r="BU163" s="304"/>
      <c r="BV163" s="304"/>
      <c r="BW163" s="273" t="s">
        <v>8474</v>
      </c>
      <c r="BX163" s="304"/>
      <c r="BY163" s="304"/>
      <c r="BZ163" s="304"/>
      <c r="CA163" s="304"/>
      <c r="CB163" s="304"/>
      <c r="CC163" s="304"/>
      <c r="CD163" s="304"/>
      <c r="CE163" s="304"/>
      <c r="CF163" s="841"/>
      <c r="CG163" s="273" t="s">
        <v>11818</v>
      </c>
      <c r="CH163" s="273" t="s">
        <v>8656</v>
      </c>
      <c r="CI163" s="304"/>
      <c r="CJ163" s="304"/>
      <c r="CK163" s="304"/>
      <c r="CL163" s="304"/>
      <c r="CM163" s="304"/>
      <c r="CN163" s="304"/>
      <c r="CO163" s="304"/>
      <c r="CP163" s="304"/>
      <c r="CQ163" s="304"/>
      <c r="CR163" s="304"/>
      <c r="CS163" s="304"/>
      <c r="CT163" s="304"/>
      <c r="CU163" s="62"/>
      <c r="CV163" s="304"/>
      <c r="CW163" s="304"/>
      <c r="CX163" s="304"/>
      <c r="CY163" s="304"/>
      <c r="CZ163" s="304"/>
      <c r="DA163" s="304"/>
      <c r="DB163" s="304"/>
      <c r="DC163" s="273" t="s">
        <v>1918</v>
      </c>
      <c r="DD163" s="304"/>
      <c r="DE163" s="304"/>
      <c r="DF163" s="273" t="s">
        <v>2310</v>
      </c>
      <c r="DG163" s="273" t="s">
        <v>11725</v>
      </c>
      <c r="DH163" s="304"/>
      <c r="DI163" s="304"/>
      <c r="DJ163" s="304"/>
      <c r="DK163" s="304"/>
      <c r="DL163" s="304"/>
      <c r="DM163" s="304"/>
      <c r="DN163" s="304"/>
      <c r="DO163" s="304"/>
      <c r="DP163" s="304"/>
      <c r="DQ163" s="304"/>
      <c r="DR163" s="304"/>
      <c r="DS163" s="304"/>
      <c r="DT163" s="304"/>
      <c r="DU163" s="304"/>
      <c r="DV163" s="304"/>
      <c r="DW163" s="304"/>
      <c r="DX163" s="304"/>
      <c r="DY163" s="304"/>
      <c r="DZ163" s="304"/>
      <c r="EA163" s="273" t="s">
        <v>11767</v>
      </c>
      <c r="EB163" s="304"/>
      <c r="EC163" s="304"/>
      <c r="ED163" s="1639"/>
    </row>
    <row r="164">
      <c r="A164" s="545" t="s">
        <v>11819</v>
      </c>
      <c r="B164" s="381" t="s">
        <v>11812</v>
      </c>
      <c r="C164" s="384" t="s">
        <v>155</v>
      </c>
      <c r="D164" s="386" t="s">
        <v>155</v>
      </c>
      <c r="E164" s="389" t="s">
        <v>155</v>
      </c>
      <c r="F164" s="390" t="s">
        <v>76</v>
      </c>
      <c r="G164" s="381" t="s">
        <v>536</v>
      </c>
      <c r="H164" s="547" t="s">
        <v>2205</v>
      </c>
      <c r="I164" s="849"/>
      <c r="J164" s="547" t="s">
        <v>11162</v>
      </c>
      <c r="K164" s="547" t="s">
        <v>736</v>
      </c>
      <c r="L164" s="547" t="s">
        <v>4025</v>
      </c>
      <c r="M164" s="849"/>
      <c r="N164" s="849"/>
      <c r="O164" s="547" t="s">
        <v>6017</v>
      </c>
      <c r="P164" s="849"/>
      <c r="Q164" s="849"/>
      <c r="R164" s="849"/>
      <c r="S164" s="849"/>
      <c r="T164" s="849"/>
      <c r="U164" s="849"/>
      <c r="V164" s="849"/>
      <c r="W164" s="62"/>
      <c r="X164" s="683" t="s">
        <v>11820</v>
      </c>
      <c r="Y164" s="683"/>
      <c r="Z164" s="683" t="s">
        <v>2319</v>
      </c>
      <c r="AA164" s="683" t="s">
        <v>11821</v>
      </c>
      <c r="AB164" s="852"/>
      <c r="AC164" s="683" t="s">
        <v>4805</v>
      </c>
      <c r="AD164" s="683" t="s">
        <v>11159</v>
      </c>
      <c r="AE164" s="852"/>
      <c r="AF164" s="683" t="s">
        <v>1258</v>
      </c>
      <c r="AG164" s="683" t="s">
        <v>2471</v>
      </c>
      <c r="AH164" s="852"/>
      <c r="AI164" s="852"/>
      <c r="AJ164" s="852"/>
      <c r="AK164" s="852"/>
      <c r="AL164" s="61"/>
      <c r="AM164" s="855"/>
      <c r="AN164" s="855"/>
      <c r="AO164" s="855"/>
      <c r="AP164" s="855"/>
      <c r="AQ164" s="855"/>
      <c r="AR164" s="855"/>
      <c r="AS164" s="855"/>
      <c r="AT164" s="855"/>
      <c r="AU164" s="571" t="s">
        <v>4744</v>
      </c>
      <c r="AV164" s="855"/>
      <c r="AW164" s="855"/>
      <c r="AX164" s="855"/>
      <c r="AY164" s="855"/>
      <c r="AZ164" s="855"/>
      <c r="BA164" s="855"/>
      <c r="BB164" s="589" t="s">
        <v>7981</v>
      </c>
      <c r="BC164" s="587"/>
      <c r="BD164" s="439" t="s">
        <v>4831</v>
      </c>
      <c r="BE164" s="587"/>
      <c r="BF164" s="587"/>
      <c r="BG164" s="587"/>
      <c r="BH164" s="587"/>
      <c r="BI164" s="589" t="s">
        <v>5198</v>
      </c>
      <c r="BJ164" s="587"/>
      <c r="BK164" s="587"/>
      <c r="BL164" s="587"/>
      <c r="BM164" s="587"/>
      <c r="BN164" s="587"/>
      <c r="BO164" s="587"/>
      <c r="BP164" s="587"/>
      <c r="BQ164" s="857"/>
      <c r="BR164" s="859"/>
      <c r="BS164" s="859"/>
      <c r="BT164" s="859"/>
      <c r="BU164" s="859"/>
      <c r="BV164" s="859"/>
      <c r="BW164" s="859"/>
      <c r="BX164" s="859"/>
      <c r="BY164" s="859"/>
      <c r="BZ164" s="859"/>
      <c r="CA164" s="859"/>
      <c r="CB164" s="859"/>
      <c r="CC164" s="859"/>
      <c r="CD164" s="859"/>
      <c r="CE164" s="859"/>
      <c r="CF164" s="861"/>
      <c r="CG164" s="606" t="s">
        <v>11822</v>
      </c>
      <c r="CH164" s="863"/>
      <c r="CI164" s="863"/>
      <c r="CJ164" s="863"/>
      <c r="CK164" s="863"/>
      <c r="CL164" s="863"/>
      <c r="CM164" s="863"/>
      <c r="CN164" s="863"/>
      <c r="CO164" s="863"/>
      <c r="CP164" s="863"/>
      <c r="CQ164" s="863"/>
      <c r="CR164" s="863"/>
      <c r="CS164" s="863"/>
      <c r="CT164" s="863"/>
      <c r="CU164" s="62"/>
      <c r="CV164" s="703" t="s">
        <v>11407</v>
      </c>
      <c r="CW164" s="703" t="s">
        <v>10339</v>
      </c>
      <c r="CX164" s="864"/>
      <c r="CY164" s="864"/>
      <c r="CZ164" s="864"/>
      <c r="DA164" s="864"/>
      <c r="DB164" s="864"/>
      <c r="DC164" s="864"/>
      <c r="DD164" s="864"/>
      <c r="DE164" s="864"/>
      <c r="DF164" s="864"/>
      <c r="DG164" s="864"/>
      <c r="DH164" s="864"/>
      <c r="DI164" s="866"/>
      <c r="DJ164" s="866"/>
      <c r="DK164" s="866"/>
      <c r="DL164" s="866"/>
      <c r="DM164" s="707" t="s">
        <v>2378</v>
      </c>
      <c r="DN164" s="866"/>
      <c r="DO164" s="866"/>
      <c r="DP164" s="866"/>
      <c r="DQ164" s="866"/>
      <c r="DR164" s="866"/>
      <c r="DS164" s="866"/>
      <c r="DT164" s="866"/>
      <c r="DU164" s="866"/>
      <c r="DV164" s="866"/>
      <c r="DW164" s="866"/>
      <c r="DX164" s="866"/>
      <c r="DY164" s="866"/>
      <c r="DZ164" s="866"/>
      <c r="EA164" s="866"/>
      <c r="EB164" s="866"/>
      <c r="EC164" s="866"/>
      <c r="ED164" s="1941"/>
    </row>
    <row r="165">
      <c r="A165" s="1990" t="s">
        <v>518</v>
      </c>
      <c r="B165" s="229" t="s">
        <v>11823</v>
      </c>
      <c r="C165" s="230" t="s">
        <v>155</v>
      </c>
      <c r="D165" s="231" t="s">
        <v>155</v>
      </c>
      <c r="E165" s="232" t="s">
        <v>155</v>
      </c>
      <c r="F165" s="233" t="s">
        <v>3612</v>
      </c>
      <c r="G165" s="229" t="s">
        <v>3612</v>
      </c>
      <c r="H165" s="333"/>
      <c r="I165" s="274"/>
      <c r="J165" s="333"/>
      <c r="K165" s="242" t="s">
        <v>10996</v>
      </c>
      <c r="L165" s="242" t="s">
        <v>10753</v>
      </c>
      <c r="M165" s="333"/>
      <c r="N165" s="333"/>
      <c r="O165" s="333"/>
      <c r="P165" s="333"/>
      <c r="Q165" s="304"/>
      <c r="R165" s="304"/>
      <c r="S165" s="242" t="s">
        <v>10696</v>
      </c>
      <c r="T165" s="304"/>
      <c r="U165" s="263"/>
      <c r="V165" s="304"/>
      <c r="W165" s="62"/>
      <c r="X165" s="333"/>
      <c r="Y165" s="333"/>
      <c r="Z165" s="242" t="s">
        <v>11351</v>
      </c>
      <c r="AA165" s="333"/>
      <c r="AB165" s="908"/>
      <c r="AC165" s="242" t="s">
        <v>4526</v>
      </c>
      <c r="AD165" s="333"/>
      <c r="AE165" s="242" t="s">
        <v>11824</v>
      </c>
      <c r="AF165" s="242" t="s">
        <v>3209</v>
      </c>
      <c r="AG165" s="333"/>
      <c r="AH165" s="304"/>
      <c r="AI165" s="304"/>
      <c r="AJ165" s="242" t="s">
        <v>11622</v>
      </c>
      <c r="AK165" s="304"/>
      <c r="AL165" s="61"/>
      <c r="AM165" s="242" t="s">
        <v>9744</v>
      </c>
      <c r="AN165" s="242" t="s">
        <v>2293</v>
      </c>
      <c r="AO165" s="304"/>
      <c r="AP165" s="304"/>
      <c r="AQ165" s="273"/>
      <c r="AR165" s="273"/>
      <c r="AS165" s="304"/>
      <c r="AT165" s="304"/>
      <c r="AU165" s="333"/>
      <c r="AV165" s="242" t="s">
        <v>9606</v>
      </c>
      <c r="AW165" s="333"/>
      <c r="AX165" s="304"/>
      <c r="AY165" s="304"/>
      <c r="AZ165" s="304"/>
      <c r="BA165" s="304"/>
      <c r="BB165" s="333"/>
      <c r="BC165" s="333"/>
      <c r="BD165" s="333"/>
      <c r="BE165" s="333"/>
      <c r="BF165" s="333"/>
      <c r="BG165" s="333"/>
      <c r="BH165" s="304"/>
      <c r="BI165" s="333"/>
      <c r="BJ165" s="304"/>
      <c r="BK165" s="333"/>
      <c r="BL165" s="333"/>
      <c r="BM165" s="304"/>
      <c r="BN165" s="304"/>
      <c r="BO165" s="333"/>
      <c r="BP165" s="304"/>
      <c r="BQ165" s="841"/>
      <c r="BR165" s="333"/>
      <c r="BS165" s="333"/>
      <c r="BT165" s="333"/>
      <c r="BU165" s="333"/>
      <c r="BV165" s="333"/>
      <c r="BW165" s="333"/>
      <c r="BX165" s="304"/>
      <c r="BY165" s="333"/>
      <c r="BZ165" s="333"/>
      <c r="CA165" s="333"/>
      <c r="CB165" s="304"/>
      <c r="CC165" s="304"/>
      <c r="CD165" s="304"/>
      <c r="CE165" s="304"/>
      <c r="CF165" s="841"/>
      <c r="CG165" s="333"/>
      <c r="CH165" s="333"/>
      <c r="CI165" s="333"/>
      <c r="CJ165" s="333"/>
      <c r="CK165" s="333"/>
      <c r="CL165" s="333"/>
      <c r="CM165" s="333"/>
      <c r="CN165" s="333"/>
      <c r="CO165" s="333"/>
      <c r="CP165" s="768"/>
      <c r="CQ165" s="304"/>
      <c r="CR165" s="304"/>
      <c r="CS165" s="304"/>
      <c r="CT165" s="304"/>
      <c r="CU165" s="62"/>
      <c r="CV165" s="333"/>
      <c r="CW165" s="242" t="s">
        <v>787</v>
      </c>
      <c r="CX165" s="333"/>
      <c r="CY165" s="333"/>
      <c r="CZ165" s="333"/>
      <c r="DA165" s="333"/>
      <c r="DB165" s="242" t="s">
        <v>11825</v>
      </c>
      <c r="DC165" s="333"/>
      <c r="DD165" s="304"/>
      <c r="DE165" s="304"/>
      <c r="DF165" s="304"/>
      <c r="DG165" s="304"/>
      <c r="DH165" s="304"/>
      <c r="DI165" s="242" t="s">
        <v>9899</v>
      </c>
      <c r="DJ165" s="304"/>
      <c r="DK165" s="304"/>
      <c r="DL165" s="333"/>
      <c r="DM165" s="333"/>
      <c r="DN165" s="333"/>
      <c r="DO165" s="304"/>
      <c r="DP165" s="304"/>
      <c r="DQ165" s="304"/>
      <c r="DR165" s="333"/>
      <c r="DS165" s="333"/>
      <c r="DT165" s="304"/>
      <c r="DU165" s="333"/>
      <c r="DV165" s="304"/>
      <c r="DW165" s="304"/>
      <c r="DX165" s="304"/>
      <c r="DY165" s="304"/>
      <c r="DZ165" s="304"/>
      <c r="EA165" s="333"/>
      <c r="EB165" s="304"/>
      <c r="EC165" s="304"/>
      <c r="ED165" s="885"/>
    </row>
    <row r="166">
      <c r="A166" s="545" t="s">
        <v>11826</v>
      </c>
      <c r="B166" s="381" t="s">
        <v>11827</v>
      </c>
      <c r="C166" s="384" t="s">
        <v>155</v>
      </c>
      <c r="D166" s="386" t="s">
        <v>155</v>
      </c>
      <c r="E166" s="389" t="s">
        <v>155</v>
      </c>
      <c r="F166" s="390" t="s">
        <v>155</v>
      </c>
      <c r="G166" s="381" t="s">
        <v>261</v>
      </c>
      <c r="H166" s="787" t="s">
        <v>4643</v>
      </c>
      <c r="I166" s="787" t="s">
        <v>8297</v>
      </c>
      <c r="J166" s="787" t="s">
        <v>10676</v>
      </c>
      <c r="K166" s="547" t="s">
        <v>774</v>
      </c>
      <c r="L166" s="547" t="s">
        <v>1678</v>
      </c>
      <c r="M166" s="547"/>
      <c r="N166" s="849"/>
      <c r="O166" s="849"/>
      <c r="P166" s="787" t="s">
        <v>1649</v>
      </c>
      <c r="Q166" s="849"/>
      <c r="R166" s="849"/>
      <c r="S166" s="849"/>
      <c r="T166" s="849"/>
      <c r="U166" s="849"/>
      <c r="V166" s="849"/>
      <c r="W166" s="62"/>
      <c r="X166" s="852"/>
      <c r="Y166" s="683"/>
      <c r="Z166" s="683" t="s">
        <v>1197</v>
      </c>
      <c r="AA166" s="683" t="s">
        <v>10781</v>
      </c>
      <c r="AB166" s="852"/>
      <c r="AC166" s="852"/>
      <c r="AD166" s="852"/>
      <c r="AE166" s="852"/>
      <c r="AF166" s="852"/>
      <c r="AG166" s="852"/>
      <c r="AH166" s="852"/>
      <c r="AI166" s="852"/>
      <c r="AJ166" s="852"/>
      <c r="AK166" s="852"/>
      <c r="AL166" s="61"/>
      <c r="AM166" s="855"/>
      <c r="AN166" s="855"/>
      <c r="AO166" s="855"/>
      <c r="AP166" s="855"/>
      <c r="AQ166" s="855"/>
      <c r="AR166" s="855"/>
      <c r="AS166" s="855"/>
      <c r="AT166" s="855"/>
      <c r="AU166" s="855"/>
      <c r="AV166" s="855"/>
      <c r="AW166" s="855"/>
      <c r="AX166" s="855"/>
      <c r="AY166" s="855"/>
      <c r="AZ166" s="855"/>
      <c r="BA166" s="855"/>
      <c r="BB166" s="587"/>
      <c r="BC166" s="587"/>
      <c r="BD166" s="587"/>
      <c r="BE166" s="587"/>
      <c r="BF166" s="587"/>
      <c r="BG166" s="587"/>
      <c r="BH166" s="587"/>
      <c r="BI166" s="587"/>
      <c r="BJ166" s="587"/>
      <c r="BK166" s="587"/>
      <c r="BL166" s="587"/>
      <c r="BM166" s="587"/>
      <c r="BN166" s="587"/>
      <c r="BO166" s="587"/>
      <c r="BP166" s="587"/>
      <c r="BQ166" s="857"/>
      <c r="BR166" s="859"/>
      <c r="BS166" s="859"/>
      <c r="BT166" s="859"/>
      <c r="BU166" s="859"/>
      <c r="BV166" s="859"/>
      <c r="BW166" s="859"/>
      <c r="BX166" s="859"/>
      <c r="BY166" s="859"/>
      <c r="BZ166" s="859"/>
      <c r="CA166" s="859"/>
      <c r="CB166" s="859"/>
      <c r="CC166" s="859"/>
      <c r="CD166" s="859"/>
      <c r="CE166" s="859"/>
      <c r="CF166" s="861"/>
      <c r="CG166" s="863"/>
      <c r="CH166" s="863"/>
      <c r="CI166" s="863"/>
      <c r="CJ166" s="863"/>
      <c r="CK166" s="863"/>
      <c r="CL166" s="863"/>
      <c r="CM166" s="863"/>
      <c r="CN166" s="863"/>
      <c r="CO166" s="863"/>
      <c r="CP166" s="863"/>
      <c r="CQ166" s="863"/>
      <c r="CR166" s="863"/>
      <c r="CS166" s="863"/>
      <c r="CT166" s="863"/>
      <c r="CU166" s="62"/>
      <c r="CV166" s="864"/>
      <c r="CW166" s="864"/>
      <c r="CX166" s="864"/>
      <c r="CY166" s="864"/>
      <c r="CZ166" s="864"/>
      <c r="DA166" s="864"/>
      <c r="DB166" s="864"/>
      <c r="DC166" s="864"/>
      <c r="DD166" s="864"/>
      <c r="DE166" s="864"/>
      <c r="DF166" s="864"/>
      <c r="DG166" s="864"/>
      <c r="DH166" s="864"/>
      <c r="DI166" s="866"/>
      <c r="DJ166" s="866"/>
      <c r="DK166" s="866"/>
      <c r="DL166" s="866"/>
      <c r="DM166" s="866"/>
      <c r="DN166" s="866"/>
      <c r="DO166" s="866"/>
      <c r="DP166" s="866"/>
      <c r="DQ166" s="866"/>
      <c r="DR166" s="866"/>
      <c r="DS166" s="866"/>
      <c r="DT166" s="866"/>
      <c r="DU166" s="866"/>
      <c r="DV166" s="866"/>
      <c r="DW166" s="866"/>
      <c r="DX166" s="866"/>
      <c r="DY166" s="866"/>
      <c r="DZ166" s="866"/>
      <c r="EA166" s="866"/>
      <c r="EB166" s="866"/>
      <c r="EC166" s="866"/>
      <c r="ED166" s="974"/>
    </row>
    <row r="167">
      <c r="A167" s="1999" t="s">
        <v>3956</v>
      </c>
      <c r="B167" s="229" t="s">
        <v>11828</v>
      </c>
      <c r="C167" s="230" t="s">
        <v>155</v>
      </c>
      <c r="D167" s="231" t="s">
        <v>155</v>
      </c>
      <c r="E167" s="232" t="s">
        <v>155</v>
      </c>
      <c r="F167" s="233" t="s">
        <v>155</v>
      </c>
      <c r="G167" s="229" t="s">
        <v>536</v>
      </c>
      <c r="H167" s="273" t="s">
        <v>3588</v>
      </c>
      <c r="I167" s="273" t="s">
        <v>8285</v>
      </c>
      <c r="J167" s="304"/>
      <c r="K167" s="273" t="s">
        <v>9518</v>
      </c>
      <c r="L167" s="304"/>
      <c r="M167" s="304"/>
      <c r="N167" s="304"/>
      <c r="O167" s="273" t="s">
        <v>1378</v>
      </c>
      <c r="P167" s="273" t="s">
        <v>2297</v>
      </c>
      <c r="Q167" s="304"/>
      <c r="R167" s="304"/>
      <c r="S167" s="304"/>
      <c r="T167" s="304"/>
      <c r="U167" s="304"/>
      <c r="V167" s="304"/>
      <c r="W167" s="62"/>
      <c r="X167" s="273" t="s">
        <v>10020</v>
      </c>
      <c r="Y167" s="304"/>
      <c r="Z167" s="304"/>
      <c r="AA167" s="273" t="s">
        <v>10730</v>
      </c>
      <c r="AB167" s="304"/>
      <c r="AC167" s="273" t="s">
        <v>4526</v>
      </c>
      <c r="AD167" s="304"/>
      <c r="AE167" s="304"/>
      <c r="AF167" s="273" t="s">
        <v>11829</v>
      </c>
      <c r="AG167" s="304"/>
      <c r="AH167" s="304"/>
      <c r="AI167" s="304"/>
      <c r="AJ167" s="304"/>
      <c r="AK167" s="273" t="s">
        <v>11830</v>
      </c>
      <c r="AL167" s="61"/>
      <c r="AM167" s="304"/>
      <c r="AN167" s="273" t="s">
        <v>184</v>
      </c>
      <c r="AO167" s="304"/>
      <c r="AP167" s="304"/>
      <c r="AQ167" s="304"/>
      <c r="AR167" s="304"/>
      <c r="AS167" s="304"/>
      <c r="AT167" s="304"/>
      <c r="AU167" s="304"/>
      <c r="AV167" s="304"/>
      <c r="AW167" s="304"/>
      <c r="AX167" s="304"/>
      <c r="AY167" s="304"/>
      <c r="AZ167" s="304"/>
      <c r="BA167" s="304"/>
      <c r="BB167" s="304"/>
      <c r="BC167" s="304"/>
      <c r="BD167" s="304"/>
      <c r="BE167" s="304"/>
      <c r="BF167" s="304"/>
      <c r="BG167" s="304"/>
      <c r="BH167" s="304"/>
      <c r="BI167" s="273" t="s">
        <v>6126</v>
      </c>
      <c r="BJ167" s="304"/>
      <c r="BK167" s="304"/>
      <c r="BL167" s="273" t="s">
        <v>11831</v>
      </c>
      <c r="BM167" s="304"/>
      <c r="BN167" s="304"/>
      <c r="BO167" s="304"/>
      <c r="BP167" s="304"/>
      <c r="BQ167" s="841"/>
      <c r="BR167" s="304"/>
      <c r="BS167" s="304"/>
      <c r="BT167" s="304"/>
      <c r="BU167" s="304"/>
      <c r="BV167" s="304"/>
      <c r="BW167" s="273" t="s">
        <v>10010</v>
      </c>
      <c r="BX167" s="304"/>
      <c r="BY167" s="304"/>
      <c r="BZ167" s="304"/>
      <c r="CA167" s="304"/>
      <c r="CB167" s="304"/>
      <c r="CC167" s="304"/>
      <c r="CD167" s="304"/>
      <c r="CE167" s="304"/>
      <c r="CF167" s="841"/>
      <c r="CG167" s="273" t="s">
        <v>11459</v>
      </c>
      <c r="CH167" s="304"/>
      <c r="CI167" s="304"/>
      <c r="CJ167" s="304"/>
      <c r="CK167" s="304"/>
      <c r="CL167" s="304"/>
      <c r="CM167" s="304"/>
      <c r="CN167" s="304"/>
      <c r="CO167" s="273" t="s">
        <v>5583</v>
      </c>
      <c r="CP167" s="304"/>
      <c r="CQ167" s="304"/>
      <c r="CR167" s="304"/>
      <c r="CS167" s="304"/>
      <c r="CT167" s="304"/>
      <c r="CU167" s="62"/>
      <c r="CV167" s="304"/>
      <c r="CW167" s="304"/>
      <c r="CX167" s="273" t="s">
        <v>1126</v>
      </c>
      <c r="CY167" s="304"/>
      <c r="CZ167" s="304"/>
      <c r="DA167" s="304"/>
      <c r="DB167" s="304"/>
      <c r="DC167" s="273" t="s">
        <v>10021</v>
      </c>
      <c r="DD167" s="304"/>
      <c r="DE167" s="304"/>
      <c r="DF167" s="304"/>
      <c r="DG167" s="304"/>
      <c r="DH167" s="304"/>
      <c r="DI167" s="304"/>
      <c r="DJ167" s="304"/>
      <c r="DK167" s="304"/>
      <c r="DL167" s="304"/>
      <c r="DM167" s="304"/>
      <c r="DN167" s="304"/>
      <c r="DO167" s="304"/>
      <c r="DP167" s="304"/>
      <c r="DQ167" s="304"/>
      <c r="DR167" s="304"/>
      <c r="DS167" s="304"/>
      <c r="DT167" s="304"/>
      <c r="DU167" s="304"/>
      <c r="DV167" s="304"/>
      <c r="DW167" s="304"/>
      <c r="DX167" s="304"/>
      <c r="DY167" s="304"/>
      <c r="DZ167" s="304"/>
      <c r="EA167" s="273" t="s">
        <v>11832</v>
      </c>
      <c r="EB167" s="304"/>
      <c r="EC167" s="273" t="s">
        <v>1455</v>
      </c>
      <c r="ED167" s="885"/>
    </row>
    <row r="168">
      <c r="A168" s="1936" t="s">
        <v>11833</v>
      </c>
      <c r="B168" s="381" t="s">
        <v>11834</v>
      </c>
      <c r="C168" s="384" t="s">
        <v>155</v>
      </c>
      <c r="D168" s="386" t="s">
        <v>155</v>
      </c>
      <c r="E168" s="389" t="s">
        <v>155</v>
      </c>
      <c r="F168" s="390" t="s">
        <v>1845</v>
      </c>
      <c r="G168" s="381" t="s">
        <v>263</v>
      </c>
      <c r="H168" s="1711"/>
      <c r="I168" s="1799"/>
      <c r="J168" s="1711"/>
      <c r="K168" s="406" t="s">
        <v>4362</v>
      </c>
      <c r="L168" s="406" t="s">
        <v>11835</v>
      </c>
      <c r="M168" s="1711" t="s">
        <v>11836</v>
      </c>
      <c r="N168" s="1711"/>
      <c r="O168" s="1711"/>
      <c r="P168" s="1711" t="s">
        <v>2053</v>
      </c>
      <c r="Q168" s="849"/>
      <c r="R168" s="849"/>
      <c r="S168" s="849"/>
      <c r="T168" s="849"/>
      <c r="U168" s="849"/>
      <c r="V168" s="849"/>
      <c r="W168" s="62"/>
      <c r="X168" s="417" t="s">
        <v>11837</v>
      </c>
      <c r="Y168" s="421"/>
      <c r="Z168" s="421"/>
      <c r="AA168" s="417" t="s">
        <v>9398</v>
      </c>
      <c r="AB168" s="417" t="s">
        <v>11838</v>
      </c>
      <c r="AC168" s="417" t="s">
        <v>11839</v>
      </c>
      <c r="AD168" s="417" t="s">
        <v>1830</v>
      </c>
      <c r="AE168" s="852"/>
      <c r="AF168" s="421"/>
      <c r="AG168" s="417" t="s">
        <v>11840</v>
      </c>
      <c r="AH168" s="852"/>
      <c r="AI168" s="852"/>
      <c r="AJ168" s="421"/>
      <c r="AK168" s="852"/>
      <c r="AL168" s="61"/>
      <c r="AM168" s="435"/>
      <c r="AN168" s="435"/>
      <c r="AO168" s="855"/>
      <c r="AP168" s="855"/>
      <c r="AQ168" s="571"/>
      <c r="AR168" s="571"/>
      <c r="AS168" s="855"/>
      <c r="AT168" s="855"/>
      <c r="AU168" s="427" t="s">
        <v>10224</v>
      </c>
      <c r="AV168" s="427" t="s">
        <v>11841</v>
      </c>
      <c r="AW168" s="435"/>
      <c r="AX168" s="855"/>
      <c r="AY168" s="855"/>
      <c r="AZ168" s="855"/>
      <c r="BA168" s="855"/>
      <c r="BB168" s="1645" t="s">
        <v>8877</v>
      </c>
      <c r="BC168" s="439" t="s">
        <v>11842</v>
      </c>
      <c r="BD168" s="1645" t="s">
        <v>9862</v>
      </c>
      <c r="BE168" s="439" t="s">
        <v>4088</v>
      </c>
      <c r="BF168" s="439" t="s">
        <v>11843</v>
      </c>
      <c r="BG168" s="439" t="s">
        <v>4832</v>
      </c>
      <c r="BH168" s="589" t="s">
        <v>6647</v>
      </c>
      <c r="BI168" s="1645" t="s">
        <v>4116</v>
      </c>
      <c r="BJ168" s="587"/>
      <c r="BK168" s="1645"/>
      <c r="BL168" s="1645"/>
      <c r="BM168" s="587"/>
      <c r="BN168" s="587"/>
      <c r="BO168" s="1645"/>
      <c r="BP168" s="587"/>
      <c r="BQ168" s="857"/>
      <c r="BR168" s="448" t="s">
        <v>5807</v>
      </c>
      <c r="BS168" s="451"/>
      <c r="BT168" s="448" t="s">
        <v>11844</v>
      </c>
      <c r="BU168" s="448" t="s">
        <v>11555</v>
      </c>
      <c r="BV168" s="451"/>
      <c r="BW168" s="451"/>
      <c r="BX168" s="859"/>
      <c r="BY168" s="448" t="s">
        <v>11845</v>
      </c>
      <c r="BZ168" s="451"/>
      <c r="CA168" s="448" t="s">
        <v>4716</v>
      </c>
      <c r="CB168" s="859"/>
      <c r="CC168" s="859"/>
      <c r="CD168" s="594"/>
      <c r="CE168" s="859"/>
      <c r="CF168" s="861"/>
      <c r="CG168" s="459" t="s">
        <v>5765</v>
      </c>
      <c r="CH168" s="459" t="s">
        <v>6008</v>
      </c>
      <c r="CI168" s="459" t="s">
        <v>11302</v>
      </c>
      <c r="CJ168" s="460"/>
      <c r="CK168" s="460"/>
      <c r="CL168" s="460"/>
      <c r="CM168" s="459" t="s">
        <v>11846</v>
      </c>
      <c r="CN168" s="459" t="s">
        <v>8949</v>
      </c>
      <c r="CO168" s="459" t="s">
        <v>11847</v>
      </c>
      <c r="CP168" s="1800"/>
      <c r="CQ168" s="863"/>
      <c r="CR168" s="863"/>
      <c r="CS168" s="863"/>
      <c r="CT168" s="863"/>
      <c r="CU168" s="62"/>
      <c r="CV168" s="466" t="s">
        <v>6046</v>
      </c>
      <c r="CW168" s="470"/>
      <c r="CX168" s="466" t="s">
        <v>3916</v>
      </c>
      <c r="CY168" s="466" t="s">
        <v>2864</v>
      </c>
      <c r="CZ168" s="470"/>
      <c r="DA168" s="470"/>
      <c r="DB168" s="466" t="s">
        <v>11848</v>
      </c>
      <c r="DC168" s="466" t="s">
        <v>4729</v>
      </c>
      <c r="DD168" s="864"/>
      <c r="DE168" s="864"/>
      <c r="DF168" s="864"/>
      <c r="DG168" s="864"/>
      <c r="DH168" s="864"/>
      <c r="DI168" s="709"/>
      <c r="DJ168" s="866"/>
      <c r="DK168" s="866"/>
      <c r="DL168" s="709"/>
      <c r="DM168" s="709"/>
      <c r="DN168" s="709"/>
      <c r="DO168" s="866"/>
      <c r="DP168" s="866"/>
      <c r="DQ168" s="866"/>
      <c r="DR168" s="709" t="s">
        <v>11849</v>
      </c>
      <c r="DS168" s="483" t="s">
        <v>11850</v>
      </c>
      <c r="DT168" s="866"/>
      <c r="DU168" s="709"/>
      <c r="DV168" s="866"/>
      <c r="DW168" s="866"/>
      <c r="DX168" s="866"/>
      <c r="DY168" s="866"/>
      <c r="DZ168" s="866"/>
      <c r="EA168" s="709"/>
      <c r="EB168" s="866"/>
      <c r="EC168" s="866"/>
      <c r="ED168" s="974"/>
    </row>
    <row r="169">
      <c r="A169" s="1612" t="s">
        <v>11851</v>
      </c>
      <c r="B169" s="229" t="s">
        <v>11852</v>
      </c>
      <c r="C169" s="230" t="s">
        <v>155</v>
      </c>
      <c r="D169" s="231" t="s">
        <v>155</v>
      </c>
      <c r="E169" s="232" t="s">
        <v>155</v>
      </c>
      <c r="F169" s="233" t="s">
        <v>157</v>
      </c>
      <c r="G169" s="229" t="s">
        <v>1694</v>
      </c>
      <c r="H169" s="2000" t="s">
        <v>6052</v>
      </c>
      <c r="I169" s="304" t="s">
        <v>11853</v>
      </c>
      <c r="J169" s="304" t="s">
        <v>1316</v>
      </c>
      <c r="K169" s="304" t="s">
        <v>2466</v>
      </c>
      <c r="L169" s="304" t="s">
        <v>9636</v>
      </c>
      <c r="M169" s="304" t="s">
        <v>11854</v>
      </c>
      <c r="N169" s="304"/>
      <c r="O169" s="304"/>
      <c r="P169" s="304" t="s">
        <v>8339</v>
      </c>
      <c r="Q169" s="304"/>
      <c r="R169" s="304"/>
      <c r="S169" s="304"/>
      <c r="T169" s="304"/>
      <c r="U169" s="304"/>
      <c r="V169" s="304"/>
      <c r="W169" s="62"/>
      <c r="X169" s="274"/>
      <c r="Y169" s="304"/>
      <c r="Z169" s="304"/>
      <c r="AA169" s="304" t="s">
        <v>5202</v>
      </c>
      <c r="AB169" s="304"/>
      <c r="AC169" s="1394" t="s">
        <v>4251</v>
      </c>
      <c r="AD169" s="274"/>
      <c r="AE169" s="304"/>
      <c r="AF169" s="274"/>
      <c r="AG169" s="304"/>
      <c r="AH169" s="333"/>
      <c r="AI169" s="304"/>
      <c r="AJ169" s="304"/>
      <c r="AK169" s="304"/>
      <c r="AL169" s="61"/>
      <c r="AM169" s="263"/>
      <c r="AN169" s="263"/>
      <c r="AO169" s="304"/>
      <c r="AP169" s="263"/>
      <c r="AQ169" s="304"/>
      <c r="AR169" s="2001"/>
      <c r="AS169" s="304"/>
      <c r="AT169" s="263"/>
      <c r="AU169" s="304"/>
      <c r="AV169" s="304"/>
      <c r="AW169" s="304"/>
      <c r="AX169" s="304"/>
      <c r="AY169" s="304"/>
      <c r="AZ169" s="304"/>
      <c r="BA169" s="304"/>
      <c r="BB169" s="304"/>
      <c r="BC169" s="263"/>
      <c r="BD169" s="304"/>
      <c r="BE169" s="304"/>
      <c r="BF169" s="304" t="s">
        <v>1559</v>
      </c>
      <c r="BG169" s="304"/>
      <c r="BH169" s="304"/>
      <c r="BI169" s="1394" t="s">
        <v>2822</v>
      </c>
      <c r="BJ169" s="304"/>
      <c r="BK169" s="304"/>
      <c r="BL169" s="304"/>
      <c r="BM169" s="304"/>
      <c r="BN169" s="304"/>
      <c r="BO169" s="304"/>
      <c r="BP169" s="304"/>
      <c r="BQ169" s="841"/>
      <c r="BR169" s="304"/>
      <c r="BS169" s="304"/>
      <c r="BT169" s="304"/>
      <c r="BU169" s="263"/>
      <c r="BV169" s="304"/>
      <c r="BW169" s="263" t="s">
        <v>1635</v>
      </c>
      <c r="BX169" s="304"/>
      <c r="BY169" s="304"/>
      <c r="BZ169" s="304"/>
      <c r="CA169" s="304"/>
      <c r="CB169" s="304"/>
      <c r="CC169" s="304"/>
      <c r="CD169" s="304"/>
      <c r="CE169" s="304"/>
      <c r="CF169" s="841"/>
      <c r="CG169" s="1394" t="s">
        <v>2710</v>
      </c>
      <c r="CH169" s="304" t="s">
        <v>1132</v>
      </c>
      <c r="CI169" s="304"/>
      <c r="CJ169" s="304"/>
      <c r="CK169" s="304"/>
      <c r="CL169" s="304"/>
      <c r="CM169" s="304"/>
      <c r="CN169" s="304" t="s">
        <v>1126</v>
      </c>
      <c r="CO169" s="1394" t="s">
        <v>11855</v>
      </c>
      <c r="CP169" s="304"/>
      <c r="CQ169" s="263"/>
      <c r="CR169" s="304"/>
      <c r="CS169" s="304"/>
      <c r="CT169" s="304"/>
      <c r="CU169" s="62"/>
      <c r="CV169" s="304"/>
      <c r="CW169" s="304"/>
      <c r="CX169" s="304" t="s">
        <v>11131</v>
      </c>
      <c r="CY169" s="304" t="s">
        <v>10043</v>
      </c>
      <c r="CZ169" s="304"/>
      <c r="DA169" s="304"/>
      <c r="DB169" s="1394" t="s">
        <v>11856</v>
      </c>
      <c r="DC169" s="263" t="s">
        <v>11747</v>
      </c>
      <c r="DD169" s="304"/>
      <c r="DE169" s="333"/>
      <c r="DF169" s="263"/>
      <c r="DG169" s="304"/>
      <c r="DH169" s="304"/>
      <c r="DI169" s="304"/>
      <c r="DJ169" s="304"/>
      <c r="DK169" s="304"/>
      <c r="DL169" s="304"/>
      <c r="DM169" s="304"/>
      <c r="DN169" s="304"/>
      <c r="DO169" s="304"/>
      <c r="DP169" s="304"/>
      <c r="DQ169" s="304"/>
      <c r="DR169" s="304"/>
      <c r="DS169" s="304" t="s">
        <v>5671</v>
      </c>
      <c r="DT169" s="304"/>
      <c r="DU169" s="304"/>
      <c r="DV169" s="304"/>
      <c r="DW169" s="304"/>
      <c r="DX169" s="304"/>
      <c r="DY169" s="304"/>
      <c r="DZ169" s="304"/>
      <c r="EA169" s="304"/>
      <c r="EB169" s="304"/>
      <c r="EC169" s="304"/>
      <c r="ED169" s="885"/>
    </row>
    <row r="170">
      <c r="A170" s="545" t="s">
        <v>11857</v>
      </c>
      <c r="B170" s="381" t="s">
        <v>11858</v>
      </c>
      <c r="C170" s="384" t="s">
        <v>155</v>
      </c>
      <c r="D170" s="386" t="s">
        <v>155</v>
      </c>
      <c r="E170" s="389" t="s">
        <v>155</v>
      </c>
      <c r="F170" s="390" t="s">
        <v>76</v>
      </c>
      <c r="G170" s="381" t="s">
        <v>261</v>
      </c>
      <c r="H170" s="2002"/>
      <c r="I170" s="849"/>
      <c r="J170" s="849"/>
      <c r="K170" s="547" t="s">
        <v>133</v>
      </c>
      <c r="L170" s="547" t="s">
        <v>7000</v>
      </c>
      <c r="M170" s="849"/>
      <c r="N170" s="849"/>
      <c r="O170" s="849"/>
      <c r="P170" s="849"/>
      <c r="Q170" s="849"/>
      <c r="R170" s="849"/>
      <c r="S170" s="849"/>
      <c r="T170" s="849"/>
      <c r="U170" s="849"/>
      <c r="V170" s="849"/>
      <c r="W170" s="62"/>
      <c r="X170" s="852"/>
      <c r="Y170" s="852"/>
      <c r="Z170" s="852"/>
      <c r="AA170" s="852"/>
      <c r="AB170" s="852"/>
      <c r="AC170" s="852"/>
      <c r="AD170" s="852"/>
      <c r="AE170" s="852"/>
      <c r="AF170" s="852"/>
      <c r="AG170" s="852"/>
      <c r="AH170" s="852"/>
      <c r="AI170" s="852"/>
      <c r="AJ170" s="852"/>
      <c r="AK170" s="852"/>
      <c r="AL170" s="61"/>
      <c r="AM170" s="855"/>
      <c r="AN170" s="855"/>
      <c r="AO170" s="855"/>
      <c r="AP170" s="855"/>
      <c r="AQ170" s="855"/>
      <c r="AR170" s="855"/>
      <c r="AS170" s="855"/>
      <c r="AT170" s="855"/>
      <c r="AU170" s="855"/>
      <c r="AV170" s="855"/>
      <c r="AW170" s="855"/>
      <c r="AX170" s="855"/>
      <c r="AY170" s="855"/>
      <c r="AZ170" s="855"/>
      <c r="BA170" s="855"/>
      <c r="BB170" s="587"/>
      <c r="BC170" s="587"/>
      <c r="BD170" s="587"/>
      <c r="BE170" s="587"/>
      <c r="BF170" s="587"/>
      <c r="BG170" s="587"/>
      <c r="BH170" s="587"/>
      <c r="BI170" s="589" t="s">
        <v>4233</v>
      </c>
      <c r="BJ170" s="587"/>
      <c r="BK170" s="587"/>
      <c r="BL170" s="587"/>
      <c r="BM170" s="587"/>
      <c r="BN170" s="587"/>
      <c r="BO170" s="587"/>
      <c r="BP170" s="587"/>
      <c r="BQ170" s="857"/>
      <c r="BR170" s="859"/>
      <c r="BS170" s="859"/>
      <c r="BT170" s="859"/>
      <c r="BU170" s="859"/>
      <c r="BV170" s="859"/>
      <c r="BW170" s="594" t="s">
        <v>11135</v>
      </c>
      <c r="BX170" s="859"/>
      <c r="BY170" s="595"/>
      <c r="BZ170" s="859"/>
      <c r="CA170" s="859"/>
      <c r="CB170" s="859"/>
      <c r="CC170" s="859"/>
      <c r="CD170" s="859"/>
      <c r="CE170" s="859"/>
      <c r="CF170" s="861"/>
      <c r="CG170" s="459" t="s">
        <v>11115</v>
      </c>
      <c r="CH170" s="863"/>
      <c r="CI170" s="863"/>
      <c r="CJ170" s="606" t="s">
        <v>11859</v>
      </c>
      <c r="CK170" s="606"/>
      <c r="CL170" s="606"/>
      <c r="CM170" s="863"/>
      <c r="CN170" s="863"/>
      <c r="CO170" s="863"/>
      <c r="CP170" s="863"/>
      <c r="CQ170" s="863"/>
      <c r="CR170" s="863"/>
      <c r="CS170" s="863"/>
      <c r="CT170" s="863"/>
      <c r="CU170" s="62"/>
      <c r="CV170" s="703" t="s">
        <v>7043</v>
      </c>
      <c r="CW170" s="864"/>
      <c r="CX170" s="703" t="s">
        <v>10157</v>
      </c>
      <c r="CY170" s="864"/>
      <c r="CZ170" s="864"/>
      <c r="DA170" s="864"/>
      <c r="DB170" s="823"/>
      <c r="DC170" s="864"/>
      <c r="DD170" s="864"/>
      <c r="DE170" s="864"/>
      <c r="DF170" s="864"/>
      <c r="DG170" s="864"/>
      <c r="DH170" s="864"/>
      <c r="DI170" s="866"/>
      <c r="DJ170" s="866"/>
      <c r="DK170" s="866"/>
      <c r="DL170" s="866"/>
      <c r="DM170" s="866"/>
      <c r="DN170" s="866"/>
      <c r="DO170" s="866"/>
      <c r="DP170" s="866"/>
      <c r="DQ170" s="866"/>
      <c r="DR170" s="866"/>
      <c r="DS170" s="866"/>
      <c r="DT170" s="866"/>
      <c r="DU170" s="866"/>
      <c r="DV170" s="866"/>
      <c r="DW170" s="866"/>
      <c r="DX170" s="866"/>
      <c r="DY170" s="866"/>
      <c r="DZ170" s="866"/>
      <c r="EA170" s="866"/>
      <c r="EB170" s="866"/>
      <c r="EC170" s="866"/>
      <c r="ED170" s="1941"/>
    </row>
    <row r="171">
      <c r="A171" s="228" t="s">
        <v>11860</v>
      </c>
      <c r="B171" s="229" t="s">
        <v>11861</v>
      </c>
      <c r="C171" s="230" t="s">
        <v>155</v>
      </c>
      <c r="D171" s="231" t="s">
        <v>155</v>
      </c>
      <c r="E171" s="232" t="s">
        <v>155</v>
      </c>
      <c r="F171" s="233" t="s">
        <v>76</v>
      </c>
      <c r="G171" s="229" t="s">
        <v>125</v>
      </c>
      <c r="H171" s="304"/>
      <c r="I171" s="1912" t="s">
        <v>7903</v>
      </c>
      <c r="J171" s="273" t="s">
        <v>667</v>
      </c>
      <c r="K171" s="273" t="s">
        <v>4358</v>
      </c>
      <c r="L171" s="273" t="s">
        <v>1738</v>
      </c>
      <c r="M171" s="304"/>
      <c r="N171" s="304"/>
      <c r="O171" s="304"/>
      <c r="P171" s="273" t="s">
        <v>9481</v>
      </c>
      <c r="Q171" s="304"/>
      <c r="R171" s="304"/>
      <c r="S171" s="304"/>
      <c r="T171" s="304"/>
      <c r="U171" s="304"/>
      <c r="V171" s="304"/>
      <c r="W171" s="62"/>
      <c r="X171" s="1912" t="s">
        <v>6122</v>
      </c>
      <c r="Y171" s="304"/>
      <c r="Z171" s="304"/>
      <c r="AA171" s="273" t="s">
        <v>9830</v>
      </c>
      <c r="AB171" s="301" t="str">
        <f>HYPERLINK("https://clips.twitch.tv/DeliciousHomelyChoughMingLee","53.66")</f>
        <v>53.66</v>
      </c>
      <c r="AC171" s="273" t="s">
        <v>4815</v>
      </c>
      <c r="AD171" s="273" t="s">
        <v>1825</v>
      </c>
      <c r="AE171" s="304"/>
      <c r="AF171" s="304"/>
      <c r="AG171" s="273" t="s">
        <v>9481</v>
      </c>
      <c r="AH171" s="304"/>
      <c r="AI171" s="304"/>
      <c r="AJ171" s="304"/>
      <c r="AK171" s="304"/>
      <c r="AL171" s="61"/>
      <c r="AM171" s="304"/>
      <c r="AN171" s="304"/>
      <c r="AO171" s="304"/>
      <c r="AP171" s="304"/>
      <c r="AQ171" s="304"/>
      <c r="AR171" s="304"/>
      <c r="AS171" s="304"/>
      <c r="AT171" s="304"/>
      <c r="AU171" s="273" t="s">
        <v>11862</v>
      </c>
      <c r="AV171" s="273" t="s">
        <v>5341</v>
      </c>
      <c r="AW171" s="304"/>
      <c r="AX171" s="304"/>
      <c r="AY171" s="304"/>
      <c r="AZ171" s="304"/>
      <c r="BA171" s="304"/>
      <c r="BB171" s="304"/>
      <c r="BC171" s="304"/>
      <c r="BD171" s="304"/>
      <c r="BE171" s="304"/>
      <c r="BF171" s="304"/>
      <c r="BG171" s="304"/>
      <c r="BH171" s="304"/>
      <c r="BI171" s="304"/>
      <c r="BJ171" s="304"/>
      <c r="BK171" s="304"/>
      <c r="BL171" s="304"/>
      <c r="BM171" s="304"/>
      <c r="BN171" s="304"/>
      <c r="BO171" s="304"/>
      <c r="BP171" s="304"/>
      <c r="BQ171" s="841"/>
      <c r="BR171" s="273"/>
      <c r="BS171" s="304"/>
      <c r="BT171" s="304"/>
      <c r="BU171" s="304"/>
      <c r="BV171" s="304"/>
      <c r="BW171" s="304"/>
      <c r="BX171" s="304"/>
      <c r="BY171" s="304"/>
      <c r="BZ171" s="304"/>
      <c r="CA171" s="304"/>
      <c r="CB171" s="304"/>
      <c r="CC171" s="304"/>
      <c r="CD171" s="304"/>
      <c r="CE171" s="304"/>
      <c r="CF171" s="841"/>
      <c r="CG171" s="304"/>
      <c r="CH171" s="304"/>
      <c r="CI171" s="304"/>
      <c r="CJ171" s="304"/>
      <c r="CK171" s="304"/>
      <c r="CL171" s="304"/>
      <c r="CM171" s="304"/>
      <c r="CN171" s="304"/>
      <c r="CO171" s="273" t="s">
        <v>531</v>
      </c>
      <c r="CP171" s="304"/>
      <c r="CQ171" s="304"/>
      <c r="CR171" s="304"/>
      <c r="CS171" s="304"/>
      <c r="CT171" s="304"/>
      <c r="CU171" s="62"/>
      <c r="CV171" s="273" t="s">
        <v>5329</v>
      </c>
      <c r="CW171" s="273" t="s">
        <v>11863</v>
      </c>
      <c r="CX171" s="273" t="s">
        <v>4012</v>
      </c>
      <c r="CY171" s="304"/>
      <c r="CZ171" s="273"/>
      <c r="DA171" s="304"/>
      <c r="DB171" s="273" t="s">
        <v>6434</v>
      </c>
      <c r="DC171" s="304"/>
      <c r="DD171" s="304"/>
      <c r="DE171" s="304"/>
      <c r="DF171" s="304"/>
      <c r="DG171" s="304"/>
      <c r="DH171" s="304"/>
      <c r="DI171" s="304"/>
      <c r="DJ171" s="304"/>
      <c r="DK171" s="304"/>
      <c r="DL171" s="304"/>
      <c r="DM171" s="304"/>
      <c r="DN171" s="304"/>
      <c r="DO171" s="304"/>
      <c r="DP171" s="304"/>
      <c r="DQ171" s="304"/>
      <c r="DR171" s="304"/>
      <c r="DS171" s="304"/>
      <c r="DT171" s="304"/>
      <c r="DU171" s="304"/>
      <c r="DV171" s="304"/>
      <c r="DW171" s="304"/>
      <c r="DX171" s="273"/>
      <c r="DY171" s="304"/>
      <c r="DZ171" s="304"/>
      <c r="EA171" s="304"/>
      <c r="EB171" s="304"/>
      <c r="EC171" s="304"/>
      <c r="ED171" s="885"/>
    </row>
    <row r="172">
      <c r="A172" s="545" t="s">
        <v>11864</v>
      </c>
      <c r="B172" s="381" t="s">
        <v>11865</v>
      </c>
      <c r="C172" s="384" t="s">
        <v>155</v>
      </c>
      <c r="D172" s="386" t="s">
        <v>155</v>
      </c>
      <c r="E172" s="389" t="s">
        <v>155</v>
      </c>
      <c r="F172" s="390" t="s">
        <v>79</v>
      </c>
      <c r="G172" s="381" t="s">
        <v>79</v>
      </c>
      <c r="H172" s="849"/>
      <c r="I172" s="849"/>
      <c r="J172" s="849"/>
      <c r="K172" s="406" t="s">
        <v>768</v>
      </c>
      <c r="L172" s="849"/>
      <c r="M172" s="849"/>
      <c r="N172" s="849"/>
      <c r="O172" s="849"/>
      <c r="P172" s="849"/>
      <c r="Q172" s="849"/>
      <c r="R172" s="849"/>
      <c r="S172" s="849"/>
      <c r="T172" s="849"/>
      <c r="U172" s="849"/>
      <c r="V172" s="849"/>
      <c r="W172" s="62"/>
      <c r="X172" s="852"/>
      <c r="Y172" s="852"/>
      <c r="Z172" s="852"/>
      <c r="AA172" s="852"/>
      <c r="AB172" s="852"/>
      <c r="AC172" s="852"/>
      <c r="AD172" s="852"/>
      <c r="AE172" s="852"/>
      <c r="AF172" s="852"/>
      <c r="AG172" s="852"/>
      <c r="AH172" s="852"/>
      <c r="AI172" s="852"/>
      <c r="AJ172" s="852"/>
      <c r="AK172" s="852"/>
      <c r="AL172" s="61"/>
      <c r="AM172" s="855"/>
      <c r="AN172" s="855"/>
      <c r="AO172" s="855"/>
      <c r="AP172" s="855"/>
      <c r="AQ172" s="855"/>
      <c r="AR172" s="855"/>
      <c r="AS172" s="855"/>
      <c r="AT172" s="855"/>
      <c r="AU172" s="855"/>
      <c r="AV172" s="855"/>
      <c r="AW172" s="855"/>
      <c r="AX172" s="855"/>
      <c r="AY172" s="855"/>
      <c r="AZ172" s="855"/>
      <c r="BA172" s="855"/>
      <c r="BB172" s="587"/>
      <c r="BC172" s="587"/>
      <c r="BD172" s="587"/>
      <c r="BE172" s="587"/>
      <c r="BF172" s="587"/>
      <c r="BG172" s="587"/>
      <c r="BH172" s="587"/>
      <c r="BI172" s="587"/>
      <c r="BJ172" s="587"/>
      <c r="BK172" s="587"/>
      <c r="BL172" s="439" t="s">
        <v>5689</v>
      </c>
      <c r="BM172" s="587"/>
      <c r="BN172" s="587"/>
      <c r="BO172" s="587"/>
      <c r="BP172" s="587"/>
      <c r="BQ172" s="857"/>
      <c r="BR172" s="859"/>
      <c r="BS172" s="859"/>
      <c r="BT172" s="859"/>
      <c r="BU172" s="859"/>
      <c r="BV172" s="859"/>
      <c r="BW172" s="859"/>
      <c r="BX172" s="859"/>
      <c r="BY172" s="859"/>
      <c r="BZ172" s="859"/>
      <c r="CA172" s="859"/>
      <c r="CB172" s="859"/>
      <c r="CC172" s="859"/>
      <c r="CD172" s="859"/>
      <c r="CE172" s="859"/>
      <c r="CF172" s="861"/>
      <c r="CG172" s="863"/>
      <c r="CH172" s="863"/>
      <c r="CI172" s="863"/>
      <c r="CJ172" s="863"/>
      <c r="CK172" s="863"/>
      <c r="CL172" s="863"/>
      <c r="CM172" s="863"/>
      <c r="CN172" s="863"/>
      <c r="CO172" s="863"/>
      <c r="CP172" s="863"/>
      <c r="CQ172" s="863"/>
      <c r="CR172" s="863"/>
      <c r="CS172" s="863"/>
      <c r="CT172" s="863"/>
      <c r="CU172" s="62"/>
      <c r="CV172" s="864"/>
      <c r="CW172" s="864"/>
      <c r="CX172" s="466" t="s">
        <v>5016</v>
      </c>
      <c r="CY172" s="864"/>
      <c r="CZ172" s="864"/>
      <c r="DA172" s="864"/>
      <c r="DB172" s="864"/>
      <c r="DC172" s="466" t="s">
        <v>9563</v>
      </c>
      <c r="DD172" s="864"/>
      <c r="DE172" s="864"/>
      <c r="DF172" s="864"/>
      <c r="DG172" s="864"/>
      <c r="DH172" s="864"/>
      <c r="DI172" s="866"/>
      <c r="DJ172" s="866"/>
      <c r="DK172" s="866"/>
      <c r="DL172" s="866"/>
      <c r="DM172" s="866"/>
      <c r="DN172" s="866"/>
      <c r="DO172" s="866"/>
      <c r="DP172" s="866"/>
      <c r="DQ172" s="866"/>
      <c r="DR172" s="866"/>
      <c r="DS172" s="866"/>
      <c r="DT172" s="866"/>
      <c r="DU172" s="866"/>
      <c r="DV172" s="866"/>
      <c r="DW172" s="866"/>
      <c r="DX172" s="866"/>
      <c r="DY172" s="866"/>
      <c r="DZ172" s="866"/>
      <c r="EA172" s="866"/>
      <c r="EB172" s="866"/>
      <c r="EC172" s="866"/>
      <c r="ED172" s="1941"/>
    </row>
    <row r="173">
      <c r="A173" s="228" t="s">
        <v>11866</v>
      </c>
      <c r="B173" s="229" t="s">
        <v>11867</v>
      </c>
      <c r="C173" s="230" t="s">
        <v>76</v>
      </c>
      <c r="D173" s="231" t="s">
        <v>155</v>
      </c>
      <c r="E173" s="232" t="s">
        <v>155</v>
      </c>
      <c r="F173" s="233" t="s">
        <v>306</v>
      </c>
      <c r="G173" s="229" t="s">
        <v>306</v>
      </c>
      <c r="H173" s="304"/>
      <c r="I173" s="304"/>
      <c r="J173" s="304"/>
      <c r="K173" s="304"/>
      <c r="L173" s="304"/>
      <c r="M173" s="304"/>
      <c r="N173" s="304"/>
      <c r="O173" s="304"/>
      <c r="P173" s="304"/>
      <c r="Q173" s="304"/>
      <c r="R173" s="304"/>
      <c r="S173" s="304"/>
      <c r="T173" s="304"/>
      <c r="U173" s="304"/>
      <c r="V173" s="304"/>
      <c r="W173" s="62"/>
      <c r="X173" s="301" t="str">
        <f>HYPERLINK("https://youtu.be/PmLDGJ4GBDE","50.25")</f>
        <v>50.25</v>
      </c>
      <c r="Y173" s="304"/>
      <c r="Z173" s="304"/>
      <c r="AA173" s="304"/>
      <c r="AB173" s="304"/>
      <c r="AC173" s="304"/>
      <c r="AD173" s="301" t="str">
        <f>HYPERLINK("https://youtu.be/Ko2puUWcf4o","55.41")</f>
        <v>55.41</v>
      </c>
      <c r="AE173" s="304"/>
      <c r="AF173" s="276" t="str">
        <f>HYPERLINK("https://youtu.be/yM7eFNu04pY","1:34.18")</f>
        <v>1:34.18</v>
      </c>
      <c r="AG173" s="304"/>
      <c r="AH173" s="242" t="s">
        <v>11868</v>
      </c>
      <c r="AI173" s="304"/>
      <c r="AJ173" s="304"/>
      <c r="AK173" s="304"/>
      <c r="AL173" s="61"/>
      <c r="AM173" s="263"/>
      <c r="AN173" s="263"/>
      <c r="AO173" s="304"/>
      <c r="AP173" s="263"/>
      <c r="AQ173" s="304"/>
      <c r="AR173" s="2003" t="str">
        <f>HYPERLINK("https://youtu.be/fN_8rgua0Xs","36.26")</f>
        <v>36.26</v>
      </c>
      <c r="AS173" s="304"/>
      <c r="AT173" s="263"/>
      <c r="AU173" s="304"/>
      <c r="AV173" s="304"/>
      <c r="AW173" s="304"/>
      <c r="AX173" s="304"/>
      <c r="AY173" s="304"/>
      <c r="AZ173" s="304"/>
      <c r="BA173" s="304"/>
      <c r="BB173" s="304"/>
      <c r="BC173" s="263"/>
      <c r="BD173" s="304"/>
      <c r="BE173" s="304"/>
      <c r="BF173" s="304"/>
      <c r="BG173" s="304"/>
      <c r="BH173" s="304"/>
      <c r="BI173" s="304"/>
      <c r="BJ173" s="304"/>
      <c r="BK173" s="304"/>
      <c r="BL173" s="304"/>
      <c r="BM173" s="304"/>
      <c r="BN173" s="304"/>
      <c r="BO173" s="304"/>
      <c r="BP173" s="304"/>
      <c r="BQ173" s="841"/>
      <c r="BR173" s="304"/>
      <c r="BS173" s="304"/>
      <c r="BT173" s="304"/>
      <c r="BU173" s="263"/>
      <c r="BV173" s="304"/>
      <c r="BW173" s="263"/>
      <c r="BX173" s="304"/>
      <c r="BY173" s="304"/>
      <c r="BZ173" s="304"/>
      <c r="CA173" s="304"/>
      <c r="CB173" s="304"/>
      <c r="CC173" s="304"/>
      <c r="CD173" s="304"/>
      <c r="CE173" s="304"/>
      <c r="CF173" s="841"/>
      <c r="CG173" s="304"/>
      <c r="CH173" s="304"/>
      <c r="CI173" s="304"/>
      <c r="CJ173" s="304"/>
      <c r="CK173" s="304"/>
      <c r="CL173" s="304"/>
      <c r="CM173" s="304"/>
      <c r="CN173" s="304"/>
      <c r="CO173" s="304"/>
      <c r="CP173" s="304"/>
      <c r="CQ173" s="263"/>
      <c r="CR173" s="304"/>
      <c r="CS173" s="304"/>
      <c r="CT173" s="304"/>
      <c r="CU173" s="62"/>
      <c r="CV173" s="304"/>
      <c r="CW173" s="304"/>
      <c r="CX173" s="304"/>
      <c r="CY173" s="304"/>
      <c r="CZ173" s="304"/>
      <c r="DA173" s="304"/>
      <c r="DB173" s="304"/>
      <c r="DC173" s="263"/>
      <c r="DD173" s="304"/>
      <c r="DE173" s="242" t="s">
        <v>11869</v>
      </c>
      <c r="DF173" s="263"/>
      <c r="DG173" s="304"/>
      <c r="DH173" s="304"/>
      <c r="DI173" s="304"/>
      <c r="DJ173" s="304"/>
      <c r="DK173" s="304"/>
      <c r="DL173" s="304"/>
      <c r="DM173" s="304"/>
      <c r="DN173" s="304"/>
      <c r="DO173" s="304"/>
      <c r="DP173" s="304"/>
      <c r="DQ173" s="304"/>
      <c r="DR173" s="304"/>
      <c r="DS173" s="304"/>
      <c r="DT173" s="304"/>
      <c r="DU173" s="304"/>
      <c r="DV173" s="304"/>
      <c r="DW173" s="304"/>
      <c r="DX173" s="304"/>
      <c r="DY173" s="304"/>
      <c r="DZ173" s="304"/>
      <c r="EA173" s="304"/>
      <c r="EB173" s="304"/>
      <c r="EC173" s="304"/>
      <c r="ED173" s="885"/>
    </row>
    <row r="174">
      <c r="A174" s="545" t="s">
        <v>8896</v>
      </c>
      <c r="B174" s="381" t="s">
        <v>11870</v>
      </c>
      <c r="C174" s="384" t="s">
        <v>76</v>
      </c>
      <c r="D174" s="386" t="s">
        <v>76</v>
      </c>
      <c r="E174" s="389" t="s">
        <v>155</v>
      </c>
      <c r="F174" s="390" t="s">
        <v>157</v>
      </c>
      <c r="G174" s="381" t="s">
        <v>306</v>
      </c>
      <c r="H174" s="849"/>
      <c r="I174" s="849"/>
      <c r="J174" s="849"/>
      <c r="K174" s="849"/>
      <c r="L174" s="849"/>
      <c r="M174" s="849"/>
      <c r="N174" s="849"/>
      <c r="O174" s="849"/>
      <c r="P174" s="547" t="s">
        <v>1652</v>
      </c>
      <c r="Q174" s="849"/>
      <c r="R174" s="849"/>
      <c r="S174" s="849"/>
      <c r="T174" s="849"/>
      <c r="U174" s="849"/>
      <c r="V174" s="849"/>
      <c r="W174" s="62"/>
      <c r="X174" s="852"/>
      <c r="Y174" s="852"/>
      <c r="Z174" s="852"/>
      <c r="AA174" s="852"/>
      <c r="AB174" s="852"/>
      <c r="AC174" s="852"/>
      <c r="AD174" s="852"/>
      <c r="AE174" s="852"/>
      <c r="AF174" s="852"/>
      <c r="AG174" s="852"/>
      <c r="AH174" s="2004" t="str">
        <f>HYPERLINK("https://www.youtube.com/watch?v=egSPy91Zj90", "32.27")</f>
        <v>32.27</v>
      </c>
      <c r="AI174" s="852"/>
      <c r="AJ174" s="852"/>
      <c r="AK174" s="852"/>
      <c r="AL174" s="61"/>
      <c r="AM174" s="855"/>
      <c r="AN174" s="855"/>
      <c r="AO174" s="855"/>
      <c r="AP174" s="855"/>
      <c r="AQ174" s="855"/>
      <c r="AR174" s="855"/>
      <c r="AS174" s="2005" t="str">
        <f>HYPERLINK("https://www.youtube.com/watch?v=z3OJIJlWJIU","8.51")</f>
        <v>8.51</v>
      </c>
      <c r="AT174" s="855"/>
      <c r="AU174" s="855"/>
      <c r="AV174" s="855"/>
      <c r="AW174" s="855"/>
      <c r="AX174" s="855"/>
      <c r="AY174" s="855"/>
      <c r="AZ174" s="855"/>
      <c r="BA174" s="855"/>
      <c r="BB174" s="587"/>
      <c r="BC174" s="587"/>
      <c r="BD174" s="587"/>
      <c r="BE174" s="587"/>
      <c r="BF174" s="587"/>
      <c r="BG174" s="587"/>
      <c r="BH174" s="587"/>
      <c r="BI174" s="587"/>
      <c r="BJ174" s="587"/>
      <c r="BK174" s="587"/>
      <c r="BL174" s="587"/>
      <c r="BM174" s="587"/>
      <c r="BN174" s="587"/>
      <c r="BO174" s="587"/>
      <c r="BP174" s="587"/>
      <c r="BQ174" s="857"/>
      <c r="BR174" s="859"/>
      <c r="BS174" s="859"/>
      <c r="BT174" s="859"/>
      <c r="BU174" s="859"/>
      <c r="BV174" s="859"/>
      <c r="BW174" s="859"/>
      <c r="BX174" s="859"/>
      <c r="BY174" s="859"/>
      <c r="BZ174" s="859"/>
      <c r="CA174" s="859"/>
      <c r="CB174" s="859"/>
      <c r="CC174" s="859"/>
      <c r="CD174" s="859"/>
      <c r="CE174" s="859"/>
      <c r="CF174" s="861"/>
      <c r="CG174" s="863"/>
      <c r="CH174" s="863"/>
      <c r="CI174" s="863"/>
      <c r="CJ174" s="863"/>
      <c r="CK174" s="863"/>
      <c r="CL174" s="2006" t="str">
        <f>HYPERLINK("https://www.youtube.com/watch?v=E7c_wl78nfk","11.98")</f>
        <v>11.98</v>
      </c>
      <c r="CM174" s="863"/>
      <c r="CN174" s="863"/>
      <c r="CO174" s="863"/>
      <c r="CP174" s="863"/>
      <c r="CQ174" s="863"/>
      <c r="CR174" s="863"/>
      <c r="CS174" s="863"/>
      <c r="CT174" s="863"/>
      <c r="CU174" s="62"/>
      <c r="CV174" s="864"/>
      <c r="CW174" s="2007" t="str">
        <f>HYPERLINK("https://www.youtube.com/watch?v=JewskQKqzo4o","12.74")</f>
        <v>12.74</v>
      </c>
      <c r="CX174" s="864"/>
      <c r="CY174" s="864"/>
      <c r="CZ174" s="864"/>
      <c r="DA174" s="864"/>
      <c r="DB174" s="864"/>
      <c r="DC174" s="864"/>
      <c r="DD174" s="864"/>
      <c r="DE174" s="864"/>
      <c r="DF174" s="864"/>
      <c r="DG174" s="864"/>
      <c r="DH174" s="864"/>
      <c r="DI174" s="866"/>
      <c r="DJ174" s="866"/>
      <c r="DK174" s="866"/>
      <c r="DL174" s="866"/>
      <c r="DM174" s="2008" t="str">
        <f>HYPERLINK("https://www.youtube.com/watch?v=p2gj2n378jI", "15.59")</f>
        <v>15.59</v>
      </c>
      <c r="DN174" s="866"/>
      <c r="DO174" s="866"/>
      <c r="DP174" s="866"/>
      <c r="DQ174" s="866"/>
      <c r="DR174" s="866"/>
      <c r="DS174" s="866"/>
      <c r="DT174" s="866"/>
      <c r="DU174" s="866"/>
      <c r="DV174" s="866"/>
      <c r="DW174" s="866"/>
      <c r="DX174" s="866"/>
      <c r="DY174" s="866"/>
      <c r="DZ174" s="866"/>
      <c r="EA174" s="866"/>
      <c r="EB174" s="866"/>
      <c r="EC174" s="866"/>
      <c r="ED174" s="974"/>
    </row>
    <row r="175">
      <c r="A175" s="2009" t="s">
        <v>11871</v>
      </c>
      <c r="B175" s="229" t="s">
        <v>11872</v>
      </c>
      <c r="C175" s="230" t="s">
        <v>155</v>
      </c>
      <c r="D175" s="231" t="s">
        <v>155</v>
      </c>
      <c r="E175" s="232" t="s">
        <v>155</v>
      </c>
      <c r="F175" s="233" t="s">
        <v>155</v>
      </c>
      <c r="G175" s="229" t="s">
        <v>870</v>
      </c>
      <c r="H175" s="273"/>
      <c r="I175" s="273" t="s">
        <v>11873</v>
      </c>
      <c r="J175" s="273" t="s">
        <v>9703</v>
      </c>
      <c r="K175" s="273" t="s">
        <v>3114</v>
      </c>
      <c r="L175" s="273" t="s">
        <v>7650</v>
      </c>
      <c r="M175" s="273" t="s">
        <v>11874</v>
      </c>
      <c r="N175" s="273" t="s">
        <v>8271</v>
      </c>
      <c r="O175" s="273" t="s">
        <v>3353</v>
      </c>
      <c r="P175" s="273" t="s">
        <v>6063</v>
      </c>
      <c r="Q175" s="304"/>
      <c r="R175" s="304"/>
      <c r="S175" s="304"/>
      <c r="T175" s="304"/>
      <c r="U175" s="304"/>
      <c r="V175" s="304"/>
      <c r="W175" s="62"/>
      <c r="X175" s="273" t="s">
        <v>11875</v>
      </c>
      <c r="Y175" s="273"/>
      <c r="Z175" s="273"/>
      <c r="AA175" s="273" t="s">
        <v>5305</v>
      </c>
      <c r="AB175" s="304"/>
      <c r="AC175" s="273" t="s">
        <v>11876</v>
      </c>
      <c r="AD175" s="273" t="s">
        <v>10054</v>
      </c>
      <c r="AE175" s="304"/>
      <c r="AF175" s="304"/>
      <c r="AG175" s="273" t="s">
        <v>11090</v>
      </c>
      <c r="AH175" s="304"/>
      <c r="AI175" s="304"/>
      <c r="AJ175" s="304"/>
      <c r="AK175" s="304"/>
      <c r="AL175" s="61"/>
      <c r="AM175" s="304"/>
      <c r="AN175" s="304"/>
      <c r="AO175" s="304"/>
      <c r="AP175" s="304"/>
      <c r="AQ175" s="304"/>
      <c r="AR175" s="304"/>
      <c r="AS175" s="304"/>
      <c r="AT175" s="304"/>
      <c r="AU175" s="273" t="s">
        <v>452</v>
      </c>
      <c r="AV175" s="273" t="s">
        <v>4000</v>
      </c>
      <c r="AW175" s="304"/>
      <c r="AX175" s="304"/>
      <c r="AY175" s="304"/>
      <c r="AZ175" s="304"/>
      <c r="BA175" s="304"/>
      <c r="BB175" s="273" t="s">
        <v>9171</v>
      </c>
      <c r="BC175" s="273" t="s">
        <v>3292</v>
      </c>
      <c r="BD175" s="273" t="s">
        <v>3944</v>
      </c>
      <c r="BE175" s="273" t="s">
        <v>10117</v>
      </c>
      <c r="BF175" s="273" t="s">
        <v>8670</v>
      </c>
      <c r="BG175" s="304"/>
      <c r="BH175" s="304"/>
      <c r="BI175" s="273" t="s">
        <v>4977</v>
      </c>
      <c r="BJ175" s="304"/>
      <c r="BK175" s="304"/>
      <c r="BL175" s="273" t="s">
        <v>1883</v>
      </c>
      <c r="BM175" s="304"/>
      <c r="BN175" s="304"/>
      <c r="BO175" s="304"/>
      <c r="BP175" s="304"/>
      <c r="BQ175" s="841"/>
      <c r="BR175" s="273" t="s">
        <v>11877</v>
      </c>
      <c r="BS175" s="273" t="s">
        <v>5489</v>
      </c>
      <c r="BT175" s="273" t="s">
        <v>2967</v>
      </c>
      <c r="BU175" s="273" t="s">
        <v>1904</v>
      </c>
      <c r="BV175" s="273" t="s">
        <v>11878</v>
      </c>
      <c r="BW175" s="273" t="s">
        <v>4657</v>
      </c>
      <c r="BX175" s="304"/>
      <c r="BY175" s="304"/>
      <c r="BZ175" s="304"/>
      <c r="CA175" s="273" t="s">
        <v>3850</v>
      </c>
      <c r="CB175" s="304"/>
      <c r="CC175" s="304"/>
      <c r="CD175" s="304"/>
      <c r="CE175" s="304"/>
      <c r="CF175" s="841"/>
      <c r="CG175" s="273" t="s">
        <v>10763</v>
      </c>
      <c r="CH175" s="273" t="s">
        <v>489</v>
      </c>
      <c r="CI175" s="304"/>
      <c r="CJ175" s="304"/>
      <c r="CK175" s="304"/>
      <c r="CL175" s="304"/>
      <c r="CM175" s="304"/>
      <c r="CN175" s="273" t="s">
        <v>10712</v>
      </c>
      <c r="CO175" s="273" t="s">
        <v>4981</v>
      </c>
      <c r="CP175" s="304"/>
      <c r="CQ175" s="304"/>
      <c r="CR175" s="304"/>
      <c r="CS175" s="304"/>
      <c r="CT175" s="304"/>
      <c r="CU175" s="62"/>
      <c r="CV175" s="273" t="s">
        <v>6488</v>
      </c>
      <c r="CW175" s="304"/>
      <c r="CX175" s="273" t="s">
        <v>11879</v>
      </c>
      <c r="CY175" s="273" t="s">
        <v>9766</v>
      </c>
      <c r="CZ175" s="273" t="s">
        <v>4886</v>
      </c>
      <c r="DA175" s="273" t="s">
        <v>11758</v>
      </c>
      <c r="DB175" s="273" t="s">
        <v>6530</v>
      </c>
      <c r="DC175" s="273" t="s">
        <v>5047</v>
      </c>
      <c r="DD175" s="304"/>
      <c r="DE175" s="304"/>
      <c r="DF175" s="304"/>
      <c r="DG175" s="304"/>
      <c r="DH175" s="304"/>
      <c r="DI175" s="304"/>
      <c r="DJ175" s="304"/>
      <c r="DK175" s="304"/>
      <c r="DL175" s="304"/>
      <c r="DM175" s="304"/>
      <c r="DN175" s="304"/>
      <c r="DO175" s="304"/>
      <c r="DP175" s="304"/>
      <c r="DQ175" s="304"/>
      <c r="DR175" s="304"/>
      <c r="DS175" s="273" t="s">
        <v>9589</v>
      </c>
      <c r="DT175" s="304"/>
      <c r="DU175" s="304"/>
      <c r="DV175" s="304"/>
      <c r="DW175" s="304"/>
      <c r="DX175" s="304"/>
      <c r="DY175" s="304"/>
      <c r="DZ175" s="304"/>
      <c r="EA175" s="304"/>
      <c r="EB175" s="304"/>
      <c r="EC175" s="304"/>
      <c r="ED175" s="885"/>
    </row>
    <row r="176">
      <c r="A176" s="545" t="s">
        <v>11880</v>
      </c>
      <c r="B176" s="381" t="s">
        <v>11881</v>
      </c>
      <c r="C176" s="384" t="s">
        <v>76</v>
      </c>
      <c r="D176" s="386" t="s">
        <v>155</v>
      </c>
      <c r="E176" s="389" t="s">
        <v>155</v>
      </c>
      <c r="F176" s="390" t="s">
        <v>76</v>
      </c>
      <c r="G176" s="381" t="s">
        <v>1064</v>
      </c>
      <c r="H176" s="2002" t="s">
        <v>9697</v>
      </c>
      <c r="I176" s="2002" t="s">
        <v>2442</v>
      </c>
      <c r="J176" s="2002" t="s">
        <v>11882</v>
      </c>
      <c r="K176" s="2002" t="s">
        <v>3114</v>
      </c>
      <c r="L176" s="2002" t="s">
        <v>618</v>
      </c>
      <c r="M176" s="2010"/>
      <c r="N176" s="2002" t="s">
        <v>11883</v>
      </c>
      <c r="O176" s="2002" t="s">
        <v>8665</v>
      </c>
      <c r="P176" s="2002" t="s">
        <v>4483</v>
      </c>
      <c r="Q176" s="2010"/>
      <c r="R176" s="2010"/>
      <c r="S176" s="2010"/>
      <c r="T176" s="2010"/>
      <c r="U176" s="2010"/>
      <c r="V176" s="2010"/>
      <c r="W176" s="2011"/>
      <c r="X176" s="2012" t="s">
        <v>11884</v>
      </c>
      <c r="Y176" s="2012"/>
      <c r="Z176" s="2013" t="s">
        <v>1292</v>
      </c>
      <c r="AA176" s="2013" t="s">
        <v>3731</v>
      </c>
      <c r="AB176" s="2013" t="s">
        <v>7636</v>
      </c>
      <c r="AC176" s="2012" t="s">
        <v>4416</v>
      </c>
      <c r="AD176" s="2013" t="s">
        <v>11885</v>
      </c>
      <c r="AE176" s="2014"/>
      <c r="AF176" s="2014"/>
      <c r="AG176" s="2013" t="s">
        <v>1235</v>
      </c>
      <c r="AH176" s="2014"/>
      <c r="AI176" s="2014"/>
      <c r="AJ176" s="2014"/>
      <c r="AK176" s="2014"/>
      <c r="AL176" s="2015"/>
      <c r="AM176" s="2016"/>
      <c r="AN176" s="2016"/>
      <c r="AO176" s="2016"/>
      <c r="AP176" s="2016"/>
      <c r="AQ176" s="2016"/>
      <c r="AR176" s="2016"/>
      <c r="AS176" s="2016"/>
      <c r="AT176" s="2016"/>
      <c r="AU176" s="2016"/>
      <c r="AV176" s="2017" t="s">
        <v>765</v>
      </c>
      <c r="AW176" s="2016"/>
      <c r="AX176" s="2016"/>
      <c r="AY176" s="2016"/>
      <c r="AZ176" s="2016"/>
      <c r="BA176" s="2016"/>
      <c r="BB176" s="2018"/>
      <c r="BC176" s="2018"/>
      <c r="BD176" s="2018"/>
      <c r="BE176" s="2018"/>
      <c r="BF176" s="2018"/>
      <c r="BG176" s="2018"/>
      <c r="BH176" s="2018"/>
      <c r="BI176" s="2019" t="s">
        <v>10445</v>
      </c>
      <c r="BJ176" s="2018"/>
      <c r="BK176" s="2018"/>
      <c r="BL176" s="2018"/>
      <c r="BM176" s="2018"/>
      <c r="BN176" s="2018"/>
      <c r="BO176" s="2018"/>
      <c r="BP176" s="2018"/>
      <c r="BQ176" s="2020"/>
      <c r="BR176" s="2021"/>
      <c r="BS176" s="2021"/>
      <c r="BT176" s="2022" t="s">
        <v>2004</v>
      </c>
      <c r="BU176" s="2023" t="s">
        <v>9674</v>
      </c>
      <c r="BV176" s="2021"/>
      <c r="BW176" s="2021"/>
      <c r="BX176" s="2021"/>
      <c r="BY176" s="2021"/>
      <c r="BZ176" s="2021"/>
      <c r="CA176" s="2021"/>
      <c r="CB176" s="2021"/>
      <c r="CC176" s="2021"/>
      <c r="CD176" s="2021"/>
      <c r="CE176" s="2021"/>
      <c r="CF176" s="2024"/>
      <c r="CG176" s="2025"/>
      <c r="CH176" s="2026" t="s">
        <v>11886</v>
      </c>
      <c r="CI176" s="2025"/>
      <c r="CJ176" s="2025"/>
      <c r="CK176" s="2025"/>
      <c r="CL176" s="2025"/>
      <c r="CM176" s="2025"/>
      <c r="CN176" s="2025"/>
      <c r="CO176" s="2025"/>
      <c r="CP176" s="2025"/>
      <c r="CQ176" s="2025"/>
      <c r="CR176" s="2025"/>
      <c r="CS176" s="2025"/>
      <c r="CT176" s="2025"/>
      <c r="CU176" s="2027"/>
      <c r="CV176" s="2028" t="s">
        <v>11195</v>
      </c>
      <c r="CW176" s="2028" t="s">
        <v>9394</v>
      </c>
      <c r="CX176" s="2028" t="s">
        <v>917</v>
      </c>
      <c r="CY176" s="2029"/>
      <c r="CZ176" s="2029"/>
      <c r="DA176" s="2029"/>
      <c r="DB176" s="2028" t="s">
        <v>11887</v>
      </c>
      <c r="DC176" s="2030" t="s">
        <v>6482</v>
      </c>
      <c r="DD176" s="2029"/>
      <c r="DE176" s="2029"/>
      <c r="DF176" s="2029"/>
      <c r="DG176" s="2029"/>
      <c r="DH176" s="2029"/>
      <c r="DI176" s="2031"/>
      <c r="DJ176" s="2031"/>
      <c r="DK176" s="2031"/>
      <c r="DL176" s="2031"/>
      <c r="DM176" s="2032" t="s">
        <v>4548</v>
      </c>
      <c r="DN176" s="2031"/>
      <c r="DO176" s="2031"/>
      <c r="DP176" s="2031"/>
      <c r="DQ176" s="2031"/>
      <c r="DR176" s="2031"/>
      <c r="DS176" s="2031"/>
      <c r="DT176" s="2031"/>
      <c r="DU176" s="2031"/>
      <c r="DV176" s="2031"/>
      <c r="DW176" s="2031"/>
      <c r="DX176" s="2031"/>
      <c r="DY176" s="2031"/>
      <c r="DZ176" s="2031"/>
      <c r="EA176" s="2031"/>
      <c r="EB176" s="2031"/>
      <c r="EC176" s="2031"/>
      <c r="ED176" s="2031"/>
    </row>
    <row r="177">
      <c r="A177" s="228" t="s">
        <v>11888</v>
      </c>
      <c r="B177" s="229" t="s">
        <v>11889</v>
      </c>
      <c r="C177" s="230" t="s">
        <v>155</v>
      </c>
      <c r="D177" s="231" t="s">
        <v>155</v>
      </c>
      <c r="E177" s="232" t="s">
        <v>155</v>
      </c>
      <c r="F177" s="233" t="s">
        <v>156</v>
      </c>
      <c r="G177" s="229" t="s">
        <v>156</v>
      </c>
      <c r="H177" s="304"/>
      <c r="I177" s="304"/>
      <c r="J177" s="304"/>
      <c r="K177" s="304"/>
      <c r="L177" s="301" t="str">
        <f>HYPERLINK("https://clips.twitch.tv/OriginalPlumpLorisPJSugar","43.03")</f>
        <v>43.03</v>
      </c>
      <c r="M177" s="304"/>
      <c r="N177" s="304"/>
      <c r="O177" s="304"/>
      <c r="P177" s="304"/>
      <c r="Q177" s="304"/>
      <c r="R177" s="304"/>
      <c r="S177" s="304"/>
      <c r="T177" s="304"/>
      <c r="U177" s="304"/>
      <c r="V177" s="304"/>
      <c r="W177" s="62"/>
      <c r="X177" s="304"/>
      <c r="Y177" s="304"/>
      <c r="Z177" s="304"/>
      <c r="AA177" s="301" t="str">
        <f>HYPERLINK("https://www.youtube.com/watch?v=V-qmoMPHBq0","14.67")</f>
        <v>14.67</v>
      </c>
      <c r="AB177" s="304"/>
      <c r="AC177" s="304"/>
      <c r="AD177" s="304"/>
      <c r="AE177" s="304"/>
      <c r="AF177" s="304"/>
      <c r="AG177" s="304"/>
      <c r="AH177" s="304"/>
      <c r="AI177" s="304"/>
      <c r="AJ177" s="304"/>
      <c r="AK177" s="304"/>
      <c r="AL177" s="61"/>
      <c r="AM177" s="304"/>
      <c r="AN177" s="304"/>
      <c r="AO177" s="304"/>
      <c r="AP177" s="304"/>
      <c r="AQ177" s="304"/>
      <c r="AR177" s="304"/>
      <c r="AS177" s="304"/>
      <c r="AT177" s="304"/>
      <c r="AU177" s="304"/>
      <c r="AV177" s="304"/>
      <c r="AW177" s="304"/>
      <c r="AX177" s="304"/>
      <c r="AY177" s="304"/>
      <c r="AZ177" s="304"/>
      <c r="BA177" s="304"/>
      <c r="BB177" s="304"/>
      <c r="BC177" s="304"/>
      <c r="BD177" s="304"/>
      <c r="BE177" s="304"/>
      <c r="BF177" s="304"/>
      <c r="BG177" s="304"/>
      <c r="BH177" s="304"/>
      <c r="BI177" s="304"/>
      <c r="BJ177" s="304"/>
      <c r="BK177" s="304"/>
      <c r="BL177" s="304"/>
      <c r="BM177" s="304"/>
      <c r="BN177" s="304"/>
      <c r="BO177" s="304"/>
      <c r="BP177" s="304"/>
      <c r="BQ177" s="841"/>
      <c r="BR177" s="304"/>
      <c r="BS177" s="304"/>
      <c r="BT177" s="304"/>
      <c r="BU177" s="304"/>
      <c r="BV177" s="304"/>
      <c r="BW177" s="304"/>
      <c r="BX177" s="304"/>
      <c r="BY177" s="304"/>
      <c r="BZ177" s="304"/>
      <c r="CA177" s="304"/>
      <c r="CB177" s="304"/>
      <c r="CC177" s="304"/>
      <c r="CD177" s="304"/>
      <c r="CE177" s="304"/>
      <c r="CF177" s="841"/>
      <c r="CG177" s="304"/>
      <c r="CH177" s="304"/>
      <c r="CI177" s="304"/>
      <c r="CJ177" s="304"/>
      <c r="CK177" s="304"/>
      <c r="CL177" s="304"/>
      <c r="CM177" s="304"/>
      <c r="CN177" s="304"/>
      <c r="CO177" s="304"/>
      <c r="CP177" s="304"/>
      <c r="CQ177" s="304"/>
      <c r="CR177" s="304"/>
      <c r="CS177" s="304"/>
      <c r="CT177" s="304"/>
      <c r="CU177" s="62"/>
      <c r="CV177" s="304"/>
      <c r="CW177" s="304"/>
      <c r="CX177" s="304"/>
      <c r="CY177" s="304"/>
      <c r="CZ177" s="304"/>
      <c r="DA177" s="304"/>
      <c r="DB177" s="301" t="str">
        <f>HYPERLINK("https://youtu.be/0cjjEpG5kxE","2:19.23")</f>
        <v>2:19.23</v>
      </c>
      <c r="DC177" s="304"/>
      <c r="DD177" s="304"/>
      <c r="DE177" s="304"/>
      <c r="DF177" s="304"/>
      <c r="DG177" s="304"/>
      <c r="DH177" s="304"/>
      <c r="DI177" s="304"/>
      <c r="DJ177" s="304"/>
      <c r="DK177" s="304"/>
      <c r="DL177" s="304"/>
      <c r="DM177" s="304"/>
      <c r="DN177" s="304"/>
      <c r="DO177" s="304"/>
      <c r="DP177" s="304"/>
      <c r="DQ177" s="304"/>
      <c r="DR177" s="304"/>
      <c r="DS177" s="304"/>
      <c r="DT177" s="304"/>
      <c r="DU177" s="304"/>
      <c r="DV177" s="304"/>
      <c r="DW177" s="273"/>
      <c r="DX177" s="304"/>
      <c r="DY177" s="304"/>
      <c r="DZ177" s="304"/>
      <c r="EA177" s="304"/>
      <c r="EB177" s="304"/>
      <c r="EC177" s="304"/>
      <c r="ED177" s="885"/>
    </row>
    <row r="178">
      <c r="A178" s="2033" t="s">
        <v>6391</v>
      </c>
      <c r="B178" s="381" t="s">
        <v>11890</v>
      </c>
      <c r="C178" s="384" t="s">
        <v>155</v>
      </c>
      <c r="D178" s="386" t="s">
        <v>127</v>
      </c>
      <c r="E178" s="389" t="s">
        <v>155</v>
      </c>
      <c r="F178" s="390" t="s">
        <v>157</v>
      </c>
      <c r="G178" s="381" t="s">
        <v>157</v>
      </c>
      <c r="H178" s="849"/>
      <c r="I178" s="849"/>
      <c r="J178" s="849"/>
      <c r="K178" s="849"/>
      <c r="L178" s="849"/>
      <c r="M178" s="849"/>
      <c r="N178" s="849"/>
      <c r="O178" s="849"/>
      <c r="P178" s="849"/>
      <c r="Q178" s="849"/>
      <c r="R178" s="849"/>
      <c r="S178" s="849"/>
      <c r="T178" s="406" t="s">
        <v>2331</v>
      </c>
      <c r="U178" s="849"/>
      <c r="V178" s="849"/>
      <c r="W178" s="62"/>
      <c r="X178" s="852"/>
      <c r="Y178" s="852"/>
      <c r="Z178" s="852"/>
      <c r="AA178" s="852"/>
      <c r="AB178" s="852"/>
      <c r="AC178" s="852"/>
      <c r="AD178" s="852"/>
      <c r="AE178" s="852"/>
      <c r="AF178" s="852"/>
      <c r="AG178" s="852"/>
      <c r="AH178" s="852"/>
      <c r="AI178" s="413"/>
      <c r="AJ178" s="412" t="str">
        <f>HYPERLINK("https://youtu.be/40JTvUdo60A","1:01.68")</f>
        <v>1:01.68</v>
      </c>
      <c r="AK178" s="852"/>
      <c r="AL178" s="61"/>
      <c r="AM178" s="855"/>
      <c r="AN178" s="855"/>
      <c r="AO178" s="855"/>
      <c r="AP178" s="855"/>
      <c r="AQ178" s="855"/>
      <c r="AR178" s="855"/>
      <c r="AS178" s="855"/>
      <c r="AT178" s="855"/>
      <c r="AU178" s="855"/>
      <c r="AV178" s="855"/>
      <c r="AW178" s="855"/>
      <c r="AX178" s="855"/>
      <c r="AY178" s="855"/>
      <c r="AZ178" s="855"/>
      <c r="BA178" s="855"/>
      <c r="BB178" s="587"/>
      <c r="BC178" s="587"/>
      <c r="BD178" s="587"/>
      <c r="BE178" s="587"/>
      <c r="BF178" s="445" t="s">
        <v>1952</v>
      </c>
      <c r="BG178" s="587"/>
      <c r="BH178" s="587"/>
      <c r="BI178" s="587"/>
      <c r="BJ178" s="587"/>
      <c r="BK178" s="587"/>
      <c r="BL178" s="587"/>
      <c r="BM178" s="587"/>
      <c r="BN178" s="587"/>
      <c r="BO178" s="587"/>
      <c r="BP178" s="587"/>
      <c r="BQ178" s="857"/>
      <c r="BR178" s="859"/>
      <c r="BS178" s="859"/>
      <c r="BT178" s="448" t="s">
        <v>10055</v>
      </c>
      <c r="BU178" s="859"/>
      <c r="BV178" s="859"/>
      <c r="BW178" s="859"/>
      <c r="BX178" s="859"/>
      <c r="BY178" s="859"/>
      <c r="BZ178" s="859"/>
      <c r="CA178" s="859"/>
      <c r="CB178" s="859"/>
      <c r="CC178" s="859"/>
      <c r="CD178" s="859"/>
      <c r="CE178" s="594"/>
      <c r="CF178" s="1011"/>
      <c r="CG178" s="863"/>
      <c r="CH178" s="863"/>
      <c r="CI178" s="863"/>
      <c r="CJ178" s="863"/>
      <c r="CK178" s="863"/>
      <c r="CL178" s="863"/>
      <c r="CM178" s="863"/>
      <c r="CN178" s="863"/>
      <c r="CO178" s="863"/>
      <c r="CP178" s="863"/>
      <c r="CQ178" s="863"/>
      <c r="CR178" s="863"/>
      <c r="CS178" s="863"/>
      <c r="CT178" s="456" t="s">
        <v>11891</v>
      </c>
      <c r="CU178" s="62"/>
      <c r="CV178" s="864"/>
      <c r="CW178" s="864"/>
      <c r="CX178" s="864"/>
      <c r="CY178" s="864"/>
      <c r="CZ178" s="864"/>
      <c r="DA178" s="864"/>
      <c r="DB178" s="823"/>
      <c r="DC178" s="864"/>
      <c r="DD178" s="864"/>
      <c r="DE178" s="864"/>
      <c r="DF178" s="864"/>
      <c r="DG178" s="864"/>
      <c r="DH178" s="864"/>
      <c r="DI178" s="866"/>
      <c r="DJ178" s="866"/>
      <c r="DK178" s="866"/>
      <c r="DL178" s="866"/>
      <c r="DM178" s="866"/>
      <c r="DN178" s="866"/>
      <c r="DO178" s="866"/>
      <c r="DP178" s="866"/>
      <c r="DQ178" s="866"/>
      <c r="DR178" s="866"/>
      <c r="DS178" s="866"/>
      <c r="DT178" s="866"/>
      <c r="DU178" s="866"/>
      <c r="DV178" s="866"/>
      <c r="DW178" s="866"/>
      <c r="DX178" s="866"/>
      <c r="DY178" s="866"/>
      <c r="DZ178" s="866"/>
      <c r="EA178" s="866"/>
      <c r="EB178" s="866"/>
      <c r="EC178" s="866"/>
      <c r="ED178" s="974"/>
    </row>
    <row r="179">
      <c r="A179" s="2034" t="s">
        <v>11892</v>
      </c>
      <c r="B179" s="229" t="s">
        <v>11893</v>
      </c>
      <c r="C179" s="230" t="s">
        <v>155</v>
      </c>
      <c r="D179" s="231" t="s">
        <v>155</v>
      </c>
      <c r="E179" s="232" t="s">
        <v>155</v>
      </c>
      <c r="F179" s="233" t="s">
        <v>306</v>
      </c>
      <c r="G179" s="229" t="s">
        <v>306</v>
      </c>
      <c r="H179" s="333"/>
      <c r="I179" s="274"/>
      <c r="J179" s="333"/>
      <c r="K179" s="333"/>
      <c r="L179" s="333"/>
      <c r="M179" s="333"/>
      <c r="N179" s="333"/>
      <c r="O179" s="333"/>
      <c r="P179" s="242" t="s">
        <v>4483</v>
      </c>
      <c r="Q179" s="304"/>
      <c r="R179" s="304"/>
      <c r="S179" s="304"/>
      <c r="T179" s="304"/>
      <c r="U179" s="304"/>
      <c r="V179" s="304"/>
      <c r="W179" s="62"/>
      <c r="X179" s="242" t="s">
        <v>11894</v>
      </c>
      <c r="Y179" s="333"/>
      <c r="Z179" s="333"/>
      <c r="AA179" s="242" t="s">
        <v>740</v>
      </c>
      <c r="AB179" s="908"/>
      <c r="AC179" s="333"/>
      <c r="AD179" s="333"/>
      <c r="AE179" s="304"/>
      <c r="AF179" s="333"/>
      <c r="AG179" s="242" t="s">
        <v>11895</v>
      </c>
      <c r="AH179" s="304"/>
      <c r="AI179" s="304"/>
      <c r="AJ179" s="333"/>
      <c r="AK179" s="304"/>
      <c r="AL179" s="61"/>
      <c r="AM179" s="333"/>
      <c r="AN179" s="333"/>
      <c r="AO179" s="304"/>
      <c r="AP179" s="304"/>
      <c r="AQ179" s="273"/>
      <c r="AR179" s="273"/>
      <c r="AS179" s="304"/>
      <c r="AT179" s="304"/>
      <c r="AU179" s="242" t="s">
        <v>5015</v>
      </c>
      <c r="AV179" s="333"/>
      <c r="AW179" s="333"/>
      <c r="AX179" s="304"/>
      <c r="AY179" s="304"/>
      <c r="AZ179" s="304"/>
      <c r="BA179" s="304"/>
      <c r="BB179" s="333"/>
      <c r="BC179" s="333"/>
      <c r="BD179" s="333"/>
      <c r="BE179" s="333"/>
      <c r="BF179" s="333"/>
      <c r="BG179" s="333"/>
      <c r="BH179" s="304"/>
      <c r="BI179" s="333"/>
      <c r="BJ179" s="304"/>
      <c r="BK179" s="333"/>
      <c r="BL179" s="333"/>
      <c r="BM179" s="304"/>
      <c r="BN179" s="304"/>
      <c r="BO179" s="333"/>
      <c r="BP179" s="304"/>
      <c r="BQ179" s="841"/>
      <c r="BR179" s="333"/>
      <c r="BS179" s="333"/>
      <c r="BT179" s="333"/>
      <c r="BU179" s="242" t="s">
        <v>9564</v>
      </c>
      <c r="BV179" s="333"/>
      <c r="BW179" s="333"/>
      <c r="BX179" s="304"/>
      <c r="BY179" s="333"/>
      <c r="BZ179" s="333"/>
      <c r="CA179" s="333"/>
      <c r="CB179" s="304"/>
      <c r="CC179" s="304"/>
      <c r="CD179" s="304"/>
      <c r="CE179" s="1797"/>
      <c r="CF179" s="841"/>
      <c r="CG179" s="333"/>
      <c r="CH179" s="333"/>
      <c r="CI179" s="333"/>
      <c r="CJ179" s="333"/>
      <c r="CK179" s="333"/>
      <c r="CL179" s="333"/>
      <c r="CM179" s="333"/>
      <c r="CN179" s="333"/>
      <c r="CO179" s="333"/>
      <c r="CP179" s="768"/>
      <c r="CQ179" s="304"/>
      <c r="CR179" s="304"/>
      <c r="CS179" s="304"/>
      <c r="CT179" s="304"/>
      <c r="CU179" s="62"/>
      <c r="CV179" s="333"/>
      <c r="CW179" s="333"/>
      <c r="CX179" s="333"/>
      <c r="CY179" s="333"/>
      <c r="CZ179" s="333"/>
      <c r="DA179" s="333"/>
      <c r="DB179" s="333"/>
      <c r="DC179" s="333"/>
      <c r="DD179" s="304"/>
      <c r="DE179" s="304"/>
      <c r="DF179" s="304"/>
      <c r="DG179" s="304"/>
      <c r="DH179" s="304"/>
      <c r="DI179" s="333"/>
      <c r="DJ179" s="304"/>
      <c r="DK179" s="304"/>
      <c r="DL179" s="333"/>
      <c r="DM179" s="333"/>
      <c r="DN179" s="333"/>
      <c r="DO179" s="304"/>
      <c r="DP179" s="304"/>
      <c r="DQ179" s="304"/>
      <c r="DR179" s="333"/>
      <c r="DS179" s="333"/>
      <c r="DT179" s="304"/>
      <c r="DU179" s="333"/>
      <c r="DV179" s="304"/>
      <c r="DW179" s="304"/>
      <c r="DX179" s="304"/>
      <c r="DY179" s="304"/>
      <c r="DZ179" s="304"/>
      <c r="EA179" s="333"/>
      <c r="EB179" s="304"/>
      <c r="EC179" s="304"/>
      <c r="ED179" s="885"/>
    </row>
    <row r="180">
      <c r="A180" s="2035" t="s">
        <v>11896</v>
      </c>
      <c r="B180" s="381" t="s">
        <v>11897</v>
      </c>
      <c r="C180" s="384" t="s">
        <v>127</v>
      </c>
      <c r="D180" s="386" t="s">
        <v>76</v>
      </c>
      <c r="E180" s="389" t="s">
        <v>76</v>
      </c>
      <c r="F180" s="390" t="s">
        <v>79</v>
      </c>
      <c r="G180" s="381" t="s">
        <v>79</v>
      </c>
      <c r="H180" s="1711"/>
      <c r="I180" s="1799"/>
      <c r="J180" s="1711"/>
      <c r="K180" s="1711"/>
      <c r="L180" s="1711"/>
      <c r="M180" s="1711"/>
      <c r="N180" s="1711"/>
      <c r="O180" s="1711"/>
      <c r="P180" s="1711"/>
      <c r="Q180" s="849"/>
      <c r="R180" s="849"/>
      <c r="S180" s="849"/>
      <c r="T180" s="849"/>
      <c r="U180" s="849"/>
      <c r="V180" s="849"/>
      <c r="W180" s="62"/>
      <c r="X180" s="421"/>
      <c r="Y180" s="421"/>
      <c r="Z180" s="421"/>
      <c r="AA180" s="421"/>
      <c r="AB180" s="1007"/>
      <c r="AC180" s="421"/>
      <c r="AD180" s="421"/>
      <c r="AE180" s="852"/>
      <c r="AF180" s="421"/>
      <c r="AG180" s="421"/>
      <c r="AH180" s="852"/>
      <c r="AI180" s="852"/>
      <c r="AJ180" s="421"/>
      <c r="AK180" s="852"/>
      <c r="AL180" s="61"/>
      <c r="AM180" s="435"/>
      <c r="AN180" s="435"/>
      <c r="AO180" s="855"/>
      <c r="AP180" s="855"/>
      <c r="AQ180" s="571"/>
      <c r="AR180" s="571"/>
      <c r="AS180" s="573" t="s">
        <v>658</v>
      </c>
      <c r="AT180" s="855"/>
      <c r="AU180" s="435"/>
      <c r="AV180" s="435"/>
      <c r="AW180" s="435"/>
      <c r="AX180" s="855"/>
      <c r="AY180" s="855"/>
      <c r="AZ180" s="855"/>
      <c r="BA180" s="855"/>
      <c r="BB180" s="1645"/>
      <c r="BC180" s="1645"/>
      <c r="BD180" s="1645"/>
      <c r="BE180" s="1645"/>
      <c r="BF180" s="1645"/>
      <c r="BG180" s="1645"/>
      <c r="BH180" s="587"/>
      <c r="BI180" s="1645"/>
      <c r="BJ180" s="587"/>
      <c r="BK180" s="1645"/>
      <c r="BL180" s="1645"/>
      <c r="BM180" s="587"/>
      <c r="BN180" s="587"/>
      <c r="BO180" s="1645"/>
      <c r="BP180" s="587"/>
      <c r="BQ180" s="857"/>
      <c r="BR180" s="451"/>
      <c r="BS180" s="451"/>
      <c r="BT180" s="451"/>
      <c r="BU180" s="451"/>
      <c r="BV180" s="451"/>
      <c r="BW180" s="451"/>
      <c r="BX180" s="859"/>
      <c r="BY180" s="451"/>
      <c r="BZ180" s="451"/>
      <c r="CA180" s="451"/>
      <c r="CB180" s="859"/>
      <c r="CC180" s="859"/>
      <c r="CD180" s="859"/>
      <c r="CE180" s="859"/>
      <c r="CF180" s="861"/>
      <c r="CG180" s="460"/>
      <c r="CH180" s="460"/>
      <c r="CI180" s="460"/>
      <c r="CJ180" s="460"/>
      <c r="CK180" s="460"/>
      <c r="CL180" s="820" t="s">
        <v>11898</v>
      </c>
      <c r="CM180" s="460"/>
      <c r="CN180" s="818" t="s">
        <v>7798</v>
      </c>
      <c r="CO180" s="460"/>
      <c r="CP180" s="1800"/>
      <c r="CQ180" s="863"/>
      <c r="CR180" s="863"/>
      <c r="CS180" s="863"/>
      <c r="CT180" s="863"/>
      <c r="CU180" s="62"/>
      <c r="CV180" s="470"/>
      <c r="CW180" s="933" t="s">
        <v>8288</v>
      </c>
      <c r="CX180" s="470"/>
      <c r="CY180" s="470"/>
      <c r="CZ180" s="470"/>
      <c r="DA180" s="470"/>
      <c r="DB180" s="470"/>
      <c r="DC180" s="470"/>
      <c r="DD180" s="864"/>
      <c r="DE180" s="864"/>
      <c r="DF180" s="864"/>
      <c r="DG180" s="864"/>
      <c r="DH180" s="864"/>
      <c r="DI180" s="709"/>
      <c r="DJ180" s="866"/>
      <c r="DK180" s="866"/>
      <c r="DL180" s="709"/>
      <c r="DM180" s="709"/>
      <c r="DN180" s="709"/>
      <c r="DO180" s="866"/>
      <c r="DP180" s="866"/>
      <c r="DQ180" s="866"/>
      <c r="DR180" s="709"/>
      <c r="DS180" s="709"/>
      <c r="DT180" s="866"/>
      <c r="DU180" s="709"/>
      <c r="DV180" s="866"/>
      <c r="DW180" s="866"/>
      <c r="DX180" s="866"/>
      <c r="DY180" s="866"/>
      <c r="DZ180" s="866"/>
      <c r="EA180" s="709"/>
      <c r="EB180" s="866"/>
      <c r="EC180" s="866"/>
      <c r="ED180" s="974"/>
    </row>
    <row r="181">
      <c r="A181" s="228" t="s">
        <v>11899</v>
      </c>
      <c r="B181" s="229" t="s">
        <v>11900</v>
      </c>
      <c r="C181" s="230" t="s">
        <v>155</v>
      </c>
      <c r="D181" s="231" t="s">
        <v>155</v>
      </c>
      <c r="E181" s="232" t="s">
        <v>155</v>
      </c>
      <c r="F181" s="233" t="s">
        <v>155</v>
      </c>
      <c r="G181" s="229" t="s">
        <v>1508</v>
      </c>
      <c r="H181" s="304"/>
      <c r="I181" s="273" t="s">
        <v>11901</v>
      </c>
      <c r="J181" s="273" t="s">
        <v>3992</v>
      </c>
      <c r="K181" s="273" t="s">
        <v>9361</v>
      </c>
      <c r="L181" s="273" t="s">
        <v>6630</v>
      </c>
      <c r="M181" s="273" t="s">
        <v>11902</v>
      </c>
      <c r="N181" s="304"/>
      <c r="O181" s="273" t="s">
        <v>5284</v>
      </c>
      <c r="P181" s="273" t="s">
        <v>2267</v>
      </c>
      <c r="Q181" s="304"/>
      <c r="R181" s="304"/>
      <c r="S181" s="304"/>
      <c r="T181" s="304"/>
      <c r="U181" s="304"/>
      <c r="V181" s="304"/>
      <c r="W181" s="62"/>
      <c r="X181" s="273" t="s">
        <v>3333</v>
      </c>
      <c r="Y181" s="273"/>
      <c r="Z181" s="273" t="s">
        <v>11458</v>
      </c>
      <c r="AA181" s="273" t="s">
        <v>6440</v>
      </c>
      <c r="AB181" s="273" t="s">
        <v>6578</v>
      </c>
      <c r="AC181" s="273" t="s">
        <v>11903</v>
      </c>
      <c r="AD181" s="273" t="s">
        <v>10763</v>
      </c>
      <c r="AE181" s="304"/>
      <c r="AF181" s="273" t="s">
        <v>11904</v>
      </c>
      <c r="AG181" s="273" t="s">
        <v>3205</v>
      </c>
      <c r="AH181" s="304"/>
      <c r="AI181" s="304"/>
      <c r="AJ181" s="304"/>
      <c r="AK181" s="304"/>
      <c r="AL181" s="61"/>
      <c r="AM181" s="304"/>
      <c r="AN181" s="304"/>
      <c r="AO181" s="304"/>
      <c r="AP181" s="304"/>
      <c r="AQ181" s="304"/>
      <c r="AR181" s="304"/>
      <c r="AS181" s="304"/>
      <c r="AT181" s="304"/>
      <c r="AU181" s="273" t="s">
        <v>4692</v>
      </c>
      <c r="AV181" s="273" t="s">
        <v>5185</v>
      </c>
      <c r="AW181" s="304"/>
      <c r="AX181" s="304"/>
      <c r="AY181" s="304"/>
      <c r="AZ181" s="304"/>
      <c r="BA181" s="304"/>
      <c r="BB181" s="304"/>
      <c r="BC181" s="273" t="s">
        <v>3204</v>
      </c>
      <c r="BD181" s="273" t="s">
        <v>10445</v>
      </c>
      <c r="BE181" s="273" t="s">
        <v>728</v>
      </c>
      <c r="BF181" s="273" t="s">
        <v>6816</v>
      </c>
      <c r="BG181" s="304"/>
      <c r="BH181" s="304"/>
      <c r="BI181" s="273" t="s">
        <v>11905</v>
      </c>
      <c r="BJ181" s="273" t="s">
        <v>11906</v>
      </c>
      <c r="BK181" s="273"/>
      <c r="BL181" s="273" t="s">
        <v>1908</v>
      </c>
      <c r="BM181" s="304"/>
      <c r="BN181" s="304"/>
      <c r="BO181" s="304"/>
      <c r="BP181" s="304"/>
      <c r="BQ181" s="841"/>
      <c r="BR181" s="273"/>
      <c r="BS181" s="304"/>
      <c r="BT181" s="273" t="s">
        <v>11907</v>
      </c>
      <c r="BU181" s="273" t="s">
        <v>8859</v>
      </c>
      <c r="BV181" s="304"/>
      <c r="BW181" s="273" t="s">
        <v>1446</v>
      </c>
      <c r="BX181" s="273" t="s">
        <v>11617</v>
      </c>
      <c r="BY181" s="273" t="s">
        <v>9634</v>
      </c>
      <c r="BZ181" s="304"/>
      <c r="CA181" s="273" t="s">
        <v>6874</v>
      </c>
      <c r="CB181" s="304"/>
      <c r="CC181" s="304"/>
      <c r="CD181" s="304"/>
      <c r="CE181" s="304"/>
      <c r="CF181" s="841"/>
      <c r="CG181" s="273" t="s">
        <v>7652</v>
      </c>
      <c r="CH181" s="273" t="s">
        <v>5258</v>
      </c>
      <c r="CI181" s="273" t="s">
        <v>9463</v>
      </c>
      <c r="CJ181" s="273" t="s">
        <v>9285</v>
      </c>
      <c r="CK181" s="273"/>
      <c r="CL181" s="273" t="s">
        <v>5410</v>
      </c>
      <c r="CM181" s="304"/>
      <c r="CN181" s="273" t="s">
        <v>1123</v>
      </c>
      <c r="CO181" s="273" t="s">
        <v>83</v>
      </c>
      <c r="CP181" s="304"/>
      <c r="CQ181" s="304"/>
      <c r="CR181" s="304"/>
      <c r="CS181" s="304"/>
      <c r="CT181" s="304"/>
      <c r="CU181" s="62"/>
      <c r="CV181" s="273" t="s">
        <v>7210</v>
      </c>
      <c r="CW181" s="273" t="s">
        <v>11908</v>
      </c>
      <c r="CX181" s="273" t="s">
        <v>370</v>
      </c>
      <c r="CY181" s="304"/>
      <c r="CZ181" s="304"/>
      <c r="DA181" s="304"/>
      <c r="DB181" s="273" t="s">
        <v>11909</v>
      </c>
      <c r="DC181" s="273" t="s">
        <v>8131</v>
      </c>
      <c r="DD181" s="304"/>
      <c r="DE181" s="304"/>
      <c r="DF181" s="304"/>
      <c r="DG181" s="304"/>
      <c r="DH181" s="304"/>
      <c r="DI181" s="304"/>
      <c r="DJ181" s="304"/>
      <c r="DK181" s="304"/>
      <c r="DL181" s="304"/>
      <c r="DM181" s="304"/>
      <c r="DN181" s="304"/>
      <c r="DO181" s="304"/>
      <c r="DP181" s="304"/>
      <c r="DQ181" s="304"/>
      <c r="DR181" s="304"/>
      <c r="DS181" s="304"/>
      <c r="DT181" s="304"/>
      <c r="DU181" s="304"/>
      <c r="DV181" s="304"/>
      <c r="DW181" s="304"/>
      <c r="DX181" s="304"/>
      <c r="DY181" s="304"/>
      <c r="DZ181" s="304"/>
      <c r="EA181" s="304"/>
      <c r="EB181" s="304"/>
      <c r="EC181" s="304"/>
      <c r="ED181" s="885"/>
    </row>
    <row r="182">
      <c r="A182" s="545" t="s">
        <v>8968</v>
      </c>
      <c r="B182" s="381" t="s">
        <v>11910</v>
      </c>
      <c r="C182" s="384" t="s">
        <v>155</v>
      </c>
      <c r="D182" s="386" t="s">
        <v>155</v>
      </c>
      <c r="E182" s="389" t="s">
        <v>155</v>
      </c>
      <c r="F182" s="390" t="s">
        <v>155</v>
      </c>
      <c r="G182" s="381" t="s">
        <v>79</v>
      </c>
      <c r="H182" s="849"/>
      <c r="I182" s="849"/>
      <c r="J182" s="849"/>
      <c r="K182" s="849"/>
      <c r="L182" s="547" t="s">
        <v>10042</v>
      </c>
      <c r="M182" s="849"/>
      <c r="N182" s="849"/>
      <c r="O182" s="849"/>
      <c r="P182" s="849"/>
      <c r="Q182" s="849"/>
      <c r="R182" s="849"/>
      <c r="S182" s="849"/>
      <c r="T182" s="849"/>
      <c r="U182" s="849"/>
      <c r="V182" s="849"/>
      <c r="W182" s="62"/>
      <c r="X182" s="852"/>
      <c r="Y182" s="683"/>
      <c r="Z182" s="683" t="s">
        <v>9898</v>
      </c>
      <c r="AA182" s="852"/>
      <c r="AB182" s="852"/>
      <c r="AC182" s="852"/>
      <c r="AD182" s="852"/>
      <c r="AE182" s="852"/>
      <c r="AF182" s="852"/>
      <c r="AG182" s="852"/>
      <c r="AH182" s="852"/>
      <c r="AI182" s="852"/>
      <c r="AJ182" s="852"/>
      <c r="AK182" s="852"/>
      <c r="AL182" s="61"/>
      <c r="AM182" s="855"/>
      <c r="AN182" s="855"/>
      <c r="AO182" s="855"/>
      <c r="AP182" s="855"/>
      <c r="AQ182" s="855"/>
      <c r="AR182" s="855"/>
      <c r="AS182" s="855"/>
      <c r="AT182" s="855"/>
      <c r="AU182" s="855"/>
      <c r="AV182" s="855"/>
      <c r="AW182" s="855"/>
      <c r="AX182" s="855"/>
      <c r="AY182" s="855"/>
      <c r="AZ182" s="855"/>
      <c r="BA182" s="855"/>
      <c r="BB182" s="587"/>
      <c r="BC182" s="587"/>
      <c r="BD182" s="587"/>
      <c r="BE182" s="587"/>
      <c r="BF182" s="587"/>
      <c r="BG182" s="587"/>
      <c r="BH182" s="587"/>
      <c r="BI182" s="587"/>
      <c r="BJ182" s="587"/>
      <c r="BK182" s="587"/>
      <c r="BL182" s="587"/>
      <c r="BM182" s="587"/>
      <c r="BN182" s="587"/>
      <c r="BO182" s="587"/>
      <c r="BP182" s="587"/>
      <c r="BQ182" s="857"/>
      <c r="BR182" s="859"/>
      <c r="BS182" s="859"/>
      <c r="BT182" s="859"/>
      <c r="BU182" s="859"/>
      <c r="BV182" s="859"/>
      <c r="BW182" s="859"/>
      <c r="BX182" s="859"/>
      <c r="BY182" s="859"/>
      <c r="BZ182" s="859"/>
      <c r="CA182" s="859"/>
      <c r="CB182" s="859"/>
      <c r="CC182" s="859"/>
      <c r="CD182" s="859"/>
      <c r="CE182" s="859"/>
      <c r="CF182" s="861"/>
      <c r="CG182" s="863"/>
      <c r="CH182" s="863"/>
      <c r="CI182" s="863"/>
      <c r="CJ182" s="863"/>
      <c r="CK182" s="863"/>
      <c r="CL182" s="863"/>
      <c r="CM182" s="606" t="s">
        <v>11425</v>
      </c>
      <c r="CN182" s="863"/>
      <c r="CO182" s="863"/>
      <c r="CP182" s="863"/>
      <c r="CQ182" s="863"/>
      <c r="CR182" s="863"/>
      <c r="CS182" s="863"/>
      <c r="CT182" s="863"/>
      <c r="CU182" s="62"/>
      <c r="CV182" s="864"/>
      <c r="CW182" s="864"/>
      <c r="CX182" s="864"/>
      <c r="CY182" s="864"/>
      <c r="CZ182" s="864"/>
      <c r="DA182" s="864"/>
      <c r="DB182" s="703" t="s">
        <v>495</v>
      </c>
      <c r="DC182" s="864"/>
      <c r="DD182" s="864"/>
      <c r="DE182" s="864"/>
      <c r="DF182" s="864"/>
      <c r="DG182" s="864"/>
      <c r="DH182" s="864"/>
      <c r="DI182" s="866"/>
      <c r="DJ182" s="866"/>
      <c r="DK182" s="866"/>
      <c r="DL182" s="866"/>
      <c r="DM182" s="866"/>
      <c r="DN182" s="866"/>
      <c r="DO182" s="866"/>
      <c r="DP182" s="866"/>
      <c r="DQ182" s="866"/>
      <c r="DR182" s="866"/>
      <c r="DS182" s="866"/>
      <c r="DT182" s="866"/>
      <c r="DU182" s="866"/>
      <c r="DV182" s="866"/>
      <c r="DW182" s="866"/>
      <c r="DX182" s="866"/>
      <c r="DY182" s="866"/>
      <c r="DZ182" s="866"/>
      <c r="EA182" s="866"/>
      <c r="EB182" s="866"/>
      <c r="EC182" s="866"/>
      <c r="ED182" s="974"/>
    </row>
    <row r="183">
      <c r="A183" s="228" t="s">
        <v>11911</v>
      </c>
      <c r="B183" s="229" t="s">
        <v>11912</v>
      </c>
      <c r="C183" s="230" t="s">
        <v>155</v>
      </c>
      <c r="D183" s="231" t="s">
        <v>155</v>
      </c>
      <c r="E183" s="232" t="s">
        <v>155</v>
      </c>
      <c r="F183" s="233" t="s">
        <v>211</v>
      </c>
      <c r="G183" s="229" t="s">
        <v>3058</v>
      </c>
      <c r="H183" s="273" t="s">
        <v>6416</v>
      </c>
      <c r="I183" s="304"/>
      <c r="J183" s="273" t="s">
        <v>11913</v>
      </c>
      <c r="K183" s="242" t="s">
        <v>10996</v>
      </c>
      <c r="L183" s="522" t="s">
        <v>9970</v>
      </c>
      <c r="M183" s="304"/>
      <c r="N183" s="304"/>
      <c r="O183" s="304"/>
      <c r="P183" s="273" t="s">
        <v>11914</v>
      </c>
      <c r="Q183" s="304"/>
      <c r="R183" s="304"/>
      <c r="S183" s="304"/>
      <c r="T183" s="304"/>
      <c r="U183" s="304"/>
      <c r="V183" s="304"/>
      <c r="W183" s="62"/>
      <c r="X183" s="242" t="s">
        <v>11915</v>
      </c>
      <c r="Y183" s="273"/>
      <c r="Z183" s="273" t="s">
        <v>1182</v>
      </c>
      <c r="AA183" s="242" t="s">
        <v>5390</v>
      </c>
      <c r="AB183" s="304"/>
      <c r="AC183" s="273" t="s">
        <v>11020</v>
      </c>
      <c r="AD183" s="304"/>
      <c r="AE183" s="304"/>
      <c r="AF183" s="304"/>
      <c r="AG183" s="273" t="s">
        <v>2073</v>
      </c>
      <c r="AH183" s="304"/>
      <c r="AI183" s="304"/>
      <c r="AJ183" s="304"/>
      <c r="AK183" s="304"/>
      <c r="AL183" s="61"/>
      <c r="AM183" s="304"/>
      <c r="AN183" s="304"/>
      <c r="AO183" s="304"/>
      <c r="AP183" s="304"/>
      <c r="AQ183" s="304"/>
      <c r="AR183" s="304"/>
      <c r="AS183" s="304"/>
      <c r="AT183" s="304"/>
      <c r="AU183" s="273" t="s">
        <v>5533</v>
      </c>
      <c r="AV183" s="273" t="s">
        <v>11916</v>
      </c>
      <c r="AW183" s="304"/>
      <c r="AX183" s="304"/>
      <c r="AY183" s="304"/>
      <c r="AZ183" s="304"/>
      <c r="BA183" s="304"/>
      <c r="BB183" s="304"/>
      <c r="BC183" s="273" t="s">
        <v>3662</v>
      </c>
      <c r="BD183" s="273" t="s">
        <v>1898</v>
      </c>
      <c r="BE183" s="273" t="s">
        <v>11917</v>
      </c>
      <c r="BF183" s="304"/>
      <c r="BG183" s="273" t="s">
        <v>10749</v>
      </c>
      <c r="BH183" s="273" t="s">
        <v>7671</v>
      </c>
      <c r="BI183" s="273" t="s">
        <v>1466</v>
      </c>
      <c r="BJ183" s="304"/>
      <c r="BK183" s="304"/>
      <c r="BL183" s="304"/>
      <c r="BM183" s="304"/>
      <c r="BN183" s="304"/>
      <c r="BO183" s="304"/>
      <c r="BP183" s="304"/>
      <c r="BQ183" s="841"/>
      <c r="BR183" s="304"/>
      <c r="BS183" s="304"/>
      <c r="BT183" s="304"/>
      <c r="BU183" s="273" t="s">
        <v>9972</v>
      </c>
      <c r="BV183" s="304"/>
      <c r="BW183" s="242" t="s">
        <v>10998</v>
      </c>
      <c r="BX183" s="304"/>
      <c r="BY183" s="304"/>
      <c r="BZ183" s="304"/>
      <c r="CA183" s="242" t="s">
        <v>2072</v>
      </c>
      <c r="CB183" s="304"/>
      <c r="CC183" s="304"/>
      <c r="CD183" s="304"/>
      <c r="CE183" s="304"/>
      <c r="CF183" s="841"/>
      <c r="CG183" s="242" t="s">
        <v>11918</v>
      </c>
      <c r="CH183" s="273" t="s">
        <v>11919</v>
      </c>
      <c r="CI183" s="304"/>
      <c r="CJ183" s="304"/>
      <c r="CK183" s="304"/>
      <c r="CL183" s="304"/>
      <c r="CM183" s="304"/>
      <c r="CN183" s="242" t="s">
        <v>11094</v>
      </c>
      <c r="CO183" s="242" t="s">
        <v>11920</v>
      </c>
      <c r="CP183" s="304"/>
      <c r="CQ183" s="304"/>
      <c r="CR183" s="304"/>
      <c r="CS183" s="304"/>
      <c r="CT183" s="304"/>
      <c r="CU183" s="62"/>
      <c r="CV183" s="333" t="s">
        <v>8431</v>
      </c>
      <c r="CW183" s="273" t="s">
        <v>605</v>
      </c>
      <c r="CX183" s="304"/>
      <c r="CY183" s="304"/>
      <c r="CZ183" s="304"/>
      <c r="DA183" s="304"/>
      <c r="DB183" s="242" t="s">
        <v>11921</v>
      </c>
      <c r="DC183" s="304"/>
      <c r="DD183" s="304"/>
      <c r="DE183" s="304"/>
      <c r="DF183" s="304"/>
      <c r="DG183" s="304"/>
      <c r="DH183" s="304"/>
      <c r="DI183" s="304"/>
      <c r="DJ183" s="304"/>
      <c r="DK183" s="304"/>
      <c r="DL183" s="304"/>
      <c r="DM183" s="304"/>
      <c r="DN183" s="304"/>
      <c r="DO183" s="304"/>
      <c r="DP183" s="304"/>
      <c r="DQ183" s="304"/>
      <c r="DR183" s="304"/>
      <c r="DS183" s="304"/>
      <c r="DT183" s="304"/>
      <c r="DU183" s="304"/>
      <c r="DV183" s="304"/>
      <c r="DW183" s="304"/>
      <c r="DX183" s="304"/>
      <c r="DY183" s="304"/>
      <c r="DZ183" s="304"/>
      <c r="EA183" s="304"/>
      <c r="EB183" s="304"/>
      <c r="EC183" s="304"/>
      <c r="ED183" s="885"/>
    </row>
    <row r="184">
      <c r="A184" s="545" t="s">
        <v>528</v>
      </c>
      <c r="B184" s="381" t="s">
        <v>11922</v>
      </c>
      <c r="C184" s="384" t="s">
        <v>155</v>
      </c>
      <c r="D184" s="386" t="s">
        <v>155</v>
      </c>
      <c r="E184" s="389" t="s">
        <v>76</v>
      </c>
      <c r="F184" s="390" t="s">
        <v>76</v>
      </c>
      <c r="G184" s="381" t="s">
        <v>79</v>
      </c>
      <c r="H184" s="849"/>
      <c r="I184" s="547"/>
      <c r="J184" s="849"/>
      <c r="K184" s="849"/>
      <c r="L184" s="849"/>
      <c r="M184" s="849"/>
      <c r="N184" s="849"/>
      <c r="O184" s="849"/>
      <c r="P184" s="849"/>
      <c r="Q184" s="849"/>
      <c r="R184" s="849"/>
      <c r="S184" s="849"/>
      <c r="T184" s="849"/>
      <c r="U184" s="849"/>
      <c r="V184" s="849"/>
      <c r="W184" s="62"/>
      <c r="X184" s="852"/>
      <c r="Y184" s="413"/>
      <c r="Z184" s="2036" t="s">
        <v>11541</v>
      </c>
      <c r="AA184" s="852"/>
      <c r="AB184" s="852"/>
      <c r="AC184" s="852"/>
      <c r="AD184" s="852"/>
      <c r="AE184" s="852"/>
      <c r="AF184" s="852"/>
      <c r="AG184" s="852"/>
      <c r="AH184" s="852"/>
      <c r="AI184" s="919"/>
      <c r="AJ184" s="919"/>
      <c r="AK184" s="852"/>
      <c r="AL184" s="61"/>
      <c r="AM184" s="855"/>
      <c r="AN184" s="855"/>
      <c r="AO184" s="855"/>
      <c r="AP184" s="855"/>
      <c r="AQ184" s="855"/>
      <c r="AR184" s="855"/>
      <c r="AS184" s="855"/>
      <c r="AT184" s="855"/>
      <c r="AU184" s="855"/>
      <c r="AV184" s="855"/>
      <c r="AW184" s="855"/>
      <c r="AX184" s="855"/>
      <c r="AY184" s="855"/>
      <c r="AZ184" s="855"/>
      <c r="BA184" s="855"/>
      <c r="BB184" s="587"/>
      <c r="BC184" s="587"/>
      <c r="BD184" s="587"/>
      <c r="BE184" s="587"/>
      <c r="BF184" s="587"/>
      <c r="BG184" s="587"/>
      <c r="BH184" s="587"/>
      <c r="BI184" s="587"/>
      <c r="BJ184" s="587"/>
      <c r="BK184" s="587"/>
      <c r="BL184" s="587"/>
      <c r="BM184" s="587"/>
      <c r="BN184" s="587"/>
      <c r="BO184" s="587"/>
      <c r="BP184" s="587"/>
      <c r="BQ184" s="857"/>
      <c r="BR184" s="859"/>
      <c r="BS184" s="859"/>
      <c r="BT184" s="859"/>
      <c r="BU184" s="859"/>
      <c r="BV184" s="859"/>
      <c r="BW184" s="859"/>
      <c r="BX184" s="1010" t="s">
        <v>11923</v>
      </c>
      <c r="BY184" s="859"/>
      <c r="BZ184" s="859"/>
      <c r="CA184" s="859"/>
      <c r="CB184" s="859"/>
      <c r="CC184" s="859"/>
      <c r="CD184" s="859"/>
      <c r="CE184" s="859"/>
      <c r="CF184" s="861"/>
      <c r="CG184" s="863"/>
      <c r="CH184" s="863"/>
      <c r="CI184" s="863"/>
      <c r="CJ184" s="1012" t="s">
        <v>6268</v>
      </c>
      <c r="CK184" s="1012" t="s">
        <v>11924</v>
      </c>
      <c r="CL184" s="904"/>
      <c r="CM184" s="863"/>
      <c r="CN184" s="863"/>
      <c r="CO184" s="863"/>
      <c r="CP184" s="863"/>
      <c r="CQ184" s="863"/>
      <c r="CR184" s="863"/>
      <c r="CS184" s="863"/>
      <c r="CT184" s="904"/>
      <c r="CU184" s="62"/>
      <c r="CV184" s="864"/>
      <c r="CW184" s="864"/>
      <c r="CX184" s="864"/>
      <c r="CY184" s="864"/>
      <c r="CZ184" s="864"/>
      <c r="DA184" s="864"/>
      <c r="DB184" s="864"/>
      <c r="DC184" s="864"/>
      <c r="DD184" s="864"/>
      <c r="DE184" s="864"/>
      <c r="DF184" s="864"/>
      <c r="DG184" s="864"/>
      <c r="DH184" s="864"/>
      <c r="DI184" s="866"/>
      <c r="DJ184" s="866"/>
      <c r="DK184" s="866"/>
      <c r="DL184" s="866"/>
      <c r="DM184" s="866"/>
      <c r="DN184" s="866"/>
      <c r="DO184" s="866"/>
      <c r="DP184" s="866"/>
      <c r="DQ184" s="866"/>
      <c r="DR184" s="866"/>
      <c r="DS184" s="866"/>
      <c r="DT184" s="866"/>
      <c r="DU184" s="866"/>
      <c r="DV184" s="866"/>
      <c r="DW184" s="866"/>
      <c r="DX184" s="866"/>
      <c r="DY184" s="866"/>
      <c r="DZ184" s="866"/>
      <c r="EA184" s="866"/>
      <c r="EB184" s="866"/>
      <c r="EC184" s="866"/>
      <c r="ED184" s="974"/>
    </row>
    <row r="185">
      <c r="A185" s="228" t="s">
        <v>9311</v>
      </c>
      <c r="B185" s="229" t="s">
        <v>11925</v>
      </c>
      <c r="C185" s="230" t="s">
        <v>155</v>
      </c>
      <c r="D185" s="231" t="s">
        <v>155</v>
      </c>
      <c r="E185" s="232" t="s">
        <v>155</v>
      </c>
      <c r="F185" s="233" t="s">
        <v>155</v>
      </c>
      <c r="G185" s="229" t="s">
        <v>2507</v>
      </c>
      <c r="H185" s="273" t="s">
        <v>1844</v>
      </c>
      <c r="I185" s="273" t="s">
        <v>11926</v>
      </c>
      <c r="J185" s="273" t="s">
        <v>2310</v>
      </c>
      <c r="K185" s="273" t="s">
        <v>9518</v>
      </c>
      <c r="L185" s="273" t="s">
        <v>3070</v>
      </c>
      <c r="M185" s="273" t="s">
        <v>11927</v>
      </c>
      <c r="N185" s="273" t="s">
        <v>11928</v>
      </c>
      <c r="O185" s="273" t="s">
        <v>3647</v>
      </c>
      <c r="P185" s="273" t="s">
        <v>1763</v>
      </c>
      <c r="Q185" s="273"/>
      <c r="R185" s="273"/>
      <c r="S185" s="273"/>
      <c r="T185" s="273"/>
      <c r="U185" s="273"/>
      <c r="V185" s="273"/>
      <c r="W185" s="62"/>
      <c r="X185" s="273" t="s">
        <v>11929</v>
      </c>
      <c r="Y185" s="273"/>
      <c r="Z185" s="273" t="s">
        <v>11181</v>
      </c>
      <c r="AA185" s="273" t="s">
        <v>2670</v>
      </c>
      <c r="AB185" s="273" t="s">
        <v>9540</v>
      </c>
      <c r="AC185" s="273" t="s">
        <v>11635</v>
      </c>
      <c r="AD185" s="273" t="s">
        <v>11930</v>
      </c>
      <c r="AE185" s="273" t="s">
        <v>10402</v>
      </c>
      <c r="AF185" s="273" t="s">
        <v>11931</v>
      </c>
      <c r="AG185" s="273" t="s">
        <v>1235</v>
      </c>
      <c r="AH185" s="273"/>
      <c r="AI185" s="273"/>
      <c r="AJ185" s="273"/>
      <c r="AK185" s="273"/>
      <c r="AL185" s="61"/>
      <c r="AM185" s="273"/>
      <c r="AN185" s="273"/>
      <c r="AO185" s="273"/>
      <c r="AP185" s="273"/>
      <c r="AQ185" s="273"/>
      <c r="AR185" s="273"/>
      <c r="AS185" s="273"/>
      <c r="AT185" s="273"/>
      <c r="AU185" s="273" t="s">
        <v>11932</v>
      </c>
      <c r="AV185" s="273" t="s">
        <v>2198</v>
      </c>
      <c r="AW185" s="273"/>
      <c r="AX185" s="273"/>
      <c r="AY185" s="273"/>
      <c r="AZ185" s="273"/>
      <c r="BA185" s="273"/>
      <c r="BB185" s="273" t="s">
        <v>8352</v>
      </c>
      <c r="BC185" s="273" t="s">
        <v>10487</v>
      </c>
      <c r="BD185" s="273" t="s">
        <v>5808</v>
      </c>
      <c r="BE185" s="273" t="s">
        <v>11933</v>
      </c>
      <c r="BF185" s="273" t="s">
        <v>11934</v>
      </c>
      <c r="BG185" s="273" t="s">
        <v>6158</v>
      </c>
      <c r="BH185" s="273" t="s">
        <v>2732</v>
      </c>
      <c r="BI185" s="273" t="s">
        <v>3939</v>
      </c>
      <c r="BJ185" s="304"/>
      <c r="BK185" s="304"/>
      <c r="BL185" s="304"/>
      <c r="BM185" s="273"/>
      <c r="BN185" s="273"/>
      <c r="BO185" s="273"/>
      <c r="BP185" s="273"/>
      <c r="BQ185" s="312"/>
      <c r="BR185" s="273"/>
      <c r="BS185" s="304"/>
      <c r="BT185" s="1706" t="s">
        <v>9156</v>
      </c>
      <c r="BU185" s="273" t="s">
        <v>11935</v>
      </c>
      <c r="BV185" s="1706"/>
      <c r="BW185" s="273" t="s">
        <v>11146</v>
      </c>
      <c r="BX185" s="273"/>
      <c r="BY185" s="304"/>
      <c r="BZ185" s="304"/>
      <c r="CA185" s="304"/>
      <c r="CB185" s="304"/>
      <c r="CC185" s="304"/>
      <c r="CD185" s="304"/>
      <c r="CE185" s="304"/>
      <c r="CF185" s="841"/>
      <c r="CG185" s="304"/>
      <c r="CH185" s="304"/>
      <c r="CI185" s="304"/>
      <c r="CJ185" s="304"/>
      <c r="CK185" s="304"/>
      <c r="CL185" s="304"/>
      <c r="CM185" s="304"/>
      <c r="CN185" s="304"/>
      <c r="CO185" s="304"/>
      <c r="CP185" s="304"/>
      <c r="CQ185" s="304"/>
      <c r="CR185" s="304"/>
      <c r="CS185" s="304"/>
      <c r="CT185" s="304"/>
      <c r="CU185" s="62"/>
      <c r="CV185" s="273" t="s">
        <v>9697</v>
      </c>
      <c r="CW185" s="273" t="s">
        <v>5079</v>
      </c>
      <c r="CX185" s="273" t="s">
        <v>3774</v>
      </c>
      <c r="CY185" s="304"/>
      <c r="CZ185" s="273" t="s">
        <v>8707</v>
      </c>
      <c r="DA185" s="304"/>
      <c r="DB185" s="304"/>
      <c r="DC185" s="304"/>
      <c r="DD185" s="304"/>
      <c r="DE185" s="304"/>
      <c r="DF185" s="304"/>
      <c r="DG185" s="304"/>
      <c r="DH185" s="304"/>
      <c r="DI185" s="273" t="s">
        <v>9909</v>
      </c>
      <c r="DJ185" s="304"/>
      <c r="DK185" s="304"/>
      <c r="DL185" s="304"/>
      <c r="DM185" s="304"/>
      <c r="DN185" s="304"/>
      <c r="DO185" s="304"/>
      <c r="DP185" s="304"/>
      <c r="DQ185" s="304"/>
      <c r="DR185" s="273" t="s">
        <v>11936</v>
      </c>
      <c r="DS185" s="273"/>
      <c r="DT185" s="1706"/>
      <c r="DU185" s="304"/>
      <c r="DV185" s="304"/>
      <c r="DW185" s="304"/>
      <c r="DX185" s="304"/>
      <c r="DY185" s="304"/>
      <c r="DZ185" s="304"/>
      <c r="EA185" s="304"/>
      <c r="EB185" s="304"/>
      <c r="EC185" s="304"/>
      <c r="ED185" s="885"/>
    </row>
    <row r="186">
      <c r="A186" s="545" t="s">
        <v>11937</v>
      </c>
      <c r="B186" s="381" t="s">
        <v>11938</v>
      </c>
      <c r="C186" s="384" t="s">
        <v>155</v>
      </c>
      <c r="D186" s="386" t="s">
        <v>155</v>
      </c>
      <c r="E186" s="389" t="s">
        <v>155</v>
      </c>
      <c r="F186" s="390" t="s">
        <v>155</v>
      </c>
      <c r="G186" s="381" t="s">
        <v>263</v>
      </c>
      <c r="H186" s="849"/>
      <c r="I186" s="547" t="s">
        <v>11939</v>
      </c>
      <c r="J186" s="547" t="s">
        <v>829</v>
      </c>
      <c r="K186" s="547" t="s">
        <v>3467</v>
      </c>
      <c r="L186" s="547" t="s">
        <v>5465</v>
      </c>
      <c r="M186" s="547" t="s">
        <v>11940</v>
      </c>
      <c r="N186" s="849"/>
      <c r="O186" s="547" t="s">
        <v>10079</v>
      </c>
      <c r="P186" s="547" t="s">
        <v>3205</v>
      </c>
      <c r="Q186" s="849"/>
      <c r="R186" s="849"/>
      <c r="S186" s="849"/>
      <c r="T186" s="849"/>
      <c r="U186" s="849"/>
      <c r="V186" s="849"/>
      <c r="W186" s="62"/>
      <c r="X186" s="683" t="s">
        <v>682</v>
      </c>
      <c r="Y186" s="683"/>
      <c r="Z186" s="683" t="s">
        <v>10096</v>
      </c>
      <c r="AA186" s="683" t="s">
        <v>1358</v>
      </c>
      <c r="AB186" s="852"/>
      <c r="AC186" s="683" t="s">
        <v>11941</v>
      </c>
      <c r="AD186" s="852"/>
      <c r="AE186" s="852"/>
      <c r="AF186" s="852"/>
      <c r="AG186" s="683" t="s">
        <v>5075</v>
      </c>
      <c r="AH186" s="852"/>
      <c r="AI186" s="852"/>
      <c r="AJ186" s="852"/>
      <c r="AK186" s="852"/>
      <c r="AL186" s="61"/>
      <c r="AM186" s="855"/>
      <c r="AN186" s="855"/>
      <c r="AO186" s="855"/>
      <c r="AP186" s="855"/>
      <c r="AQ186" s="855"/>
      <c r="AR186" s="855"/>
      <c r="AS186" s="855"/>
      <c r="AT186" s="855"/>
      <c r="AU186" s="571" t="s">
        <v>10502</v>
      </c>
      <c r="AV186" s="571" t="s">
        <v>8907</v>
      </c>
      <c r="AW186" s="855"/>
      <c r="AX186" s="855"/>
      <c r="AY186" s="855"/>
      <c r="AZ186" s="855"/>
      <c r="BA186" s="855"/>
      <c r="BB186" s="589" t="s">
        <v>8962</v>
      </c>
      <c r="BC186" s="589" t="s">
        <v>6378</v>
      </c>
      <c r="BD186" s="587"/>
      <c r="BE186" s="589" t="s">
        <v>343</v>
      </c>
      <c r="BF186" s="587"/>
      <c r="BG186" s="587"/>
      <c r="BH186" s="587"/>
      <c r="BI186" s="589" t="s">
        <v>1303</v>
      </c>
      <c r="BJ186" s="587"/>
      <c r="BK186" s="589" t="s">
        <v>11942</v>
      </c>
      <c r="BL186" s="589" t="s">
        <v>762</v>
      </c>
      <c r="BM186" s="587"/>
      <c r="BN186" s="587"/>
      <c r="BO186" s="587"/>
      <c r="BP186" s="587"/>
      <c r="BQ186" s="857"/>
      <c r="BR186" s="859"/>
      <c r="BS186" s="859"/>
      <c r="BT186" s="859"/>
      <c r="BU186" s="594" t="s">
        <v>3034</v>
      </c>
      <c r="BV186" s="859"/>
      <c r="BW186" s="859"/>
      <c r="BX186" s="859"/>
      <c r="BY186" s="594" t="s">
        <v>11943</v>
      </c>
      <c r="BZ186" s="594" t="s">
        <v>2816</v>
      </c>
      <c r="CA186" s="594" t="s">
        <v>10239</v>
      </c>
      <c r="CB186" s="859"/>
      <c r="CC186" s="859"/>
      <c r="CD186" s="859"/>
      <c r="CE186" s="859"/>
      <c r="CF186" s="861"/>
      <c r="CG186" s="606" t="s">
        <v>5228</v>
      </c>
      <c r="CH186" s="606" t="s">
        <v>10042</v>
      </c>
      <c r="CI186" s="606" t="s">
        <v>2676</v>
      </c>
      <c r="CJ186" s="606" t="s">
        <v>11944</v>
      </c>
      <c r="CK186" s="606"/>
      <c r="CL186" s="606"/>
      <c r="CM186" s="863"/>
      <c r="CN186" s="606" t="s">
        <v>3334</v>
      </c>
      <c r="CO186" s="606" t="s">
        <v>11862</v>
      </c>
      <c r="CP186" s="863"/>
      <c r="CQ186" s="863"/>
      <c r="CR186" s="863"/>
      <c r="CS186" s="863"/>
      <c r="CT186" s="863"/>
      <c r="CU186" s="62"/>
      <c r="CV186" s="703" t="s">
        <v>11086</v>
      </c>
      <c r="CW186" s="703" t="s">
        <v>6028</v>
      </c>
      <c r="CX186" s="703" t="s">
        <v>3964</v>
      </c>
      <c r="CY186" s="703" t="s">
        <v>11945</v>
      </c>
      <c r="CZ186" s="703" t="s">
        <v>9306</v>
      </c>
      <c r="DA186" s="864"/>
      <c r="DB186" s="703" t="s">
        <v>11946</v>
      </c>
      <c r="DC186" s="703" t="s">
        <v>206</v>
      </c>
      <c r="DD186" s="864"/>
      <c r="DE186" s="864"/>
      <c r="DF186" s="864"/>
      <c r="DG186" s="864"/>
      <c r="DH186" s="864"/>
      <c r="DI186" s="866"/>
      <c r="DJ186" s="866"/>
      <c r="DK186" s="866"/>
      <c r="DL186" s="866"/>
      <c r="DM186" s="866"/>
      <c r="DN186" s="866"/>
      <c r="DO186" s="866"/>
      <c r="DP186" s="866"/>
      <c r="DQ186" s="866"/>
      <c r="DR186" s="707" t="s">
        <v>9198</v>
      </c>
      <c r="DS186" s="707"/>
      <c r="DT186" s="866"/>
      <c r="DU186" s="866"/>
      <c r="DV186" s="866"/>
      <c r="DW186" s="866"/>
      <c r="DX186" s="866"/>
      <c r="DY186" s="866"/>
      <c r="DZ186" s="866"/>
      <c r="EA186" s="866"/>
      <c r="EB186" s="866"/>
      <c r="EC186" s="866"/>
      <c r="ED186" s="974"/>
    </row>
    <row r="187">
      <c r="A187" s="2037" t="s">
        <v>11947</v>
      </c>
      <c r="B187" s="229" t="s">
        <v>11948</v>
      </c>
      <c r="C187" s="230" t="s">
        <v>155</v>
      </c>
      <c r="D187" s="231" t="s">
        <v>155</v>
      </c>
      <c r="E187" s="232" t="s">
        <v>155</v>
      </c>
      <c r="F187" s="233" t="s">
        <v>155</v>
      </c>
      <c r="G187" s="229" t="s">
        <v>3612</v>
      </c>
      <c r="H187" s="273" t="s">
        <v>11949</v>
      </c>
      <c r="I187" s="273" t="s">
        <v>11950</v>
      </c>
      <c r="J187" s="273" t="s">
        <v>5313</v>
      </c>
      <c r="K187" s="273" t="s">
        <v>87</v>
      </c>
      <c r="L187" s="273" t="s">
        <v>11951</v>
      </c>
      <c r="M187" s="304"/>
      <c r="N187" s="304"/>
      <c r="O187" s="304"/>
      <c r="P187" s="273" t="s">
        <v>4610</v>
      </c>
      <c r="Q187" s="304"/>
      <c r="R187" s="304"/>
      <c r="S187" s="304"/>
      <c r="T187" s="304"/>
      <c r="U187" s="304"/>
      <c r="V187" s="304"/>
      <c r="W187" s="62"/>
      <c r="X187" s="304"/>
      <c r="Y187" s="304"/>
      <c r="Z187" s="304"/>
      <c r="AA187" s="273" t="s">
        <v>934</v>
      </c>
      <c r="AB187" s="304"/>
      <c r="AC187" s="304"/>
      <c r="AD187" s="304"/>
      <c r="AE187" s="304"/>
      <c r="AF187" s="304"/>
      <c r="AG187" s="273" t="s">
        <v>3328</v>
      </c>
      <c r="AH187" s="304"/>
      <c r="AI187" s="304"/>
      <c r="AJ187" s="304"/>
      <c r="AK187" s="304"/>
      <c r="AL187" s="61"/>
      <c r="AM187" s="304"/>
      <c r="AN187" s="304"/>
      <c r="AO187" s="304"/>
      <c r="AP187" s="304"/>
      <c r="AQ187" s="304"/>
      <c r="AR187" s="304"/>
      <c r="AS187" s="304"/>
      <c r="AT187" s="304"/>
      <c r="AU187" s="304"/>
      <c r="AV187" s="273" t="s">
        <v>11328</v>
      </c>
      <c r="AW187" s="304"/>
      <c r="AX187" s="304"/>
      <c r="AY187" s="304"/>
      <c r="AZ187" s="304"/>
      <c r="BA187" s="304"/>
      <c r="BB187" s="304"/>
      <c r="BC187" s="304"/>
      <c r="BD187" s="273"/>
      <c r="BE187" s="304"/>
      <c r="BF187" s="304"/>
      <c r="BG187" s="304"/>
      <c r="BH187" s="304"/>
      <c r="BI187" s="304"/>
      <c r="BJ187" s="304"/>
      <c r="BK187" s="304"/>
      <c r="BL187" s="304"/>
      <c r="BM187" s="304"/>
      <c r="BN187" s="304"/>
      <c r="BO187" s="304"/>
      <c r="BP187" s="304"/>
      <c r="BQ187" s="841"/>
      <c r="BR187" s="304"/>
      <c r="BS187" s="304"/>
      <c r="BT187" s="304"/>
      <c r="BU187" s="273" t="s">
        <v>11496</v>
      </c>
      <c r="BV187" s="304"/>
      <c r="BW187" s="304"/>
      <c r="BX187" s="304"/>
      <c r="BY187" s="304"/>
      <c r="BZ187" s="304"/>
      <c r="CA187" s="304"/>
      <c r="CB187" s="304"/>
      <c r="CC187" s="304"/>
      <c r="CD187" s="304"/>
      <c r="CE187" s="304"/>
      <c r="CF187" s="841"/>
      <c r="CG187" s="304"/>
      <c r="CH187" s="273" t="s">
        <v>9484</v>
      </c>
      <c r="CI187" s="304"/>
      <c r="CJ187" s="304"/>
      <c r="CK187" s="304"/>
      <c r="CL187" s="304" t="s">
        <v>5410</v>
      </c>
      <c r="CM187" s="304"/>
      <c r="CN187" s="304"/>
      <c r="CO187" s="273" t="s">
        <v>5061</v>
      </c>
      <c r="CP187" s="304"/>
      <c r="CQ187" s="304"/>
      <c r="CR187" s="304"/>
      <c r="CS187" s="304"/>
      <c r="CT187" s="304"/>
      <c r="CU187" s="62"/>
      <c r="CV187" s="304"/>
      <c r="CW187" s="273" t="s">
        <v>1139</v>
      </c>
      <c r="CX187" s="304"/>
      <c r="CY187" s="304"/>
      <c r="CZ187" s="304"/>
      <c r="DA187" s="304"/>
      <c r="DB187" s="304"/>
      <c r="DC187" s="304"/>
      <c r="DD187" s="304"/>
      <c r="DE187" s="304"/>
      <c r="DF187" s="304"/>
      <c r="DG187" s="304"/>
      <c r="DH187" s="304"/>
      <c r="DI187" s="304"/>
      <c r="DJ187" s="304"/>
      <c r="DK187" s="304"/>
      <c r="DL187" s="304"/>
      <c r="DM187" s="304"/>
      <c r="DN187" s="304"/>
      <c r="DO187" s="304"/>
      <c r="DP187" s="304"/>
      <c r="DQ187" s="304"/>
      <c r="DR187" s="304"/>
      <c r="DS187" s="304"/>
      <c r="DT187" s="304"/>
      <c r="DU187" s="304"/>
      <c r="DV187" s="304"/>
      <c r="DW187" s="304"/>
      <c r="DX187" s="304"/>
      <c r="DY187" s="304"/>
      <c r="DZ187" s="304"/>
      <c r="EA187" s="304"/>
      <c r="EB187" s="304"/>
      <c r="EC187" s="304"/>
      <c r="ED187" s="1639"/>
    </row>
    <row r="188">
      <c r="A188" s="545" t="s">
        <v>3942</v>
      </c>
      <c r="B188" s="381" t="s">
        <v>11952</v>
      </c>
      <c r="C188" s="384" t="s">
        <v>155</v>
      </c>
      <c r="D188" s="386" t="s">
        <v>155</v>
      </c>
      <c r="E188" s="389" t="s">
        <v>155</v>
      </c>
      <c r="F188" s="390" t="s">
        <v>155</v>
      </c>
      <c r="G188" s="381" t="s">
        <v>157</v>
      </c>
      <c r="H188" s="849"/>
      <c r="I188" s="849"/>
      <c r="J188" s="849"/>
      <c r="K188" s="547" t="s">
        <v>726</v>
      </c>
      <c r="L188" s="849"/>
      <c r="M188" s="849"/>
      <c r="N188" s="849"/>
      <c r="O188" s="547" t="s">
        <v>1234</v>
      </c>
      <c r="P188" s="849"/>
      <c r="Q188" s="849"/>
      <c r="R188" s="849"/>
      <c r="S188" s="849"/>
      <c r="T188" s="849"/>
      <c r="U188" s="849"/>
      <c r="V188" s="849"/>
      <c r="W188" s="62"/>
      <c r="X188" s="683" t="s">
        <v>3851</v>
      </c>
      <c r="Y188" s="852"/>
      <c r="Z188" s="852"/>
      <c r="AA188" s="683" t="s">
        <v>10917</v>
      </c>
      <c r="AB188" s="852"/>
      <c r="AC188" s="683" t="s">
        <v>10848</v>
      </c>
      <c r="AD188" s="852"/>
      <c r="AE188" s="852"/>
      <c r="AF188" s="852"/>
      <c r="AG188" s="852"/>
      <c r="AH188" s="852"/>
      <c r="AI188" s="852"/>
      <c r="AJ188" s="852"/>
      <c r="AK188" s="852"/>
      <c r="AL188" s="61"/>
      <c r="AM188" s="855"/>
      <c r="AN188" s="855"/>
      <c r="AO188" s="855"/>
      <c r="AP188" s="855"/>
      <c r="AQ188" s="855"/>
      <c r="AR188" s="855"/>
      <c r="AS188" s="855"/>
      <c r="AT188" s="855"/>
      <c r="AU188" s="855"/>
      <c r="AV188" s="855"/>
      <c r="AW188" s="855"/>
      <c r="AX188" s="855"/>
      <c r="AY188" s="855"/>
      <c r="AZ188" s="855"/>
      <c r="BA188" s="855"/>
      <c r="BB188" s="587"/>
      <c r="BC188" s="587"/>
      <c r="BD188" s="587"/>
      <c r="BE188" s="587"/>
      <c r="BF188" s="587"/>
      <c r="BG188" s="587"/>
      <c r="BH188" s="587"/>
      <c r="BI188" s="587"/>
      <c r="BJ188" s="587"/>
      <c r="BK188" s="587"/>
      <c r="BL188" s="587"/>
      <c r="BM188" s="587"/>
      <c r="BN188" s="587"/>
      <c r="BO188" s="587"/>
      <c r="BP188" s="587"/>
      <c r="BQ188" s="857"/>
      <c r="BR188" s="859"/>
      <c r="BS188" s="859"/>
      <c r="BT188" s="859"/>
      <c r="BU188" s="859"/>
      <c r="BV188" s="859"/>
      <c r="BW188" s="859"/>
      <c r="BX188" s="859"/>
      <c r="BY188" s="859"/>
      <c r="BZ188" s="859"/>
      <c r="CA188" s="859"/>
      <c r="CB188" s="859"/>
      <c r="CC188" s="859"/>
      <c r="CD188" s="859"/>
      <c r="CE188" s="859"/>
      <c r="CF188" s="861"/>
      <c r="CG188" s="863"/>
      <c r="CH188" s="863"/>
      <c r="CI188" s="863"/>
      <c r="CJ188" s="863"/>
      <c r="CK188" s="863"/>
      <c r="CL188" s="863"/>
      <c r="CM188" s="863"/>
      <c r="CN188" s="863"/>
      <c r="CO188" s="863"/>
      <c r="CP188" s="863"/>
      <c r="CQ188" s="863"/>
      <c r="CR188" s="863"/>
      <c r="CS188" s="863"/>
      <c r="CT188" s="863"/>
      <c r="CU188" s="62"/>
      <c r="CV188" s="864"/>
      <c r="CW188" s="864"/>
      <c r="CX188" s="864"/>
      <c r="CY188" s="864"/>
      <c r="CZ188" s="864"/>
      <c r="DA188" s="864"/>
      <c r="DB188" s="864"/>
      <c r="DC188" s="864"/>
      <c r="DD188" s="864"/>
      <c r="DE188" s="864"/>
      <c r="DF188" s="864"/>
      <c r="DG188" s="864"/>
      <c r="DH188" s="864"/>
      <c r="DI188" s="866"/>
      <c r="DJ188" s="866"/>
      <c r="DK188" s="866"/>
      <c r="DL188" s="866"/>
      <c r="DM188" s="866"/>
      <c r="DN188" s="866"/>
      <c r="DO188" s="866"/>
      <c r="DP188" s="866"/>
      <c r="DQ188" s="866"/>
      <c r="DR188" s="866"/>
      <c r="DS188" s="866"/>
      <c r="DT188" s="866"/>
      <c r="DU188" s="866"/>
      <c r="DV188" s="866"/>
      <c r="DW188" s="866"/>
      <c r="DX188" s="866"/>
      <c r="DY188" s="866"/>
      <c r="DZ188" s="866"/>
      <c r="EA188" s="866"/>
      <c r="EB188" s="866"/>
      <c r="EC188" s="866"/>
      <c r="ED188" s="974"/>
    </row>
    <row r="189">
      <c r="A189" s="2038" t="s">
        <v>11953</v>
      </c>
      <c r="B189" s="229" t="s">
        <v>11954</v>
      </c>
      <c r="C189" s="230" t="s">
        <v>156</v>
      </c>
      <c r="D189" s="231" t="s">
        <v>155</v>
      </c>
      <c r="E189" s="232" t="s">
        <v>155</v>
      </c>
      <c r="F189" s="233" t="s">
        <v>156</v>
      </c>
      <c r="G189" s="229" t="s">
        <v>156</v>
      </c>
      <c r="H189" s="304"/>
      <c r="I189" s="304"/>
      <c r="J189" s="304"/>
      <c r="K189" s="304"/>
      <c r="L189" s="304"/>
      <c r="M189" s="304"/>
      <c r="N189" s="304"/>
      <c r="O189" s="304"/>
      <c r="P189" s="304"/>
      <c r="Q189" s="304"/>
      <c r="R189" s="304"/>
      <c r="S189" s="304"/>
      <c r="T189" s="304"/>
      <c r="U189" s="304"/>
      <c r="V189" s="304"/>
      <c r="W189" s="62"/>
      <c r="X189" s="304"/>
      <c r="Y189" s="304"/>
      <c r="Z189" s="304"/>
      <c r="AA189" s="304"/>
      <c r="AB189" s="304"/>
      <c r="AC189" s="304"/>
      <c r="AD189" s="304"/>
      <c r="AE189" s="304"/>
      <c r="AF189" s="304"/>
      <c r="AG189" s="304"/>
      <c r="AH189" s="304"/>
      <c r="AI189" s="304"/>
      <c r="AJ189" s="304"/>
      <c r="AK189" s="304"/>
      <c r="AL189" s="61"/>
      <c r="AM189" s="304"/>
      <c r="AN189" s="304"/>
      <c r="AO189" s="304"/>
      <c r="AP189" s="304"/>
      <c r="AQ189" s="304"/>
      <c r="AR189" s="304"/>
      <c r="AS189" s="236" t="s">
        <v>11955</v>
      </c>
      <c r="AT189" s="304"/>
      <c r="AU189" s="304"/>
      <c r="AV189" s="304"/>
      <c r="AW189" s="304"/>
      <c r="AX189" s="304"/>
      <c r="AY189" s="304"/>
      <c r="AZ189" s="304"/>
      <c r="BA189" s="304"/>
      <c r="BB189" s="304"/>
      <c r="BC189" s="304"/>
      <c r="BD189" s="304"/>
      <c r="BE189" s="304"/>
      <c r="BF189" s="304"/>
      <c r="BG189" s="304"/>
      <c r="BH189" s="304"/>
      <c r="BI189" s="304"/>
      <c r="BJ189" s="304"/>
      <c r="BK189" s="304"/>
      <c r="BL189" s="304"/>
      <c r="BM189" s="304"/>
      <c r="BN189" s="304"/>
      <c r="BO189" s="304"/>
      <c r="BP189" s="304"/>
      <c r="BQ189" s="841"/>
      <c r="BR189" s="304"/>
      <c r="BS189" s="304"/>
      <c r="BT189" s="304"/>
      <c r="BU189" s="304"/>
      <c r="BV189" s="304"/>
      <c r="BW189" s="236" t="s">
        <v>5062</v>
      </c>
      <c r="BX189" s="304"/>
      <c r="BY189" s="304"/>
      <c r="BZ189" s="304"/>
      <c r="CA189" s="273"/>
      <c r="CB189" s="304"/>
      <c r="CC189" s="304"/>
      <c r="CD189" s="236" t="s">
        <v>2547</v>
      </c>
      <c r="CE189" s="304"/>
      <c r="CF189" s="841"/>
      <c r="CG189" s="304"/>
      <c r="CH189" s="304"/>
      <c r="CI189" s="304"/>
      <c r="CJ189" s="304"/>
      <c r="CK189" s="304"/>
      <c r="CL189" s="304"/>
      <c r="CM189" s="304"/>
      <c r="CN189" s="304"/>
      <c r="CO189" s="304"/>
      <c r="CP189" s="304"/>
      <c r="CQ189" s="304"/>
      <c r="CR189" s="304"/>
      <c r="CS189" s="304"/>
      <c r="CT189" s="304"/>
      <c r="CU189" s="62"/>
      <c r="CV189" s="304"/>
      <c r="CW189" s="304"/>
      <c r="CX189" s="304"/>
      <c r="CY189" s="304"/>
      <c r="CZ189" s="304"/>
      <c r="DA189" s="304"/>
      <c r="DB189" s="304"/>
      <c r="DC189" s="304"/>
      <c r="DD189" s="304"/>
      <c r="DE189" s="304"/>
      <c r="DF189" s="304"/>
      <c r="DG189" s="304"/>
      <c r="DH189" s="304"/>
      <c r="DI189" s="304"/>
      <c r="DJ189" s="304"/>
      <c r="DK189" s="304"/>
      <c r="DL189" s="304"/>
      <c r="DM189" s="304"/>
      <c r="DN189" s="304"/>
      <c r="DO189" s="304"/>
      <c r="DP189" s="304"/>
      <c r="DQ189" s="304"/>
      <c r="DR189" s="304"/>
      <c r="DS189" s="304"/>
      <c r="DT189" s="304"/>
      <c r="DU189" s="304"/>
      <c r="DV189" s="304"/>
      <c r="DW189" s="304"/>
      <c r="DX189" s="304"/>
      <c r="DY189" s="304"/>
      <c r="DZ189" s="304"/>
      <c r="EA189" s="304"/>
      <c r="EB189" s="304"/>
      <c r="EC189" s="304"/>
      <c r="ED189" s="885"/>
    </row>
    <row r="190">
      <c r="A190" s="2039" t="s">
        <v>11956</v>
      </c>
      <c r="B190" s="381" t="s">
        <v>11957</v>
      </c>
      <c r="C190" s="384" t="s">
        <v>155</v>
      </c>
      <c r="D190" s="386" t="s">
        <v>155</v>
      </c>
      <c r="E190" s="389" t="s">
        <v>155</v>
      </c>
      <c r="F190" s="390" t="s">
        <v>155</v>
      </c>
      <c r="G190" s="381" t="s">
        <v>74</v>
      </c>
      <c r="H190" s="1711"/>
      <c r="I190" s="1799"/>
      <c r="J190" s="1711" t="s">
        <v>888</v>
      </c>
      <c r="K190" s="1711" t="s">
        <v>11662</v>
      </c>
      <c r="L190" s="1711" t="s">
        <v>5567</v>
      </c>
      <c r="M190" s="1711"/>
      <c r="N190" s="1711"/>
      <c r="O190" s="1711"/>
      <c r="P190" s="1711"/>
      <c r="Q190" s="849"/>
      <c r="R190" s="849"/>
      <c r="S190" s="849"/>
      <c r="T190" s="849"/>
      <c r="U190" s="849"/>
      <c r="V190" s="849"/>
      <c r="W190" s="62"/>
      <c r="X190" s="421" t="s">
        <v>6602</v>
      </c>
      <c r="Y190" s="421"/>
      <c r="Z190" s="421"/>
      <c r="AA190" s="421" t="s">
        <v>5905</v>
      </c>
      <c r="AB190" s="1007" t="s">
        <v>4422</v>
      </c>
      <c r="AC190" s="421" t="s">
        <v>8375</v>
      </c>
      <c r="AD190" s="421" t="s">
        <v>11196</v>
      </c>
      <c r="AE190" s="852"/>
      <c r="AF190" s="421" t="s">
        <v>11958</v>
      </c>
      <c r="AG190" s="421"/>
      <c r="AH190" s="852"/>
      <c r="AI190" s="852"/>
      <c r="AJ190" s="421"/>
      <c r="AK190" s="852"/>
      <c r="AL190" s="61"/>
      <c r="AM190" s="435"/>
      <c r="AN190" s="435"/>
      <c r="AO190" s="855"/>
      <c r="AP190" s="855"/>
      <c r="AQ190" s="571"/>
      <c r="AR190" s="571"/>
      <c r="AS190" s="855"/>
      <c r="AT190" s="855"/>
      <c r="AU190" s="435"/>
      <c r="AV190" s="435"/>
      <c r="AW190" s="435"/>
      <c r="AX190" s="855"/>
      <c r="AY190" s="855"/>
      <c r="AZ190" s="855"/>
      <c r="BA190" s="855"/>
      <c r="BB190" s="1645"/>
      <c r="BC190" s="1645"/>
      <c r="BD190" s="1645"/>
      <c r="BE190" s="1645"/>
      <c r="BF190" s="1645"/>
      <c r="BG190" s="1645"/>
      <c r="BH190" s="587"/>
      <c r="BI190" s="1645" t="s">
        <v>9955</v>
      </c>
      <c r="BJ190" s="587"/>
      <c r="BK190" s="1645"/>
      <c r="BL190" s="1645" t="s">
        <v>9934</v>
      </c>
      <c r="BM190" s="587"/>
      <c r="BN190" s="587"/>
      <c r="BO190" s="1645"/>
      <c r="BP190" s="587"/>
      <c r="BQ190" s="857"/>
      <c r="BR190" s="451"/>
      <c r="BS190" s="451" t="s">
        <v>6289</v>
      </c>
      <c r="BT190" s="451" t="s">
        <v>10262</v>
      </c>
      <c r="BU190" s="451"/>
      <c r="BV190" s="451" t="s">
        <v>11959</v>
      </c>
      <c r="BW190" s="451" t="s">
        <v>11496</v>
      </c>
      <c r="BX190" s="859"/>
      <c r="BY190" s="451"/>
      <c r="BZ190" s="451"/>
      <c r="CA190" s="451"/>
      <c r="CB190" s="859"/>
      <c r="CC190" s="859"/>
      <c r="CD190" s="859"/>
      <c r="CE190" s="859"/>
      <c r="CF190" s="861"/>
      <c r="CG190" s="460"/>
      <c r="CH190" s="460"/>
      <c r="CI190" s="460"/>
      <c r="CJ190" s="460" t="s">
        <v>1501</v>
      </c>
      <c r="CK190" s="460" t="s">
        <v>9124</v>
      </c>
      <c r="CL190" s="460"/>
      <c r="CM190" s="460"/>
      <c r="CN190" s="460"/>
      <c r="CO190" s="460" t="s">
        <v>9814</v>
      </c>
      <c r="CP190" s="1800"/>
      <c r="CQ190" s="863"/>
      <c r="CR190" s="863"/>
      <c r="CS190" s="863"/>
      <c r="CT190" s="863"/>
      <c r="CU190" s="62"/>
      <c r="CV190" s="470"/>
      <c r="CW190" s="470"/>
      <c r="CX190" s="470"/>
      <c r="CY190" s="470"/>
      <c r="CZ190" s="470"/>
      <c r="DA190" s="470"/>
      <c r="DB190" s="470"/>
      <c r="DC190" s="470"/>
      <c r="DD190" s="864"/>
      <c r="DE190" s="864"/>
      <c r="DF190" s="864"/>
      <c r="DG190" s="864"/>
      <c r="DH190" s="864"/>
      <c r="DI190" s="709"/>
      <c r="DJ190" s="866"/>
      <c r="DK190" s="866"/>
      <c r="DL190" s="709"/>
      <c r="DM190" s="709"/>
      <c r="DN190" s="709"/>
      <c r="DO190" s="866"/>
      <c r="DP190" s="866"/>
      <c r="DQ190" s="866"/>
      <c r="DR190" s="709"/>
      <c r="DS190" s="709" t="s">
        <v>9884</v>
      </c>
      <c r="DT190" s="866"/>
      <c r="DU190" s="709"/>
      <c r="DV190" s="866"/>
      <c r="DW190" s="866"/>
      <c r="DX190" s="866"/>
      <c r="DY190" s="866"/>
      <c r="DZ190" s="866"/>
      <c r="EA190" s="709"/>
      <c r="EB190" s="866"/>
      <c r="EC190" s="866"/>
      <c r="ED190" s="974"/>
    </row>
    <row r="191">
      <c r="A191" s="2040" t="s">
        <v>11960</v>
      </c>
      <c r="B191" s="229" t="s">
        <v>11961</v>
      </c>
      <c r="C191" s="230" t="s">
        <v>155</v>
      </c>
      <c r="D191" s="231" t="s">
        <v>155</v>
      </c>
      <c r="E191" s="232" t="s">
        <v>155</v>
      </c>
      <c r="F191" s="233" t="s">
        <v>127</v>
      </c>
      <c r="G191" s="229" t="s">
        <v>127</v>
      </c>
      <c r="H191" s="304"/>
      <c r="I191" s="242" t="s">
        <v>11962</v>
      </c>
      <c r="J191" s="304"/>
      <c r="K191" s="242" t="s">
        <v>767</v>
      </c>
      <c r="L191" s="304"/>
      <c r="M191" s="304"/>
      <c r="N191" s="304"/>
      <c r="O191" s="304"/>
      <c r="P191" s="304"/>
      <c r="Q191" s="304"/>
      <c r="R191" s="304"/>
      <c r="S191" s="304"/>
      <c r="T191" s="304"/>
      <c r="U191" s="304"/>
      <c r="V191" s="304"/>
      <c r="W191" s="62"/>
      <c r="X191" s="304"/>
      <c r="Y191" s="304"/>
      <c r="Z191" s="304"/>
      <c r="AA191" s="304"/>
      <c r="AB191" s="304"/>
      <c r="AC191" s="304"/>
      <c r="AD191" s="304"/>
      <c r="AE191" s="304"/>
      <c r="AF191" s="304"/>
      <c r="AG191" s="304"/>
      <c r="AH191" s="304"/>
      <c r="AI191" s="304"/>
      <c r="AJ191" s="304"/>
      <c r="AK191" s="304"/>
      <c r="AL191" s="61"/>
      <c r="AM191" s="304"/>
      <c r="AN191" s="304"/>
      <c r="AO191" s="304"/>
      <c r="AP191" s="304"/>
      <c r="AQ191" s="304"/>
      <c r="AR191" s="304"/>
      <c r="AS191" s="304"/>
      <c r="AT191" s="304"/>
      <c r="AU191" s="304"/>
      <c r="AV191" s="304"/>
      <c r="AW191" s="304"/>
      <c r="AX191" s="304"/>
      <c r="AY191" s="304"/>
      <c r="AZ191" s="304"/>
      <c r="BA191" s="304"/>
      <c r="BB191" s="304"/>
      <c r="BC191" s="304"/>
      <c r="BD191" s="304"/>
      <c r="BE191" s="304"/>
      <c r="BF191" s="304"/>
      <c r="BG191" s="304"/>
      <c r="BH191" s="304"/>
      <c r="BI191" s="304"/>
      <c r="BJ191" s="304"/>
      <c r="BK191" s="304"/>
      <c r="BL191" s="304"/>
      <c r="BM191" s="304"/>
      <c r="BN191" s="304"/>
      <c r="BO191" s="304"/>
      <c r="BP191" s="304"/>
      <c r="BQ191" s="841"/>
      <c r="BR191" s="304"/>
      <c r="BS191" s="304"/>
      <c r="BT191" s="304"/>
      <c r="BU191" s="304"/>
      <c r="BV191" s="304"/>
      <c r="BW191" s="304"/>
      <c r="BX191" s="304"/>
      <c r="BY191" s="304"/>
      <c r="BZ191" s="304"/>
      <c r="CA191" s="304"/>
      <c r="CB191" s="304"/>
      <c r="CC191" s="304"/>
      <c r="CD191" s="304"/>
      <c r="CE191" s="304"/>
      <c r="CF191" s="841"/>
      <c r="CG191" s="304"/>
      <c r="CH191" s="304"/>
      <c r="CI191" s="304"/>
      <c r="CJ191" s="304"/>
      <c r="CK191" s="304"/>
      <c r="CL191" s="304"/>
      <c r="CM191" s="304"/>
      <c r="CN191" s="304"/>
      <c r="CO191" s="304"/>
      <c r="CP191" s="304"/>
      <c r="CQ191" s="304"/>
      <c r="CR191" s="304"/>
      <c r="CS191" s="304"/>
      <c r="CT191" s="304"/>
      <c r="CU191" s="62"/>
      <c r="CV191" s="304"/>
      <c r="CW191" s="304"/>
      <c r="CX191" s="304"/>
      <c r="CY191" s="304"/>
      <c r="CZ191" s="304"/>
      <c r="DA191" s="304"/>
      <c r="DB191" s="304"/>
      <c r="DC191" s="304"/>
      <c r="DD191" s="304"/>
      <c r="DE191" s="304"/>
      <c r="DF191" s="304"/>
      <c r="DG191" s="304"/>
      <c r="DH191" s="304"/>
      <c r="DI191" s="304"/>
      <c r="DJ191" s="304"/>
      <c r="DK191" s="304"/>
      <c r="DL191" s="304"/>
      <c r="DM191" s="304"/>
      <c r="DN191" s="304"/>
      <c r="DO191" s="304"/>
      <c r="DP191" s="304"/>
      <c r="DQ191" s="304"/>
      <c r="DR191" s="304"/>
      <c r="DS191" s="304"/>
      <c r="DT191" s="304"/>
      <c r="DU191" s="304"/>
      <c r="DV191" s="304"/>
      <c r="DW191" s="304"/>
      <c r="DX191" s="304"/>
      <c r="DY191" s="304"/>
      <c r="DZ191" s="304"/>
      <c r="EA191" s="304"/>
      <c r="EB191" s="304"/>
      <c r="EC191" s="304"/>
      <c r="ED191" s="1639"/>
    </row>
    <row r="192">
      <c r="A192" s="545" t="s">
        <v>11963</v>
      </c>
      <c r="B192" s="381" t="s">
        <v>11964</v>
      </c>
      <c r="C192" s="384" t="s">
        <v>155</v>
      </c>
      <c r="D192" s="386" t="s">
        <v>155</v>
      </c>
      <c r="E192" s="389" t="s">
        <v>155</v>
      </c>
      <c r="F192" s="390" t="s">
        <v>127</v>
      </c>
      <c r="G192" s="381" t="s">
        <v>127</v>
      </c>
      <c r="H192" s="849"/>
      <c r="I192" s="849"/>
      <c r="J192" s="849"/>
      <c r="K192" s="849"/>
      <c r="L192" s="849"/>
      <c r="M192" s="849"/>
      <c r="N192" s="849"/>
      <c r="O192" s="849"/>
      <c r="P192" s="849"/>
      <c r="Q192" s="849"/>
      <c r="R192" s="849"/>
      <c r="S192" s="849"/>
      <c r="T192" s="849"/>
      <c r="U192" s="849"/>
      <c r="V192" s="849"/>
      <c r="W192" s="62"/>
      <c r="X192" s="852"/>
      <c r="Y192" s="852"/>
      <c r="Z192" s="852"/>
      <c r="AA192" s="852"/>
      <c r="AB192" s="852"/>
      <c r="AC192" s="852"/>
      <c r="AD192" s="852"/>
      <c r="AE192" s="852"/>
      <c r="AF192" s="852"/>
      <c r="AG192" s="852"/>
      <c r="AH192" s="852"/>
      <c r="AI192" s="852"/>
      <c r="AJ192" s="852"/>
      <c r="AK192" s="852"/>
      <c r="AL192" s="61"/>
      <c r="AM192" s="855"/>
      <c r="AN192" s="855"/>
      <c r="AO192" s="855"/>
      <c r="AP192" s="855"/>
      <c r="AQ192" s="855"/>
      <c r="AR192" s="855"/>
      <c r="AS192" s="855"/>
      <c r="AT192" s="855"/>
      <c r="AU192" s="855"/>
      <c r="AV192" s="855"/>
      <c r="AW192" s="855"/>
      <c r="AX192" s="855"/>
      <c r="AY192" s="855"/>
      <c r="AZ192" s="855"/>
      <c r="BA192" s="855"/>
      <c r="BB192" s="587"/>
      <c r="BC192" s="587"/>
      <c r="BD192" s="587"/>
      <c r="BE192" s="587"/>
      <c r="BF192" s="587"/>
      <c r="BG192" s="587"/>
      <c r="BH192" s="587"/>
      <c r="BI192" s="436" t="str">
        <f>HYPERLINK("https://www.youtube.com/watch?v=KgpRNy13aD8","27.21")</f>
        <v>27.21</v>
      </c>
      <c r="BJ192" s="587"/>
      <c r="BK192" s="587"/>
      <c r="BL192" s="587"/>
      <c r="BM192" s="587"/>
      <c r="BN192" s="587"/>
      <c r="BO192" s="587"/>
      <c r="BP192" s="587"/>
      <c r="BQ192" s="857"/>
      <c r="BR192" s="859"/>
      <c r="BS192" s="859"/>
      <c r="BT192" s="447" t="str">
        <f>HYPERLINK("https://www.youtube.com/watch?v=ikxqzHaz7sE","35.16")</f>
        <v>35.16</v>
      </c>
      <c r="BU192" s="859"/>
      <c r="BV192" s="859"/>
      <c r="BW192" s="859"/>
      <c r="BX192" s="859"/>
      <c r="BY192" s="859"/>
      <c r="BZ192" s="859"/>
      <c r="CA192" s="859"/>
      <c r="CB192" s="859"/>
      <c r="CC192" s="859"/>
      <c r="CD192" s="859"/>
      <c r="CE192" s="859"/>
      <c r="CF192" s="861"/>
      <c r="CG192" s="863"/>
      <c r="CH192" s="863"/>
      <c r="CI192" s="863"/>
      <c r="CJ192" s="863"/>
      <c r="CK192" s="863"/>
      <c r="CL192" s="863"/>
      <c r="CM192" s="863"/>
      <c r="CN192" s="863"/>
      <c r="CO192" s="863"/>
      <c r="CP192" s="863"/>
      <c r="CQ192" s="863"/>
      <c r="CR192" s="863"/>
      <c r="CS192" s="863"/>
      <c r="CT192" s="863"/>
      <c r="CU192" s="62"/>
      <c r="CV192" s="864"/>
      <c r="CW192" s="864"/>
      <c r="CX192" s="864"/>
      <c r="CY192" s="864"/>
      <c r="CZ192" s="864"/>
      <c r="DA192" s="864"/>
      <c r="DB192" s="864"/>
      <c r="DC192" s="864"/>
      <c r="DD192" s="864"/>
      <c r="DE192" s="864"/>
      <c r="DF192" s="864"/>
      <c r="DG192" s="864"/>
      <c r="DH192" s="864"/>
      <c r="DI192" s="866"/>
      <c r="DJ192" s="866"/>
      <c r="DK192" s="866"/>
      <c r="DL192" s="866"/>
      <c r="DM192" s="866"/>
      <c r="DN192" s="866"/>
      <c r="DO192" s="866"/>
      <c r="DP192" s="866"/>
      <c r="DQ192" s="866"/>
      <c r="DR192" s="866"/>
      <c r="DS192" s="866"/>
      <c r="DT192" s="866"/>
      <c r="DU192" s="866"/>
      <c r="DV192" s="866"/>
      <c r="DW192" s="866"/>
      <c r="DX192" s="866"/>
      <c r="DY192" s="866"/>
      <c r="DZ192" s="866"/>
      <c r="EA192" s="866"/>
      <c r="EB192" s="866"/>
      <c r="EC192" s="866"/>
      <c r="ED192" s="974"/>
    </row>
    <row r="193">
      <c r="A193" s="2041" t="s">
        <v>4009</v>
      </c>
      <c r="B193" s="229" t="s">
        <v>11965</v>
      </c>
      <c r="C193" s="230" t="s">
        <v>155</v>
      </c>
      <c r="D193" s="231" t="s">
        <v>155</v>
      </c>
      <c r="E193" s="232" t="s">
        <v>155</v>
      </c>
      <c r="F193" s="233" t="s">
        <v>76</v>
      </c>
      <c r="G193" s="229" t="s">
        <v>1492</v>
      </c>
      <c r="H193" s="333"/>
      <c r="I193" s="274" t="s">
        <v>9301</v>
      </c>
      <c r="J193" s="333" t="s">
        <v>428</v>
      </c>
      <c r="K193" s="242" t="s">
        <v>2506</v>
      </c>
      <c r="L193" s="333" t="s">
        <v>6192</v>
      </c>
      <c r="M193" s="333"/>
      <c r="N193" s="333"/>
      <c r="O193" s="333" t="s">
        <v>9794</v>
      </c>
      <c r="P193" s="333" t="s">
        <v>4912</v>
      </c>
      <c r="Q193" s="304"/>
      <c r="R193" s="304"/>
      <c r="S193" s="304"/>
      <c r="T193" s="304"/>
      <c r="U193" s="304"/>
      <c r="V193" s="304"/>
      <c r="W193" s="62"/>
      <c r="X193" s="333" t="s">
        <v>10668</v>
      </c>
      <c r="Y193" s="333"/>
      <c r="Z193" s="333"/>
      <c r="AA193" s="333"/>
      <c r="AB193" s="908" t="s">
        <v>11966</v>
      </c>
      <c r="AC193" s="333" t="s">
        <v>9470</v>
      </c>
      <c r="AD193" s="333"/>
      <c r="AE193" s="304"/>
      <c r="AF193" s="333"/>
      <c r="AG193" s="333" t="s">
        <v>4483</v>
      </c>
      <c r="AH193" s="304"/>
      <c r="AI193" s="304"/>
      <c r="AJ193" s="333"/>
      <c r="AK193" s="304"/>
      <c r="AL193" s="61"/>
      <c r="AM193" s="333"/>
      <c r="AN193" s="333" t="s">
        <v>9860</v>
      </c>
      <c r="AO193" s="304"/>
      <c r="AP193" s="304"/>
      <c r="AQ193" s="273"/>
      <c r="AR193" s="273"/>
      <c r="AS193" s="304"/>
      <c r="AT193" s="304"/>
      <c r="AU193" s="333" t="s">
        <v>4607</v>
      </c>
      <c r="AV193" s="333" t="s">
        <v>9471</v>
      </c>
      <c r="AW193" s="333"/>
      <c r="AX193" s="304"/>
      <c r="AY193" s="304"/>
      <c r="AZ193" s="304"/>
      <c r="BA193" s="304"/>
      <c r="BB193" s="333"/>
      <c r="BC193" s="333"/>
      <c r="BD193" s="333" t="s">
        <v>5247</v>
      </c>
      <c r="BE193" s="333" t="s">
        <v>4293</v>
      </c>
      <c r="BF193" s="333"/>
      <c r="BG193" s="333"/>
      <c r="BH193" s="304"/>
      <c r="BI193" s="333"/>
      <c r="BJ193" s="304"/>
      <c r="BK193" s="333"/>
      <c r="BL193" s="333"/>
      <c r="BM193" s="304"/>
      <c r="BN193" s="304"/>
      <c r="BO193" s="333"/>
      <c r="BP193" s="304"/>
      <c r="BQ193" s="841"/>
      <c r="BR193" s="333"/>
      <c r="BS193" s="333"/>
      <c r="BT193" s="333"/>
      <c r="BU193" s="333"/>
      <c r="BV193" s="333"/>
      <c r="BW193" s="333"/>
      <c r="BX193" s="304"/>
      <c r="BY193" s="333"/>
      <c r="BZ193" s="333"/>
      <c r="CA193" s="333"/>
      <c r="CB193" s="304"/>
      <c r="CC193" s="304"/>
      <c r="CD193" s="304"/>
      <c r="CE193" s="304"/>
      <c r="CF193" s="841"/>
      <c r="CG193" s="333"/>
      <c r="CH193" s="333"/>
      <c r="CI193" s="333"/>
      <c r="CJ193" s="333"/>
      <c r="CK193" s="333"/>
      <c r="CL193" s="333"/>
      <c r="CM193" s="333"/>
      <c r="CN193" s="333"/>
      <c r="CO193" s="333"/>
      <c r="CP193" s="768"/>
      <c r="CQ193" s="304"/>
      <c r="CR193" s="304"/>
      <c r="CS193" s="304"/>
      <c r="CT193" s="304"/>
      <c r="CU193" s="62"/>
      <c r="CV193" s="333"/>
      <c r="CW193" s="333"/>
      <c r="CX193" s="333" t="s">
        <v>10778</v>
      </c>
      <c r="CY193" s="333"/>
      <c r="CZ193" s="333"/>
      <c r="DA193" s="333"/>
      <c r="DB193" s="333"/>
      <c r="DC193" s="333" t="s">
        <v>11967</v>
      </c>
      <c r="DD193" s="304"/>
      <c r="DE193" s="304"/>
      <c r="DF193" s="304"/>
      <c r="DG193" s="304"/>
      <c r="DH193" s="304"/>
      <c r="DI193" s="333"/>
      <c r="DJ193" s="304"/>
      <c r="DK193" s="304"/>
      <c r="DL193" s="333"/>
      <c r="DM193" s="333"/>
      <c r="DN193" s="333"/>
      <c r="DO193" s="304"/>
      <c r="DP193" s="304"/>
      <c r="DQ193" s="304"/>
      <c r="DR193" s="333"/>
      <c r="DS193" s="333"/>
      <c r="DT193" s="304"/>
      <c r="DU193" s="333"/>
      <c r="DV193" s="304"/>
      <c r="DW193" s="304"/>
      <c r="DX193" s="304"/>
      <c r="DY193" s="304"/>
      <c r="DZ193" s="304"/>
      <c r="EA193" s="333"/>
      <c r="EB193" s="304"/>
      <c r="EC193" s="304"/>
      <c r="ED193" s="885"/>
    </row>
    <row r="194">
      <c r="A194" s="545" t="s">
        <v>11968</v>
      </c>
      <c r="B194" s="381" t="s">
        <v>3089</v>
      </c>
      <c r="C194" s="384" t="s">
        <v>155</v>
      </c>
      <c r="D194" s="386" t="s">
        <v>155</v>
      </c>
      <c r="E194" s="389" t="s">
        <v>155</v>
      </c>
      <c r="F194" s="390" t="s">
        <v>76</v>
      </c>
      <c r="G194" s="381" t="s">
        <v>156</v>
      </c>
      <c r="H194" s="849"/>
      <c r="I194" s="849"/>
      <c r="J194" s="787"/>
      <c r="K194" s="787"/>
      <c r="L194" s="787"/>
      <c r="M194" s="849"/>
      <c r="N194" s="849"/>
      <c r="O194" s="547"/>
      <c r="P194" s="547"/>
      <c r="Q194" s="849"/>
      <c r="R194" s="849"/>
      <c r="S194" s="849"/>
      <c r="T194" s="849"/>
      <c r="U194" s="849"/>
      <c r="V194" s="849"/>
      <c r="W194" s="62"/>
      <c r="X194" s="852"/>
      <c r="Y194" s="683"/>
      <c r="Z194" s="683"/>
      <c r="AA194" s="683"/>
      <c r="AB194" s="919"/>
      <c r="AC194" s="919"/>
      <c r="AD194" s="683"/>
      <c r="AE194" s="852"/>
      <c r="AF194" s="852"/>
      <c r="AG194" s="852"/>
      <c r="AH194" s="852"/>
      <c r="AI194" s="852"/>
      <c r="AJ194" s="852"/>
      <c r="AK194" s="852"/>
      <c r="AL194" s="61"/>
      <c r="AM194" s="855"/>
      <c r="AN194" s="855"/>
      <c r="AO194" s="855"/>
      <c r="AP194" s="855"/>
      <c r="AQ194" s="855"/>
      <c r="AR194" s="855"/>
      <c r="AS194" s="855"/>
      <c r="AT194" s="855"/>
      <c r="AU194" s="571"/>
      <c r="AV194" s="574"/>
      <c r="AW194" s="855"/>
      <c r="AX194" s="855"/>
      <c r="AY194" s="855"/>
      <c r="AZ194" s="855"/>
      <c r="BA194" s="855"/>
      <c r="BB194" s="1222"/>
      <c r="BC194" s="587"/>
      <c r="BD194" s="589"/>
      <c r="BE194" s="1222"/>
      <c r="BF194" s="589"/>
      <c r="BG194" s="587"/>
      <c r="BH194" s="587"/>
      <c r="BI194" s="589"/>
      <c r="BJ194" s="587"/>
      <c r="BK194" s="589" t="s">
        <v>11969</v>
      </c>
      <c r="BL194" s="589"/>
      <c r="BM194" s="587"/>
      <c r="BN194" s="587"/>
      <c r="BO194" s="587"/>
      <c r="BP194" s="587"/>
      <c r="BQ194" s="857"/>
      <c r="BR194" s="859"/>
      <c r="BS194" s="859"/>
      <c r="BT194" s="594"/>
      <c r="BU194" s="859"/>
      <c r="BV194" s="859"/>
      <c r="BW194" s="595"/>
      <c r="BX194" s="859"/>
      <c r="BY194" s="595"/>
      <c r="BZ194" s="594"/>
      <c r="CA194" s="859"/>
      <c r="CB194" s="859"/>
      <c r="CC194" s="594"/>
      <c r="CD194" s="859"/>
      <c r="CE194" s="594"/>
      <c r="CF194" s="1011"/>
      <c r="CG194" s="606"/>
      <c r="CH194" s="606"/>
      <c r="CI194" s="606" t="s">
        <v>10757</v>
      </c>
      <c r="CJ194" s="863"/>
      <c r="CK194" s="863"/>
      <c r="CL194" s="863"/>
      <c r="CM194" s="904"/>
      <c r="CN194" s="904"/>
      <c r="CO194" s="863"/>
      <c r="CP194" s="863"/>
      <c r="CQ194" s="863"/>
      <c r="CR194" s="863"/>
      <c r="CS194" s="863"/>
      <c r="CT194" s="606"/>
      <c r="CU194" s="62"/>
      <c r="CV194" s="703"/>
      <c r="CW194" s="864"/>
      <c r="CX194" s="823"/>
      <c r="CY194" s="703"/>
      <c r="CZ194" s="703"/>
      <c r="DA194" s="703"/>
      <c r="DB194" s="466" t="s">
        <v>9754</v>
      </c>
      <c r="DC194" s="703"/>
      <c r="DD194" s="864"/>
      <c r="DE194" s="864"/>
      <c r="DF194" s="703"/>
      <c r="DG194" s="864"/>
      <c r="DH194" s="864"/>
      <c r="DI194" s="707"/>
      <c r="DJ194" s="866"/>
      <c r="DK194" s="866"/>
      <c r="DL194" s="866"/>
      <c r="DM194" s="866"/>
      <c r="DN194" s="866"/>
      <c r="DO194" s="866"/>
      <c r="DP194" s="866"/>
      <c r="DQ194" s="866"/>
      <c r="DR194" s="866"/>
      <c r="DS194" s="866"/>
      <c r="DT194" s="866"/>
      <c r="DU194" s="866"/>
      <c r="DV194" s="866"/>
      <c r="DW194" s="866"/>
      <c r="DX194" s="866"/>
      <c r="DY194" s="866"/>
      <c r="DZ194" s="866"/>
      <c r="EA194" s="866"/>
      <c r="EB194" s="866"/>
      <c r="EC194" s="866"/>
      <c r="ED194" s="974"/>
    </row>
    <row r="195">
      <c r="A195" s="228" t="s">
        <v>11970</v>
      </c>
      <c r="B195" s="229" t="s">
        <v>11971</v>
      </c>
      <c r="C195" s="230" t="s">
        <v>155</v>
      </c>
      <c r="D195" s="231" t="s">
        <v>155</v>
      </c>
      <c r="E195" s="232" t="s">
        <v>155</v>
      </c>
      <c r="F195" s="233" t="s">
        <v>76</v>
      </c>
      <c r="G195" s="229" t="s">
        <v>3612</v>
      </c>
      <c r="H195" s="304"/>
      <c r="I195" s="304"/>
      <c r="J195" s="304"/>
      <c r="K195" s="273" t="s">
        <v>4358</v>
      </c>
      <c r="L195" s="304"/>
      <c r="M195" s="304"/>
      <c r="N195" s="304"/>
      <c r="O195" s="304"/>
      <c r="P195" s="304"/>
      <c r="Q195" s="304"/>
      <c r="R195" s="304"/>
      <c r="S195" s="304"/>
      <c r="T195" s="304"/>
      <c r="U195" s="304"/>
      <c r="V195" s="304"/>
      <c r="W195" s="62"/>
      <c r="X195" s="273" t="s">
        <v>7636</v>
      </c>
      <c r="Y195" s="304"/>
      <c r="Z195" s="304"/>
      <c r="AA195" s="273" t="s">
        <v>761</v>
      </c>
      <c r="AB195" s="304"/>
      <c r="AC195" s="242" t="s">
        <v>1913</v>
      </c>
      <c r="AD195" s="273" t="s">
        <v>9752</v>
      </c>
      <c r="AE195" s="304"/>
      <c r="AF195" s="304"/>
      <c r="AG195" s="273" t="s">
        <v>2471</v>
      </c>
      <c r="AH195" s="304"/>
      <c r="AI195" s="304"/>
      <c r="AJ195" s="304"/>
      <c r="AK195" s="304"/>
      <c r="AL195" s="61"/>
      <c r="AM195" s="304"/>
      <c r="AN195" s="304"/>
      <c r="AO195" s="304"/>
      <c r="AP195" s="304"/>
      <c r="AQ195" s="304"/>
      <c r="AR195" s="304"/>
      <c r="AS195" s="304"/>
      <c r="AT195" s="304"/>
      <c r="AU195" s="304"/>
      <c r="AV195" s="273" t="s">
        <v>2394</v>
      </c>
      <c r="AW195" s="304"/>
      <c r="AX195" s="304"/>
      <c r="AY195" s="304"/>
      <c r="AZ195" s="304"/>
      <c r="BA195" s="304"/>
      <c r="BB195" s="304"/>
      <c r="BC195" s="304"/>
      <c r="BD195" s="304"/>
      <c r="BE195" s="304"/>
      <c r="BF195" s="304"/>
      <c r="BG195" s="304"/>
      <c r="BH195" s="304"/>
      <c r="BI195" s="273" t="s">
        <v>6850</v>
      </c>
      <c r="BJ195" s="304"/>
      <c r="BK195" s="304"/>
      <c r="BL195" s="304"/>
      <c r="BM195" s="304"/>
      <c r="BN195" s="304"/>
      <c r="BO195" s="304"/>
      <c r="BP195" s="304"/>
      <c r="BQ195" s="841"/>
      <c r="BR195" s="304"/>
      <c r="BS195" s="304"/>
      <c r="BT195" s="304"/>
      <c r="BU195" s="304"/>
      <c r="BV195" s="304"/>
      <c r="BW195" s="304"/>
      <c r="BX195" s="304"/>
      <c r="BY195" s="304"/>
      <c r="BZ195" s="304"/>
      <c r="CA195" s="304"/>
      <c r="CB195" s="304"/>
      <c r="CC195" s="304"/>
      <c r="CD195" s="304"/>
      <c r="CE195" s="304"/>
      <c r="CF195" s="841"/>
      <c r="CG195" s="273" t="s">
        <v>11972</v>
      </c>
      <c r="CH195" s="273" t="s">
        <v>444</v>
      </c>
      <c r="CI195" s="273" t="s">
        <v>7874</v>
      </c>
      <c r="CJ195" s="304"/>
      <c r="CK195" s="304"/>
      <c r="CL195" s="304" t="s">
        <v>9966</v>
      </c>
      <c r="CM195" s="304"/>
      <c r="CN195" s="273" t="s">
        <v>10855</v>
      </c>
      <c r="CO195" s="304"/>
      <c r="CP195" s="304"/>
      <c r="CQ195" s="304"/>
      <c r="CR195" s="304"/>
      <c r="CS195" s="304"/>
      <c r="CT195" s="304"/>
      <c r="CU195" s="62"/>
      <c r="CV195" s="273" t="s">
        <v>11973</v>
      </c>
      <c r="CW195" s="304"/>
      <c r="CX195" s="304"/>
      <c r="CY195" s="304"/>
      <c r="CZ195" s="304"/>
      <c r="DA195" s="304"/>
      <c r="DB195" s="304"/>
      <c r="DC195" s="304"/>
      <c r="DD195" s="304"/>
      <c r="DE195" s="304"/>
      <c r="DF195" s="304"/>
      <c r="DG195" s="304"/>
      <c r="DH195" s="304"/>
      <c r="DI195" s="304"/>
      <c r="DJ195" s="304"/>
      <c r="DK195" s="304"/>
      <c r="DL195" s="304"/>
      <c r="DM195" s="304"/>
      <c r="DN195" s="304"/>
      <c r="DO195" s="304"/>
      <c r="DP195" s="304"/>
      <c r="DQ195" s="304"/>
      <c r="DR195" s="304"/>
      <c r="DS195" s="304"/>
      <c r="DT195" s="304"/>
      <c r="DU195" s="304"/>
      <c r="DV195" s="304"/>
      <c r="DW195" s="304"/>
      <c r="DX195" s="304"/>
      <c r="DY195" s="304"/>
      <c r="DZ195" s="304"/>
      <c r="EA195" s="304"/>
      <c r="EB195" s="304"/>
      <c r="EC195" s="304"/>
      <c r="ED195" s="885"/>
    </row>
    <row r="196">
      <c r="A196" s="1940" t="s">
        <v>11974</v>
      </c>
      <c r="B196" s="381" t="s">
        <v>11975</v>
      </c>
      <c r="C196" s="384" t="s">
        <v>155</v>
      </c>
      <c r="D196" s="386" t="s">
        <v>155</v>
      </c>
      <c r="E196" s="389" t="s">
        <v>155</v>
      </c>
      <c r="F196" s="390" t="s">
        <v>155</v>
      </c>
      <c r="G196" s="381" t="s">
        <v>1694</v>
      </c>
      <c r="H196" s="849"/>
      <c r="I196" s="547" t="s">
        <v>11976</v>
      </c>
      <c r="J196" s="547" t="s">
        <v>10481</v>
      </c>
      <c r="K196" s="547" t="s">
        <v>2466</v>
      </c>
      <c r="L196" s="547" t="s">
        <v>11977</v>
      </c>
      <c r="M196" s="849"/>
      <c r="N196" s="849"/>
      <c r="O196" s="547" t="s">
        <v>4561</v>
      </c>
      <c r="P196" s="849"/>
      <c r="Q196" s="849"/>
      <c r="R196" s="849"/>
      <c r="S196" s="547" t="s">
        <v>5019</v>
      </c>
      <c r="T196" s="849"/>
      <c r="U196" s="849"/>
      <c r="V196" s="849"/>
      <c r="W196" s="62"/>
      <c r="X196" s="852"/>
      <c r="Y196" s="852"/>
      <c r="Z196" s="852"/>
      <c r="AA196" s="683" t="s">
        <v>2050</v>
      </c>
      <c r="AB196" s="852"/>
      <c r="AC196" s="683" t="s">
        <v>11839</v>
      </c>
      <c r="AD196" s="852"/>
      <c r="AE196" s="852"/>
      <c r="AF196" s="852"/>
      <c r="AG196" s="852"/>
      <c r="AH196" s="852"/>
      <c r="AI196" s="852"/>
      <c r="AJ196" s="852"/>
      <c r="AK196" s="852"/>
      <c r="AL196" s="61"/>
      <c r="AM196" s="855"/>
      <c r="AN196" s="855"/>
      <c r="AO196" s="855"/>
      <c r="AP196" s="855"/>
      <c r="AQ196" s="855"/>
      <c r="AR196" s="855"/>
      <c r="AS196" s="855"/>
      <c r="AT196" s="855"/>
      <c r="AU196" s="855"/>
      <c r="AV196" s="571" t="s">
        <v>6134</v>
      </c>
      <c r="AW196" s="855"/>
      <c r="AX196" s="855"/>
      <c r="AY196" s="855"/>
      <c r="AZ196" s="855"/>
      <c r="BA196" s="855"/>
      <c r="BB196" s="587"/>
      <c r="BC196" s="589" t="s">
        <v>2698</v>
      </c>
      <c r="BD196" s="586" t="s">
        <v>5908</v>
      </c>
      <c r="BE196" s="587"/>
      <c r="BF196" s="587"/>
      <c r="BG196" s="587"/>
      <c r="BH196" s="587"/>
      <c r="BI196" s="587"/>
      <c r="BJ196" s="587"/>
      <c r="BK196" s="589" t="s">
        <v>8725</v>
      </c>
      <c r="BL196" s="587"/>
      <c r="BM196" s="587"/>
      <c r="BN196" s="587"/>
      <c r="BO196" s="587"/>
      <c r="BP196" s="587"/>
      <c r="BQ196" s="857"/>
      <c r="BR196" s="859"/>
      <c r="BS196" s="859"/>
      <c r="BT196" s="859"/>
      <c r="BU196" s="594" t="s">
        <v>11353</v>
      </c>
      <c r="BV196" s="859"/>
      <c r="BW196" s="594" t="s">
        <v>4170</v>
      </c>
      <c r="BX196" s="859"/>
      <c r="BY196" s="859"/>
      <c r="BZ196" s="859"/>
      <c r="CA196" s="859"/>
      <c r="CB196" s="859"/>
      <c r="CC196" s="859"/>
      <c r="CD196" s="594" t="s">
        <v>5347</v>
      </c>
      <c r="CE196" s="859"/>
      <c r="CF196" s="861"/>
      <c r="CG196" s="863"/>
      <c r="CH196" s="606" t="s">
        <v>4206</v>
      </c>
      <c r="CI196" s="863"/>
      <c r="CJ196" s="863"/>
      <c r="CK196" s="863"/>
      <c r="CL196" s="863"/>
      <c r="CM196" s="863"/>
      <c r="CN196" s="863"/>
      <c r="CO196" s="863"/>
      <c r="CP196" s="863"/>
      <c r="CQ196" s="863"/>
      <c r="CR196" s="863"/>
      <c r="CS196" s="863"/>
      <c r="CT196" s="863"/>
      <c r="CU196" s="62"/>
      <c r="CV196" s="864"/>
      <c r="CW196" s="864"/>
      <c r="CX196" s="703" t="s">
        <v>4164</v>
      </c>
      <c r="CY196" s="864"/>
      <c r="CZ196" s="864"/>
      <c r="DA196" s="864"/>
      <c r="DB196" s="864"/>
      <c r="DC196" s="864"/>
      <c r="DD196" s="864"/>
      <c r="DE196" s="703" t="s">
        <v>4005</v>
      </c>
      <c r="DF196" s="864"/>
      <c r="DG196" s="864"/>
      <c r="DH196" s="864"/>
      <c r="DI196" s="866"/>
      <c r="DJ196" s="866"/>
      <c r="DK196" s="866"/>
      <c r="DL196" s="866"/>
      <c r="DM196" s="866"/>
      <c r="DN196" s="866"/>
      <c r="DO196" s="866"/>
      <c r="DP196" s="866"/>
      <c r="DQ196" s="866"/>
      <c r="DR196" s="866"/>
      <c r="DS196" s="707" t="s">
        <v>5156</v>
      </c>
      <c r="DT196" s="707" t="s">
        <v>10732</v>
      </c>
      <c r="DU196" s="866"/>
      <c r="DV196" s="866"/>
      <c r="DW196" s="866"/>
      <c r="DX196" s="866"/>
      <c r="DY196" s="866"/>
      <c r="DZ196" s="866"/>
      <c r="EA196" s="866"/>
      <c r="EB196" s="866"/>
      <c r="EC196" s="866"/>
      <c r="ED196" s="974" t="s">
        <v>11978</v>
      </c>
    </row>
    <row r="197">
      <c r="A197" s="2042" t="s">
        <v>11979</v>
      </c>
      <c r="B197" s="229" t="s">
        <v>11980</v>
      </c>
      <c r="C197" s="230" t="s">
        <v>155</v>
      </c>
      <c r="D197" s="231" t="s">
        <v>76</v>
      </c>
      <c r="E197" s="232" t="s">
        <v>155</v>
      </c>
      <c r="F197" s="233" t="s">
        <v>156</v>
      </c>
      <c r="G197" s="229" t="s">
        <v>260</v>
      </c>
      <c r="H197" s="333"/>
      <c r="I197" s="274"/>
      <c r="J197" s="333"/>
      <c r="K197" s="333" t="s">
        <v>2515</v>
      </c>
      <c r="L197" s="333" t="s">
        <v>11468</v>
      </c>
      <c r="M197" s="333"/>
      <c r="N197" s="333"/>
      <c r="O197" s="333" t="s">
        <v>3070</v>
      </c>
      <c r="P197" s="333"/>
      <c r="Q197" s="304"/>
      <c r="R197" s="304"/>
      <c r="S197" s="304"/>
      <c r="T197" s="304"/>
      <c r="U197" s="304"/>
      <c r="V197" s="304"/>
      <c r="W197" s="62"/>
      <c r="X197" s="242" t="s">
        <v>2277</v>
      </c>
      <c r="Y197" s="333"/>
      <c r="Z197" s="333" t="s">
        <v>11981</v>
      </c>
      <c r="AA197" s="333"/>
      <c r="AB197" s="908"/>
      <c r="AC197" s="333"/>
      <c r="AD197" s="333"/>
      <c r="AE197" s="242" t="s">
        <v>9538</v>
      </c>
      <c r="AF197" s="333" t="s">
        <v>869</v>
      </c>
      <c r="AG197" s="333"/>
      <c r="AH197" s="304"/>
      <c r="AI197" s="304"/>
      <c r="AJ197" s="333"/>
      <c r="AK197" s="304"/>
      <c r="AL197" s="61"/>
      <c r="AM197" s="333"/>
      <c r="AN197" s="333" t="s">
        <v>702</v>
      </c>
      <c r="AO197" s="304"/>
      <c r="AP197" s="304"/>
      <c r="AQ197" s="273"/>
      <c r="AR197" s="273"/>
      <c r="AS197" s="273" t="s">
        <v>6148</v>
      </c>
      <c r="AT197" s="304"/>
      <c r="AU197" s="333"/>
      <c r="AV197" s="333" t="s">
        <v>583</v>
      </c>
      <c r="AW197" s="333"/>
      <c r="AX197" s="304"/>
      <c r="AY197" s="304"/>
      <c r="AZ197" s="304"/>
      <c r="BA197" s="304"/>
      <c r="BB197" s="333"/>
      <c r="BC197" s="333"/>
      <c r="BD197" s="333" t="s">
        <v>11982</v>
      </c>
      <c r="BE197" s="333"/>
      <c r="BF197" s="333"/>
      <c r="BG197" s="333"/>
      <c r="BH197" s="304"/>
      <c r="BI197" s="333"/>
      <c r="BJ197" s="304"/>
      <c r="BK197" s="333"/>
      <c r="BL197" s="333"/>
      <c r="BM197" s="304"/>
      <c r="BN197" s="304"/>
      <c r="BO197" s="333"/>
      <c r="BP197" s="304"/>
      <c r="BQ197" s="841"/>
      <c r="BR197" s="333"/>
      <c r="BS197" s="333"/>
      <c r="BT197" s="333"/>
      <c r="BU197" s="333"/>
      <c r="BV197" s="333"/>
      <c r="BW197" s="333"/>
      <c r="BX197" s="304"/>
      <c r="BY197" s="333"/>
      <c r="BZ197" s="333"/>
      <c r="CA197" s="333"/>
      <c r="CB197" s="304"/>
      <c r="CC197" s="304"/>
      <c r="CD197" s="304"/>
      <c r="CE197" s="304"/>
      <c r="CF197" s="841"/>
      <c r="CG197" s="333"/>
      <c r="CH197" s="333"/>
      <c r="CI197" s="333"/>
      <c r="CJ197" s="333"/>
      <c r="CK197" s="333"/>
      <c r="CL197" s="333"/>
      <c r="CM197" s="333"/>
      <c r="CN197" s="333"/>
      <c r="CO197" s="333"/>
      <c r="CP197" s="768"/>
      <c r="CQ197" s="304"/>
      <c r="CR197" s="304"/>
      <c r="CS197" s="304"/>
      <c r="CT197" s="304"/>
      <c r="CU197" s="62"/>
      <c r="CV197" s="333"/>
      <c r="CW197" s="333"/>
      <c r="CX197" s="333"/>
      <c r="CY197" s="333"/>
      <c r="CZ197" s="333"/>
      <c r="DA197" s="333"/>
      <c r="DB197" s="333" t="s">
        <v>11983</v>
      </c>
      <c r="DC197" s="333"/>
      <c r="DD197" s="304"/>
      <c r="DE197" s="304"/>
      <c r="DF197" s="304"/>
      <c r="DG197" s="304"/>
      <c r="DH197" s="304"/>
      <c r="DI197" s="333"/>
      <c r="DJ197" s="304"/>
      <c r="DK197" s="304"/>
      <c r="DL197" s="333"/>
      <c r="DM197" s="248" t="s">
        <v>477</v>
      </c>
      <c r="DN197" s="333"/>
      <c r="DO197" s="304"/>
      <c r="DP197" s="304"/>
      <c r="DQ197" s="304"/>
      <c r="DR197" s="333"/>
      <c r="DS197" s="333"/>
      <c r="DT197" s="304"/>
      <c r="DU197" s="333"/>
      <c r="DV197" s="304"/>
      <c r="DW197" s="304"/>
      <c r="DX197" s="304"/>
      <c r="DY197" s="304"/>
      <c r="DZ197" s="304"/>
      <c r="EA197" s="333"/>
      <c r="EB197" s="304"/>
      <c r="EC197" s="304"/>
      <c r="ED197" s="885"/>
    </row>
    <row r="198">
      <c r="A198" s="2043" t="s">
        <v>11984</v>
      </c>
      <c r="B198" s="381" t="s">
        <v>11985</v>
      </c>
      <c r="C198" s="384" t="s">
        <v>155</v>
      </c>
      <c r="D198" s="386" t="s">
        <v>155</v>
      </c>
      <c r="E198" s="389" t="s">
        <v>155</v>
      </c>
      <c r="F198" s="390" t="s">
        <v>127</v>
      </c>
      <c r="G198" s="381" t="s">
        <v>127</v>
      </c>
      <c r="H198" s="547"/>
      <c r="I198" s="849"/>
      <c r="J198" s="849"/>
      <c r="K198" s="849"/>
      <c r="L198" s="849"/>
      <c r="M198" s="849"/>
      <c r="N198" s="849"/>
      <c r="O198" s="849"/>
      <c r="P198" s="406" t="s">
        <v>1354</v>
      </c>
      <c r="Q198" s="849"/>
      <c r="R198" s="849"/>
      <c r="S198" s="849"/>
      <c r="T198" s="849"/>
      <c r="U198" s="849"/>
      <c r="V198" s="849"/>
      <c r="W198" s="62"/>
      <c r="X198" s="852"/>
      <c r="Y198" s="852"/>
      <c r="Z198" s="852"/>
      <c r="AA198" s="852"/>
      <c r="AB198" s="852"/>
      <c r="AC198" s="852"/>
      <c r="AD198" s="852"/>
      <c r="AE198" s="852"/>
      <c r="AF198" s="852"/>
      <c r="AG198" s="417" t="s">
        <v>10174</v>
      </c>
      <c r="AH198" s="852"/>
      <c r="AI198" s="852"/>
      <c r="AJ198" s="852"/>
      <c r="AK198" s="852"/>
      <c r="AL198" s="61"/>
      <c r="AM198" s="855"/>
      <c r="AN198" s="855"/>
      <c r="AO198" s="855"/>
      <c r="AP198" s="855"/>
      <c r="AQ198" s="855"/>
      <c r="AR198" s="855"/>
      <c r="AS198" s="855"/>
      <c r="AT198" s="855"/>
      <c r="AU198" s="855"/>
      <c r="AV198" s="855"/>
      <c r="AW198" s="855"/>
      <c r="AX198" s="855"/>
      <c r="AY198" s="855"/>
      <c r="AZ198" s="855"/>
      <c r="BA198" s="855"/>
      <c r="BB198" s="587"/>
      <c r="BC198" s="587"/>
      <c r="BD198" s="587"/>
      <c r="BE198" s="587"/>
      <c r="BF198" s="587"/>
      <c r="BG198" s="587"/>
      <c r="BH198" s="587"/>
      <c r="BI198" s="587"/>
      <c r="BJ198" s="587"/>
      <c r="BK198" s="587"/>
      <c r="BL198" s="587"/>
      <c r="BM198" s="587"/>
      <c r="BN198" s="587"/>
      <c r="BO198" s="587"/>
      <c r="BP198" s="587"/>
      <c r="BQ198" s="857"/>
      <c r="BR198" s="859"/>
      <c r="BS198" s="859"/>
      <c r="BT198" s="859"/>
      <c r="BU198" s="859"/>
      <c r="BV198" s="859"/>
      <c r="BW198" s="859"/>
      <c r="BX198" s="859"/>
      <c r="BY198" s="859"/>
      <c r="BZ198" s="859"/>
      <c r="CA198" s="859"/>
      <c r="CB198" s="859"/>
      <c r="CC198" s="859"/>
      <c r="CD198" s="859"/>
      <c r="CE198" s="859"/>
      <c r="CF198" s="861"/>
      <c r="CG198" s="863"/>
      <c r="CH198" s="863"/>
      <c r="CI198" s="863"/>
      <c r="CJ198" s="863"/>
      <c r="CK198" s="863"/>
      <c r="CL198" s="863"/>
      <c r="CM198" s="863"/>
      <c r="CN198" s="863"/>
      <c r="CO198" s="863"/>
      <c r="CP198" s="863"/>
      <c r="CQ198" s="863"/>
      <c r="CR198" s="863"/>
      <c r="CS198" s="863"/>
      <c r="CT198" s="863"/>
      <c r="CU198" s="62"/>
      <c r="CV198" s="864"/>
      <c r="CW198" s="864"/>
      <c r="CX198" s="864"/>
      <c r="CY198" s="864"/>
      <c r="CZ198" s="864"/>
      <c r="DA198" s="864"/>
      <c r="DB198" s="864"/>
      <c r="DC198" s="864"/>
      <c r="DD198" s="864"/>
      <c r="DE198" s="864"/>
      <c r="DF198" s="864"/>
      <c r="DG198" s="864"/>
      <c r="DH198" s="864"/>
      <c r="DI198" s="866"/>
      <c r="DJ198" s="866"/>
      <c r="DK198" s="866"/>
      <c r="DL198" s="866"/>
      <c r="DM198" s="866"/>
      <c r="DN198" s="866"/>
      <c r="DO198" s="866"/>
      <c r="DP198" s="866"/>
      <c r="DQ198" s="866"/>
      <c r="DR198" s="866"/>
      <c r="DS198" s="866"/>
      <c r="DT198" s="866"/>
      <c r="DU198" s="866"/>
      <c r="DV198" s="866"/>
      <c r="DW198" s="866"/>
      <c r="DX198" s="866"/>
      <c r="DY198" s="866"/>
      <c r="DZ198" s="866"/>
      <c r="EA198" s="866"/>
      <c r="EB198" s="866"/>
      <c r="EC198" s="866"/>
      <c r="ED198" s="974"/>
    </row>
    <row r="199">
      <c r="A199" s="1718" t="s">
        <v>11986</v>
      </c>
      <c r="B199" s="229" t="s">
        <v>11987</v>
      </c>
      <c r="C199" s="230" t="s">
        <v>155</v>
      </c>
      <c r="D199" s="231" t="s">
        <v>155</v>
      </c>
      <c r="E199" s="232" t="s">
        <v>155</v>
      </c>
      <c r="F199" s="233" t="s">
        <v>155</v>
      </c>
      <c r="G199" s="229" t="s">
        <v>127</v>
      </c>
      <c r="H199" s="333"/>
      <c r="I199" s="274"/>
      <c r="J199" s="333"/>
      <c r="K199" s="333" t="s">
        <v>9918</v>
      </c>
      <c r="L199" s="333"/>
      <c r="M199" s="333"/>
      <c r="N199" s="333"/>
      <c r="O199" s="333"/>
      <c r="P199" s="333"/>
      <c r="Q199" s="304"/>
      <c r="R199" s="304"/>
      <c r="S199" s="304"/>
      <c r="T199" s="304"/>
      <c r="U199" s="304"/>
      <c r="V199" s="304"/>
      <c r="W199" s="62"/>
      <c r="X199" s="333"/>
      <c r="Y199" s="333"/>
      <c r="Z199" s="333"/>
      <c r="AA199" s="333"/>
      <c r="AB199" s="908"/>
      <c r="AC199" s="333"/>
      <c r="AD199" s="333"/>
      <c r="AE199" s="304"/>
      <c r="AF199" s="333"/>
      <c r="AG199" s="333"/>
      <c r="AH199" s="304"/>
      <c r="AI199" s="304"/>
      <c r="AJ199" s="333"/>
      <c r="AK199" s="304"/>
      <c r="AL199" s="61"/>
      <c r="AM199" s="333"/>
      <c r="AN199" s="333"/>
      <c r="AO199" s="304"/>
      <c r="AP199" s="304"/>
      <c r="AQ199" s="273"/>
      <c r="AR199" s="273"/>
      <c r="AS199" s="304"/>
      <c r="AT199" s="304"/>
      <c r="AU199" s="333"/>
      <c r="AV199" s="333"/>
      <c r="AW199" s="333"/>
      <c r="AX199" s="304"/>
      <c r="AY199" s="304"/>
      <c r="AZ199" s="304"/>
      <c r="BA199" s="304"/>
      <c r="BB199" s="333"/>
      <c r="BC199" s="333"/>
      <c r="BD199" s="333"/>
      <c r="BE199" s="333"/>
      <c r="BF199" s="333"/>
      <c r="BG199" s="333"/>
      <c r="BH199" s="304"/>
      <c r="BI199" s="333"/>
      <c r="BJ199" s="304"/>
      <c r="BK199" s="333"/>
      <c r="BL199" s="333"/>
      <c r="BM199" s="304"/>
      <c r="BN199" s="304"/>
      <c r="BO199" s="333"/>
      <c r="BP199" s="304"/>
      <c r="BQ199" s="841"/>
      <c r="BR199" s="333"/>
      <c r="BS199" s="333"/>
      <c r="BT199" s="333"/>
      <c r="BU199" s="333"/>
      <c r="BV199" s="333"/>
      <c r="BW199" s="333"/>
      <c r="BX199" s="304"/>
      <c r="BY199" s="333"/>
      <c r="BZ199" s="333"/>
      <c r="CA199" s="333"/>
      <c r="CB199" s="304"/>
      <c r="CC199" s="304"/>
      <c r="CD199" s="304"/>
      <c r="CE199" s="304"/>
      <c r="CF199" s="841"/>
      <c r="CG199" s="333"/>
      <c r="CH199" s="333" t="s">
        <v>10460</v>
      </c>
      <c r="CI199" s="333"/>
      <c r="CJ199" s="333"/>
      <c r="CK199" s="333"/>
      <c r="CL199" s="333"/>
      <c r="CM199" s="333"/>
      <c r="CN199" s="333"/>
      <c r="CO199" s="333"/>
      <c r="CP199" s="768"/>
      <c r="CQ199" s="304"/>
      <c r="CR199" s="304"/>
      <c r="CS199" s="304"/>
      <c r="CT199" s="304"/>
      <c r="CU199" s="62"/>
      <c r="CV199" s="333"/>
      <c r="CW199" s="333"/>
      <c r="CX199" s="333"/>
      <c r="CY199" s="333"/>
      <c r="CZ199" s="333"/>
      <c r="DA199" s="333"/>
      <c r="DB199" s="333"/>
      <c r="DC199" s="333"/>
      <c r="DD199" s="304"/>
      <c r="DE199" s="304"/>
      <c r="DF199" s="304"/>
      <c r="DG199" s="304"/>
      <c r="DH199" s="304"/>
      <c r="DI199" s="333"/>
      <c r="DJ199" s="304"/>
      <c r="DK199" s="304"/>
      <c r="DL199" s="333"/>
      <c r="DM199" s="333"/>
      <c r="DN199" s="333"/>
      <c r="DO199" s="304"/>
      <c r="DP199" s="304"/>
      <c r="DQ199" s="304"/>
      <c r="DR199" s="333"/>
      <c r="DS199" s="333"/>
      <c r="DT199" s="304"/>
      <c r="DU199" s="333"/>
      <c r="DV199" s="304"/>
      <c r="DW199" s="304"/>
      <c r="DX199" s="304"/>
      <c r="DY199" s="304"/>
      <c r="DZ199" s="304"/>
      <c r="EA199" s="333"/>
      <c r="EB199" s="304"/>
      <c r="EC199" s="304"/>
      <c r="ED199" s="885"/>
    </row>
    <row r="200">
      <c r="A200" s="545" t="s">
        <v>11988</v>
      </c>
      <c r="B200" s="381" t="s">
        <v>11989</v>
      </c>
      <c r="C200" s="384" t="s">
        <v>155</v>
      </c>
      <c r="D200" s="386" t="s">
        <v>155</v>
      </c>
      <c r="E200" s="389" t="s">
        <v>155</v>
      </c>
      <c r="F200" s="390" t="s">
        <v>156</v>
      </c>
      <c r="G200" s="381" t="s">
        <v>154</v>
      </c>
      <c r="H200" s="406" t="s">
        <v>2530</v>
      </c>
      <c r="I200" s="849"/>
      <c r="J200" s="547" t="s">
        <v>8328</v>
      </c>
      <c r="K200" s="406" t="s">
        <v>4362</v>
      </c>
      <c r="L200" s="849"/>
      <c r="M200" s="849"/>
      <c r="N200" s="849"/>
      <c r="O200" s="849"/>
      <c r="P200" s="547" t="s">
        <v>1197</v>
      </c>
      <c r="Q200" s="849"/>
      <c r="R200" s="849"/>
      <c r="S200" s="849"/>
      <c r="T200" s="849"/>
      <c r="U200" s="849"/>
      <c r="V200" s="849"/>
      <c r="W200" s="62"/>
      <c r="X200" s="852"/>
      <c r="Y200" s="852"/>
      <c r="Z200" s="852"/>
      <c r="AA200" s="683" t="s">
        <v>11990</v>
      </c>
      <c r="AB200" s="852"/>
      <c r="AC200" s="852"/>
      <c r="AD200" s="852"/>
      <c r="AE200" s="852"/>
      <c r="AF200" s="852"/>
      <c r="AG200" s="852"/>
      <c r="AH200" s="852"/>
      <c r="AI200" s="852"/>
      <c r="AJ200" s="852"/>
      <c r="AK200" s="852"/>
      <c r="AL200" s="61"/>
      <c r="AM200" s="855"/>
      <c r="AN200" s="855"/>
      <c r="AO200" s="855"/>
      <c r="AP200" s="855"/>
      <c r="AQ200" s="855"/>
      <c r="AR200" s="855"/>
      <c r="AS200" s="855"/>
      <c r="AT200" s="855"/>
      <c r="AU200" s="855"/>
      <c r="AV200" s="855"/>
      <c r="AW200" s="855"/>
      <c r="AX200" s="855"/>
      <c r="AY200" s="855"/>
      <c r="AZ200" s="855"/>
      <c r="BA200" s="855"/>
      <c r="BB200" s="587"/>
      <c r="BC200" s="589" t="s">
        <v>775</v>
      </c>
      <c r="BD200" s="2044" t="s">
        <v>2801</v>
      </c>
      <c r="BE200" s="587"/>
      <c r="BF200" s="587"/>
      <c r="BG200" s="587"/>
      <c r="BH200" s="587"/>
      <c r="BI200" s="587"/>
      <c r="BJ200" s="587"/>
      <c r="BK200" s="587"/>
      <c r="BL200" s="587"/>
      <c r="BM200" s="587"/>
      <c r="BN200" s="587"/>
      <c r="BO200" s="587"/>
      <c r="BP200" s="587"/>
      <c r="BQ200" s="857"/>
      <c r="BR200" s="859"/>
      <c r="BS200" s="859"/>
      <c r="BT200" s="859"/>
      <c r="BU200" s="859"/>
      <c r="BV200" s="859"/>
      <c r="BW200" s="859"/>
      <c r="BX200" s="859"/>
      <c r="BY200" s="859"/>
      <c r="BZ200" s="859"/>
      <c r="CA200" s="859"/>
      <c r="CB200" s="859"/>
      <c r="CC200" s="859"/>
      <c r="CD200" s="859"/>
      <c r="CE200" s="859"/>
      <c r="CF200" s="861"/>
      <c r="CG200" s="863"/>
      <c r="CH200" s="863"/>
      <c r="CI200" s="863"/>
      <c r="CJ200" s="863"/>
      <c r="CK200" s="863"/>
      <c r="CL200" s="863"/>
      <c r="CM200" s="863"/>
      <c r="CN200" s="863"/>
      <c r="CO200" s="863"/>
      <c r="CP200" s="863"/>
      <c r="CQ200" s="863"/>
      <c r="CR200" s="863"/>
      <c r="CS200" s="863"/>
      <c r="CT200" s="863"/>
      <c r="CU200" s="62"/>
      <c r="CV200" s="864"/>
      <c r="CW200" s="864"/>
      <c r="CX200" s="864"/>
      <c r="CY200" s="864"/>
      <c r="CZ200" s="864"/>
      <c r="DA200" s="864"/>
      <c r="DB200" s="864"/>
      <c r="DC200" s="864"/>
      <c r="DD200" s="864"/>
      <c r="DE200" s="864"/>
      <c r="DF200" s="864"/>
      <c r="DG200" s="864"/>
      <c r="DH200" s="864"/>
      <c r="DI200" s="866"/>
      <c r="DJ200" s="866"/>
      <c r="DK200" s="866"/>
      <c r="DL200" s="707"/>
      <c r="DM200" s="866"/>
      <c r="DN200" s="707" t="s">
        <v>3773</v>
      </c>
      <c r="DO200" s="707" t="s">
        <v>4503</v>
      </c>
      <c r="DP200" s="707" t="s">
        <v>4316</v>
      </c>
      <c r="DQ200" s="707" t="s">
        <v>11991</v>
      </c>
      <c r="DR200" s="866"/>
      <c r="DS200" s="866"/>
      <c r="DT200" s="866"/>
      <c r="DU200" s="866"/>
      <c r="DV200" s="866"/>
      <c r="DW200" s="707" t="s">
        <v>959</v>
      </c>
      <c r="DX200" s="866"/>
      <c r="DY200" s="866"/>
      <c r="DZ200" s="866"/>
      <c r="EA200" s="866"/>
      <c r="EB200" s="866"/>
      <c r="EC200" s="866"/>
      <c r="ED200" s="974"/>
    </row>
    <row r="201">
      <c r="A201" s="975" t="s">
        <v>11992</v>
      </c>
      <c r="B201" s="229" t="s">
        <v>11993</v>
      </c>
      <c r="C201" s="230" t="s">
        <v>155</v>
      </c>
      <c r="D201" s="231" t="s">
        <v>155</v>
      </c>
      <c r="E201" s="232" t="s">
        <v>155</v>
      </c>
      <c r="F201" s="233" t="s">
        <v>155</v>
      </c>
      <c r="G201" s="229" t="s">
        <v>2094</v>
      </c>
      <c r="H201" s="273" t="s">
        <v>11593</v>
      </c>
      <c r="I201" s="273" t="s">
        <v>9396</v>
      </c>
      <c r="J201" s="273" t="s">
        <v>4534</v>
      </c>
      <c r="K201" s="273" t="s">
        <v>11994</v>
      </c>
      <c r="L201" s="273" t="s">
        <v>11995</v>
      </c>
      <c r="M201" s="273" t="s">
        <v>11996</v>
      </c>
      <c r="N201" s="273" t="s">
        <v>11997</v>
      </c>
      <c r="O201" s="273" t="s">
        <v>1002</v>
      </c>
      <c r="P201" s="273" t="s">
        <v>2207</v>
      </c>
      <c r="Q201" s="304"/>
      <c r="R201" s="304"/>
      <c r="S201" s="304"/>
      <c r="T201" s="304"/>
      <c r="U201" s="304"/>
      <c r="V201" s="304"/>
      <c r="W201" s="62"/>
      <c r="X201" s="273" t="s">
        <v>8768</v>
      </c>
      <c r="Y201" s="273"/>
      <c r="Z201" s="273" t="s">
        <v>11998</v>
      </c>
      <c r="AA201" s="273" t="s">
        <v>11999</v>
      </c>
      <c r="AB201" s="304" t="s">
        <v>5415</v>
      </c>
      <c r="AC201" s="273" t="s">
        <v>11635</v>
      </c>
      <c r="AD201" s="304" t="s">
        <v>8685</v>
      </c>
      <c r="AE201" s="304"/>
      <c r="AF201" s="304" t="s">
        <v>3881</v>
      </c>
      <c r="AG201" s="273" t="s">
        <v>11382</v>
      </c>
      <c r="AH201" s="304"/>
      <c r="AI201" s="304"/>
      <c r="AJ201" s="304"/>
      <c r="AK201" s="304"/>
      <c r="AL201" s="61"/>
      <c r="AM201" s="304"/>
      <c r="AN201" s="304"/>
      <c r="AO201" s="304"/>
      <c r="AP201" s="304"/>
      <c r="AQ201" s="304"/>
      <c r="AR201" s="304"/>
      <c r="AS201" s="304"/>
      <c r="AT201" s="304"/>
      <c r="AU201" s="273" t="s">
        <v>530</v>
      </c>
      <c r="AV201" s="304" t="s">
        <v>10601</v>
      </c>
      <c r="AW201" s="273" t="s">
        <v>2638</v>
      </c>
      <c r="AX201" s="304"/>
      <c r="AY201" s="304"/>
      <c r="AZ201" s="304"/>
      <c r="BA201" s="304"/>
      <c r="BB201" s="273"/>
      <c r="BC201" s="304" t="s">
        <v>7804</v>
      </c>
      <c r="BD201" s="273" t="s">
        <v>5227</v>
      </c>
      <c r="BE201" s="304" t="s">
        <v>12000</v>
      </c>
      <c r="BF201" s="304" t="s">
        <v>12001</v>
      </c>
      <c r="BG201" s="304" t="s">
        <v>9118</v>
      </c>
      <c r="BH201" s="304" t="s">
        <v>12002</v>
      </c>
      <c r="BI201" s="273" t="s">
        <v>3960</v>
      </c>
      <c r="BJ201" s="304"/>
      <c r="BK201" s="304"/>
      <c r="BL201" s="273" t="s">
        <v>12003</v>
      </c>
      <c r="BM201" s="304"/>
      <c r="BN201" s="304"/>
      <c r="BO201" s="304"/>
      <c r="BP201" s="304"/>
      <c r="BQ201" s="841"/>
      <c r="BR201" s="304" t="s">
        <v>12004</v>
      </c>
      <c r="BS201" s="304" t="s">
        <v>8220</v>
      </c>
      <c r="BT201" s="304" t="s">
        <v>12005</v>
      </c>
      <c r="BU201" s="273" t="s">
        <v>11766</v>
      </c>
      <c r="BV201" s="304" t="s">
        <v>12006</v>
      </c>
      <c r="BW201" s="304" t="s">
        <v>12007</v>
      </c>
      <c r="BX201" s="273" t="s">
        <v>12008</v>
      </c>
      <c r="BY201" s="273" t="s">
        <v>5977</v>
      </c>
      <c r="BZ201" s="304"/>
      <c r="CA201" s="273" t="s">
        <v>10764</v>
      </c>
      <c r="CB201" s="304"/>
      <c r="CC201" s="304"/>
      <c r="CD201" s="304"/>
      <c r="CE201" s="304"/>
      <c r="CF201" s="841"/>
      <c r="CG201" s="273" t="s">
        <v>11428</v>
      </c>
      <c r="CH201" s="273" t="s">
        <v>1174</v>
      </c>
      <c r="CI201" s="273" t="s">
        <v>6924</v>
      </c>
      <c r="CJ201" s="273" t="s">
        <v>10105</v>
      </c>
      <c r="CK201" s="273"/>
      <c r="CL201" s="273" t="s">
        <v>1241</v>
      </c>
      <c r="CM201" s="273" t="s">
        <v>7200</v>
      </c>
      <c r="CN201" s="273" t="s">
        <v>12009</v>
      </c>
      <c r="CO201" s="273" t="s">
        <v>833</v>
      </c>
      <c r="CP201" s="304"/>
      <c r="CQ201" s="304"/>
      <c r="CR201" s="304"/>
      <c r="CS201" s="304"/>
      <c r="CT201" s="304"/>
      <c r="CU201" s="62"/>
      <c r="CV201" s="304" t="s">
        <v>6317</v>
      </c>
      <c r="CW201" s="304" t="s">
        <v>8326</v>
      </c>
      <c r="CX201" s="304" t="s">
        <v>4216</v>
      </c>
      <c r="CY201" s="304" t="s">
        <v>12010</v>
      </c>
      <c r="CZ201" s="304" t="s">
        <v>12011</v>
      </c>
      <c r="DA201" s="304" t="s">
        <v>3370</v>
      </c>
      <c r="DB201" s="304" t="s">
        <v>12012</v>
      </c>
      <c r="DC201" s="273" t="s">
        <v>2831</v>
      </c>
      <c r="DD201" s="304"/>
      <c r="DE201" s="304"/>
      <c r="DF201" s="304"/>
      <c r="DG201" s="304"/>
      <c r="DH201" s="304"/>
      <c r="DI201" s="304"/>
      <c r="DJ201" s="304"/>
      <c r="DK201" s="304"/>
      <c r="DL201" s="304"/>
      <c r="DM201" s="304" t="s">
        <v>5062</v>
      </c>
      <c r="DN201" s="273"/>
      <c r="DO201" s="273" t="s">
        <v>12013</v>
      </c>
      <c r="DP201" s="273" t="s">
        <v>10294</v>
      </c>
      <c r="DQ201" s="273" t="s">
        <v>9699</v>
      </c>
      <c r="DR201" s="304"/>
      <c r="DS201" s="304"/>
      <c r="DT201" s="304"/>
      <c r="DU201" s="304"/>
      <c r="DV201" s="304"/>
      <c r="DW201" s="304"/>
      <c r="DX201" s="304"/>
      <c r="DY201" s="304"/>
      <c r="DZ201" s="304"/>
      <c r="EA201" s="304"/>
      <c r="EB201" s="304"/>
      <c r="EC201" s="304"/>
      <c r="ED201" s="885"/>
    </row>
    <row r="202">
      <c r="A202" s="2045" t="s">
        <v>3872</v>
      </c>
      <c r="B202" s="381" t="s">
        <v>3419</v>
      </c>
      <c r="C202" s="384" t="s">
        <v>155</v>
      </c>
      <c r="D202" s="386" t="s">
        <v>155</v>
      </c>
      <c r="E202" s="389" t="s">
        <v>155</v>
      </c>
      <c r="F202" s="390" t="s">
        <v>155</v>
      </c>
      <c r="G202" s="381" t="s">
        <v>719</v>
      </c>
      <c r="H202" s="1711"/>
      <c r="I202" s="1799"/>
      <c r="J202" s="1711"/>
      <c r="K202" s="1711"/>
      <c r="L202" s="1711"/>
      <c r="M202" s="1711"/>
      <c r="N202" s="1711"/>
      <c r="O202" s="1549" t="s">
        <v>11622</v>
      </c>
      <c r="P202" s="1549" t="s">
        <v>9655</v>
      </c>
      <c r="Q202" s="849"/>
      <c r="R202" s="849"/>
      <c r="S202" s="849"/>
      <c r="T202" s="849"/>
      <c r="U202" s="849"/>
      <c r="V202" s="849"/>
      <c r="W202" s="62"/>
      <c r="X202" s="421"/>
      <c r="Y202" s="421"/>
      <c r="Z202" s="421"/>
      <c r="AA202" s="421"/>
      <c r="AB202" s="1007"/>
      <c r="AC202" s="1218" t="s">
        <v>5317</v>
      </c>
      <c r="AD202" s="421"/>
      <c r="AE202" s="852"/>
      <c r="AF202" s="421"/>
      <c r="AG202" s="1218" t="s">
        <v>5305</v>
      </c>
      <c r="AH202" s="852"/>
      <c r="AI202" s="852"/>
      <c r="AJ202" s="421"/>
      <c r="AK202" s="683" t="s">
        <v>12014</v>
      </c>
      <c r="AL202" s="61"/>
      <c r="AM202" s="435"/>
      <c r="AN202" s="435" t="s">
        <v>12015</v>
      </c>
      <c r="AO202" s="855"/>
      <c r="AP202" s="855"/>
      <c r="AQ202" s="571"/>
      <c r="AR202" s="571"/>
      <c r="AS202" s="855"/>
      <c r="AT202" s="855"/>
      <c r="AU202" s="1725" t="s">
        <v>5878</v>
      </c>
      <c r="AV202" s="435"/>
      <c r="AW202" s="435"/>
      <c r="AX202" s="855"/>
      <c r="AY202" s="855"/>
      <c r="AZ202" s="855"/>
      <c r="BA202" s="855"/>
      <c r="BB202" s="1645"/>
      <c r="BC202" s="1645"/>
      <c r="BD202" s="1645"/>
      <c r="BE202" s="1645"/>
      <c r="BF202" s="1645"/>
      <c r="BG202" s="1645"/>
      <c r="BH202" s="587"/>
      <c r="BI202" s="695" t="s">
        <v>2458</v>
      </c>
      <c r="BJ202" s="587"/>
      <c r="BK202" s="1645"/>
      <c r="BL202" s="695" t="s">
        <v>12016</v>
      </c>
      <c r="BM202" s="587"/>
      <c r="BN202" s="587"/>
      <c r="BO202" s="1645"/>
      <c r="BP202" s="587"/>
      <c r="BQ202" s="857"/>
      <c r="BR202" s="1717" t="s">
        <v>12017</v>
      </c>
      <c r="BS202" s="1717" t="s">
        <v>8422</v>
      </c>
      <c r="BT202" s="451"/>
      <c r="BU202" s="1717" t="s">
        <v>673</v>
      </c>
      <c r="BV202" s="1717" t="s">
        <v>12018</v>
      </c>
      <c r="BW202" s="1717" t="s">
        <v>420</v>
      </c>
      <c r="BX202" s="859"/>
      <c r="BY202" s="451"/>
      <c r="BZ202" s="1717" t="s">
        <v>12019</v>
      </c>
      <c r="CA202" s="1717" t="s">
        <v>5970</v>
      </c>
      <c r="CB202" s="594" t="s">
        <v>12020</v>
      </c>
      <c r="CC202" s="859"/>
      <c r="CD202" s="859"/>
      <c r="CE202" s="859"/>
      <c r="CF202" s="861"/>
      <c r="CG202" s="460"/>
      <c r="CH202" s="460"/>
      <c r="CI202" s="460"/>
      <c r="CJ202" s="460"/>
      <c r="CK202" s="460"/>
      <c r="CL202" s="460"/>
      <c r="CM202" s="460"/>
      <c r="CN202" s="460"/>
      <c r="CO202" s="460"/>
      <c r="CP202" s="1800"/>
      <c r="CQ202" s="863"/>
      <c r="CR202" s="863"/>
      <c r="CS202" s="863"/>
      <c r="CT202" s="606" t="s">
        <v>2217</v>
      </c>
      <c r="CU202" s="62"/>
      <c r="CV202" s="470"/>
      <c r="CW202" s="470"/>
      <c r="CX202" s="470"/>
      <c r="CY202" s="470"/>
      <c r="CZ202" s="470"/>
      <c r="DA202" s="470"/>
      <c r="DB202" s="470"/>
      <c r="DC202" s="972" t="s">
        <v>4666</v>
      </c>
      <c r="DD202" s="864"/>
      <c r="DE202" s="864"/>
      <c r="DF202" s="864"/>
      <c r="DG202" s="864"/>
      <c r="DH202" s="864"/>
      <c r="DI202" s="709"/>
      <c r="DJ202" s="866"/>
      <c r="DK202" s="866"/>
      <c r="DL202" s="709"/>
      <c r="DM202" s="974" t="s">
        <v>12021</v>
      </c>
      <c r="DN202" s="709"/>
      <c r="DO202" s="866"/>
      <c r="DP202" s="866"/>
      <c r="DQ202" s="866"/>
      <c r="DR202" s="709"/>
      <c r="DS202" s="709"/>
      <c r="DT202" s="707" t="s">
        <v>6901</v>
      </c>
      <c r="DU202" s="709"/>
      <c r="DV202" s="866"/>
      <c r="DW202" s="707" t="s">
        <v>742</v>
      </c>
      <c r="DX202" s="866"/>
      <c r="DY202" s="866"/>
      <c r="DZ202" s="866"/>
      <c r="EA202" s="709" t="s">
        <v>11504</v>
      </c>
      <c r="EB202" s="866"/>
      <c r="EC202" s="866"/>
      <c r="ED202" s="974"/>
    </row>
    <row r="203">
      <c r="A203" s="2046" t="s">
        <v>12022</v>
      </c>
      <c r="B203" s="229" t="s">
        <v>12023</v>
      </c>
      <c r="C203" s="230" t="s">
        <v>155</v>
      </c>
      <c r="D203" s="231" t="s">
        <v>155</v>
      </c>
      <c r="E203" s="232" t="s">
        <v>155</v>
      </c>
      <c r="F203" s="233" t="s">
        <v>155</v>
      </c>
      <c r="G203" s="229" t="s">
        <v>1016</v>
      </c>
      <c r="H203" s="304"/>
      <c r="I203" s="273" t="s">
        <v>12024</v>
      </c>
      <c r="J203" s="273" t="s">
        <v>4321</v>
      </c>
      <c r="K203" s="273" t="s">
        <v>6368</v>
      </c>
      <c r="L203" s="273" t="s">
        <v>12025</v>
      </c>
      <c r="M203" s="273" t="s">
        <v>12026</v>
      </c>
      <c r="N203" s="304"/>
      <c r="O203" s="304"/>
      <c r="P203" s="273" t="s">
        <v>507</v>
      </c>
      <c r="Q203" s="304"/>
      <c r="R203" s="304"/>
      <c r="S203" s="304"/>
      <c r="T203" s="304"/>
      <c r="U203" s="304"/>
      <c r="V203" s="304"/>
      <c r="W203" s="62"/>
      <c r="X203" s="304"/>
      <c r="Y203" s="304"/>
      <c r="Z203" s="304"/>
      <c r="AA203" s="273" t="s">
        <v>586</v>
      </c>
      <c r="AB203" s="304"/>
      <c r="AC203" s="304"/>
      <c r="AD203" s="304"/>
      <c r="AE203" s="304"/>
      <c r="AF203" s="304"/>
      <c r="AG203" s="273" t="s">
        <v>301</v>
      </c>
      <c r="AH203" s="304"/>
      <c r="AI203" s="304"/>
      <c r="AJ203" s="304"/>
      <c r="AK203" s="304"/>
      <c r="AL203" s="61"/>
      <c r="AM203" s="304"/>
      <c r="AN203" s="304"/>
      <c r="AO203" s="304"/>
      <c r="AP203" s="304"/>
      <c r="AQ203" s="304"/>
      <c r="AR203" s="304"/>
      <c r="AS203" s="304"/>
      <c r="AT203" s="304"/>
      <c r="AU203" s="304"/>
      <c r="AV203" s="304"/>
      <c r="AW203" s="304"/>
      <c r="AX203" s="304"/>
      <c r="AY203" s="304"/>
      <c r="AZ203" s="304"/>
      <c r="BA203" s="304"/>
      <c r="BB203" s="304"/>
      <c r="BC203" s="304"/>
      <c r="BD203" s="304"/>
      <c r="BE203" s="304"/>
      <c r="BF203" s="304"/>
      <c r="BG203" s="304"/>
      <c r="BH203" s="304"/>
      <c r="BI203" s="304"/>
      <c r="BJ203" s="304"/>
      <c r="BK203" s="304"/>
      <c r="BL203" s="304"/>
      <c r="BM203" s="304"/>
      <c r="BN203" s="304"/>
      <c r="BO203" s="304"/>
      <c r="BP203" s="304"/>
      <c r="BQ203" s="841"/>
      <c r="BR203" s="304"/>
      <c r="BS203" s="304"/>
      <c r="BT203" s="304"/>
      <c r="BU203" s="304"/>
      <c r="BV203" s="304"/>
      <c r="BW203" s="304"/>
      <c r="BX203" s="304"/>
      <c r="BY203" s="304"/>
      <c r="BZ203" s="304"/>
      <c r="CA203" s="304"/>
      <c r="CB203" s="304"/>
      <c r="CC203" s="304"/>
      <c r="CD203" s="304"/>
      <c r="CE203" s="304"/>
      <c r="CF203" s="841"/>
      <c r="CG203" s="304"/>
      <c r="CH203" s="304"/>
      <c r="CI203" s="273" t="s">
        <v>8682</v>
      </c>
      <c r="CJ203" s="304"/>
      <c r="CK203" s="304"/>
      <c r="CL203" s="304" t="s">
        <v>9489</v>
      </c>
      <c r="CM203" s="304"/>
      <c r="CN203" s="304"/>
      <c r="CO203" s="304"/>
      <c r="CP203" s="304"/>
      <c r="CQ203" s="304"/>
      <c r="CR203" s="304"/>
      <c r="CS203" s="304"/>
      <c r="CT203" s="304"/>
      <c r="CU203" s="62"/>
      <c r="CV203" s="304"/>
      <c r="CW203" s="304"/>
      <c r="CX203" s="304"/>
      <c r="CY203" s="304"/>
      <c r="CZ203" s="304"/>
      <c r="DA203" s="304"/>
      <c r="DB203" s="304"/>
      <c r="DC203" s="273" t="s">
        <v>12027</v>
      </c>
      <c r="DD203" s="304"/>
      <c r="DE203" s="304"/>
      <c r="DF203" s="304"/>
      <c r="DG203" s="304"/>
      <c r="DH203" s="304"/>
      <c r="DI203" s="304"/>
      <c r="DJ203" s="304"/>
      <c r="DK203" s="304"/>
      <c r="DL203" s="304"/>
      <c r="DM203" s="304"/>
      <c r="DN203" s="304"/>
      <c r="DO203" s="304"/>
      <c r="DP203" s="304"/>
      <c r="DQ203" s="304"/>
      <c r="DR203" s="304"/>
      <c r="DS203" s="304"/>
      <c r="DT203" s="304"/>
      <c r="DU203" s="304"/>
      <c r="DV203" s="304"/>
      <c r="DW203" s="304"/>
      <c r="DX203" s="304"/>
      <c r="DY203" s="304"/>
      <c r="DZ203" s="304"/>
      <c r="EA203" s="304"/>
      <c r="EB203" s="304"/>
      <c r="EC203" s="304"/>
      <c r="ED203" s="1639"/>
    </row>
    <row r="204">
      <c r="A204" s="545" t="s">
        <v>12028</v>
      </c>
      <c r="B204" s="381" t="s">
        <v>12029</v>
      </c>
      <c r="C204" s="384" t="s">
        <v>155</v>
      </c>
      <c r="D204" s="386" t="s">
        <v>155</v>
      </c>
      <c r="E204" s="389" t="s">
        <v>155</v>
      </c>
      <c r="F204" s="390" t="s">
        <v>155</v>
      </c>
      <c r="G204" s="381" t="s">
        <v>3770</v>
      </c>
      <c r="H204" s="849"/>
      <c r="I204" s="547" t="s">
        <v>12030</v>
      </c>
      <c r="J204" s="547" t="s">
        <v>2069</v>
      </c>
      <c r="K204" s="547" t="s">
        <v>1851</v>
      </c>
      <c r="L204" s="547" t="s">
        <v>12031</v>
      </c>
      <c r="M204" s="547" t="s">
        <v>12032</v>
      </c>
      <c r="N204" s="547" t="s">
        <v>12033</v>
      </c>
      <c r="O204" s="547" t="s">
        <v>12034</v>
      </c>
      <c r="P204" s="547" t="s">
        <v>10696</v>
      </c>
      <c r="Q204" s="849"/>
      <c r="R204" s="849"/>
      <c r="S204" s="849"/>
      <c r="T204" s="849"/>
      <c r="U204" s="849"/>
      <c r="V204" s="849"/>
      <c r="W204" s="62"/>
      <c r="X204" s="683" t="s">
        <v>354</v>
      </c>
      <c r="Y204" s="683"/>
      <c r="Z204" s="683" t="s">
        <v>8349</v>
      </c>
      <c r="AA204" s="683" t="s">
        <v>5030</v>
      </c>
      <c r="AB204" s="683" t="s">
        <v>12035</v>
      </c>
      <c r="AC204" s="683" t="s">
        <v>5833</v>
      </c>
      <c r="AD204" s="683" t="s">
        <v>6748</v>
      </c>
      <c r="AE204" s="852"/>
      <c r="AF204" s="683" t="s">
        <v>8762</v>
      </c>
      <c r="AG204" s="683" t="s">
        <v>1710</v>
      </c>
      <c r="AH204" s="852"/>
      <c r="AI204" s="852"/>
      <c r="AJ204" s="852"/>
      <c r="AK204" s="852"/>
      <c r="AL204" s="61"/>
      <c r="AM204" s="571" t="s">
        <v>6602</v>
      </c>
      <c r="AN204" s="571" t="s">
        <v>1443</v>
      </c>
      <c r="AO204" s="571" t="s">
        <v>12036</v>
      </c>
      <c r="AP204" s="571" t="s">
        <v>12037</v>
      </c>
      <c r="AQ204" s="571" t="s">
        <v>12038</v>
      </c>
      <c r="AR204" s="571"/>
      <c r="AS204" s="571" t="s">
        <v>8288</v>
      </c>
      <c r="AT204" s="571" t="s">
        <v>12039</v>
      </c>
      <c r="AU204" s="571" t="s">
        <v>10233</v>
      </c>
      <c r="AV204" s="571" t="s">
        <v>2851</v>
      </c>
      <c r="AW204" s="855"/>
      <c r="AX204" s="855"/>
      <c r="AY204" s="855"/>
      <c r="AZ204" s="855"/>
      <c r="BA204" s="855"/>
      <c r="BB204" s="589" t="s">
        <v>2357</v>
      </c>
      <c r="BC204" s="589" t="s">
        <v>6646</v>
      </c>
      <c r="BD204" s="589" t="s">
        <v>12040</v>
      </c>
      <c r="BE204" s="589" t="s">
        <v>12041</v>
      </c>
      <c r="BF204" s="589" t="s">
        <v>12042</v>
      </c>
      <c r="BG204" s="589" t="s">
        <v>3960</v>
      </c>
      <c r="BH204" s="589" t="s">
        <v>12043</v>
      </c>
      <c r="BI204" s="589" t="s">
        <v>11159</v>
      </c>
      <c r="BJ204" s="589"/>
      <c r="BK204" s="589"/>
      <c r="BL204" s="589" t="s">
        <v>419</v>
      </c>
      <c r="BM204" s="587"/>
      <c r="BN204" s="587"/>
      <c r="BO204" s="587"/>
      <c r="BP204" s="587"/>
      <c r="BQ204" s="857"/>
      <c r="BR204" s="594"/>
      <c r="BS204" s="594" t="s">
        <v>12044</v>
      </c>
      <c r="BT204" s="594" t="s">
        <v>12045</v>
      </c>
      <c r="BU204" s="594" t="s">
        <v>382</v>
      </c>
      <c r="BV204" s="594" t="s">
        <v>9011</v>
      </c>
      <c r="BW204" s="594" t="s">
        <v>8876</v>
      </c>
      <c r="BX204" s="594" t="s">
        <v>12046</v>
      </c>
      <c r="BY204" s="594" t="s">
        <v>7068</v>
      </c>
      <c r="BZ204" s="859"/>
      <c r="CA204" s="594" t="s">
        <v>10073</v>
      </c>
      <c r="CB204" s="859"/>
      <c r="CC204" s="859"/>
      <c r="CD204" s="859"/>
      <c r="CE204" s="859"/>
      <c r="CF204" s="861"/>
      <c r="CG204" s="606" t="s">
        <v>12047</v>
      </c>
      <c r="CH204" s="606" t="s">
        <v>12048</v>
      </c>
      <c r="CI204" s="606" t="s">
        <v>5860</v>
      </c>
      <c r="CJ204" s="606" t="s">
        <v>12049</v>
      </c>
      <c r="CK204" s="606"/>
      <c r="CL204" s="606" t="s">
        <v>10480</v>
      </c>
      <c r="CM204" s="606" t="s">
        <v>6255</v>
      </c>
      <c r="CN204" s="606" t="s">
        <v>793</v>
      </c>
      <c r="CO204" s="606" t="s">
        <v>2652</v>
      </c>
      <c r="CP204" s="863"/>
      <c r="CQ204" s="863"/>
      <c r="CR204" s="863"/>
      <c r="CS204" s="863"/>
      <c r="CT204" s="863"/>
      <c r="CU204" s="62"/>
      <c r="CV204" s="703" t="s">
        <v>12050</v>
      </c>
      <c r="CW204" s="703" t="s">
        <v>12051</v>
      </c>
      <c r="CX204" s="703" t="s">
        <v>2642</v>
      </c>
      <c r="CY204" s="703" t="s">
        <v>5879</v>
      </c>
      <c r="CZ204" s="703" t="s">
        <v>12052</v>
      </c>
      <c r="DA204" s="703" t="s">
        <v>3189</v>
      </c>
      <c r="DB204" s="703" t="s">
        <v>5008</v>
      </c>
      <c r="DC204" s="703" t="s">
        <v>12053</v>
      </c>
      <c r="DD204" s="864"/>
      <c r="DE204" s="864"/>
      <c r="DF204" s="864"/>
      <c r="DG204" s="864"/>
      <c r="DH204" s="864"/>
      <c r="DI204" s="866"/>
      <c r="DJ204" s="866"/>
      <c r="DK204" s="866"/>
      <c r="DL204" s="866"/>
      <c r="DM204" s="866"/>
      <c r="DN204" s="866"/>
      <c r="DO204" s="866"/>
      <c r="DP204" s="866"/>
      <c r="DQ204" s="866"/>
      <c r="DR204" s="707" t="s">
        <v>12054</v>
      </c>
      <c r="DS204" s="707"/>
      <c r="DT204" s="866"/>
      <c r="DU204" s="866"/>
      <c r="DV204" s="866"/>
      <c r="DW204" s="866"/>
      <c r="DX204" s="866"/>
      <c r="DY204" s="866"/>
      <c r="DZ204" s="866"/>
      <c r="EA204" s="866"/>
      <c r="EB204" s="866"/>
      <c r="EC204" s="866"/>
      <c r="ED204" s="974"/>
    </row>
    <row r="205">
      <c r="A205" s="228" t="s">
        <v>124</v>
      </c>
      <c r="B205" s="229" t="s">
        <v>3449</v>
      </c>
      <c r="C205" s="230" t="s">
        <v>155</v>
      </c>
      <c r="D205" s="231" t="s">
        <v>155</v>
      </c>
      <c r="E205" s="232" t="s">
        <v>155</v>
      </c>
      <c r="F205" s="233" t="s">
        <v>155</v>
      </c>
      <c r="G205" s="229" t="s">
        <v>127</v>
      </c>
      <c r="H205" s="333"/>
      <c r="I205" s="274"/>
      <c r="J205" s="333"/>
      <c r="K205" s="333"/>
      <c r="L205" s="333"/>
      <c r="M205" s="333"/>
      <c r="N205" s="333"/>
      <c r="O205" s="333"/>
      <c r="P205" s="333"/>
      <c r="Q205" s="304"/>
      <c r="R205" s="304"/>
      <c r="S205" s="304"/>
      <c r="T205" s="304"/>
      <c r="U205" s="304"/>
      <c r="V205" s="304"/>
      <c r="W205" s="62"/>
      <c r="X205" s="333"/>
      <c r="Y205" s="333"/>
      <c r="Z205" s="333"/>
      <c r="AA205" s="2047" t="s">
        <v>4488</v>
      </c>
      <c r="AB205" s="908"/>
      <c r="AC205" s="333"/>
      <c r="AD205" s="333" t="s">
        <v>1260</v>
      </c>
      <c r="AE205" s="304"/>
      <c r="AF205" s="333"/>
      <c r="AG205" s="333"/>
      <c r="AH205" s="304"/>
      <c r="AI205" s="304"/>
      <c r="AJ205" s="333"/>
      <c r="AK205" s="304"/>
      <c r="AL205" s="61"/>
      <c r="AM205" s="333"/>
      <c r="AN205" s="333"/>
      <c r="AO205" s="304"/>
      <c r="AP205" s="304"/>
      <c r="AQ205" s="273"/>
      <c r="AR205" s="273"/>
      <c r="AS205" s="304"/>
      <c r="AT205" s="304"/>
      <c r="AU205" s="333"/>
      <c r="AV205" s="333"/>
      <c r="AW205" s="333"/>
      <c r="AX205" s="304"/>
      <c r="AY205" s="304"/>
      <c r="AZ205" s="304"/>
      <c r="BA205" s="304"/>
      <c r="BB205" s="333"/>
      <c r="BC205" s="333"/>
      <c r="BD205" s="333"/>
      <c r="BE205" s="333"/>
      <c r="BF205" s="333"/>
      <c r="BG205" s="333"/>
      <c r="BH205" s="304"/>
      <c r="BI205" s="333"/>
      <c r="BJ205" s="304"/>
      <c r="BK205" s="333"/>
      <c r="BL205" s="333"/>
      <c r="BM205" s="304"/>
      <c r="BN205" s="304"/>
      <c r="BO205" s="333"/>
      <c r="BP205" s="304"/>
      <c r="BQ205" s="841"/>
      <c r="BR205" s="333"/>
      <c r="BS205" s="333"/>
      <c r="BT205" s="333"/>
      <c r="BU205" s="333"/>
      <c r="BV205" s="333"/>
      <c r="BW205" s="333"/>
      <c r="BX205" s="304"/>
      <c r="BY205" s="333"/>
      <c r="BZ205" s="333"/>
      <c r="CA205" s="333"/>
      <c r="CB205" s="304"/>
      <c r="CC205" s="304"/>
      <c r="CD205" s="304"/>
      <c r="CE205" s="304"/>
      <c r="CF205" s="841"/>
      <c r="CG205" s="333"/>
      <c r="CH205" s="333"/>
      <c r="CI205" s="333"/>
      <c r="CJ205" s="333"/>
      <c r="CK205" s="333"/>
      <c r="CL205" s="333"/>
      <c r="CM205" s="333"/>
      <c r="CN205" s="333"/>
      <c r="CO205" s="333"/>
      <c r="CP205" s="768"/>
      <c r="CQ205" s="304"/>
      <c r="CR205" s="304"/>
      <c r="CS205" s="304"/>
      <c r="CT205" s="304"/>
      <c r="CU205" s="62"/>
      <c r="CV205" s="333"/>
      <c r="CW205" s="333"/>
      <c r="CX205" s="333"/>
      <c r="CY205" s="333"/>
      <c r="CZ205" s="333"/>
      <c r="DA205" s="333"/>
      <c r="DB205" s="333"/>
      <c r="DC205" s="333"/>
      <c r="DD205" s="304"/>
      <c r="DE205" s="304"/>
      <c r="DF205" s="304"/>
      <c r="DG205" s="304"/>
      <c r="DH205" s="304"/>
      <c r="DI205" s="333"/>
      <c r="DJ205" s="304"/>
      <c r="DK205" s="304"/>
      <c r="DL205" s="333"/>
      <c r="DM205" s="333"/>
      <c r="DN205" s="333"/>
      <c r="DO205" s="304"/>
      <c r="DP205" s="304"/>
      <c r="DQ205" s="304"/>
      <c r="DR205" s="333"/>
      <c r="DS205" s="333"/>
      <c r="DT205" s="304"/>
      <c r="DU205" s="333"/>
      <c r="DV205" s="304"/>
      <c r="DW205" s="304"/>
      <c r="DX205" s="304"/>
      <c r="DY205" s="304"/>
      <c r="DZ205" s="304"/>
      <c r="EA205" s="333"/>
      <c r="EB205" s="304"/>
      <c r="EC205" s="304"/>
      <c r="ED205" s="885"/>
    </row>
    <row r="206">
      <c r="A206" s="2048" t="s">
        <v>12055</v>
      </c>
      <c r="B206" s="381" t="s">
        <v>12056</v>
      </c>
      <c r="C206" s="384" t="s">
        <v>155</v>
      </c>
      <c r="D206" s="386" t="s">
        <v>155</v>
      </c>
      <c r="E206" s="389" t="s">
        <v>155</v>
      </c>
      <c r="F206" s="390" t="s">
        <v>155</v>
      </c>
      <c r="G206" s="381" t="s">
        <v>1064</v>
      </c>
      <c r="H206" s="547" t="s">
        <v>12057</v>
      </c>
      <c r="I206" s="547" t="s">
        <v>6891</v>
      </c>
      <c r="J206" s="547" t="s">
        <v>8421</v>
      </c>
      <c r="K206" s="547" t="s">
        <v>3205</v>
      </c>
      <c r="L206" s="547" t="s">
        <v>2309</v>
      </c>
      <c r="M206" s="547" t="s">
        <v>12058</v>
      </c>
      <c r="N206" s="547" t="s">
        <v>12059</v>
      </c>
      <c r="O206" s="547" t="s">
        <v>4962</v>
      </c>
      <c r="P206" s="547" t="s">
        <v>10730</v>
      </c>
      <c r="Q206" s="849"/>
      <c r="R206" s="849"/>
      <c r="S206" s="849"/>
      <c r="T206" s="849"/>
      <c r="U206" s="849"/>
      <c r="V206" s="849"/>
      <c r="W206" s="62"/>
      <c r="X206" s="683" t="s">
        <v>12060</v>
      </c>
      <c r="Y206" s="683"/>
      <c r="Z206" s="683" t="s">
        <v>4312</v>
      </c>
      <c r="AA206" s="852"/>
      <c r="AB206" s="852"/>
      <c r="AC206" s="683" t="s">
        <v>4862</v>
      </c>
      <c r="AD206" s="852"/>
      <c r="AE206" s="852"/>
      <c r="AF206" s="852"/>
      <c r="AG206" s="683" t="s">
        <v>1235</v>
      </c>
      <c r="AH206" s="852"/>
      <c r="AI206" s="852"/>
      <c r="AJ206" s="852"/>
      <c r="AK206" s="852"/>
      <c r="AL206" s="61"/>
      <c r="AM206" s="855"/>
      <c r="AN206" s="855"/>
      <c r="AO206" s="855"/>
      <c r="AP206" s="855"/>
      <c r="AQ206" s="855"/>
      <c r="AR206" s="855"/>
      <c r="AS206" s="855"/>
      <c r="AT206" s="855"/>
      <c r="AU206" s="571" t="s">
        <v>10528</v>
      </c>
      <c r="AV206" s="855"/>
      <c r="AW206" s="855"/>
      <c r="AX206" s="855"/>
      <c r="AY206" s="855"/>
      <c r="AZ206" s="855"/>
      <c r="BA206" s="855"/>
      <c r="BB206" s="589" t="s">
        <v>9969</v>
      </c>
      <c r="BC206" s="587"/>
      <c r="BD206" s="589" t="s">
        <v>9434</v>
      </c>
      <c r="BE206" s="587"/>
      <c r="BF206" s="587"/>
      <c r="BG206" s="587"/>
      <c r="BH206" s="587"/>
      <c r="BI206" s="589" t="s">
        <v>5131</v>
      </c>
      <c r="BJ206" s="587"/>
      <c r="BK206" s="587"/>
      <c r="BL206" s="589" t="s">
        <v>11462</v>
      </c>
      <c r="BM206" s="587"/>
      <c r="BN206" s="587"/>
      <c r="BO206" s="587"/>
      <c r="BP206" s="587"/>
      <c r="BQ206" s="857"/>
      <c r="BR206" s="859"/>
      <c r="BS206" s="859"/>
      <c r="BT206" s="859"/>
      <c r="BU206" s="594" t="s">
        <v>4293</v>
      </c>
      <c r="BV206" s="859"/>
      <c r="BW206" s="859"/>
      <c r="BX206" s="859"/>
      <c r="BY206" s="594" t="s">
        <v>398</v>
      </c>
      <c r="BZ206" s="859"/>
      <c r="CA206" s="859"/>
      <c r="CB206" s="859"/>
      <c r="CC206" s="859"/>
      <c r="CD206" s="859"/>
      <c r="CE206" s="859"/>
      <c r="CF206" s="861"/>
      <c r="CG206" s="606" t="s">
        <v>12061</v>
      </c>
      <c r="CH206" s="606" t="s">
        <v>3078</v>
      </c>
      <c r="CI206" s="606" t="s">
        <v>3252</v>
      </c>
      <c r="CJ206" s="606" t="s">
        <v>12062</v>
      </c>
      <c r="CK206" s="606"/>
      <c r="CL206" s="606" t="s">
        <v>3267</v>
      </c>
      <c r="CM206" s="606" t="s">
        <v>12063</v>
      </c>
      <c r="CN206" s="863"/>
      <c r="CO206" s="863"/>
      <c r="CP206" s="863"/>
      <c r="CQ206" s="863"/>
      <c r="CR206" s="863"/>
      <c r="CS206" s="863"/>
      <c r="CT206" s="863"/>
      <c r="CU206" s="62"/>
      <c r="CV206" s="864"/>
      <c r="CW206" s="864"/>
      <c r="CX206" s="864"/>
      <c r="CY206" s="864"/>
      <c r="CZ206" s="864"/>
      <c r="DA206" s="864"/>
      <c r="DB206" s="864"/>
      <c r="DC206" s="864"/>
      <c r="DD206" s="864"/>
      <c r="DE206" s="864"/>
      <c r="DF206" s="864"/>
      <c r="DG206" s="864"/>
      <c r="DH206" s="864"/>
      <c r="DI206" s="866"/>
      <c r="DJ206" s="866"/>
      <c r="DK206" s="866"/>
      <c r="DL206" s="866"/>
      <c r="DM206" s="866"/>
      <c r="DN206" s="866"/>
      <c r="DO206" s="866"/>
      <c r="DP206" s="866"/>
      <c r="DQ206" s="866"/>
      <c r="DR206" s="866"/>
      <c r="DS206" s="866"/>
      <c r="DT206" s="866"/>
      <c r="DU206" s="866"/>
      <c r="DV206" s="866"/>
      <c r="DW206" s="866"/>
      <c r="DX206" s="866"/>
      <c r="DY206" s="866"/>
      <c r="DZ206" s="866"/>
      <c r="EA206" s="866"/>
      <c r="EB206" s="866"/>
      <c r="EC206" s="866"/>
      <c r="ED206" s="974"/>
    </row>
    <row r="207">
      <c r="A207" s="228" t="s">
        <v>5829</v>
      </c>
      <c r="B207" s="229" t="s">
        <v>3081</v>
      </c>
      <c r="C207" s="230" t="s">
        <v>155</v>
      </c>
      <c r="D207" s="231" t="s">
        <v>155</v>
      </c>
      <c r="E207" s="232" t="s">
        <v>155</v>
      </c>
      <c r="F207" s="233" t="s">
        <v>76</v>
      </c>
      <c r="G207" s="229" t="s">
        <v>76</v>
      </c>
      <c r="H207" s="304"/>
      <c r="I207" s="304"/>
      <c r="J207" s="304"/>
      <c r="K207" s="304"/>
      <c r="L207" s="304"/>
      <c r="M207" s="304"/>
      <c r="N207" s="304"/>
      <c r="O207" s="304"/>
      <c r="P207" s="304"/>
      <c r="Q207" s="304"/>
      <c r="R207" s="304"/>
      <c r="S207" s="304"/>
      <c r="T207" s="304"/>
      <c r="U207" s="304"/>
      <c r="V207" s="304"/>
      <c r="W207" s="62"/>
      <c r="X207" s="304"/>
      <c r="Y207" s="304"/>
      <c r="Z207" s="304"/>
      <c r="AA207" s="304"/>
      <c r="AB207" s="242" t="s">
        <v>12064</v>
      </c>
      <c r="AC207" s="304"/>
      <c r="AD207" s="304"/>
      <c r="AE207" s="304"/>
      <c r="AF207" s="304"/>
      <c r="AG207" s="304"/>
      <c r="AH207" s="304"/>
      <c r="AI207" s="304"/>
      <c r="AJ207" s="304"/>
      <c r="AK207" s="304"/>
      <c r="AL207" s="61"/>
      <c r="AM207" s="304"/>
      <c r="AN207" s="304"/>
      <c r="AO207" s="304"/>
      <c r="AP207" s="304"/>
      <c r="AQ207" s="304"/>
      <c r="AR207" s="304"/>
      <c r="AS207" s="304"/>
      <c r="AT207" s="304"/>
      <c r="AU207" s="304"/>
      <c r="AV207" s="304"/>
      <c r="AW207" s="304"/>
      <c r="AX207" s="304"/>
      <c r="AY207" s="304"/>
      <c r="AZ207" s="304"/>
      <c r="BA207" s="304"/>
      <c r="BB207" s="304"/>
      <c r="BC207" s="304"/>
      <c r="BD207" s="304"/>
      <c r="BE207" s="304"/>
      <c r="BF207" s="304"/>
      <c r="BG207" s="304"/>
      <c r="BH207" s="304"/>
      <c r="BI207" s="304"/>
      <c r="BJ207" s="304"/>
      <c r="BK207" s="304"/>
      <c r="BL207" s="304"/>
      <c r="BM207" s="304"/>
      <c r="BN207" s="304"/>
      <c r="BO207" s="304"/>
      <c r="BP207" s="304"/>
      <c r="BQ207" s="841"/>
      <c r="BR207" s="304"/>
      <c r="BS207" s="304"/>
      <c r="BT207" s="304"/>
      <c r="BU207" s="304"/>
      <c r="BV207" s="304"/>
      <c r="BW207" s="304"/>
      <c r="BX207" s="304"/>
      <c r="BY207" s="304"/>
      <c r="BZ207" s="304"/>
      <c r="CA207" s="304"/>
      <c r="CB207" s="304"/>
      <c r="CC207" s="304"/>
      <c r="CD207" s="304"/>
      <c r="CE207" s="304"/>
      <c r="CF207" s="841"/>
      <c r="CG207" s="304"/>
      <c r="CH207" s="304"/>
      <c r="CI207" s="304"/>
      <c r="CJ207" s="304"/>
      <c r="CK207" s="304"/>
      <c r="CL207" s="304"/>
      <c r="CM207" s="304"/>
      <c r="CN207" s="304"/>
      <c r="CO207" s="304"/>
      <c r="CP207" s="304"/>
      <c r="CQ207" s="304"/>
      <c r="CR207" s="304"/>
      <c r="CS207" s="304"/>
      <c r="CT207" s="304"/>
      <c r="CU207" s="62"/>
      <c r="CV207" s="304"/>
      <c r="CW207" s="304"/>
      <c r="CX207" s="304"/>
      <c r="CY207" s="304"/>
      <c r="CZ207" s="304"/>
      <c r="DA207" s="304"/>
      <c r="DB207" s="304"/>
      <c r="DC207" s="304"/>
      <c r="DD207" s="304"/>
      <c r="DE207" s="304"/>
      <c r="DF207" s="304"/>
      <c r="DG207" s="304"/>
      <c r="DH207" s="304"/>
      <c r="DI207" s="304"/>
      <c r="DJ207" s="304"/>
      <c r="DK207" s="304"/>
      <c r="DL207" s="304"/>
      <c r="DM207" s="304"/>
      <c r="DN207" s="304"/>
      <c r="DO207" s="304"/>
      <c r="DP207" s="304"/>
      <c r="DQ207" s="304"/>
      <c r="DR207" s="304"/>
      <c r="DS207" s="304"/>
      <c r="DT207" s="304"/>
      <c r="DU207" s="304"/>
      <c r="DV207" s="304"/>
      <c r="DW207" s="304"/>
      <c r="DX207" s="304"/>
      <c r="DY207" s="304"/>
      <c r="DZ207" s="304"/>
      <c r="EA207" s="304"/>
      <c r="EB207" s="304"/>
      <c r="EC207" s="304"/>
      <c r="ED207" s="1639"/>
    </row>
    <row r="208">
      <c r="A208" s="2049" t="s">
        <v>12065</v>
      </c>
      <c r="B208" s="381" t="s">
        <v>3412</v>
      </c>
      <c r="C208" s="384" t="s">
        <v>155</v>
      </c>
      <c r="D208" s="386" t="s">
        <v>155</v>
      </c>
      <c r="E208" s="389" t="s">
        <v>155</v>
      </c>
      <c r="F208" s="390" t="s">
        <v>76</v>
      </c>
      <c r="G208" s="381" t="s">
        <v>79</v>
      </c>
      <c r="H208" s="1711"/>
      <c r="I208" s="1799"/>
      <c r="J208" s="1711"/>
      <c r="K208" s="1711"/>
      <c r="L208" s="1711"/>
      <c r="M208" s="1711"/>
      <c r="N208" s="1711"/>
      <c r="O208" s="1711"/>
      <c r="P208" s="1711"/>
      <c r="Q208" s="849"/>
      <c r="R208" s="849"/>
      <c r="S208" s="849"/>
      <c r="T208" s="849"/>
      <c r="U208" s="849"/>
      <c r="V208" s="849"/>
      <c r="W208" s="62"/>
      <c r="X208" s="421"/>
      <c r="Y208" s="421"/>
      <c r="Z208" s="421"/>
      <c r="AA208" s="421"/>
      <c r="AB208" s="1007"/>
      <c r="AC208" s="421"/>
      <c r="AD208" s="421"/>
      <c r="AE208" s="852"/>
      <c r="AF208" s="421"/>
      <c r="AG208" s="421"/>
      <c r="AH208" s="852"/>
      <c r="AI208" s="852"/>
      <c r="AJ208" s="421"/>
      <c r="AK208" s="852"/>
      <c r="AL208" s="61"/>
      <c r="AM208" s="435"/>
      <c r="AN208" s="435"/>
      <c r="AO208" s="855"/>
      <c r="AP208" s="855"/>
      <c r="AQ208" s="571"/>
      <c r="AR208" s="571"/>
      <c r="AS208" s="855"/>
      <c r="AT208" s="855"/>
      <c r="AU208" s="435"/>
      <c r="AV208" s="435" t="s">
        <v>11462</v>
      </c>
      <c r="AW208" s="435"/>
      <c r="AX208" s="855"/>
      <c r="AY208" s="855"/>
      <c r="AZ208" s="855"/>
      <c r="BA208" s="855"/>
      <c r="BB208" s="1645"/>
      <c r="BC208" s="1645"/>
      <c r="BD208" s="1645"/>
      <c r="BE208" s="1645"/>
      <c r="BF208" s="1645"/>
      <c r="BG208" s="1645"/>
      <c r="BH208" s="587"/>
      <c r="BI208" s="439" t="s">
        <v>3854</v>
      </c>
      <c r="BJ208" s="587"/>
      <c r="BK208" s="1645"/>
      <c r="BL208" s="1645"/>
      <c r="BM208" s="587"/>
      <c r="BN208" s="587"/>
      <c r="BO208" s="1645"/>
      <c r="BP208" s="587"/>
      <c r="BQ208" s="857"/>
      <c r="BR208" s="451"/>
      <c r="BS208" s="451"/>
      <c r="BT208" s="451"/>
      <c r="BU208" s="451"/>
      <c r="BV208" s="451"/>
      <c r="BW208" s="451"/>
      <c r="BX208" s="859"/>
      <c r="BY208" s="451"/>
      <c r="BZ208" s="451"/>
      <c r="CA208" s="451"/>
      <c r="CB208" s="859"/>
      <c r="CC208" s="859"/>
      <c r="CD208" s="859"/>
      <c r="CE208" s="859"/>
      <c r="CF208" s="861"/>
      <c r="CG208" s="460" t="s">
        <v>3661</v>
      </c>
      <c r="CH208" s="460"/>
      <c r="CI208" s="460"/>
      <c r="CJ208" s="460"/>
      <c r="CK208" s="460"/>
      <c r="CL208" s="460"/>
      <c r="CM208" s="460"/>
      <c r="CN208" s="460"/>
      <c r="CO208" s="460"/>
      <c r="CP208" s="1800"/>
      <c r="CQ208" s="863"/>
      <c r="CR208" s="863"/>
      <c r="CS208" s="863"/>
      <c r="CT208" s="863"/>
      <c r="CU208" s="62"/>
      <c r="CV208" s="470"/>
      <c r="CW208" s="470"/>
      <c r="CX208" s="470"/>
      <c r="CY208" s="470"/>
      <c r="CZ208" s="470"/>
      <c r="DA208" s="470"/>
      <c r="DB208" s="470" t="s">
        <v>5203</v>
      </c>
      <c r="DC208" s="470"/>
      <c r="DD208" s="864"/>
      <c r="DE208" s="864"/>
      <c r="DF208" s="864"/>
      <c r="DG208" s="864"/>
      <c r="DH208" s="864"/>
      <c r="DI208" s="709"/>
      <c r="DJ208" s="866"/>
      <c r="DK208" s="866"/>
      <c r="DL208" s="709"/>
      <c r="DM208" s="709"/>
      <c r="DN208" s="709"/>
      <c r="DO208" s="866"/>
      <c r="DP208" s="866"/>
      <c r="DQ208" s="866"/>
      <c r="DR208" s="709"/>
      <c r="DS208" s="709"/>
      <c r="DT208" s="866"/>
      <c r="DU208" s="709"/>
      <c r="DV208" s="866"/>
      <c r="DW208" s="866"/>
      <c r="DX208" s="866"/>
      <c r="DY208" s="866"/>
      <c r="DZ208" s="866"/>
      <c r="EA208" s="709"/>
      <c r="EB208" s="866"/>
      <c r="EC208" s="866"/>
      <c r="ED208" s="974"/>
    </row>
    <row r="209">
      <c r="A209" s="2009" t="s">
        <v>12066</v>
      </c>
      <c r="B209" s="229" t="s">
        <v>3654</v>
      </c>
      <c r="C209" s="230" t="s">
        <v>155</v>
      </c>
      <c r="D209" s="231" t="s">
        <v>155</v>
      </c>
      <c r="E209" s="232" t="s">
        <v>155</v>
      </c>
      <c r="F209" s="233" t="s">
        <v>156</v>
      </c>
      <c r="G209" s="229" t="s">
        <v>156</v>
      </c>
      <c r="H209" s="333"/>
      <c r="I209" s="274"/>
      <c r="J209" s="242" t="s">
        <v>12067</v>
      </c>
      <c r="K209" s="242" t="s">
        <v>12068</v>
      </c>
      <c r="L209" s="242" t="s">
        <v>4650</v>
      </c>
      <c r="M209" s="333"/>
      <c r="N209" s="333"/>
      <c r="O209" s="333"/>
      <c r="P209" s="333"/>
      <c r="Q209" s="304"/>
      <c r="R209" s="304"/>
      <c r="S209" s="304"/>
      <c r="T209" s="304"/>
      <c r="U209" s="304"/>
      <c r="V209" s="304"/>
      <c r="W209" s="62"/>
      <c r="X209" s="333"/>
      <c r="Y209" s="333"/>
      <c r="Z209" s="333"/>
      <c r="AA209" s="333"/>
      <c r="AB209" s="908"/>
      <c r="AC209" s="333"/>
      <c r="AD209" s="333"/>
      <c r="AE209" s="304"/>
      <c r="AF209" s="333"/>
      <c r="AG209" s="333"/>
      <c r="AH209" s="304"/>
      <c r="AI209" s="304"/>
      <c r="AJ209" s="333"/>
      <c r="AK209" s="304"/>
      <c r="AL209" s="61"/>
      <c r="AM209" s="333"/>
      <c r="AN209" s="333"/>
      <c r="AO209" s="304"/>
      <c r="AP209" s="304"/>
      <c r="AQ209" s="273"/>
      <c r="AR209" s="273"/>
      <c r="AS209" s="304"/>
      <c r="AT209" s="304"/>
      <c r="AU209" s="333"/>
      <c r="AV209" s="333"/>
      <c r="AW209" s="333"/>
      <c r="AX209" s="304"/>
      <c r="AY209" s="304"/>
      <c r="AZ209" s="304"/>
      <c r="BA209" s="304"/>
      <c r="BB209" s="333"/>
      <c r="BC209" s="333"/>
      <c r="BD209" s="333"/>
      <c r="BE209" s="333"/>
      <c r="BF209" s="333"/>
      <c r="BG209" s="333"/>
      <c r="BH209" s="304"/>
      <c r="BI209" s="333"/>
      <c r="BJ209" s="304"/>
      <c r="BK209" s="333"/>
      <c r="BL209" s="333"/>
      <c r="BM209" s="304"/>
      <c r="BN209" s="304"/>
      <c r="BO209" s="333"/>
      <c r="BP209" s="304"/>
      <c r="BQ209" s="841"/>
      <c r="BR209" s="333"/>
      <c r="BS209" s="333"/>
      <c r="BT209" s="333"/>
      <c r="BU209" s="333"/>
      <c r="BV209" s="333"/>
      <c r="BW209" s="333"/>
      <c r="BX209" s="304"/>
      <c r="BY209" s="333"/>
      <c r="BZ209" s="333"/>
      <c r="CA209" s="333"/>
      <c r="CB209" s="304"/>
      <c r="CC209" s="304"/>
      <c r="CD209" s="304"/>
      <c r="CE209" s="304"/>
      <c r="CF209" s="841"/>
      <c r="CG209" s="333"/>
      <c r="CH209" s="333"/>
      <c r="CI209" s="333"/>
      <c r="CJ209" s="333"/>
      <c r="CK209" s="333"/>
      <c r="CL209" s="333"/>
      <c r="CM209" s="333"/>
      <c r="CN209" s="333"/>
      <c r="CO209" s="333"/>
      <c r="CP209" s="768"/>
      <c r="CQ209" s="304"/>
      <c r="CR209" s="304"/>
      <c r="CS209" s="304"/>
      <c r="CT209" s="304"/>
      <c r="CU209" s="62"/>
      <c r="CV209" s="333"/>
      <c r="CW209" s="333"/>
      <c r="CX209" s="333"/>
      <c r="CY209" s="333"/>
      <c r="CZ209" s="333"/>
      <c r="DA209" s="333"/>
      <c r="DB209" s="333"/>
      <c r="DC209" s="333"/>
      <c r="DD209" s="304"/>
      <c r="DE209" s="304"/>
      <c r="DF209" s="304"/>
      <c r="DG209" s="304"/>
      <c r="DH209" s="304"/>
      <c r="DI209" s="333"/>
      <c r="DJ209" s="304"/>
      <c r="DK209" s="304"/>
      <c r="DL209" s="333"/>
      <c r="DM209" s="333"/>
      <c r="DN209" s="333"/>
      <c r="DO209" s="304"/>
      <c r="DP209" s="304"/>
      <c r="DQ209" s="304"/>
      <c r="DR209" s="333"/>
      <c r="DS209" s="333"/>
      <c r="DT209" s="304"/>
      <c r="DU209" s="333"/>
      <c r="DV209" s="304"/>
      <c r="DW209" s="304"/>
      <c r="DX209" s="304"/>
      <c r="DY209" s="304"/>
      <c r="DZ209" s="304"/>
      <c r="EA209" s="333"/>
      <c r="EB209" s="304"/>
      <c r="EC209" s="304"/>
      <c r="ED209" s="885"/>
    </row>
    <row r="210">
      <c r="A210" s="545" t="s">
        <v>12069</v>
      </c>
      <c r="B210" s="381" t="s">
        <v>10435</v>
      </c>
      <c r="C210" s="384" t="s">
        <v>155</v>
      </c>
      <c r="D210" s="386" t="s">
        <v>155</v>
      </c>
      <c r="E210" s="389" t="s">
        <v>155</v>
      </c>
      <c r="F210" s="390" t="s">
        <v>155</v>
      </c>
      <c r="G210" s="381" t="s">
        <v>74</v>
      </c>
      <c r="H210" s="547"/>
      <c r="I210" s="547" t="s">
        <v>12070</v>
      </c>
      <c r="J210" s="547" t="s">
        <v>9909</v>
      </c>
      <c r="K210" s="547" t="s">
        <v>2515</v>
      </c>
      <c r="L210" s="849"/>
      <c r="M210" s="849"/>
      <c r="N210" s="849"/>
      <c r="O210" s="849"/>
      <c r="P210" s="547" t="s">
        <v>4044</v>
      </c>
      <c r="Q210" s="849"/>
      <c r="R210" s="849"/>
      <c r="S210" s="849"/>
      <c r="T210" s="849"/>
      <c r="U210" s="849"/>
      <c r="V210" s="849"/>
      <c r="W210" s="62"/>
      <c r="X210" s="852"/>
      <c r="Y210" s="852"/>
      <c r="Z210" s="852"/>
      <c r="AA210" s="683" t="s">
        <v>10224</v>
      </c>
      <c r="AB210" s="852"/>
      <c r="AC210" s="683" t="s">
        <v>2625</v>
      </c>
      <c r="AD210" s="852"/>
      <c r="AE210" s="852"/>
      <c r="AF210" s="852"/>
      <c r="AG210" s="1218" t="s">
        <v>458</v>
      </c>
      <c r="AH210" s="852"/>
      <c r="AI210" s="852"/>
      <c r="AJ210" s="852"/>
      <c r="AK210" s="852"/>
      <c r="AL210" s="61"/>
      <c r="AM210" s="571"/>
      <c r="AN210" s="855"/>
      <c r="AO210" s="855"/>
      <c r="AP210" s="855"/>
      <c r="AQ210" s="855"/>
      <c r="AR210" s="855"/>
      <c r="AS210" s="855"/>
      <c r="AT210" s="855"/>
      <c r="AU210" s="855"/>
      <c r="AV210" s="571" t="s">
        <v>3392</v>
      </c>
      <c r="AW210" s="855"/>
      <c r="AX210" s="855"/>
      <c r="AY210" s="855"/>
      <c r="AZ210" s="855"/>
      <c r="BA210" s="855"/>
      <c r="BB210" s="587"/>
      <c r="BC210" s="589" t="s">
        <v>1934</v>
      </c>
      <c r="BD210" s="589" t="s">
        <v>522</v>
      </c>
      <c r="BE210" s="589" t="s">
        <v>5694</v>
      </c>
      <c r="BF210" s="587"/>
      <c r="BG210" s="587"/>
      <c r="BH210" s="587"/>
      <c r="BI210" s="589" t="s">
        <v>847</v>
      </c>
      <c r="BJ210" s="587"/>
      <c r="BK210" s="587"/>
      <c r="BL210" s="587"/>
      <c r="BM210" s="587"/>
      <c r="BN210" s="587"/>
      <c r="BO210" s="587"/>
      <c r="BP210" s="587"/>
      <c r="BQ210" s="857"/>
      <c r="BR210" s="859"/>
      <c r="BS210" s="594" t="s">
        <v>3571</v>
      </c>
      <c r="BT210" s="594" t="s">
        <v>828</v>
      </c>
      <c r="BU210" s="594" t="s">
        <v>11204</v>
      </c>
      <c r="BV210" s="859"/>
      <c r="BW210" s="859"/>
      <c r="BX210" s="859"/>
      <c r="BY210" s="859"/>
      <c r="BZ210" s="859"/>
      <c r="CA210" s="859"/>
      <c r="CB210" s="859"/>
      <c r="CC210" s="859"/>
      <c r="CD210" s="859"/>
      <c r="CE210" s="859"/>
      <c r="CF210" s="861"/>
      <c r="CG210" s="606" t="s">
        <v>12071</v>
      </c>
      <c r="CH210" s="606" t="s">
        <v>1772</v>
      </c>
      <c r="CI210" s="863"/>
      <c r="CJ210" s="863"/>
      <c r="CK210" s="863"/>
      <c r="CL210" s="863"/>
      <c r="CM210" s="863"/>
      <c r="CN210" s="863"/>
      <c r="CO210" s="863"/>
      <c r="CP210" s="863"/>
      <c r="CQ210" s="863"/>
      <c r="CR210" s="863"/>
      <c r="CS210" s="863"/>
      <c r="CT210" s="863"/>
      <c r="CU210" s="62"/>
      <c r="CV210" s="864"/>
      <c r="CW210" s="864"/>
      <c r="CX210" s="703" t="s">
        <v>2557</v>
      </c>
      <c r="CY210" s="864"/>
      <c r="CZ210" s="864"/>
      <c r="DA210" s="864"/>
      <c r="DB210" s="864"/>
      <c r="DC210" s="864"/>
      <c r="DD210" s="864"/>
      <c r="DE210" s="864"/>
      <c r="DF210" s="864"/>
      <c r="DG210" s="864"/>
      <c r="DH210" s="864"/>
      <c r="DI210" s="866"/>
      <c r="DJ210" s="866"/>
      <c r="DK210" s="866"/>
      <c r="DL210" s="866"/>
      <c r="DM210" s="866"/>
      <c r="DN210" s="866"/>
      <c r="DO210" s="866"/>
      <c r="DP210" s="866"/>
      <c r="DQ210" s="866"/>
      <c r="DR210" s="866"/>
      <c r="DS210" s="707" t="s">
        <v>5994</v>
      </c>
      <c r="DT210" s="866"/>
      <c r="DU210" s="866"/>
      <c r="DV210" s="866"/>
      <c r="DW210" s="866"/>
      <c r="DX210" s="866"/>
      <c r="DY210" s="866"/>
      <c r="DZ210" s="866"/>
      <c r="EA210" s="866"/>
      <c r="EB210" s="866"/>
      <c r="EC210" s="866"/>
      <c r="ED210" s="1941"/>
    </row>
    <row r="211">
      <c r="A211" s="837" t="s">
        <v>12072</v>
      </c>
      <c r="B211" s="229" t="s">
        <v>4988</v>
      </c>
      <c r="C211" s="230" t="s">
        <v>155</v>
      </c>
      <c r="D211" s="231" t="s">
        <v>155</v>
      </c>
      <c r="E211" s="232" t="s">
        <v>155</v>
      </c>
      <c r="F211" s="233" t="s">
        <v>76</v>
      </c>
      <c r="G211" s="229" t="s">
        <v>157</v>
      </c>
      <c r="H211" s="333"/>
      <c r="I211" s="274"/>
      <c r="J211" s="333"/>
      <c r="K211" s="242" t="s">
        <v>12073</v>
      </c>
      <c r="L211" s="333"/>
      <c r="M211" s="333"/>
      <c r="N211" s="333"/>
      <c r="O211" s="333"/>
      <c r="P211" s="333"/>
      <c r="Q211" s="304"/>
      <c r="R211" s="304"/>
      <c r="S211" s="304"/>
      <c r="T211" s="304"/>
      <c r="U211" s="304"/>
      <c r="V211" s="304"/>
      <c r="W211" s="62"/>
      <c r="X211" s="333"/>
      <c r="Y211" s="333"/>
      <c r="Z211" s="333"/>
      <c r="AA211" s="333" t="s">
        <v>2535</v>
      </c>
      <c r="AB211" s="908"/>
      <c r="AC211" s="333"/>
      <c r="AD211" s="333"/>
      <c r="AE211" s="304"/>
      <c r="AF211" s="333" t="s">
        <v>5661</v>
      </c>
      <c r="AG211" s="333"/>
      <c r="AH211" s="304"/>
      <c r="AI211" s="304"/>
      <c r="AJ211" s="333"/>
      <c r="AK211" s="304"/>
      <c r="AL211" s="61"/>
      <c r="AM211" s="333"/>
      <c r="AN211" s="333"/>
      <c r="AO211" s="304"/>
      <c r="AP211" s="304"/>
      <c r="AQ211" s="273"/>
      <c r="AR211" s="273"/>
      <c r="AS211" s="304"/>
      <c r="AT211" s="304"/>
      <c r="AU211" s="885" t="s">
        <v>8710</v>
      </c>
      <c r="AV211" s="333"/>
      <c r="AW211" s="333"/>
      <c r="AX211" s="304"/>
      <c r="AY211" s="304"/>
      <c r="AZ211" s="304"/>
      <c r="BA211" s="304"/>
      <c r="BB211" s="333"/>
      <c r="BC211" s="333"/>
      <c r="BD211" s="333"/>
      <c r="BE211" s="333"/>
      <c r="BF211" s="333"/>
      <c r="BG211" s="333"/>
      <c r="BH211" s="304"/>
      <c r="BI211" s="333"/>
      <c r="BJ211" s="304"/>
      <c r="BK211" s="333"/>
      <c r="BL211" s="333"/>
      <c r="BM211" s="304"/>
      <c r="BN211" s="304"/>
      <c r="BO211" s="333"/>
      <c r="BP211" s="304"/>
      <c r="BQ211" s="841"/>
      <c r="BR211" s="333"/>
      <c r="BS211" s="333"/>
      <c r="BT211" s="333"/>
      <c r="BU211" s="333"/>
      <c r="BV211" s="333"/>
      <c r="BW211" s="333"/>
      <c r="BX211" s="304"/>
      <c r="BY211" s="333"/>
      <c r="BZ211" s="333"/>
      <c r="CA211" s="333"/>
      <c r="CB211" s="304"/>
      <c r="CC211" s="304"/>
      <c r="CD211" s="304"/>
      <c r="CE211" s="304"/>
      <c r="CF211" s="841"/>
      <c r="CG211" s="333"/>
      <c r="CH211" s="333"/>
      <c r="CI211" s="333"/>
      <c r="CJ211" s="333"/>
      <c r="CK211" s="333"/>
      <c r="CL211" s="333"/>
      <c r="CM211" s="333"/>
      <c r="CN211" s="333"/>
      <c r="CO211" s="333"/>
      <c r="CP211" s="768"/>
      <c r="CQ211" s="304"/>
      <c r="CR211" s="304"/>
      <c r="CS211" s="304"/>
      <c r="CT211" s="304"/>
      <c r="CU211" s="62"/>
      <c r="CV211" s="885" t="s">
        <v>3281</v>
      </c>
      <c r="CW211" s="333"/>
      <c r="CX211" s="333"/>
      <c r="CY211" s="333"/>
      <c r="CZ211" s="333"/>
      <c r="DA211" s="333"/>
      <c r="DB211" s="333"/>
      <c r="DC211" s="333"/>
      <c r="DD211" s="304"/>
      <c r="DE211" s="304"/>
      <c r="DF211" s="304"/>
      <c r="DG211" s="304"/>
      <c r="DH211" s="304"/>
      <c r="DI211" s="333"/>
      <c r="DJ211" s="304"/>
      <c r="DK211" s="304"/>
      <c r="DL211" s="333"/>
      <c r="DM211" s="333"/>
      <c r="DN211" s="333"/>
      <c r="DO211" s="304"/>
      <c r="DP211" s="304"/>
      <c r="DQ211" s="304"/>
      <c r="DR211" s="333"/>
      <c r="DS211" s="333"/>
      <c r="DT211" s="304"/>
      <c r="DU211" s="333"/>
      <c r="DV211" s="304"/>
      <c r="DW211" s="304"/>
      <c r="DX211" s="304"/>
      <c r="DY211" s="304"/>
      <c r="DZ211" s="304"/>
      <c r="EA211" s="333"/>
      <c r="EB211" s="304"/>
      <c r="EC211" s="304"/>
      <c r="ED211" s="885"/>
    </row>
    <row r="212">
      <c r="A212" s="2033" t="s">
        <v>9079</v>
      </c>
      <c r="B212" s="381" t="s">
        <v>3666</v>
      </c>
      <c r="C212" s="384" t="s">
        <v>155</v>
      </c>
      <c r="D212" s="386" t="s">
        <v>155</v>
      </c>
      <c r="E212" s="389" t="s">
        <v>155</v>
      </c>
      <c r="F212" s="390" t="s">
        <v>127</v>
      </c>
      <c r="G212" s="381" t="s">
        <v>127</v>
      </c>
      <c r="H212" s="849"/>
      <c r="I212" s="849"/>
      <c r="J212" s="849"/>
      <c r="K212" s="849"/>
      <c r="L212" s="849"/>
      <c r="M212" s="849"/>
      <c r="N212" s="849"/>
      <c r="O212" s="849"/>
      <c r="P212" s="849"/>
      <c r="Q212" s="849"/>
      <c r="R212" s="849"/>
      <c r="S212" s="849"/>
      <c r="T212" s="849"/>
      <c r="U212" s="849"/>
      <c r="V212" s="849"/>
      <c r="W212" s="62"/>
      <c r="X212" s="852"/>
      <c r="Y212" s="852"/>
      <c r="Z212" s="852"/>
      <c r="AA212" s="852"/>
      <c r="AB212" s="852"/>
      <c r="AC212" s="852"/>
      <c r="AD212" s="852"/>
      <c r="AE212" s="852"/>
      <c r="AF212" s="852"/>
      <c r="AG212" s="852"/>
      <c r="AH212" s="852"/>
      <c r="AI212" s="852"/>
      <c r="AJ212" s="852"/>
      <c r="AK212" s="852"/>
      <c r="AL212" s="61"/>
      <c r="AM212" s="855"/>
      <c r="AN212" s="855"/>
      <c r="AO212" s="855"/>
      <c r="AP212" s="855"/>
      <c r="AQ212" s="855"/>
      <c r="AR212" s="855"/>
      <c r="AS212" s="855"/>
      <c r="AT212" s="855"/>
      <c r="AU212" s="855"/>
      <c r="AV212" s="855"/>
      <c r="AW212" s="855"/>
      <c r="AX212" s="855"/>
      <c r="AY212" s="855"/>
      <c r="AZ212" s="855"/>
      <c r="BA212" s="855"/>
      <c r="BB212" s="587"/>
      <c r="BC212" s="587"/>
      <c r="BD212" s="587"/>
      <c r="BE212" s="589"/>
      <c r="BF212" s="587"/>
      <c r="BG212" s="587"/>
      <c r="BH212" s="587"/>
      <c r="BI212" s="587"/>
      <c r="BJ212" s="587"/>
      <c r="BK212" s="587"/>
      <c r="BL212" s="587"/>
      <c r="BM212" s="587"/>
      <c r="BN212" s="587"/>
      <c r="BO212" s="587"/>
      <c r="BP212" s="587"/>
      <c r="BQ212" s="857"/>
      <c r="BR212" s="859"/>
      <c r="BS212" s="859"/>
      <c r="BT212" s="859"/>
      <c r="BU212" s="859"/>
      <c r="BV212" s="859"/>
      <c r="BW212" s="859"/>
      <c r="BX212" s="859"/>
      <c r="BY212" s="447" t="str">
        <f>HYPERLINK("https://twitter.com/md_chosen/status/807405341659041792","2:32.80")</f>
        <v>2:32.80</v>
      </c>
      <c r="BZ212" s="447" t="str">
        <f>HYPERLINK("https://www.youtube.com/watch?v=QrrqNYKxkjE","2:29.17")</f>
        <v>2:29.17</v>
      </c>
      <c r="CA212" s="859"/>
      <c r="CB212" s="859"/>
      <c r="CC212" s="859"/>
      <c r="CD212" s="859"/>
      <c r="CE212" s="859"/>
      <c r="CF212" s="861"/>
      <c r="CG212" s="863"/>
      <c r="CH212" s="863"/>
      <c r="CI212" s="863"/>
      <c r="CJ212" s="863"/>
      <c r="CK212" s="863"/>
      <c r="CL212" s="863"/>
      <c r="CM212" s="863"/>
      <c r="CN212" s="606"/>
      <c r="CO212" s="863"/>
      <c r="CP212" s="863"/>
      <c r="CQ212" s="863"/>
      <c r="CR212" s="863"/>
      <c r="CS212" s="863"/>
      <c r="CT212" s="863"/>
      <c r="CU212" s="62"/>
      <c r="CV212" s="864"/>
      <c r="CW212" s="864"/>
      <c r="CX212" s="864"/>
      <c r="CY212" s="864"/>
      <c r="CZ212" s="864"/>
      <c r="DA212" s="864"/>
      <c r="DB212" s="864"/>
      <c r="DC212" s="864"/>
      <c r="DD212" s="864"/>
      <c r="DE212" s="864"/>
      <c r="DF212" s="864"/>
      <c r="DG212" s="864"/>
      <c r="DH212" s="864"/>
      <c r="DI212" s="866"/>
      <c r="DJ212" s="866"/>
      <c r="DK212" s="866"/>
      <c r="DL212" s="866"/>
      <c r="DM212" s="866"/>
      <c r="DN212" s="866"/>
      <c r="DO212" s="866"/>
      <c r="DP212" s="866"/>
      <c r="DQ212" s="866"/>
      <c r="DR212" s="866"/>
      <c r="DS212" s="866"/>
      <c r="DT212" s="866"/>
      <c r="DU212" s="866"/>
      <c r="DV212" s="866"/>
      <c r="DW212" s="866"/>
      <c r="DX212" s="866"/>
      <c r="DY212" s="866"/>
      <c r="DZ212" s="866"/>
      <c r="EA212" s="866"/>
      <c r="EB212" s="866"/>
      <c r="EC212" s="866"/>
      <c r="ED212" s="974"/>
    </row>
    <row r="213">
      <c r="A213" s="2038" t="s">
        <v>399</v>
      </c>
      <c r="B213" s="229" t="s">
        <v>3889</v>
      </c>
      <c r="C213" s="230" t="s">
        <v>76</v>
      </c>
      <c r="D213" s="231" t="s">
        <v>155</v>
      </c>
      <c r="E213" s="232" t="s">
        <v>155</v>
      </c>
      <c r="F213" s="233" t="s">
        <v>127</v>
      </c>
      <c r="G213" s="229" t="s">
        <v>127</v>
      </c>
      <c r="H213" s="304"/>
      <c r="I213" s="273"/>
      <c r="J213" s="304"/>
      <c r="K213" s="273"/>
      <c r="L213" s="304"/>
      <c r="M213" s="304"/>
      <c r="N213" s="304"/>
      <c r="O213" s="304"/>
      <c r="P213" s="304"/>
      <c r="Q213" s="304"/>
      <c r="R213" s="304"/>
      <c r="S213" s="304"/>
      <c r="T213" s="304"/>
      <c r="U213" s="304"/>
      <c r="V213" s="304"/>
      <c r="W213" s="62"/>
      <c r="X213" s="304"/>
      <c r="Y213" s="304"/>
      <c r="Z213" s="304"/>
      <c r="AA213" s="304"/>
      <c r="AB213" s="304"/>
      <c r="AC213" s="304"/>
      <c r="AD213" s="304"/>
      <c r="AE213" s="304"/>
      <c r="AF213" s="304"/>
      <c r="AG213" s="304"/>
      <c r="AH213" s="304"/>
      <c r="AI213" s="236" t="s">
        <v>12074</v>
      </c>
      <c r="AJ213" s="304"/>
      <c r="AK213" s="304"/>
      <c r="AL213" s="61"/>
      <c r="AM213" s="304"/>
      <c r="AN213" s="304"/>
      <c r="AO213" s="304"/>
      <c r="AP213" s="304"/>
      <c r="AQ213" s="304"/>
      <c r="AR213" s="304"/>
      <c r="AS213" s="304"/>
      <c r="AT213" s="304"/>
      <c r="AU213" s="304"/>
      <c r="AV213" s="304"/>
      <c r="AW213" s="304"/>
      <c r="AX213" s="304"/>
      <c r="AY213" s="304"/>
      <c r="AZ213" s="304"/>
      <c r="BA213" s="304"/>
      <c r="BB213" s="304"/>
      <c r="BC213" s="304"/>
      <c r="BD213" s="304"/>
      <c r="BE213" s="273"/>
      <c r="BF213" s="304"/>
      <c r="BG213" s="304"/>
      <c r="BH213" s="304"/>
      <c r="BI213" s="304"/>
      <c r="BJ213" s="304"/>
      <c r="BK213" s="304"/>
      <c r="BL213" s="304"/>
      <c r="BM213" s="304"/>
      <c r="BN213" s="304"/>
      <c r="BO213" s="304"/>
      <c r="BP213" s="304"/>
      <c r="BQ213" s="841"/>
      <c r="BR213" s="304"/>
      <c r="BS213" s="304"/>
      <c r="BT213" s="304"/>
      <c r="BU213" s="304"/>
      <c r="BV213" s="304"/>
      <c r="BW213" s="304"/>
      <c r="BX213" s="304"/>
      <c r="BY213" s="304"/>
      <c r="BZ213" s="304"/>
      <c r="CA213" s="304"/>
      <c r="CB213" s="304"/>
      <c r="CC213" s="304"/>
      <c r="CD213" s="301" t="str">
        <f>HYPERLINK("https://youtu.be/mV2ghJzuZR8","45.03")</f>
        <v>45.03</v>
      </c>
      <c r="CE213" s="304"/>
      <c r="CF213" s="841"/>
      <c r="CG213" s="304"/>
      <c r="CH213" s="304"/>
      <c r="CI213" s="304"/>
      <c r="CJ213" s="304"/>
      <c r="CK213" s="304"/>
      <c r="CL213" s="304"/>
      <c r="CM213" s="304"/>
      <c r="CN213" s="304"/>
      <c r="CO213" s="304"/>
      <c r="CP213" s="304"/>
      <c r="CQ213" s="304"/>
      <c r="CR213" s="304"/>
      <c r="CS213" s="304"/>
      <c r="CT213" s="304"/>
      <c r="CU213" s="62"/>
      <c r="CV213" s="304"/>
      <c r="CW213" s="304"/>
      <c r="CX213" s="304"/>
      <c r="CY213" s="304"/>
      <c r="CZ213" s="304"/>
      <c r="DA213" s="304"/>
      <c r="DB213" s="304"/>
      <c r="DC213" s="304"/>
      <c r="DD213" s="304"/>
      <c r="DE213" s="304"/>
      <c r="DF213" s="304"/>
      <c r="DG213" s="304"/>
      <c r="DH213" s="304"/>
      <c r="DI213" s="304"/>
      <c r="DJ213" s="304"/>
      <c r="DK213" s="304"/>
      <c r="DL213" s="304"/>
      <c r="DM213" s="304"/>
      <c r="DN213" s="304"/>
      <c r="DO213" s="304"/>
      <c r="DP213" s="304"/>
      <c r="DQ213" s="304"/>
      <c r="DR213" s="304"/>
      <c r="DS213" s="304"/>
      <c r="DT213" s="304"/>
      <c r="DU213" s="304"/>
      <c r="DV213" s="304"/>
      <c r="DW213" s="304"/>
      <c r="DX213" s="304"/>
      <c r="DY213" s="304"/>
      <c r="DZ213" s="304"/>
      <c r="EA213" s="304"/>
      <c r="EB213" s="304"/>
      <c r="EC213" s="304"/>
      <c r="ED213" s="885"/>
    </row>
    <row r="214">
      <c r="A214" s="2033" t="s">
        <v>12075</v>
      </c>
      <c r="B214" s="381" t="s">
        <v>12076</v>
      </c>
      <c r="C214" s="384" t="s">
        <v>76</v>
      </c>
      <c r="D214" s="386" t="s">
        <v>155</v>
      </c>
      <c r="E214" s="389" t="s">
        <v>155</v>
      </c>
      <c r="F214" s="390" t="s">
        <v>76</v>
      </c>
      <c r="G214" s="381" t="s">
        <v>76</v>
      </c>
      <c r="H214" s="547"/>
      <c r="I214" s="547"/>
      <c r="J214" s="849"/>
      <c r="K214" s="849"/>
      <c r="L214" s="849"/>
      <c r="M214" s="849"/>
      <c r="N214" s="849"/>
      <c r="O214" s="849"/>
      <c r="P214" s="849"/>
      <c r="Q214" s="849"/>
      <c r="R214" s="849"/>
      <c r="S214" s="849"/>
      <c r="T214" s="849"/>
      <c r="U214" s="849"/>
      <c r="V214" s="849"/>
      <c r="W214" s="62"/>
      <c r="X214" s="852"/>
      <c r="Y214" s="919"/>
      <c r="Z214" s="919"/>
      <c r="AA214" s="852"/>
      <c r="AB214" s="852"/>
      <c r="AC214" s="852"/>
      <c r="AD214" s="852"/>
      <c r="AE214" s="852"/>
      <c r="AF214" s="852"/>
      <c r="AG214" s="852"/>
      <c r="AH214" s="852"/>
      <c r="AI214" s="919"/>
      <c r="AJ214" s="919"/>
      <c r="AK214" s="852"/>
      <c r="AL214" s="61"/>
      <c r="AM214" s="855"/>
      <c r="AN214" s="855"/>
      <c r="AO214" s="855"/>
      <c r="AP214" s="855"/>
      <c r="AQ214" s="855"/>
      <c r="AR214" s="855"/>
      <c r="AS214" s="855"/>
      <c r="AT214" s="855"/>
      <c r="AU214" s="855"/>
      <c r="AV214" s="855"/>
      <c r="AW214" s="855"/>
      <c r="AX214" s="855"/>
      <c r="AY214" s="855"/>
      <c r="AZ214" s="855"/>
      <c r="BA214" s="855"/>
      <c r="BB214" s="587"/>
      <c r="BC214" s="587"/>
      <c r="BD214" s="587"/>
      <c r="BE214" s="587"/>
      <c r="BF214" s="587"/>
      <c r="BG214" s="587"/>
      <c r="BH214" s="587"/>
      <c r="BI214" s="587"/>
      <c r="BJ214" s="587"/>
      <c r="BK214" s="587"/>
      <c r="BL214" s="587"/>
      <c r="BM214" s="587"/>
      <c r="BN214" s="587"/>
      <c r="BO214" s="587"/>
      <c r="BP214" s="587"/>
      <c r="BQ214" s="857"/>
      <c r="BR214" s="859"/>
      <c r="BS214" s="859"/>
      <c r="BT214" s="859"/>
      <c r="BU214" s="859"/>
      <c r="BV214" s="859"/>
      <c r="BW214" s="859"/>
      <c r="BX214" s="595"/>
      <c r="BY214" s="859"/>
      <c r="BZ214" s="859"/>
      <c r="CA214" s="859"/>
      <c r="CB214" s="859"/>
      <c r="CC214" s="859"/>
      <c r="CD214" s="859"/>
      <c r="CE214" s="859"/>
      <c r="CF214" s="861"/>
      <c r="CG214" s="863"/>
      <c r="CH214" s="863"/>
      <c r="CI214" s="863"/>
      <c r="CJ214" s="863"/>
      <c r="CK214" s="863"/>
      <c r="CL214" s="863"/>
      <c r="CM214" s="863"/>
      <c r="CN214" s="863"/>
      <c r="CO214" s="863"/>
      <c r="CP214" s="863"/>
      <c r="CQ214" s="863"/>
      <c r="CR214" s="863"/>
      <c r="CS214" s="863"/>
      <c r="CT214" s="904"/>
      <c r="CU214" s="62"/>
      <c r="CV214" s="864"/>
      <c r="CW214" s="864"/>
      <c r="CX214" s="864"/>
      <c r="CY214" s="864"/>
      <c r="CZ214" s="864"/>
      <c r="DA214" s="864"/>
      <c r="DB214" s="864"/>
      <c r="DC214" s="864"/>
      <c r="DD214" s="864"/>
      <c r="DE214" s="864"/>
      <c r="DF214" s="864"/>
      <c r="DG214" s="864"/>
      <c r="DH214" s="864"/>
      <c r="DI214" s="866"/>
      <c r="DJ214" s="866"/>
      <c r="DK214" s="866"/>
      <c r="DL214" s="866"/>
      <c r="DM214" s="866"/>
      <c r="DN214" s="866"/>
      <c r="DO214" s="866"/>
      <c r="DP214" s="866"/>
      <c r="DQ214" s="866"/>
      <c r="DR214" s="866"/>
      <c r="DS214" s="866"/>
      <c r="DT214" s="866"/>
      <c r="DU214" s="866"/>
      <c r="DV214" s="866"/>
      <c r="DW214" s="866"/>
      <c r="DX214" s="866"/>
      <c r="DY214" s="866"/>
      <c r="DZ214" s="866"/>
      <c r="EA214" s="484" t="s">
        <v>3267</v>
      </c>
      <c r="EB214" s="866"/>
      <c r="EC214" s="866"/>
      <c r="ED214" s="974"/>
    </row>
    <row r="215">
      <c r="A215" s="228" t="s">
        <v>12077</v>
      </c>
      <c r="B215" s="229" t="s">
        <v>1212</v>
      </c>
      <c r="C215" s="230" t="s">
        <v>155</v>
      </c>
      <c r="D215" s="231" t="s">
        <v>155</v>
      </c>
      <c r="E215" s="232" t="s">
        <v>155</v>
      </c>
      <c r="F215" s="233" t="s">
        <v>127</v>
      </c>
      <c r="G215" s="229" t="s">
        <v>127</v>
      </c>
      <c r="H215" s="304"/>
      <c r="I215" s="304"/>
      <c r="J215" s="304"/>
      <c r="K215" s="304"/>
      <c r="L215" s="304"/>
      <c r="M215" s="304"/>
      <c r="N215" s="304"/>
      <c r="O215" s="304"/>
      <c r="P215" s="273"/>
      <c r="Q215" s="304"/>
      <c r="R215" s="304"/>
      <c r="S215" s="304"/>
      <c r="T215" s="304"/>
      <c r="U215" s="304"/>
      <c r="V215" s="304"/>
      <c r="W215" s="62"/>
      <c r="X215" s="304"/>
      <c r="Y215" s="304"/>
      <c r="Z215" s="304"/>
      <c r="AA215" s="304"/>
      <c r="AB215" s="304"/>
      <c r="AC215" s="304"/>
      <c r="AD215" s="304"/>
      <c r="AE215" s="304"/>
      <c r="AF215" s="304"/>
      <c r="AG215" s="333"/>
      <c r="AH215" s="304"/>
      <c r="AI215" s="304"/>
      <c r="AJ215" s="304"/>
      <c r="AK215" s="304"/>
      <c r="AL215" s="61"/>
      <c r="AM215" s="304"/>
      <c r="AN215" s="304"/>
      <c r="AO215" s="304"/>
      <c r="AP215" s="304"/>
      <c r="AQ215" s="304"/>
      <c r="AR215" s="304"/>
      <c r="AS215" s="304"/>
      <c r="AT215" s="304"/>
      <c r="AU215" s="304"/>
      <c r="AV215" s="304"/>
      <c r="AW215" s="304"/>
      <c r="AX215" s="304"/>
      <c r="AY215" s="304"/>
      <c r="AZ215" s="304"/>
      <c r="BA215" s="304"/>
      <c r="BB215" s="304"/>
      <c r="BC215" s="304"/>
      <c r="BD215" s="242" t="s">
        <v>10423</v>
      </c>
      <c r="BE215" s="304"/>
      <c r="BF215" s="304"/>
      <c r="BG215" s="304"/>
      <c r="BH215" s="304"/>
      <c r="BI215" s="304"/>
      <c r="BJ215" s="304"/>
      <c r="BK215" s="304"/>
      <c r="BL215" s="304"/>
      <c r="BM215" s="304"/>
      <c r="BN215" s="304"/>
      <c r="BO215" s="304"/>
      <c r="BP215" s="304"/>
      <c r="BQ215" s="841"/>
      <c r="BR215" s="304"/>
      <c r="BS215" s="304"/>
      <c r="BT215" s="304"/>
      <c r="BU215" s="304"/>
      <c r="BV215" s="304"/>
      <c r="BW215" s="304"/>
      <c r="BX215" s="304"/>
      <c r="BY215" s="304"/>
      <c r="BZ215" s="304"/>
      <c r="CA215" s="304"/>
      <c r="CB215" s="304"/>
      <c r="CC215" s="304"/>
      <c r="CD215" s="304"/>
      <c r="CE215" s="304"/>
      <c r="CF215" s="841"/>
      <c r="CG215" s="304"/>
      <c r="CH215" s="304"/>
      <c r="CI215" s="304"/>
      <c r="CJ215" s="304"/>
      <c r="CK215" s="304"/>
      <c r="CL215" s="304"/>
      <c r="CM215" s="304"/>
      <c r="CN215" s="304"/>
      <c r="CO215" s="304"/>
      <c r="CP215" s="304"/>
      <c r="CQ215" s="304"/>
      <c r="CR215" s="304"/>
      <c r="CS215" s="304"/>
      <c r="CT215" s="304"/>
      <c r="CU215" s="62"/>
      <c r="CV215" s="304"/>
      <c r="CW215" s="304"/>
      <c r="CX215" s="304"/>
      <c r="CY215" s="304"/>
      <c r="CZ215" s="304"/>
      <c r="DA215" s="304"/>
      <c r="DB215" s="304"/>
      <c r="DC215" s="304"/>
      <c r="DD215" s="304"/>
      <c r="DE215" s="304"/>
      <c r="DF215" s="304"/>
      <c r="DG215" s="304"/>
      <c r="DH215" s="304"/>
      <c r="DI215" s="273"/>
      <c r="DJ215" s="304"/>
      <c r="DK215" s="304"/>
      <c r="DL215" s="304"/>
      <c r="DM215" s="242" t="s">
        <v>1883</v>
      </c>
      <c r="DN215" s="304"/>
      <c r="DO215" s="304"/>
      <c r="DP215" s="304"/>
      <c r="DQ215" s="304"/>
      <c r="DR215" s="304"/>
      <c r="DS215" s="304"/>
      <c r="DT215" s="304"/>
      <c r="DU215" s="304"/>
      <c r="DV215" s="304"/>
      <c r="DW215" s="304"/>
      <c r="DX215" s="304"/>
      <c r="DY215" s="304"/>
      <c r="DZ215" s="304"/>
      <c r="EA215" s="304"/>
      <c r="EB215" s="304"/>
      <c r="EC215" s="304"/>
      <c r="ED215" s="1639"/>
    </row>
    <row r="216">
      <c r="A216" s="545" t="s">
        <v>4091</v>
      </c>
      <c r="B216" s="381" t="s">
        <v>2094</v>
      </c>
      <c r="C216" s="384" t="s">
        <v>155</v>
      </c>
      <c r="D216" s="386" t="s">
        <v>155</v>
      </c>
      <c r="E216" s="389" t="s">
        <v>155</v>
      </c>
      <c r="F216" s="390" t="s">
        <v>3612</v>
      </c>
      <c r="G216" s="381" t="s">
        <v>3612</v>
      </c>
      <c r="H216" s="1721" t="s">
        <v>12078</v>
      </c>
      <c r="I216" s="547"/>
      <c r="J216" s="849"/>
      <c r="K216" s="2050" t="s">
        <v>10497</v>
      </c>
      <c r="L216" s="547"/>
      <c r="M216" s="849"/>
      <c r="N216" s="849"/>
      <c r="O216" s="547"/>
      <c r="P216" s="849"/>
      <c r="Q216" s="849"/>
      <c r="R216" s="849"/>
      <c r="S216" s="849"/>
      <c r="T216" s="849"/>
      <c r="U216" s="849"/>
      <c r="V216" s="849"/>
      <c r="W216" s="62"/>
      <c r="X216" s="852"/>
      <c r="Y216" s="852"/>
      <c r="Z216" s="1909" t="s">
        <v>11458</v>
      </c>
      <c r="AA216" s="852"/>
      <c r="AB216" s="852"/>
      <c r="AC216" s="852"/>
      <c r="AD216" s="852"/>
      <c r="AE216" s="852"/>
      <c r="AF216" s="852"/>
      <c r="AG216" s="852"/>
      <c r="AH216" s="852"/>
      <c r="AI216" s="852"/>
      <c r="AJ216" s="852"/>
      <c r="AK216" s="852"/>
      <c r="AL216" s="61"/>
      <c r="AM216" s="855"/>
      <c r="AN216" s="2051" t="s">
        <v>9792</v>
      </c>
      <c r="AO216" s="855"/>
      <c r="AP216" s="2051" t="s">
        <v>12079</v>
      </c>
      <c r="AQ216" s="855"/>
      <c r="AR216" s="855"/>
      <c r="AS216" s="855"/>
      <c r="AT216" s="855"/>
      <c r="AU216" s="855"/>
      <c r="AV216" s="855"/>
      <c r="AW216" s="855"/>
      <c r="AX216" s="855"/>
      <c r="AY216" s="2051" t="s">
        <v>1850</v>
      </c>
      <c r="AZ216" s="855"/>
      <c r="BA216" s="855"/>
      <c r="BB216" s="2044" t="s">
        <v>12080</v>
      </c>
      <c r="BC216" s="587"/>
      <c r="BD216" s="2044" t="s">
        <v>10805</v>
      </c>
      <c r="BE216" s="587"/>
      <c r="BF216" s="587"/>
      <c r="BG216" s="587"/>
      <c r="BH216" s="587"/>
      <c r="BI216" s="587"/>
      <c r="BJ216" s="587"/>
      <c r="BK216" s="587"/>
      <c r="BL216" s="587"/>
      <c r="BM216" s="587"/>
      <c r="BN216" s="2044" t="s">
        <v>12081</v>
      </c>
      <c r="BO216" s="587"/>
      <c r="BP216" s="587"/>
      <c r="BQ216" s="857"/>
      <c r="BR216" s="859"/>
      <c r="BS216" s="859"/>
      <c r="BT216" s="859"/>
      <c r="BU216" s="859"/>
      <c r="BV216" s="859"/>
      <c r="BW216" s="594"/>
      <c r="BX216" s="859"/>
      <c r="BY216" s="859"/>
      <c r="BZ216" s="859"/>
      <c r="CA216" s="859"/>
      <c r="CB216" s="859"/>
      <c r="CC216" s="859"/>
      <c r="CD216" s="859"/>
      <c r="CE216" s="859"/>
      <c r="CF216" s="861"/>
      <c r="CG216" s="2006" t="s">
        <v>2291</v>
      </c>
      <c r="CH216" s="863"/>
      <c r="CI216" s="863"/>
      <c r="CJ216" s="863"/>
      <c r="CK216" s="863"/>
      <c r="CL216" s="863"/>
      <c r="CM216" s="863"/>
      <c r="CN216" s="863"/>
      <c r="CO216" s="863"/>
      <c r="CP216" s="863"/>
      <c r="CQ216" s="863"/>
      <c r="CR216" s="863"/>
      <c r="CS216" s="863"/>
      <c r="CT216" s="863"/>
      <c r="CU216" s="62"/>
      <c r="CV216" s="864"/>
      <c r="CW216" s="864"/>
      <c r="CX216" s="864"/>
      <c r="CY216" s="864"/>
      <c r="CZ216" s="864"/>
      <c r="DA216" s="864"/>
      <c r="DB216" s="864"/>
      <c r="DC216" s="864"/>
      <c r="DD216" s="864"/>
      <c r="DE216" s="864"/>
      <c r="DF216" s="864"/>
      <c r="DG216" s="864"/>
      <c r="DH216" s="864"/>
      <c r="DI216" s="866"/>
      <c r="DJ216" s="866"/>
      <c r="DK216" s="866"/>
      <c r="DL216" s="866"/>
      <c r="DM216" s="866"/>
      <c r="DN216" s="866"/>
      <c r="DO216" s="2052" t="s">
        <v>11164</v>
      </c>
      <c r="DP216" s="2052" t="s">
        <v>11354</v>
      </c>
      <c r="DQ216" s="2052" t="s">
        <v>12082</v>
      </c>
      <c r="DR216" s="866"/>
      <c r="DS216" s="866"/>
      <c r="DT216" s="866"/>
      <c r="DU216" s="866"/>
      <c r="DV216" s="866"/>
      <c r="DW216" s="866"/>
      <c r="DX216" s="866"/>
      <c r="DY216" s="866"/>
      <c r="DZ216" s="866"/>
      <c r="EA216" s="866"/>
      <c r="EB216" s="866"/>
      <c r="EC216" s="866"/>
      <c r="ED216" s="2053" t="s">
        <v>3010</v>
      </c>
    </row>
    <row r="217">
      <c r="A217" s="492" t="s">
        <v>3383</v>
      </c>
      <c r="B217" s="229" t="s">
        <v>2839</v>
      </c>
      <c r="C217" s="230" t="s">
        <v>155</v>
      </c>
      <c r="D217" s="231" t="s">
        <v>155</v>
      </c>
      <c r="E217" s="232" t="s">
        <v>155</v>
      </c>
      <c r="F217" s="233" t="s">
        <v>155</v>
      </c>
      <c r="G217" s="229" t="s">
        <v>76</v>
      </c>
      <c r="H217" s="273"/>
      <c r="I217" s="273"/>
      <c r="J217" s="273"/>
      <c r="K217" s="273"/>
      <c r="L217" s="273"/>
      <c r="M217" s="273"/>
      <c r="N217" s="273"/>
      <c r="O217" s="273"/>
      <c r="P217" s="273"/>
      <c r="Q217" s="304"/>
      <c r="R217" s="304"/>
      <c r="S217" s="304"/>
      <c r="T217" s="304"/>
      <c r="U217" s="304"/>
      <c r="V217" s="304"/>
      <c r="W217" s="62"/>
      <c r="X217" s="273"/>
      <c r="Y217" s="273"/>
      <c r="Z217" s="273"/>
      <c r="AA217" s="273"/>
      <c r="AB217" s="263"/>
      <c r="AC217" s="273"/>
      <c r="AD217" s="263"/>
      <c r="AE217" s="304"/>
      <c r="AF217" s="273"/>
      <c r="AG217" s="273"/>
      <c r="AH217" s="304"/>
      <c r="AI217" s="304"/>
      <c r="AJ217" s="304"/>
      <c r="AK217" s="304"/>
      <c r="AL217" s="61"/>
      <c r="AM217" s="304"/>
      <c r="AN217" s="304"/>
      <c r="AO217" s="304"/>
      <c r="AP217" s="304"/>
      <c r="AQ217" s="304"/>
      <c r="AR217" s="304"/>
      <c r="AS217" s="304"/>
      <c r="AT217" s="304"/>
      <c r="AU217" s="273"/>
      <c r="AV217" s="273"/>
      <c r="AW217" s="304"/>
      <c r="AX217" s="304"/>
      <c r="AY217" s="304"/>
      <c r="AZ217" s="304"/>
      <c r="BA217" s="304"/>
      <c r="BB217" s="273"/>
      <c r="BC217" s="273"/>
      <c r="BD217" s="263"/>
      <c r="BE217" s="273"/>
      <c r="BF217" s="273"/>
      <c r="BG217" s="304"/>
      <c r="BH217" s="304"/>
      <c r="BI217" s="273"/>
      <c r="BJ217" s="273"/>
      <c r="BK217" s="273"/>
      <c r="BL217" s="273"/>
      <c r="BM217" s="304"/>
      <c r="BN217" s="304"/>
      <c r="BO217" s="304"/>
      <c r="BP217" s="304"/>
      <c r="BQ217" s="841"/>
      <c r="BR217" s="263"/>
      <c r="BS217" s="304"/>
      <c r="BT217" s="273"/>
      <c r="BU217" s="273"/>
      <c r="BV217" s="273"/>
      <c r="BW217" s="263"/>
      <c r="BX217" s="304"/>
      <c r="BY217" s="263"/>
      <c r="BZ217" s="263"/>
      <c r="CA217" s="304"/>
      <c r="CB217" s="304"/>
      <c r="CC217" s="304"/>
      <c r="CD217" s="304"/>
      <c r="CE217" s="304"/>
      <c r="CF217" s="841"/>
      <c r="CG217" s="273"/>
      <c r="CH217" s="273"/>
      <c r="CI217" s="273"/>
      <c r="CJ217" s="304"/>
      <c r="CK217" s="304"/>
      <c r="CL217" s="304"/>
      <c r="CM217" s="273"/>
      <c r="CN217" s="273" t="s">
        <v>10805</v>
      </c>
      <c r="CO217" s="304"/>
      <c r="CP217" s="304"/>
      <c r="CQ217" s="304"/>
      <c r="CR217" s="304"/>
      <c r="CS217" s="304"/>
      <c r="CT217" s="304"/>
      <c r="CU217" s="62"/>
      <c r="CV217" s="273"/>
      <c r="CW217" s="304"/>
      <c r="CX217" s="273"/>
      <c r="CY217" s="273"/>
      <c r="CZ217" s="273"/>
      <c r="DA217" s="263"/>
      <c r="DB217" s="273"/>
      <c r="DC217" s="273"/>
      <c r="DD217" s="304"/>
      <c r="DE217" s="304"/>
      <c r="DF217" s="304"/>
      <c r="DG217" s="304"/>
      <c r="DH217" s="304"/>
      <c r="DI217" s="304"/>
      <c r="DJ217" s="304"/>
      <c r="DK217" s="304"/>
      <c r="DL217" s="304"/>
      <c r="DM217" s="304"/>
      <c r="DN217" s="304"/>
      <c r="DO217" s="304"/>
      <c r="DP217" s="304"/>
      <c r="DQ217" s="304"/>
      <c r="DR217" s="273"/>
      <c r="DS217" s="273"/>
      <c r="DT217" s="304"/>
      <c r="DU217" s="304"/>
      <c r="DV217" s="304"/>
      <c r="DW217" s="304"/>
      <c r="DX217" s="304"/>
      <c r="DY217" s="304"/>
      <c r="DZ217" s="304"/>
      <c r="EA217" s="304"/>
      <c r="EB217" s="304"/>
      <c r="EC217" s="304"/>
      <c r="ED217" s="885"/>
    </row>
    <row r="218">
      <c r="A218" s="545" t="s">
        <v>12083</v>
      </c>
      <c r="B218" s="381" t="s">
        <v>10384</v>
      </c>
      <c r="C218" s="384" t="s">
        <v>155</v>
      </c>
      <c r="D218" s="386" t="s">
        <v>155</v>
      </c>
      <c r="E218" s="389" t="s">
        <v>155</v>
      </c>
      <c r="F218" s="390" t="s">
        <v>155</v>
      </c>
      <c r="G218" s="381" t="s">
        <v>156</v>
      </c>
      <c r="H218" s="849"/>
      <c r="I218" s="547" t="s">
        <v>12084</v>
      </c>
      <c r="J218" s="849"/>
      <c r="K218" s="849"/>
      <c r="L218" s="849"/>
      <c r="M218" s="849"/>
      <c r="N218" s="849"/>
      <c r="O218" s="849"/>
      <c r="P218" s="849"/>
      <c r="Q218" s="849"/>
      <c r="R218" s="849"/>
      <c r="S218" s="849"/>
      <c r="T218" s="849"/>
      <c r="U218" s="849"/>
      <c r="V218" s="849"/>
      <c r="W218" s="62"/>
      <c r="X218" s="852"/>
      <c r="Y218" s="852"/>
      <c r="Z218" s="852"/>
      <c r="AA218" s="852"/>
      <c r="AB218" s="852"/>
      <c r="AC218" s="852"/>
      <c r="AD218" s="852"/>
      <c r="AE218" s="852"/>
      <c r="AF218" s="852"/>
      <c r="AG218" s="852"/>
      <c r="AH218" s="852"/>
      <c r="AI218" s="852"/>
      <c r="AJ218" s="852"/>
      <c r="AK218" s="852"/>
      <c r="AL218" s="61"/>
      <c r="AM218" s="855"/>
      <c r="AN218" s="855"/>
      <c r="AO218" s="855"/>
      <c r="AP218" s="855"/>
      <c r="AQ218" s="855"/>
      <c r="AR218" s="855"/>
      <c r="AS218" s="855"/>
      <c r="AT218" s="855"/>
      <c r="AU218" s="855"/>
      <c r="AV218" s="855"/>
      <c r="AW218" s="855"/>
      <c r="AX218" s="855"/>
      <c r="AY218" s="855"/>
      <c r="AZ218" s="855"/>
      <c r="BA218" s="855"/>
      <c r="BB218" s="587"/>
      <c r="BC218" s="589" t="s">
        <v>9891</v>
      </c>
      <c r="BD218" s="587"/>
      <c r="BE218" s="587"/>
      <c r="BF218" s="587"/>
      <c r="BG218" s="587"/>
      <c r="BH218" s="587"/>
      <c r="BI218" s="587"/>
      <c r="BJ218" s="587"/>
      <c r="BK218" s="587"/>
      <c r="BL218" s="587"/>
      <c r="BM218" s="587"/>
      <c r="BN218" s="587"/>
      <c r="BO218" s="587"/>
      <c r="BP218" s="587"/>
      <c r="BQ218" s="857"/>
      <c r="BR218" s="859"/>
      <c r="BS218" s="859"/>
      <c r="BT218" s="859"/>
      <c r="BU218" s="859"/>
      <c r="BV218" s="859"/>
      <c r="BW218" s="859"/>
      <c r="BX218" s="859"/>
      <c r="BY218" s="859"/>
      <c r="BZ218" s="859"/>
      <c r="CA218" s="859"/>
      <c r="CB218" s="859"/>
      <c r="CC218" s="859"/>
      <c r="CD218" s="859"/>
      <c r="CE218" s="859"/>
      <c r="CF218" s="861"/>
      <c r="CG218" s="863"/>
      <c r="CH218" s="863"/>
      <c r="CI218" s="863"/>
      <c r="CJ218" s="863"/>
      <c r="CK218" s="863"/>
      <c r="CL218" s="863"/>
      <c r="CM218" s="863"/>
      <c r="CN218" s="863"/>
      <c r="CO218" s="863"/>
      <c r="CP218" s="863"/>
      <c r="CQ218" s="863"/>
      <c r="CR218" s="863"/>
      <c r="CS218" s="863"/>
      <c r="CT218" s="863"/>
      <c r="CU218" s="62"/>
      <c r="CV218" s="703" t="s">
        <v>4638</v>
      </c>
      <c r="CW218" s="864"/>
      <c r="CX218" s="864"/>
      <c r="CY218" s="864"/>
      <c r="CZ218" s="864"/>
      <c r="DA218" s="864"/>
      <c r="DB218" s="864"/>
      <c r="DC218" s="864"/>
      <c r="DD218" s="864"/>
      <c r="DE218" s="864"/>
      <c r="DF218" s="864"/>
      <c r="DG218" s="864"/>
      <c r="DH218" s="864"/>
      <c r="DI218" s="866"/>
      <c r="DJ218" s="866"/>
      <c r="DK218" s="866"/>
      <c r="DL218" s="866"/>
      <c r="DM218" s="866"/>
      <c r="DN218" s="866"/>
      <c r="DO218" s="866"/>
      <c r="DP218" s="866"/>
      <c r="DQ218" s="866"/>
      <c r="DR218" s="866"/>
      <c r="DS218" s="866"/>
      <c r="DT218" s="866"/>
      <c r="DU218" s="866"/>
      <c r="DV218" s="866"/>
      <c r="DW218" s="866"/>
      <c r="DX218" s="866"/>
      <c r="DY218" s="866"/>
      <c r="DZ218" s="866"/>
      <c r="EA218" s="866"/>
      <c r="EB218" s="866"/>
      <c r="EC218" s="866"/>
      <c r="ED218" s="974"/>
    </row>
    <row r="219">
      <c r="A219" s="228" t="s">
        <v>12085</v>
      </c>
      <c r="B219" s="229" t="s">
        <v>1508</v>
      </c>
      <c r="C219" s="230" t="s">
        <v>155</v>
      </c>
      <c r="D219" s="231" t="s">
        <v>155</v>
      </c>
      <c r="E219" s="232" t="s">
        <v>155</v>
      </c>
      <c r="F219" s="233" t="s">
        <v>76</v>
      </c>
      <c r="G219" s="229" t="s">
        <v>127</v>
      </c>
      <c r="H219" s="304"/>
      <c r="I219" s="304"/>
      <c r="J219" s="304"/>
      <c r="K219" s="304"/>
      <c r="L219" s="304"/>
      <c r="M219" s="304"/>
      <c r="N219" s="304"/>
      <c r="O219" s="304"/>
      <c r="P219" s="304"/>
      <c r="Q219" s="304"/>
      <c r="R219" s="304"/>
      <c r="S219" s="304"/>
      <c r="T219" s="304"/>
      <c r="U219" s="304"/>
      <c r="V219" s="304"/>
      <c r="W219" s="62"/>
      <c r="X219" s="304"/>
      <c r="Y219" s="304"/>
      <c r="Z219" s="304"/>
      <c r="AA219" s="304"/>
      <c r="AB219" s="304"/>
      <c r="AC219" s="304"/>
      <c r="AD219" s="304"/>
      <c r="AE219" s="304"/>
      <c r="AF219" s="304"/>
      <c r="AG219" s="304"/>
      <c r="AH219" s="304"/>
      <c r="AI219" s="274"/>
      <c r="AJ219" s="301" t="str">
        <f>HYPERLINK("https://youtu.be/jtb-Ev3JIwc","58.21")</f>
        <v>58.21</v>
      </c>
      <c r="AK219" s="304"/>
      <c r="AL219" s="61"/>
      <c r="AM219" s="304"/>
      <c r="AN219" s="304"/>
      <c r="AO219" s="304"/>
      <c r="AP219" s="304"/>
      <c r="AQ219" s="304"/>
      <c r="AR219" s="304"/>
      <c r="AS219" s="304"/>
      <c r="AT219" s="304"/>
      <c r="AU219" s="304"/>
      <c r="AV219" s="304"/>
      <c r="AW219" s="304"/>
      <c r="AX219" s="304"/>
      <c r="AY219" s="304"/>
      <c r="AZ219" s="304"/>
      <c r="BA219" s="304"/>
      <c r="BB219" s="304"/>
      <c r="BC219" s="304"/>
      <c r="BD219" s="304"/>
      <c r="BE219" s="304"/>
      <c r="BF219" s="304"/>
      <c r="BG219" s="304"/>
      <c r="BH219" s="304"/>
      <c r="BI219" s="304"/>
      <c r="BJ219" s="304"/>
      <c r="BK219" s="304"/>
      <c r="BL219" s="304"/>
      <c r="BM219" s="304"/>
      <c r="BN219" s="273" t="s">
        <v>3555</v>
      </c>
      <c r="BO219" s="304"/>
      <c r="BP219" s="304"/>
      <c r="BQ219" s="841"/>
      <c r="BR219" s="304"/>
      <c r="BS219" s="304"/>
      <c r="BT219" s="304"/>
      <c r="BU219" s="304"/>
      <c r="BV219" s="304"/>
      <c r="BW219" s="304"/>
      <c r="BX219" s="304"/>
      <c r="BY219" s="304"/>
      <c r="BZ219" s="304"/>
      <c r="CA219" s="304"/>
      <c r="CB219" s="304"/>
      <c r="CC219" s="304"/>
      <c r="CD219" s="304"/>
      <c r="CE219" s="304"/>
      <c r="CF219" s="841"/>
      <c r="CG219" s="304"/>
      <c r="CH219" s="304"/>
      <c r="CI219" s="304"/>
      <c r="CJ219" s="304"/>
      <c r="CK219" s="304"/>
      <c r="CL219" s="304"/>
      <c r="CM219" s="304"/>
      <c r="CN219" s="304"/>
      <c r="CO219" s="304"/>
      <c r="CP219" s="304"/>
      <c r="CQ219" s="304"/>
      <c r="CR219" s="304"/>
      <c r="CS219" s="304"/>
      <c r="CT219" s="304"/>
      <c r="CU219" s="62"/>
      <c r="CV219" s="304"/>
      <c r="CW219" s="304"/>
      <c r="CX219" s="304"/>
      <c r="CY219" s="304"/>
      <c r="CZ219" s="304"/>
      <c r="DA219" s="304"/>
      <c r="DB219" s="304"/>
      <c r="DC219" s="304"/>
      <c r="DD219" s="304"/>
      <c r="DE219" s="304"/>
      <c r="DF219" s="304"/>
      <c r="DG219" s="304"/>
      <c r="DH219" s="304"/>
      <c r="DI219" s="304"/>
      <c r="DJ219" s="304"/>
      <c r="DK219" s="304"/>
      <c r="DL219" s="304"/>
      <c r="DM219" s="304"/>
      <c r="DN219" s="304"/>
      <c r="DO219" s="304"/>
      <c r="DP219" s="304"/>
      <c r="DQ219" s="304"/>
      <c r="DR219" s="304"/>
      <c r="DS219" s="304"/>
      <c r="DT219" s="304"/>
      <c r="DU219" s="304"/>
      <c r="DV219" s="304"/>
      <c r="DW219" s="304"/>
      <c r="DX219" s="304"/>
      <c r="DY219" s="304"/>
      <c r="DZ219" s="304"/>
      <c r="EA219" s="304"/>
      <c r="EB219" s="304"/>
      <c r="EC219" s="304"/>
      <c r="ED219" s="885"/>
    </row>
    <row r="220">
      <c r="A220" s="545" t="s">
        <v>12086</v>
      </c>
      <c r="B220" s="381" t="s">
        <v>263</v>
      </c>
      <c r="C220" s="384" t="s">
        <v>155</v>
      </c>
      <c r="D220" s="386" t="s">
        <v>155</v>
      </c>
      <c r="E220" s="389" t="s">
        <v>155</v>
      </c>
      <c r="F220" s="390" t="s">
        <v>155</v>
      </c>
      <c r="G220" s="381" t="s">
        <v>156</v>
      </c>
      <c r="H220" s="849"/>
      <c r="I220" s="547"/>
      <c r="J220" s="849"/>
      <c r="K220" s="547" t="s">
        <v>10996</v>
      </c>
      <c r="L220" s="547" t="s">
        <v>12087</v>
      </c>
      <c r="M220" s="849"/>
      <c r="N220" s="849"/>
      <c r="O220" s="547"/>
      <c r="P220" s="849"/>
      <c r="Q220" s="849"/>
      <c r="R220" s="849"/>
      <c r="S220" s="849"/>
      <c r="T220" s="849"/>
      <c r="U220" s="849"/>
      <c r="V220" s="849"/>
      <c r="W220" s="62"/>
      <c r="X220" s="852"/>
      <c r="Y220" s="852"/>
      <c r="Z220" s="852"/>
      <c r="AA220" s="852"/>
      <c r="AB220" s="852"/>
      <c r="AC220" s="852"/>
      <c r="AD220" s="852"/>
      <c r="AE220" s="852"/>
      <c r="AF220" s="852"/>
      <c r="AG220" s="852"/>
      <c r="AH220" s="852"/>
      <c r="AI220" s="852"/>
      <c r="AJ220" s="852"/>
      <c r="AK220" s="852"/>
      <c r="AL220" s="61"/>
      <c r="AM220" s="855"/>
      <c r="AN220" s="855"/>
      <c r="AO220" s="855"/>
      <c r="AP220" s="855"/>
      <c r="AQ220" s="855"/>
      <c r="AR220" s="855"/>
      <c r="AS220" s="855"/>
      <c r="AT220" s="855"/>
      <c r="AU220" s="855"/>
      <c r="AV220" s="855"/>
      <c r="AW220" s="855"/>
      <c r="AX220" s="855"/>
      <c r="AY220" s="855"/>
      <c r="AZ220" s="855"/>
      <c r="BA220" s="855"/>
      <c r="BB220" s="587"/>
      <c r="BC220" s="587"/>
      <c r="BD220" s="587"/>
      <c r="BE220" s="587"/>
      <c r="BF220" s="587"/>
      <c r="BG220" s="587"/>
      <c r="BH220" s="587"/>
      <c r="BI220" s="587"/>
      <c r="BJ220" s="587"/>
      <c r="BK220" s="587"/>
      <c r="BL220" s="587"/>
      <c r="BM220" s="587"/>
      <c r="BN220" s="587"/>
      <c r="BO220" s="587"/>
      <c r="BP220" s="587"/>
      <c r="BQ220" s="857"/>
      <c r="BR220" s="859"/>
      <c r="BS220" s="859"/>
      <c r="BT220" s="859"/>
      <c r="BU220" s="859"/>
      <c r="BV220" s="859"/>
      <c r="BW220" s="594" t="s">
        <v>1938</v>
      </c>
      <c r="BX220" s="859"/>
      <c r="BY220" s="859"/>
      <c r="BZ220" s="859"/>
      <c r="CA220" s="859"/>
      <c r="CB220" s="859"/>
      <c r="CC220" s="859"/>
      <c r="CD220" s="859"/>
      <c r="CE220" s="859"/>
      <c r="CF220" s="861"/>
      <c r="CG220" s="863"/>
      <c r="CH220" s="863"/>
      <c r="CI220" s="863"/>
      <c r="CJ220" s="863"/>
      <c r="CK220" s="863"/>
      <c r="CL220" s="863"/>
      <c r="CM220" s="863"/>
      <c r="CN220" s="863"/>
      <c r="CO220" s="863"/>
      <c r="CP220" s="863"/>
      <c r="CQ220" s="863"/>
      <c r="CR220" s="863"/>
      <c r="CS220" s="863"/>
      <c r="CT220" s="863"/>
      <c r="CU220" s="62"/>
      <c r="CV220" s="864"/>
      <c r="CW220" s="864"/>
      <c r="CX220" s="864"/>
      <c r="CY220" s="864"/>
      <c r="CZ220" s="864"/>
      <c r="DA220" s="864"/>
      <c r="DB220" s="864"/>
      <c r="DC220" s="864"/>
      <c r="DD220" s="864"/>
      <c r="DE220" s="864"/>
      <c r="DF220" s="864"/>
      <c r="DG220" s="864"/>
      <c r="DH220" s="864"/>
      <c r="DI220" s="866"/>
      <c r="DJ220" s="866"/>
      <c r="DK220" s="866"/>
      <c r="DL220" s="866"/>
      <c r="DM220" s="866"/>
      <c r="DN220" s="866"/>
      <c r="DO220" s="866"/>
      <c r="DP220" s="866"/>
      <c r="DQ220" s="866"/>
      <c r="DR220" s="866"/>
      <c r="DS220" s="866"/>
      <c r="DT220" s="866"/>
      <c r="DU220" s="866"/>
      <c r="DV220" s="866"/>
      <c r="DW220" s="866"/>
      <c r="DX220" s="866"/>
      <c r="DY220" s="866"/>
      <c r="DZ220" s="866"/>
      <c r="EA220" s="866"/>
      <c r="EB220" s="866"/>
      <c r="EC220" s="866"/>
      <c r="ED220" s="1941"/>
    </row>
    <row r="221">
      <c r="A221" s="1998" t="s">
        <v>12088</v>
      </c>
      <c r="B221" s="229" t="s">
        <v>3058</v>
      </c>
      <c r="C221" s="230" t="s">
        <v>155</v>
      </c>
      <c r="D221" s="231" t="s">
        <v>155</v>
      </c>
      <c r="E221" s="232" t="s">
        <v>155</v>
      </c>
      <c r="F221" s="233" t="s">
        <v>155</v>
      </c>
      <c r="G221" s="229" t="s">
        <v>81</v>
      </c>
      <c r="H221" s="304"/>
      <c r="I221" s="304"/>
      <c r="J221" s="304"/>
      <c r="K221" s="304"/>
      <c r="L221" s="304"/>
      <c r="M221" s="304"/>
      <c r="N221" s="304"/>
      <c r="O221" s="304"/>
      <c r="P221" s="304"/>
      <c r="Q221" s="304"/>
      <c r="R221" s="304"/>
      <c r="S221" s="304"/>
      <c r="T221" s="304"/>
      <c r="U221" s="304"/>
      <c r="V221" s="304"/>
      <c r="W221" s="62"/>
      <c r="X221" s="304"/>
      <c r="Y221" s="304"/>
      <c r="Z221" s="304"/>
      <c r="AA221" s="304"/>
      <c r="AB221" s="304"/>
      <c r="AC221" s="304"/>
      <c r="AD221" s="304"/>
      <c r="AE221" s="304"/>
      <c r="AF221" s="304"/>
      <c r="AG221" s="273" t="s">
        <v>2438</v>
      </c>
      <c r="AH221" s="304"/>
      <c r="AI221" s="304"/>
      <c r="AJ221" s="304"/>
      <c r="AK221" s="304"/>
      <c r="AL221" s="61"/>
      <c r="AM221" s="304"/>
      <c r="AN221" s="304"/>
      <c r="AO221" s="304"/>
      <c r="AP221" s="304"/>
      <c r="AQ221" s="304"/>
      <c r="AR221" s="304"/>
      <c r="AS221" s="304"/>
      <c r="AT221" s="304"/>
      <c r="AU221" s="304"/>
      <c r="AV221" s="304"/>
      <c r="AW221" s="304"/>
      <c r="AX221" s="304"/>
      <c r="AY221" s="304"/>
      <c r="AZ221" s="304"/>
      <c r="BA221" s="304"/>
      <c r="BB221" s="304"/>
      <c r="BC221" s="304"/>
      <c r="BD221" s="304"/>
      <c r="BE221" s="304"/>
      <c r="BF221" s="304"/>
      <c r="BG221" s="304"/>
      <c r="BH221" s="304"/>
      <c r="BI221" s="304"/>
      <c r="BJ221" s="304"/>
      <c r="BK221" s="304"/>
      <c r="BL221" s="304"/>
      <c r="BM221" s="304"/>
      <c r="BN221" s="304"/>
      <c r="BO221" s="304"/>
      <c r="BP221" s="304"/>
      <c r="BQ221" s="841"/>
      <c r="BR221" s="304"/>
      <c r="BS221" s="304"/>
      <c r="BT221" s="304"/>
      <c r="BU221" s="304"/>
      <c r="BV221" s="304"/>
      <c r="BW221" s="304"/>
      <c r="BX221" s="304"/>
      <c r="BY221" s="304"/>
      <c r="BZ221" s="304"/>
      <c r="CA221" s="304"/>
      <c r="CB221" s="304"/>
      <c r="CC221" s="304"/>
      <c r="CD221" s="304"/>
      <c r="CE221" s="304"/>
      <c r="CF221" s="841"/>
      <c r="CG221" s="273" t="s">
        <v>12089</v>
      </c>
      <c r="CH221" s="273" t="s">
        <v>7730</v>
      </c>
      <c r="CI221" s="273" t="s">
        <v>5682</v>
      </c>
      <c r="CJ221" s="304"/>
      <c r="CK221" s="304"/>
      <c r="CL221" s="304" t="s">
        <v>12090</v>
      </c>
      <c r="CM221" s="304"/>
      <c r="CN221" s="304"/>
      <c r="CO221" s="304"/>
      <c r="CP221" s="304"/>
      <c r="CQ221" s="304"/>
      <c r="CR221" s="304"/>
      <c r="CS221" s="304"/>
      <c r="CT221" s="304"/>
      <c r="CU221" s="62"/>
      <c r="CV221" s="304"/>
      <c r="CW221" s="304"/>
      <c r="CX221" s="304"/>
      <c r="CY221" s="304"/>
      <c r="CZ221" s="304"/>
      <c r="DA221" s="304"/>
      <c r="DB221" s="304"/>
      <c r="DC221" s="304"/>
      <c r="DD221" s="304"/>
      <c r="DE221" s="304"/>
      <c r="DF221" s="304"/>
      <c r="DG221" s="304"/>
      <c r="DH221" s="304"/>
      <c r="DI221" s="273" t="s">
        <v>1130</v>
      </c>
      <c r="DJ221" s="304"/>
      <c r="DK221" s="304"/>
      <c r="DL221" s="273"/>
      <c r="DM221" s="273" t="s">
        <v>3898</v>
      </c>
      <c r="DN221" s="273"/>
      <c r="DO221" s="304"/>
      <c r="DP221" s="304"/>
      <c r="DQ221" s="304"/>
      <c r="DR221" s="304"/>
      <c r="DS221" s="304"/>
      <c r="DT221" s="304"/>
      <c r="DU221" s="304"/>
      <c r="DV221" s="304"/>
      <c r="DW221" s="304"/>
      <c r="DX221" s="304"/>
      <c r="DY221" s="304"/>
      <c r="DZ221" s="304"/>
      <c r="EA221" s="304"/>
      <c r="EB221" s="304"/>
      <c r="EC221" s="304"/>
      <c r="ED221" s="1639"/>
    </row>
    <row r="222">
      <c r="A222" s="545" t="s">
        <v>12091</v>
      </c>
      <c r="B222" s="381" t="s">
        <v>551</v>
      </c>
      <c r="C222" s="384" t="s">
        <v>155</v>
      </c>
      <c r="D222" s="386" t="s">
        <v>155</v>
      </c>
      <c r="E222" s="389" t="s">
        <v>155</v>
      </c>
      <c r="F222" s="390" t="s">
        <v>155</v>
      </c>
      <c r="G222" s="381" t="s">
        <v>127</v>
      </c>
      <c r="H222" s="849"/>
      <c r="I222" s="849"/>
      <c r="J222" s="849"/>
      <c r="K222" s="849"/>
      <c r="L222" s="849"/>
      <c r="M222" s="849"/>
      <c r="N222" s="849"/>
      <c r="O222" s="849"/>
      <c r="P222" s="849"/>
      <c r="Q222" s="849"/>
      <c r="R222" s="849"/>
      <c r="S222" s="547"/>
      <c r="T222" s="547" t="s">
        <v>10278</v>
      </c>
      <c r="U222" s="849"/>
      <c r="V222" s="849"/>
      <c r="W222" s="62"/>
      <c r="X222" s="852"/>
      <c r="Y222" s="852"/>
      <c r="Z222" s="852"/>
      <c r="AA222" s="852"/>
      <c r="AB222" s="852"/>
      <c r="AC222" s="852"/>
      <c r="AD222" s="852"/>
      <c r="AE222" s="852"/>
      <c r="AF222" s="852"/>
      <c r="AG222" s="852"/>
      <c r="AH222" s="852"/>
      <c r="AI222" s="852"/>
      <c r="AJ222" s="852"/>
      <c r="AK222" s="852"/>
      <c r="AL222" s="61"/>
      <c r="AM222" s="855"/>
      <c r="AN222" s="855"/>
      <c r="AO222" s="855"/>
      <c r="AP222" s="855"/>
      <c r="AQ222" s="855"/>
      <c r="AR222" s="855"/>
      <c r="AS222" s="855"/>
      <c r="AT222" s="855"/>
      <c r="AU222" s="855"/>
      <c r="AV222" s="855"/>
      <c r="AW222" s="855"/>
      <c r="AX222" s="855"/>
      <c r="AY222" s="855"/>
      <c r="AZ222" s="855"/>
      <c r="BA222" s="855"/>
      <c r="BB222" s="587"/>
      <c r="BC222" s="587"/>
      <c r="BD222" s="587"/>
      <c r="BE222" s="587"/>
      <c r="BF222" s="587"/>
      <c r="BG222" s="587"/>
      <c r="BH222" s="587"/>
      <c r="BI222" s="587"/>
      <c r="BJ222" s="587"/>
      <c r="BK222" s="587"/>
      <c r="BL222" s="587"/>
      <c r="BM222" s="587"/>
      <c r="BN222" s="587"/>
      <c r="BO222" s="587"/>
      <c r="BP222" s="587"/>
      <c r="BQ222" s="857"/>
      <c r="BR222" s="859"/>
      <c r="BS222" s="859"/>
      <c r="BT222" s="859"/>
      <c r="BU222" s="859"/>
      <c r="BV222" s="859"/>
      <c r="BW222" s="859"/>
      <c r="BX222" s="859"/>
      <c r="BY222" s="859"/>
      <c r="BZ222" s="859"/>
      <c r="CA222" s="859"/>
      <c r="CB222" s="859"/>
      <c r="CC222" s="859"/>
      <c r="CD222" s="859"/>
      <c r="CE222" s="859"/>
      <c r="CF222" s="861"/>
      <c r="CG222" s="863"/>
      <c r="CH222" s="863"/>
      <c r="CI222" s="863"/>
      <c r="CJ222" s="863"/>
      <c r="CK222" s="863"/>
      <c r="CL222" s="863"/>
      <c r="CM222" s="863"/>
      <c r="CN222" s="863"/>
      <c r="CO222" s="863"/>
      <c r="CP222" s="863"/>
      <c r="CQ222" s="863"/>
      <c r="CR222" s="863"/>
      <c r="CS222" s="863"/>
      <c r="CT222" s="863"/>
      <c r="CU222" s="62"/>
      <c r="CV222" s="864"/>
      <c r="CW222" s="864"/>
      <c r="CX222" s="864"/>
      <c r="CY222" s="864"/>
      <c r="CZ222" s="864"/>
      <c r="DA222" s="864"/>
      <c r="DB222" s="864"/>
      <c r="DC222" s="864"/>
      <c r="DD222" s="864"/>
      <c r="DE222" s="864"/>
      <c r="DF222" s="703" t="s">
        <v>434</v>
      </c>
      <c r="DG222" s="864"/>
      <c r="DH222" s="864"/>
      <c r="DI222" s="866"/>
      <c r="DJ222" s="866"/>
      <c r="DK222" s="866"/>
      <c r="DL222" s="866"/>
      <c r="DM222" s="866"/>
      <c r="DN222" s="866"/>
      <c r="DO222" s="866"/>
      <c r="DP222" s="866"/>
      <c r="DQ222" s="866"/>
      <c r="DR222" s="866"/>
      <c r="DS222" s="866"/>
      <c r="DT222" s="866"/>
      <c r="DU222" s="866"/>
      <c r="DV222" s="866"/>
      <c r="DW222" s="866"/>
      <c r="DX222" s="866"/>
      <c r="DY222" s="866"/>
      <c r="DZ222" s="866"/>
      <c r="EA222" s="866"/>
      <c r="EB222" s="866"/>
      <c r="EC222" s="866"/>
      <c r="ED222" s="974"/>
    </row>
    <row r="223">
      <c r="A223" s="228" t="s">
        <v>12092</v>
      </c>
      <c r="B223" s="229" t="s">
        <v>74</v>
      </c>
      <c r="C223" s="230" t="s">
        <v>155</v>
      </c>
      <c r="D223" s="231" t="s">
        <v>155</v>
      </c>
      <c r="E223" s="232" t="s">
        <v>155</v>
      </c>
      <c r="F223" s="233" t="s">
        <v>155</v>
      </c>
      <c r="G223" s="229" t="s">
        <v>76</v>
      </c>
      <c r="H223" s="273"/>
      <c r="I223" s="273"/>
      <c r="J223" s="273"/>
      <c r="K223" s="273" t="s">
        <v>2445</v>
      </c>
      <c r="L223" s="273"/>
      <c r="M223" s="273"/>
      <c r="N223" s="304"/>
      <c r="O223" s="273"/>
      <c r="P223" s="273"/>
      <c r="Q223" s="304"/>
      <c r="R223" s="273"/>
      <c r="S223" s="273"/>
      <c r="T223" s="304"/>
      <c r="U223" s="304"/>
      <c r="V223" s="273"/>
      <c r="W223" s="410"/>
      <c r="X223" s="304"/>
      <c r="Y223" s="273"/>
      <c r="Z223" s="273"/>
      <c r="AA223" s="273"/>
      <c r="AB223" s="304"/>
      <c r="AC223" s="304"/>
      <c r="AD223" s="304"/>
      <c r="AE223" s="304"/>
      <c r="AF223" s="304"/>
      <c r="AG223" s="273"/>
      <c r="AH223" s="304"/>
      <c r="AI223" s="304"/>
      <c r="AJ223" s="304"/>
      <c r="AK223" s="304"/>
      <c r="AL223" s="61"/>
      <c r="AM223" s="273"/>
      <c r="AN223" s="273"/>
      <c r="AO223" s="304"/>
      <c r="AP223" s="304"/>
      <c r="AQ223" s="273"/>
      <c r="AR223" s="273"/>
      <c r="AS223" s="273"/>
      <c r="AT223" s="304"/>
      <c r="AU223" s="273"/>
      <c r="AV223" s="273"/>
      <c r="AW223" s="304"/>
      <c r="AX223" s="304"/>
      <c r="AY223" s="304"/>
      <c r="AZ223" s="304"/>
      <c r="BA223" s="304"/>
      <c r="BB223" s="304"/>
      <c r="BC223" s="273"/>
      <c r="BD223" s="273"/>
      <c r="BE223" s="304"/>
      <c r="BF223" s="273"/>
      <c r="BG223" s="273"/>
      <c r="BH223" s="304"/>
      <c r="BI223" s="304"/>
      <c r="BJ223" s="304"/>
      <c r="BK223" s="304"/>
      <c r="BL223" s="304"/>
      <c r="BM223" s="304"/>
      <c r="BN223" s="304"/>
      <c r="BO223" s="304"/>
      <c r="BP223" s="304"/>
      <c r="BQ223" s="841"/>
      <c r="BR223" s="304"/>
      <c r="BS223" s="304"/>
      <c r="BT223" s="304"/>
      <c r="BU223" s="304"/>
      <c r="BV223" s="304"/>
      <c r="BW223" s="304"/>
      <c r="BX223" s="304"/>
      <c r="BY223" s="304"/>
      <c r="BZ223" s="304"/>
      <c r="CA223" s="304"/>
      <c r="CB223" s="304"/>
      <c r="CC223" s="304"/>
      <c r="CD223" s="304"/>
      <c r="CE223" s="304"/>
      <c r="CF223" s="841"/>
      <c r="CG223" s="304"/>
      <c r="CH223" s="304"/>
      <c r="CI223" s="304"/>
      <c r="CJ223" s="304"/>
      <c r="CK223" s="304"/>
      <c r="CL223" s="304"/>
      <c r="CM223" s="304"/>
      <c r="CN223" s="304"/>
      <c r="CO223" s="304"/>
      <c r="CP223" s="304"/>
      <c r="CQ223" s="304"/>
      <c r="CR223" s="304"/>
      <c r="CS223" s="304"/>
      <c r="CT223" s="304"/>
      <c r="CU223" s="62"/>
      <c r="CV223" s="304"/>
      <c r="CW223" s="304"/>
      <c r="CX223" s="304"/>
      <c r="CY223" s="304"/>
      <c r="CZ223" s="304"/>
      <c r="DA223" s="304"/>
      <c r="DB223" s="304"/>
      <c r="DC223" s="304"/>
      <c r="DD223" s="304"/>
      <c r="DE223" s="304"/>
      <c r="DF223" s="304"/>
      <c r="DG223" s="304"/>
      <c r="DH223" s="304"/>
      <c r="DI223" s="304"/>
      <c r="DJ223" s="304"/>
      <c r="DK223" s="304"/>
      <c r="DL223" s="304"/>
      <c r="DM223" s="304"/>
      <c r="DN223" s="304"/>
      <c r="DO223" s="304"/>
      <c r="DP223" s="304"/>
      <c r="DQ223" s="304"/>
      <c r="DR223" s="304"/>
      <c r="DS223" s="304"/>
      <c r="DT223" s="304"/>
      <c r="DU223" s="304"/>
      <c r="DV223" s="304"/>
      <c r="DW223" s="304"/>
      <c r="DX223" s="304"/>
      <c r="DY223" s="304"/>
      <c r="DZ223" s="304"/>
      <c r="EA223" s="304"/>
      <c r="EB223" s="304"/>
      <c r="EC223" s="304"/>
      <c r="ED223" s="885"/>
    </row>
    <row r="224">
      <c r="A224" s="545" t="s">
        <v>12093</v>
      </c>
      <c r="B224" s="381" t="s">
        <v>125</v>
      </c>
      <c r="C224" s="384" t="s">
        <v>155</v>
      </c>
      <c r="D224" s="386" t="s">
        <v>155</v>
      </c>
      <c r="E224" s="389" t="s">
        <v>155</v>
      </c>
      <c r="F224" s="390" t="s">
        <v>155</v>
      </c>
      <c r="G224" s="381" t="s">
        <v>127</v>
      </c>
      <c r="H224" s="849"/>
      <c r="I224" s="849"/>
      <c r="J224" s="849"/>
      <c r="K224" s="849"/>
      <c r="L224" s="849"/>
      <c r="M224" s="849"/>
      <c r="N224" s="849"/>
      <c r="O224" s="849"/>
      <c r="P224" s="849"/>
      <c r="Q224" s="849"/>
      <c r="R224" s="849"/>
      <c r="S224" s="849"/>
      <c r="T224" s="849"/>
      <c r="U224" s="849"/>
      <c r="V224" s="849"/>
      <c r="W224" s="62"/>
      <c r="X224" s="852"/>
      <c r="Y224" s="852"/>
      <c r="Z224" s="852"/>
      <c r="AA224" s="852"/>
      <c r="AB224" s="852"/>
      <c r="AC224" s="852"/>
      <c r="AD224" s="852"/>
      <c r="AE224" s="852"/>
      <c r="AF224" s="852"/>
      <c r="AG224" s="852"/>
      <c r="AH224" s="852"/>
      <c r="AI224" s="852"/>
      <c r="AJ224" s="852"/>
      <c r="AK224" s="852"/>
      <c r="AL224" s="61"/>
      <c r="AM224" s="855"/>
      <c r="AN224" s="855"/>
      <c r="AO224" s="855"/>
      <c r="AP224" s="855"/>
      <c r="AQ224" s="855"/>
      <c r="AR224" s="855"/>
      <c r="AS224" s="855"/>
      <c r="AT224" s="855"/>
      <c r="AU224" s="571" t="s">
        <v>4769</v>
      </c>
      <c r="AV224" s="571" t="s">
        <v>687</v>
      </c>
      <c r="AW224" s="855"/>
      <c r="AX224" s="855"/>
      <c r="AY224" s="855"/>
      <c r="AZ224" s="855"/>
      <c r="BA224" s="855"/>
      <c r="BB224" s="587"/>
      <c r="BC224" s="587"/>
      <c r="BD224" s="587"/>
      <c r="BE224" s="587"/>
      <c r="BF224" s="587"/>
      <c r="BG224" s="587"/>
      <c r="BH224" s="587"/>
      <c r="BI224" s="587"/>
      <c r="BJ224" s="587"/>
      <c r="BK224" s="587"/>
      <c r="BL224" s="587"/>
      <c r="BM224" s="587"/>
      <c r="BN224" s="587"/>
      <c r="BO224" s="587"/>
      <c r="BP224" s="587"/>
      <c r="BQ224" s="857"/>
      <c r="BR224" s="859"/>
      <c r="BS224" s="859"/>
      <c r="BT224" s="859"/>
      <c r="BU224" s="859"/>
      <c r="BV224" s="859"/>
      <c r="BW224" s="859"/>
      <c r="BX224" s="859"/>
      <c r="BY224" s="859"/>
      <c r="BZ224" s="859"/>
      <c r="CA224" s="859"/>
      <c r="CB224" s="859"/>
      <c r="CC224" s="859"/>
      <c r="CD224" s="859"/>
      <c r="CE224" s="859"/>
      <c r="CF224" s="861"/>
      <c r="CG224" s="863"/>
      <c r="CH224" s="863"/>
      <c r="CI224" s="863"/>
      <c r="CJ224" s="863"/>
      <c r="CK224" s="863"/>
      <c r="CL224" s="863"/>
      <c r="CM224" s="863"/>
      <c r="CN224" s="863"/>
      <c r="CO224" s="863"/>
      <c r="CP224" s="863"/>
      <c r="CQ224" s="863"/>
      <c r="CR224" s="863"/>
      <c r="CS224" s="863"/>
      <c r="CT224" s="863"/>
      <c r="CU224" s="62"/>
      <c r="CV224" s="864"/>
      <c r="CW224" s="864"/>
      <c r="CX224" s="864"/>
      <c r="CY224" s="864"/>
      <c r="CZ224" s="864"/>
      <c r="DA224" s="864"/>
      <c r="DB224" s="864"/>
      <c r="DC224" s="864"/>
      <c r="DD224" s="864"/>
      <c r="DE224" s="864"/>
      <c r="DF224" s="864"/>
      <c r="DG224" s="864"/>
      <c r="DH224" s="864"/>
      <c r="DI224" s="866"/>
      <c r="DJ224" s="866"/>
      <c r="DK224" s="866"/>
      <c r="DL224" s="866"/>
      <c r="DM224" s="866"/>
      <c r="DN224" s="866"/>
      <c r="DO224" s="866"/>
      <c r="DP224" s="866"/>
      <c r="DQ224" s="866"/>
      <c r="DR224" s="866"/>
      <c r="DS224" s="866"/>
      <c r="DT224" s="866"/>
      <c r="DU224" s="866"/>
      <c r="DV224" s="866"/>
      <c r="DW224" s="866"/>
      <c r="DX224" s="866"/>
      <c r="DY224" s="866"/>
      <c r="DZ224" s="866"/>
      <c r="EA224" s="866"/>
      <c r="EB224" s="866"/>
      <c r="EC224" s="866"/>
      <c r="ED224" s="974"/>
    </row>
    <row r="225">
      <c r="A225" s="228" t="s">
        <v>12094</v>
      </c>
      <c r="B225" s="229" t="s">
        <v>1492</v>
      </c>
      <c r="C225" s="230" t="s">
        <v>155</v>
      </c>
      <c r="D225" s="231" t="s">
        <v>155</v>
      </c>
      <c r="E225" s="232" t="s">
        <v>155</v>
      </c>
      <c r="F225" s="233" t="s">
        <v>127</v>
      </c>
      <c r="G225" s="229" t="s">
        <v>127</v>
      </c>
      <c r="H225" s="242" t="s">
        <v>12095</v>
      </c>
      <c r="I225" s="274"/>
      <c r="J225" s="333"/>
      <c r="K225" s="333"/>
      <c r="L225" s="333"/>
      <c r="M225" s="333"/>
      <c r="N225" s="333"/>
      <c r="O225" s="333"/>
      <c r="P225" s="333"/>
      <c r="Q225" s="304"/>
      <c r="R225" s="304"/>
      <c r="S225" s="304"/>
      <c r="T225" s="304"/>
      <c r="U225" s="304"/>
      <c r="V225" s="304"/>
      <c r="W225" s="62"/>
      <c r="X225" s="333"/>
      <c r="Y225" s="333"/>
      <c r="Z225" s="333"/>
      <c r="AA225" s="333"/>
      <c r="AB225" s="908"/>
      <c r="AC225" s="333"/>
      <c r="AD225" s="333"/>
      <c r="AE225" s="304"/>
      <c r="AF225" s="333"/>
      <c r="AG225" s="333"/>
      <c r="AH225" s="304"/>
      <c r="AI225" s="304"/>
      <c r="AJ225" s="333"/>
      <c r="AK225" s="304"/>
      <c r="AL225" s="61"/>
      <c r="AM225" s="333"/>
      <c r="AN225" s="333"/>
      <c r="AO225" s="304"/>
      <c r="AP225" s="304"/>
      <c r="AQ225" s="273"/>
      <c r="AR225" s="273"/>
      <c r="AS225" s="304"/>
      <c r="AT225" s="304"/>
      <c r="AU225" s="333"/>
      <c r="AV225" s="333"/>
      <c r="AW225" s="301" t="s">
        <v>12096</v>
      </c>
      <c r="AX225" s="304"/>
      <c r="AY225" s="304"/>
      <c r="AZ225" s="304"/>
      <c r="BA225" s="304"/>
      <c r="BB225" s="333"/>
      <c r="BC225" s="333"/>
      <c r="BD225" s="333"/>
      <c r="BE225" s="333"/>
      <c r="BF225" s="333"/>
      <c r="BG225" s="333"/>
      <c r="BH225" s="304"/>
      <c r="BI225" s="333"/>
      <c r="BJ225" s="304"/>
      <c r="BK225" s="333"/>
      <c r="BL225" s="333"/>
      <c r="BM225" s="304"/>
      <c r="BN225" s="304"/>
      <c r="BO225" s="333"/>
      <c r="BP225" s="304"/>
      <c r="BQ225" s="841"/>
      <c r="BR225" s="333"/>
      <c r="BS225" s="333"/>
      <c r="BT225" s="333"/>
      <c r="BU225" s="333"/>
      <c r="BV225" s="333"/>
      <c r="BW225" s="333"/>
      <c r="BX225" s="304"/>
      <c r="BY225" s="333"/>
      <c r="BZ225" s="333"/>
      <c r="CA225" s="333"/>
      <c r="CB225" s="304"/>
      <c r="CC225" s="304"/>
      <c r="CD225" s="304"/>
      <c r="CE225" s="304"/>
      <c r="CF225" s="841"/>
      <c r="CG225" s="333"/>
      <c r="CH225" s="333"/>
      <c r="CI225" s="333"/>
      <c r="CJ225" s="333"/>
      <c r="CK225" s="333"/>
      <c r="CL225" s="333"/>
      <c r="CM225" s="333"/>
      <c r="CN225" s="333"/>
      <c r="CO225" s="333"/>
      <c r="CP225" s="768"/>
      <c r="CQ225" s="304"/>
      <c r="CR225" s="304"/>
      <c r="CS225" s="304"/>
      <c r="CT225" s="304"/>
      <c r="CU225" s="62"/>
      <c r="CV225" s="333"/>
      <c r="CW225" s="333"/>
      <c r="CX225" s="333"/>
      <c r="CY225" s="333"/>
      <c r="CZ225" s="333"/>
      <c r="DA225" s="333"/>
      <c r="DB225" s="333"/>
      <c r="DC225" s="333"/>
      <c r="DD225" s="304"/>
      <c r="DE225" s="304"/>
      <c r="DF225" s="304"/>
      <c r="DG225" s="304"/>
      <c r="DH225" s="304"/>
      <c r="DI225" s="333"/>
      <c r="DJ225" s="304"/>
      <c r="DK225" s="304"/>
      <c r="DL225" s="333"/>
      <c r="DM225" s="333"/>
      <c r="DN225" s="333"/>
      <c r="DO225" s="304"/>
      <c r="DP225" s="304"/>
      <c r="DQ225" s="304"/>
      <c r="DR225" s="333"/>
      <c r="DS225" s="333"/>
      <c r="DT225" s="304"/>
      <c r="DU225" s="333"/>
      <c r="DV225" s="304"/>
      <c r="DW225" s="304"/>
      <c r="DX225" s="304"/>
      <c r="DY225" s="304"/>
      <c r="DZ225" s="304"/>
      <c r="EA225" s="333"/>
      <c r="EB225" s="304"/>
      <c r="EC225" s="304"/>
      <c r="ED225" s="885"/>
    </row>
    <row r="226">
      <c r="A226" s="1798" t="s">
        <v>12097</v>
      </c>
      <c r="B226" s="381" t="s">
        <v>211</v>
      </c>
      <c r="C226" s="384" t="s">
        <v>155</v>
      </c>
      <c r="D226" s="386" t="s">
        <v>155</v>
      </c>
      <c r="E226" s="389" t="s">
        <v>155</v>
      </c>
      <c r="F226" s="390" t="s">
        <v>155</v>
      </c>
      <c r="G226" s="381" t="s">
        <v>76</v>
      </c>
      <c r="H226" s="849"/>
      <c r="I226" s="849"/>
      <c r="J226" s="849"/>
      <c r="K226" s="849" t="s">
        <v>11994</v>
      </c>
      <c r="L226" s="849"/>
      <c r="M226" s="849"/>
      <c r="N226" s="849"/>
      <c r="O226" s="849"/>
      <c r="P226" s="849"/>
      <c r="Q226" s="849"/>
      <c r="R226" s="849"/>
      <c r="S226" s="849"/>
      <c r="T226" s="849"/>
      <c r="U226" s="849"/>
      <c r="V226" s="849"/>
      <c r="W226" s="62"/>
      <c r="X226" s="852"/>
      <c r="Y226" s="852"/>
      <c r="Z226" s="852"/>
      <c r="AA226" s="852"/>
      <c r="AB226" s="852"/>
      <c r="AC226" s="852"/>
      <c r="AD226" s="852"/>
      <c r="AE226" s="852"/>
      <c r="AF226" s="852"/>
      <c r="AG226" s="852"/>
      <c r="AH226" s="852"/>
      <c r="AI226" s="852"/>
      <c r="AJ226" s="852"/>
      <c r="AK226" s="852"/>
      <c r="AL226" s="61"/>
      <c r="AM226" s="855"/>
      <c r="AN226" s="855"/>
      <c r="AO226" s="855"/>
      <c r="AP226" s="855"/>
      <c r="AQ226" s="855"/>
      <c r="AR226" s="855"/>
      <c r="AS226" s="855"/>
      <c r="AT226" s="855"/>
      <c r="AU226" s="855"/>
      <c r="AV226" s="855"/>
      <c r="AW226" s="855"/>
      <c r="AX226" s="855"/>
      <c r="AY226" s="855"/>
      <c r="AZ226" s="855"/>
      <c r="BA226" s="855"/>
      <c r="BB226" s="587"/>
      <c r="BC226" s="587"/>
      <c r="BD226" s="587"/>
      <c r="BE226" s="589"/>
      <c r="BF226" s="587"/>
      <c r="BG226" s="587"/>
      <c r="BH226" s="587"/>
      <c r="BI226" s="587"/>
      <c r="BJ226" s="587"/>
      <c r="BK226" s="587"/>
      <c r="BL226" s="587"/>
      <c r="BM226" s="587"/>
      <c r="BN226" s="587"/>
      <c r="BO226" s="587"/>
      <c r="BP226" s="587"/>
      <c r="BQ226" s="857"/>
      <c r="BR226" s="859"/>
      <c r="BS226" s="859"/>
      <c r="BT226" s="859"/>
      <c r="BU226" s="859"/>
      <c r="BV226" s="859"/>
      <c r="BW226" s="859"/>
      <c r="BX226" s="859"/>
      <c r="BY226" s="807"/>
      <c r="BZ226" s="807"/>
      <c r="CA226" s="859"/>
      <c r="CB226" s="859"/>
      <c r="CC226" s="859"/>
      <c r="CD226" s="859"/>
      <c r="CE226" s="859"/>
      <c r="CF226" s="861"/>
      <c r="CG226" s="863"/>
      <c r="CH226" s="863"/>
      <c r="CI226" s="863"/>
      <c r="CJ226" s="863"/>
      <c r="CK226" s="863"/>
      <c r="CL226" s="863"/>
      <c r="CM226" s="863"/>
      <c r="CN226" s="606"/>
      <c r="CO226" s="863"/>
      <c r="CP226" s="863"/>
      <c r="CQ226" s="863"/>
      <c r="CR226" s="863"/>
      <c r="CS226" s="863"/>
      <c r="CT226" s="863"/>
      <c r="CU226" s="62"/>
      <c r="CV226" s="864"/>
      <c r="CW226" s="864"/>
      <c r="CX226" s="864"/>
      <c r="CY226" s="864"/>
      <c r="CZ226" s="864"/>
      <c r="DA226" s="864"/>
      <c r="DB226" s="864"/>
      <c r="DC226" s="864"/>
      <c r="DD226" s="864"/>
      <c r="DE226" s="864"/>
      <c r="DF226" s="864"/>
      <c r="DG226" s="864"/>
      <c r="DH226" s="864"/>
      <c r="DI226" s="866"/>
      <c r="DJ226" s="866"/>
      <c r="DK226" s="866"/>
      <c r="DL226" s="866"/>
      <c r="DM226" s="866"/>
      <c r="DN226" s="866"/>
      <c r="DO226" s="866"/>
      <c r="DP226" s="866"/>
      <c r="DQ226" s="866"/>
      <c r="DR226" s="866"/>
      <c r="DS226" s="866"/>
      <c r="DT226" s="866"/>
      <c r="DU226" s="866"/>
      <c r="DV226" s="866"/>
      <c r="DW226" s="866"/>
      <c r="DX226" s="866"/>
      <c r="DY226" s="866"/>
      <c r="DZ226" s="866"/>
      <c r="EA226" s="866"/>
      <c r="EB226" s="866"/>
      <c r="EC226" s="866"/>
      <c r="ED226" s="974"/>
    </row>
    <row r="227">
      <c r="A227" s="228" t="s">
        <v>12098</v>
      </c>
      <c r="B227" s="229" t="s">
        <v>211</v>
      </c>
      <c r="C227" s="230" t="s">
        <v>155</v>
      </c>
      <c r="D227" s="231" t="s">
        <v>155</v>
      </c>
      <c r="E227" s="232" t="s">
        <v>155</v>
      </c>
      <c r="F227" s="233" t="s">
        <v>155</v>
      </c>
      <c r="G227" s="229" t="s">
        <v>79</v>
      </c>
      <c r="H227" s="304"/>
      <c r="I227" s="304"/>
      <c r="J227" s="304"/>
      <c r="K227" s="273" t="s">
        <v>9662</v>
      </c>
      <c r="L227" s="304"/>
      <c r="M227" s="304"/>
      <c r="N227" s="304"/>
      <c r="O227" s="273" t="s">
        <v>5318</v>
      </c>
      <c r="P227" s="304"/>
      <c r="Q227" s="304"/>
      <c r="R227" s="304"/>
      <c r="S227" s="304"/>
      <c r="T227" s="304"/>
      <c r="U227" s="304"/>
      <c r="V227" s="304"/>
      <c r="W227" s="62"/>
      <c r="X227" s="304"/>
      <c r="Y227" s="304"/>
      <c r="Z227" s="304"/>
      <c r="AA227" s="304"/>
      <c r="AB227" s="304"/>
      <c r="AC227" s="304"/>
      <c r="AD227" s="304"/>
      <c r="AE227" s="304"/>
      <c r="AF227" s="304"/>
      <c r="AG227" s="304"/>
      <c r="AH227" s="304"/>
      <c r="AI227" s="304"/>
      <c r="AJ227" s="304"/>
      <c r="AK227" s="304"/>
      <c r="AL227" s="61"/>
      <c r="AM227" s="304"/>
      <c r="AN227" s="304"/>
      <c r="AO227" s="304"/>
      <c r="AP227" s="304"/>
      <c r="AQ227" s="304"/>
      <c r="AR227" s="304"/>
      <c r="AS227" s="304"/>
      <c r="AT227" s="304"/>
      <c r="AU227" s="304"/>
      <c r="AV227" s="304"/>
      <c r="AW227" s="304"/>
      <c r="AX227" s="304"/>
      <c r="AY227" s="304"/>
      <c r="AZ227" s="304"/>
      <c r="BA227" s="304"/>
      <c r="BB227" s="304"/>
      <c r="BC227" s="304"/>
      <c r="BD227" s="273" t="s">
        <v>1634</v>
      </c>
      <c r="BE227" s="304"/>
      <c r="BF227" s="304"/>
      <c r="BG227" s="304"/>
      <c r="BH227" s="304"/>
      <c r="BI227" s="273" t="s">
        <v>8902</v>
      </c>
      <c r="BJ227" s="304"/>
      <c r="BK227" s="304"/>
      <c r="BL227" s="304"/>
      <c r="BM227" s="304"/>
      <c r="BN227" s="304"/>
      <c r="BO227" s="304"/>
      <c r="BP227" s="304"/>
      <c r="BQ227" s="841"/>
      <c r="BR227" s="304"/>
      <c r="BS227" s="304"/>
      <c r="BT227" s="304"/>
      <c r="BU227" s="304"/>
      <c r="BV227" s="304"/>
      <c r="BW227" s="304"/>
      <c r="BX227" s="304"/>
      <c r="BY227" s="304"/>
      <c r="BZ227" s="304"/>
      <c r="CA227" s="304"/>
      <c r="CB227" s="304"/>
      <c r="CC227" s="304"/>
      <c r="CD227" s="304"/>
      <c r="CE227" s="304"/>
      <c r="CF227" s="841"/>
      <c r="CG227" s="304"/>
      <c r="CH227" s="304"/>
      <c r="CI227" s="304"/>
      <c r="CJ227" s="304"/>
      <c r="CK227" s="304"/>
      <c r="CL227" s="304"/>
      <c r="CM227" s="304"/>
      <c r="CN227" s="304"/>
      <c r="CO227" s="304"/>
      <c r="CP227" s="304"/>
      <c r="CQ227" s="304"/>
      <c r="CR227" s="304"/>
      <c r="CS227" s="304"/>
      <c r="CT227" s="304"/>
      <c r="CU227" s="62"/>
      <c r="CV227" s="304"/>
      <c r="CW227" s="304"/>
      <c r="CX227" s="304"/>
      <c r="CY227" s="304"/>
      <c r="CZ227" s="304"/>
      <c r="DA227" s="304"/>
      <c r="DB227" s="304"/>
      <c r="DC227" s="304"/>
      <c r="DD227" s="304"/>
      <c r="DE227" s="304"/>
      <c r="DF227" s="304"/>
      <c r="DG227" s="304"/>
      <c r="DH227" s="304"/>
      <c r="DI227" s="304"/>
      <c r="DJ227" s="304"/>
      <c r="DK227" s="304"/>
      <c r="DL227" s="304"/>
      <c r="DM227" s="304"/>
      <c r="DN227" s="304"/>
      <c r="DO227" s="304"/>
      <c r="DP227" s="304"/>
      <c r="DQ227" s="304"/>
      <c r="DR227" s="304"/>
      <c r="DS227" s="304"/>
      <c r="DT227" s="304"/>
      <c r="DU227" s="304"/>
      <c r="DV227" s="304"/>
      <c r="DW227" s="304"/>
      <c r="DX227" s="304"/>
      <c r="DY227" s="304"/>
      <c r="DZ227" s="304"/>
      <c r="EA227" s="304"/>
      <c r="EB227" s="304"/>
      <c r="EC227" s="304"/>
      <c r="ED227" s="885"/>
    </row>
    <row r="228">
      <c r="A228" s="1798" t="s">
        <v>143</v>
      </c>
      <c r="B228" s="381" t="s">
        <v>306</v>
      </c>
      <c r="C228" s="384" t="s">
        <v>155</v>
      </c>
      <c r="D228" s="386" t="s">
        <v>155</v>
      </c>
      <c r="E228" s="389" t="s">
        <v>155</v>
      </c>
      <c r="F228" s="390" t="s">
        <v>155</v>
      </c>
      <c r="G228" s="381" t="s">
        <v>76</v>
      </c>
      <c r="H228" s="1711"/>
      <c r="I228" s="1799"/>
      <c r="J228" s="1711"/>
      <c r="K228" s="1711"/>
      <c r="L228" s="1711"/>
      <c r="M228" s="1711"/>
      <c r="N228" s="1711"/>
      <c r="O228" s="1711"/>
      <c r="P228" s="1711"/>
      <c r="Q228" s="849"/>
      <c r="R228" s="849"/>
      <c r="S228" s="849"/>
      <c r="T228" s="849"/>
      <c r="U228" s="849"/>
      <c r="V228" s="849"/>
      <c r="W228" s="62"/>
      <c r="X228" s="421"/>
      <c r="Y228" s="421"/>
      <c r="Z228" s="421"/>
      <c r="AA228" s="421"/>
      <c r="AB228" s="1007"/>
      <c r="AC228" s="421"/>
      <c r="AD228" s="421"/>
      <c r="AE228" s="852"/>
      <c r="AF228" s="421"/>
      <c r="AG228" s="421"/>
      <c r="AH228" s="852"/>
      <c r="AI228" s="852"/>
      <c r="AJ228" s="421"/>
      <c r="AK228" s="852"/>
      <c r="AL228" s="61"/>
      <c r="AM228" s="435"/>
      <c r="AN228" s="435"/>
      <c r="AO228" s="855"/>
      <c r="AP228" s="855"/>
      <c r="AQ228" s="571"/>
      <c r="AR228" s="571"/>
      <c r="AS228" s="855"/>
      <c r="AT228" s="855"/>
      <c r="AU228" s="435"/>
      <c r="AV228" s="435" t="s">
        <v>3941</v>
      </c>
      <c r="AW228" s="435"/>
      <c r="AX228" s="855"/>
      <c r="AY228" s="855"/>
      <c r="AZ228" s="855"/>
      <c r="BA228" s="855"/>
      <c r="BB228" s="1645"/>
      <c r="BC228" s="1645"/>
      <c r="BD228" s="1645"/>
      <c r="BE228" s="1645"/>
      <c r="BF228" s="1645"/>
      <c r="BG228" s="1645"/>
      <c r="BH228" s="587"/>
      <c r="BI228" s="1645"/>
      <c r="BJ228" s="587"/>
      <c r="BK228" s="1645"/>
      <c r="BL228" s="1645"/>
      <c r="BM228" s="587"/>
      <c r="BN228" s="587"/>
      <c r="BO228" s="1645"/>
      <c r="BP228" s="587"/>
      <c r="BQ228" s="857"/>
      <c r="BR228" s="451"/>
      <c r="BS228" s="451"/>
      <c r="BT228" s="451"/>
      <c r="BU228" s="451"/>
      <c r="BV228" s="451"/>
      <c r="BW228" s="451"/>
      <c r="BX228" s="859"/>
      <c r="BY228" s="451"/>
      <c r="BZ228" s="451"/>
      <c r="CA228" s="451"/>
      <c r="CB228" s="859"/>
      <c r="CC228" s="859"/>
      <c r="CD228" s="859"/>
      <c r="CE228" s="859"/>
      <c r="CF228" s="861"/>
      <c r="CG228" s="460"/>
      <c r="CH228" s="460"/>
      <c r="CI228" s="460"/>
      <c r="CJ228" s="460"/>
      <c r="CK228" s="460"/>
      <c r="CL228" s="460"/>
      <c r="CM228" s="460"/>
      <c r="CN228" s="460"/>
      <c r="CO228" s="460"/>
      <c r="CP228" s="1800"/>
      <c r="CQ228" s="863"/>
      <c r="CR228" s="863"/>
      <c r="CS228" s="863"/>
      <c r="CT228" s="863"/>
      <c r="CU228" s="62"/>
      <c r="CV228" s="470"/>
      <c r="CW228" s="470"/>
      <c r="CX228" s="470"/>
      <c r="CY228" s="470"/>
      <c r="CZ228" s="470"/>
      <c r="DA228" s="470"/>
      <c r="DB228" s="470"/>
      <c r="DC228" s="470"/>
      <c r="DD228" s="864"/>
      <c r="DE228" s="864"/>
      <c r="DF228" s="864"/>
      <c r="DG228" s="864"/>
      <c r="DH228" s="864"/>
      <c r="DI228" s="709"/>
      <c r="DJ228" s="866"/>
      <c r="DK228" s="866"/>
      <c r="DL228" s="709"/>
      <c r="DM228" s="709"/>
      <c r="DN228" s="709"/>
      <c r="DO228" s="866"/>
      <c r="DP228" s="866"/>
      <c r="DQ228" s="866"/>
      <c r="DR228" s="709"/>
      <c r="DS228" s="709"/>
      <c r="DT228" s="866"/>
      <c r="DU228" s="709"/>
      <c r="DV228" s="866"/>
      <c r="DW228" s="866"/>
      <c r="DX228" s="866"/>
      <c r="DY228" s="866"/>
      <c r="DZ228" s="866"/>
      <c r="EA228" s="709"/>
      <c r="EB228" s="866"/>
      <c r="EC228" s="866"/>
      <c r="ED228" s="974"/>
    </row>
    <row r="229">
      <c r="A229" s="1612" t="s">
        <v>3973</v>
      </c>
      <c r="B229" s="229" t="s">
        <v>156</v>
      </c>
      <c r="C229" s="230" t="s">
        <v>155</v>
      </c>
      <c r="D229" s="231" t="s">
        <v>155</v>
      </c>
      <c r="E229" s="232" t="s">
        <v>155</v>
      </c>
      <c r="F229" s="233" t="s">
        <v>155</v>
      </c>
      <c r="G229" s="229" t="s">
        <v>156</v>
      </c>
      <c r="H229" s="333"/>
      <c r="I229" s="274"/>
      <c r="J229" s="333"/>
      <c r="K229" s="333"/>
      <c r="L229" s="333"/>
      <c r="M229" s="333"/>
      <c r="N229" s="333"/>
      <c r="O229" s="333"/>
      <c r="P229" s="333"/>
      <c r="Q229" s="304"/>
      <c r="R229" s="304"/>
      <c r="S229" s="304"/>
      <c r="T229" s="304"/>
      <c r="U229" s="304"/>
      <c r="V229" s="304"/>
      <c r="W229" s="62"/>
      <c r="X229" s="333"/>
      <c r="Y229" s="333"/>
      <c r="Z229" s="333"/>
      <c r="AA229" s="333"/>
      <c r="AB229" s="908"/>
      <c r="AC229" s="333"/>
      <c r="AD229" s="333"/>
      <c r="AE229" s="304"/>
      <c r="AF229" s="333"/>
      <c r="AG229" s="333"/>
      <c r="AH229" s="273" t="s">
        <v>3556</v>
      </c>
      <c r="AI229" s="304"/>
      <c r="AJ229" s="333"/>
      <c r="AK229" s="304"/>
      <c r="AL229" s="61"/>
      <c r="AM229" s="333"/>
      <c r="AN229" s="333"/>
      <c r="AO229" s="304"/>
      <c r="AP229" s="273" t="s">
        <v>4928</v>
      </c>
      <c r="AQ229" s="273"/>
      <c r="AR229" s="273"/>
      <c r="AS229" s="304"/>
      <c r="AT229" s="304"/>
      <c r="AU229" s="333"/>
      <c r="AV229" s="333"/>
      <c r="AW229" s="333"/>
      <c r="AX229" s="304"/>
      <c r="AY229" s="304"/>
      <c r="AZ229" s="304"/>
      <c r="BA229" s="304"/>
      <c r="BB229" s="333"/>
      <c r="BC229" s="333"/>
      <c r="BD229" s="333"/>
      <c r="BE229" s="333"/>
      <c r="BF229" s="333"/>
      <c r="BG229" s="333"/>
      <c r="BH229" s="304"/>
      <c r="BI229" s="333"/>
      <c r="BJ229" s="304"/>
      <c r="BK229" s="333"/>
      <c r="BL229" s="333"/>
      <c r="BM229" s="304"/>
      <c r="BN229" s="304"/>
      <c r="BO229" s="333"/>
      <c r="BP229" s="304"/>
      <c r="BQ229" s="841"/>
      <c r="BR229" s="333"/>
      <c r="BS229" s="333"/>
      <c r="BT229" s="333"/>
      <c r="BU229" s="333"/>
      <c r="BV229" s="333"/>
      <c r="BW229" s="333"/>
      <c r="BX229" s="304"/>
      <c r="BY229" s="333"/>
      <c r="BZ229" s="333"/>
      <c r="CA229" s="333"/>
      <c r="CB229" s="304"/>
      <c r="CC229" s="304"/>
      <c r="CD229" s="304"/>
      <c r="CE229" s="304"/>
      <c r="CF229" s="841"/>
      <c r="CG229" s="333"/>
      <c r="CH229" s="333"/>
      <c r="CI229" s="333"/>
      <c r="CJ229" s="333"/>
      <c r="CK229" s="333"/>
      <c r="CL229" s="333"/>
      <c r="CM229" s="333"/>
      <c r="CN229" s="333"/>
      <c r="CO229" s="333" t="s">
        <v>9831</v>
      </c>
      <c r="CP229" s="768"/>
      <c r="CQ229" s="304"/>
      <c r="CR229" s="304"/>
      <c r="CS229" s="304"/>
      <c r="CT229" s="304"/>
      <c r="CU229" s="62"/>
      <c r="CV229" s="333"/>
      <c r="CW229" s="333"/>
      <c r="CX229" s="333"/>
      <c r="CY229" s="333"/>
      <c r="CZ229" s="333"/>
      <c r="DA229" s="333"/>
      <c r="DB229" s="333"/>
      <c r="DC229" s="333"/>
      <c r="DD229" s="304"/>
      <c r="DE229" s="304"/>
      <c r="DF229" s="304"/>
      <c r="DG229" s="304"/>
      <c r="DH229" s="304"/>
      <c r="DI229" s="333"/>
      <c r="DJ229" s="304"/>
      <c r="DK229" s="304"/>
      <c r="DL229" s="333"/>
      <c r="DM229" s="333"/>
      <c r="DN229" s="333"/>
      <c r="DO229" s="304"/>
      <c r="DP229" s="304"/>
      <c r="DQ229" s="304"/>
      <c r="DR229" s="333"/>
      <c r="DS229" s="333"/>
      <c r="DT229" s="304"/>
      <c r="DU229" s="333"/>
      <c r="DV229" s="304"/>
      <c r="DW229" s="304"/>
      <c r="DX229" s="304"/>
      <c r="DY229" s="304"/>
      <c r="DZ229" s="304"/>
      <c r="EA229" s="333"/>
      <c r="EB229" s="304"/>
      <c r="EC229" s="304"/>
      <c r="ED229" s="885"/>
    </row>
    <row r="230">
      <c r="A230" s="545" t="s">
        <v>12099</v>
      </c>
      <c r="B230" s="381" t="s">
        <v>155</v>
      </c>
      <c r="C230" s="384" t="s">
        <v>155</v>
      </c>
      <c r="D230" s="386" t="s">
        <v>155</v>
      </c>
      <c r="E230" s="389" t="s">
        <v>155</v>
      </c>
      <c r="F230" s="390" t="s">
        <v>155</v>
      </c>
      <c r="G230" s="381" t="s">
        <v>155</v>
      </c>
      <c r="H230" s="1711"/>
      <c r="I230" s="1799"/>
      <c r="J230" s="1711"/>
      <c r="K230" s="1711"/>
      <c r="L230" s="1711"/>
      <c r="M230" s="1711"/>
      <c r="N230" s="1711"/>
      <c r="O230" s="1711"/>
      <c r="P230" s="1711"/>
      <c r="Q230" s="849"/>
      <c r="R230" s="849"/>
      <c r="S230" s="849"/>
      <c r="T230" s="849"/>
      <c r="U230" s="849"/>
      <c r="V230" s="849"/>
      <c r="W230" s="62"/>
      <c r="X230" s="421"/>
      <c r="Y230" s="421"/>
      <c r="Z230" s="421"/>
      <c r="AA230" s="421"/>
      <c r="AB230" s="1007"/>
      <c r="AC230" s="421"/>
      <c r="AD230" s="421"/>
      <c r="AE230" s="852"/>
      <c r="AF230" s="421"/>
      <c r="AG230" s="421"/>
      <c r="AH230" s="852"/>
      <c r="AI230" s="852"/>
      <c r="AJ230" s="421"/>
      <c r="AK230" s="852"/>
      <c r="AL230" s="61"/>
      <c r="AM230" s="435"/>
      <c r="AN230" s="435"/>
      <c r="AO230" s="855"/>
      <c r="AP230" s="855"/>
      <c r="AQ230" s="571"/>
      <c r="AR230" s="571"/>
      <c r="AS230" s="571"/>
      <c r="AT230" s="855"/>
      <c r="AU230" s="435"/>
      <c r="AV230" s="435"/>
      <c r="AW230" s="435"/>
      <c r="AX230" s="855"/>
      <c r="AY230" s="855"/>
      <c r="AZ230" s="855"/>
      <c r="BA230" s="855"/>
      <c r="BB230" s="1645"/>
      <c r="BC230" s="1645"/>
      <c r="BD230" s="1645"/>
      <c r="BE230" s="1645"/>
      <c r="BF230" s="1645"/>
      <c r="BG230" s="1645"/>
      <c r="BH230" s="587"/>
      <c r="BI230" s="1645"/>
      <c r="BJ230" s="587"/>
      <c r="BK230" s="1645"/>
      <c r="BL230" s="1645"/>
      <c r="BM230" s="587"/>
      <c r="BN230" s="587"/>
      <c r="BO230" s="1645"/>
      <c r="BP230" s="587"/>
      <c r="BQ230" s="857"/>
      <c r="BR230" s="451"/>
      <c r="BS230" s="451"/>
      <c r="BT230" s="451"/>
      <c r="BU230" s="451"/>
      <c r="BV230" s="451"/>
      <c r="BW230" s="451"/>
      <c r="BX230" s="859"/>
      <c r="BY230" s="451"/>
      <c r="BZ230" s="451"/>
      <c r="CA230" s="451"/>
      <c r="CB230" s="859"/>
      <c r="CC230" s="859"/>
      <c r="CD230" s="859"/>
      <c r="CE230" s="859"/>
      <c r="CF230" s="861"/>
      <c r="CG230" s="460"/>
      <c r="CH230" s="460"/>
      <c r="CI230" s="460"/>
      <c r="CJ230" s="460"/>
      <c r="CK230" s="460"/>
      <c r="CL230" s="460"/>
      <c r="CM230" s="460"/>
      <c r="CN230" s="460"/>
      <c r="CO230" s="460"/>
      <c r="CP230" s="1800"/>
      <c r="CQ230" s="863"/>
      <c r="CR230" s="863"/>
      <c r="CS230" s="863"/>
      <c r="CT230" s="863"/>
      <c r="CU230" s="62"/>
      <c r="CV230" s="470"/>
      <c r="CW230" s="470"/>
      <c r="CX230" s="470"/>
      <c r="CY230" s="470"/>
      <c r="CZ230" s="470"/>
      <c r="DA230" s="470"/>
      <c r="DB230" s="470"/>
      <c r="DC230" s="470"/>
      <c r="DD230" s="864"/>
      <c r="DE230" s="864"/>
      <c r="DF230" s="864"/>
      <c r="DG230" s="864"/>
      <c r="DH230" s="864"/>
      <c r="DI230" s="709"/>
      <c r="DJ230" s="866"/>
      <c r="DK230" s="866"/>
      <c r="DL230" s="709"/>
      <c r="DM230" s="709"/>
      <c r="DN230" s="709"/>
      <c r="DO230" s="866"/>
      <c r="DP230" s="866"/>
      <c r="DQ230" s="866"/>
      <c r="DR230" s="709"/>
      <c r="DS230" s="709"/>
      <c r="DT230" s="866"/>
      <c r="DU230" s="709"/>
      <c r="DV230" s="866"/>
      <c r="DW230" s="866"/>
      <c r="DX230" s="866"/>
      <c r="DY230" s="866"/>
      <c r="DZ230" s="866"/>
      <c r="EA230" s="709"/>
      <c r="EB230" s="866"/>
      <c r="EC230" s="866"/>
      <c r="ED230" s="974"/>
    </row>
    <row r="231">
      <c r="A231" s="837" t="s">
        <v>12100</v>
      </c>
      <c r="B231" s="229" t="s">
        <v>155</v>
      </c>
      <c r="C231" s="230" t="s">
        <v>155</v>
      </c>
      <c r="D231" s="231" t="s">
        <v>155</v>
      </c>
      <c r="E231" s="232" t="s">
        <v>155</v>
      </c>
      <c r="F231" s="233" t="s">
        <v>155</v>
      </c>
      <c r="G231" s="229" t="s">
        <v>155</v>
      </c>
      <c r="H231" s="333"/>
      <c r="I231" s="274"/>
      <c r="J231" s="333"/>
      <c r="K231" s="333"/>
      <c r="L231" s="333"/>
      <c r="M231" s="333"/>
      <c r="N231" s="333"/>
      <c r="O231" s="333"/>
      <c r="P231" s="333"/>
      <c r="Q231" s="304"/>
      <c r="R231" s="304"/>
      <c r="S231" s="304"/>
      <c r="T231" s="304"/>
      <c r="U231" s="304"/>
      <c r="V231" s="304"/>
      <c r="W231" s="62"/>
      <c r="X231" s="333"/>
      <c r="Y231" s="333"/>
      <c r="Z231" s="333"/>
      <c r="AA231" s="333"/>
      <c r="AB231" s="908"/>
      <c r="AC231" s="333"/>
      <c r="AD231" s="333"/>
      <c r="AE231" s="304"/>
      <c r="AF231" s="333"/>
      <c r="AG231" s="333"/>
      <c r="AH231" s="304"/>
      <c r="AI231" s="304"/>
      <c r="AJ231" s="333"/>
      <c r="AK231" s="304"/>
      <c r="AL231" s="61"/>
      <c r="AM231" s="333"/>
      <c r="AN231" s="333"/>
      <c r="AO231" s="304"/>
      <c r="AP231" s="304"/>
      <c r="AQ231" s="273"/>
      <c r="AR231" s="273"/>
      <c r="AS231" s="304"/>
      <c r="AT231" s="304"/>
      <c r="AU231" s="333"/>
      <c r="AV231" s="333"/>
      <c r="AW231" s="333"/>
      <c r="AX231" s="304"/>
      <c r="AY231" s="304"/>
      <c r="AZ231" s="304"/>
      <c r="BA231" s="304"/>
      <c r="BB231" s="333"/>
      <c r="BC231" s="333"/>
      <c r="BD231" s="333"/>
      <c r="BE231" s="333"/>
      <c r="BF231" s="333"/>
      <c r="BG231" s="333"/>
      <c r="BH231" s="304"/>
      <c r="BI231" s="333"/>
      <c r="BJ231" s="304"/>
      <c r="BK231" s="333"/>
      <c r="BL231" s="333"/>
      <c r="BM231" s="304"/>
      <c r="BN231" s="304"/>
      <c r="BO231" s="333"/>
      <c r="BP231" s="304"/>
      <c r="BQ231" s="841"/>
      <c r="BR231" s="333"/>
      <c r="BS231" s="333"/>
      <c r="BT231" s="333"/>
      <c r="BU231" s="333"/>
      <c r="BV231" s="333"/>
      <c r="BW231" s="333"/>
      <c r="BX231" s="304"/>
      <c r="BY231" s="333"/>
      <c r="BZ231" s="333"/>
      <c r="CA231" s="333"/>
      <c r="CB231" s="304"/>
      <c r="CC231" s="304"/>
      <c r="CD231" s="304"/>
      <c r="CE231" s="304"/>
      <c r="CF231" s="841"/>
      <c r="CG231" s="333"/>
      <c r="CH231" s="333"/>
      <c r="CI231" s="333"/>
      <c r="CJ231" s="333"/>
      <c r="CK231" s="333"/>
      <c r="CL231" s="333"/>
      <c r="CM231" s="333"/>
      <c r="CN231" s="333"/>
      <c r="CO231" s="333"/>
      <c r="CP231" s="768"/>
      <c r="CQ231" s="304"/>
      <c r="CR231" s="304"/>
      <c r="CS231" s="304"/>
      <c r="CT231" s="304"/>
      <c r="CU231" s="62"/>
      <c r="CV231" s="333"/>
      <c r="CW231" s="333"/>
      <c r="CX231" s="333"/>
      <c r="CY231" s="333"/>
      <c r="CZ231" s="333"/>
      <c r="DA231" s="333"/>
      <c r="DB231" s="333"/>
      <c r="DC231" s="333"/>
      <c r="DD231" s="304"/>
      <c r="DE231" s="304"/>
      <c r="DF231" s="304"/>
      <c r="DG231" s="304"/>
      <c r="DH231" s="304"/>
      <c r="DI231" s="333"/>
      <c r="DJ231" s="304"/>
      <c r="DK231" s="304"/>
      <c r="DL231" s="333"/>
      <c r="DM231" s="333"/>
      <c r="DN231" s="333"/>
      <c r="DO231" s="304"/>
      <c r="DP231" s="304"/>
      <c r="DQ231" s="304"/>
      <c r="DR231" s="333"/>
      <c r="DS231" s="333"/>
      <c r="DT231" s="304"/>
      <c r="DU231" s="333"/>
      <c r="DV231" s="304"/>
      <c r="DW231" s="304"/>
      <c r="DX231" s="304"/>
      <c r="DY231" s="304"/>
      <c r="DZ231" s="304"/>
      <c r="EA231" s="333"/>
      <c r="EB231" s="304"/>
      <c r="EC231" s="304"/>
      <c r="ED231" s="885"/>
    </row>
    <row r="232">
      <c r="A232" s="1798"/>
      <c r="B232" s="381" t="s">
        <v>155</v>
      </c>
      <c r="C232" s="384" t="s">
        <v>155</v>
      </c>
      <c r="D232" s="386" t="s">
        <v>155</v>
      </c>
      <c r="E232" s="389" t="s">
        <v>155</v>
      </c>
      <c r="F232" s="390" t="s">
        <v>155</v>
      </c>
      <c r="G232" s="381" t="s">
        <v>155</v>
      </c>
      <c r="H232" s="1711"/>
      <c r="I232" s="1799"/>
      <c r="J232" s="1711"/>
      <c r="K232" s="1711"/>
      <c r="L232" s="1711"/>
      <c r="M232" s="1711"/>
      <c r="N232" s="1711"/>
      <c r="O232" s="1711"/>
      <c r="P232" s="1711"/>
      <c r="Q232" s="849"/>
      <c r="R232" s="849"/>
      <c r="S232" s="849"/>
      <c r="T232" s="849"/>
      <c r="U232" s="849"/>
      <c r="V232" s="849"/>
      <c r="W232" s="62"/>
      <c r="X232" s="421"/>
      <c r="Y232" s="421"/>
      <c r="Z232" s="421"/>
      <c r="AA232" s="421"/>
      <c r="AB232" s="1007"/>
      <c r="AC232" s="421"/>
      <c r="AD232" s="421"/>
      <c r="AE232" s="852"/>
      <c r="AF232" s="421"/>
      <c r="AG232" s="421"/>
      <c r="AH232" s="852"/>
      <c r="AI232" s="852"/>
      <c r="AJ232" s="421"/>
      <c r="AK232" s="852"/>
      <c r="AL232" s="61"/>
      <c r="AM232" s="435"/>
      <c r="AN232" s="435"/>
      <c r="AO232" s="855"/>
      <c r="AP232" s="855"/>
      <c r="AQ232" s="571"/>
      <c r="AR232" s="571"/>
      <c r="AS232" s="855"/>
      <c r="AT232" s="855"/>
      <c r="AU232" s="435"/>
      <c r="AV232" s="435"/>
      <c r="AW232" s="435"/>
      <c r="AX232" s="855"/>
      <c r="AY232" s="855"/>
      <c r="AZ232" s="855"/>
      <c r="BA232" s="855"/>
      <c r="BB232" s="1645"/>
      <c r="BC232" s="1645"/>
      <c r="BD232" s="1645"/>
      <c r="BE232" s="1645"/>
      <c r="BF232" s="1645"/>
      <c r="BG232" s="1645"/>
      <c r="BH232" s="587"/>
      <c r="BI232" s="1645"/>
      <c r="BJ232" s="587"/>
      <c r="BK232" s="1645"/>
      <c r="BL232" s="1645"/>
      <c r="BM232" s="587"/>
      <c r="BN232" s="587"/>
      <c r="BO232" s="1645"/>
      <c r="BP232" s="587"/>
      <c r="BQ232" s="857"/>
      <c r="BR232" s="451"/>
      <c r="BS232" s="451"/>
      <c r="BT232" s="451"/>
      <c r="BU232" s="451"/>
      <c r="BV232" s="451"/>
      <c r="BW232" s="451"/>
      <c r="BX232" s="859"/>
      <c r="BY232" s="451"/>
      <c r="BZ232" s="451"/>
      <c r="CA232" s="451"/>
      <c r="CB232" s="859"/>
      <c r="CC232" s="859"/>
      <c r="CD232" s="859"/>
      <c r="CE232" s="859"/>
      <c r="CF232" s="861"/>
      <c r="CG232" s="460"/>
      <c r="CH232" s="460"/>
      <c r="CI232" s="460"/>
      <c r="CJ232" s="460"/>
      <c r="CK232" s="460"/>
      <c r="CL232" s="460"/>
      <c r="CM232" s="460"/>
      <c r="CN232" s="460"/>
      <c r="CO232" s="460"/>
      <c r="CP232" s="1800"/>
      <c r="CQ232" s="863"/>
      <c r="CR232" s="863"/>
      <c r="CS232" s="863"/>
      <c r="CT232" s="863"/>
      <c r="CU232" s="62"/>
      <c r="CV232" s="470"/>
      <c r="CW232" s="470"/>
      <c r="CX232" s="470"/>
      <c r="CY232" s="470"/>
      <c r="CZ232" s="470"/>
      <c r="DA232" s="470"/>
      <c r="DB232" s="470"/>
      <c r="DC232" s="470"/>
      <c r="DD232" s="864"/>
      <c r="DE232" s="864"/>
      <c r="DF232" s="864"/>
      <c r="DG232" s="864"/>
      <c r="DH232" s="864"/>
      <c r="DI232" s="709"/>
      <c r="DJ232" s="866"/>
      <c r="DK232" s="866"/>
      <c r="DL232" s="709"/>
      <c r="DM232" s="709"/>
      <c r="DN232" s="709"/>
      <c r="DO232" s="866"/>
      <c r="DP232" s="866"/>
      <c r="DQ232" s="866"/>
      <c r="DR232" s="709"/>
      <c r="DS232" s="709"/>
      <c r="DT232" s="866"/>
      <c r="DU232" s="709"/>
      <c r="DV232" s="866"/>
      <c r="DW232" s="866"/>
      <c r="DX232" s="866"/>
      <c r="DY232" s="866"/>
      <c r="DZ232" s="866"/>
      <c r="EA232" s="709"/>
      <c r="EB232" s="866"/>
      <c r="EC232" s="866"/>
      <c r="ED232" s="974"/>
    </row>
    <row r="233">
      <c r="A233" s="1718"/>
      <c r="B233" s="229" t="s">
        <v>155</v>
      </c>
      <c r="C233" s="230" t="s">
        <v>155</v>
      </c>
      <c r="D233" s="231" t="s">
        <v>155</v>
      </c>
      <c r="E233" s="232" t="s">
        <v>155</v>
      </c>
      <c r="F233" s="233" t="s">
        <v>155</v>
      </c>
      <c r="G233" s="229" t="s">
        <v>155</v>
      </c>
      <c r="H233" s="333"/>
      <c r="I233" s="274"/>
      <c r="J233" s="333"/>
      <c r="K233" s="333"/>
      <c r="L233" s="333"/>
      <c r="M233" s="333"/>
      <c r="N233" s="333"/>
      <c r="O233" s="333"/>
      <c r="P233" s="333"/>
      <c r="Q233" s="304"/>
      <c r="R233" s="304"/>
      <c r="S233" s="304"/>
      <c r="T233" s="304"/>
      <c r="U233" s="304"/>
      <c r="V233" s="304"/>
      <c r="W233" s="62"/>
      <c r="X233" s="333"/>
      <c r="Y233" s="333"/>
      <c r="Z233" s="333"/>
      <c r="AA233" s="333"/>
      <c r="AB233" s="908"/>
      <c r="AC233" s="333"/>
      <c r="AD233" s="333"/>
      <c r="AE233" s="304"/>
      <c r="AF233" s="333"/>
      <c r="AG233" s="333"/>
      <c r="AH233" s="304"/>
      <c r="AI233" s="304"/>
      <c r="AJ233" s="333"/>
      <c r="AK233" s="304"/>
      <c r="AL233" s="61"/>
      <c r="AM233" s="333"/>
      <c r="AN233" s="333"/>
      <c r="AO233" s="304"/>
      <c r="AP233" s="304"/>
      <c r="AQ233" s="273"/>
      <c r="AR233" s="273"/>
      <c r="AS233" s="304"/>
      <c r="AT233" s="304"/>
      <c r="AU233" s="333"/>
      <c r="AV233" s="333"/>
      <c r="AW233" s="333"/>
      <c r="AX233" s="304"/>
      <c r="AY233" s="304"/>
      <c r="AZ233" s="304"/>
      <c r="BA233" s="304"/>
      <c r="BB233" s="333"/>
      <c r="BC233" s="333"/>
      <c r="BD233" s="333"/>
      <c r="BE233" s="333"/>
      <c r="BF233" s="333"/>
      <c r="BG233" s="333"/>
      <c r="BH233" s="304"/>
      <c r="BI233" s="333"/>
      <c r="BJ233" s="304"/>
      <c r="BK233" s="333"/>
      <c r="BL233" s="333"/>
      <c r="BM233" s="304"/>
      <c r="BN233" s="304"/>
      <c r="BO233" s="333"/>
      <c r="BP233" s="304"/>
      <c r="BQ233" s="841"/>
      <c r="BR233" s="333"/>
      <c r="BS233" s="333"/>
      <c r="BT233" s="333"/>
      <c r="BU233" s="333"/>
      <c r="BV233" s="333"/>
      <c r="BW233" s="333"/>
      <c r="BX233" s="304"/>
      <c r="BY233" s="333"/>
      <c r="BZ233" s="333"/>
      <c r="CA233" s="333"/>
      <c r="CB233" s="304"/>
      <c r="CC233" s="304"/>
      <c r="CD233" s="304"/>
      <c r="CE233" s="304"/>
      <c r="CF233" s="841"/>
      <c r="CG233" s="333"/>
      <c r="CH233" s="333"/>
      <c r="CI233" s="333"/>
      <c r="CJ233" s="333"/>
      <c r="CK233" s="333"/>
      <c r="CL233" s="333"/>
      <c r="CM233" s="333"/>
      <c r="CN233" s="333"/>
      <c r="CO233" s="333"/>
      <c r="CP233" s="768"/>
      <c r="CQ233" s="304"/>
      <c r="CR233" s="304"/>
      <c r="CS233" s="304"/>
      <c r="CT233" s="304"/>
      <c r="CU233" s="62"/>
      <c r="CV233" s="333"/>
      <c r="CW233" s="333"/>
      <c r="CX233" s="333"/>
      <c r="CY233" s="333"/>
      <c r="CZ233" s="333"/>
      <c r="DA233" s="333"/>
      <c r="DB233" s="333"/>
      <c r="DC233" s="333"/>
      <c r="DD233" s="304"/>
      <c r="DE233" s="304"/>
      <c r="DF233" s="304"/>
      <c r="DG233" s="304"/>
      <c r="DH233" s="304"/>
      <c r="DI233" s="333"/>
      <c r="DJ233" s="304"/>
      <c r="DK233" s="304"/>
      <c r="DL233" s="333"/>
      <c r="DM233" s="333"/>
      <c r="DN233" s="333"/>
      <c r="DO233" s="304"/>
      <c r="DP233" s="304"/>
      <c r="DQ233" s="304"/>
      <c r="DR233" s="333"/>
      <c r="DS233" s="333"/>
      <c r="DT233" s="304"/>
      <c r="DU233" s="333"/>
      <c r="DV233" s="304"/>
      <c r="DW233" s="304"/>
      <c r="DX233" s="304"/>
      <c r="DY233" s="304"/>
      <c r="DZ233" s="304"/>
      <c r="EA233" s="333"/>
      <c r="EB233" s="304"/>
      <c r="EC233" s="304"/>
      <c r="ED233" s="885"/>
    </row>
    <row r="234">
      <c r="A234" s="1798"/>
      <c r="B234" s="381" t="s">
        <v>155</v>
      </c>
      <c r="C234" s="384" t="s">
        <v>155</v>
      </c>
      <c r="D234" s="386" t="s">
        <v>155</v>
      </c>
      <c r="E234" s="389" t="s">
        <v>155</v>
      </c>
      <c r="F234" s="390" t="s">
        <v>155</v>
      </c>
      <c r="G234" s="381" t="s">
        <v>155</v>
      </c>
      <c r="H234" s="1711"/>
      <c r="I234" s="1799"/>
      <c r="J234" s="1711"/>
      <c r="K234" s="1711"/>
      <c r="L234" s="1711"/>
      <c r="M234" s="1711"/>
      <c r="N234" s="1711"/>
      <c r="O234" s="1711"/>
      <c r="P234" s="1711"/>
      <c r="Q234" s="849"/>
      <c r="R234" s="849"/>
      <c r="S234" s="849"/>
      <c r="T234" s="849"/>
      <c r="U234" s="849"/>
      <c r="V234" s="849"/>
      <c r="W234" s="62"/>
      <c r="X234" s="421"/>
      <c r="Y234" s="421"/>
      <c r="Z234" s="421"/>
      <c r="AA234" s="421"/>
      <c r="AB234" s="1007"/>
      <c r="AC234" s="421"/>
      <c r="AD234" s="421"/>
      <c r="AE234" s="852"/>
      <c r="AF234" s="421"/>
      <c r="AG234" s="421"/>
      <c r="AH234" s="852"/>
      <c r="AI234" s="852"/>
      <c r="AJ234" s="421"/>
      <c r="AK234" s="852"/>
      <c r="AL234" s="61"/>
      <c r="AM234" s="435"/>
      <c r="AN234" s="435"/>
      <c r="AO234" s="855"/>
      <c r="AP234" s="855"/>
      <c r="AQ234" s="571"/>
      <c r="AR234" s="571"/>
      <c r="AS234" s="855"/>
      <c r="AT234" s="855"/>
      <c r="AU234" s="435"/>
      <c r="AV234" s="435"/>
      <c r="AW234" s="435"/>
      <c r="AX234" s="855"/>
      <c r="AY234" s="855"/>
      <c r="AZ234" s="855"/>
      <c r="BA234" s="855"/>
      <c r="BB234" s="1645"/>
      <c r="BC234" s="1645"/>
      <c r="BD234" s="1645"/>
      <c r="BE234" s="1645"/>
      <c r="BF234" s="1645"/>
      <c r="BG234" s="1645"/>
      <c r="BH234" s="587"/>
      <c r="BI234" s="1645"/>
      <c r="BJ234" s="587"/>
      <c r="BK234" s="1645"/>
      <c r="BL234" s="1645"/>
      <c r="BM234" s="587"/>
      <c r="BN234" s="587"/>
      <c r="BO234" s="1645"/>
      <c r="BP234" s="587"/>
      <c r="BQ234" s="857"/>
      <c r="BR234" s="451"/>
      <c r="BS234" s="451"/>
      <c r="BT234" s="451"/>
      <c r="BU234" s="451"/>
      <c r="BV234" s="451"/>
      <c r="BW234" s="451"/>
      <c r="BX234" s="859"/>
      <c r="BY234" s="451"/>
      <c r="BZ234" s="451"/>
      <c r="CA234" s="451"/>
      <c r="CB234" s="859"/>
      <c r="CC234" s="859"/>
      <c r="CD234" s="859"/>
      <c r="CE234" s="859"/>
      <c r="CF234" s="861"/>
      <c r="CG234" s="460"/>
      <c r="CH234" s="460"/>
      <c r="CI234" s="460"/>
      <c r="CJ234" s="460"/>
      <c r="CK234" s="460"/>
      <c r="CL234" s="460"/>
      <c r="CM234" s="460"/>
      <c r="CN234" s="460"/>
      <c r="CO234" s="460"/>
      <c r="CP234" s="1800"/>
      <c r="CQ234" s="863"/>
      <c r="CR234" s="863"/>
      <c r="CS234" s="863"/>
      <c r="CT234" s="863"/>
      <c r="CU234" s="62"/>
      <c r="CV234" s="470"/>
      <c r="CW234" s="470"/>
      <c r="CX234" s="470"/>
      <c r="CY234" s="470"/>
      <c r="CZ234" s="470"/>
      <c r="DA234" s="470"/>
      <c r="DB234" s="470"/>
      <c r="DC234" s="470"/>
      <c r="DD234" s="864"/>
      <c r="DE234" s="864"/>
      <c r="DF234" s="864"/>
      <c r="DG234" s="864"/>
      <c r="DH234" s="864"/>
      <c r="DI234" s="709"/>
      <c r="DJ234" s="866"/>
      <c r="DK234" s="866"/>
      <c r="DL234" s="709"/>
      <c r="DM234" s="709"/>
      <c r="DN234" s="709"/>
      <c r="DO234" s="866"/>
      <c r="DP234" s="866"/>
      <c r="DQ234" s="866"/>
      <c r="DR234" s="709"/>
      <c r="DS234" s="709"/>
      <c r="DT234" s="866"/>
      <c r="DU234" s="709"/>
      <c r="DV234" s="866"/>
      <c r="DW234" s="866"/>
      <c r="DX234" s="866"/>
      <c r="DY234" s="866"/>
      <c r="DZ234" s="866"/>
      <c r="EA234" s="709"/>
      <c r="EB234" s="866"/>
      <c r="EC234" s="866"/>
      <c r="ED234" s="974"/>
    </row>
    <row r="235">
      <c r="A235" s="1718"/>
      <c r="B235" s="229" t="s">
        <v>155</v>
      </c>
      <c r="C235" s="230" t="s">
        <v>155</v>
      </c>
      <c r="D235" s="231" t="s">
        <v>155</v>
      </c>
      <c r="E235" s="232" t="s">
        <v>155</v>
      </c>
      <c r="F235" s="233" t="s">
        <v>155</v>
      </c>
      <c r="G235" s="229" t="s">
        <v>155</v>
      </c>
      <c r="H235" s="333"/>
      <c r="I235" s="274"/>
      <c r="J235" s="333"/>
      <c r="K235" s="333"/>
      <c r="L235" s="333"/>
      <c r="M235" s="333"/>
      <c r="N235" s="333"/>
      <c r="O235" s="333"/>
      <c r="P235" s="333"/>
      <c r="Q235" s="304"/>
      <c r="R235" s="304"/>
      <c r="S235" s="304"/>
      <c r="T235" s="304"/>
      <c r="U235" s="304"/>
      <c r="V235" s="304"/>
      <c r="W235" s="62"/>
      <c r="X235" s="333"/>
      <c r="Y235" s="333"/>
      <c r="Z235" s="333"/>
      <c r="AA235" s="333"/>
      <c r="AB235" s="908"/>
      <c r="AC235" s="333"/>
      <c r="AD235" s="333"/>
      <c r="AE235" s="304"/>
      <c r="AF235" s="333"/>
      <c r="AG235" s="333"/>
      <c r="AH235" s="304"/>
      <c r="AI235" s="304"/>
      <c r="AJ235" s="333"/>
      <c r="AK235" s="304"/>
      <c r="AL235" s="61"/>
      <c r="AM235" s="333"/>
      <c r="AN235" s="333"/>
      <c r="AO235" s="304"/>
      <c r="AP235" s="304"/>
      <c r="AQ235" s="273"/>
      <c r="AR235" s="273"/>
      <c r="AS235" s="304"/>
      <c r="AT235" s="304"/>
      <c r="AU235" s="333"/>
      <c r="AV235" s="333"/>
      <c r="AW235" s="333"/>
      <c r="AX235" s="304"/>
      <c r="AY235" s="304"/>
      <c r="AZ235" s="304"/>
      <c r="BA235" s="304"/>
      <c r="BB235" s="333"/>
      <c r="BC235" s="333"/>
      <c r="BD235" s="333"/>
      <c r="BE235" s="333"/>
      <c r="BF235" s="333"/>
      <c r="BG235" s="333"/>
      <c r="BH235" s="304"/>
      <c r="BI235" s="333"/>
      <c r="BJ235" s="304"/>
      <c r="BK235" s="333"/>
      <c r="BL235" s="333"/>
      <c r="BM235" s="304"/>
      <c r="BN235" s="304"/>
      <c r="BO235" s="333"/>
      <c r="BP235" s="304"/>
      <c r="BQ235" s="841"/>
      <c r="BR235" s="333"/>
      <c r="BS235" s="333"/>
      <c r="BT235" s="333"/>
      <c r="BU235" s="333"/>
      <c r="BV235" s="333"/>
      <c r="BW235" s="333"/>
      <c r="BX235" s="304"/>
      <c r="BY235" s="333"/>
      <c r="BZ235" s="333"/>
      <c r="CA235" s="333"/>
      <c r="CB235" s="304"/>
      <c r="CC235" s="304"/>
      <c r="CD235" s="304"/>
      <c r="CE235" s="304"/>
      <c r="CF235" s="841"/>
      <c r="CG235" s="333"/>
      <c r="CH235" s="333"/>
      <c r="CI235" s="333"/>
      <c r="CJ235" s="333"/>
      <c r="CK235" s="333"/>
      <c r="CL235" s="333"/>
      <c r="CM235" s="333"/>
      <c r="CN235" s="333"/>
      <c r="CO235" s="333"/>
      <c r="CP235" s="768"/>
      <c r="CQ235" s="304"/>
      <c r="CR235" s="304"/>
      <c r="CS235" s="304"/>
      <c r="CT235" s="304"/>
      <c r="CU235" s="62"/>
      <c r="CV235" s="333"/>
      <c r="CW235" s="333"/>
      <c r="CX235" s="333"/>
      <c r="CY235" s="333"/>
      <c r="CZ235" s="333"/>
      <c r="DA235" s="333"/>
      <c r="DB235" s="333"/>
      <c r="DC235" s="333"/>
      <c r="DD235" s="304"/>
      <c r="DE235" s="304"/>
      <c r="DF235" s="304"/>
      <c r="DG235" s="304"/>
      <c r="DH235" s="304"/>
      <c r="DI235" s="333"/>
      <c r="DJ235" s="304"/>
      <c r="DK235" s="304"/>
      <c r="DL235" s="333"/>
      <c r="DM235" s="333"/>
      <c r="DN235" s="333"/>
      <c r="DO235" s="304"/>
      <c r="DP235" s="304"/>
      <c r="DQ235" s="304"/>
      <c r="DR235" s="333"/>
      <c r="DS235" s="333"/>
      <c r="DT235" s="304"/>
      <c r="DU235" s="333"/>
      <c r="DV235" s="304"/>
      <c r="DW235" s="304"/>
      <c r="DX235" s="304"/>
      <c r="DY235" s="304"/>
      <c r="DZ235" s="304"/>
      <c r="EA235" s="333"/>
      <c r="EB235" s="304"/>
      <c r="EC235" s="304"/>
      <c r="ED235" s="885"/>
    </row>
    <row r="236">
      <c r="A236" s="1798"/>
      <c r="B236" s="381" t="s">
        <v>155</v>
      </c>
      <c r="C236" s="384" t="s">
        <v>155</v>
      </c>
      <c r="D236" s="386" t="s">
        <v>155</v>
      </c>
      <c r="E236" s="389" t="s">
        <v>155</v>
      </c>
      <c r="F236" s="390" t="s">
        <v>155</v>
      </c>
      <c r="G236" s="381" t="s">
        <v>155</v>
      </c>
      <c r="H236" s="1711"/>
      <c r="I236" s="1799"/>
      <c r="J236" s="1711"/>
      <c r="K236" s="1711"/>
      <c r="L236" s="1711"/>
      <c r="M236" s="1711"/>
      <c r="N236" s="1711"/>
      <c r="O236" s="1711"/>
      <c r="P236" s="1711"/>
      <c r="Q236" s="849"/>
      <c r="R236" s="849"/>
      <c r="S236" s="849"/>
      <c r="T236" s="849"/>
      <c r="U236" s="849"/>
      <c r="V236" s="849"/>
      <c r="W236" s="62"/>
      <c r="X236" s="421"/>
      <c r="Y236" s="421"/>
      <c r="Z236" s="421"/>
      <c r="AA236" s="421"/>
      <c r="AB236" s="1007"/>
      <c r="AC236" s="421"/>
      <c r="AD236" s="421"/>
      <c r="AE236" s="852"/>
      <c r="AF236" s="421"/>
      <c r="AG236" s="421"/>
      <c r="AH236" s="852"/>
      <c r="AI236" s="852"/>
      <c r="AJ236" s="421"/>
      <c r="AK236" s="852"/>
      <c r="AL236" s="61"/>
      <c r="AM236" s="435"/>
      <c r="AN236" s="435"/>
      <c r="AO236" s="855"/>
      <c r="AP236" s="855"/>
      <c r="AQ236" s="571"/>
      <c r="AR236" s="571"/>
      <c r="AS236" s="855"/>
      <c r="AT236" s="855"/>
      <c r="AU236" s="435"/>
      <c r="AV236" s="435"/>
      <c r="AW236" s="435"/>
      <c r="AX236" s="855"/>
      <c r="AY236" s="855"/>
      <c r="AZ236" s="855"/>
      <c r="BA236" s="855"/>
      <c r="BB236" s="1645"/>
      <c r="BC236" s="1645"/>
      <c r="BD236" s="1645"/>
      <c r="BE236" s="1645"/>
      <c r="BF236" s="1645"/>
      <c r="BG236" s="1645"/>
      <c r="BH236" s="587"/>
      <c r="BI236" s="1645"/>
      <c r="BJ236" s="587"/>
      <c r="BK236" s="1645"/>
      <c r="BL236" s="1645"/>
      <c r="BM236" s="587"/>
      <c r="BN236" s="587"/>
      <c r="BO236" s="1645"/>
      <c r="BP236" s="587"/>
      <c r="BQ236" s="857"/>
      <c r="BR236" s="451"/>
      <c r="BS236" s="451"/>
      <c r="BT236" s="451"/>
      <c r="BU236" s="451"/>
      <c r="BV236" s="451"/>
      <c r="BW236" s="451"/>
      <c r="BX236" s="859"/>
      <c r="BY236" s="451"/>
      <c r="BZ236" s="451"/>
      <c r="CA236" s="451"/>
      <c r="CB236" s="859"/>
      <c r="CC236" s="859"/>
      <c r="CD236" s="859"/>
      <c r="CE236" s="859"/>
      <c r="CF236" s="861"/>
      <c r="CG236" s="460"/>
      <c r="CH236" s="460"/>
      <c r="CI236" s="460"/>
      <c r="CJ236" s="460"/>
      <c r="CK236" s="460"/>
      <c r="CL236" s="460"/>
      <c r="CM236" s="460"/>
      <c r="CN236" s="460"/>
      <c r="CO236" s="460"/>
      <c r="CP236" s="1800"/>
      <c r="CQ236" s="863"/>
      <c r="CR236" s="863"/>
      <c r="CS236" s="863"/>
      <c r="CT236" s="863"/>
      <c r="CU236" s="62"/>
      <c r="CV236" s="470"/>
      <c r="CW236" s="470"/>
      <c r="CX236" s="470"/>
      <c r="CY236" s="470"/>
      <c r="CZ236" s="470"/>
      <c r="DA236" s="470"/>
      <c r="DB236" s="470"/>
      <c r="DC236" s="470"/>
      <c r="DD236" s="864"/>
      <c r="DE236" s="864"/>
      <c r="DF236" s="864"/>
      <c r="DG236" s="864"/>
      <c r="DH236" s="864"/>
      <c r="DI236" s="709"/>
      <c r="DJ236" s="866"/>
      <c r="DK236" s="866"/>
      <c r="DL236" s="709"/>
      <c r="DM236" s="709"/>
      <c r="DN236" s="709"/>
      <c r="DO236" s="866"/>
      <c r="DP236" s="866"/>
      <c r="DQ236" s="866"/>
      <c r="DR236" s="709"/>
      <c r="DS236" s="709"/>
      <c r="DT236" s="866"/>
      <c r="DU236" s="709"/>
      <c r="DV236" s="866"/>
      <c r="DW236" s="866"/>
      <c r="DX236" s="866"/>
      <c r="DY236" s="866"/>
      <c r="DZ236" s="866"/>
      <c r="EA236" s="709"/>
      <c r="EB236" s="866"/>
      <c r="EC236" s="866"/>
      <c r="ED236" s="974"/>
    </row>
    <row r="237">
      <c r="A237" s="1718"/>
      <c r="B237" s="229" t="s">
        <v>155</v>
      </c>
      <c r="C237" s="230" t="s">
        <v>155</v>
      </c>
      <c r="D237" s="231" t="s">
        <v>155</v>
      </c>
      <c r="E237" s="232" t="s">
        <v>155</v>
      </c>
      <c r="F237" s="233" t="s">
        <v>155</v>
      </c>
      <c r="G237" s="229" t="s">
        <v>155</v>
      </c>
      <c r="H237" s="333"/>
      <c r="I237" s="274"/>
      <c r="J237" s="333"/>
      <c r="K237" s="333"/>
      <c r="L237" s="333"/>
      <c r="M237" s="333"/>
      <c r="N237" s="333"/>
      <c r="O237" s="333"/>
      <c r="P237" s="333"/>
      <c r="Q237" s="304"/>
      <c r="R237" s="304"/>
      <c r="S237" s="304"/>
      <c r="T237" s="304"/>
      <c r="U237" s="304"/>
      <c r="V237" s="304"/>
      <c r="W237" s="62"/>
      <c r="X237" s="333"/>
      <c r="Y237" s="333"/>
      <c r="Z237" s="333"/>
      <c r="AA237" s="333"/>
      <c r="AB237" s="908"/>
      <c r="AC237" s="333"/>
      <c r="AD237" s="333"/>
      <c r="AE237" s="304"/>
      <c r="AF237" s="333"/>
      <c r="AG237" s="333"/>
      <c r="AH237" s="304"/>
      <c r="AI237" s="304"/>
      <c r="AJ237" s="333"/>
      <c r="AK237" s="304"/>
      <c r="AL237" s="61"/>
      <c r="AM237" s="333"/>
      <c r="AN237" s="333"/>
      <c r="AO237" s="304"/>
      <c r="AP237" s="304"/>
      <c r="AQ237" s="273"/>
      <c r="AR237" s="273"/>
      <c r="AS237" s="304"/>
      <c r="AT237" s="304"/>
      <c r="AU237" s="333"/>
      <c r="AV237" s="333"/>
      <c r="AW237" s="333"/>
      <c r="AX237" s="304"/>
      <c r="AY237" s="304"/>
      <c r="AZ237" s="304"/>
      <c r="BA237" s="304"/>
      <c r="BB237" s="333"/>
      <c r="BC237" s="333"/>
      <c r="BD237" s="333"/>
      <c r="BE237" s="333"/>
      <c r="BF237" s="333"/>
      <c r="BG237" s="333"/>
      <c r="BH237" s="304"/>
      <c r="BI237" s="333"/>
      <c r="BJ237" s="304"/>
      <c r="BK237" s="333"/>
      <c r="BL237" s="333"/>
      <c r="BM237" s="304"/>
      <c r="BN237" s="304"/>
      <c r="BO237" s="333"/>
      <c r="BP237" s="304"/>
      <c r="BQ237" s="841"/>
      <c r="BR237" s="333"/>
      <c r="BS237" s="333"/>
      <c r="BT237" s="333"/>
      <c r="BU237" s="333"/>
      <c r="BV237" s="333"/>
      <c r="BW237" s="333"/>
      <c r="BX237" s="304"/>
      <c r="BY237" s="333"/>
      <c r="BZ237" s="333"/>
      <c r="CA237" s="333"/>
      <c r="CB237" s="304"/>
      <c r="CC237" s="304"/>
      <c r="CD237" s="304"/>
      <c r="CE237" s="304"/>
      <c r="CF237" s="841"/>
      <c r="CG237" s="333"/>
      <c r="CH237" s="333"/>
      <c r="CI237" s="333"/>
      <c r="CJ237" s="333"/>
      <c r="CK237" s="333"/>
      <c r="CL237" s="333"/>
      <c r="CM237" s="333"/>
      <c r="CN237" s="333"/>
      <c r="CO237" s="333"/>
      <c r="CP237" s="768"/>
      <c r="CQ237" s="304"/>
      <c r="CR237" s="304"/>
      <c r="CS237" s="304"/>
      <c r="CT237" s="304"/>
      <c r="CU237" s="62"/>
      <c r="CV237" s="333"/>
      <c r="CW237" s="333"/>
      <c r="CX237" s="333"/>
      <c r="CY237" s="333"/>
      <c r="CZ237" s="333"/>
      <c r="DA237" s="333"/>
      <c r="DB237" s="333"/>
      <c r="DC237" s="333"/>
      <c r="DD237" s="304"/>
      <c r="DE237" s="304"/>
      <c r="DF237" s="304"/>
      <c r="DG237" s="304"/>
      <c r="DH237" s="304"/>
      <c r="DI237" s="333"/>
      <c r="DJ237" s="304"/>
      <c r="DK237" s="304"/>
      <c r="DL237" s="333"/>
      <c r="DM237" s="333"/>
      <c r="DN237" s="333"/>
      <c r="DO237" s="304"/>
      <c r="DP237" s="304"/>
      <c r="DQ237" s="304"/>
      <c r="DR237" s="333"/>
      <c r="DS237" s="333"/>
      <c r="DT237" s="304"/>
      <c r="DU237" s="333"/>
      <c r="DV237" s="304"/>
      <c r="DW237" s="304"/>
      <c r="DX237" s="304"/>
      <c r="DY237" s="304"/>
      <c r="DZ237" s="304"/>
      <c r="EA237" s="333"/>
      <c r="EB237" s="304"/>
      <c r="EC237" s="304"/>
      <c r="ED237" s="885"/>
    </row>
    <row r="238">
      <c r="A238" s="1798"/>
      <c r="B238" s="381" t="s">
        <v>155</v>
      </c>
      <c r="C238" s="384" t="s">
        <v>155</v>
      </c>
      <c r="D238" s="386" t="s">
        <v>155</v>
      </c>
      <c r="E238" s="389" t="s">
        <v>155</v>
      </c>
      <c r="F238" s="390" t="s">
        <v>155</v>
      </c>
      <c r="G238" s="381" t="s">
        <v>155</v>
      </c>
      <c r="H238" s="1711"/>
      <c r="I238" s="1799"/>
      <c r="J238" s="1711"/>
      <c r="K238" s="1711"/>
      <c r="L238" s="1711"/>
      <c r="M238" s="1711"/>
      <c r="N238" s="1711"/>
      <c r="O238" s="1711"/>
      <c r="P238" s="1711"/>
      <c r="Q238" s="849"/>
      <c r="R238" s="849"/>
      <c r="S238" s="849"/>
      <c r="T238" s="849"/>
      <c r="U238" s="849"/>
      <c r="V238" s="849"/>
      <c r="W238" s="62"/>
      <c r="X238" s="421"/>
      <c r="Y238" s="421"/>
      <c r="Z238" s="421"/>
      <c r="AA238" s="421"/>
      <c r="AB238" s="1007"/>
      <c r="AC238" s="421"/>
      <c r="AD238" s="421"/>
      <c r="AE238" s="852"/>
      <c r="AF238" s="421"/>
      <c r="AG238" s="421"/>
      <c r="AH238" s="852"/>
      <c r="AI238" s="852"/>
      <c r="AJ238" s="421"/>
      <c r="AK238" s="852"/>
      <c r="AL238" s="61"/>
      <c r="AM238" s="435"/>
      <c r="AN238" s="435"/>
      <c r="AO238" s="855"/>
      <c r="AP238" s="855"/>
      <c r="AQ238" s="571"/>
      <c r="AR238" s="571"/>
      <c r="AS238" s="855"/>
      <c r="AT238" s="855"/>
      <c r="AU238" s="435"/>
      <c r="AV238" s="435"/>
      <c r="AW238" s="435"/>
      <c r="AX238" s="855"/>
      <c r="AY238" s="855"/>
      <c r="AZ238" s="855"/>
      <c r="BA238" s="855"/>
      <c r="BB238" s="1645"/>
      <c r="BC238" s="1645"/>
      <c r="BD238" s="1645"/>
      <c r="BE238" s="1645"/>
      <c r="BF238" s="1645"/>
      <c r="BG238" s="1645"/>
      <c r="BH238" s="587"/>
      <c r="BI238" s="1645"/>
      <c r="BJ238" s="587"/>
      <c r="BK238" s="1645"/>
      <c r="BL238" s="1645"/>
      <c r="BM238" s="587"/>
      <c r="BN238" s="587"/>
      <c r="BO238" s="1645"/>
      <c r="BP238" s="587"/>
      <c r="BQ238" s="857"/>
      <c r="BR238" s="451"/>
      <c r="BS238" s="451"/>
      <c r="BT238" s="451"/>
      <c r="BU238" s="451"/>
      <c r="BV238" s="451"/>
      <c r="BW238" s="451"/>
      <c r="BX238" s="859"/>
      <c r="BY238" s="451"/>
      <c r="BZ238" s="451"/>
      <c r="CA238" s="451"/>
      <c r="CB238" s="859"/>
      <c r="CC238" s="859"/>
      <c r="CD238" s="859"/>
      <c r="CE238" s="859"/>
      <c r="CF238" s="861"/>
      <c r="CG238" s="460"/>
      <c r="CH238" s="460"/>
      <c r="CI238" s="460"/>
      <c r="CJ238" s="460"/>
      <c r="CK238" s="460"/>
      <c r="CL238" s="460"/>
      <c r="CM238" s="460"/>
      <c r="CN238" s="460"/>
      <c r="CO238" s="460"/>
      <c r="CP238" s="1800"/>
      <c r="CQ238" s="863"/>
      <c r="CR238" s="863"/>
      <c r="CS238" s="863"/>
      <c r="CT238" s="863"/>
      <c r="CU238" s="62"/>
      <c r="CV238" s="470"/>
      <c r="CW238" s="470"/>
      <c r="CX238" s="470"/>
      <c r="CY238" s="470"/>
      <c r="CZ238" s="470"/>
      <c r="DA238" s="470"/>
      <c r="DB238" s="470"/>
      <c r="DC238" s="470"/>
      <c r="DD238" s="864"/>
      <c r="DE238" s="864"/>
      <c r="DF238" s="864"/>
      <c r="DG238" s="864"/>
      <c r="DH238" s="864"/>
      <c r="DI238" s="709"/>
      <c r="DJ238" s="866"/>
      <c r="DK238" s="866"/>
      <c r="DL238" s="709"/>
      <c r="DM238" s="709"/>
      <c r="DN238" s="709"/>
      <c r="DO238" s="866"/>
      <c r="DP238" s="866"/>
      <c r="DQ238" s="866"/>
      <c r="DR238" s="709"/>
      <c r="DS238" s="709"/>
      <c r="DT238" s="866"/>
      <c r="DU238" s="709"/>
      <c r="DV238" s="866"/>
      <c r="DW238" s="866"/>
      <c r="DX238" s="866"/>
      <c r="DY238" s="866"/>
      <c r="DZ238" s="866"/>
      <c r="EA238" s="709"/>
      <c r="EB238" s="866"/>
      <c r="EC238" s="866"/>
      <c r="ED238" s="974"/>
    </row>
    <row r="239">
      <c r="A239" s="1718"/>
      <c r="B239" s="229" t="s">
        <v>155</v>
      </c>
      <c r="C239" s="230" t="s">
        <v>155</v>
      </c>
      <c r="D239" s="231" t="s">
        <v>155</v>
      </c>
      <c r="E239" s="232" t="s">
        <v>155</v>
      </c>
      <c r="F239" s="233" t="s">
        <v>155</v>
      </c>
      <c r="G239" s="229" t="s">
        <v>155</v>
      </c>
      <c r="H239" s="333"/>
      <c r="I239" s="274"/>
      <c r="J239" s="333"/>
      <c r="K239" s="333"/>
      <c r="L239" s="333"/>
      <c r="M239" s="333"/>
      <c r="N239" s="333"/>
      <c r="O239" s="333"/>
      <c r="P239" s="333"/>
      <c r="Q239" s="304"/>
      <c r="R239" s="304"/>
      <c r="S239" s="304"/>
      <c r="T239" s="304"/>
      <c r="U239" s="304"/>
      <c r="V239" s="304"/>
      <c r="W239" s="62"/>
      <c r="X239" s="333"/>
      <c r="Y239" s="333"/>
      <c r="Z239" s="333"/>
      <c r="AA239" s="333"/>
      <c r="AB239" s="908"/>
      <c r="AC239" s="333"/>
      <c r="AD239" s="333"/>
      <c r="AE239" s="304"/>
      <c r="AF239" s="333"/>
      <c r="AG239" s="333"/>
      <c r="AH239" s="304"/>
      <c r="AI239" s="304"/>
      <c r="AJ239" s="333"/>
      <c r="AK239" s="304"/>
      <c r="AL239" s="61"/>
      <c r="AM239" s="333"/>
      <c r="AN239" s="333"/>
      <c r="AO239" s="304"/>
      <c r="AP239" s="304"/>
      <c r="AQ239" s="273"/>
      <c r="AR239" s="273"/>
      <c r="AS239" s="304"/>
      <c r="AT239" s="304"/>
      <c r="AU239" s="333"/>
      <c r="AV239" s="333"/>
      <c r="AW239" s="333"/>
      <c r="AX239" s="304"/>
      <c r="AY239" s="304"/>
      <c r="AZ239" s="304"/>
      <c r="BA239" s="304"/>
      <c r="BB239" s="333"/>
      <c r="BC239" s="333"/>
      <c r="BD239" s="333"/>
      <c r="BE239" s="333"/>
      <c r="BF239" s="333"/>
      <c r="BG239" s="333"/>
      <c r="BH239" s="304"/>
      <c r="BI239" s="333"/>
      <c r="BJ239" s="304"/>
      <c r="BK239" s="333"/>
      <c r="BL239" s="333"/>
      <c r="BM239" s="304"/>
      <c r="BN239" s="304"/>
      <c r="BO239" s="333"/>
      <c r="BP239" s="304"/>
      <c r="BQ239" s="841"/>
      <c r="BR239" s="333"/>
      <c r="BS239" s="333"/>
      <c r="BT239" s="333"/>
      <c r="BU239" s="333"/>
      <c r="BV239" s="333"/>
      <c r="BW239" s="333"/>
      <c r="BX239" s="304"/>
      <c r="BY239" s="333"/>
      <c r="BZ239" s="333"/>
      <c r="CA239" s="333"/>
      <c r="CB239" s="304"/>
      <c r="CC239" s="304"/>
      <c r="CD239" s="304"/>
      <c r="CE239" s="304"/>
      <c r="CF239" s="841"/>
      <c r="CG239" s="333"/>
      <c r="CH239" s="333"/>
      <c r="CI239" s="333"/>
      <c r="CJ239" s="333"/>
      <c r="CK239" s="333"/>
      <c r="CL239" s="333"/>
      <c r="CM239" s="333"/>
      <c r="CN239" s="333"/>
      <c r="CO239" s="333"/>
      <c r="CP239" s="768"/>
      <c r="CQ239" s="304"/>
      <c r="CR239" s="304"/>
      <c r="CS239" s="304"/>
      <c r="CT239" s="304"/>
      <c r="CU239" s="62"/>
      <c r="CV239" s="333"/>
      <c r="CW239" s="333"/>
      <c r="CX239" s="333"/>
      <c r="CY239" s="333"/>
      <c r="CZ239" s="333"/>
      <c r="DA239" s="333"/>
      <c r="DB239" s="333"/>
      <c r="DC239" s="333"/>
      <c r="DD239" s="304"/>
      <c r="DE239" s="304"/>
      <c r="DF239" s="304"/>
      <c r="DG239" s="304"/>
      <c r="DH239" s="304"/>
      <c r="DI239" s="333"/>
      <c r="DJ239" s="304"/>
      <c r="DK239" s="304"/>
      <c r="DL239" s="333"/>
      <c r="DM239" s="333"/>
      <c r="DN239" s="333"/>
      <c r="DO239" s="304"/>
      <c r="DP239" s="304"/>
      <c r="DQ239" s="304"/>
      <c r="DR239" s="333"/>
      <c r="DS239" s="333"/>
      <c r="DT239" s="304"/>
      <c r="DU239" s="333"/>
      <c r="DV239" s="304"/>
      <c r="DW239" s="304"/>
      <c r="DX239" s="304"/>
      <c r="DY239" s="304"/>
      <c r="DZ239" s="304"/>
      <c r="EA239" s="333"/>
      <c r="EB239" s="304"/>
      <c r="EC239" s="304"/>
      <c r="ED239" s="885"/>
    </row>
    <row r="240">
      <c r="A240" s="1798"/>
      <c r="B240" s="381" t="s">
        <v>155</v>
      </c>
      <c r="C240" s="384" t="s">
        <v>155</v>
      </c>
      <c r="D240" s="386" t="s">
        <v>155</v>
      </c>
      <c r="E240" s="389" t="s">
        <v>155</v>
      </c>
      <c r="F240" s="390" t="s">
        <v>155</v>
      </c>
      <c r="G240" s="381" t="s">
        <v>155</v>
      </c>
      <c r="H240" s="1711"/>
      <c r="I240" s="1799"/>
      <c r="J240" s="1711"/>
      <c r="K240" s="1711"/>
      <c r="L240" s="1711"/>
      <c r="M240" s="1711"/>
      <c r="N240" s="1711"/>
      <c r="O240" s="1711"/>
      <c r="P240" s="1711"/>
      <c r="Q240" s="849"/>
      <c r="R240" s="849"/>
      <c r="S240" s="849"/>
      <c r="T240" s="849"/>
      <c r="U240" s="849"/>
      <c r="V240" s="849"/>
      <c r="W240" s="62"/>
      <c r="X240" s="421"/>
      <c r="Y240" s="421"/>
      <c r="Z240" s="421"/>
      <c r="AA240" s="421"/>
      <c r="AB240" s="1007"/>
      <c r="AC240" s="421"/>
      <c r="AD240" s="421"/>
      <c r="AE240" s="852"/>
      <c r="AF240" s="421"/>
      <c r="AG240" s="421"/>
      <c r="AH240" s="852"/>
      <c r="AI240" s="852"/>
      <c r="AJ240" s="421"/>
      <c r="AK240" s="852"/>
      <c r="AL240" s="61"/>
      <c r="AM240" s="435"/>
      <c r="AN240" s="435"/>
      <c r="AO240" s="855"/>
      <c r="AP240" s="855"/>
      <c r="AQ240" s="571"/>
      <c r="AR240" s="571"/>
      <c r="AS240" s="855"/>
      <c r="AT240" s="855"/>
      <c r="AU240" s="435"/>
      <c r="AV240" s="435"/>
      <c r="AW240" s="435"/>
      <c r="AX240" s="855"/>
      <c r="AY240" s="855"/>
      <c r="AZ240" s="855"/>
      <c r="BA240" s="855"/>
      <c r="BB240" s="1645"/>
      <c r="BC240" s="1645"/>
      <c r="BD240" s="1645"/>
      <c r="BE240" s="1645"/>
      <c r="BF240" s="1645"/>
      <c r="BG240" s="1645"/>
      <c r="BH240" s="587"/>
      <c r="BI240" s="1645"/>
      <c r="BJ240" s="587"/>
      <c r="BK240" s="1645"/>
      <c r="BL240" s="1645"/>
      <c r="BM240" s="587"/>
      <c r="BN240" s="587"/>
      <c r="BO240" s="1645"/>
      <c r="BP240" s="587"/>
      <c r="BQ240" s="857"/>
      <c r="BR240" s="451"/>
      <c r="BS240" s="451"/>
      <c r="BT240" s="451"/>
      <c r="BU240" s="451"/>
      <c r="BV240" s="451"/>
      <c r="BW240" s="451"/>
      <c r="BX240" s="859"/>
      <c r="BY240" s="451"/>
      <c r="BZ240" s="451"/>
      <c r="CA240" s="451"/>
      <c r="CB240" s="859"/>
      <c r="CC240" s="859"/>
      <c r="CD240" s="859"/>
      <c r="CE240" s="859"/>
      <c r="CF240" s="861"/>
      <c r="CG240" s="460"/>
      <c r="CH240" s="460"/>
      <c r="CI240" s="460"/>
      <c r="CJ240" s="460"/>
      <c r="CK240" s="460"/>
      <c r="CL240" s="460"/>
      <c r="CM240" s="460"/>
      <c r="CN240" s="460"/>
      <c r="CO240" s="460"/>
      <c r="CP240" s="1800"/>
      <c r="CQ240" s="863"/>
      <c r="CR240" s="863"/>
      <c r="CS240" s="863"/>
      <c r="CT240" s="863"/>
      <c r="CU240" s="62"/>
      <c r="CV240" s="470"/>
      <c r="CW240" s="470"/>
      <c r="CX240" s="470"/>
      <c r="CY240" s="470"/>
      <c r="CZ240" s="470"/>
      <c r="DA240" s="470"/>
      <c r="DB240" s="470"/>
      <c r="DC240" s="470"/>
      <c r="DD240" s="864"/>
      <c r="DE240" s="864"/>
      <c r="DF240" s="864"/>
      <c r="DG240" s="864"/>
      <c r="DH240" s="864"/>
      <c r="DI240" s="709"/>
      <c r="DJ240" s="866"/>
      <c r="DK240" s="866"/>
      <c r="DL240" s="709"/>
      <c r="DM240" s="709"/>
      <c r="DN240" s="709"/>
      <c r="DO240" s="866"/>
      <c r="DP240" s="866"/>
      <c r="DQ240" s="866"/>
      <c r="DR240" s="709"/>
      <c r="DS240" s="709"/>
      <c r="DT240" s="866"/>
      <c r="DU240" s="709"/>
      <c r="DV240" s="866"/>
      <c r="DW240" s="866"/>
      <c r="DX240" s="866"/>
      <c r="DY240" s="866"/>
      <c r="DZ240" s="866"/>
      <c r="EA240" s="709"/>
      <c r="EB240" s="866"/>
      <c r="EC240" s="866"/>
      <c r="ED240" s="974"/>
    </row>
    <row r="241">
      <c r="A241" s="1718"/>
      <c r="B241" s="229" t="s">
        <v>155</v>
      </c>
      <c r="C241" s="230" t="s">
        <v>155</v>
      </c>
      <c r="D241" s="231" t="s">
        <v>155</v>
      </c>
      <c r="E241" s="232" t="s">
        <v>155</v>
      </c>
      <c r="F241" s="233" t="s">
        <v>155</v>
      </c>
      <c r="G241" s="229" t="s">
        <v>155</v>
      </c>
      <c r="H241" s="333"/>
      <c r="I241" s="274"/>
      <c r="J241" s="333"/>
      <c r="K241" s="333"/>
      <c r="L241" s="333"/>
      <c r="M241" s="333"/>
      <c r="N241" s="333"/>
      <c r="O241" s="333"/>
      <c r="P241" s="333"/>
      <c r="Q241" s="304"/>
      <c r="R241" s="304"/>
      <c r="S241" s="304"/>
      <c r="T241" s="304"/>
      <c r="U241" s="304"/>
      <c r="V241" s="304"/>
      <c r="W241" s="62"/>
      <c r="X241" s="333"/>
      <c r="Y241" s="333"/>
      <c r="Z241" s="333"/>
      <c r="AA241" s="333"/>
      <c r="AB241" s="908"/>
      <c r="AC241" s="333"/>
      <c r="AD241" s="333"/>
      <c r="AE241" s="304"/>
      <c r="AF241" s="333"/>
      <c r="AG241" s="333"/>
      <c r="AH241" s="304"/>
      <c r="AI241" s="304"/>
      <c r="AJ241" s="333"/>
      <c r="AK241" s="304"/>
      <c r="AL241" s="61"/>
      <c r="AM241" s="333"/>
      <c r="AN241" s="333"/>
      <c r="AO241" s="304"/>
      <c r="AP241" s="304"/>
      <c r="AQ241" s="273"/>
      <c r="AR241" s="273"/>
      <c r="AS241" s="304"/>
      <c r="AT241" s="304"/>
      <c r="AU241" s="333"/>
      <c r="AV241" s="333"/>
      <c r="AW241" s="333"/>
      <c r="AX241" s="304"/>
      <c r="AY241" s="304"/>
      <c r="AZ241" s="304"/>
      <c r="BA241" s="304"/>
      <c r="BB241" s="333"/>
      <c r="BC241" s="333"/>
      <c r="BD241" s="333"/>
      <c r="BE241" s="333"/>
      <c r="BF241" s="333"/>
      <c r="BG241" s="333"/>
      <c r="BH241" s="304"/>
      <c r="BI241" s="333"/>
      <c r="BJ241" s="304"/>
      <c r="BK241" s="333"/>
      <c r="BL241" s="333"/>
      <c r="BM241" s="304"/>
      <c r="BN241" s="304"/>
      <c r="BO241" s="333"/>
      <c r="BP241" s="304"/>
      <c r="BQ241" s="841"/>
      <c r="BR241" s="333"/>
      <c r="BS241" s="333"/>
      <c r="BT241" s="333"/>
      <c r="BU241" s="333"/>
      <c r="BV241" s="333"/>
      <c r="BW241" s="333"/>
      <c r="BX241" s="304"/>
      <c r="BY241" s="333"/>
      <c r="BZ241" s="333"/>
      <c r="CA241" s="333"/>
      <c r="CB241" s="304"/>
      <c r="CC241" s="304"/>
      <c r="CD241" s="304"/>
      <c r="CE241" s="304"/>
      <c r="CF241" s="841"/>
      <c r="CG241" s="333"/>
      <c r="CH241" s="333"/>
      <c r="CI241" s="333"/>
      <c r="CJ241" s="333"/>
      <c r="CK241" s="333"/>
      <c r="CL241" s="333"/>
      <c r="CM241" s="333"/>
      <c r="CN241" s="333"/>
      <c r="CO241" s="333"/>
      <c r="CP241" s="768"/>
      <c r="CQ241" s="304"/>
      <c r="CR241" s="304"/>
      <c r="CS241" s="304"/>
      <c r="CT241" s="304"/>
      <c r="CU241" s="62"/>
      <c r="CV241" s="333"/>
      <c r="CW241" s="333"/>
      <c r="CX241" s="333"/>
      <c r="CY241" s="333"/>
      <c r="CZ241" s="333"/>
      <c r="DA241" s="333"/>
      <c r="DB241" s="333"/>
      <c r="DC241" s="333"/>
      <c r="DD241" s="304"/>
      <c r="DE241" s="304"/>
      <c r="DF241" s="304"/>
      <c r="DG241" s="304"/>
      <c r="DH241" s="304"/>
      <c r="DI241" s="333"/>
      <c r="DJ241" s="304"/>
      <c r="DK241" s="304"/>
      <c r="DL241" s="333"/>
      <c r="DM241" s="333"/>
      <c r="DN241" s="333"/>
      <c r="DO241" s="304"/>
      <c r="DP241" s="304"/>
      <c r="DQ241" s="304"/>
      <c r="DR241" s="333"/>
      <c r="DS241" s="333"/>
      <c r="DT241" s="304"/>
      <c r="DU241" s="333"/>
      <c r="DV241" s="304"/>
      <c r="DW241" s="304"/>
      <c r="DX241" s="304"/>
      <c r="DY241" s="304"/>
      <c r="DZ241" s="304"/>
      <c r="EA241" s="333"/>
      <c r="EB241" s="304"/>
      <c r="EC241" s="304"/>
      <c r="ED241" s="885"/>
    </row>
    <row r="242">
      <c r="A242" s="1798"/>
      <c r="B242" s="381" t="s">
        <v>155</v>
      </c>
      <c r="C242" s="384" t="s">
        <v>155</v>
      </c>
      <c r="D242" s="386" t="s">
        <v>155</v>
      </c>
      <c r="E242" s="389" t="s">
        <v>155</v>
      </c>
      <c r="F242" s="390" t="s">
        <v>155</v>
      </c>
      <c r="G242" s="381" t="s">
        <v>155</v>
      </c>
      <c r="H242" s="1711"/>
      <c r="I242" s="1799"/>
      <c r="J242" s="1711"/>
      <c r="K242" s="1711"/>
      <c r="L242" s="1711"/>
      <c r="M242" s="1711"/>
      <c r="N242" s="1711"/>
      <c r="O242" s="1711"/>
      <c r="P242" s="1711"/>
      <c r="Q242" s="849"/>
      <c r="R242" s="849"/>
      <c r="S242" s="849"/>
      <c r="T242" s="849"/>
      <c r="U242" s="849"/>
      <c r="V242" s="849"/>
      <c r="W242" s="62"/>
      <c r="X242" s="421"/>
      <c r="Y242" s="421"/>
      <c r="Z242" s="421"/>
      <c r="AA242" s="421"/>
      <c r="AB242" s="1007"/>
      <c r="AC242" s="421"/>
      <c r="AD242" s="421"/>
      <c r="AE242" s="852"/>
      <c r="AF242" s="421"/>
      <c r="AG242" s="421"/>
      <c r="AH242" s="852"/>
      <c r="AI242" s="852"/>
      <c r="AJ242" s="421"/>
      <c r="AK242" s="852"/>
      <c r="AL242" s="61"/>
      <c r="AM242" s="435"/>
      <c r="AN242" s="435"/>
      <c r="AO242" s="855"/>
      <c r="AP242" s="855"/>
      <c r="AQ242" s="571"/>
      <c r="AR242" s="571"/>
      <c r="AS242" s="855"/>
      <c r="AT242" s="855"/>
      <c r="AU242" s="435"/>
      <c r="AV242" s="435"/>
      <c r="AW242" s="435"/>
      <c r="AX242" s="855"/>
      <c r="AY242" s="855"/>
      <c r="AZ242" s="855"/>
      <c r="BA242" s="855"/>
      <c r="BB242" s="1645"/>
      <c r="BC242" s="1645"/>
      <c r="BD242" s="1645"/>
      <c r="BE242" s="1645"/>
      <c r="BF242" s="1645"/>
      <c r="BG242" s="1645"/>
      <c r="BH242" s="587"/>
      <c r="BI242" s="1645"/>
      <c r="BJ242" s="587"/>
      <c r="BK242" s="1645"/>
      <c r="BL242" s="1645"/>
      <c r="BM242" s="587"/>
      <c r="BN242" s="587"/>
      <c r="BO242" s="1645"/>
      <c r="BP242" s="587"/>
      <c r="BQ242" s="857"/>
      <c r="BR242" s="451"/>
      <c r="BS242" s="451"/>
      <c r="BT242" s="451"/>
      <c r="BU242" s="451"/>
      <c r="BV242" s="451"/>
      <c r="BW242" s="451"/>
      <c r="BX242" s="859"/>
      <c r="BY242" s="451"/>
      <c r="BZ242" s="451"/>
      <c r="CA242" s="451"/>
      <c r="CB242" s="859"/>
      <c r="CC242" s="859"/>
      <c r="CD242" s="859"/>
      <c r="CE242" s="859"/>
      <c r="CF242" s="861"/>
      <c r="CG242" s="460"/>
      <c r="CH242" s="460"/>
      <c r="CI242" s="460"/>
      <c r="CJ242" s="460"/>
      <c r="CK242" s="460"/>
      <c r="CL242" s="460"/>
      <c r="CM242" s="460"/>
      <c r="CN242" s="460"/>
      <c r="CO242" s="460"/>
      <c r="CP242" s="1800"/>
      <c r="CQ242" s="863"/>
      <c r="CR242" s="863"/>
      <c r="CS242" s="863"/>
      <c r="CT242" s="863"/>
      <c r="CU242" s="62"/>
      <c r="CV242" s="470"/>
      <c r="CW242" s="470"/>
      <c r="CX242" s="470"/>
      <c r="CY242" s="470"/>
      <c r="CZ242" s="470"/>
      <c r="DA242" s="470"/>
      <c r="DB242" s="470"/>
      <c r="DC242" s="470"/>
      <c r="DD242" s="864"/>
      <c r="DE242" s="864"/>
      <c r="DF242" s="864"/>
      <c r="DG242" s="864"/>
      <c r="DH242" s="864"/>
      <c r="DI242" s="709"/>
      <c r="DJ242" s="866"/>
      <c r="DK242" s="866"/>
      <c r="DL242" s="709"/>
      <c r="DM242" s="709"/>
      <c r="DN242" s="709"/>
      <c r="DO242" s="866"/>
      <c r="DP242" s="866"/>
      <c r="DQ242" s="866"/>
      <c r="DR242" s="709"/>
      <c r="DS242" s="709"/>
      <c r="DT242" s="866"/>
      <c r="DU242" s="709"/>
      <c r="DV242" s="866"/>
      <c r="DW242" s="866"/>
      <c r="DX242" s="866"/>
      <c r="DY242" s="866"/>
      <c r="DZ242" s="866"/>
      <c r="EA242" s="709"/>
      <c r="EB242" s="866"/>
      <c r="EC242" s="866"/>
      <c r="ED242" s="974"/>
    </row>
    <row r="243">
      <c r="A243" s="1718"/>
      <c r="B243" s="229" t="s">
        <v>155</v>
      </c>
      <c r="C243" s="230" t="s">
        <v>155</v>
      </c>
      <c r="D243" s="231" t="s">
        <v>155</v>
      </c>
      <c r="E243" s="232" t="s">
        <v>155</v>
      </c>
      <c r="F243" s="233" t="s">
        <v>155</v>
      </c>
      <c r="G243" s="229" t="s">
        <v>155</v>
      </c>
      <c r="H243" s="333"/>
      <c r="I243" s="274"/>
      <c r="J243" s="333"/>
      <c r="K243" s="333"/>
      <c r="L243" s="333"/>
      <c r="M243" s="333"/>
      <c r="N243" s="333"/>
      <c r="O243" s="333"/>
      <c r="P243" s="333"/>
      <c r="Q243" s="304"/>
      <c r="R243" s="304"/>
      <c r="S243" s="304"/>
      <c r="T243" s="304"/>
      <c r="U243" s="304"/>
      <c r="V243" s="304"/>
      <c r="W243" s="62"/>
      <c r="X243" s="333"/>
      <c r="Y243" s="333"/>
      <c r="Z243" s="333"/>
      <c r="AA243" s="333"/>
      <c r="AB243" s="908"/>
      <c r="AC243" s="333"/>
      <c r="AD243" s="333"/>
      <c r="AE243" s="304"/>
      <c r="AF243" s="333"/>
      <c r="AG243" s="333"/>
      <c r="AH243" s="304"/>
      <c r="AI243" s="304"/>
      <c r="AJ243" s="333"/>
      <c r="AK243" s="304"/>
      <c r="AL243" s="61"/>
      <c r="AM243" s="333"/>
      <c r="AN243" s="333"/>
      <c r="AO243" s="304"/>
      <c r="AP243" s="304"/>
      <c r="AQ243" s="273"/>
      <c r="AR243" s="273"/>
      <c r="AS243" s="304"/>
      <c r="AT243" s="304"/>
      <c r="AU243" s="333"/>
      <c r="AV243" s="333"/>
      <c r="AW243" s="333"/>
      <c r="AX243" s="304"/>
      <c r="AY243" s="304"/>
      <c r="AZ243" s="304"/>
      <c r="BA243" s="304"/>
      <c r="BB243" s="333"/>
      <c r="BC243" s="333"/>
      <c r="BD243" s="333"/>
      <c r="BE243" s="333"/>
      <c r="BF243" s="333"/>
      <c r="BG243" s="333"/>
      <c r="BH243" s="304"/>
      <c r="BI243" s="333"/>
      <c r="BJ243" s="304"/>
      <c r="BK243" s="333"/>
      <c r="BL243" s="333"/>
      <c r="BM243" s="304"/>
      <c r="BN243" s="304"/>
      <c r="BO243" s="333"/>
      <c r="BP243" s="304"/>
      <c r="BQ243" s="841"/>
      <c r="BR243" s="333"/>
      <c r="BS243" s="333"/>
      <c r="BT243" s="333"/>
      <c r="BU243" s="333"/>
      <c r="BV243" s="333"/>
      <c r="BW243" s="333"/>
      <c r="BX243" s="304"/>
      <c r="BY243" s="333"/>
      <c r="BZ243" s="333"/>
      <c r="CA243" s="333"/>
      <c r="CB243" s="304"/>
      <c r="CC243" s="304"/>
      <c r="CD243" s="304"/>
      <c r="CE243" s="304"/>
      <c r="CF243" s="841"/>
      <c r="CG243" s="333"/>
      <c r="CH243" s="333"/>
      <c r="CI243" s="333"/>
      <c r="CJ243" s="333"/>
      <c r="CK243" s="333"/>
      <c r="CL243" s="333"/>
      <c r="CM243" s="333"/>
      <c r="CN243" s="333"/>
      <c r="CO243" s="333"/>
      <c r="CP243" s="768"/>
      <c r="CQ243" s="304"/>
      <c r="CR243" s="304"/>
      <c r="CS243" s="304"/>
      <c r="CT243" s="304"/>
      <c r="CU243" s="62"/>
      <c r="CV243" s="333"/>
      <c r="CW243" s="333"/>
      <c r="CX243" s="333"/>
      <c r="CY243" s="333"/>
      <c r="CZ243" s="333"/>
      <c r="DA243" s="333"/>
      <c r="DB243" s="333"/>
      <c r="DC243" s="333"/>
      <c r="DD243" s="304"/>
      <c r="DE243" s="304"/>
      <c r="DF243" s="304"/>
      <c r="DG243" s="304"/>
      <c r="DH243" s="304"/>
      <c r="DI243" s="333"/>
      <c r="DJ243" s="304"/>
      <c r="DK243" s="304"/>
      <c r="DL243" s="333"/>
      <c r="DM243" s="333"/>
      <c r="DN243" s="333"/>
      <c r="DO243" s="304"/>
      <c r="DP243" s="304"/>
      <c r="DQ243" s="304"/>
      <c r="DR243" s="333"/>
      <c r="DS243" s="333"/>
      <c r="DT243" s="304"/>
      <c r="DU243" s="333"/>
      <c r="DV243" s="304"/>
      <c r="DW243" s="304"/>
      <c r="DX243" s="304"/>
      <c r="DY243" s="304"/>
      <c r="DZ243" s="304"/>
      <c r="EA243" s="333"/>
      <c r="EB243" s="304"/>
      <c r="EC243" s="304"/>
      <c r="ED243" s="885"/>
    </row>
    <row r="244">
      <c r="A244" s="1798"/>
      <c r="B244" s="381" t="s">
        <v>155</v>
      </c>
      <c r="C244" s="384" t="s">
        <v>155</v>
      </c>
      <c r="D244" s="386" t="s">
        <v>155</v>
      </c>
      <c r="E244" s="389" t="s">
        <v>155</v>
      </c>
      <c r="F244" s="390" t="s">
        <v>155</v>
      </c>
      <c r="G244" s="381" t="s">
        <v>155</v>
      </c>
      <c r="H244" s="1711"/>
      <c r="I244" s="1799"/>
      <c r="J244" s="1711"/>
      <c r="K244" s="1711"/>
      <c r="L244" s="1711"/>
      <c r="M244" s="1711"/>
      <c r="N244" s="1711"/>
      <c r="O244" s="1711"/>
      <c r="P244" s="1711"/>
      <c r="Q244" s="849"/>
      <c r="R244" s="849"/>
      <c r="S244" s="849"/>
      <c r="T244" s="849"/>
      <c r="U244" s="849"/>
      <c r="V244" s="849"/>
      <c r="W244" s="62"/>
      <c r="X244" s="421"/>
      <c r="Y244" s="421"/>
      <c r="Z244" s="421"/>
      <c r="AA244" s="421"/>
      <c r="AB244" s="1007"/>
      <c r="AC244" s="421"/>
      <c r="AD244" s="421"/>
      <c r="AE244" s="852"/>
      <c r="AF244" s="421"/>
      <c r="AG244" s="421"/>
      <c r="AH244" s="852"/>
      <c r="AI244" s="852"/>
      <c r="AJ244" s="421"/>
      <c r="AK244" s="852"/>
      <c r="AL244" s="61"/>
      <c r="AM244" s="435"/>
      <c r="AN244" s="435"/>
      <c r="AO244" s="855"/>
      <c r="AP244" s="855"/>
      <c r="AQ244" s="571"/>
      <c r="AR244" s="571"/>
      <c r="AS244" s="855"/>
      <c r="AT244" s="855"/>
      <c r="AU244" s="435"/>
      <c r="AV244" s="435"/>
      <c r="AW244" s="435"/>
      <c r="AX244" s="855"/>
      <c r="AY244" s="855"/>
      <c r="AZ244" s="855"/>
      <c r="BA244" s="855"/>
      <c r="BB244" s="1645"/>
      <c r="BC244" s="1645"/>
      <c r="BD244" s="1645"/>
      <c r="BE244" s="1645"/>
      <c r="BF244" s="1645"/>
      <c r="BG244" s="1645"/>
      <c r="BH244" s="587"/>
      <c r="BI244" s="1645"/>
      <c r="BJ244" s="587"/>
      <c r="BK244" s="1645"/>
      <c r="BL244" s="1645"/>
      <c r="BM244" s="587"/>
      <c r="BN244" s="587"/>
      <c r="BO244" s="1645"/>
      <c r="BP244" s="587"/>
      <c r="BQ244" s="857"/>
      <c r="BR244" s="451"/>
      <c r="BS244" s="451"/>
      <c r="BT244" s="451"/>
      <c r="BU244" s="451"/>
      <c r="BV244" s="451"/>
      <c r="BW244" s="451"/>
      <c r="BX244" s="859"/>
      <c r="BY244" s="451"/>
      <c r="BZ244" s="451"/>
      <c r="CA244" s="451"/>
      <c r="CB244" s="859"/>
      <c r="CC244" s="859"/>
      <c r="CD244" s="859"/>
      <c r="CE244" s="859"/>
      <c r="CF244" s="861"/>
      <c r="CG244" s="460"/>
      <c r="CH244" s="460"/>
      <c r="CI244" s="460"/>
      <c r="CJ244" s="460"/>
      <c r="CK244" s="460"/>
      <c r="CL244" s="460"/>
      <c r="CM244" s="460"/>
      <c r="CN244" s="460"/>
      <c r="CO244" s="460"/>
      <c r="CP244" s="1800"/>
      <c r="CQ244" s="863"/>
      <c r="CR244" s="863"/>
      <c r="CS244" s="863"/>
      <c r="CT244" s="863"/>
      <c r="CU244" s="62"/>
      <c r="CV244" s="470"/>
      <c r="CW244" s="470"/>
      <c r="CX244" s="470"/>
      <c r="CY244" s="470"/>
      <c r="CZ244" s="470"/>
      <c r="DA244" s="470"/>
      <c r="DB244" s="470"/>
      <c r="DC244" s="470"/>
      <c r="DD244" s="864"/>
      <c r="DE244" s="864"/>
      <c r="DF244" s="864"/>
      <c r="DG244" s="864"/>
      <c r="DH244" s="864"/>
      <c r="DI244" s="709"/>
      <c r="DJ244" s="866"/>
      <c r="DK244" s="866"/>
      <c r="DL244" s="709"/>
      <c r="DM244" s="709"/>
      <c r="DN244" s="709"/>
      <c r="DO244" s="866"/>
      <c r="DP244" s="866"/>
      <c r="DQ244" s="866"/>
      <c r="DR244" s="709"/>
      <c r="DS244" s="709"/>
      <c r="DT244" s="866"/>
      <c r="DU244" s="709"/>
      <c r="DV244" s="866"/>
      <c r="DW244" s="866"/>
      <c r="DX244" s="866"/>
      <c r="DY244" s="866"/>
      <c r="DZ244" s="866"/>
      <c r="EA244" s="709"/>
      <c r="EB244" s="866"/>
      <c r="EC244" s="866"/>
      <c r="ED244" s="974"/>
    </row>
    <row r="245">
      <c r="A245" s="1718"/>
      <c r="B245" s="229" t="s">
        <v>155</v>
      </c>
      <c r="C245" s="230" t="s">
        <v>155</v>
      </c>
      <c r="D245" s="231" t="s">
        <v>155</v>
      </c>
      <c r="E245" s="232" t="s">
        <v>155</v>
      </c>
      <c r="F245" s="233" t="s">
        <v>155</v>
      </c>
      <c r="G245" s="229" t="s">
        <v>155</v>
      </c>
      <c r="H245" s="333"/>
      <c r="I245" s="274"/>
      <c r="J245" s="333"/>
      <c r="K245" s="333"/>
      <c r="L245" s="333"/>
      <c r="M245" s="333"/>
      <c r="N245" s="333"/>
      <c r="O245" s="333"/>
      <c r="P245" s="333"/>
      <c r="Q245" s="304"/>
      <c r="R245" s="304"/>
      <c r="S245" s="304"/>
      <c r="T245" s="304"/>
      <c r="U245" s="304"/>
      <c r="V245" s="304"/>
      <c r="W245" s="62"/>
      <c r="X245" s="333"/>
      <c r="Y245" s="333"/>
      <c r="Z245" s="333"/>
      <c r="AA245" s="333"/>
      <c r="AB245" s="908"/>
      <c r="AC245" s="333"/>
      <c r="AD245" s="333"/>
      <c r="AE245" s="304"/>
      <c r="AF245" s="333"/>
      <c r="AG245" s="333"/>
      <c r="AH245" s="304"/>
      <c r="AI245" s="304"/>
      <c r="AJ245" s="333"/>
      <c r="AK245" s="304"/>
      <c r="AL245" s="61"/>
      <c r="AM245" s="333"/>
      <c r="AN245" s="333"/>
      <c r="AO245" s="304"/>
      <c r="AP245" s="304"/>
      <c r="AQ245" s="273"/>
      <c r="AR245" s="273"/>
      <c r="AS245" s="304"/>
      <c r="AT245" s="304"/>
      <c r="AU245" s="333"/>
      <c r="AV245" s="333"/>
      <c r="AW245" s="333"/>
      <c r="AX245" s="304"/>
      <c r="AY245" s="304"/>
      <c r="AZ245" s="304"/>
      <c r="BA245" s="304"/>
      <c r="BB245" s="333"/>
      <c r="BC245" s="333"/>
      <c r="BD245" s="333"/>
      <c r="BE245" s="333"/>
      <c r="BF245" s="333"/>
      <c r="BG245" s="333"/>
      <c r="BH245" s="304"/>
      <c r="BI245" s="333"/>
      <c r="BJ245" s="304"/>
      <c r="BK245" s="333"/>
      <c r="BL245" s="333"/>
      <c r="BM245" s="304"/>
      <c r="BN245" s="304"/>
      <c r="BO245" s="333"/>
      <c r="BP245" s="304"/>
      <c r="BQ245" s="841"/>
      <c r="BR245" s="333"/>
      <c r="BS245" s="333"/>
      <c r="BT245" s="333"/>
      <c r="BU245" s="333"/>
      <c r="BV245" s="333"/>
      <c r="BW245" s="333"/>
      <c r="BX245" s="304"/>
      <c r="BY245" s="333"/>
      <c r="BZ245" s="333"/>
      <c r="CA245" s="333"/>
      <c r="CB245" s="304"/>
      <c r="CC245" s="304"/>
      <c r="CD245" s="304"/>
      <c r="CE245" s="304"/>
      <c r="CF245" s="841"/>
      <c r="CG245" s="333"/>
      <c r="CH245" s="333"/>
      <c r="CI245" s="333"/>
      <c r="CJ245" s="333"/>
      <c r="CK245" s="333"/>
      <c r="CL245" s="333"/>
      <c r="CM245" s="333"/>
      <c r="CN245" s="333"/>
      <c r="CO245" s="333"/>
      <c r="CP245" s="768"/>
      <c r="CQ245" s="304"/>
      <c r="CR245" s="304"/>
      <c r="CS245" s="304"/>
      <c r="CT245" s="304"/>
      <c r="CU245" s="62"/>
      <c r="CV245" s="333"/>
      <c r="CW245" s="333"/>
      <c r="CX245" s="333"/>
      <c r="CY245" s="333"/>
      <c r="CZ245" s="333"/>
      <c r="DA245" s="333"/>
      <c r="DB245" s="333"/>
      <c r="DC245" s="333"/>
      <c r="DD245" s="304"/>
      <c r="DE245" s="304"/>
      <c r="DF245" s="304"/>
      <c r="DG245" s="304"/>
      <c r="DH245" s="304"/>
      <c r="DI245" s="333"/>
      <c r="DJ245" s="304"/>
      <c r="DK245" s="304"/>
      <c r="DL245" s="333"/>
      <c r="DM245" s="333"/>
      <c r="DN245" s="333"/>
      <c r="DO245" s="304"/>
      <c r="DP245" s="304"/>
      <c r="DQ245" s="304"/>
      <c r="DR245" s="333"/>
      <c r="DS245" s="333"/>
      <c r="DT245" s="304"/>
      <c r="DU245" s="333"/>
      <c r="DV245" s="304"/>
      <c r="DW245" s="304"/>
      <c r="DX245" s="304"/>
      <c r="DY245" s="304"/>
      <c r="DZ245" s="304"/>
      <c r="EA245" s="333"/>
      <c r="EB245" s="304"/>
      <c r="EC245" s="304"/>
      <c r="ED245" s="885"/>
    </row>
    <row r="246">
      <c r="A246" s="1798"/>
      <c r="B246" s="381" t="s">
        <v>155</v>
      </c>
      <c r="C246" s="384" t="s">
        <v>155</v>
      </c>
      <c r="D246" s="386" t="s">
        <v>155</v>
      </c>
      <c r="E246" s="389" t="s">
        <v>155</v>
      </c>
      <c r="F246" s="390" t="s">
        <v>155</v>
      </c>
      <c r="G246" s="381" t="s">
        <v>155</v>
      </c>
      <c r="H246" s="1711"/>
      <c r="I246" s="1799"/>
      <c r="J246" s="1711"/>
      <c r="K246" s="1711"/>
      <c r="L246" s="1711"/>
      <c r="M246" s="1711"/>
      <c r="N246" s="1711"/>
      <c r="O246" s="1711"/>
      <c r="P246" s="1711"/>
      <c r="Q246" s="849"/>
      <c r="R246" s="849"/>
      <c r="S246" s="849"/>
      <c r="T246" s="849"/>
      <c r="U246" s="849"/>
      <c r="V246" s="849"/>
      <c r="W246" s="62"/>
      <c r="X246" s="421"/>
      <c r="Y246" s="421"/>
      <c r="Z246" s="421"/>
      <c r="AA246" s="421"/>
      <c r="AB246" s="1007"/>
      <c r="AC246" s="421"/>
      <c r="AD246" s="421"/>
      <c r="AE246" s="852"/>
      <c r="AF246" s="421"/>
      <c r="AG246" s="421"/>
      <c r="AH246" s="852"/>
      <c r="AI246" s="852"/>
      <c r="AJ246" s="421"/>
      <c r="AK246" s="852"/>
      <c r="AL246" s="61"/>
      <c r="AM246" s="435"/>
      <c r="AN246" s="435"/>
      <c r="AO246" s="855"/>
      <c r="AP246" s="855"/>
      <c r="AQ246" s="571"/>
      <c r="AR246" s="571"/>
      <c r="AS246" s="855"/>
      <c r="AT246" s="855"/>
      <c r="AU246" s="435"/>
      <c r="AV246" s="435"/>
      <c r="AW246" s="435"/>
      <c r="AX246" s="855"/>
      <c r="AY246" s="855"/>
      <c r="AZ246" s="855"/>
      <c r="BA246" s="855"/>
      <c r="BB246" s="1645"/>
      <c r="BC246" s="1645"/>
      <c r="BD246" s="1645"/>
      <c r="BE246" s="1645"/>
      <c r="BF246" s="1645"/>
      <c r="BG246" s="1645"/>
      <c r="BH246" s="587"/>
      <c r="BI246" s="1645"/>
      <c r="BJ246" s="587"/>
      <c r="BK246" s="1645"/>
      <c r="BL246" s="1645"/>
      <c r="BM246" s="587"/>
      <c r="BN246" s="587"/>
      <c r="BO246" s="1645"/>
      <c r="BP246" s="587"/>
      <c r="BQ246" s="857"/>
      <c r="BR246" s="451"/>
      <c r="BS246" s="451"/>
      <c r="BT246" s="451"/>
      <c r="BU246" s="451"/>
      <c r="BV246" s="451"/>
      <c r="BW246" s="451"/>
      <c r="BX246" s="859"/>
      <c r="BY246" s="451"/>
      <c r="BZ246" s="451"/>
      <c r="CA246" s="451"/>
      <c r="CB246" s="859"/>
      <c r="CC246" s="859"/>
      <c r="CD246" s="859"/>
      <c r="CE246" s="859"/>
      <c r="CF246" s="861"/>
      <c r="CG246" s="460"/>
      <c r="CH246" s="460"/>
      <c r="CI246" s="460"/>
      <c r="CJ246" s="460"/>
      <c r="CK246" s="460"/>
      <c r="CL246" s="460"/>
      <c r="CM246" s="460"/>
      <c r="CN246" s="460"/>
      <c r="CO246" s="460"/>
      <c r="CP246" s="1800"/>
      <c r="CQ246" s="863"/>
      <c r="CR246" s="863"/>
      <c r="CS246" s="863"/>
      <c r="CT246" s="863"/>
      <c r="CU246" s="62"/>
      <c r="CV246" s="470"/>
      <c r="CW246" s="470"/>
      <c r="CX246" s="470"/>
      <c r="CY246" s="470"/>
      <c r="CZ246" s="470"/>
      <c r="DA246" s="470"/>
      <c r="DB246" s="470"/>
      <c r="DC246" s="470"/>
      <c r="DD246" s="864"/>
      <c r="DE246" s="864"/>
      <c r="DF246" s="864"/>
      <c r="DG246" s="864"/>
      <c r="DH246" s="864"/>
      <c r="DI246" s="709"/>
      <c r="DJ246" s="866"/>
      <c r="DK246" s="866"/>
      <c r="DL246" s="709"/>
      <c r="DM246" s="709"/>
      <c r="DN246" s="709"/>
      <c r="DO246" s="866"/>
      <c r="DP246" s="866"/>
      <c r="DQ246" s="866"/>
      <c r="DR246" s="709"/>
      <c r="DS246" s="709"/>
      <c r="DT246" s="866"/>
      <c r="DU246" s="709"/>
      <c r="DV246" s="866"/>
      <c r="DW246" s="866"/>
      <c r="DX246" s="866"/>
      <c r="DY246" s="866"/>
      <c r="DZ246" s="866"/>
      <c r="EA246" s="709"/>
      <c r="EB246" s="866"/>
      <c r="EC246" s="866"/>
      <c r="ED246" s="974"/>
    </row>
    <row r="247">
      <c r="A247" s="1718"/>
      <c r="B247" s="229" t="s">
        <v>155</v>
      </c>
      <c r="C247" s="230" t="s">
        <v>155</v>
      </c>
      <c r="D247" s="231" t="s">
        <v>155</v>
      </c>
      <c r="E247" s="232" t="s">
        <v>155</v>
      </c>
      <c r="F247" s="233" t="s">
        <v>155</v>
      </c>
      <c r="G247" s="229" t="s">
        <v>155</v>
      </c>
      <c r="H247" s="333"/>
      <c r="I247" s="274"/>
      <c r="J247" s="333"/>
      <c r="K247" s="333"/>
      <c r="L247" s="333"/>
      <c r="M247" s="333"/>
      <c r="N247" s="333"/>
      <c r="O247" s="333"/>
      <c r="P247" s="333"/>
      <c r="Q247" s="304"/>
      <c r="R247" s="304"/>
      <c r="S247" s="304"/>
      <c r="T247" s="304"/>
      <c r="U247" s="304"/>
      <c r="V247" s="304"/>
      <c r="W247" s="62"/>
      <c r="X247" s="333"/>
      <c r="Y247" s="333"/>
      <c r="Z247" s="333"/>
      <c r="AA247" s="333"/>
      <c r="AB247" s="908"/>
      <c r="AC247" s="333"/>
      <c r="AD247" s="333"/>
      <c r="AE247" s="304"/>
      <c r="AF247" s="333"/>
      <c r="AG247" s="333"/>
      <c r="AH247" s="304"/>
      <c r="AI247" s="304"/>
      <c r="AJ247" s="333"/>
      <c r="AK247" s="304"/>
      <c r="AL247" s="61"/>
      <c r="AM247" s="333"/>
      <c r="AN247" s="333"/>
      <c r="AO247" s="304"/>
      <c r="AP247" s="304"/>
      <c r="AQ247" s="273"/>
      <c r="AR247" s="273"/>
      <c r="AS247" s="304"/>
      <c r="AT247" s="304"/>
      <c r="AU247" s="333"/>
      <c r="AV247" s="333"/>
      <c r="AW247" s="333"/>
      <c r="AX247" s="304"/>
      <c r="AY247" s="304"/>
      <c r="AZ247" s="304"/>
      <c r="BA247" s="304"/>
      <c r="BB247" s="333"/>
      <c r="BC247" s="333"/>
      <c r="BD247" s="333"/>
      <c r="BE247" s="333"/>
      <c r="BF247" s="333"/>
      <c r="BG247" s="333"/>
      <c r="BH247" s="304"/>
      <c r="BI247" s="333"/>
      <c r="BJ247" s="304"/>
      <c r="BK247" s="333"/>
      <c r="BL247" s="333"/>
      <c r="BM247" s="304"/>
      <c r="BN247" s="304"/>
      <c r="BO247" s="333"/>
      <c r="BP247" s="304"/>
      <c r="BQ247" s="841"/>
      <c r="BR247" s="333"/>
      <c r="BS247" s="333"/>
      <c r="BT247" s="333"/>
      <c r="BU247" s="333"/>
      <c r="BV247" s="333"/>
      <c r="BW247" s="333"/>
      <c r="BX247" s="304"/>
      <c r="BY247" s="333"/>
      <c r="BZ247" s="333"/>
      <c r="CA247" s="333"/>
      <c r="CB247" s="304"/>
      <c r="CC247" s="304"/>
      <c r="CD247" s="304"/>
      <c r="CE247" s="304"/>
      <c r="CF247" s="841"/>
      <c r="CG247" s="333"/>
      <c r="CH247" s="333"/>
      <c r="CI247" s="333"/>
      <c r="CJ247" s="333"/>
      <c r="CK247" s="333"/>
      <c r="CL247" s="333"/>
      <c r="CM247" s="333"/>
      <c r="CN247" s="333"/>
      <c r="CO247" s="333"/>
      <c r="CP247" s="768"/>
      <c r="CQ247" s="304"/>
      <c r="CR247" s="304"/>
      <c r="CS247" s="304"/>
      <c r="CT247" s="304"/>
      <c r="CU247" s="62"/>
      <c r="CV247" s="333"/>
      <c r="CW247" s="333"/>
      <c r="CX247" s="333"/>
      <c r="CY247" s="333"/>
      <c r="CZ247" s="333"/>
      <c r="DA247" s="333"/>
      <c r="DB247" s="333"/>
      <c r="DC247" s="333"/>
      <c r="DD247" s="304"/>
      <c r="DE247" s="304"/>
      <c r="DF247" s="304"/>
      <c r="DG247" s="304"/>
      <c r="DH247" s="304"/>
      <c r="DI247" s="333"/>
      <c r="DJ247" s="304"/>
      <c r="DK247" s="304"/>
      <c r="DL247" s="333"/>
      <c r="DM247" s="333"/>
      <c r="DN247" s="333"/>
      <c r="DO247" s="304"/>
      <c r="DP247" s="304"/>
      <c r="DQ247" s="304"/>
      <c r="DR247" s="333"/>
      <c r="DS247" s="333"/>
      <c r="DT247" s="304"/>
      <c r="DU247" s="333"/>
      <c r="DV247" s="304"/>
      <c r="DW247" s="304"/>
      <c r="DX247" s="304"/>
      <c r="DY247" s="304"/>
      <c r="DZ247" s="304"/>
      <c r="EA247" s="333"/>
      <c r="EB247" s="304"/>
      <c r="EC247" s="304"/>
      <c r="ED247" s="885"/>
    </row>
    <row r="248">
      <c r="A248" s="1798"/>
      <c r="B248" s="381" t="s">
        <v>155</v>
      </c>
      <c r="C248" s="384" t="s">
        <v>155</v>
      </c>
      <c r="D248" s="386" t="s">
        <v>155</v>
      </c>
      <c r="E248" s="389" t="s">
        <v>155</v>
      </c>
      <c r="F248" s="390" t="s">
        <v>155</v>
      </c>
      <c r="G248" s="381" t="s">
        <v>155</v>
      </c>
      <c r="H248" s="1711"/>
      <c r="I248" s="1799"/>
      <c r="J248" s="1711"/>
      <c r="K248" s="1711"/>
      <c r="L248" s="1711"/>
      <c r="M248" s="1711"/>
      <c r="N248" s="1711"/>
      <c r="O248" s="1711"/>
      <c r="P248" s="1711"/>
      <c r="Q248" s="849"/>
      <c r="R248" s="849"/>
      <c r="S248" s="849"/>
      <c r="T248" s="849"/>
      <c r="U248" s="849"/>
      <c r="V248" s="849"/>
      <c r="W248" s="62"/>
      <c r="X248" s="421"/>
      <c r="Y248" s="421"/>
      <c r="Z248" s="421"/>
      <c r="AA248" s="421"/>
      <c r="AB248" s="1007"/>
      <c r="AC248" s="421"/>
      <c r="AD248" s="421"/>
      <c r="AE248" s="852"/>
      <c r="AF248" s="421"/>
      <c r="AG248" s="421"/>
      <c r="AH248" s="852"/>
      <c r="AI248" s="852"/>
      <c r="AJ248" s="421"/>
      <c r="AK248" s="852"/>
      <c r="AL248" s="61"/>
      <c r="AM248" s="435"/>
      <c r="AN248" s="435"/>
      <c r="AO248" s="855"/>
      <c r="AP248" s="855"/>
      <c r="AQ248" s="571"/>
      <c r="AR248" s="571"/>
      <c r="AS248" s="855"/>
      <c r="AT248" s="855"/>
      <c r="AU248" s="435"/>
      <c r="AV248" s="435"/>
      <c r="AW248" s="435"/>
      <c r="AX248" s="855"/>
      <c r="AY248" s="855"/>
      <c r="AZ248" s="855"/>
      <c r="BA248" s="855"/>
      <c r="BB248" s="1645"/>
      <c r="BC248" s="1645"/>
      <c r="BD248" s="1645"/>
      <c r="BE248" s="1645"/>
      <c r="BF248" s="1645"/>
      <c r="BG248" s="1645"/>
      <c r="BH248" s="587"/>
      <c r="BI248" s="1645"/>
      <c r="BJ248" s="587"/>
      <c r="BK248" s="1645"/>
      <c r="BL248" s="1645"/>
      <c r="BM248" s="587"/>
      <c r="BN248" s="587"/>
      <c r="BO248" s="1645"/>
      <c r="BP248" s="587"/>
      <c r="BQ248" s="857"/>
      <c r="BR248" s="451"/>
      <c r="BS248" s="451"/>
      <c r="BT248" s="451"/>
      <c r="BU248" s="451"/>
      <c r="BV248" s="451"/>
      <c r="BW248" s="451"/>
      <c r="BX248" s="859"/>
      <c r="BY248" s="451"/>
      <c r="BZ248" s="451"/>
      <c r="CA248" s="451"/>
      <c r="CB248" s="859"/>
      <c r="CC248" s="859"/>
      <c r="CD248" s="859"/>
      <c r="CE248" s="859"/>
      <c r="CF248" s="861"/>
      <c r="CG248" s="460"/>
      <c r="CH248" s="460"/>
      <c r="CI248" s="460"/>
      <c r="CJ248" s="460"/>
      <c r="CK248" s="460"/>
      <c r="CL248" s="460"/>
      <c r="CM248" s="460"/>
      <c r="CN248" s="460"/>
      <c r="CO248" s="460"/>
      <c r="CP248" s="1800"/>
      <c r="CQ248" s="863"/>
      <c r="CR248" s="863"/>
      <c r="CS248" s="863"/>
      <c r="CT248" s="863"/>
      <c r="CU248" s="62"/>
      <c r="CV248" s="470"/>
      <c r="CW248" s="470"/>
      <c r="CX248" s="470"/>
      <c r="CY248" s="470"/>
      <c r="CZ248" s="470"/>
      <c r="DA248" s="470"/>
      <c r="DB248" s="470"/>
      <c r="DC248" s="470"/>
      <c r="DD248" s="864"/>
      <c r="DE248" s="864"/>
      <c r="DF248" s="864"/>
      <c r="DG248" s="864"/>
      <c r="DH248" s="864"/>
      <c r="DI248" s="709"/>
      <c r="DJ248" s="866"/>
      <c r="DK248" s="866"/>
      <c r="DL248" s="709"/>
      <c r="DM248" s="709"/>
      <c r="DN248" s="709"/>
      <c r="DO248" s="866"/>
      <c r="DP248" s="866"/>
      <c r="DQ248" s="866"/>
      <c r="DR248" s="709"/>
      <c r="DS248" s="709"/>
      <c r="DT248" s="866"/>
      <c r="DU248" s="709"/>
      <c r="DV248" s="866"/>
      <c r="DW248" s="866"/>
      <c r="DX248" s="866"/>
      <c r="DY248" s="866"/>
      <c r="DZ248" s="866"/>
      <c r="EA248" s="709"/>
      <c r="EB248" s="866"/>
      <c r="EC248" s="866"/>
      <c r="ED248" s="974"/>
    </row>
    <row r="249">
      <c r="A249" s="1718"/>
      <c r="B249" s="229" t="s">
        <v>155</v>
      </c>
      <c r="C249" s="230" t="s">
        <v>155</v>
      </c>
      <c r="D249" s="231" t="s">
        <v>155</v>
      </c>
      <c r="E249" s="232" t="s">
        <v>155</v>
      </c>
      <c r="F249" s="233" t="s">
        <v>155</v>
      </c>
      <c r="G249" s="229" t="s">
        <v>155</v>
      </c>
      <c r="H249" s="333"/>
      <c r="I249" s="274"/>
      <c r="J249" s="333"/>
      <c r="K249" s="333"/>
      <c r="L249" s="333"/>
      <c r="M249" s="333"/>
      <c r="N249" s="333"/>
      <c r="O249" s="333"/>
      <c r="P249" s="333"/>
      <c r="Q249" s="304"/>
      <c r="R249" s="304"/>
      <c r="S249" s="304"/>
      <c r="T249" s="304"/>
      <c r="U249" s="304"/>
      <c r="V249" s="304"/>
      <c r="W249" s="62"/>
      <c r="X249" s="333"/>
      <c r="Y249" s="333"/>
      <c r="Z249" s="333"/>
      <c r="AA249" s="333"/>
      <c r="AB249" s="908"/>
      <c r="AC249" s="333"/>
      <c r="AD249" s="333"/>
      <c r="AE249" s="304"/>
      <c r="AF249" s="333"/>
      <c r="AG249" s="333"/>
      <c r="AH249" s="304"/>
      <c r="AI249" s="304"/>
      <c r="AJ249" s="333"/>
      <c r="AK249" s="304"/>
      <c r="AL249" s="61"/>
      <c r="AM249" s="333"/>
      <c r="AN249" s="333"/>
      <c r="AO249" s="304"/>
      <c r="AP249" s="304"/>
      <c r="AQ249" s="273"/>
      <c r="AR249" s="273"/>
      <c r="AS249" s="304"/>
      <c r="AT249" s="304"/>
      <c r="AU249" s="333"/>
      <c r="AV249" s="333"/>
      <c r="AW249" s="333"/>
      <c r="AX249" s="304"/>
      <c r="AY249" s="304"/>
      <c r="AZ249" s="304"/>
      <c r="BA249" s="304"/>
      <c r="BB249" s="333"/>
      <c r="BC249" s="333"/>
      <c r="BD249" s="333"/>
      <c r="BE249" s="333"/>
      <c r="BF249" s="333"/>
      <c r="BG249" s="333"/>
      <c r="BH249" s="304"/>
      <c r="BI249" s="333"/>
      <c r="BJ249" s="304"/>
      <c r="BK249" s="333"/>
      <c r="BL249" s="333"/>
      <c r="BM249" s="304"/>
      <c r="BN249" s="304"/>
      <c r="BO249" s="333"/>
      <c r="BP249" s="304"/>
      <c r="BQ249" s="841"/>
      <c r="BR249" s="333"/>
      <c r="BS249" s="333"/>
      <c r="BT249" s="333"/>
      <c r="BU249" s="333"/>
      <c r="BV249" s="333"/>
      <c r="BW249" s="333"/>
      <c r="BX249" s="304"/>
      <c r="BY249" s="333"/>
      <c r="BZ249" s="333"/>
      <c r="CA249" s="333"/>
      <c r="CB249" s="304"/>
      <c r="CC249" s="304"/>
      <c r="CD249" s="304"/>
      <c r="CE249" s="304"/>
      <c r="CF249" s="841"/>
      <c r="CG249" s="333"/>
      <c r="CH249" s="333"/>
      <c r="CI249" s="333"/>
      <c r="CJ249" s="333"/>
      <c r="CK249" s="333"/>
      <c r="CL249" s="333"/>
      <c r="CM249" s="333"/>
      <c r="CN249" s="333"/>
      <c r="CO249" s="333"/>
      <c r="CP249" s="768"/>
      <c r="CQ249" s="304"/>
      <c r="CR249" s="304"/>
      <c r="CS249" s="304"/>
      <c r="CT249" s="304"/>
      <c r="CU249" s="62"/>
      <c r="CV249" s="333"/>
      <c r="CW249" s="333"/>
      <c r="CX249" s="333"/>
      <c r="CY249" s="333"/>
      <c r="CZ249" s="333"/>
      <c r="DA249" s="333"/>
      <c r="DB249" s="333"/>
      <c r="DC249" s="333"/>
      <c r="DD249" s="304"/>
      <c r="DE249" s="304"/>
      <c r="DF249" s="304"/>
      <c r="DG249" s="304"/>
      <c r="DH249" s="304"/>
      <c r="DI249" s="333"/>
      <c r="DJ249" s="304"/>
      <c r="DK249" s="304"/>
      <c r="DL249" s="333"/>
      <c r="DM249" s="333"/>
      <c r="DN249" s="333"/>
      <c r="DO249" s="304"/>
      <c r="DP249" s="304"/>
      <c r="DQ249" s="304"/>
      <c r="DR249" s="333"/>
      <c r="DS249" s="333"/>
      <c r="DT249" s="304"/>
      <c r="DU249" s="333"/>
      <c r="DV249" s="304"/>
      <c r="DW249" s="304"/>
      <c r="DX249" s="304"/>
      <c r="DY249" s="304"/>
      <c r="DZ249" s="304"/>
      <c r="EA249" s="333"/>
      <c r="EB249" s="304"/>
      <c r="EC249" s="304"/>
      <c r="ED249" s="885"/>
    </row>
    <row r="250">
      <c r="A250" s="1798"/>
      <c r="B250" s="381" t="s">
        <v>155</v>
      </c>
      <c r="C250" s="384" t="s">
        <v>155</v>
      </c>
      <c r="D250" s="386" t="s">
        <v>155</v>
      </c>
      <c r="E250" s="389" t="s">
        <v>155</v>
      </c>
      <c r="F250" s="390" t="s">
        <v>155</v>
      </c>
      <c r="G250" s="381" t="s">
        <v>155</v>
      </c>
      <c r="H250" s="1711"/>
      <c r="I250" s="1799"/>
      <c r="J250" s="1711"/>
      <c r="K250" s="1711"/>
      <c r="L250" s="1711"/>
      <c r="M250" s="1711"/>
      <c r="N250" s="1711"/>
      <c r="O250" s="1711"/>
      <c r="P250" s="1711"/>
      <c r="Q250" s="849"/>
      <c r="R250" s="849"/>
      <c r="S250" s="849"/>
      <c r="T250" s="849"/>
      <c r="U250" s="849"/>
      <c r="V250" s="849"/>
      <c r="W250" s="62"/>
      <c r="X250" s="421"/>
      <c r="Y250" s="421"/>
      <c r="Z250" s="421"/>
      <c r="AA250" s="421"/>
      <c r="AB250" s="1007"/>
      <c r="AC250" s="421"/>
      <c r="AD250" s="421"/>
      <c r="AE250" s="852"/>
      <c r="AF250" s="421"/>
      <c r="AG250" s="421"/>
      <c r="AH250" s="852"/>
      <c r="AI250" s="852"/>
      <c r="AJ250" s="421"/>
      <c r="AK250" s="852"/>
      <c r="AL250" s="61"/>
      <c r="AM250" s="435"/>
      <c r="AN250" s="435"/>
      <c r="AO250" s="855"/>
      <c r="AP250" s="855"/>
      <c r="AQ250" s="571"/>
      <c r="AR250" s="571"/>
      <c r="AS250" s="855"/>
      <c r="AT250" s="855"/>
      <c r="AU250" s="435"/>
      <c r="AV250" s="435"/>
      <c r="AW250" s="435"/>
      <c r="AX250" s="855"/>
      <c r="AY250" s="855"/>
      <c r="AZ250" s="855"/>
      <c r="BA250" s="855"/>
      <c r="BB250" s="1645"/>
      <c r="BC250" s="1645"/>
      <c r="BD250" s="1645"/>
      <c r="BE250" s="1645"/>
      <c r="BF250" s="1645"/>
      <c r="BG250" s="1645"/>
      <c r="BH250" s="587"/>
      <c r="BI250" s="1645"/>
      <c r="BJ250" s="587"/>
      <c r="BK250" s="1645"/>
      <c r="BL250" s="1645"/>
      <c r="BM250" s="587"/>
      <c r="BN250" s="587"/>
      <c r="BO250" s="1645"/>
      <c r="BP250" s="587"/>
      <c r="BQ250" s="857"/>
      <c r="BR250" s="451"/>
      <c r="BS250" s="451"/>
      <c r="BT250" s="451"/>
      <c r="BU250" s="451"/>
      <c r="BV250" s="451"/>
      <c r="BW250" s="451"/>
      <c r="BX250" s="859"/>
      <c r="BY250" s="451"/>
      <c r="BZ250" s="451"/>
      <c r="CA250" s="451"/>
      <c r="CB250" s="859"/>
      <c r="CC250" s="859"/>
      <c r="CD250" s="859"/>
      <c r="CE250" s="859"/>
      <c r="CF250" s="861"/>
      <c r="CG250" s="460"/>
      <c r="CH250" s="460"/>
      <c r="CI250" s="460"/>
      <c r="CJ250" s="460"/>
      <c r="CK250" s="460"/>
      <c r="CL250" s="460"/>
      <c r="CM250" s="460"/>
      <c r="CN250" s="460"/>
      <c r="CO250" s="460"/>
      <c r="CP250" s="1800"/>
      <c r="CQ250" s="863"/>
      <c r="CR250" s="863"/>
      <c r="CS250" s="863"/>
      <c r="CT250" s="863"/>
      <c r="CU250" s="62"/>
      <c r="CV250" s="470"/>
      <c r="CW250" s="470"/>
      <c r="CX250" s="470"/>
      <c r="CY250" s="470"/>
      <c r="CZ250" s="470"/>
      <c r="DA250" s="470"/>
      <c r="DB250" s="470"/>
      <c r="DC250" s="470"/>
      <c r="DD250" s="864"/>
      <c r="DE250" s="864"/>
      <c r="DF250" s="864"/>
      <c r="DG250" s="864"/>
      <c r="DH250" s="864"/>
      <c r="DI250" s="709"/>
      <c r="DJ250" s="866"/>
      <c r="DK250" s="866"/>
      <c r="DL250" s="709"/>
      <c r="DM250" s="709"/>
      <c r="DN250" s="709"/>
      <c r="DO250" s="866"/>
      <c r="DP250" s="866"/>
      <c r="DQ250" s="866"/>
      <c r="DR250" s="709"/>
      <c r="DS250" s="709"/>
      <c r="DT250" s="866"/>
      <c r="DU250" s="709"/>
      <c r="DV250" s="866"/>
      <c r="DW250" s="866"/>
      <c r="DX250" s="866"/>
      <c r="DY250" s="866"/>
      <c r="DZ250" s="866"/>
      <c r="EA250" s="709"/>
      <c r="EB250" s="866"/>
      <c r="EC250" s="866"/>
      <c r="ED250" s="974"/>
    </row>
    <row r="251">
      <c r="A251" s="1718"/>
      <c r="B251" s="229" t="s">
        <v>155</v>
      </c>
      <c r="C251" s="230" t="s">
        <v>155</v>
      </c>
      <c r="D251" s="231" t="s">
        <v>155</v>
      </c>
      <c r="E251" s="232" t="s">
        <v>155</v>
      </c>
      <c r="F251" s="233" t="s">
        <v>155</v>
      </c>
      <c r="G251" s="229" t="s">
        <v>155</v>
      </c>
      <c r="H251" s="333"/>
      <c r="I251" s="274"/>
      <c r="J251" s="333"/>
      <c r="K251" s="333"/>
      <c r="L251" s="333"/>
      <c r="M251" s="333"/>
      <c r="N251" s="333"/>
      <c r="O251" s="333"/>
      <c r="P251" s="333"/>
      <c r="Q251" s="304"/>
      <c r="R251" s="304"/>
      <c r="S251" s="304"/>
      <c r="T251" s="304"/>
      <c r="U251" s="304"/>
      <c r="V251" s="304"/>
      <c r="W251" s="62"/>
      <c r="X251" s="333"/>
      <c r="Y251" s="333"/>
      <c r="Z251" s="333"/>
      <c r="AA251" s="333"/>
      <c r="AB251" s="908"/>
      <c r="AC251" s="333"/>
      <c r="AD251" s="333"/>
      <c r="AE251" s="304"/>
      <c r="AF251" s="333"/>
      <c r="AG251" s="333"/>
      <c r="AH251" s="304"/>
      <c r="AI251" s="304"/>
      <c r="AJ251" s="333"/>
      <c r="AK251" s="304"/>
      <c r="AL251" s="61"/>
      <c r="AM251" s="333"/>
      <c r="AN251" s="333"/>
      <c r="AO251" s="304"/>
      <c r="AP251" s="304"/>
      <c r="AQ251" s="273"/>
      <c r="AR251" s="273"/>
      <c r="AS251" s="304"/>
      <c r="AT251" s="304"/>
      <c r="AU251" s="333"/>
      <c r="AV251" s="333"/>
      <c r="AW251" s="333"/>
      <c r="AX251" s="304"/>
      <c r="AY251" s="304"/>
      <c r="AZ251" s="304"/>
      <c r="BA251" s="304"/>
      <c r="BB251" s="333"/>
      <c r="BC251" s="333"/>
      <c r="BD251" s="333"/>
      <c r="BE251" s="333"/>
      <c r="BF251" s="333"/>
      <c r="BG251" s="333"/>
      <c r="BH251" s="304"/>
      <c r="BI251" s="333"/>
      <c r="BJ251" s="304"/>
      <c r="BK251" s="333"/>
      <c r="BL251" s="333"/>
      <c r="BM251" s="304"/>
      <c r="BN251" s="304"/>
      <c r="BO251" s="333"/>
      <c r="BP251" s="304"/>
      <c r="BQ251" s="841"/>
      <c r="BR251" s="333"/>
      <c r="BS251" s="333"/>
      <c r="BT251" s="333"/>
      <c r="BU251" s="333"/>
      <c r="BV251" s="333"/>
      <c r="BW251" s="333"/>
      <c r="BX251" s="304"/>
      <c r="BY251" s="333"/>
      <c r="BZ251" s="333"/>
      <c r="CA251" s="333"/>
      <c r="CB251" s="304"/>
      <c r="CC251" s="304"/>
      <c r="CD251" s="304"/>
      <c r="CE251" s="304"/>
      <c r="CF251" s="841"/>
      <c r="CG251" s="333"/>
      <c r="CH251" s="333"/>
      <c r="CI251" s="333"/>
      <c r="CJ251" s="333"/>
      <c r="CK251" s="333"/>
      <c r="CL251" s="333"/>
      <c r="CM251" s="333"/>
      <c r="CN251" s="333"/>
      <c r="CO251" s="333"/>
      <c r="CP251" s="768"/>
      <c r="CQ251" s="304"/>
      <c r="CR251" s="304"/>
      <c r="CS251" s="304"/>
      <c r="CT251" s="304"/>
      <c r="CU251" s="62"/>
      <c r="CV251" s="333"/>
      <c r="CW251" s="333"/>
      <c r="CX251" s="333"/>
      <c r="CY251" s="333"/>
      <c r="CZ251" s="333"/>
      <c r="DA251" s="333"/>
      <c r="DB251" s="333"/>
      <c r="DC251" s="333"/>
      <c r="DD251" s="304"/>
      <c r="DE251" s="304"/>
      <c r="DF251" s="304"/>
      <c r="DG251" s="304"/>
      <c r="DH251" s="304"/>
      <c r="DI251" s="333"/>
      <c r="DJ251" s="304"/>
      <c r="DK251" s="304"/>
      <c r="DL251" s="333"/>
      <c r="DM251" s="333"/>
      <c r="DN251" s="333"/>
      <c r="DO251" s="304"/>
      <c r="DP251" s="304"/>
      <c r="DQ251" s="304"/>
      <c r="DR251" s="333"/>
      <c r="DS251" s="333"/>
      <c r="DT251" s="304"/>
      <c r="DU251" s="333"/>
      <c r="DV251" s="304"/>
      <c r="DW251" s="304"/>
      <c r="DX251" s="304"/>
      <c r="DY251" s="304"/>
      <c r="DZ251" s="304"/>
      <c r="EA251" s="333"/>
      <c r="EB251" s="304"/>
      <c r="EC251" s="304"/>
      <c r="ED251" s="885"/>
    </row>
    <row r="252">
      <c r="A252" s="1798"/>
      <c r="B252" s="381" t="s">
        <v>155</v>
      </c>
      <c r="C252" s="384" t="s">
        <v>155</v>
      </c>
      <c r="D252" s="386" t="s">
        <v>155</v>
      </c>
      <c r="E252" s="389" t="s">
        <v>155</v>
      </c>
      <c r="F252" s="390" t="s">
        <v>155</v>
      </c>
      <c r="G252" s="381" t="s">
        <v>155</v>
      </c>
      <c r="H252" s="1711"/>
      <c r="I252" s="1799"/>
      <c r="J252" s="1711"/>
      <c r="K252" s="1711"/>
      <c r="L252" s="1711"/>
      <c r="M252" s="1711"/>
      <c r="N252" s="1711"/>
      <c r="O252" s="1711"/>
      <c r="P252" s="1711"/>
      <c r="Q252" s="849"/>
      <c r="R252" s="849"/>
      <c r="S252" s="849"/>
      <c r="T252" s="849"/>
      <c r="U252" s="849"/>
      <c r="V252" s="849"/>
      <c r="W252" s="62"/>
      <c r="X252" s="421"/>
      <c r="Y252" s="421"/>
      <c r="Z252" s="421"/>
      <c r="AA252" s="421"/>
      <c r="AB252" s="1007"/>
      <c r="AC252" s="421"/>
      <c r="AD252" s="421"/>
      <c r="AE252" s="852"/>
      <c r="AF252" s="421"/>
      <c r="AG252" s="421"/>
      <c r="AH252" s="852"/>
      <c r="AI252" s="852"/>
      <c r="AJ252" s="421"/>
      <c r="AK252" s="852"/>
      <c r="AL252" s="61"/>
      <c r="AM252" s="435"/>
      <c r="AN252" s="435"/>
      <c r="AO252" s="855"/>
      <c r="AP252" s="855"/>
      <c r="AQ252" s="571"/>
      <c r="AR252" s="571"/>
      <c r="AS252" s="855"/>
      <c r="AT252" s="855"/>
      <c r="AU252" s="435"/>
      <c r="AV252" s="435"/>
      <c r="AW252" s="435"/>
      <c r="AX252" s="855"/>
      <c r="AY252" s="855"/>
      <c r="AZ252" s="855"/>
      <c r="BA252" s="855"/>
      <c r="BB252" s="1645"/>
      <c r="BC252" s="1645"/>
      <c r="BD252" s="1645"/>
      <c r="BE252" s="1645"/>
      <c r="BF252" s="1645"/>
      <c r="BG252" s="1645"/>
      <c r="BH252" s="587"/>
      <c r="BI252" s="1645"/>
      <c r="BJ252" s="587"/>
      <c r="BK252" s="1645"/>
      <c r="BL252" s="1645"/>
      <c r="BM252" s="587"/>
      <c r="BN252" s="587"/>
      <c r="BO252" s="1645"/>
      <c r="BP252" s="587"/>
      <c r="BQ252" s="857"/>
      <c r="BR252" s="451"/>
      <c r="BS252" s="451"/>
      <c r="BT252" s="451"/>
      <c r="BU252" s="451"/>
      <c r="BV252" s="451"/>
      <c r="BW252" s="451"/>
      <c r="BX252" s="859"/>
      <c r="BY252" s="451"/>
      <c r="BZ252" s="451"/>
      <c r="CA252" s="451"/>
      <c r="CB252" s="859"/>
      <c r="CC252" s="859"/>
      <c r="CD252" s="859"/>
      <c r="CE252" s="859"/>
      <c r="CF252" s="861"/>
      <c r="CG252" s="460"/>
      <c r="CH252" s="460"/>
      <c r="CI252" s="460"/>
      <c r="CJ252" s="460"/>
      <c r="CK252" s="460"/>
      <c r="CL252" s="460"/>
      <c r="CM252" s="460"/>
      <c r="CN252" s="460"/>
      <c r="CO252" s="460"/>
      <c r="CP252" s="1800"/>
      <c r="CQ252" s="863"/>
      <c r="CR252" s="863"/>
      <c r="CS252" s="863"/>
      <c r="CT252" s="863"/>
      <c r="CU252" s="62"/>
      <c r="CV252" s="470"/>
      <c r="CW252" s="470"/>
      <c r="CX252" s="470"/>
      <c r="CY252" s="470"/>
      <c r="CZ252" s="470"/>
      <c r="DA252" s="470"/>
      <c r="DB252" s="470"/>
      <c r="DC252" s="470"/>
      <c r="DD252" s="864"/>
      <c r="DE252" s="864"/>
      <c r="DF252" s="864"/>
      <c r="DG252" s="864"/>
      <c r="DH252" s="864"/>
      <c r="DI252" s="709"/>
      <c r="DJ252" s="866"/>
      <c r="DK252" s="866"/>
      <c r="DL252" s="709"/>
      <c r="DM252" s="709"/>
      <c r="DN252" s="709"/>
      <c r="DO252" s="866"/>
      <c r="DP252" s="866"/>
      <c r="DQ252" s="866"/>
      <c r="DR252" s="709"/>
      <c r="DS252" s="709"/>
      <c r="DT252" s="866"/>
      <c r="DU252" s="709"/>
      <c r="DV252" s="866"/>
      <c r="DW252" s="866"/>
      <c r="DX252" s="866"/>
      <c r="DY252" s="866"/>
      <c r="DZ252" s="866"/>
      <c r="EA252" s="709"/>
      <c r="EB252" s="866"/>
      <c r="EC252" s="866"/>
      <c r="ED252" s="974"/>
    </row>
    <row r="253">
      <c r="A253" s="1718"/>
      <c r="B253" s="229" t="s">
        <v>155</v>
      </c>
      <c r="C253" s="230" t="s">
        <v>155</v>
      </c>
      <c r="D253" s="231" t="s">
        <v>155</v>
      </c>
      <c r="E253" s="232" t="s">
        <v>155</v>
      </c>
      <c r="F253" s="233" t="s">
        <v>155</v>
      </c>
      <c r="G253" s="229" t="s">
        <v>155</v>
      </c>
      <c r="H253" s="333"/>
      <c r="I253" s="274"/>
      <c r="J253" s="333"/>
      <c r="K253" s="333"/>
      <c r="L253" s="333"/>
      <c r="M253" s="333"/>
      <c r="N253" s="333"/>
      <c r="O253" s="333"/>
      <c r="P253" s="333"/>
      <c r="Q253" s="304"/>
      <c r="R253" s="304"/>
      <c r="S253" s="304"/>
      <c r="T253" s="304"/>
      <c r="U253" s="304"/>
      <c r="V253" s="304"/>
      <c r="W253" s="62"/>
      <c r="X253" s="333"/>
      <c r="Y253" s="333"/>
      <c r="Z253" s="333"/>
      <c r="AA253" s="333"/>
      <c r="AB253" s="908"/>
      <c r="AC253" s="333"/>
      <c r="AD253" s="333"/>
      <c r="AE253" s="304"/>
      <c r="AF253" s="333"/>
      <c r="AG253" s="333"/>
      <c r="AH253" s="304"/>
      <c r="AI253" s="304"/>
      <c r="AJ253" s="333"/>
      <c r="AK253" s="304"/>
      <c r="AL253" s="61"/>
      <c r="AM253" s="333"/>
      <c r="AN253" s="333"/>
      <c r="AO253" s="304"/>
      <c r="AP253" s="304"/>
      <c r="AQ253" s="273"/>
      <c r="AR253" s="273"/>
      <c r="AS253" s="304"/>
      <c r="AT253" s="304"/>
      <c r="AU253" s="333"/>
      <c r="AV253" s="333"/>
      <c r="AW253" s="333"/>
      <c r="AX253" s="304"/>
      <c r="AY253" s="304"/>
      <c r="AZ253" s="304"/>
      <c r="BA253" s="304"/>
      <c r="BB253" s="333"/>
      <c r="BC253" s="333"/>
      <c r="BD253" s="333"/>
      <c r="BE253" s="333"/>
      <c r="BF253" s="333"/>
      <c r="BG253" s="333"/>
      <c r="BH253" s="304"/>
      <c r="BI253" s="333"/>
      <c r="BJ253" s="304"/>
      <c r="BK253" s="333"/>
      <c r="BL253" s="333"/>
      <c r="BM253" s="304"/>
      <c r="BN253" s="304"/>
      <c r="BO253" s="333"/>
      <c r="BP253" s="304"/>
      <c r="BQ253" s="841"/>
      <c r="BR253" s="333"/>
      <c r="BS253" s="333"/>
      <c r="BT253" s="333"/>
      <c r="BU253" s="333"/>
      <c r="BV253" s="333"/>
      <c r="BW253" s="333"/>
      <c r="BX253" s="304"/>
      <c r="BY253" s="333"/>
      <c r="BZ253" s="333"/>
      <c r="CA253" s="333"/>
      <c r="CB253" s="304"/>
      <c r="CC253" s="304"/>
      <c r="CD253" s="304"/>
      <c r="CE253" s="304"/>
      <c r="CF253" s="841"/>
      <c r="CG253" s="333"/>
      <c r="CH253" s="333"/>
      <c r="CI253" s="333"/>
      <c r="CJ253" s="333"/>
      <c r="CK253" s="333"/>
      <c r="CL253" s="333"/>
      <c r="CM253" s="333"/>
      <c r="CN253" s="333"/>
      <c r="CO253" s="333"/>
      <c r="CP253" s="768"/>
      <c r="CQ253" s="304"/>
      <c r="CR253" s="304"/>
      <c r="CS253" s="304"/>
      <c r="CT253" s="304"/>
      <c r="CU253" s="62"/>
      <c r="CV253" s="333"/>
      <c r="CW253" s="333"/>
      <c r="CX253" s="333"/>
      <c r="CY253" s="333"/>
      <c r="CZ253" s="333"/>
      <c r="DA253" s="333"/>
      <c r="DB253" s="333"/>
      <c r="DC253" s="333"/>
      <c r="DD253" s="304"/>
      <c r="DE253" s="304"/>
      <c r="DF253" s="304"/>
      <c r="DG253" s="304"/>
      <c r="DH253" s="304"/>
      <c r="DI253" s="333"/>
      <c r="DJ253" s="304"/>
      <c r="DK253" s="304"/>
      <c r="DL253" s="333"/>
      <c r="DM253" s="333"/>
      <c r="DN253" s="333"/>
      <c r="DO253" s="304"/>
      <c r="DP253" s="304"/>
      <c r="DQ253" s="304"/>
      <c r="DR253" s="333"/>
      <c r="DS253" s="333"/>
      <c r="DT253" s="304"/>
      <c r="DU253" s="333"/>
      <c r="DV253" s="304"/>
      <c r="DW253" s="304"/>
      <c r="DX253" s="304"/>
      <c r="DY253" s="304"/>
      <c r="DZ253" s="304"/>
      <c r="EA253" s="333"/>
      <c r="EB253" s="304"/>
      <c r="EC253" s="304"/>
      <c r="ED253" s="885"/>
    </row>
    <row r="254">
      <c r="A254" s="1798"/>
      <c r="B254" s="381" t="s">
        <v>155</v>
      </c>
      <c r="C254" s="384" t="s">
        <v>155</v>
      </c>
      <c r="D254" s="386" t="s">
        <v>155</v>
      </c>
      <c r="E254" s="389" t="s">
        <v>155</v>
      </c>
      <c r="F254" s="390" t="s">
        <v>155</v>
      </c>
      <c r="G254" s="381" t="s">
        <v>155</v>
      </c>
      <c r="H254" s="1711"/>
      <c r="I254" s="1799"/>
      <c r="J254" s="1711"/>
      <c r="K254" s="1711"/>
      <c r="L254" s="1711"/>
      <c r="M254" s="1711"/>
      <c r="N254" s="1711"/>
      <c r="O254" s="1711"/>
      <c r="P254" s="1711"/>
      <c r="Q254" s="849"/>
      <c r="R254" s="849"/>
      <c r="S254" s="849"/>
      <c r="T254" s="849"/>
      <c r="U254" s="849"/>
      <c r="V254" s="849"/>
      <c r="W254" s="62"/>
      <c r="X254" s="421"/>
      <c r="Y254" s="421"/>
      <c r="Z254" s="421"/>
      <c r="AA254" s="421"/>
      <c r="AB254" s="1007"/>
      <c r="AC254" s="421"/>
      <c r="AD254" s="421"/>
      <c r="AE254" s="852"/>
      <c r="AF254" s="421"/>
      <c r="AG254" s="421"/>
      <c r="AH254" s="852"/>
      <c r="AI254" s="852"/>
      <c r="AJ254" s="421"/>
      <c r="AK254" s="852"/>
      <c r="AL254" s="61"/>
      <c r="AM254" s="435"/>
      <c r="AN254" s="435"/>
      <c r="AO254" s="855"/>
      <c r="AP254" s="855"/>
      <c r="AQ254" s="571"/>
      <c r="AR254" s="571"/>
      <c r="AS254" s="855"/>
      <c r="AT254" s="855"/>
      <c r="AU254" s="435"/>
      <c r="AV254" s="435"/>
      <c r="AW254" s="435"/>
      <c r="AX254" s="855"/>
      <c r="AY254" s="855"/>
      <c r="AZ254" s="855"/>
      <c r="BA254" s="855"/>
      <c r="BB254" s="1645"/>
      <c r="BC254" s="1645"/>
      <c r="BD254" s="1645"/>
      <c r="BE254" s="1645"/>
      <c r="BF254" s="1645"/>
      <c r="BG254" s="1645"/>
      <c r="BH254" s="587"/>
      <c r="BI254" s="1645"/>
      <c r="BJ254" s="587"/>
      <c r="BK254" s="1645"/>
      <c r="BL254" s="1645"/>
      <c r="BM254" s="587"/>
      <c r="BN254" s="587"/>
      <c r="BO254" s="1645"/>
      <c r="BP254" s="587"/>
      <c r="BQ254" s="857"/>
      <c r="BR254" s="451"/>
      <c r="BS254" s="451"/>
      <c r="BT254" s="451"/>
      <c r="BU254" s="451"/>
      <c r="BV254" s="451"/>
      <c r="BW254" s="451"/>
      <c r="BX254" s="859"/>
      <c r="BY254" s="451"/>
      <c r="BZ254" s="451"/>
      <c r="CA254" s="451"/>
      <c r="CB254" s="859"/>
      <c r="CC254" s="859"/>
      <c r="CD254" s="859"/>
      <c r="CE254" s="859"/>
      <c r="CF254" s="861"/>
      <c r="CG254" s="460"/>
      <c r="CH254" s="460"/>
      <c r="CI254" s="460"/>
      <c r="CJ254" s="460"/>
      <c r="CK254" s="460"/>
      <c r="CL254" s="460"/>
      <c r="CM254" s="460"/>
      <c r="CN254" s="460"/>
      <c r="CO254" s="460"/>
      <c r="CP254" s="1800"/>
      <c r="CQ254" s="863"/>
      <c r="CR254" s="863"/>
      <c r="CS254" s="863"/>
      <c r="CT254" s="863"/>
      <c r="CU254" s="62"/>
      <c r="CV254" s="470"/>
      <c r="CW254" s="470"/>
      <c r="CX254" s="470"/>
      <c r="CY254" s="470"/>
      <c r="CZ254" s="470"/>
      <c r="DA254" s="470"/>
      <c r="DB254" s="470"/>
      <c r="DC254" s="470"/>
      <c r="DD254" s="864"/>
      <c r="DE254" s="864"/>
      <c r="DF254" s="864"/>
      <c r="DG254" s="864"/>
      <c r="DH254" s="864"/>
      <c r="DI254" s="709"/>
      <c r="DJ254" s="866"/>
      <c r="DK254" s="866"/>
      <c r="DL254" s="709"/>
      <c r="DM254" s="709"/>
      <c r="DN254" s="709"/>
      <c r="DO254" s="866"/>
      <c r="DP254" s="866"/>
      <c r="DQ254" s="866"/>
      <c r="DR254" s="709"/>
      <c r="DS254" s="709"/>
      <c r="DT254" s="866"/>
      <c r="DU254" s="709"/>
      <c r="DV254" s="866"/>
      <c r="DW254" s="866"/>
      <c r="DX254" s="866"/>
      <c r="DY254" s="866"/>
      <c r="DZ254" s="866"/>
      <c r="EA254" s="709"/>
      <c r="EB254" s="866"/>
      <c r="EC254" s="866"/>
      <c r="ED254" s="974"/>
    </row>
    <row r="255">
      <c r="A255" s="1718"/>
      <c r="B255" s="229" t="s">
        <v>155</v>
      </c>
      <c r="C255" s="230" t="s">
        <v>155</v>
      </c>
      <c r="D255" s="231" t="s">
        <v>155</v>
      </c>
      <c r="E255" s="232" t="s">
        <v>155</v>
      </c>
      <c r="F255" s="233" t="s">
        <v>155</v>
      </c>
      <c r="G255" s="229" t="s">
        <v>155</v>
      </c>
      <c r="H255" s="333"/>
      <c r="I255" s="274"/>
      <c r="J255" s="333"/>
      <c r="K255" s="333"/>
      <c r="L255" s="333"/>
      <c r="M255" s="333"/>
      <c r="N255" s="333"/>
      <c r="O255" s="333"/>
      <c r="P255" s="333"/>
      <c r="Q255" s="304"/>
      <c r="R255" s="304"/>
      <c r="S255" s="304"/>
      <c r="T255" s="304"/>
      <c r="U255" s="304"/>
      <c r="V255" s="304"/>
      <c r="W255" s="62"/>
      <c r="X255" s="333"/>
      <c r="Y255" s="333"/>
      <c r="Z255" s="333"/>
      <c r="AA255" s="333"/>
      <c r="AB255" s="908"/>
      <c r="AC255" s="333"/>
      <c r="AD255" s="333"/>
      <c r="AE255" s="304"/>
      <c r="AF255" s="333"/>
      <c r="AG255" s="333"/>
      <c r="AH255" s="304"/>
      <c r="AI255" s="304"/>
      <c r="AJ255" s="333"/>
      <c r="AK255" s="304"/>
      <c r="AL255" s="61"/>
      <c r="AM255" s="333"/>
      <c r="AN255" s="333"/>
      <c r="AO255" s="304"/>
      <c r="AP255" s="304"/>
      <c r="AQ255" s="273"/>
      <c r="AR255" s="273"/>
      <c r="AS255" s="304"/>
      <c r="AT255" s="304"/>
      <c r="AU255" s="333"/>
      <c r="AV255" s="333"/>
      <c r="AW255" s="333"/>
      <c r="AX255" s="304"/>
      <c r="AY255" s="304"/>
      <c r="AZ255" s="304"/>
      <c r="BA255" s="304"/>
      <c r="BB255" s="333"/>
      <c r="BC255" s="333"/>
      <c r="BD255" s="333"/>
      <c r="BE255" s="333"/>
      <c r="BF255" s="333"/>
      <c r="BG255" s="333"/>
      <c r="BH255" s="304"/>
      <c r="BI255" s="333"/>
      <c r="BJ255" s="304"/>
      <c r="BK255" s="333"/>
      <c r="BL255" s="333"/>
      <c r="BM255" s="304"/>
      <c r="BN255" s="304"/>
      <c r="BO255" s="333"/>
      <c r="BP255" s="304"/>
      <c r="BQ255" s="841"/>
      <c r="BR255" s="333"/>
      <c r="BS255" s="333"/>
      <c r="BT255" s="333"/>
      <c r="BU255" s="333"/>
      <c r="BV255" s="333"/>
      <c r="BW255" s="333"/>
      <c r="BX255" s="304"/>
      <c r="BY255" s="333"/>
      <c r="BZ255" s="333"/>
      <c r="CA255" s="333"/>
      <c r="CB255" s="304"/>
      <c r="CC255" s="304"/>
      <c r="CD255" s="304"/>
      <c r="CE255" s="304"/>
      <c r="CF255" s="841"/>
      <c r="CG255" s="333"/>
      <c r="CH255" s="333"/>
      <c r="CI255" s="333"/>
      <c r="CJ255" s="333"/>
      <c r="CK255" s="333"/>
      <c r="CL255" s="333"/>
      <c r="CM255" s="333"/>
      <c r="CN255" s="333"/>
      <c r="CO255" s="333"/>
      <c r="CP255" s="768"/>
      <c r="CQ255" s="304"/>
      <c r="CR255" s="304"/>
      <c r="CS255" s="304"/>
      <c r="CT255" s="304"/>
      <c r="CU255" s="62"/>
      <c r="CV255" s="333"/>
      <c r="CW255" s="333"/>
      <c r="CX255" s="333"/>
      <c r="CY255" s="333"/>
      <c r="CZ255" s="333"/>
      <c r="DA255" s="333"/>
      <c r="DB255" s="333"/>
      <c r="DC255" s="333"/>
      <c r="DD255" s="304"/>
      <c r="DE255" s="304"/>
      <c r="DF255" s="304"/>
      <c r="DG255" s="304"/>
      <c r="DH255" s="304"/>
      <c r="DI255" s="333"/>
      <c r="DJ255" s="304"/>
      <c r="DK255" s="304"/>
      <c r="DL255" s="333"/>
      <c r="DM255" s="333"/>
      <c r="DN255" s="333"/>
      <c r="DO255" s="304"/>
      <c r="DP255" s="304"/>
      <c r="DQ255" s="304"/>
      <c r="DR255" s="333"/>
      <c r="DS255" s="333"/>
      <c r="DT255" s="304"/>
      <c r="DU255" s="333"/>
      <c r="DV255" s="304"/>
      <c r="DW255" s="304"/>
      <c r="DX255" s="304"/>
      <c r="DY255" s="304"/>
      <c r="DZ255" s="304"/>
      <c r="EA255" s="333"/>
      <c r="EB255" s="304"/>
      <c r="EC255" s="304"/>
      <c r="ED255" s="885"/>
    </row>
    <row r="256">
      <c r="A256" s="1798"/>
      <c r="B256" s="381" t="s">
        <v>155</v>
      </c>
      <c r="C256" s="384" t="s">
        <v>155</v>
      </c>
      <c r="D256" s="386" t="s">
        <v>155</v>
      </c>
      <c r="E256" s="389" t="s">
        <v>155</v>
      </c>
      <c r="F256" s="390" t="s">
        <v>155</v>
      </c>
      <c r="G256" s="381" t="s">
        <v>155</v>
      </c>
      <c r="H256" s="1711"/>
      <c r="I256" s="1799"/>
      <c r="J256" s="1711"/>
      <c r="K256" s="1711"/>
      <c r="L256" s="1711"/>
      <c r="M256" s="1711"/>
      <c r="N256" s="1711"/>
      <c r="O256" s="1711"/>
      <c r="P256" s="1711"/>
      <c r="Q256" s="849"/>
      <c r="R256" s="849"/>
      <c r="S256" s="849"/>
      <c r="T256" s="849"/>
      <c r="U256" s="849"/>
      <c r="V256" s="849"/>
      <c r="W256" s="62"/>
      <c r="X256" s="421"/>
      <c r="Y256" s="421"/>
      <c r="Z256" s="421"/>
      <c r="AA256" s="421"/>
      <c r="AB256" s="1007"/>
      <c r="AC256" s="421"/>
      <c r="AD256" s="421"/>
      <c r="AE256" s="852"/>
      <c r="AF256" s="421"/>
      <c r="AG256" s="421"/>
      <c r="AH256" s="852"/>
      <c r="AI256" s="852"/>
      <c r="AJ256" s="421"/>
      <c r="AK256" s="852"/>
      <c r="AL256" s="61"/>
      <c r="AM256" s="435"/>
      <c r="AN256" s="435"/>
      <c r="AO256" s="855"/>
      <c r="AP256" s="855"/>
      <c r="AQ256" s="571"/>
      <c r="AR256" s="571"/>
      <c r="AS256" s="855"/>
      <c r="AT256" s="855"/>
      <c r="AU256" s="435"/>
      <c r="AV256" s="435"/>
      <c r="AW256" s="435"/>
      <c r="AX256" s="855"/>
      <c r="AY256" s="855"/>
      <c r="AZ256" s="855"/>
      <c r="BA256" s="855"/>
      <c r="BB256" s="1645"/>
      <c r="BC256" s="1645"/>
      <c r="BD256" s="1645"/>
      <c r="BE256" s="1645"/>
      <c r="BF256" s="1645"/>
      <c r="BG256" s="1645"/>
      <c r="BH256" s="587"/>
      <c r="BI256" s="1645"/>
      <c r="BJ256" s="587"/>
      <c r="BK256" s="1645"/>
      <c r="BL256" s="1645"/>
      <c r="BM256" s="587"/>
      <c r="BN256" s="587"/>
      <c r="BO256" s="1645"/>
      <c r="BP256" s="587"/>
      <c r="BQ256" s="857"/>
      <c r="BR256" s="451"/>
      <c r="BS256" s="451"/>
      <c r="BT256" s="451"/>
      <c r="BU256" s="451"/>
      <c r="BV256" s="451"/>
      <c r="BW256" s="451"/>
      <c r="BX256" s="859"/>
      <c r="BY256" s="451"/>
      <c r="BZ256" s="451"/>
      <c r="CA256" s="451"/>
      <c r="CB256" s="859"/>
      <c r="CC256" s="859"/>
      <c r="CD256" s="859"/>
      <c r="CE256" s="859"/>
      <c r="CF256" s="861"/>
      <c r="CG256" s="460"/>
      <c r="CH256" s="460"/>
      <c r="CI256" s="460"/>
      <c r="CJ256" s="460"/>
      <c r="CK256" s="460"/>
      <c r="CL256" s="460"/>
      <c r="CM256" s="460"/>
      <c r="CN256" s="460"/>
      <c r="CO256" s="460"/>
      <c r="CP256" s="1800"/>
      <c r="CQ256" s="863"/>
      <c r="CR256" s="863"/>
      <c r="CS256" s="863"/>
      <c r="CT256" s="863"/>
      <c r="CU256" s="62"/>
      <c r="CV256" s="470"/>
      <c r="CW256" s="470"/>
      <c r="CX256" s="470"/>
      <c r="CY256" s="470"/>
      <c r="CZ256" s="470"/>
      <c r="DA256" s="470"/>
      <c r="DB256" s="470"/>
      <c r="DC256" s="470"/>
      <c r="DD256" s="864"/>
      <c r="DE256" s="864"/>
      <c r="DF256" s="864"/>
      <c r="DG256" s="864"/>
      <c r="DH256" s="864"/>
      <c r="DI256" s="709"/>
      <c r="DJ256" s="866"/>
      <c r="DK256" s="866"/>
      <c r="DL256" s="709"/>
      <c r="DM256" s="709"/>
      <c r="DN256" s="709"/>
      <c r="DO256" s="866"/>
      <c r="DP256" s="866"/>
      <c r="DQ256" s="866"/>
      <c r="DR256" s="709"/>
      <c r="DS256" s="709"/>
      <c r="DT256" s="866"/>
      <c r="DU256" s="709"/>
      <c r="DV256" s="866"/>
      <c r="DW256" s="866"/>
      <c r="DX256" s="866"/>
      <c r="DY256" s="866"/>
      <c r="DZ256" s="866"/>
      <c r="EA256" s="709"/>
      <c r="EB256" s="866"/>
      <c r="EC256" s="866"/>
      <c r="ED256" s="974"/>
    </row>
    <row r="257">
      <c r="A257" s="1718"/>
      <c r="B257" s="229" t="s">
        <v>155</v>
      </c>
      <c r="C257" s="230" t="s">
        <v>155</v>
      </c>
      <c r="D257" s="231" t="s">
        <v>155</v>
      </c>
      <c r="E257" s="232" t="s">
        <v>155</v>
      </c>
      <c r="F257" s="233" t="s">
        <v>155</v>
      </c>
      <c r="G257" s="229" t="s">
        <v>155</v>
      </c>
      <c r="H257" s="333"/>
      <c r="I257" s="274"/>
      <c r="J257" s="333"/>
      <c r="K257" s="333"/>
      <c r="L257" s="333"/>
      <c r="M257" s="333"/>
      <c r="N257" s="333"/>
      <c r="O257" s="333"/>
      <c r="P257" s="333"/>
      <c r="Q257" s="304"/>
      <c r="R257" s="304"/>
      <c r="S257" s="304"/>
      <c r="T257" s="304"/>
      <c r="U257" s="304"/>
      <c r="V257" s="304"/>
      <c r="W257" s="62"/>
      <c r="X257" s="333"/>
      <c r="Y257" s="333"/>
      <c r="Z257" s="333"/>
      <c r="AA257" s="333"/>
      <c r="AB257" s="908"/>
      <c r="AC257" s="333"/>
      <c r="AD257" s="333"/>
      <c r="AE257" s="304"/>
      <c r="AF257" s="333"/>
      <c r="AG257" s="333"/>
      <c r="AH257" s="304"/>
      <c r="AI257" s="304"/>
      <c r="AJ257" s="333"/>
      <c r="AK257" s="304"/>
      <c r="AL257" s="61"/>
      <c r="AM257" s="333"/>
      <c r="AN257" s="333"/>
      <c r="AO257" s="304"/>
      <c r="AP257" s="304"/>
      <c r="AQ257" s="273"/>
      <c r="AR257" s="273"/>
      <c r="AS257" s="304"/>
      <c r="AT257" s="304"/>
      <c r="AU257" s="333"/>
      <c r="AV257" s="333"/>
      <c r="AW257" s="333"/>
      <c r="AX257" s="304"/>
      <c r="AY257" s="304"/>
      <c r="AZ257" s="304"/>
      <c r="BA257" s="304"/>
      <c r="BB257" s="333"/>
      <c r="BC257" s="333"/>
      <c r="BD257" s="333"/>
      <c r="BE257" s="333"/>
      <c r="BF257" s="333"/>
      <c r="BG257" s="333"/>
      <c r="BH257" s="304"/>
      <c r="BI257" s="333"/>
      <c r="BJ257" s="304"/>
      <c r="BK257" s="333"/>
      <c r="BL257" s="333"/>
      <c r="BM257" s="304"/>
      <c r="BN257" s="304"/>
      <c r="BO257" s="333"/>
      <c r="BP257" s="304"/>
      <c r="BQ257" s="841"/>
      <c r="BR257" s="333"/>
      <c r="BS257" s="333"/>
      <c r="BT257" s="333"/>
      <c r="BU257" s="333"/>
      <c r="BV257" s="333"/>
      <c r="BW257" s="333"/>
      <c r="BX257" s="304"/>
      <c r="BY257" s="333"/>
      <c r="BZ257" s="333"/>
      <c r="CA257" s="333"/>
      <c r="CB257" s="304"/>
      <c r="CC257" s="304"/>
      <c r="CD257" s="304"/>
      <c r="CE257" s="304"/>
      <c r="CF257" s="841"/>
      <c r="CG257" s="333"/>
      <c r="CH257" s="333"/>
      <c r="CI257" s="333"/>
      <c r="CJ257" s="333"/>
      <c r="CK257" s="333"/>
      <c r="CL257" s="333"/>
      <c r="CM257" s="333"/>
      <c r="CN257" s="333"/>
      <c r="CO257" s="333"/>
      <c r="CP257" s="768"/>
      <c r="CQ257" s="304"/>
      <c r="CR257" s="304"/>
      <c r="CS257" s="304"/>
      <c r="CT257" s="304"/>
      <c r="CU257" s="62"/>
      <c r="CV257" s="333"/>
      <c r="CW257" s="333"/>
      <c r="CX257" s="333"/>
      <c r="CY257" s="333"/>
      <c r="CZ257" s="333"/>
      <c r="DA257" s="333"/>
      <c r="DB257" s="333"/>
      <c r="DC257" s="333"/>
      <c r="DD257" s="304"/>
      <c r="DE257" s="304"/>
      <c r="DF257" s="304"/>
      <c r="DG257" s="304"/>
      <c r="DH257" s="304"/>
      <c r="DI257" s="333"/>
      <c r="DJ257" s="304"/>
      <c r="DK257" s="304"/>
      <c r="DL257" s="333"/>
      <c r="DM257" s="333"/>
      <c r="DN257" s="333"/>
      <c r="DO257" s="304"/>
      <c r="DP257" s="304"/>
      <c r="DQ257" s="304"/>
      <c r="DR257" s="333"/>
      <c r="DS257" s="333"/>
      <c r="DT257" s="304"/>
      <c r="DU257" s="333"/>
      <c r="DV257" s="304"/>
      <c r="DW257" s="304"/>
      <c r="DX257" s="304"/>
      <c r="DY257" s="304"/>
      <c r="DZ257" s="304"/>
      <c r="EA257" s="333"/>
      <c r="EB257" s="304"/>
      <c r="EC257" s="304"/>
      <c r="ED257" s="885"/>
    </row>
    <row r="258">
      <c r="A258" s="1798"/>
      <c r="B258" s="381" t="s">
        <v>155</v>
      </c>
      <c r="C258" s="384" t="s">
        <v>155</v>
      </c>
      <c r="D258" s="386" t="s">
        <v>155</v>
      </c>
      <c r="E258" s="389" t="s">
        <v>155</v>
      </c>
      <c r="F258" s="390" t="s">
        <v>155</v>
      </c>
      <c r="G258" s="381" t="s">
        <v>155</v>
      </c>
      <c r="H258" s="1711"/>
      <c r="I258" s="1799"/>
      <c r="J258" s="1711"/>
      <c r="K258" s="1711"/>
      <c r="L258" s="1711"/>
      <c r="M258" s="1711"/>
      <c r="N258" s="1711"/>
      <c r="O258" s="1711"/>
      <c r="P258" s="1711"/>
      <c r="Q258" s="849"/>
      <c r="R258" s="849"/>
      <c r="S258" s="849"/>
      <c r="T258" s="849"/>
      <c r="U258" s="849"/>
      <c r="V258" s="849"/>
      <c r="W258" s="62"/>
      <c r="X258" s="421"/>
      <c r="Y258" s="421"/>
      <c r="Z258" s="421"/>
      <c r="AA258" s="421"/>
      <c r="AB258" s="1007"/>
      <c r="AC258" s="421"/>
      <c r="AD258" s="421"/>
      <c r="AE258" s="852"/>
      <c r="AF258" s="421"/>
      <c r="AG258" s="421"/>
      <c r="AH258" s="852"/>
      <c r="AI258" s="852"/>
      <c r="AJ258" s="421"/>
      <c r="AK258" s="852"/>
      <c r="AL258" s="61"/>
      <c r="AM258" s="435"/>
      <c r="AN258" s="435"/>
      <c r="AO258" s="855"/>
      <c r="AP258" s="855"/>
      <c r="AQ258" s="571"/>
      <c r="AR258" s="571"/>
      <c r="AS258" s="855"/>
      <c r="AT258" s="855"/>
      <c r="AU258" s="435"/>
      <c r="AV258" s="435"/>
      <c r="AW258" s="435"/>
      <c r="AX258" s="855"/>
      <c r="AY258" s="855"/>
      <c r="AZ258" s="855"/>
      <c r="BA258" s="855"/>
      <c r="BB258" s="1645"/>
      <c r="BC258" s="1645"/>
      <c r="BD258" s="1645"/>
      <c r="BE258" s="1645"/>
      <c r="BF258" s="1645"/>
      <c r="BG258" s="1645"/>
      <c r="BH258" s="587"/>
      <c r="BI258" s="1645"/>
      <c r="BJ258" s="587"/>
      <c r="BK258" s="1645"/>
      <c r="BL258" s="1645"/>
      <c r="BM258" s="587"/>
      <c r="BN258" s="587"/>
      <c r="BO258" s="1645"/>
      <c r="BP258" s="587"/>
      <c r="BQ258" s="857"/>
      <c r="BR258" s="451"/>
      <c r="BS258" s="451"/>
      <c r="BT258" s="451"/>
      <c r="BU258" s="451"/>
      <c r="BV258" s="451"/>
      <c r="BW258" s="451"/>
      <c r="BX258" s="859"/>
      <c r="BY258" s="451"/>
      <c r="BZ258" s="451"/>
      <c r="CA258" s="451"/>
      <c r="CB258" s="859"/>
      <c r="CC258" s="859"/>
      <c r="CD258" s="859"/>
      <c r="CE258" s="859"/>
      <c r="CF258" s="861"/>
      <c r="CG258" s="460"/>
      <c r="CH258" s="460"/>
      <c r="CI258" s="460"/>
      <c r="CJ258" s="460"/>
      <c r="CK258" s="460"/>
      <c r="CL258" s="460"/>
      <c r="CM258" s="460"/>
      <c r="CN258" s="460"/>
      <c r="CO258" s="460"/>
      <c r="CP258" s="1800"/>
      <c r="CQ258" s="863"/>
      <c r="CR258" s="863"/>
      <c r="CS258" s="863"/>
      <c r="CT258" s="863"/>
      <c r="CU258" s="62"/>
      <c r="CV258" s="470"/>
      <c r="CW258" s="470"/>
      <c r="CX258" s="470"/>
      <c r="CY258" s="470"/>
      <c r="CZ258" s="470"/>
      <c r="DA258" s="470"/>
      <c r="DB258" s="470"/>
      <c r="DC258" s="470"/>
      <c r="DD258" s="864"/>
      <c r="DE258" s="864"/>
      <c r="DF258" s="864"/>
      <c r="DG258" s="864"/>
      <c r="DH258" s="864"/>
      <c r="DI258" s="709"/>
      <c r="DJ258" s="866"/>
      <c r="DK258" s="866"/>
      <c r="DL258" s="709"/>
      <c r="DM258" s="709"/>
      <c r="DN258" s="709"/>
      <c r="DO258" s="866"/>
      <c r="DP258" s="866"/>
      <c r="DQ258" s="866"/>
      <c r="DR258" s="709"/>
      <c r="DS258" s="709"/>
      <c r="DT258" s="866"/>
      <c r="DU258" s="709"/>
      <c r="DV258" s="866"/>
      <c r="DW258" s="866"/>
      <c r="DX258" s="866"/>
      <c r="DY258" s="866"/>
      <c r="DZ258" s="866"/>
      <c r="EA258" s="709"/>
      <c r="EB258" s="866"/>
      <c r="EC258" s="866"/>
      <c r="ED258" s="974"/>
    </row>
    <row r="259">
      <c r="A259" s="1718"/>
      <c r="B259" s="229" t="s">
        <v>155</v>
      </c>
      <c r="C259" s="230" t="s">
        <v>155</v>
      </c>
      <c r="D259" s="231" t="s">
        <v>155</v>
      </c>
      <c r="E259" s="232" t="s">
        <v>155</v>
      </c>
      <c r="F259" s="233" t="s">
        <v>155</v>
      </c>
      <c r="G259" s="229" t="s">
        <v>155</v>
      </c>
      <c r="H259" s="333"/>
      <c r="I259" s="274"/>
      <c r="J259" s="333"/>
      <c r="K259" s="333"/>
      <c r="L259" s="333"/>
      <c r="M259" s="333"/>
      <c r="N259" s="333"/>
      <c r="O259" s="333"/>
      <c r="P259" s="333"/>
      <c r="Q259" s="304"/>
      <c r="R259" s="304"/>
      <c r="S259" s="304"/>
      <c r="T259" s="304"/>
      <c r="U259" s="304"/>
      <c r="V259" s="304"/>
      <c r="W259" s="62"/>
      <c r="X259" s="333"/>
      <c r="Y259" s="333"/>
      <c r="Z259" s="333"/>
      <c r="AA259" s="333"/>
      <c r="AB259" s="908"/>
      <c r="AC259" s="333"/>
      <c r="AD259" s="333"/>
      <c r="AE259" s="304"/>
      <c r="AF259" s="333"/>
      <c r="AG259" s="333"/>
      <c r="AH259" s="304"/>
      <c r="AI259" s="304"/>
      <c r="AJ259" s="333"/>
      <c r="AK259" s="304"/>
      <c r="AL259" s="61"/>
      <c r="AM259" s="333"/>
      <c r="AN259" s="333"/>
      <c r="AO259" s="304"/>
      <c r="AP259" s="304"/>
      <c r="AQ259" s="273"/>
      <c r="AR259" s="273"/>
      <c r="AS259" s="304"/>
      <c r="AT259" s="304"/>
      <c r="AU259" s="333"/>
      <c r="AV259" s="333"/>
      <c r="AW259" s="333"/>
      <c r="AX259" s="304"/>
      <c r="AY259" s="304"/>
      <c r="AZ259" s="304"/>
      <c r="BA259" s="304"/>
      <c r="BB259" s="333"/>
      <c r="BC259" s="333"/>
      <c r="BD259" s="333"/>
      <c r="BE259" s="333"/>
      <c r="BF259" s="333"/>
      <c r="BG259" s="333"/>
      <c r="BH259" s="304"/>
      <c r="BI259" s="333"/>
      <c r="BJ259" s="304"/>
      <c r="BK259" s="333"/>
      <c r="BL259" s="333"/>
      <c r="BM259" s="304"/>
      <c r="BN259" s="304"/>
      <c r="BO259" s="333"/>
      <c r="BP259" s="304"/>
      <c r="BQ259" s="841"/>
      <c r="BR259" s="333"/>
      <c r="BS259" s="333"/>
      <c r="BT259" s="333"/>
      <c r="BU259" s="333"/>
      <c r="BV259" s="333"/>
      <c r="BW259" s="333"/>
      <c r="BX259" s="304"/>
      <c r="BY259" s="333"/>
      <c r="BZ259" s="333"/>
      <c r="CA259" s="333"/>
      <c r="CB259" s="304"/>
      <c r="CC259" s="304"/>
      <c r="CD259" s="304"/>
      <c r="CE259" s="304"/>
      <c r="CF259" s="841"/>
      <c r="CG259" s="333"/>
      <c r="CH259" s="333"/>
      <c r="CI259" s="333"/>
      <c r="CJ259" s="333"/>
      <c r="CK259" s="333"/>
      <c r="CL259" s="333"/>
      <c r="CM259" s="333"/>
      <c r="CN259" s="333"/>
      <c r="CO259" s="333"/>
      <c r="CP259" s="768"/>
      <c r="CQ259" s="304"/>
      <c r="CR259" s="304"/>
      <c r="CS259" s="304"/>
      <c r="CT259" s="304"/>
      <c r="CU259" s="62"/>
      <c r="CV259" s="333"/>
      <c r="CW259" s="333"/>
      <c r="CX259" s="333"/>
      <c r="CY259" s="333"/>
      <c r="CZ259" s="333"/>
      <c r="DA259" s="333"/>
      <c r="DB259" s="333"/>
      <c r="DC259" s="333"/>
      <c r="DD259" s="304"/>
      <c r="DE259" s="304"/>
      <c r="DF259" s="304"/>
      <c r="DG259" s="304"/>
      <c r="DH259" s="304"/>
      <c r="DI259" s="333"/>
      <c r="DJ259" s="304"/>
      <c r="DK259" s="304"/>
      <c r="DL259" s="333"/>
      <c r="DM259" s="333"/>
      <c r="DN259" s="333"/>
      <c r="DO259" s="304"/>
      <c r="DP259" s="304"/>
      <c r="DQ259" s="304"/>
      <c r="DR259" s="333"/>
      <c r="DS259" s="333"/>
      <c r="DT259" s="304"/>
      <c r="DU259" s="333"/>
      <c r="DV259" s="304"/>
      <c r="DW259" s="304"/>
      <c r="DX259" s="304"/>
      <c r="DY259" s="304"/>
      <c r="DZ259" s="304"/>
      <c r="EA259" s="333"/>
      <c r="EB259" s="304"/>
      <c r="EC259" s="304"/>
      <c r="ED259" s="885"/>
    </row>
    <row r="260">
      <c r="A260" s="1798"/>
      <c r="B260" s="381" t="s">
        <v>155</v>
      </c>
      <c r="C260" s="384" t="s">
        <v>155</v>
      </c>
      <c r="D260" s="386" t="s">
        <v>155</v>
      </c>
      <c r="E260" s="389" t="s">
        <v>155</v>
      </c>
      <c r="F260" s="390" t="s">
        <v>155</v>
      </c>
      <c r="G260" s="381" t="s">
        <v>155</v>
      </c>
      <c r="H260" s="1711"/>
      <c r="I260" s="1799"/>
      <c r="J260" s="1711"/>
      <c r="K260" s="1711"/>
      <c r="L260" s="1711"/>
      <c r="M260" s="1711"/>
      <c r="N260" s="1711"/>
      <c r="O260" s="1711"/>
      <c r="P260" s="1711"/>
      <c r="Q260" s="849"/>
      <c r="R260" s="849"/>
      <c r="S260" s="849"/>
      <c r="T260" s="849"/>
      <c r="U260" s="849"/>
      <c r="V260" s="849"/>
      <c r="W260" s="62"/>
      <c r="X260" s="421"/>
      <c r="Y260" s="421"/>
      <c r="Z260" s="421"/>
      <c r="AA260" s="421"/>
      <c r="AB260" s="1007"/>
      <c r="AC260" s="421"/>
      <c r="AD260" s="421"/>
      <c r="AE260" s="852"/>
      <c r="AF260" s="421"/>
      <c r="AG260" s="421"/>
      <c r="AH260" s="852"/>
      <c r="AI260" s="852"/>
      <c r="AJ260" s="421"/>
      <c r="AK260" s="852"/>
      <c r="AL260" s="61"/>
      <c r="AM260" s="435"/>
      <c r="AN260" s="435"/>
      <c r="AO260" s="855"/>
      <c r="AP260" s="855"/>
      <c r="AQ260" s="571"/>
      <c r="AR260" s="571"/>
      <c r="AS260" s="855"/>
      <c r="AT260" s="855"/>
      <c r="AU260" s="435"/>
      <c r="AV260" s="435"/>
      <c r="AW260" s="435"/>
      <c r="AX260" s="855"/>
      <c r="AY260" s="855"/>
      <c r="AZ260" s="855"/>
      <c r="BA260" s="855"/>
      <c r="BB260" s="1645"/>
      <c r="BC260" s="1645"/>
      <c r="BD260" s="1645"/>
      <c r="BE260" s="1645"/>
      <c r="BF260" s="1645"/>
      <c r="BG260" s="1645"/>
      <c r="BH260" s="587"/>
      <c r="BI260" s="1645"/>
      <c r="BJ260" s="587"/>
      <c r="BK260" s="1645"/>
      <c r="BL260" s="1645"/>
      <c r="BM260" s="587"/>
      <c r="BN260" s="587"/>
      <c r="BO260" s="1645"/>
      <c r="BP260" s="587"/>
      <c r="BQ260" s="857"/>
      <c r="BR260" s="451"/>
      <c r="BS260" s="451"/>
      <c r="BT260" s="451"/>
      <c r="BU260" s="451"/>
      <c r="BV260" s="451"/>
      <c r="BW260" s="451"/>
      <c r="BX260" s="859"/>
      <c r="BY260" s="451"/>
      <c r="BZ260" s="451"/>
      <c r="CA260" s="451"/>
      <c r="CB260" s="859"/>
      <c r="CC260" s="859"/>
      <c r="CD260" s="859"/>
      <c r="CE260" s="859"/>
      <c r="CF260" s="861"/>
      <c r="CG260" s="460"/>
      <c r="CH260" s="460"/>
      <c r="CI260" s="460"/>
      <c r="CJ260" s="460"/>
      <c r="CK260" s="460"/>
      <c r="CL260" s="460"/>
      <c r="CM260" s="460"/>
      <c r="CN260" s="460"/>
      <c r="CO260" s="460"/>
      <c r="CP260" s="1800"/>
      <c r="CQ260" s="863"/>
      <c r="CR260" s="863"/>
      <c r="CS260" s="863"/>
      <c r="CT260" s="863"/>
      <c r="CU260" s="62"/>
      <c r="CV260" s="470"/>
      <c r="CW260" s="470"/>
      <c r="CX260" s="470"/>
      <c r="CY260" s="470"/>
      <c r="CZ260" s="470"/>
      <c r="DA260" s="470"/>
      <c r="DB260" s="470"/>
      <c r="DC260" s="470"/>
      <c r="DD260" s="864"/>
      <c r="DE260" s="864"/>
      <c r="DF260" s="864"/>
      <c r="DG260" s="864"/>
      <c r="DH260" s="864"/>
      <c r="DI260" s="709"/>
      <c r="DJ260" s="866"/>
      <c r="DK260" s="866"/>
      <c r="DL260" s="709"/>
      <c r="DM260" s="709"/>
      <c r="DN260" s="709"/>
      <c r="DO260" s="866"/>
      <c r="DP260" s="866"/>
      <c r="DQ260" s="866"/>
      <c r="DR260" s="709"/>
      <c r="DS260" s="709"/>
      <c r="DT260" s="866"/>
      <c r="DU260" s="709"/>
      <c r="DV260" s="866"/>
      <c r="DW260" s="866"/>
      <c r="DX260" s="866"/>
      <c r="DY260" s="866"/>
      <c r="DZ260" s="866"/>
      <c r="EA260" s="709"/>
      <c r="EB260" s="866"/>
      <c r="EC260" s="866"/>
      <c r="ED260" s="974"/>
    </row>
    <row r="261">
      <c r="A261" s="1718"/>
      <c r="B261" s="229" t="s">
        <v>155</v>
      </c>
      <c r="C261" s="230" t="s">
        <v>155</v>
      </c>
      <c r="D261" s="231" t="s">
        <v>155</v>
      </c>
      <c r="E261" s="232" t="s">
        <v>155</v>
      </c>
      <c r="F261" s="233" t="s">
        <v>155</v>
      </c>
      <c r="G261" s="229" t="s">
        <v>155</v>
      </c>
      <c r="H261" s="333"/>
      <c r="I261" s="274"/>
      <c r="J261" s="333"/>
      <c r="K261" s="333"/>
      <c r="L261" s="333"/>
      <c r="M261" s="333"/>
      <c r="N261" s="333"/>
      <c r="O261" s="333"/>
      <c r="P261" s="333"/>
      <c r="Q261" s="304"/>
      <c r="R261" s="304"/>
      <c r="S261" s="304"/>
      <c r="T261" s="304"/>
      <c r="U261" s="304"/>
      <c r="V261" s="304"/>
      <c r="W261" s="62"/>
      <c r="X261" s="333"/>
      <c r="Y261" s="333"/>
      <c r="Z261" s="333"/>
      <c r="AA261" s="333"/>
      <c r="AB261" s="908"/>
      <c r="AC261" s="333"/>
      <c r="AD261" s="333"/>
      <c r="AE261" s="304"/>
      <c r="AF261" s="333"/>
      <c r="AG261" s="333"/>
      <c r="AH261" s="304"/>
      <c r="AI261" s="304"/>
      <c r="AJ261" s="333"/>
      <c r="AK261" s="304"/>
      <c r="AL261" s="61"/>
      <c r="AM261" s="333"/>
      <c r="AN261" s="333"/>
      <c r="AO261" s="304"/>
      <c r="AP261" s="304"/>
      <c r="AQ261" s="273"/>
      <c r="AR261" s="273"/>
      <c r="AS261" s="304"/>
      <c r="AT261" s="304"/>
      <c r="AU261" s="333"/>
      <c r="AV261" s="333"/>
      <c r="AW261" s="333"/>
      <c r="AX261" s="304"/>
      <c r="AY261" s="304"/>
      <c r="AZ261" s="304"/>
      <c r="BA261" s="304"/>
      <c r="BB261" s="333"/>
      <c r="BC261" s="333"/>
      <c r="BD261" s="333"/>
      <c r="BE261" s="333"/>
      <c r="BF261" s="333"/>
      <c r="BG261" s="333"/>
      <c r="BH261" s="304"/>
      <c r="BI261" s="333"/>
      <c r="BJ261" s="304"/>
      <c r="BK261" s="333"/>
      <c r="BL261" s="333"/>
      <c r="BM261" s="304"/>
      <c r="BN261" s="304"/>
      <c r="BO261" s="333"/>
      <c r="BP261" s="304"/>
      <c r="BQ261" s="841"/>
      <c r="BR261" s="333"/>
      <c r="BS261" s="333"/>
      <c r="BT261" s="333"/>
      <c r="BU261" s="333"/>
      <c r="BV261" s="333"/>
      <c r="BW261" s="333"/>
      <c r="BX261" s="304"/>
      <c r="BY261" s="333"/>
      <c r="BZ261" s="333"/>
      <c r="CA261" s="333"/>
      <c r="CB261" s="304"/>
      <c r="CC261" s="304"/>
      <c r="CD261" s="304"/>
      <c r="CE261" s="304"/>
      <c r="CF261" s="841"/>
      <c r="CG261" s="333"/>
      <c r="CH261" s="333"/>
      <c r="CI261" s="333"/>
      <c r="CJ261" s="333"/>
      <c r="CK261" s="333"/>
      <c r="CL261" s="333"/>
      <c r="CM261" s="333"/>
      <c r="CN261" s="333"/>
      <c r="CO261" s="333"/>
      <c r="CP261" s="768"/>
      <c r="CQ261" s="304"/>
      <c r="CR261" s="304"/>
      <c r="CS261" s="304"/>
      <c r="CT261" s="304"/>
      <c r="CU261" s="62"/>
      <c r="CV261" s="333"/>
      <c r="CW261" s="333"/>
      <c r="CX261" s="333"/>
      <c r="CY261" s="333"/>
      <c r="CZ261" s="333"/>
      <c r="DA261" s="333"/>
      <c r="DB261" s="333"/>
      <c r="DC261" s="333"/>
      <c r="DD261" s="304"/>
      <c r="DE261" s="304"/>
      <c r="DF261" s="304"/>
      <c r="DG261" s="304"/>
      <c r="DH261" s="304"/>
      <c r="DI261" s="333"/>
      <c r="DJ261" s="304"/>
      <c r="DK261" s="304"/>
      <c r="DL261" s="333"/>
      <c r="DM261" s="333"/>
      <c r="DN261" s="333"/>
      <c r="DO261" s="304"/>
      <c r="DP261" s="304"/>
      <c r="DQ261" s="304"/>
      <c r="DR261" s="333"/>
      <c r="DS261" s="333"/>
      <c r="DT261" s="304"/>
      <c r="DU261" s="333"/>
      <c r="DV261" s="304"/>
      <c r="DW261" s="304"/>
      <c r="DX261" s="304"/>
      <c r="DY261" s="304"/>
      <c r="DZ261" s="304"/>
      <c r="EA261" s="333"/>
      <c r="EB261" s="304"/>
      <c r="EC261" s="304"/>
      <c r="ED261" s="885"/>
    </row>
    <row r="262">
      <c r="A262" s="1798"/>
      <c r="B262" s="381" t="s">
        <v>155</v>
      </c>
      <c r="C262" s="384" t="s">
        <v>155</v>
      </c>
      <c r="D262" s="386" t="s">
        <v>155</v>
      </c>
      <c r="E262" s="389" t="s">
        <v>155</v>
      </c>
      <c r="F262" s="390" t="s">
        <v>155</v>
      </c>
      <c r="G262" s="381" t="s">
        <v>155</v>
      </c>
      <c r="H262" s="1711"/>
      <c r="I262" s="1799"/>
      <c r="J262" s="1711"/>
      <c r="K262" s="1711"/>
      <c r="L262" s="1711"/>
      <c r="M262" s="1711"/>
      <c r="N262" s="1711"/>
      <c r="O262" s="1711"/>
      <c r="P262" s="1711"/>
      <c r="Q262" s="849"/>
      <c r="R262" s="849"/>
      <c r="S262" s="849"/>
      <c r="T262" s="849"/>
      <c r="U262" s="849"/>
      <c r="V262" s="849"/>
      <c r="W262" s="62"/>
      <c r="X262" s="421"/>
      <c r="Y262" s="421"/>
      <c r="Z262" s="421"/>
      <c r="AA262" s="421"/>
      <c r="AB262" s="1007"/>
      <c r="AC262" s="421"/>
      <c r="AD262" s="421"/>
      <c r="AE262" s="852"/>
      <c r="AF262" s="421"/>
      <c r="AG262" s="421"/>
      <c r="AH262" s="852"/>
      <c r="AI262" s="852"/>
      <c r="AJ262" s="421"/>
      <c r="AK262" s="852"/>
      <c r="AL262" s="61"/>
      <c r="AM262" s="435"/>
      <c r="AN262" s="435"/>
      <c r="AO262" s="855"/>
      <c r="AP262" s="855"/>
      <c r="AQ262" s="571"/>
      <c r="AR262" s="571"/>
      <c r="AS262" s="855"/>
      <c r="AT262" s="855"/>
      <c r="AU262" s="435"/>
      <c r="AV262" s="435"/>
      <c r="AW262" s="435"/>
      <c r="AX262" s="855"/>
      <c r="AY262" s="855"/>
      <c r="AZ262" s="855"/>
      <c r="BA262" s="855"/>
      <c r="BB262" s="1645"/>
      <c r="BC262" s="1645"/>
      <c r="BD262" s="1645"/>
      <c r="BE262" s="1645"/>
      <c r="BF262" s="1645"/>
      <c r="BG262" s="1645"/>
      <c r="BH262" s="587"/>
      <c r="BI262" s="1645"/>
      <c r="BJ262" s="587"/>
      <c r="BK262" s="1645"/>
      <c r="BL262" s="1645"/>
      <c r="BM262" s="587"/>
      <c r="BN262" s="587"/>
      <c r="BO262" s="1645"/>
      <c r="BP262" s="587"/>
      <c r="BQ262" s="857"/>
      <c r="BR262" s="451"/>
      <c r="BS262" s="451"/>
      <c r="BT262" s="451"/>
      <c r="BU262" s="451"/>
      <c r="BV262" s="451"/>
      <c r="BW262" s="451"/>
      <c r="BX262" s="859"/>
      <c r="BY262" s="451"/>
      <c r="BZ262" s="451"/>
      <c r="CA262" s="451"/>
      <c r="CB262" s="859"/>
      <c r="CC262" s="859"/>
      <c r="CD262" s="859"/>
      <c r="CE262" s="859"/>
      <c r="CF262" s="861"/>
      <c r="CG262" s="460"/>
      <c r="CH262" s="460"/>
      <c r="CI262" s="460"/>
      <c r="CJ262" s="460"/>
      <c r="CK262" s="460"/>
      <c r="CL262" s="460"/>
      <c r="CM262" s="460"/>
      <c r="CN262" s="460"/>
      <c r="CO262" s="460"/>
      <c r="CP262" s="1800"/>
      <c r="CQ262" s="863"/>
      <c r="CR262" s="863"/>
      <c r="CS262" s="863"/>
      <c r="CT262" s="863"/>
      <c r="CU262" s="62"/>
      <c r="CV262" s="470"/>
      <c r="CW262" s="470"/>
      <c r="CX262" s="470"/>
      <c r="CY262" s="470"/>
      <c r="CZ262" s="470"/>
      <c r="DA262" s="470"/>
      <c r="DB262" s="470"/>
      <c r="DC262" s="470"/>
      <c r="DD262" s="864"/>
      <c r="DE262" s="864"/>
      <c r="DF262" s="864"/>
      <c r="DG262" s="864"/>
      <c r="DH262" s="864"/>
      <c r="DI262" s="709"/>
      <c r="DJ262" s="866"/>
      <c r="DK262" s="866"/>
      <c r="DL262" s="709"/>
      <c r="DM262" s="709"/>
      <c r="DN262" s="709"/>
      <c r="DO262" s="866"/>
      <c r="DP262" s="866"/>
      <c r="DQ262" s="866"/>
      <c r="DR262" s="709"/>
      <c r="DS262" s="709"/>
      <c r="DT262" s="866"/>
      <c r="DU262" s="709"/>
      <c r="DV262" s="866"/>
      <c r="DW262" s="866"/>
      <c r="DX262" s="866"/>
      <c r="DY262" s="866"/>
      <c r="DZ262" s="866"/>
      <c r="EA262" s="709"/>
      <c r="EB262" s="866"/>
      <c r="EC262" s="866"/>
      <c r="ED262" s="974"/>
    </row>
    <row r="263">
      <c r="A263" s="1718"/>
      <c r="B263" s="229" t="s">
        <v>155</v>
      </c>
      <c r="C263" s="230" t="s">
        <v>155</v>
      </c>
      <c r="D263" s="231" t="s">
        <v>155</v>
      </c>
      <c r="E263" s="232" t="s">
        <v>155</v>
      </c>
      <c r="F263" s="233" t="s">
        <v>155</v>
      </c>
      <c r="G263" s="229" t="s">
        <v>155</v>
      </c>
      <c r="H263" s="333"/>
      <c r="I263" s="274"/>
      <c r="J263" s="333"/>
      <c r="K263" s="333"/>
      <c r="L263" s="333"/>
      <c r="M263" s="333"/>
      <c r="N263" s="333"/>
      <c r="O263" s="333"/>
      <c r="P263" s="333"/>
      <c r="Q263" s="304"/>
      <c r="R263" s="304"/>
      <c r="S263" s="304"/>
      <c r="T263" s="304"/>
      <c r="U263" s="304"/>
      <c r="V263" s="304"/>
      <c r="W263" s="62"/>
      <c r="X263" s="333"/>
      <c r="Y263" s="333"/>
      <c r="Z263" s="333"/>
      <c r="AA263" s="333"/>
      <c r="AB263" s="908"/>
      <c r="AC263" s="333"/>
      <c r="AD263" s="333"/>
      <c r="AE263" s="304"/>
      <c r="AF263" s="333"/>
      <c r="AG263" s="333"/>
      <c r="AH263" s="304"/>
      <c r="AI263" s="304"/>
      <c r="AJ263" s="333"/>
      <c r="AK263" s="304"/>
      <c r="AL263" s="61"/>
      <c r="AM263" s="333"/>
      <c r="AN263" s="333"/>
      <c r="AO263" s="304"/>
      <c r="AP263" s="304"/>
      <c r="AQ263" s="273"/>
      <c r="AR263" s="273"/>
      <c r="AS263" s="304"/>
      <c r="AT263" s="304"/>
      <c r="AU263" s="333"/>
      <c r="AV263" s="333"/>
      <c r="AW263" s="333"/>
      <c r="AX263" s="304"/>
      <c r="AY263" s="304"/>
      <c r="AZ263" s="304"/>
      <c r="BA263" s="304"/>
      <c r="BB263" s="333"/>
      <c r="BC263" s="333"/>
      <c r="BD263" s="333"/>
      <c r="BE263" s="333"/>
      <c r="BF263" s="333"/>
      <c r="BG263" s="333"/>
      <c r="BH263" s="304"/>
      <c r="BI263" s="333"/>
      <c r="BJ263" s="304"/>
      <c r="BK263" s="333"/>
      <c r="BL263" s="333"/>
      <c r="BM263" s="304"/>
      <c r="BN263" s="304"/>
      <c r="BO263" s="333"/>
      <c r="BP263" s="304"/>
      <c r="BQ263" s="841"/>
      <c r="BR263" s="333"/>
      <c r="BS263" s="333"/>
      <c r="BT263" s="333"/>
      <c r="BU263" s="333"/>
      <c r="BV263" s="333"/>
      <c r="BW263" s="333"/>
      <c r="BX263" s="304"/>
      <c r="BY263" s="333"/>
      <c r="BZ263" s="333"/>
      <c r="CA263" s="333"/>
      <c r="CB263" s="304"/>
      <c r="CC263" s="304"/>
      <c r="CD263" s="304"/>
      <c r="CE263" s="304"/>
      <c r="CF263" s="841"/>
      <c r="CG263" s="333"/>
      <c r="CH263" s="333"/>
      <c r="CI263" s="333"/>
      <c r="CJ263" s="333"/>
      <c r="CK263" s="333"/>
      <c r="CL263" s="333"/>
      <c r="CM263" s="333"/>
      <c r="CN263" s="333"/>
      <c r="CO263" s="333"/>
      <c r="CP263" s="768"/>
      <c r="CQ263" s="304"/>
      <c r="CR263" s="304"/>
      <c r="CS263" s="304"/>
      <c r="CT263" s="304"/>
      <c r="CU263" s="62"/>
      <c r="CV263" s="333"/>
      <c r="CW263" s="333"/>
      <c r="CX263" s="333"/>
      <c r="CY263" s="333"/>
      <c r="CZ263" s="333"/>
      <c r="DA263" s="333"/>
      <c r="DB263" s="333"/>
      <c r="DC263" s="333"/>
      <c r="DD263" s="304"/>
      <c r="DE263" s="304"/>
      <c r="DF263" s="304"/>
      <c r="DG263" s="304"/>
      <c r="DH263" s="304"/>
      <c r="DI263" s="333"/>
      <c r="DJ263" s="304"/>
      <c r="DK263" s="304"/>
      <c r="DL263" s="333"/>
      <c r="DM263" s="333"/>
      <c r="DN263" s="333"/>
      <c r="DO263" s="304"/>
      <c r="DP263" s="304"/>
      <c r="DQ263" s="304"/>
      <c r="DR263" s="333"/>
      <c r="DS263" s="333"/>
      <c r="DT263" s="304"/>
      <c r="DU263" s="333"/>
      <c r="DV263" s="304"/>
      <c r="DW263" s="304"/>
      <c r="DX263" s="304"/>
      <c r="DY263" s="304"/>
      <c r="DZ263" s="304"/>
      <c r="EA263" s="333"/>
      <c r="EB263" s="304"/>
      <c r="EC263" s="304"/>
      <c r="ED263" s="885"/>
    </row>
    <row r="264">
      <c r="A264" s="1798"/>
      <c r="B264" s="381" t="s">
        <v>155</v>
      </c>
      <c r="C264" s="384" t="s">
        <v>155</v>
      </c>
      <c r="D264" s="386" t="s">
        <v>155</v>
      </c>
      <c r="E264" s="389" t="s">
        <v>155</v>
      </c>
      <c r="F264" s="390" t="s">
        <v>155</v>
      </c>
      <c r="G264" s="381" t="s">
        <v>155</v>
      </c>
      <c r="H264" s="1711"/>
      <c r="I264" s="1799"/>
      <c r="J264" s="1711"/>
      <c r="K264" s="1711"/>
      <c r="L264" s="1711"/>
      <c r="M264" s="1711"/>
      <c r="N264" s="1711"/>
      <c r="O264" s="1711"/>
      <c r="P264" s="1711"/>
      <c r="Q264" s="849"/>
      <c r="R264" s="849"/>
      <c r="S264" s="849"/>
      <c r="T264" s="849"/>
      <c r="U264" s="849"/>
      <c r="V264" s="849"/>
      <c r="W264" s="62"/>
      <c r="X264" s="421"/>
      <c r="Y264" s="421"/>
      <c r="Z264" s="421"/>
      <c r="AA264" s="421"/>
      <c r="AB264" s="1007"/>
      <c r="AC264" s="421"/>
      <c r="AD264" s="421"/>
      <c r="AE264" s="852"/>
      <c r="AF264" s="421"/>
      <c r="AG264" s="421"/>
      <c r="AH264" s="852"/>
      <c r="AI264" s="852"/>
      <c r="AJ264" s="421"/>
      <c r="AK264" s="852"/>
      <c r="AL264" s="61"/>
      <c r="AM264" s="435"/>
      <c r="AN264" s="435"/>
      <c r="AO264" s="855"/>
      <c r="AP264" s="855"/>
      <c r="AQ264" s="571"/>
      <c r="AR264" s="571"/>
      <c r="AS264" s="855"/>
      <c r="AT264" s="855"/>
      <c r="AU264" s="435"/>
      <c r="AV264" s="435"/>
      <c r="AW264" s="435"/>
      <c r="AX264" s="855"/>
      <c r="AY264" s="855"/>
      <c r="AZ264" s="855"/>
      <c r="BA264" s="855"/>
      <c r="BB264" s="1645"/>
      <c r="BC264" s="1645"/>
      <c r="BD264" s="1645"/>
      <c r="BE264" s="1645"/>
      <c r="BF264" s="1645"/>
      <c r="BG264" s="1645"/>
      <c r="BH264" s="587"/>
      <c r="BI264" s="1645"/>
      <c r="BJ264" s="587"/>
      <c r="BK264" s="1645"/>
      <c r="BL264" s="1645"/>
      <c r="BM264" s="587"/>
      <c r="BN264" s="587"/>
      <c r="BO264" s="1645"/>
      <c r="BP264" s="587"/>
      <c r="BQ264" s="857"/>
      <c r="BR264" s="451"/>
      <c r="BS264" s="451"/>
      <c r="BT264" s="451"/>
      <c r="BU264" s="451"/>
      <c r="BV264" s="451"/>
      <c r="BW264" s="451"/>
      <c r="BX264" s="859"/>
      <c r="BY264" s="451"/>
      <c r="BZ264" s="451"/>
      <c r="CA264" s="451"/>
      <c r="CB264" s="859"/>
      <c r="CC264" s="859"/>
      <c r="CD264" s="859"/>
      <c r="CE264" s="859"/>
      <c r="CF264" s="861"/>
      <c r="CG264" s="460"/>
      <c r="CH264" s="460"/>
      <c r="CI264" s="460"/>
      <c r="CJ264" s="460"/>
      <c r="CK264" s="460"/>
      <c r="CL264" s="460"/>
      <c r="CM264" s="460"/>
      <c r="CN264" s="460"/>
      <c r="CO264" s="460"/>
      <c r="CP264" s="1800"/>
      <c r="CQ264" s="863"/>
      <c r="CR264" s="863"/>
      <c r="CS264" s="863"/>
      <c r="CT264" s="863"/>
      <c r="CU264" s="62"/>
      <c r="CV264" s="470"/>
      <c r="CW264" s="470"/>
      <c r="CX264" s="470"/>
      <c r="CY264" s="470"/>
      <c r="CZ264" s="470"/>
      <c r="DA264" s="470"/>
      <c r="DB264" s="470"/>
      <c r="DC264" s="470"/>
      <c r="DD264" s="864"/>
      <c r="DE264" s="864"/>
      <c r="DF264" s="864"/>
      <c r="DG264" s="864"/>
      <c r="DH264" s="864"/>
      <c r="DI264" s="709"/>
      <c r="DJ264" s="866"/>
      <c r="DK264" s="866"/>
      <c r="DL264" s="709"/>
      <c r="DM264" s="709"/>
      <c r="DN264" s="709"/>
      <c r="DO264" s="866"/>
      <c r="DP264" s="866"/>
      <c r="DQ264" s="866"/>
      <c r="DR264" s="709"/>
      <c r="DS264" s="709"/>
      <c r="DT264" s="866"/>
      <c r="DU264" s="709"/>
      <c r="DV264" s="866"/>
      <c r="DW264" s="866"/>
      <c r="DX264" s="866"/>
      <c r="DY264" s="866"/>
      <c r="DZ264" s="866"/>
      <c r="EA264" s="709"/>
      <c r="EB264" s="866"/>
      <c r="EC264" s="866"/>
      <c r="ED264" s="974"/>
    </row>
    <row r="265">
      <c r="A265" s="1718"/>
      <c r="B265" s="229" t="s">
        <v>155</v>
      </c>
      <c r="C265" s="230" t="s">
        <v>155</v>
      </c>
      <c r="D265" s="231" t="s">
        <v>155</v>
      </c>
      <c r="E265" s="232" t="s">
        <v>155</v>
      </c>
      <c r="F265" s="233" t="s">
        <v>155</v>
      </c>
      <c r="G265" s="229" t="s">
        <v>155</v>
      </c>
      <c r="H265" s="333"/>
      <c r="I265" s="274"/>
      <c r="J265" s="333"/>
      <c r="K265" s="333"/>
      <c r="L265" s="333"/>
      <c r="M265" s="333"/>
      <c r="N265" s="333"/>
      <c r="O265" s="333"/>
      <c r="P265" s="333"/>
      <c r="Q265" s="304"/>
      <c r="R265" s="304"/>
      <c r="S265" s="304"/>
      <c r="T265" s="304"/>
      <c r="U265" s="304"/>
      <c r="V265" s="304"/>
      <c r="W265" s="62"/>
      <c r="X265" s="333"/>
      <c r="Y265" s="333"/>
      <c r="Z265" s="333"/>
      <c r="AA265" s="333"/>
      <c r="AB265" s="908"/>
      <c r="AC265" s="333"/>
      <c r="AD265" s="333"/>
      <c r="AE265" s="304"/>
      <c r="AF265" s="333"/>
      <c r="AG265" s="333"/>
      <c r="AH265" s="304"/>
      <c r="AI265" s="304"/>
      <c r="AJ265" s="333"/>
      <c r="AK265" s="304"/>
      <c r="AL265" s="61"/>
      <c r="AM265" s="333"/>
      <c r="AN265" s="333"/>
      <c r="AO265" s="304"/>
      <c r="AP265" s="304"/>
      <c r="AQ265" s="273"/>
      <c r="AR265" s="273"/>
      <c r="AS265" s="304"/>
      <c r="AT265" s="304"/>
      <c r="AU265" s="333"/>
      <c r="AV265" s="333"/>
      <c r="AW265" s="333"/>
      <c r="AX265" s="304"/>
      <c r="AY265" s="304"/>
      <c r="AZ265" s="304"/>
      <c r="BA265" s="304"/>
      <c r="BB265" s="333"/>
      <c r="BC265" s="333"/>
      <c r="BD265" s="333"/>
      <c r="BE265" s="333"/>
      <c r="BF265" s="333"/>
      <c r="BG265" s="333"/>
      <c r="BH265" s="304"/>
      <c r="BI265" s="333"/>
      <c r="BJ265" s="304"/>
      <c r="BK265" s="333"/>
      <c r="BL265" s="333"/>
      <c r="BM265" s="304"/>
      <c r="BN265" s="304"/>
      <c r="BO265" s="333"/>
      <c r="BP265" s="304"/>
      <c r="BQ265" s="841"/>
      <c r="BR265" s="333"/>
      <c r="BS265" s="333"/>
      <c r="BT265" s="333"/>
      <c r="BU265" s="333"/>
      <c r="BV265" s="333"/>
      <c r="BW265" s="333"/>
      <c r="BX265" s="304"/>
      <c r="BY265" s="333"/>
      <c r="BZ265" s="333"/>
      <c r="CA265" s="333"/>
      <c r="CB265" s="304"/>
      <c r="CC265" s="304"/>
      <c r="CD265" s="304"/>
      <c r="CE265" s="304"/>
      <c r="CF265" s="841"/>
      <c r="CG265" s="333"/>
      <c r="CH265" s="333"/>
      <c r="CI265" s="333"/>
      <c r="CJ265" s="333"/>
      <c r="CK265" s="333"/>
      <c r="CL265" s="333"/>
      <c r="CM265" s="333"/>
      <c r="CN265" s="333"/>
      <c r="CO265" s="333"/>
      <c r="CP265" s="768"/>
      <c r="CQ265" s="304"/>
      <c r="CR265" s="304"/>
      <c r="CS265" s="304"/>
      <c r="CT265" s="304"/>
      <c r="CU265" s="62"/>
      <c r="CV265" s="333"/>
      <c r="CW265" s="333"/>
      <c r="CX265" s="333"/>
      <c r="CY265" s="333"/>
      <c r="CZ265" s="333"/>
      <c r="DA265" s="333"/>
      <c r="DB265" s="333"/>
      <c r="DC265" s="333"/>
      <c r="DD265" s="304"/>
      <c r="DE265" s="304"/>
      <c r="DF265" s="304"/>
      <c r="DG265" s="304"/>
      <c r="DH265" s="304"/>
      <c r="DI265" s="333"/>
      <c r="DJ265" s="304"/>
      <c r="DK265" s="304"/>
      <c r="DL265" s="333"/>
      <c r="DM265" s="333"/>
      <c r="DN265" s="333"/>
      <c r="DO265" s="304"/>
      <c r="DP265" s="304"/>
      <c r="DQ265" s="304"/>
      <c r="DR265" s="333"/>
      <c r="DS265" s="333"/>
      <c r="DT265" s="304"/>
      <c r="DU265" s="333"/>
      <c r="DV265" s="304"/>
      <c r="DW265" s="304"/>
      <c r="DX265" s="304"/>
      <c r="DY265" s="304"/>
      <c r="DZ265" s="304"/>
      <c r="EA265" s="333"/>
      <c r="EB265" s="304"/>
      <c r="EC265" s="304"/>
      <c r="ED265" s="885"/>
    </row>
    <row r="266">
      <c r="A266" s="1798"/>
      <c r="B266" s="381" t="s">
        <v>155</v>
      </c>
      <c r="C266" s="384" t="s">
        <v>155</v>
      </c>
      <c r="D266" s="386" t="s">
        <v>155</v>
      </c>
      <c r="E266" s="389" t="s">
        <v>155</v>
      </c>
      <c r="F266" s="390" t="s">
        <v>155</v>
      </c>
      <c r="G266" s="381" t="s">
        <v>155</v>
      </c>
      <c r="H266" s="1711"/>
      <c r="I266" s="1799"/>
      <c r="J266" s="1711"/>
      <c r="K266" s="1711"/>
      <c r="L266" s="1711"/>
      <c r="M266" s="1711"/>
      <c r="N266" s="1711"/>
      <c r="O266" s="1711"/>
      <c r="P266" s="1711"/>
      <c r="Q266" s="849"/>
      <c r="R266" s="849"/>
      <c r="S266" s="849"/>
      <c r="T266" s="849"/>
      <c r="U266" s="849"/>
      <c r="V266" s="849"/>
      <c r="W266" s="62"/>
      <c r="X266" s="421"/>
      <c r="Y266" s="421"/>
      <c r="Z266" s="421"/>
      <c r="AA266" s="421"/>
      <c r="AB266" s="1007"/>
      <c r="AC266" s="421"/>
      <c r="AD266" s="421"/>
      <c r="AE266" s="852"/>
      <c r="AF266" s="421"/>
      <c r="AG266" s="421"/>
      <c r="AH266" s="852"/>
      <c r="AI266" s="852"/>
      <c r="AJ266" s="421"/>
      <c r="AK266" s="852"/>
      <c r="AL266" s="61"/>
      <c r="AM266" s="435"/>
      <c r="AN266" s="435"/>
      <c r="AO266" s="855"/>
      <c r="AP266" s="855"/>
      <c r="AQ266" s="571"/>
      <c r="AR266" s="571"/>
      <c r="AS266" s="855"/>
      <c r="AT266" s="855"/>
      <c r="AU266" s="435"/>
      <c r="AV266" s="435"/>
      <c r="AW266" s="435"/>
      <c r="AX266" s="855"/>
      <c r="AY266" s="855"/>
      <c r="AZ266" s="855"/>
      <c r="BA266" s="855"/>
      <c r="BB266" s="1645"/>
      <c r="BC266" s="1645"/>
      <c r="BD266" s="1645"/>
      <c r="BE266" s="1645"/>
      <c r="BF266" s="1645"/>
      <c r="BG266" s="1645"/>
      <c r="BH266" s="587"/>
      <c r="BI266" s="1645"/>
      <c r="BJ266" s="587"/>
      <c r="BK266" s="1645"/>
      <c r="BL266" s="1645"/>
      <c r="BM266" s="587"/>
      <c r="BN266" s="587"/>
      <c r="BO266" s="1645"/>
      <c r="BP266" s="587"/>
      <c r="BQ266" s="857"/>
      <c r="BR266" s="451"/>
      <c r="BS266" s="451"/>
      <c r="BT266" s="451"/>
      <c r="BU266" s="451"/>
      <c r="BV266" s="451"/>
      <c r="BW266" s="451"/>
      <c r="BX266" s="859"/>
      <c r="BY266" s="451"/>
      <c r="BZ266" s="451"/>
      <c r="CA266" s="451"/>
      <c r="CB266" s="859"/>
      <c r="CC266" s="859"/>
      <c r="CD266" s="859"/>
      <c r="CE266" s="859"/>
      <c r="CF266" s="861"/>
      <c r="CG266" s="460"/>
      <c r="CH266" s="460"/>
      <c r="CI266" s="460"/>
      <c r="CJ266" s="460"/>
      <c r="CK266" s="460"/>
      <c r="CL266" s="460"/>
      <c r="CM266" s="460"/>
      <c r="CN266" s="460"/>
      <c r="CO266" s="460"/>
      <c r="CP266" s="1800"/>
      <c r="CQ266" s="863"/>
      <c r="CR266" s="863"/>
      <c r="CS266" s="863"/>
      <c r="CT266" s="863"/>
      <c r="CU266" s="62"/>
      <c r="CV266" s="470"/>
      <c r="CW266" s="470"/>
      <c r="CX266" s="470"/>
      <c r="CY266" s="470"/>
      <c r="CZ266" s="470"/>
      <c r="DA266" s="470"/>
      <c r="DB266" s="470"/>
      <c r="DC266" s="470"/>
      <c r="DD266" s="864"/>
      <c r="DE266" s="864"/>
      <c r="DF266" s="864"/>
      <c r="DG266" s="864"/>
      <c r="DH266" s="864"/>
      <c r="DI266" s="709"/>
      <c r="DJ266" s="866"/>
      <c r="DK266" s="866"/>
      <c r="DL266" s="709"/>
      <c r="DM266" s="709"/>
      <c r="DN266" s="709"/>
      <c r="DO266" s="866"/>
      <c r="DP266" s="866"/>
      <c r="DQ266" s="866"/>
      <c r="DR266" s="709"/>
      <c r="DS266" s="709"/>
      <c r="DT266" s="866"/>
      <c r="DU266" s="709"/>
      <c r="DV266" s="866"/>
      <c r="DW266" s="866"/>
      <c r="DX266" s="866"/>
      <c r="DY266" s="866"/>
      <c r="DZ266" s="866"/>
      <c r="EA266" s="709"/>
      <c r="EB266" s="866"/>
      <c r="EC266" s="866"/>
      <c r="ED266" s="974"/>
    </row>
    <row r="267">
      <c r="A267" s="1718"/>
      <c r="B267" s="229" t="s">
        <v>155</v>
      </c>
      <c r="C267" s="230" t="s">
        <v>155</v>
      </c>
      <c r="D267" s="231" t="s">
        <v>155</v>
      </c>
      <c r="E267" s="232" t="s">
        <v>155</v>
      </c>
      <c r="F267" s="233" t="s">
        <v>155</v>
      </c>
      <c r="G267" s="229" t="s">
        <v>155</v>
      </c>
      <c r="H267" s="333"/>
      <c r="I267" s="274"/>
      <c r="J267" s="333"/>
      <c r="K267" s="333"/>
      <c r="L267" s="333"/>
      <c r="M267" s="333"/>
      <c r="N267" s="333"/>
      <c r="O267" s="333"/>
      <c r="P267" s="333"/>
      <c r="Q267" s="304"/>
      <c r="R267" s="304"/>
      <c r="S267" s="304"/>
      <c r="T267" s="304"/>
      <c r="U267" s="304"/>
      <c r="V267" s="304"/>
      <c r="W267" s="62"/>
      <c r="X267" s="333"/>
      <c r="Y267" s="333"/>
      <c r="Z267" s="333"/>
      <c r="AA267" s="333"/>
      <c r="AB267" s="908"/>
      <c r="AC267" s="333"/>
      <c r="AD267" s="333"/>
      <c r="AE267" s="304"/>
      <c r="AF267" s="333"/>
      <c r="AG267" s="333"/>
      <c r="AH267" s="304"/>
      <c r="AI267" s="304"/>
      <c r="AJ267" s="333"/>
      <c r="AK267" s="304"/>
      <c r="AL267" s="61"/>
      <c r="AM267" s="333"/>
      <c r="AN267" s="333"/>
      <c r="AO267" s="304"/>
      <c r="AP267" s="304"/>
      <c r="AQ267" s="273"/>
      <c r="AR267" s="273"/>
      <c r="AS267" s="304"/>
      <c r="AT267" s="304"/>
      <c r="AU267" s="333"/>
      <c r="AV267" s="333"/>
      <c r="AW267" s="333"/>
      <c r="AX267" s="304"/>
      <c r="AY267" s="304"/>
      <c r="AZ267" s="304"/>
      <c r="BA267" s="304"/>
      <c r="BB267" s="333"/>
      <c r="BC267" s="333"/>
      <c r="BD267" s="333"/>
      <c r="BE267" s="333"/>
      <c r="BF267" s="333"/>
      <c r="BG267" s="333"/>
      <c r="BH267" s="304"/>
      <c r="BI267" s="333"/>
      <c r="BJ267" s="304"/>
      <c r="BK267" s="333"/>
      <c r="BL267" s="333"/>
      <c r="BM267" s="304"/>
      <c r="BN267" s="304"/>
      <c r="BO267" s="333"/>
      <c r="BP267" s="304"/>
      <c r="BQ267" s="841"/>
      <c r="BR267" s="333"/>
      <c r="BS267" s="333"/>
      <c r="BT267" s="333"/>
      <c r="BU267" s="333"/>
      <c r="BV267" s="333"/>
      <c r="BW267" s="333"/>
      <c r="BX267" s="304"/>
      <c r="BY267" s="333"/>
      <c r="BZ267" s="333"/>
      <c r="CA267" s="333"/>
      <c r="CB267" s="304"/>
      <c r="CC267" s="304"/>
      <c r="CD267" s="304"/>
      <c r="CE267" s="304"/>
      <c r="CF267" s="841"/>
      <c r="CG267" s="333"/>
      <c r="CH267" s="333"/>
      <c r="CI267" s="333"/>
      <c r="CJ267" s="333"/>
      <c r="CK267" s="333"/>
      <c r="CL267" s="333"/>
      <c r="CM267" s="333"/>
      <c r="CN267" s="333"/>
      <c r="CO267" s="333"/>
      <c r="CP267" s="768"/>
      <c r="CQ267" s="304"/>
      <c r="CR267" s="304"/>
      <c r="CS267" s="304"/>
      <c r="CT267" s="304"/>
      <c r="CU267" s="62"/>
      <c r="CV267" s="333"/>
      <c r="CW267" s="333"/>
      <c r="CX267" s="333"/>
      <c r="CY267" s="333"/>
      <c r="CZ267" s="333"/>
      <c r="DA267" s="333"/>
      <c r="DB267" s="333"/>
      <c r="DC267" s="333"/>
      <c r="DD267" s="304"/>
      <c r="DE267" s="304"/>
      <c r="DF267" s="304"/>
      <c r="DG267" s="304"/>
      <c r="DH267" s="304"/>
      <c r="DI267" s="333"/>
      <c r="DJ267" s="304"/>
      <c r="DK267" s="304"/>
      <c r="DL267" s="333"/>
      <c r="DM267" s="333"/>
      <c r="DN267" s="333"/>
      <c r="DO267" s="304"/>
      <c r="DP267" s="304"/>
      <c r="DQ267" s="304"/>
      <c r="DR267" s="333"/>
      <c r="DS267" s="333"/>
      <c r="DT267" s="304"/>
      <c r="DU267" s="333"/>
      <c r="DV267" s="304"/>
      <c r="DW267" s="304"/>
      <c r="DX267" s="304"/>
      <c r="DY267" s="304"/>
      <c r="DZ267" s="304"/>
      <c r="EA267" s="333"/>
      <c r="EB267" s="304"/>
      <c r="EC267" s="304"/>
      <c r="ED267" s="885"/>
    </row>
    <row r="268">
      <c r="A268" s="1798"/>
      <c r="B268" s="381" t="s">
        <v>155</v>
      </c>
      <c r="C268" s="384" t="s">
        <v>155</v>
      </c>
      <c r="D268" s="386" t="s">
        <v>155</v>
      </c>
      <c r="E268" s="389" t="s">
        <v>155</v>
      </c>
      <c r="F268" s="390" t="s">
        <v>155</v>
      </c>
      <c r="G268" s="381" t="s">
        <v>155</v>
      </c>
      <c r="H268" s="1711"/>
      <c r="I268" s="1799"/>
      <c r="J268" s="1711"/>
      <c r="K268" s="1711"/>
      <c r="L268" s="1711"/>
      <c r="M268" s="1711"/>
      <c r="N268" s="1711"/>
      <c r="O268" s="1711"/>
      <c r="P268" s="1711"/>
      <c r="Q268" s="849"/>
      <c r="R268" s="849"/>
      <c r="S268" s="849"/>
      <c r="T268" s="849"/>
      <c r="U268" s="849"/>
      <c r="V268" s="849"/>
      <c r="W268" s="62"/>
      <c r="X268" s="421"/>
      <c r="Y268" s="421"/>
      <c r="Z268" s="421"/>
      <c r="AA268" s="421"/>
      <c r="AB268" s="1007"/>
      <c r="AC268" s="421"/>
      <c r="AD268" s="421"/>
      <c r="AE268" s="852"/>
      <c r="AF268" s="421"/>
      <c r="AG268" s="421"/>
      <c r="AH268" s="852"/>
      <c r="AI268" s="852"/>
      <c r="AJ268" s="421"/>
      <c r="AK268" s="852"/>
      <c r="AL268" s="61"/>
      <c r="AM268" s="435"/>
      <c r="AN268" s="435"/>
      <c r="AO268" s="855"/>
      <c r="AP268" s="855"/>
      <c r="AQ268" s="571"/>
      <c r="AR268" s="571"/>
      <c r="AS268" s="855"/>
      <c r="AT268" s="855"/>
      <c r="AU268" s="435"/>
      <c r="AV268" s="435"/>
      <c r="AW268" s="435"/>
      <c r="AX268" s="855"/>
      <c r="AY268" s="855"/>
      <c r="AZ268" s="855"/>
      <c r="BA268" s="855"/>
      <c r="BB268" s="1645"/>
      <c r="BC268" s="1645"/>
      <c r="BD268" s="1645"/>
      <c r="BE268" s="1645"/>
      <c r="BF268" s="1645"/>
      <c r="BG268" s="1645"/>
      <c r="BH268" s="587"/>
      <c r="BI268" s="1645"/>
      <c r="BJ268" s="587"/>
      <c r="BK268" s="1645"/>
      <c r="BL268" s="1645"/>
      <c r="BM268" s="587"/>
      <c r="BN268" s="587"/>
      <c r="BO268" s="1645"/>
      <c r="BP268" s="587"/>
      <c r="BQ268" s="857"/>
      <c r="BR268" s="451"/>
      <c r="BS268" s="451"/>
      <c r="BT268" s="451"/>
      <c r="BU268" s="451"/>
      <c r="BV268" s="451"/>
      <c r="BW268" s="451"/>
      <c r="BX268" s="859"/>
      <c r="BY268" s="451"/>
      <c r="BZ268" s="451"/>
      <c r="CA268" s="451"/>
      <c r="CB268" s="859"/>
      <c r="CC268" s="859"/>
      <c r="CD268" s="859"/>
      <c r="CE268" s="859"/>
      <c r="CF268" s="861"/>
      <c r="CG268" s="460"/>
      <c r="CH268" s="460"/>
      <c r="CI268" s="460"/>
      <c r="CJ268" s="460"/>
      <c r="CK268" s="460"/>
      <c r="CL268" s="460"/>
      <c r="CM268" s="460"/>
      <c r="CN268" s="460"/>
      <c r="CO268" s="460"/>
      <c r="CP268" s="1800"/>
      <c r="CQ268" s="863"/>
      <c r="CR268" s="863"/>
      <c r="CS268" s="863"/>
      <c r="CT268" s="863"/>
      <c r="CU268" s="62"/>
      <c r="CV268" s="470"/>
      <c r="CW268" s="470"/>
      <c r="CX268" s="470"/>
      <c r="CY268" s="470"/>
      <c r="CZ268" s="470"/>
      <c r="DA268" s="470"/>
      <c r="DB268" s="470"/>
      <c r="DC268" s="470"/>
      <c r="DD268" s="864"/>
      <c r="DE268" s="864"/>
      <c r="DF268" s="864"/>
      <c r="DG268" s="864"/>
      <c r="DH268" s="864"/>
      <c r="DI268" s="709"/>
      <c r="DJ268" s="866"/>
      <c r="DK268" s="866"/>
      <c r="DL268" s="709"/>
      <c r="DM268" s="709"/>
      <c r="DN268" s="709"/>
      <c r="DO268" s="866"/>
      <c r="DP268" s="866"/>
      <c r="DQ268" s="866"/>
      <c r="DR268" s="709"/>
      <c r="DS268" s="709"/>
      <c r="DT268" s="866"/>
      <c r="DU268" s="709"/>
      <c r="DV268" s="866"/>
      <c r="DW268" s="866"/>
      <c r="DX268" s="866"/>
      <c r="DY268" s="866"/>
      <c r="DZ268" s="866"/>
      <c r="EA268" s="709"/>
      <c r="EB268" s="866"/>
      <c r="EC268" s="866"/>
      <c r="ED268" s="974"/>
    </row>
    <row r="269">
      <c r="A269" s="1718"/>
      <c r="B269" s="229" t="s">
        <v>155</v>
      </c>
      <c r="C269" s="230" t="s">
        <v>155</v>
      </c>
      <c r="D269" s="231" t="s">
        <v>155</v>
      </c>
      <c r="E269" s="232" t="s">
        <v>155</v>
      </c>
      <c r="F269" s="233" t="s">
        <v>155</v>
      </c>
      <c r="G269" s="229" t="s">
        <v>155</v>
      </c>
      <c r="H269" s="333"/>
      <c r="I269" s="274"/>
      <c r="J269" s="333"/>
      <c r="K269" s="333"/>
      <c r="L269" s="333"/>
      <c r="M269" s="333"/>
      <c r="N269" s="333"/>
      <c r="O269" s="333"/>
      <c r="P269" s="333"/>
      <c r="Q269" s="304"/>
      <c r="R269" s="304"/>
      <c r="S269" s="304"/>
      <c r="T269" s="304"/>
      <c r="U269" s="304"/>
      <c r="V269" s="304"/>
      <c r="W269" s="62"/>
      <c r="X269" s="333"/>
      <c r="Y269" s="333"/>
      <c r="Z269" s="333"/>
      <c r="AA269" s="333"/>
      <c r="AB269" s="908"/>
      <c r="AC269" s="333"/>
      <c r="AD269" s="333"/>
      <c r="AE269" s="304"/>
      <c r="AF269" s="333"/>
      <c r="AG269" s="333"/>
      <c r="AH269" s="304"/>
      <c r="AI269" s="304"/>
      <c r="AJ269" s="333"/>
      <c r="AK269" s="304"/>
      <c r="AL269" s="61"/>
      <c r="AM269" s="333"/>
      <c r="AN269" s="333"/>
      <c r="AO269" s="304"/>
      <c r="AP269" s="304"/>
      <c r="AQ269" s="273"/>
      <c r="AR269" s="273"/>
      <c r="AS269" s="304"/>
      <c r="AT269" s="304"/>
      <c r="AU269" s="333"/>
      <c r="AV269" s="333"/>
      <c r="AW269" s="333"/>
      <c r="AX269" s="304"/>
      <c r="AY269" s="304"/>
      <c r="AZ269" s="304"/>
      <c r="BA269" s="304"/>
      <c r="BB269" s="333"/>
      <c r="BC269" s="333"/>
      <c r="BD269" s="333"/>
      <c r="BE269" s="333"/>
      <c r="BF269" s="333"/>
      <c r="BG269" s="333"/>
      <c r="BH269" s="304"/>
      <c r="BI269" s="333"/>
      <c r="BJ269" s="304"/>
      <c r="BK269" s="333"/>
      <c r="BL269" s="333"/>
      <c r="BM269" s="304"/>
      <c r="BN269" s="304"/>
      <c r="BO269" s="333"/>
      <c r="BP269" s="304"/>
      <c r="BQ269" s="841"/>
      <c r="BR269" s="333"/>
      <c r="BS269" s="333"/>
      <c r="BT269" s="333"/>
      <c r="BU269" s="333"/>
      <c r="BV269" s="333"/>
      <c r="BW269" s="333"/>
      <c r="BX269" s="304"/>
      <c r="BY269" s="333"/>
      <c r="BZ269" s="333"/>
      <c r="CA269" s="333"/>
      <c r="CB269" s="304"/>
      <c r="CC269" s="304"/>
      <c r="CD269" s="304"/>
      <c r="CE269" s="304"/>
      <c r="CF269" s="841"/>
      <c r="CG269" s="333"/>
      <c r="CH269" s="333"/>
      <c r="CI269" s="333"/>
      <c r="CJ269" s="333"/>
      <c r="CK269" s="333"/>
      <c r="CL269" s="333"/>
      <c r="CM269" s="333"/>
      <c r="CN269" s="333"/>
      <c r="CO269" s="333"/>
      <c r="CP269" s="768"/>
      <c r="CQ269" s="304"/>
      <c r="CR269" s="304"/>
      <c r="CS269" s="304"/>
      <c r="CT269" s="304"/>
      <c r="CU269" s="62"/>
      <c r="CV269" s="333"/>
      <c r="CW269" s="333"/>
      <c r="CX269" s="333"/>
      <c r="CY269" s="333"/>
      <c r="CZ269" s="333"/>
      <c r="DA269" s="333"/>
      <c r="DB269" s="333"/>
      <c r="DC269" s="333"/>
      <c r="DD269" s="304"/>
      <c r="DE269" s="304"/>
      <c r="DF269" s="304"/>
      <c r="DG269" s="304"/>
      <c r="DH269" s="304"/>
      <c r="DI269" s="333"/>
      <c r="DJ269" s="304"/>
      <c r="DK269" s="304"/>
      <c r="DL269" s="333"/>
      <c r="DM269" s="333"/>
      <c r="DN269" s="333"/>
      <c r="DO269" s="304"/>
      <c r="DP269" s="304"/>
      <c r="DQ269" s="304"/>
      <c r="DR269" s="333"/>
      <c r="DS269" s="333"/>
      <c r="DT269" s="304"/>
      <c r="DU269" s="333"/>
      <c r="DV269" s="304"/>
      <c r="DW269" s="304"/>
      <c r="DX269" s="304"/>
      <c r="DY269" s="304"/>
      <c r="DZ269" s="304"/>
      <c r="EA269" s="333"/>
      <c r="EB269" s="304"/>
      <c r="EC269" s="304"/>
      <c r="ED269" s="885"/>
    </row>
    <row r="270">
      <c r="A270" s="1798"/>
      <c r="B270" s="381" t="s">
        <v>155</v>
      </c>
      <c r="C270" s="384" t="s">
        <v>155</v>
      </c>
      <c r="D270" s="386" t="s">
        <v>155</v>
      </c>
      <c r="E270" s="389" t="s">
        <v>155</v>
      </c>
      <c r="F270" s="390" t="s">
        <v>155</v>
      </c>
      <c r="G270" s="381" t="s">
        <v>155</v>
      </c>
      <c r="H270" s="1711"/>
      <c r="I270" s="1799"/>
      <c r="J270" s="1711"/>
      <c r="K270" s="1711"/>
      <c r="L270" s="1711"/>
      <c r="M270" s="1711"/>
      <c r="N270" s="1711"/>
      <c r="O270" s="1711"/>
      <c r="P270" s="1711"/>
      <c r="Q270" s="849"/>
      <c r="R270" s="849"/>
      <c r="S270" s="849"/>
      <c r="T270" s="849"/>
      <c r="U270" s="849"/>
      <c r="V270" s="849"/>
      <c r="W270" s="62"/>
      <c r="X270" s="421"/>
      <c r="Y270" s="421"/>
      <c r="Z270" s="421"/>
      <c r="AA270" s="421"/>
      <c r="AB270" s="1007"/>
      <c r="AC270" s="421"/>
      <c r="AD270" s="421"/>
      <c r="AE270" s="852"/>
      <c r="AF270" s="421"/>
      <c r="AG270" s="421"/>
      <c r="AH270" s="852"/>
      <c r="AI270" s="852"/>
      <c r="AJ270" s="421"/>
      <c r="AK270" s="852"/>
      <c r="AL270" s="61"/>
      <c r="AM270" s="435"/>
      <c r="AN270" s="435"/>
      <c r="AO270" s="855"/>
      <c r="AP270" s="855"/>
      <c r="AQ270" s="571"/>
      <c r="AR270" s="571"/>
      <c r="AS270" s="855"/>
      <c r="AT270" s="855"/>
      <c r="AU270" s="435"/>
      <c r="AV270" s="435"/>
      <c r="AW270" s="435"/>
      <c r="AX270" s="855"/>
      <c r="AY270" s="855"/>
      <c r="AZ270" s="855"/>
      <c r="BA270" s="855"/>
      <c r="BB270" s="1645"/>
      <c r="BC270" s="1645"/>
      <c r="BD270" s="1645"/>
      <c r="BE270" s="1645"/>
      <c r="BF270" s="1645"/>
      <c r="BG270" s="1645"/>
      <c r="BH270" s="587"/>
      <c r="BI270" s="1645"/>
      <c r="BJ270" s="587"/>
      <c r="BK270" s="1645"/>
      <c r="BL270" s="1645"/>
      <c r="BM270" s="587"/>
      <c r="BN270" s="587"/>
      <c r="BO270" s="1645"/>
      <c r="BP270" s="587"/>
      <c r="BQ270" s="857"/>
      <c r="BR270" s="451"/>
      <c r="BS270" s="451"/>
      <c r="BT270" s="451"/>
      <c r="BU270" s="451"/>
      <c r="BV270" s="451"/>
      <c r="BW270" s="451"/>
      <c r="BX270" s="859"/>
      <c r="BY270" s="451"/>
      <c r="BZ270" s="451"/>
      <c r="CA270" s="451"/>
      <c r="CB270" s="859"/>
      <c r="CC270" s="859"/>
      <c r="CD270" s="859"/>
      <c r="CE270" s="859"/>
      <c r="CF270" s="861"/>
      <c r="CG270" s="460"/>
      <c r="CH270" s="460"/>
      <c r="CI270" s="460"/>
      <c r="CJ270" s="460"/>
      <c r="CK270" s="460"/>
      <c r="CL270" s="460"/>
      <c r="CM270" s="460"/>
      <c r="CN270" s="460"/>
      <c r="CO270" s="460"/>
      <c r="CP270" s="1800"/>
      <c r="CQ270" s="863"/>
      <c r="CR270" s="863"/>
      <c r="CS270" s="863"/>
      <c r="CT270" s="863"/>
      <c r="CU270" s="62"/>
      <c r="CV270" s="470"/>
      <c r="CW270" s="470"/>
      <c r="CX270" s="470"/>
      <c r="CY270" s="470"/>
      <c r="CZ270" s="470"/>
      <c r="DA270" s="470"/>
      <c r="DB270" s="470"/>
      <c r="DC270" s="470"/>
      <c r="DD270" s="864"/>
      <c r="DE270" s="864"/>
      <c r="DF270" s="864"/>
      <c r="DG270" s="864"/>
      <c r="DH270" s="864"/>
      <c r="DI270" s="709"/>
      <c r="DJ270" s="866"/>
      <c r="DK270" s="866"/>
      <c r="DL270" s="709"/>
      <c r="DM270" s="709"/>
      <c r="DN270" s="709"/>
      <c r="DO270" s="866"/>
      <c r="DP270" s="866"/>
      <c r="DQ270" s="866"/>
      <c r="DR270" s="709"/>
      <c r="DS270" s="709"/>
      <c r="DT270" s="866"/>
      <c r="DU270" s="709"/>
      <c r="DV270" s="866"/>
      <c r="DW270" s="866"/>
      <c r="DX270" s="866"/>
      <c r="DY270" s="866"/>
      <c r="DZ270" s="866"/>
      <c r="EA270" s="709"/>
      <c r="EB270" s="866"/>
      <c r="EC270" s="866"/>
      <c r="ED270" s="974"/>
    </row>
    <row r="271">
      <c r="A271" s="1718"/>
      <c r="B271" s="229" t="s">
        <v>155</v>
      </c>
      <c r="C271" s="230" t="s">
        <v>155</v>
      </c>
      <c r="D271" s="231" t="s">
        <v>155</v>
      </c>
      <c r="E271" s="232" t="s">
        <v>155</v>
      </c>
      <c r="F271" s="233" t="s">
        <v>155</v>
      </c>
      <c r="G271" s="229" t="s">
        <v>155</v>
      </c>
      <c r="H271" s="333"/>
      <c r="I271" s="274"/>
      <c r="J271" s="333"/>
      <c r="K271" s="333"/>
      <c r="L271" s="333"/>
      <c r="M271" s="333"/>
      <c r="N271" s="333"/>
      <c r="O271" s="333"/>
      <c r="P271" s="333"/>
      <c r="Q271" s="304"/>
      <c r="R271" s="304"/>
      <c r="S271" s="304"/>
      <c r="T271" s="304"/>
      <c r="U271" s="304"/>
      <c r="V271" s="304"/>
      <c r="W271" s="62"/>
      <c r="X271" s="333"/>
      <c r="Y271" s="333"/>
      <c r="Z271" s="333"/>
      <c r="AA271" s="333"/>
      <c r="AB271" s="908"/>
      <c r="AC271" s="333"/>
      <c r="AD271" s="333"/>
      <c r="AE271" s="304"/>
      <c r="AF271" s="333"/>
      <c r="AG271" s="333"/>
      <c r="AH271" s="304"/>
      <c r="AI271" s="304"/>
      <c r="AJ271" s="333"/>
      <c r="AK271" s="304"/>
      <c r="AL271" s="61"/>
      <c r="AM271" s="333"/>
      <c r="AN271" s="333"/>
      <c r="AO271" s="304"/>
      <c r="AP271" s="304"/>
      <c r="AQ271" s="273"/>
      <c r="AR271" s="273"/>
      <c r="AS271" s="304"/>
      <c r="AT271" s="304"/>
      <c r="AU271" s="333"/>
      <c r="AV271" s="333"/>
      <c r="AW271" s="333"/>
      <c r="AX271" s="304"/>
      <c r="AY271" s="304"/>
      <c r="AZ271" s="304"/>
      <c r="BA271" s="304"/>
      <c r="BB271" s="333"/>
      <c r="BC271" s="333"/>
      <c r="BD271" s="333"/>
      <c r="BE271" s="333"/>
      <c r="BF271" s="333"/>
      <c r="BG271" s="333"/>
      <c r="BH271" s="304"/>
      <c r="BI271" s="333"/>
      <c r="BJ271" s="304"/>
      <c r="BK271" s="333"/>
      <c r="BL271" s="333"/>
      <c r="BM271" s="304"/>
      <c r="BN271" s="304"/>
      <c r="BO271" s="333"/>
      <c r="BP271" s="304"/>
      <c r="BQ271" s="841"/>
      <c r="BR271" s="333"/>
      <c r="BS271" s="333"/>
      <c r="BT271" s="333"/>
      <c r="BU271" s="333"/>
      <c r="BV271" s="333"/>
      <c r="BW271" s="333"/>
      <c r="BX271" s="304"/>
      <c r="BY271" s="333"/>
      <c r="BZ271" s="333"/>
      <c r="CA271" s="333"/>
      <c r="CB271" s="304"/>
      <c r="CC271" s="304"/>
      <c r="CD271" s="304"/>
      <c r="CE271" s="304"/>
      <c r="CF271" s="841"/>
      <c r="CG271" s="333"/>
      <c r="CH271" s="333"/>
      <c r="CI271" s="333"/>
      <c r="CJ271" s="333"/>
      <c r="CK271" s="333"/>
      <c r="CL271" s="333"/>
      <c r="CM271" s="333"/>
      <c r="CN271" s="333"/>
      <c r="CO271" s="333"/>
      <c r="CP271" s="768"/>
      <c r="CQ271" s="304"/>
      <c r="CR271" s="304"/>
      <c r="CS271" s="304"/>
      <c r="CT271" s="304"/>
      <c r="CU271" s="62"/>
      <c r="CV271" s="333"/>
      <c r="CW271" s="333"/>
      <c r="CX271" s="333"/>
      <c r="CY271" s="333"/>
      <c r="CZ271" s="333"/>
      <c r="DA271" s="333"/>
      <c r="DB271" s="333"/>
      <c r="DC271" s="333"/>
      <c r="DD271" s="304"/>
      <c r="DE271" s="304"/>
      <c r="DF271" s="304"/>
      <c r="DG271" s="304"/>
      <c r="DH271" s="304"/>
      <c r="DI271" s="333"/>
      <c r="DJ271" s="304"/>
      <c r="DK271" s="304"/>
      <c r="DL271" s="333"/>
      <c r="DM271" s="333"/>
      <c r="DN271" s="333"/>
      <c r="DO271" s="304"/>
      <c r="DP271" s="304"/>
      <c r="DQ271" s="304"/>
      <c r="DR271" s="333"/>
      <c r="DS271" s="333"/>
      <c r="DT271" s="304"/>
      <c r="DU271" s="333"/>
      <c r="DV271" s="304"/>
      <c r="DW271" s="304"/>
      <c r="DX271" s="304"/>
      <c r="DY271" s="304"/>
      <c r="DZ271" s="304"/>
      <c r="EA271" s="333"/>
      <c r="EB271" s="304"/>
      <c r="EC271" s="304"/>
      <c r="ED271" s="885"/>
    </row>
    <row r="272">
      <c r="A272" s="1798"/>
      <c r="B272" s="381" t="s">
        <v>155</v>
      </c>
      <c r="C272" s="384" t="s">
        <v>155</v>
      </c>
      <c r="D272" s="386" t="s">
        <v>155</v>
      </c>
      <c r="E272" s="389" t="s">
        <v>155</v>
      </c>
      <c r="F272" s="390" t="s">
        <v>155</v>
      </c>
      <c r="G272" s="381" t="s">
        <v>155</v>
      </c>
      <c r="H272" s="1711"/>
      <c r="I272" s="1799"/>
      <c r="J272" s="1711"/>
      <c r="K272" s="1711"/>
      <c r="L272" s="1711"/>
      <c r="M272" s="1711"/>
      <c r="N272" s="1711"/>
      <c r="O272" s="1711"/>
      <c r="P272" s="1711"/>
      <c r="Q272" s="849"/>
      <c r="R272" s="849"/>
      <c r="S272" s="849"/>
      <c r="T272" s="849"/>
      <c r="U272" s="849"/>
      <c r="V272" s="849"/>
      <c r="W272" s="62"/>
      <c r="X272" s="421"/>
      <c r="Y272" s="421"/>
      <c r="Z272" s="421"/>
      <c r="AA272" s="421"/>
      <c r="AB272" s="1007"/>
      <c r="AC272" s="421"/>
      <c r="AD272" s="421"/>
      <c r="AE272" s="852"/>
      <c r="AF272" s="421"/>
      <c r="AG272" s="421"/>
      <c r="AH272" s="852"/>
      <c r="AI272" s="852"/>
      <c r="AJ272" s="421"/>
      <c r="AK272" s="852"/>
      <c r="AL272" s="61"/>
      <c r="AM272" s="435"/>
      <c r="AN272" s="435"/>
      <c r="AO272" s="855"/>
      <c r="AP272" s="855"/>
      <c r="AQ272" s="571"/>
      <c r="AR272" s="571"/>
      <c r="AS272" s="855"/>
      <c r="AT272" s="855"/>
      <c r="AU272" s="435"/>
      <c r="AV272" s="435"/>
      <c r="AW272" s="435"/>
      <c r="AX272" s="855"/>
      <c r="AY272" s="855"/>
      <c r="AZ272" s="855"/>
      <c r="BA272" s="855"/>
      <c r="BB272" s="1645"/>
      <c r="BC272" s="1645"/>
      <c r="BD272" s="1645"/>
      <c r="BE272" s="1645"/>
      <c r="BF272" s="1645"/>
      <c r="BG272" s="1645"/>
      <c r="BH272" s="587"/>
      <c r="BI272" s="1645"/>
      <c r="BJ272" s="587"/>
      <c r="BK272" s="1645"/>
      <c r="BL272" s="1645"/>
      <c r="BM272" s="587"/>
      <c r="BN272" s="587"/>
      <c r="BO272" s="1645"/>
      <c r="BP272" s="587"/>
      <c r="BQ272" s="857"/>
      <c r="BR272" s="451"/>
      <c r="BS272" s="451"/>
      <c r="BT272" s="451"/>
      <c r="BU272" s="451"/>
      <c r="BV272" s="451"/>
      <c r="BW272" s="451"/>
      <c r="BX272" s="859"/>
      <c r="BY272" s="451"/>
      <c r="BZ272" s="451"/>
      <c r="CA272" s="451"/>
      <c r="CB272" s="859"/>
      <c r="CC272" s="859"/>
      <c r="CD272" s="859"/>
      <c r="CE272" s="859"/>
      <c r="CF272" s="861"/>
      <c r="CG272" s="460"/>
      <c r="CH272" s="460"/>
      <c r="CI272" s="460"/>
      <c r="CJ272" s="460"/>
      <c r="CK272" s="460"/>
      <c r="CL272" s="460"/>
      <c r="CM272" s="460"/>
      <c r="CN272" s="460"/>
      <c r="CO272" s="460"/>
      <c r="CP272" s="1800"/>
      <c r="CQ272" s="863"/>
      <c r="CR272" s="863"/>
      <c r="CS272" s="863"/>
      <c r="CT272" s="863"/>
      <c r="CU272" s="62"/>
      <c r="CV272" s="470"/>
      <c r="CW272" s="470"/>
      <c r="CX272" s="470"/>
      <c r="CY272" s="470"/>
      <c r="CZ272" s="470"/>
      <c r="DA272" s="470"/>
      <c r="DB272" s="470"/>
      <c r="DC272" s="470"/>
      <c r="DD272" s="864"/>
      <c r="DE272" s="864"/>
      <c r="DF272" s="864"/>
      <c r="DG272" s="864"/>
      <c r="DH272" s="864"/>
      <c r="DI272" s="709"/>
      <c r="DJ272" s="866"/>
      <c r="DK272" s="866"/>
      <c r="DL272" s="709"/>
      <c r="DM272" s="709"/>
      <c r="DN272" s="709"/>
      <c r="DO272" s="866"/>
      <c r="DP272" s="866"/>
      <c r="DQ272" s="866"/>
      <c r="DR272" s="709"/>
      <c r="DS272" s="709"/>
      <c r="DT272" s="866"/>
      <c r="DU272" s="709"/>
      <c r="DV272" s="866"/>
      <c r="DW272" s="866"/>
      <c r="DX272" s="866"/>
      <c r="DY272" s="866"/>
      <c r="DZ272" s="866"/>
      <c r="EA272" s="709"/>
      <c r="EB272" s="866"/>
      <c r="EC272" s="866"/>
      <c r="ED272" s="974"/>
    </row>
    <row r="273">
      <c r="A273" s="1718"/>
      <c r="B273" s="229" t="s">
        <v>155</v>
      </c>
      <c r="C273" s="230" t="s">
        <v>155</v>
      </c>
      <c r="D273" s="231" t="s">
        <v>155</v>
      </c>
      <c r="E273" s="232" t="s">
        <v>155</v>
      </c>
      <c r="F273" s="233" t="s">
        <v>155</v>
      </c>
      <c r="G273" s="229" t="s">
        <v>155</v>
      </c>
      <c r="H273" s="333"/>
      <c r="I273" s="274"/>
      <c r="J273" s="333"/>
      <c r="K273" s="333"/>
      <c r="L273" s="333"/>
      <c r="M273" s="333"/>
      <c r="N273" s="333"/>
      <c r="O273" s="333"/>
      <c r="P273" s="333"/>
      <c r="Q273" s="304"/>
      <c r="R273" s="304"/>
      <c r="S273" s="304"/>
      <c r="T273" s="304"/>
      <c r="U273" s="304"/>
      <c r="V273" s="304"/>
      <c r="W273" s="62"/>
      <c r="X273" s="333"/>
      <c r="Y273" s="333"/>
      <c r="Z273" s="333"/>
      <c r="AA273" s="333"/>
      <c r="AB273" s="908"/>
      <c r="AC273" s="333"/>
      <c r="AD273" s="333"/>
      <c r="AE273" s="304"/>
      <c r="AF273" s="333"/>
      <c r="AG273" s="333"/>
      <c r="AH273" s="304"/>
      <c r="AI273" s="304"/>
      <c r="AJ273" s="333"/>
      <c r="AK273" s="304"/>
      <c r="AL273" s="61"/>
      <c r="AM273" s="333"/>
      <c r="AN273" s="333"/>
      <c r="AO273" s="304"/>
      <c r="AP273" s="304"/>
      <c r="AQ273" s="273"/>
      <c r="AR273" s="273"/>
      <c r="AS273" s="304"/>
      <c r="AT273" s="304"/>
      <c r="AU273" s="333"/>
      <c r="AV273" s="333"/>
      <c r="AW273" s="333"/>
      <c r="AX273" s="304"/>
      <c r="AY273" s="304"/>
      <c r="AZ273" s="304"/>
      <c r="BA273" s="304"/>
      <c r="BB273" s="333"/>
      <c r="BC273" s="333"/>
      <c r="BD273" s="333"/>
      <c r="BE273" s="333"/>
      <c r="BF273" s="333"/>
      <c r="BG273" s="333"/>
      <c r="BH273" s="304"/>
      <c r="BI273" s="333"/>
      <c r="BJ273" s="304"/>
      <c r="BK273" s="333"/>
      <c r="BL273" s="333"/>
      <c r="BM273" s="304"/>
      <c r="BN273" s="304"/>
      <c r="BO273" s="333"/>
      <c r="BP273" s="304"/>
      <c r="BQ273" s="841"/>
      <c r="BR273" s="333"/>
      <c r="BS273" s="333"/>
      <c r="BT273" s="333"/>
      <c r="BU273" s="333"/>
      <c r="BV273" s="333"/>
      <c r="BW273" s="333"/>
      <c r="BX273" s="304"/>
      <c r="BY273" s="333"/>
      <c r="BZ273" s="333"/>
      <c r="CA273" s="333"/>
      <c r="CB273" s="304"/>
      <c r="CC273" s="304"/>
      <c r="CD273" s="304"/>
      <c r="CE273" s="304"/>
      <c r="CF273" s="841"/>
      <c r="CG273" s="333"/>
      <c r="CH273" s="333"/>
      <c r="CI273" s="333"/>
      <c r="CJ273" s="333"/>
      <c r="CK273" s="333"/>
      <c r="CL273" s="333"/>
      <c r="CM273" s="333"/>
      <c r="CN273" s="333"/>
      <c r="CO273" s="333"/>
      <c r="CP273" s="768"/>
      <c r="CQ273" s="304"/>
      <c r="CR273" s="304"/>
      <c r="CS273" s="304"/>
      <c r="CT273" s="304"/>
      <c r="CU273" s="62"/>
      <c r="CV273" s="333"/>
      <c r="CW273" s="333"/>
      <c r="CX273" s="333"/>
      <c r="CY273" s="333"/>
      <c r="CZ273" s="333"/>
      <c r="DA273" s="333"/>
      <c r="DB273" s="333"/>
      <c r="DC273" s="333"/>
      <c r="DD273" s="304"/>
      <c r="DE273" s="304"/>
      <c r="DF273" s="304"/>
      <c r="DG273" s="304"/>
      <c r="DH273" s="304"/>
      <c r="DI273" s="333"/>
      <c r="DJ273" s="304"/>
      <c r="DK273" s="304"/>
      <c r="DL273" s="333"/>
      <c r="DM273" s="333"/>
      <c r="DN273" s="333"/>
      <c r="DO273" s="304"/>
      <c r="DP273" s="304"/>
      <c r="DQ273" s="304"/>
      <c r="DR273" s="333"/>
      <c r="DS273" s="333"/>
      <c r="DT273" s="304"/>
      <c r="DU273" s="333"/>
      <c r="DV273" s="304"/>
      <c r="DW273" s="304"/>
      <c r="DX273" s="304"/>
      <c r="DY273" s="304"/>
      <c r="DZ273" s="304"/>
      <c r="EA273" s="333"/>
      <c r="EB273" s="304"/>
      <c r="EC273" s="304"/>
      <c r="ED273" s="885"/>
    </row>
    <row r="274">
      <c r="A274" s="1798"/>
      <c r="B274" s="381" t="s">
        <v>155</v>
      </c>
      <c r="C274" s="384" t="s">
        <v>155</v>
      </c>
      <c r="D274" s="386" t="s">
        <v>155</v>
      </c>
      <c r="E274" s="389" t="s">
        <v>155</v>
      </c>
      <c r="F274" s="390" t="s">
        <v>155</v>
      </c>
      <c r="G274" s="381" t="s">
        <v>155</v>
      </c>
      <c r="H274" s="1711"/>
      <c r="I274" s="1799"/>
      <c r="J274" s="1711"/>
      <c r="K274" s="1711"/>
      <c r="L274" s="1711"/>
      <c r="M274" s="1711"/>
      <c r="N274" s="1711"/>
      <c r="O274" s="1711"/>
      <c r="P274" s="1711"/>
      <c r="Q274" s="849"/>
      <c r="R274" s="849"/>
      <c r="S274" s="849"/>
      <c r="T274" s="849"/>
      <c r="U274" s="849"/>
      <c r="V274" s="849"/>
      <c r="W274" s="62"/>
      <c r="X274" s="421"/>
      <c r="Y274" s="421"/>
      <c r="Z274" s="421"/>
      <c r="AA274" s="421"/>
      <c r="AB274" s="1007"/>
      <c r="AC274" s="421"/>
      <c r="AD274" s="421"/>
      <c r="AE274" s="852"/>
      <c r="AF274" s="421"/>
      <c r="AG274" s="421"/>
      <c r="AH274" s="852"/>
      <c r="AI274" s="852"/>
      <c r="AJ274" s="421"/>
      <c r="AK274" s="852"/>
      <c r="AL274" s="61"/>
      <c r="AM274" s="435"/>
      <c r="AN274" s="435"/>
      <c r="AO274" s="855"/>
      <c r="AP274" s="855"/>
      <c r="AQ274" s="571"/>
      <c r="AR274" s="571"/>
      <c r="AS274" s="855"/>
      <c r="AT274" s="855"/>
      <c r="AU274" s="435"/>
      <c r="AV274" s="435"/>
      <c r="AW274" s="435"/>
      <c r="AX274" s="855"/>
      <c r="AY274" s="855"/>
      <c r="AZ274" s="855"/>
      <c r="BA274" s="855"/>
      <c r="BB274" s="1645"/>
      <c r="BC274" s="1645"/>
      <c r="BD274" s="1645"/>
      <c r="BE274" s="1645"/>
      <c r="BF274" s="1645"/>
      <c r="BG274" s="1645"/>
      <c r="BH274" s="587"/>
      <c r="BI274" s="1645"/>
      <c r="BJ274" s="587"/>
      <c r="BK274" s="1645"/>
      <c r="BL274" s="1645"/>
      <c r="BM274" s="587"/>
      <c r="BN274" s="587"/>
      <c r="BO274" s="1645"/>
      <c r="BP274" s="587"/>
      <c r="BQ274" s="857"/>
      <c r="BR274" s="451"/>
      <c r="BS274" s="451"/>
      <c r="BT274" s="451"/>
      <c r="BU274" s="451"/>
      <c r="BV274" s="451"/>
      <c r="BW274" s="451"/>
      <c r="BX274" s="859"/>
      <c r="BY274" s="451"/>
      <c r="BZ274" s="451"/>
      <c r="CA274" s="451"/>
      <c r="CB274" s="859"/>
      <c r="CC274" s="859"/>
      <c r="CD274" s="859"/>
      <c r="CE274" s="859"/>
      <c r="CF274" s="861"/>
      <c r="CG274" s="460"/>
      <c r="CH274" s="460"/>
      <c r="CI274" s="460"/>
      <c r="CJ274" s="460"/>
      <c r="CK274" s="460"/>
      <c r="CL274" s="460"/>
      <c r="CM274" s="460"/>
      <c r="CN274" s="460"/>
      <c r="CO274" s="460"/>
      <c r="CP274" s="1800"/>
      <c r="CQ274" s="863"/>
      <c r="CR274" s="863"/>
      <c r="CS274" s="863"/>
      <c r="CT274" s="863"/>
      <c r="CU274" s="62"/>
      <c r="CV274" s="470"/>
      <c r="CW274" s="470"/>
      <c r="CX274" s="470"/>
      <c r="CY274" s="470"/>
      <c r="CZ274" s="470"/>
      <c r="DA274" s="470"/>
      <c r="DB274" s="470"/>
      <c r="DC274" s="470"/>
      <c r="DD274" s="864"/>
      <c r="DE274" s="864"/>
      <c r="DF274" s="864"/>
      <c r="DG274" s="864"/>
      <c r="DH274" s="864"/>
      <c r="DI274" s="709"/>
      <c r="DJ274" s="866"/>
      <c r="DK274" s="866"/>
      <c r="DL274" s="709"/>
      <c r="DM274" s="709"/>
      <c r="DN274" s="709"/>
      <c r="DO274" s="866"/>
      <c r="DP274" s="866"/>
      <c r="DQ274" s="866"/>
      <c r="DR274" s="709"/>
      <c r="DS274" s="709"/>
      <c r="DT274" s="866"/>
      <c r="DU274" s="709"/>
      <c r="DV274" s="866"/>
      <c r="DW274" s="866"/>
      <c r="DX274" s="866"/>
      <c r="DY274" s="866"/>
      <c r="DZ274" s="866"/>
      <c r="EA274" s="709"/>
      <c r="EB274" s="866"/>
      <c r="EC274" s="866"/>
      <c r="ED274" s="974"/>
    </row>
    <row r="275">
      <c r="A275" s="1718"/>
      <c r="B275" s="229" t="s">
        <v>155</v>
      </c>
      <c r="C275" s="230" t="s">
        <v>155</v>
      </c>
      <c r="D275" s="231" t="s">
        <v>155</v>
      </c>
      <c r="E275" s="232" t="s">
        <v>155</v>
      </c>
      <c r="F275" s="233" t="s">
        <v>155</v>
      </c>
      <c r="G275" s="229" t="s">
        <v>155</v>
      </c>
      <c r="H275" s="333"/>
      <c r="I275" s="274"/>
      <c r="J275" s="333"/>
      <c r="K275" s="333"/>
      <c r="L275" s="333"/>
      <c r="M275" s="333"/>
      <c r="N275" s="333"/>
      <c r="O275" s="333"/>
      <c r="P275" s="333"/>
      <c r="Q275" s="304"/>
      <c r="R275" s="304"/>
      <c r="S275" s="304"/>
      <c r="T275" s="304"/>
      <c r="U275" s="304"/>
      <c r="V275" s="304"/>
      <c r="W275" s="62"/>
      <c r="X275" s="333"/>
      <c r="Y275" s="333"/>
      <c r="Z275" s="333"/>
      <c r="AA275" s="333"/>
      <c r="AB275" s="908"/>
      <c r="AC275" s="333"/>
      <c r="AD275" s="333"/>
      <c r="AE275" s="304"/>
      <c r="AF275" s="333"/>
      <c r="AG275" s="333"/>
      <c r="AH275" s="304"/>
      <c r="AI275" s="304"/>
      <c r="AJ275" s="333"/>
      <c r="AK275" s="304"/>
      <c r="AL275" s="61"/>
      <c r="AM275" s="333"/>
      <c r="AN275" s="333"/>
      <c r="AO275" s="304"/>
      <c r="AP275" s="304"/>
      <c r="AQ275" s="273"/>
      <c r="AR275" s="273"/>
      <c r="AS275" s="304"/>
      <c r="AT275" s="304"/>
      <c r="AU275" s="333"/>
      <c r="AV275" s="333"/>
      <c r="AW275" s="333"/>
      <c r="AX275" s="304"/>
      <c r="AY275" s="304"/>
      <c r="AZ275" s="304"/>
      <c r="BA275" s="304"/>
      <c r="BB275" s="333"/>
      <c r="BC275" s="333"/>
      <c r="BD275" s="333"/>
      <c r="BE275" s="333"/>
      <c r="BF275" s="333"/>
      <c r="BG275" s="333"/>
      <c r="BH275" s="304"/>
      <c r="BI275" s="333"/>
      <c r="BJ275" s="304"/>
      <c r="BK275" s="333"/>
      <c r="BL275" s="333"/>
      <c r="BM275" s="304"/>
      <c r="BN275" s="304"/>
      <c r="BO275" s="333"/>
      <c r="BP275" s="304"/>
      <c r="BQ275" s="841"/>
      <c r="BR275" s="333"/>
      <c r="BS275" s="333"/>
      <c r="BT275" s="333"/>
      <c r="BU275" s="333"/>
      <c r="BV275" s="333"/>
      <c r="BW275" s="333"/>
      <c r="BX275" s="304"/>
      <c r="BY275" s="333"/>
      <c r="BZ275" s="333"/>
      <c r="CA275" s="333"/>
      <c r="CB275" s="304"/>
      <c r="CC275" s="304"/>
      <c r="CD275" s="304"/>
      <c r="CE275" s="304"/>
      <c r="CF275" s="841"/>
      <c r="CG275" s="333"/>
      <c r="CH275" s="333"/>
      <c r="CI275" s="333"/>
      <c r="CJ275" s="333"/>
      <c r="CK275" s="333"/>
      <c r="CL275" s="333"/>
      <c r="CM275" s="333"/>
      <c r="CN275" s="333"/>
      <c r="CO275" s="333"/>
      <c r="CP275" s="768"/>
      <c r="CQ275" s="304"/>
      <c r="CR275" s="304"/>
      <c r="CS275" s="304"/>
      <c r="CT275" s="304"/>
      <c r="CU275" s="62"/>
      <c r="CV275" s="333"/>
      <c r="CW275" s="333"/>
      <c r="CX275" s="333"/>
      <c r="CY275" s="333"/>
      <c r="CZ275" s="333"/>
      <c r="DA275" s="333"/>
      <c r="DB275" s="333"/>
      <c r="DC275" s="333"/>
      <c r="DD275" s="304"/>
      <c r="DE275" s="304"/>
      <c r="DF275" s="304"/>
      <c r="DG275" s="304"/>
      <c r="DH275" s="304"/>
      <c r="DI275" s="333"/>
      <c r="DJ275" s="304"/>
      <c r="DK275" s="304"/>
      <c r="DL275" s="333"/>
      <c r="DM275" s="333"/>
      <c r="DN275" s="333"/>
      <c r="DO275" s="304"/>
      <c r="DP275" s="304"/>
      <c r="DQ275" s="304"/>
      <c r="DR275" s="333"/>
      <c r="DS275" s="333"/>
      <c r="DT275" s="304"/>
      <c r="DU275" s="333"/>
      <c r="DV275" s="304"/>
      <c r="DW275" s="304"/>
      <c r="DX275" s="304"/>
      <c r="DY275" s="304"/>
      <c r="DZ275" s="304"/>
      <c r="EA275" s="333"/>
      <c r="EB275" s="304"/>
      <c r="EC275" s="304"/>
      <c r="ED275" s="885"/>
    </row>
    <row r="276">
      <c r="A276" s="1798"/>
      <c r="B276" s="381" t="s">
        <v>155</v>
      </c>
      <c r="C276" s="384" t="s">
        <v>155</v>
      </c>
      <c r="D276" s="386" t="s">
        <v>155</v>
      </c>
      <c r="E276" s="389" t="s">
        <v>155</v>
      </c>
      <c r="F276" s="390" t="s">
        <v>155</v>
      </c>
      <c r="G276" s="381" t="s">
        <v>155</v>
      </c>
      <c r="H276" s="1711"/>
      <c r="I276" s="1799"/>
      <c r="J276" s="1711"/>
      <c r="K276" s="1711"/>
      <c r="L276" s="1711"/>
      <c r="M276" s="1711"/>
      <c r="N276" s="1711"/>
      <c r="O276" s="1711"/>
      <c r="P276" s="1711"/>
      <c r="Q276" s="849"/>
      <c r="R276" s="849"/>
      <c r="S276" s="849"/>
      <c r="T276" s="849"/>
      <c r="U276" s="849"/>
      <c r="V276" s="849"/>
      <c r="W276" s="62"/>
      <c r="X276" s="421"/>
      <c r="Y276" s="421"/>
      <c r="Z276" s="421"/>
      <c r="AA276" s="421"/>
      <c r="AB276" s="1007"/>
      <c r="AC276" s="421"/>
      <c r="AD276" s="421"/>
      <c r="AE276" s="852"/>
      <c r="AF276" s="421"/>
      <c r="AG276" s="421"/>
      <c r="AH276" s="852"/>
      <c r="AI276" s="852"/>
      <c r="AJ276" s="421"/>
      <c r="AK276" s="852"/>
      <c r="AL276" s="61"/>
      <c r="AM276" s="435"/>
      <c r="AN276" s="435"/>
      <c r="AO276" s="855"/>
      <c r="AP276" s="855"/>
      <c r="AQ276" s="571"/>
      <c r="AR276" s="571"/>
      <c r="AS276" s="855"/>
      <c r="AT276" s="855"/>
      <c r="AU276" s="435"/>
      <c r="AV276" s="435"/>
      <c r="AW276" s="435"/>
      <c r="AX276" s="855"/>
      <c r="AY276" s="855"/>
      <c r="AZ276" s="855"/>
      <c r="BA276" s="855"/>
      <c r="BB276" s="1645"/>
      <c r="BC276" s="1645"/>
      <c r="BD276" s="1645"/>
      <c r="BE276" s="1645"/>
      <c r="BF276" s="1645"/>
      <c r="BG276" s="1645"/>
      <c r="BH276" s="587"/>
      <c r="BI276" s="1645"/>
      <c r="BJ276" s="587"/>
      <c r="BK276" s="1645"/>
      <c r="BL276" s="1645"/>
      <c r="BM276" s="587"/>
      <c r="BN276" s="587"/>
      <c r="BO276" s="1645"/>
      <c r="BP276" s="587"/>
      <c r="BQ276" s="857"/>
      <c r="BR276" s="451"/>
      <c r="BS276" s="451"/>
      <c r="BT276" s="451"/>
      <c r="BU276" s="451"/>
      <c r="BV276" s="451"/>
      <c r="BW276" s="451"/>
      <c r="BX276" s="859"/>
      <c r="BY276" s="451"/>
      <c r="BZ276" s="451"/>
      <c r="CA276" s="451"/>
      <c r="CB276" s="859"/>
      <c r="CC276" s="859"/>
      <c r="CD276" s="859"/>
      <c r="CE276" s="859"/>
      <c r="CF276" s="861"/>
      <c r="CG276" s="460"/>
      <c r="CH276" s="460"/>
      <c r="CI276" s="460"/>
      <c r="CJ276" s="460"/>
      <c r="CK276" s="460"/>
      <c r="CL276" s="460"/>
      <c r="CM276" s="460"/>
      <c r="CN276" s="460"/>
      <c r="CO276" s="460"/>
      <c r="CP276" s="1800"/>
      <c r="CQ276" s="863"/>
      <c r="CR276" s="863"/>
      <c r="CS276" s="863"/>
      <c r="CT276" s="863"/>
      <c r="CU276" s="62"/>
      <c r="CV276" s="470"/>
      <c r="CW276" s="470"/>
      <c r="CX276" s="470"/>
      <c r="CY276" s="470"/>
      <c r="CZ276" s="470"/>
      <c r="DA276" s="470"/>
      <c r="DB276" s="470"/>
      <c r="DC276" s="470"/>
      <c r="DD276" s="864"/>
      <c r="DE276" s="864"/>
      <c r="DF276" s="864"/>
      <c r="DG276" s="864"/>
      <c r="DH276" s="864"/>
      <c r="DI276" s="709"/>
      <c r="DJ276" s="866"/>
      <c r="DK276" s="866"/>
      <c r="DL276" s="709"/>
      <c r="DM276" s="709"/>
      <c r="DN276" s="709"/>
      <c r="DO276" s="866"/>
      <c r="DP276" s="866"/>
      <c r="DQ276" s="866"/>
      <c r="DR276" s="709"/>
      <c r="DS276" s="709"/>
      <c r="DT276" s="866"/>
      <c r="DU276" s="709"/>
      <c r="DV276" s="866"/>
      <c r="DW276" s="866"/>
      <c r="DX276" s="866"/>
      <c r="DY276" s="866"/>
      <c r="DZ276" s="866"/>
      <c r="EA276" s="709"/>
      <c r="EB276" s="866"/>
      <c r="EC276" s="866"/>
      <c r="ED276" s="974"/>
    </row>
    <row r="277">
      <c r="A277" s="1718"/>
      <c r="B277" s="229" t="s">
        <v>155</v>
      </c>
      <c r="C277" s="230" t="s">
        <v>155</v>
      </c>
      <c r="D277" s="231" t="s">
        <v>155</v>
      </c>
      <c r="E277" s="232" t="s">
        <v>155</v>
      </c>
      <c r="F277" s="233" t="s">
        <v>155</v>
      </c>
      <c r="G277" s="229" t="s">
        <v>155</v>
      </c>
      <c r="H277" s="333"/>
      <c r="I277" s="274"/>
      <c r="J277" s="333"/>
      <c r="K277" s="333"/>
      <c r="L277" s="333"/>
      <c r="M277" s="333"/>
      <c r="N277" s="333"/>
      <c r="O277" s="333"/>
      <c r="P277" s="333"/>
      <c r="Q277" s="304"/>
      <c r="R277" s="304"/>
      <c r="S277" s="304"/>
      <c r="T277" s="304"/>
      <c r="U277" s="304"/>
      <c r="V277" s="304"/>
      <c r="W277" s="62"/>
      <c r="X277" s="333"/>
      <c r="Y277" s="333"/>
      <c r="Z277" s="333"/>
      <c r="AA277" s="333"/>
      <c r="AB277" s="908"/>
      <c r="AC277" s="333"/>
      <c r="AD277" s="333"/>
      <c r="AE277" s="304"/>
      <c r="AF277" s="333"/>
      <c r="AG277" s="333"/>
      <c r="AH277" s="304"/>
      <c r="AI277" s="304"/>
      <c r="AJ277" s="333"/>
      <c r="AK277" s="304"/>
      <c r="AL277" s="61"/>
      <c r="AM277" s="333"/>
      <c r="AN277" s="333"/>
      <c r="AO277" s="304"/>
      <c r="AP277" s="304"/>
      <c r="AQ277" s="273"/>
      <c r="AR277" s="273"/>
      <c r="AS277" s="304"/>
      <c r="AT277" s="304"/>
      <c r="AU277" s="333"/>
      <c r="AV277" s="333"/>
      <c r="AW277" s="333"/>
      <c r="AX277" s="304"/>
      <c r="AY277" s="304"/>
      <c r="AZ277" s="304"/>
      <c r="BA277" s="304"/>
      <c r="BB277" s="333"/>
      <c r="BC277" s="333"/>
      <c r="BD277" s="333"/>
      <c r="BE277" s="333"/>
      <c r="BF277" s="333"/>
      <c r="BG277" s="333"/>
      <c r="BH277" s="304"/>
      <c r="BI277" s="333"/>
      <c r="BJ277" s="304"/>
      <c r="BK277" s="333"/>
      <c r="BL277" s="333"/>
      <c r="BM277" s="304"/>
      <c r="BN277" s="304"/>
      <c r="BO277" s="333"/>
      <c r="BP277" s="304"/>
      <c r="BQ277" s="841"/>
      <c r="BR277" s="333"/>
      <c r="BS277" s="333"/>
      <c r="BT277" s="333"/>
      <c r="BU277" s="333"/>
      <c r="BV277" s="333"/>
      <c r="BW277" s="333"/>
      <c r="BX277" s="304"/>
      <c r="BY277" s="333"/>
      <c r="BZ277" s="333"/>
      <c r="CA277" s="333"/>
      <c r="CB277" s="304"/>
      <c r="CC277" s="304"/>
      <c r="CD277" s="304"/>
      <c r="CE277" s="304"/>
      <c r="CF277" s="841"/>
      <c r="CG277" s="333"/>
      <c r="CH277" s="333"/>
      <c r="CI277" s="333"/>
      <c r="CJ277" s="333"/>
      <c r="CK277" s="333"/>
      <c r="CL277" s="333"/>
      <c r="CM277" s="333"/>
      <c r="CN277" s="333"/>
      <c r="CO277" s="333"/>
      <c r="CP277" s="768"/>
      <c r="CQ277" s="304"/>
      <c r="CR277" s="304"/>
      <c r="CS277" s="304"/>
      <c r="CT277" s="304"/>
      <c r="CU277" s="62"/>
      <c r="CV277" s="333"/>
      <c r="CW277" s="333"/>
      <c r="CX277" s="333"/>
      <c r="CY277" s="333"/>
      <c r="CZ277" s="333"/>
      <c r="DA277" s="333"/>
      <c r="DB277" s="333"/>
      <c r="DC277" s="333"/>
      <c r="DD277" s="304"/>
      <c r="DE277" s="304"/>
      <c r="DF277" s="304"/>
      <c r="DG277" s="304"/>
      <c r="DH277" s="304"/>
      <c r="DI277" s="333"/>
      <c r="DJ277" s="304"/>
      <c r="DK277" s="304"/>
      <c r="DL277" s="333"/>
      <c r="DM277" s="333"/>
      <c r="DN277" s="333"/>
      <c r="DO277" s="304"/>
      <c r="DP277" s="304"/>
      <c r="DQ277" s="304"/>
      <c r="DR277" s="333"/>
      <c r="DS277" s="333"/>
      <c r="DT277" s="304"/>
      <c r="DU277" s="333"/>
      <c r="DV277" s="304"/>
      <c r="DW277" s="304"/>
      <c r="DX277" s="304"/>
      <c r="DY277" s="304"/>
      <c r="DZ277" s="304"/>
      <c r="EA277" s="333"/>
      <c r="EB277" s="304"/>
      <c r="EC277" s="304"/>
      <c r="ED277" s="885"/>
    </row>
    <row r="278">
      <c r="A278" s="1798"/>
      <c r="B278" s="381" t="s">
        <v>155</v>
      </c>
      <c r="C278" s="384" t="s">
        <v>155</v>
      </c>
      <c r="D278" s="386" t="s">
        <v>155</v>
      </c>
      <c r="E278" s="389" t="s">
        <v>155</v>
      </c>
      <c r="F278" s="390" t="s">
        <v>155</v>
      </c>
      <c r="G278" s="381" t="s">
        <v>155</v>
      </c>
      <c r="H278" s="1711"/>
      <c r="I278" s="1799"/>
      <c r="J278" s="1711"/>
      <c r="K278" s="1711"/>
      <c r="L278" s="1711"/>
      <c r="M278" s="1711"/>
      <c r="N278" s="1711"/>
      <c r="O278" s="1711"/>
      <c r="P278" s="1711"/>
      <c r="Q278" s="849"/>
      <c r="R278" s="849"/>
      <c r="S278" s="849"/>
      <c r="T278" s="849"/>
      <c r="U278" s="849"/>
      <c r="V278" s="849"/>
      <c r="W278" s="62"/>
      <c r="X278" s="421"/>
      <c r="Y278" s="421"/>
      <c r="Z278" s="421"/>
      <c r="AA278" s="421"/>
      <c r="AB278" s="1007"/>
      <c r="AC278" s="421"/>
      <c r="AD278" s="421"/>
      <c r="AE278" s="852"/>
      <c r="AF278" s="421"/>
      <c r="AG278" s="421"/>
      <c r="AH278" s="852"/>
      <c r="AI278" s="852"/>
      <c r="AJ278" s="421"/>
      <c r="AK278" s="852"/>
      <c r="AL278" s="61"/>
      <c r="AM278" s="435"/>
      <c r="AN278" s="435"/>
      <c r="AO278" s="855"/>
      <c r="AP278" s="855"/>
      <c r="AQ278" s="571"/>
      <c r="AR278" s="571"/>
      <c r="AS278" s="855"/>
      <c r="AT278" s="855"/>
      <c r="AU278" s="435"/>
      <c r="AV278" s="435"/>
      <c r="AW278" s="435"/>
      <c r="AX278" s="855"/>
      <c r="AY278" s="855"/>
      <c r="AZ278" s="855"/>
      <c r="BA278" s="855"/>
      <c r="BB278" s="1645"/>
      <c r="BC278" s="1645"/>
      <c r="BD278" s="1645"/>
      <c r="BE278" s="1645"/>
      <c r="BF278" s="1645"/>
      <c r="BG278" s="1645"/>
      <c r="BH278" s="587"/>
      <c r="BI278" s="1645"/>
      <c r="BJ278" s="587"/>
      <c r="BK278" s="1645"/>
      <c r="BL278" s="1645"/>
      <c r="BM278" s="587"/>
      <c r="BN278" s="587"/>
      <c r="BO278" s="1645"/>
      <c r="BP278" s="587"/>
      <c r="BQ278" s="857"/>
      <c r="BR278" s="451"/>
      <c r="BS278" s="451"/>
      <c r="BT278" s="451"/>
      <c r="BU278" s="451"/>
      <c r="BV278" s="451"/>
      <c r="BW278" s="451"/>
      <c r="BX278" s="859"/>
      <c r="BY278" s="451"/>
      <c r="BZ278" s="451"/>
      <c r="CA278" s="451"/>
      <c r="CB278" s="859"/>
      <c r="CC278" s="859"/>
      <c r="CD278" s="859"/>
      <c r="CE278" s="859"/>
      <c r="CF278" s="861"/>
      <c r="CG278" s="460"/>
      <c r="CH278" s="460"/>
      <c r="CI278" s="460"/>
      <c r="CJ278" s="460"/>
      <c r="CK278" s="460"/>
      <c r="CL278" s="460"/>
      <c r="CM278" s="460"/>
      <c r="CN278" s="460"/>
      <c r="CO278" s="460"/>
      <c r="CP278" s="1800"/>
      <c r="CQ278" s="863"/>
      <c r="CR278" s="863"/>
      <c r="CS278" s="863"/>
      <c r="CT278" s="863"/>
      <c r="CU278" s="62"/>
      <c r="CV278" s="470"/>
      <c r="CW278" s="470"/>
      <c r="CX278" s="470"/>
      <c r="CY278" s="470"/>
      <c r="CZ278" s="470"/>
      <c r="DA278" s="470"/>
      <c r="DB278" s="470"/>
      <c r="DC278" s="470"/>
      <c r="DD278" s="864"/>
      <c r="DE278" s="864"/>
      <c r="DF278" s="864"/>
      <c r="DG278" s="864"/>
      <c r="DH278" s="864"/>
      <c r="DI278" s="709"/>
      <c r="DJ278" s="866"/>
      <c r="DK278" s="866"/>
      <c r="DL278" s="709"/>
      <c r="DM278" s="709"/>
      <c r="DN278" s="709"/>
      <c r="DO278" s="866"/>
      <c r="DP278" s="866"/>
      <c r="DQ278" s="866"/>
      <c r="DR278" s="709"/>
      <c r="DS278" s="709"/>
      <c r="DT278" s="866"/>
      <c r="DU278" s="709"/>
      <c r="DV278" s="866"/>
      <c r="DW278" s="866"/>
      <c r="DX278" s="866"/>
      <c r="DY278" s="866"/>
      <c r="DZ278" s="866"/>
      <c r="EA278" s="709"/>
      <c r="EB278" s="866"/>
      <c r="EC278" s="866"/>
      <c r="ED278" s="974"/>
    </row>
    <row r="279">
      <c r="A279" s="1718"/>
      <c r="B279" s="229" t="s">
        <v>155</v>
      </c>
      <c r="C279" s="230" t="s">
        <v>155</v>
      </c>
      <c r="D279" s="231" t="s">
        <v>155</v>
      </c>
      <c r="E279" s="232" t="s">
        <v>155</v>
      </c>
      <c r="F279" s="233" t="s">
        <v>155</v>
      </c>
      <c r="G279" s="229" t="s">
        <v>155</v>
      </c>
      <c r="H279" s="333"/>
      <c r="I279" s="274"/>
      <c r="J279" s="333"/>
      <c r="K279" s="333"/>
      <c r="L279" s="333"/>
      <c r="M279" s="333"/>
      <c r="N279" s="333"/>
      <c r="O279" s="333"/>
      <c r="P279" s="333"/>
      <c r="Q279" s="304"/>
      <c r="R279" s="304"/>
      <c r="S279" s="304"/>
      <c r="T279" s="304"/>
      <c r="U279" s="304"/>
      <c r="V279" s="304"/>
      <c r="W279" s="62"/>
      <c r="X279" s="333"/>
      <c r="Y279" s="333"/>
      <c r="Z279" s="333"/>
      <c r="AA279" s="333"/>
      <c r="AB279" s="908"/>
      <c r="AC279" s="333"/>
      <c r="AD279" s="333"/>
      <c r="AE279" s="304"/>
      <c r="AF279" s="333"/>
      <c r="AG279" s="333"/>
      <c r="AH279" s="304"/>
      <c r="AI279" s="304"/>
      <c r="AJ279" s="333"/>
      <c r="AK279" s="304"/>
      <c r="AL279" s="61"/>
      <c r="AM279" s="333"/>
      <c r="AN279" s="333"/>
      <c r="AO279" s="304"/>
      <c r="AP279" s="304"/>
      <c r="AQ279" s="273"/>
      <c r="AR279" s="273"/>
      <c r="AS279" s="304"/>
      <c r="AT279" s="304"/>
      <c r="AU279" s="333"/>
      <c r="AV279" s="333"/>
      <c r="AW279" s="333"/>
      <c r="AX279" s="304"/>
      <c r="AY279" s="304"/>
      <c r="AZ279" s="304"/>
      <c r="BA279" s="304"/>
      <c r="BB279" s="333"/>
      <c r="BC279" s="333"/>
      <c r="BD279" s="333"/>
      <c r="BE279" s="333"/>
      <c r="BF279" s="333"/>
      <c r="BG279" s="333"/>
      <c r="BH279" s="304"/>
      <c r="BI279" s="333"/>
      <c r="BJ279" s="304"/>
      <c r="BK279" s="333"/>
      <c r="BL279" s="333"/>
      <c r="BM279" s="304"/>
      <c r="BN279" s="304"/>
      <c r="BO279" s="333"/>
      <c r="BP279" s="304"/>
      <c r="BQ279" s="841"/>
      <c r="BR279" s="333"/>
      <c r="BS279" s="333"/>
      <c r="BT279" s="333"/>
      <c r="BU279" s="333"/>
      <c r="BV279" s="333"/>
      <c r="BW279" s="333"/>
      <c r="BX279" s="304"/>
      <c r="BY279" s="333"/>
      <c r="BZ279" s="333"/>
      <c r="CA279" s="333"/>
      <c r="CB279" s="304"/>
      <c r="CC279" s="304"/>
      <c r="CD279" s="304"/>
      <c r="CE279" s="304"/>
      <c r="CF279" s="841"/>
      <c r="CG279" s="333"/>
      <c r="CH279" s="333"/>
      <c r="CI279" s="333"/>
      <c r="CJ279" s="333"/>
      <c r="CK279" s="333"/>
      <c r="CL279" s="333"/>
      <c r="CM279" s="333"/>
      <c r="CN279" s="333"/>
      <c r="CO279" s="333"/>
      <c r="CP279" s="768"/>
      <c r="CQ279" s="304"/>
      <c r="CR279" s="304"/>
      <c r="CS279" s="304"/>
      <c r="CT279" s="304"/>
      <c r="CU279" s="62"/>
      <c r="CV279" s="333"/>
      <c r="CW279" s="333"/>
      <c r="CX279" s="333"/>
      <c r="CY279" s="333"/>
      <c r="CZ279" s="333"/>
      <c r="DA279" s="333"/>
      <c r="DB279" s="333"/>
      <c r="DC279" s="333"/>
      <c r="DD279" s="304"/>
      <c r="DE279" s="304"/>
      <c r="DF279" s="304"/>
      <c r="DG279" s="304"/>
      <c r="DH279" s="304"/>
      <c r="DI279" s="333"/>
      <c r="DJ279" s="304"/>
      <c r="DK279" s="304"/>
      <c r="DL279" s="333"/>
      <c r="DM279" s="333"/>
      <c r="DN279" s="333"/>
      <c r="DO279" s="304"/>
      <c r="DP279" s="304"/>
      <c r="DQ279" s="304"/>
      <c r="DR279" s="333"/>
      <c r="DS279" s="333"/>
      <c r="DT279" s="304"/>
      <c r="DU279" s="333"/>
      <c r="DV279" s="304"/>
      <c r="DW279" s="304"/>
      <c r="DX279" s="304"/>
      <c r="DY279" s="304"/>
      <c r="DZ279" s="304"/>
      <c r="EA279" s="333"/>
      <c r="EB279" s="304"/>
      <c r="EC279" s="304"/>
      <c r="ED279" s="885"/>
    </row>
    <row r="280">
      <c r="A280" s="1798"/>
      <c r="B280" s="381" t="s">
        <v>155</v>
      </c>
      <c r="C280" s="384" t="s">
        <v>155</v>
      </c>
      <c r="D280" s="386" t="s">
        <v>155</v>
      </c>
      <c r="E280" s="389" t="s">
        <v>155</v>
      </c>
      <c r="F280" s="390" t="s">
        <v>155</v>
      </c>
      <c r="G280" s="381" t="s">
        <v>155</v>
      </c>
      <c r="H280" s="1711"/>
      <c r="I280" s="1799"/>
      <c r="J280" s="1711"/>
      <c r="K280" s="1711"/>
      <c r="L280" s="1711"/>
      <c r="M280" s="1711"/>
      <c r="N280" s="1711"/>
      <c r="O280" s="1711"/>
      <c r="P280" s="1711"/>
      <c r="Q280" s="849"/>
      <c r="R280" s="849"/>
      <c r="S280" s="849"/>
      <c r="T280" s="849"/>
      <c r="U280" s="849"/>
      <c r="V280" s="849"/>
      <c r="W280" s="62"/>
      <c r="X280" s="421"/>
      <c r="Y280" s="421"/>
      <c r="Z280" s="421"/>
      <c r="AA280" s="421"/>
      <c r="AB280" s="1007"/>
      <c r="AC280" s="421"/>
      <c r="AD280" s="421"/>
      <c r="AE280" s="852"/>
      <c r="AF280" s="421"/>
      <c r="AG280" s="421"/>
      <c r="AH280" s="852"/>
      <c r="AI280" s="852"/>
      <c r="AJ280" s="421"/>
      <c r="AK280" s="852"/>
      <c r="AL280" s="61"/>
      <c r="AM280" s="435"/>
      <c r="AN280" s="435"/>
      <c r="AO280" s="855"/>
      <c r="AP280" s="855"/>
      <c r="AQ280" s="571"/>
      <c r="AR280" s="571"/>
      <c r="AS280" s="855"/>
      <c r="AT280" s="855"/>
      <c r="AU280" s="435"/>
      <c r="AV280" s="435"/>
      <c r="AW280" s="435"/>
      <c r="AX280" s="855"/>
      <c r="AY280" s="855"/>
      <c r="AZ280" s="855"/>
      <c r="BA280" s="855"/>
      <c r="BB280" s="1645"/>
      <c r="BC280" s="1645"/>
      <c r="BD280" s="1645"/>
      <c r="BE280" s="1645"/>
      <c r="BF280" s="1645"/>
      <c r="BG280" s="1645"/>
      <c r="BH280" s="587"/>
      <c r="BI280" s="1645"/>
      <c r="BJ280" s="587"/>
      <c r="BK280" s="1645"/>
      <c r="BL280" s="1645"/>
      <c r="BM280" s="587"/>
      <c r="BN280" s="587"/>
      <c r="BO280" s="1645"/>
      <c r="BP280" s="587"/>
      <c r="BQ280" s="857"/>
      <c r="BR280" s="451"/>
      <c r="BS280" s="451"/>
      <c r="BT280" s="451"/>
      <c r="BU280" s="451"/>
      <c r="BV280" s="451"/>
      <c r="BW280" s="451"/>
      <c r="BX280" s="859"/>
      <c r="BY280" s="451"/>
      <c r="BZ280" s="451"/>
      <c r="CA280" s="451"/>
      <c r="CB280" s="859"/>
      <c r="CC280" s="859"/>
      <c r="CD280" s="859"/>
      <c r="CE280" s="859"/>
      <c r="CF280" s="861"/>
      <c r="CG280" s="460"/>
      <c r="CH280" s="460"/>
      <c r="CI280" s="460"/>
      <c r="CJ280" s="460"/>
      <c r="CK280" s="460"/>
      <c r="CL280" s="460"/>
      <c r="CM280" s="460"/>
      <c r="CN280" s="460"/>
      <c r="CO280" s="460"/>
      <c r="CP280" s="1800"/>
      <c r="CQ280" s="863"/>
      <c r="CR280" s="863"/>
      <c r="CS280" s="863"/>
      <c r="CT280" s="863"/>
      <c r="CU280" s="62"/>
      <c r="CV280" s="470"/>
      <c r="CW280" s="470"/>
      <c r="CX280" s="470"/>
      <c r="CY280" s="470"/>
      <c r="CZ280" s="470"/>
      <c r="DA280" s="470"/>
      <c r="DB280" s="470"/>
      <c r="DC280" s="470"/>
      <c r="DD280" s="864"/>
      <c r="DE280" s="864"/>
      <c r="DF280" s="864"/>
      <c r="DG280" s="864"/>
      <c r="DH280" s="864"/>
      <c r="DI280" s="709"/>
      <c r="DJ280" s="866"/>
      <c r="DK280" s="866"/>
      <c r="DL280" s="709"/>
      <c r="DM280" s="709"/>
      <c r="DN280" s="709"/>
      <c r="DO280" s="866"/>
      <c r="DP280" s="866"/>
      <c r="DQ280" s="866"/>
      <c r="DR280" s="709"/>
      <c r="DS280" s="709"/>
      <c r="DT280" s="866"/>
      <c r="DU280" s="709"/>
      <c r="DV280" s="866"/>
      <c r="DW280" s="866"/>
      <c r="DX280" s="866"/>
      <c r="DY280" s="866"/>
      <c r="DZ280" s="866"/>
      <c r="EA280" s="709"/>
      <c r="EB280" s="866"/>
      <c r="EC280" s="866"/>
      <c r="ED280" s="974"/>
    </row>
    <row r="281">
      <c r="A281" s="1718"/>
      <c r="B281" s="229" t="s">
        <v>155</v>
      </c>
      <c r="C281" s="230" t="s">
        <v>155</v>
      </c>
      <c r="D281" s="231" t="s">
        <v>155</v>
      </c>
      <c r="E281" s="232" t="s">
        <v>155</v>
      </c>
      <c r="F281" s="233" t="s">
        <v>155</v>
      </c>
      <c r="G281" s="229" t="s">
        <v>155</v>
      </c>
      <c r="H281" s="333"/>
      <c r="I281" s="274"/>
      <c r="J281" s="333"/>
      <c r="K281" s="333"/>
      <c r="L281" s="333"/>
      <c r="M281" s="333"/>
      <c r="N281" s="333"/>
      <c r="O281" s="333"/>
      <c r="P281" s="333"/>
      <c r="Q281" s="304"/>
      <c r="R281" s="304"/>
      <c r="S281" s="304"/>
      <c r="T281" s="304"/>
      <c r="U281" s="304"/>
      <c r="V281" s="304"/>
      <c r="W281" s="62"/>
      <c r="X281" s="333"/>
      <c r="Y281" s="333"/>
      <c r="Z281" s="333"/>
      <c r="AA281" s="333"/>
      <c r="AB281" s="908"/>
      <c r="AC281" s="333"/>
      <c r="AD281" s="333"/>
      <c r="AE281" s="304"/>
      <c r="AF281" s="333"/>
      <c r="AG281" s="333"/>
      <c r="AH281" s="304"/>
      <c r="AI281" s="304"/>
      <c r="AJ281" s="333"/>
      <c r="AK281" s="304"/>
      <c r="AL281" s="61"/>
      <c r="AM281" s="333"/>
      <c r="AN281" s="333"/>
      <c r="AO281" s="304"/>
      <c r="AP281" s="304"/>
      <c r="AQ281" s="273"/>
      <c r="AR281" s="273"/>
      <c r="AS281" s="304"/>
      <c r="AT281" s="304"/>
      <c r="AU281" s="333"/>
      <c r="AV281" s="333"/>
      <c r="AW281" s="333"/>
      <c r="AX281" s="304"/>
      <c r="AY281" s="304"/>
      <c r="AZ281" s="304"/>
      <c r="BA281" s="304"/>
      <c r="BB281" s="333"/>
      <c r="BC281" s="333"/>
      <c r="BD281" s="333"/>
      <c r="BE281" s="333"/>
      <c r="BF281" s="333"/>
      <c r="BG281" s="333"/>
      <c r="BH281" s="304"/>
      <c r="BI281" s="333"/>
      <c r="BJ281" s="304"/>
      <c r="BK281" s="333"/>
      <c r="BL281" s="333"/>
      <c r="BM281" s="304"/>
      <c r="BN281" s="304"/>
      <c r="BO281" s="333"/>
      <c r="BP281" s="304"/>
      <c r="BQ281" s="841"/>
      <c r="BR281" s="333"/>
      <c r="BS281" s="333"/>
      <c r="BT281" s="333"/>
      <c r="BU281" s="333"/>
      <c r="BV281" s="333"/>
      <c r="BW281" s="333"/>
      <c r="BX281" s="304"/>
      <c r="BY281" s="333"/>
      <c r="BZ281" s="333"/>
      <c r="CA281" s="333"/>
      <c r="CB281" s="304"/>
      <c r="CC281" s="304"/>
      <c r="CD281" s="304"/>
      <c r="CE281" s="304"/>
      <c r="CF281" s="841"/>
      <c r="CG281" s="333"/>
      <c r="CH281" s="333"/>
      <c r="CI281" s="333"/>
      <c r="CJ281" s="333"/>
      <c r="CK281" s="333"/>
      <c r="CL281" s="333"/>
      <c r="CM281" s="333"/>
      <c r="CN281" s="333"/>
      <c r="CO281" s="333"/>
      <c r="CP281" s="768"/>
      <c r="CQ281" s="304"/>
      <c r="CR281" s="304"/>
      <c r="CS281" s="304"/>
      <c r="CT281" s="304"/>
      <c r="CU281" s="62"/>
      <c r="CV281" s="333"/>
      <c r="CW281" s="333"/>
      <c r="CX281" s="333"/>
      <c r="CY281" s="333"/>
      <c r="CZ281" s="333"/>
      <c r="DA281" s="333"/>
      <c r="DB281" s="333"/>
      <c r="DC281" s="333"/>
      <c r="DD281" s="304"/>
      <c r="DE281" s="304"/>
      <c r="DF281" s="304"/>
      <c r="DG281" s="304"/>
      <c r="DH281" s="304"/>
      <c r="DI281" s="333"/>
      <c r="DJ281" s="304"/>
      <c r="DK281" s="304"/>
      <c r="DL281" s="333"/>
      <c r="DM281" s="333"/>
      <c r="DN281" s="333"/>
      <c r="DO281" s="304"/>
      <c r="DP281" s="304"/>
      <c r="DQ281" s="304"/>
      <c r="DR281" s="333"/>
      <c r="DS281" s="333"/>
      <c r="DT281" s="304"/>
      <c r="DU281" s="333"/>
      <c r="DV281" s="304"/>
      <c r="DW281" s="304"/>
      <c r="DX281" s="304"/>
      <c r="DY281" s="304"/>
      <c r="DZ281" s="304"/>
      <c r="EA281" s="333"/>
      <c r="EB281" s="304"/>
      <c r="EC281" s="304"/>
      <c r="ED281" s="885"/>
    </row>
    <row r="282">
      <c r="A282" s="1798"/>
      <c r="B282" s="381" t="s">
        <v>155</v>
      </c>
      <c r="C282" s="384" t="s">
        <v>155</v>
      </c>
      <c r="D282" s="386" t="s">
        <v>155</v>
      </c>
      <c r="E282" s="389" t="s">
        <v>155</v>
      </c>
      <c r="F282" s="390" t="s">
        <v>155</v>
      </c>
      <c r="G282" s="381" t="s">
        <v>155</v>
      </c>
      <c r="H282" s="1711"/>
      <c r="I282" s="1799"/>
      <c r="J282" s="1711"/>
      <c r="K282" s="1711"/>
      <c r="L282" s="1711"/>
      <c r="M282" s="1711"/>
      <c r="N282" s="1711"/>
      <c r="O282" s="1711"/>
      <c r="P282" s="1711"/>
      <c r="Q282" s="849"/>
      <c r="R282" s="849"/>
      <c r="S282" s="849"/>
      <c r="T282" s="849"/>
      <c r="U282" s="849"/>
      <c r="V282" s="849"/>
      <c r="W282" s="62"/>
      <c r="X282" s="421"/>
      <c r="Y282" s="421"/>
      <c r="Z282" s="421"/>
      <c r="AA282" s="421"/>
      <c r="AB282" s="1007"/>
      <c r="AC282" s="421"/>
      <c r="AD282" s="421"/>
      <c r="AE282" s="852"/>
      <c r="AF282" s="421"/>
      <c r="AG282" s="421"/>
      <c r="AH282" s="852"/>
      <c r="AI282" s="852"/>
      <c r="AJ282" s="421"/>
      <c r="AK282" s="852"/>
      <c r="AL282" s="61"/>
      <c r="AM282" s="435"/>
      <c r="AN282" s="435"/>
      <c r="AO282" s="855"/>
      <c r="AP282" s="855"/>
      <c r="AQ282" s="571"/>
      <c r="AR282" s="571"/>
      <c r="AS282" s="855"/>
      <c r="AT282" s="855"/>
      <c r="AU282" s="435"/>
      <c r="AV282" s="435"/>
      <c r="AW282" s="435"/>
      <c r="AX282" s="855"/>
      <c r="AY282" s="855"/>
      <c r="AZ282" s="855"/>
      <c r="BA282" s="855"/>
      <c r="BB282" s="1645"/>
      <c r="BC282" s="1645"/>
      <c r="BD282" s="1645"/>
      <c r="BE282" s="1645"/>
      <c r="BF282" s="1645"/>
      <c r="BG282" s="1645"/>
      <c r="BH282" s="587"/>
      <c r="BI282" s="1645"/>
      <c r="BJ282" s="587"/>
      <c r="BK282" s="1645"/>
      <c r="BL282" s="1645"/>
      <c r="BM282" s="587"/>
      <c r="BN282" s="587"/>
      <c r="BO282" s="1645"/>
      <c r="BP282" s="587"/>
      <c r="BQ282" s="857"/>
      <c r="BR282" s="451"/>
      <c r="BS282" s="451"/>
      <c r="BT282" s="451"/>
      <c r="BU282" s="451"/>
      <c r="BV282" s="451"/>
      <c r="BW282" s="451"/>
      <c r="BX282" s="859"/>
      <c r="BY282" s="451"/>
      <c r="BZ282" s="451"/>
      <c r="CA282" s="451"/>
      <c r="CB282" s="859"/>
      <c r="CC282" s="859"/>
      <c r="CD282" s="859"/>
      <c r="CE282" s="859"/>
      <c r="CF282" s="861"/>
      <c r="CG282" s="460"/>
      <c r="CH282" s="460"/>
      <c r="CI282" s="460"/>
      <c r="CJ282" s="460"/>
      <c r="CK282" s="460"/>
      <c r="CL282" s="460"/>
      <c r="CM282" s="460"/>
      <c r="CN282" s="460"/>
      <c r="CO282" s="460"/>
      <c r="CP282" s="1800"/>
      <c r="CQ282" s="863"/>
      <c r="CR282" s="863"/>
      <c r="CS282" s="863"/>
      <c r="CT282" s="863"/>
      <c r="CU282" s="62"/>
      <c r="CV282" s="470"/>
      <c r="CW282" s="470"/>
      <c r="CX282" s="470"/>
      <c r="CY282" s="470"/>
      <c r="CZ282" s="470"/>
      <c r="DA282" s="470"/>
      <c r="DB282" s="470"/>
      <c r="DC282" s="470"/>
      <c r="DD282" s="864"/>
      <c r="DE282" s="864"/>
      <c r="DF282" s="864"/>
      <c r="DG282" s="864"/>
      <c r="DH282" s="864"/>
      <c r="DI282" s="709"/>
      <c r="DJ282" s="866"/>
      <c r="DK282" s="866"/>
      <c r="DL282" s="709"/>
      <c r="DM282" s="709"/>
      <c r="DN282" s="709"/>
      <c r="DO282" s="866"/>
      <c r="DP282" s="866"/>
      <c r="DQ282" s="866"/>
      <c r="DR282" s="709"/>
      <c r="DS282" s="709"/>
      <c r="DT282" s="866"/>
      <c r="DU282" s="709"/>
      <c r="DV282" s="866"/>
      <c r="DW282" s="866"/>
      <c r="DX282" s="866"/>
      <c r="DY282" s="866"/>
      <c r="DZ282" s="866"/>
      <c r="EA282" s="709"/>
      <c r="EB282" s="866"/>
      <c r="EC282" s="866"/>
      <c r="ED282" s="974"/>
    </row>
    <row r="283">
      <c r="A283" s="1718"/>
      <c r="B283" s="229" t="s">
        <v>155</v>
      </c>
      <c r="C283" s="230" t="s">
        <v>155</v>
      </c>
      <c r="D283" s="231" t="s">
        <v>155</v>
      </c>
      <c r="E283" s="232" t="s">
        <v>155</v>
      </c>
      <c r="F283" s="233" t="s">
        <v>155</v>
      </c>
      <c r="G283" s="229" t="s">
        <v>155</v>
      </c>
      <c r="H283" s="333"/>
      <c r="I283" s="274"/>
      <c r="J283" s="333"/>
      <c r="K283" s="333"/>
      <c r="L283" s="333"/>
      <c r="M283" s="333"/>
      <c r="N283" s="333"/>
      <c r="O283" s="333"/>
      <c r="P283" s="333"/>
      <c r="Q283" s="304"/>
      <c r="R283" s="304"/>
      <c r="S283" s="304"/>
      <c r="T283" s="304"/>
      <c r="U283" s="304"/>
      <c r="V283" s="304"/>
      <c r="W283" s="62"/>
      <c r="X283" s="333"/>
      <c r="Y283" s="333"/>
      <c r="Z283" s="333"/>
      <c r="AA283" s="333"/>
      <c r="AB283" s="908"/>
      <c r="AC283" s="333"/>
      <c r="AD283" s="333"/>
      <c r="AE283" s="304"/>
      <c r="AF283" s="333"/>
      <c r="AG283" s="333"/>
      <c r="AH283" s="304"/>
      <c r="AI283" s="304"/>
      <c r="AJ283" s="333"/>
      <c r="AK283" s="304"/>
      <c r="AL283" s="61"/>
      <c r="AM283" s="333"/>
      <c r="AN283" s="333"/>
      <c r="AO283" s="304"/>
      <c r="AP283" s="304"/>
      <c r="AQ283" s="273"/>
      <c r="AR283" s="273"/>
      <c r="AS283" s="304"/>
      <c r="AT283" s="304"/>
      <c r="AU283" s="333"/>
      <c r="AV283" s="333"/>
      <c r="AW283" s="333"/>
      <c r="AX283" s="304"/>
      <c r="AY283" s="304"/>
      <c r="AZ283" s="304"/>
      <c r="BA283" s="304"/>
      <c r="BB283" s="333"/>
      <c r="BC283" s="333"/>
      <c r="BD283" s="333"/>
      <c r="BE283" s="333"/>
      <c r="BF283" s="333"/>
      <c r="BG283" s="333"/>
      <c r="BH283" s="304"/>
      <c r="BI283" s="333"/>
      <c r="BJ283" s="304"/>
      <c r="BK283" s="333"/>
      <c r="BL283" s="333"/>
      <c r="BM283" s="304"/>
      <c r="BN283" s="304"/>
      <c r="BO283" s="333"/>
      <c r="BP283" s="304"/>
      <c r="BQ283" s="841"/>
      <c r="BR283" s="333"/>
      <c r="BS283" s="333"/>
      <c r="BT283" s="333"/>
      <c r="BU283" s="333"/>
      <c r="BV283" s="333"/>
      <c r="BW283" s="333"/>
      <c r="BX283" s="304"/>
      <c r="BY283" s="333"/>
      <c r="BZ283" s="333"/>
      <c r="CA283" s="333"/>
      <c r="CB283" s="304"/>
      <c r="CC283" s="304"/>
      <c r="CD283" s="304"/>
      <c r="CE283" s="304"/>
      <c r="CF283" s="841"/>
      <c r="CG283" s="333"/>
      <c r="CH283" s="333"/>
      <c r="CI283" s="333"/>
      <c r="CJ283" s="333"/>
      <c r="CK283" s="333"/>
      <c r="CL283" s="333"/>
      <c r="CM283" s="333"/>
      <c r="CN283" s="333"/>
      <c r="CO283" s="333"/>
      <c r="CP283" s="768"/>
      <c r="CQ283" s="304"/>
      <c r="CR283" s="304"/>
      <c r="CS283" s="304"/>
      <c r="CT283" s="304"/>
      <c r="CU283" s="62"/>
      <c r="CV283" s="333"/>
      <c r="CW283" s="333"/>
      <c r="CX283" s="333"/>
      <c r="CY283" s="333"/>
      <c r="CZ283" s="333"/>
      <c r="DA283" s="333"/>
      <c r="DB283" s="333"/>
      <c r="DC283" s="333"/>
      <c r="DD283" s="304"/>
      <c r="DE283" s="304"/>
      <c r="DF283" s="304"/>
      <c r="DG283" s="304"/>
      <c r="DH283" s="304"/>
      <c r="DI283" s="333"/>
      <c r="DJ283" s="304"/>
      <c r="DK283" s="304"/>
      <c r="DL283" s="333"/>
      <c r="DM283" s="333"/>
      <c r="DN283" s="333"/>
      <c r="DO283" s="304"/>
      <c r="DP283" s="304"/>
      <c r="DQ283" s="304"/>
      <c r="DR283" s="333"/>
      <c r="DS283" s="333"/>
      <c r="DT283" s="304"/>
      <c r="DU283" s="333"/>
      <c r="DV283" s="304"/>
      <c r="DW283" s="304"/>
      <c r="DX283" s="304"/>
      <c r="DY283" s="304"/>
      <c r="DZ283" s="304"/>
      <c r="EA283" s="333"/>
      <c r="EB283" s="304"/>
      <c r="EC283" s="304"/>
      <c r="ED283" s="885"/>
    </row>
    <row r="284">
      <c r="A284" s="1798"/>
      <c r="B284" s="381" t="s">
        <v>155</v>
      </c>
      <c r="C284" s="384" t="s">
        <v>155</v>
      </c>
      <c r="D284" s="386" t="s">
        <v>155</v>
      </c>
      <c r="E284" s="389" t="s">
        <v>155</v>
      </c>
      <c r="F284" s="390" t="s">
        <v>155</v>
      </c>
      <c r="G284" s="381" t="s">
        <v>155</v>
      </c>
      <c r="H284" s="1711"/>
      <c r="I284" s="1799"/>
      <c r="J284" s="1711"/>
      <c r="K284" s="1711"/>
      <c r="L284" s="1711"/>
      <c r="M284" s="1711"/>
      <c r="N284" s="1711"/>
      <c r="O284" s="1711"/>
      <c r="P284" s="1711"/>
      <c r="Q284" s="849"/>
      <c r="R284" s="849"/>
      <c r="S284" s="849"/>
      <c r="T284" s="849"/>
      <c r="U284" s="849"/>
      <c r="V284" s="849"/>
      <c r="W284" s="62"/>
      <c r="X284" s="421"/>
      <c r="Y284" s="421"/>
      <c r="Z284" s="421"/>
      <c r="AA284" s="421"/>
      <c r="AB284" s="1007"/>
      <c r="AC284" s="421"/>
      <c r="AD284" s="421"/>
      <c r="AE284" s="852"/>
      <c r="AF284" s="421"/>
      <c r="AG284" s="421"/>
      <c r="AH284" s="852"/>
      <c r="AI284" s="852"/>
      <c r="AJ284" s="421"/>
      <c r="AK284" s="852"/>
      <c r="AL284" s="61"/>
      <c r="AM284" s="435"/>
      <c r="AN284" s="435"/>
      <c r="AO284" s="855"/>
      <c r="AP284" s="855"/>
      <c r="AQ284" s="571"/>
      <c r="AR284" s="571"/>
      <c r="AS284" s="855"/>
      <c r="AT284" s="855"/>
      <c r="AU284" s="435"/>
      <c r="AV284" s="435"/>
      <c r="AW284" s="435"/>
      <c r="AX284" s="855"/>
      <c r="AY284" s="855"/>
      <c r="AZ284" s="855"/>
      <c r="BA284" s="855"/>
      <c r="BB284" s="1645"/>
      <c r="BC284" s="1645"/>
      <c r="BD284" s="1645"/>
      <c r="BE284" s="1645"/>
      <c r="BF284" s="1645"/>
      <c r="BG284" s="1645"/>
      <c r="BH284" s="587"/>
      <c r="BI284" s="1645"/>
      <c r="BJ284" s="587"/>
      <c r="BK284" s="1645"/>
      <c r="BL284" s="1645"/>
      <c r="BM284" s="587"/>
      <c r="BN284" s="587"/>
      <c r="BO284" s="1645"/>
      <c r="BP284" s="587"/>
      <c r="BQ284" s="857"/>
      <c r="BR284" s="451"/>
      <c r="BS284" s="451"/>
      <c r="BT284" s="451"/>
      <c r="BU284" s="451"/>
      <c r="BV284" s="451"/>
      <c r="BW284" s="451"/>
      <c r="BX284" s="859"/>
      <c r="BY284" s="451"/>
      <c r="BZ284" s="451"/>
      <c r="CA284" s="451"/>
      <c r="CB284" s="859"/>
      <c r="CC284" s="859"/>
      <c r="CD284" s="859"/>
      <c r="CE284" s="859"/>
      <c r="CF284" s="861"/>
      <c r="CG284" s="460"/>
      <c r="CH284" s="460"/>
      <c r="CI284" s="460"/>
      <c r="CJ284" s="460"/>
      <c r="CK284" s="460"/>
      <c r="CL284" s="460"/>
      <c r="CM284" s="460"/>
      <c r="CN284" s="460"/>
      <c r="CO284" s="460"/>
      <c r="CP284" s="1800"/>
      <c r="CQ284" s="863"/>
      <c r="CR284" s="863"/>
      <c r="CS284" s="863"/>
      <c r="CT284" s="863"/>
      <c r="CU284" s="62"/>
      <c r="CV284" s="470"/>
      <c r="CW284" s="470"/>
      <c r="CX284" s="470"/>
      <c r="CY284" s="470"/>
      <c r="CZ284" s="470"/>
      <c r="DA284" s="470"/>
      <c r="DB284" s="470"/>
      <c r="DC284" s="470"/>
      <c r="DD284" s="864"/>
      <c r="DE284" s="864"/>
      <c r="DF284" s="864"/>
      <c r="DG284" s="864"/>
      <c r="DH284" s="864"/>
      <c r="DI284" s="709"/>
      <c r="DJ284" s="866"/>
      <c r="DK284" s="866"/>
      <c r="DL284" s="709"/>
      <c r="DM284" s="709"/>
      <c r="DN284" s="709"/>
      <c r="DO284" s="866"/>
      <c r="DP284" s="866"/>
      <c r="DQ284" s="866"/>
      <c r="DR284" s="709"/>
      <c r="DS284" s="709"/>
      <c r="DT284" s="866"/>
      <c r="DU284" s="709"/>
      <c r="DV284" s="866"/>
      <c r="DW284" s="866"/>
      <c r="DX284" s="866"/>
      <c r="DY284" s="866"/>
      <c r="DZ284" s="866"/>
      <c r="EA284" s="709"/>
      <c r="EB284" s="866"/>
      <c r="EC284" s="866"/>
      <c r="ED284" s="974"/>
    </row>
    <row r="285">
      <c r="A285" s="1718"/>
      <c r="B285" s="229" t="s">
        <v>155</v>
      </c>
      <c r="C285" s="230" t="s">
        <v>155</v>
      </c>
      <c r="D285" s="231" t="s">
        <v>155</v>
      </c>
      <c r="E285" s="232" t="s">
        <v>155</v>
      </c>
      <c r="F285" s="233" t="s">
        <v>155</v>
      </c>
      <c r="G285" s="229" t="s">
        <v>155</v>
      </c>
      <c r="H285" s="333"/>
      <c r="I285" s="274"/>
      <c r="J285" s="333"/>
      <c r="K285" s="333"/>
      <c r="L285" s="333"/>
      <c r="M285" s="333"/>
      <c r="N285" s="333"/>
      <c r="O285" s="333"/>
      <c r="P285" s="333"/>
      <c r="Q285" s="304"/>
      <c r="R285" s="304"/>
      <c r="S285" s="304"/>
      <c r="T285" s="304"/>
      <c r="U285" s="304"/>
      <c r="V285" s="304"/>
      <c r="W285" s="62"/>
      <c r="X285" s="333"/>
      <c r="Y285" s="333"/>
      <c r="Z285" s="333"/>
      <c r="AA285" s="333"/>
      <c r="AB285" s="908"/>
      <c r="AC285" s="333"/>
      <c r="AD285" s="333"/>
      <c r="AE285" s="304"/>
      <c r="AF285" s="333"/>
      <c r="AG285" s="333"/>
      <c r="AH285" s="304"/>
      <c r="AI285" s="304"/>
      <c r="AJ285" s="333"/>
      <c r="AK285" s="304"/>
      <c r="AL285" s="61"/>
      <c r="AM285" s="333"/>
      <c r="AN285" s="333"/>
      <c r="AO285" s="304"/>
      <c r="AP285" s="304"/>
      <c r="AQ285" s="273"/>
      <c r="AR285" s="273"/>
      <c r="AS285" s="304"/>
      <c r="AT285" s="304"/>
      <c r="AU285" s="333"/>
      <c r="AV285" s="333"/>
      <c r="AW285" s="333"/>
      <c r="AX285" s="304"/>
      <c r="AY285" s="304"/>
      <c r="AZ285" s="304"/>
      <c r="BA285" s="304"/>
      <c r="BB285" s="333"/>
      <c r="BC285" s="333"/>
      <c r="BD285" s="333"/>
      <c r="BE285" s="333"/>
      <c r="BF285" s="333"/>
      <c r="BG285" s="333"/>
      <c r="BH285" s="304"/>
      <c r="BI285" s="333"/>
      <c r="BJ285" s="304"/>
      <c r="BK285" s="333"/>
      <c r="BL285" s="333"/>
      <c r="BM285" s="304"/>
      <c r="BN285" s="304"/>
      <c r="BO285" s="333"/>
      <c r="BP285" s="304"/>
      <c r="BQ285" s="841"/>
      <c r="BR285" s="333"/>
      <c r="BS285" s="333"/>
      <c r="BT285" s="333"/>
      <c r="BU285" s="333"/>
      <c r="BV285" s="333"/>
      <c r="BW285" s="333"/>
      <c r="BX285" s="304"/>
      <c r="BY285" s="333"/>
      <c r="BZ285" s="333"/>
      <c r="CA285" s="333"/>
      <c r="CB285" s="304"/>
      <c r="CC285" s="304"/>
      <c r="CD285" s="304"/>
      <c r="CE285" s="304"/>
      <c r="CF285" s="841"/>
      <c r="CG285" s="333"/>
      <c r="CH285" s="333"/>
      <c r="CI285" s="333"/>
      <c r="CJ285" s="333"/>
      <c r="CK285" s="333"/>
      <c r="CL285" s="333"/>
      <c r="CM285" s="333"/>
      <c r="CN285" s="333"/>
      <c r="CO285" s="333"/>
      <c r="CP285" s="768"/>
      <c r="CQ285" s="304"/>
      <c r="CR285" s="304"/>
      <c r="CS285" s="304"/>
      <c r="CT285" s="304"/>
      <c r="CU285" s="62"/>
      <c r="CV285" s="333"/>
      <c r="CW285" s="333"/>
      <c r="CX285" s="333"/>
      <c r="CY285" s="333"/>
      <c r="CZ285" s="333"/>
      <c r="DA285" s="333"/>
      <c r="DB285" s="333"/>
      <c r="DC285" s="333"/>
      <c r="DD285" s="304"/>
      <c r="DE285" s="304"/>
      <c r="DF285" s="304"/>
      <c r="DG285" s="304"/>
      <c r="DH285" s="304"/>
      <c r="DI285" s="333"/>
      <c r="DJ285" s="304"/>
      <c r="DK285" s="304"/>
      <c r="DL285" s="333"/>
      <c r="DM285" s="333"/>
      <c r="DN285" s="333"/>
      <c r="DO285" s="304"/>
      <c r="DP285" s="304"/>
      <c r="DQ285" s="304"/>
      <c r="DR285" s="333"/>
      <c r="DS285" s="333"/>
      <c r="DT285" s="304"/>
      <c r="DU285" s="333"/>
      <c r="DV285" s="304"/>
      <c r="DW285" s="304"/>
      <c r="DX285" s="304"/>
      <c r="DY285" s="304"/>
      <c r="DZ285" s="304"/>
      <c r="EA285" s="333"/>
      <c r="EB285" s="304"/>
      <c r="EC285" s="304"/>
      <c r="ED285" s="885"/>
    </row>
    <row r="286">
      <c r="A286" s="1798"/>
      <c r="B286" s="381" t="s">
        <v>155</v>
      </c>
      <c r="C286" s="384" t="s">
        <v>155</v>
      </c>
      <c r="D286" s="386" t="s">
        <v>155</v>
      </c>
      <c r="E286" s="389" t="s">
        <v>155</v>
      </c>
      <c r="F286" s="390" t="s">
        <v>155</v>
      </c>
      <c r="G286" s="381" t="s">
        <v>155</v>
      </c>
      <c r="H286" s="1711"/>
      <c r="I286" s="1799"/>
      <c r="J286" s="1711"/>
      <c r="K286" s="1711"/>
      <c r="L286" s="1711"/>
      <c r="M286" s="1711"/>
      <c r="N286" s="1711"/>
      <c r="O286" s="1711"/>
      <c r="P286" s="1711"/>
      <c r="Q286" s="849"/>
      <c r="R286" s="849"/>
      <c r="S286" s="849"/>
      <c r="T286" s="849"/>
      <c r="U286" s="849"/>
      <c r="V286" s="849"/>
      <c r="W286" s="62"/>
      <c r="X286" s="421"/>
      <c r="Y286" s="421"/>
      <c r="Z286" s="421"/>
      <c r="AA286" s="421"/>
      <c r="AB286" s="1007"/>
      <c r="AC286" s="421"/>
      <c r="AD286" s="421"/>
      <c r="AE286" s="852"/>
      <c r="AF286" s="421"/>
      <c r="AG286" s="421"/>
      <c r="AH286" s="852"/>
      <c r="AI286" s="852"/>
      <c r="AJ286" s="421"/>
      <c r="AK286" s="852"/>
      <c r="AL286" s="61"/>
      <c r="AM286" s="435"/>
      <c r="AN286" s="435"/>
      <c r="AO286" s="855"/>
      <c r="AP286" s="855"/>
      <c r="AQ286" s="571"/>
      <c r="AR286" s="571"/>
      <c r="AS286" s="855"/>
      <c r="AT286" s="855"/>
      <c r="AU286" s="435"/>
      <c r="AV286" s="435"/>
      <c r="AW286" s="435"/>
      <c r="AX286" s="855"/>
      <c r="AY286" s="855"/>
      <c r="AZ286" s="855"/>
      <c r="BA286" s="855"/>
      <c r="BB286" s="1645"/>
      <c r="BC286" s="1645"/>
      <c r="BD286" s="1645"/>
      <c r="BE286" s="1645"/>
      <c r="BF286" s="1645"/>
      <c r="BG286" s="1645"/>
      <c r="BH286" s="587"/>
      <c r="BI286" s="1645"/>
      <c r="BJ286" s="587"/>
      <c r="BK286" s="1645"/>
      <c r="BL286" s="1645"/>
      <c r="BM286" s="587"/>
      <c r="BN286" s="587"/>
      <c r="BO286" s="1645"/>
      <c r="BP286" s="587"/>
      <c r="BQ286" s="857"/>
      <c r="BR286" s="451"/>
      <c r="BS286" s="451"/>
      <c r="BT286" s="451"/>
      <c r="BU286" s="451"/>
      <c r="BV286" s="451"/>
      <c r="BW286" s="451"/>
      <c r="BX286" s="859"/>
      <c r="BY286" s="451"/>
      <c r="BZ286" s="451"/>
      <c r="CA286" s="451"/>
      <c r="CB286" s="859"/>
      <c r="CC286" s="859"/>
      <c r="CD286" s="859"/>
      <c r="CE286" s="859"/>
      <c r="CF286" s="861"/>
      <c r="CG286" s="460"/>
      <c r="CH286" s="460"/>
      <c r="CI286" s="460"/>
      <c r="CJ286" s="460"/>
      <c r="CK286" s="460"/>
      <c r="CL286" s="460"/>
      <c r="CM286" s="460"/>
      <c r="CN286" s="460"/>
      <c r="CO286" s="460"/>
      <c r="CP286" s="1800"/>
      <c r="CQ286" s="863"/>
      <c r="CR286" s="863"/>
      <c r="CS286" s="863"/>
      <c r="CT286" s="863"/>
      <c r="CU286" s="62"/>
      <c r="CV286" s="470"/>
      <c r="CW286" s="470"/>
      <c r="CX286" s="470"/>
      <c r="CY286" s="470"/>
      <c r="CZ286" s="470"/>
      <c r="DA286" s="470"/>
      <c r="DB286" s="470"/>
      <c r="DC286" s="470"/>
      <c r="DD286" s="864"/>
      <c r="DE286" s="864"/>
      <c r="DF286" s="864"/>
      <c r="DG286" s="864"/>
      <c r="DH286" s="864"/>
      <c r="DI286" s="709"/>
      <c r="DJ286" s="866"/>
      <c r="DK286" s="866"/>
      <c r="DL286" s="709"/>
      <c r="DM286" s="709"/>
      <c r="DN286" s="709"/>
      <c r="DO286" s="866"/>
      <c r="DP286" s="866"/>
      <c r="DQ286" s="866"/>
      <c r="DR286" s="709"/>
      <c r="DS286" s="709"/>
      <c r="DT286" s="866"/>
      <c r="DU286" s="709"/>
      <c r="DV286" s="866"/>
      <c r="DW286" s="866"/>
      <c r="DX286" s="866"/>
      <c r="DY286" s="866"/>
      <c r="DZ286" s="866"/>
      <c r="EA286" s="709"/>
      <c r="EB286" s="866"/>
      <c r="EC286" s="866"/>
      <c r="ED286" s="974"/>
    </row>
    <row r="287">
      <c r="A287" s="1718"/>
      <c r="B287" s="229" t="s">
        <v>155</v>
      </c>
      <c r="C287" s="230" t="s">
        <v>155</v>
      </c>
      <c r="D287" s="231" t="s">
        <v>155</v>
      </c>
      <c r="E287" s="232" t="s">
        <v>155</v>
      </c>
      <c r="F287" s="233" t="s">
        <v>155</v>
      </c>
      <c r="G287" s="229" t="s">
        <v>155</v>
      </c>
      <c r="H287" s="333"/>
      <c r="I287" s="274"/>
      <c r="J287" s="333"/>
      <c r="K287" s="333"/>
      <c r="L287" s="333"/>
      <c r="M287" s="333"/>
      <c r="N287" s="333"/>
      <c r="O287" s="333"/>
      <c r="P287" s="333"/>
      <c r="Q287" s="304"/>
      <c r="R287" s="304"/>
      <c r="S287" s="304"/>
      <c r="T287" s="304"/>
      <c r="U287" s="304"/>
      <c r="V287" s="304"/>
      <c r="W287" s="62"/>
      <c r="X287" s="333"/>
      <c r="Y287" s="333"/>
      <c r="Z287" s="333"/>
      <c r="AA287" s="333"/>
      <c r="AB287" s="908"/>
      <c r="AC287" s="333"/>
      <c r="AD287" s="333"/>
      <c r="AE287" s="304"/>
      <c r="AF287" s="333"/>
      <c r="AG287" s="333"/>
      <c r="AH287" s="304"/>
      <c r="AI287" s="304"/>
      <c r="AJ287" s="333"/>
      <c r="AK287" s="304"/>
      <c r="AL287" s="61"/>
      <c r="AM287" s="333"/>
      <c r="AN287" s="333"/>
      <c r="AO287" s="304"/>
      <c r="AP287" s="304"/>
      <c r="AQ287" s="273"/>
      <c r="AR287" s="273"/>
      <c r="AS287" s="304"/>
      <c r="AT287" s="304"/>
      <c r="AU287" s="333"/>
      <c r="AV287" s="333"/>
      <c r="AW287" s="333"/>
      <c r="AX287" s="304"/>
      <c r="AY287" s="304"/>
      <c r="AZ287" s="304"/>
      <c r="BA287" s="304"/>
      <c r="BB287" s="333"/>
      <c r="BC287" s="333"/>
      <c r="BD287" s="333"/>
      <c r="BE287" s="333"/>
      <c r="BF287" s="333"/>
      <c r="BG287" s="333"/>
      <c r="BH287" s="304"/>
      <c r="BI287" s="333"/>
      <c r="BJ287" s="304"/>
      <c r="BK287" s="333"/>
      <c r="BL287" s="333"/>
      <c r="BM287" s="304"/>
      <c r="BN287" s="304"/>
      <c r="BO287" s="333"/>
      <c r="BP287" s="304"/>
      <c r="BQ287" s="841"/>
      <c r="BR287" s="333"/>
      <c r="BS287" s="333"/>
      <c r="BT287" s="333"/>
      <c r="BU287" s="333"/>
      <c r="BV287" s="333"/>
      <c r="BW287" s="333"/>
      <c r="BX287" s="304"/>
      <c r="BY287" s="333"/>
      <c r="BZ287" s="333"/>
      <c r="CA287" s="333"/>
      <c r="CB287" s="304"/>
      <c r="CC287" s="304"/>
      <c r="CD287" s="304"/>
      <c r="CE287" s="304"/>
      <c r="CF287" s="841"/>
      <c r="CG287" s="333"/>
      <c r="CH287" s="333"/>
      <c r="CI287" s="333"/>
      <c r="CJ287" s="333"/>
      <c r="CK287" s="333"/>
      <c r="CL287" s="333"/>
      <c r="CM287" s="333"/>
      <c r="CN287" s="333"/>
      <c r="CO287" s="333"/>
      <c r="CP287" s="768"/>
      <c r="CQ287" s="304"/>
      <c r="CR287" s="304"/>
      <c r="CS287" s="304"/>
      <c r="CT287" s="304"/>
      <c r="CU287" s="62"/>
      <c r="CV287" s="333"/>
      <c r="CW287" s="333"/>
      <c r="CX287" s="333"/>
      <c r="CY287" s="333"/>
      <c r="CZ287" s="333"/>
      <c r="DA287" s="333"/>
      <c r="DB287" s="333"/>
      <c r="DC287" s="333"/>
      <c r="DD287" s="304"/>
      <c r="DE287" s="304"/>
      <c r="DF287" s="304"/>
      <c r="DG287" s="304"/>
      <c r="DH287" s="304"/>
      <c r="DI287" s="333"/>
      <c r="DJ287" s="304"/>
      <c r="DK287" s="304"/>
      <c r="DL287" s="333"/>
      <c r="DM287" s="333"/>
      <c r="DN287" s="333"/>
      <c r="DO287" s="304"/>
      <c r="DP287" s="304"/>
      <c r="DQ287" s="304"/>
      <c r="DR287" s="333"/>
      <c r="DS287" s="333"/>
      <c r="DT287" s="304"/>
      <c r="DU287" s="333"/>
      <c r="DV287" s="304"/>
      <c r="DW287" s="304"/>
      <c r="DX287" s="304"/>
      <c r="DY287" s="304"/>
      <c r="DZ287" s="304"/>
      <c r="EA287" s="333"/>
      <c r="EB287" s="304"/>
      <c r="EC287" s="304"/>
      <c r="ED287" s="885"/>
    </row>
    <row r="288">
      <c r="A288" s="2054"/>
      <c r="B288" s="381" t="s">
        <v>155</v>
      </c>
      <c r="C288" s="384" t="s">
        <v>155</v>
      </c>
      <c r="D288" s="386" t="s">
        <v>155</v>
      </c>
      <c r="E288" s="389" t="s">
        <v>155</v>
      </c>
      <c r="F288" s="390" t="s">
        <v>155</v>
      </c>
      <c r="G288" s="381" t="s">
        <v>155</v>
      </c>
      <c r="H288" s="547"/>
      <c r="I288" s="547"/>
      <c r="J288" s="547"/>
      <c r="K288" s="547"/>
      <c r="L288" s="547"/>
      <c r="M288" s="849"/>
      <c r="N288" s="547"/>
      <c r="O288" s="547"/>
      <c r="P288" s="547"/>
      <c r="Q288" s="849"/>
      <c r="R288" s="849"/>
      <c r="S288" s="849"/>
      <c r="T288" s="849"/>
      <c r="U288" s="849"/>
      <c r="V288" s="849"/>
      <c r="W288" s="62"/>
      <c r="X288" s="683"/>
      <c r="Y288" s="683"/>
      <c r="Z288" s="683"/>
      <c r="AA288" s="683"/>
      <c r="AB288" s="683"/>
      <c r="AC288" s="683"/>
      <c r="AD288" s="683"/>
      <c r="AE288" s="852"/>
      <c r="AF288" s="852"/>
      <c r="AG288" s="683"/>
      <c r="AH288" s="852"/>
      <c r="AI288" s="852"/>
      <c r="AJ288" s="852"/>
      <c r="AK288" s="852"/>
      <c r="AL288" s="61"/>
      <c r="AM288" s="855"/>
      <c r="AN288" s="855"/>
      <c r="AO288" s="855"/>
      <c r="AP288" s="855"/>
      <c r="AQ288" s="855"/>
      <c r="AR288" s="855"/>
      <c r="AS288" s="855"/>
      <c r="AT288" s="855"/>
      <c r="AU288" s="855"/>
      <c r="AV288" s="571"/>
      <c r="AW288" s="855"/>
      <c r="AX288" s="855"/>
      <c r="AY288" s="855"/>
      <c r="AZ288" s="855"/>
      <c r="BA288" s="855"/>
      <c r="BB288" s="587"/>
      <c r="BC288" s="587"/>
      <c r="BD288" s="587"/>
      <c r="BE288" s="587"/>
      <c r="BF288" s="587"/>
      <c r="BG288" s="587"/>
      <c r="BH288" s="587"/>
      <c r="BI288" s="589"/>
      <c r="BJ288" s="587"/>
      <c r="BK288" s="587"/>
      <c r="BL288" s="587"/>
      <c r="BM288" s="587"/>
      <c r="BN288" s="587"/>
      <c r="BO288" s="587"/>
      <c r="BP288" s="587"/>
      <c r="BQ288" s="857"/>
      <c r="BR288" s="859"/>
      <c r="BS288" s="859"/>
      <c r="BT288" s="594"/>
      <c r="BU288" s="594"/>
      <c r="BV288" s="859"/>
      <c r="BW288" s="859"/>
      <c r="BX288" s="859"/>
      <c r="BY288" s="859"/>
      <c r="BZ288" s="859"/>
      <c r="CA288" s="859"/>
      <c r="CB288" s="859"/>
      <c r="CC288" s="859"/>
      <c r="CD288" s="859"/>
      <c r="CE288" s="859"/>
      <c r="CF288" s="861"/>
      <c r="CG288" s="863"/>
      <c r="CH288" s="606"/>
      <c r="CI288" s="863"/>
      <c r="CJ288" s="863"/>
      <c r="CK288" s="863"/>
      <c r="CL288" s="863"/>
      <c r="CM288" s="863"/>
      <c r="CN288" s="863"/>
      <c r="CO288" s="863"/>
      <c r="CP288" s="863"/>
      <c r="CQ288" s="863"/>
      <c r="CR288" s="863"/>
      <c r="CS288" s="863"/>
      <c r="CT288" s="863"/>
      <c r="CU288" s="62"/>
      <c r="CV288" s="703"/>
      <c r="CW288" s="703"/>
      <c r="CX288" s="703"/>
      <c r="CY288" s="864"/>
      <c r="CZ288" s="864"/>
      <c r="DA288" s="864"/>
      <c r="DB288" s="703"/>
      <c r="DC288" s="703"/>
      <c r="DD288" s="864"/>
      <c r="DE288" s="864"/>
      <c r="DF288" s="864"/>
      <c r="DG288" s="864"/>
      <c r="DH288" s="864"/>
      <c r="DI288" s="866"/>
      <c r="DJ288" s="866"/>
      <c r="DK288" s="866"/>
      <c r="DL288" s="866"/>
      <c r="DM288" s="1565"/>
      <c r="DN288" s="866"/>
      <c r="DO288" s="866"/>
      <c r="DP288" s="866"/>
      <c r="DQ288" s="866"/>
      <c r="DR288" s="866"/>
      <c r="DS288" s="866"/>
      <c r="DT288" s="866"/>
      <c r="DU288" s="866"/>
      <c r="DV288" s="866"/>
      <c r="DW288" s="866"/>
      <c r="DX288" s="866"/>
      <c r="DY288" s="866"/>
      <c r="DZ288" s="866"/>
      <c r="EA288" s="866"/>
      <c r="EB288" s="866"/>
      <c r="EC288" s="866"/>
      <c r="ED288" s="1941"/>
    </row>
    <row r="289">
      <c r="A289" s="2055"/>
      <c r="B289" s="229" t="s">
        <v>155</v>
      </c>
      <c r="C289" s="230" t="s">
        <v>155</v>
      </c>
      <c r="D289" s="231" t="s">
        <v>155</v>
      </c>
      <c r="E289" s="232" t="s">
        <v>155</v>
      </c>
      <c r="F289" s="233" t="s">
        <v>155</v>
      </c>
      <c r="G289" s="229" t="s">
        <v>155</v>
      </c>
      <c r="H289" s="273"/>
      <c r="I289" s="273"/>
      <c r="J289" s="273"/>
      <c r="K289" s="273"/>
      <c r="L289" s="273"/>
      <c r="M289" s="273"/>
      <c r="N289" s="273"/>
      <c r="O289" s="273"/>
      <c r="P289" s="273"/>
      <c r="Q289" s="304"/>
      <c r="R289" s="304"/>
      <c r="S289" s="304"/>
      <c r="T289" s="304"/>
      <c r="U289" s="304"/>
      <c r="V289" s="304"/>
      <c r="W289" s="62"/>
      <c r="X289" s="273"/>
      <c r="Y289" s="273"/>
      <c r="Z289" s="273"/>
      <c r="AA289" s="273"/>
      <c r="AB289" s="304"/>
      <c r="AC289" s="273"/>
      <c r="AD289" s="273"/>
      <c r="AE289" s="304"/>
      <c r="AF289" s="304"/>
      <c r="AG289" s="273"/>
      <c r="AH289" s="304"/>
      <c r="AI289" s="304"/>
      <c r="AJ289" s="304"/>
      <c r="AK289" s="304"/>
      <c r="AL289" s="61"/>
      <c r="AM289" s="304"/>
      <c r="AN289" s="304"/>
      <c r="AO289" s="304"/>
      <c r="AP289" s="304"/>
      <c r="AQ289" s="304"/>
      <c r="AR289" s="304"/>
      <c r="AS289" s="304"/>
      <c r="AT289" s="304"/>
      <c r="AU289" s="273"/>
      <c r="AV289" s="273"/>
      <c r="AW289" s="304"/>
      <c r="AX289" s="304"/>
      <c r="AY289" s="304"/>
      <c r="AZ289" s="304"/>
      <c r="BA289" s="304"/>
      <c r="BB289" s="273"/>
      <c r="BC289" s="273"/>
      <c r="BD289" s="273"/>
      <c r="BE289" s="273"/>
      <c r="BF289" s="273"/>
      <c r="BG289" s="304"/>
      <c r="BH289" s="304"/>
      <c r="BI289" s="273"/>
      <c r="BJ289" s="304"/>
      <c r="BK289" s="304"/>
      <c r="BL289" s="273"/>
      <c r="BM289" s="304"/>
      <c r="BN289" s="304"/>
      <c r="BO289" s="304"/>
      <c r="BP289" s="304"/>
      <c r="BQ289" s="841"/>
      <c r="BR289" s="273"/>
      <c r="BS289" s="273"/>
      <c r="BT289" s="273"/>
      <c r="BU289" s="273"/>
      <c r="BV289" s="273"/>
      <c r="BW289" s="273"/>
      <c r="BX289" s="304"/>
      <c r="BY289" s="304"/>
      <c r="BZ289" s="304"/>
      <c r="CA289" s="273"/>
      <c r="CB289" s="304"/>
      <c r="CC289" s="304"/>
      <c r="CD289" s="304"/>
      <c r="CE289" s="304"/>
      <c r="CF289" s="841"/>
      <c r="CG289" s="273"/>
      <c r="CH289" s="273"/>
      <c r="CI289" s="304"/>
      <c r="CJ289" s="304"/>
      <c r="CK289" s="304"/>
      <c r="CL289" s="304"/>
      <c r="CM289" s="304"/>
      <c r="CN289" s="273"/>
      <c r="CO289" s="273"/>
      <c r="CP289" s="304"/>
      <c r="CQ289" s="304"/>
      <c r="CR289" s="304"/>
      <c r="CS289" s="304"/>
      <c r="CT289" s="304"/>
      <c r="CU289" s="62"/>
      <c r="CV289" s="273"/>
      <c r="CW289" s="304"/>
      <c r="CX289" s="273"/>
      <c r="CY289" s="273"/>
      <c r="CZ289" s="273"/>
      <c r="DA289" s="273"/>
      <c r="DB289" s="273"/>
      <c r="DC289" s="273"/>
      <c r="DD289" s="304"/>
      <c r="DE289" s="304"/>
      <c r="DF289" s="304"/>
      <c r="DG289" s="304"/>
      <c r="DH289" s="304"/>
      <c r="DI289" s="304"/>
      <c r="DJ289" s="304"/>
      <c r="DK289" s="304"/>
      <c r="DL289" s="304"/>
      <c r="DM289" s="304"/>
      <c r="DN289" s="304"/>
      <c r="DO289" s="304"/>
      <c r="DP289" s="304"/>
      <c r="DQ289" s="304"/>
      <c r="DR289" s="304"/>
      <c r="DS289" s="273"/>
      <c r="DT289" s="304"/>
      <c r="DU289" s="304"/>
      <c r="DV289" s="304"/>
      <c r="DW289" s="304"/>
      <c r="DX289" s="304"/>
      <c r="DY289" s="304"/>
      <c r="DZ289" s="304"/>
      <c r="EA289" s="304"/>
      <c r="EB289" s="304"/>
      <c r="EC289" s="304"/>
      <c r="ED289" s="885"/>
    </row>
    <row r="290">
      <c r="A290" s="1798"/>
      <c r="B290" s="381" t="s">
        <v>155</v>
      </c>
      <c r="C290" s="384" t="s">
        <v>155</v>
      </c>
      <c r="D290" s="386" t="s">
        <v>155</v>
      </c>
      <c r="E290" s="389" t="s">
        <v>155</v>
      </c>
      <c r="F290" s="390" t="s">
        <v>155</v>
      </c>
      <c r="G290" s="381" t="s">
        <v>155</v>
      </c>
      <c r="H290" s="1711"/>
      <c r="I290" s="1799"/>
      <c r="J290" s="1711"/>
      <c r="K290" s="1711"/>
      <c r="L290" s="1711"/>
      <c r="M290" s="1711"/>
      <c r="N290" s="1711"/>
      <c r="O290" s="1711"/>
      <c r="P290" s="1711"/>
      <c r="Q290" s="849"/>
      <c r="R290" s="849"/>
      <c r="S290" s="849"/>
      <c r="T290" s="849"/>
      <c r="U290" s="849"/>
      <c r="V290" s="849"/>
      <c r="W290" s="62"/>
      <c r="X290" s="421"/>
      <c r="Y290" s="421"/>
      <c r="Z290" s="421"/>
      <c r="AA290" s="421"/>
      <c r="AB290" s="1007"/>
      <c r="AC290" s="421"/>
      <c r="AD290" s="421"/>
      <c r="AE290" s="852"/>
      <c r="AF290" s="421"/>
      <c r="AG290" s="421"/>
      <c r="AH290" s="852"/>
      <c r="AI290" s="852"/>
      <c r="AJ290" s="421"/>
      <c r="AK290" s="852"/>
      <c r="AL290" s="61"/>
      <c r="AM290" s="435"/>
      <c r="AN290" s="435"/>
      <c r="AO290" s="855"/>
      <c r="AP290" s="855"/>
      <c r="AQ290" s="571"/>
      <c r="AR290" s="571"/>
      <c r="AS290" s="855"/>
      <c r="AT290" s="855"/>
      <c r="AU290" s="435"/>
      <c r="AV290" s="435"/>
      <c r="AW290" s="435"/>
      <c r="AX290" s="855"/>
      <c r="AY290" s="855"/>
      <c r="AZ290" s="855"/>
      <c r="BA290" s="855"/>
      <c r="BB290" s="1645"/>
      <c r="BC290" s="1645"/>
      <c r="BD290" s="1645"/>
      <c r="BE290" s="1645"/>
      <c r="BF290" s="1645"/>
      <c r="BG290" s="1645"/>
      <c r="BH290" s="587"/>
      <c r="BI290" s="1645"/>
      <c r="BJ290" s="587"/>
      <c r="BK290" s="1645"/>
      <c r="BL290" s="1645"/>
      <c r="BM290" s="587"/>
      <c r="BN290" s="587"/>
      <c r="BO290" s="1645"/>
      <c r="BP290" s="587"/>
      <c r="BQ290" s="857"/>
      <c r="BR290" s="451"/>
      <c r="BS290" s="451"/>
      <c r="BT290" s="451"/>
      <c r="BU290" s="451"/>
      <c r="BV290" s="451"/>
      <c r="BW290" s="451"/>
      <c r="BX290" s="859"/>
      <c r="BY290" s="451"/>
      <c r="BZ290" s="451"/>
      <c r="CA290" s="451"/>
      <c r="CB290" s="859"/>
      <c r="CC290" s="859"/>
      <c r="CD290" s="859"/>
      <c r="CE290" s="859"/>
      <c r="CF290" s="861"/>
      <c r="CG290" s="460"/>
      <c r="CH290" s="460"/>
      <c r="CI290" s="460"/>
      <c r="CJ290" s="460"/>
      <c r="CK290" s="460"/>
      <c r="CL290" s="460"/>
      <c r="CM290" s="460"/>
      <c r="CN290" s="460"/>
      <c r="CO290" s="460"/>
      <c r="CP290" s="1800"/>
      <c r="CQ290" s="863"/>
      <c r="CR290" s="863"/>
      <c r="CS290" s="863"/>
      <c r="CT290" s="863"/>
      <c r="CU290" s="62"/>
      <c r="CV290" s="470"/>
      <c r="CW290" s="470"/>
      <c r="CX290" s="470"/>
      <c r="CY290" s="470"/>
      <c r="CZ290" s="470"/>
      <c r="DA290" s="470"/>
      <c r="DB290" s="470"/>
      <c r="DC290" s="470"/>
      <c r="DD290" s="864"/>
      <c r="DE290" s="864"/>
      <c r="DF290" s="864"/>
      <c r="DG290" s="864"/>
      <c r="DH290" s="864"/>
      <c r="DI290" s="709"/>
      <c r="DJ290" s="866"/>
      <c r="DK290" s="866"/>
      <c r="DL290" s="709"/>
      <c r="DM290" s="709"/>
      <c r="DN290" s="709"/>
      <c r="DO290" s="866"/>
      <c r="DP290" s="866"/>
      <c r="DQ290" s="866"/>
      <c r="DR290" s="709"/>
      <c r="DS290" s="709"/>
      <c r="DT290" s="866"/>
      <c r="DU290" s="709"/>
      <c r="DV290" s="866"/>
      <c r="DW290" s="866"/>
      <c r="DX290" s="866"/>
      <c r="DY290" s="866"/>
      <c r="DZ290" s="866"/>
      <c r="EA290" s="709"/>
      <c r="EB290" s="866"/>
      <c r="EC290" s="866"/>
      <c r="ED290" s="974"/>
    </row>
    <row r="291">
      <c r="A291" s="1718"/>
      <c r="B291" s="229" t="s">
        <v>155</v>
      </c>
      <c r="C291" s="230" t="s">
        <v>155</v>
      </c>
      <c r="D291" s="231" t="s">
        <v>155</v>
      </c>
      <c r="E291" s="232" t="s">
        <v>155</v>
      </c>
      <c r="F291" s="233" t="s">
        <v>155</v>
      </c>
      <c r="G291" s="229" t="s">
        <v>155</v>
      </c>
      <c r="H291" s="333"/>
      <c r="I291" s="274"/>
      <c r="J291" s="333"/>
      <c r="K291" s="333"/>
      <c r="L291" s="333"/>
      <c r="M291" s="333"/>
      <c r="N291" s="333"/>
      <c r="O291" s="333"/>
      <c r="P291" s="333"/>
      <c r="Q291" s="304"/>
      <c r="R291" s="304"/>
      <c r="S291" s="304"/>
      <c r="T291" s="304"/>
      <c r="U291" s="304"/>
      <c r="V291" s="304"/>
      <c r="W291" s="62"/>
      <c r="X291" s="333"/>
      <c r="Y291" s="333"/>
      <c r="Z291" s="333"/>
      <c r="AA291" s="333"/>
      <c r="AB291" s="908"/>
      <c r="AC291" s="333"/>
      <c r="AD291" s="333"/>
      <c r="AE291" s="304"/>
      <c r="AF291" s="333"/>
      <c r="AG291" s="333"/>
      <c r="AH291" s="304"/>
      <c r="AI291" s="304"/>
      <c r="AJ291" s="333"/>
      <c r="AK291" s="304"/>
      <c r="AL291" s="61"/>
      <c r="AM291" s="333"/>
      <c r="AN291" s="333"/>
      <c r="AO291" s="304"/>
      <c r="AP291" s="304"/>
      <c r="AQ291" s="273"/>
      <c r="AR291" s="273"/>
      <c r="AS291" s="304"/>
      <c r="AT291" s="304"/>
      <c r="AU291" s="333"/>
      <c r="AV291" s="333"/>
      <c r="AW291" s="333"/>
      <c r="AX291" s="304"/>
      <c r="AY291" s="304"/>
      <c r="AZ291" s="304"/>
      <c r="BA291" s="304"/>
      <c r="BB291" s="333"/>
      <c r="BC291" s="333"/>
      <c r="BD291" s="333"/>
      <c r="BE291" s="333"/>
      <c r="BF291" s="333"/>
      <c r="BG291" s="333"/>
      <c r="BH291" s="304"/>
      <c r="BI291" s="333"/>
      <c r="BJ291" s="304"/>
      <c r="BK291" s="333"/>
      <c r="BL291" s="333"/>
      <c r="BM291" s="304"/>
      <c r="BN291" s="304"/>
      <c r="BO291" s="333"/>
      <c r="BP291" s="304"/>
      <c r="BQ291" s="841"/>
      <c r="BR291" s="333"/>
      <c r="BS291" s="333"/>
      <c r="BT291" s="333"/>
      <c r="BU291" s="333"/>
      <c r="BV291" s="333"/>
      <c r="BW291" s="333"/>
      <c r="BX291" s="304"/>
      <c r="BY291" s="333"/>
      <c r="BZ291" s="333"/>
      <c r="CA291" s="333"/>
      <c r="CB291" s="304"/>
      <c r="CC291" s="304"/>
      <c r="CD291" s="304"/>
      <c r="CE291" s="304"/>
      <c r="CF291" s="841"/>
      <c r="CG291" s="333"/>
      <c r="CH291" s="333"/>
      <c r="CI291" s="333"/>
      <c r="CJ291" s="333"/>
      <c r="CK291" s="333"/>
      <c r="CL291" s="333"/>
      <c r="CM291" s="333"/>
      <c r="CN291" s="333"/>
      <c r="CO291" s="333"/>
      <c r="CP291" s="768"/>
      <c r="CQ291" s="304"/>
      <c r="CR291" s="304"/>
      <c r="CS291" s="304"/>
      <c r="CT291" s="304"/>
      <c r="CU291" s="62"/>
      <c r="CV291" s="333"/>
      <c r="CW291" s="333"/>
      <c r="CX291" s="333"/>
      <c r="CY291" s="333"/>
      <c r="CZ291" s="333"/>
      <c r="DA291" s="333"/>
      <c r="DB291" s="333"/>
      <c r="DC291" s="333"/>
      <c r="DD291" s="304"/>
      <c r="DE291" s="304"/>
      <c r="DF291" s="304"/>
      <c r="DG291" s="304"/>
      <c r="DH291" s="304"/>
      <c r="DI291" s="333"/>
      <c r="DJ291" s="304"/>
      <c r="DK291" s="304"/>
      <c r="DL291" s="333"/>
      <c r="DM291" s="333"/>
      <c r="DN291" s="333"/>
      <c r="DO291" s="304"/>
      <c r="DP291" s="304"/>
      <c r="DQ291" s="304"/>
      <c r="DR291" s="333"/>
      <c r="DS291" s="333"/>
      <c r="DT291" s="304"/>
      <c r="DU291" s="333"/>
      <c r="DV291" s="304"/>
      <c r="DW291" s="304"/>
      <c r="DX291" s="304"/>
      <c r="DY291" s="304"/>
      <c r="DZ291" s="304"/>
      <c r="EA291" s="333"/>
      <c r="EB291" s="304"/>
      <c r="EC291" s="304"/>
      <c r="ED291" s="885"/>
    </row>
    <row r="292">
      <c r="A292" s="1798"/>
      <c r="B292" s="381" t="s">
        <v>155</v>
      </c>
      <c r="C292" s="384" t="s">
        <v>155</v>
      </c>
      <c r="D292" s="386" t="s">
        <v>155</v>
      </c>
      <c r="E292" s="389" t="s">
        <v>155</v>
      </c>
      <c r="F292" s="390" t="s">
        <v>155</v>
      </c>
      <c r="G292" s="381" t="s">
        <v>155</v>
      </c>
      <c r="H292" s="1711"/>
      <c r="I292" s="1799"/>
      <c r="J292" s="1711"/>
      <c r="K292" s="1711"/>
      <c r="L292" s="1711"/>
      <c r="M292" s="1711"/>
      <c r="N292" s="1711"/>
      <c r="O292" s="1711"/>
      <c r="P292" s="1711"/>
      <c r="Q292" s="849"/>
      <c r="R292" s="849"/>
      <c r="S292" s="849"/>
      <c r="T292" s="849"/>
      <c r="U292" s="849"/>
      <c r="V292" s="849"/>
      <c r="W292" s="62"/>
      <c r="X292" s="421"/>
      <c r="Y292" s="421"/>
      <c r="Z292" s="421"/>
      <c r="AA292" s="421"/>
      <c r="AB292" s="1007"/>
      <c r="AC292" s="421"/>
      <c r="AD292" s="421"/>
      <c r="AE292" s="852"/>
      <c r="AF292" s="421"/>
      <c r="AG292" s="421"/>
      <c r="AH292" s="852"/>
      <c r="AI292" s="852"/>
      <c r="AJ292" s="421"/>
      <c r="AK292" s="852"/>
      <c r="AL292" s="61"/>
      <c r="AM292" s="435"/>
      <c r="AN292" s="435"/>
      <c r="AO292" s="855"/>
      <c r="AP292" s="855"/>
      <c r="AQ292" s="571"/>
      <c r="AR292" s="571"/>
      <c r="AS292" s="855"/>
      <c r="AT292" s="855"/>
      <c r="AU292" s="435"/>
      <c r="AV292" s="435"/>
      <c r="AW292" s="435"/>
      <c r="AX292" s="855"/>
      <c r="AY292" s="855"/>
      <c r="AZ292" s="855"/>
      <c r="BA292" s="855"/>
      <c r="BB292" s="1645"/>
      <c r="BC292" s="1645"/>
      <c r="BD292" s="1645"/>
      <c r="BE292" s="1645"/>
      <c r="BF292" s="1645"/>
      <c r="BG292" s="1645"/>
      <c r="BH292" s="587"/>
      <c r="BI292" s="1645"/>
      <c r="BJ292" s="587"/>
      <c r="BK292" s="1645"/>
      <c r="BL292" s="1645"/>
      <c r="BM292" s="587"/>
      <c r="BN292" s="587"/>
      <c r="BO292" s="1645"/>
      <c r="BP292" s="587"/>
      <c r="BQ292" s="857"/>
      <c r="BR292" s="451"/>
      <c r="BS292" s="451"/>
      <c r="BT292" s="451"/>
      <c r="BU292" s="451"/>
      <c r="BV292" s="451"/>
      <c r="BW292" s="451"/>
      <c r="BX292" s="859"/>
      <c r="BY292" s="451"/>
      <c r="BZ292" s="451"/>
      <c r="CA292" s="451"/>
      <c r="CB292" s="859"/>
      <c r="CC292" s="859"/>
      <c r="CD292" s="859"/>
      <c r="CE292" s="859"/>
      <c r="CF292" s="861"/>
      <c r="CG292" s="460"/>
      <c r="CH292" s="460"/>
      <c r="CI292" s="460"/>
      <c r="CJ292" s="460"/>
      <c r="CK292" s="460"/>
      <c r="CL292" s="460"/>
      <c r="CM292" s="460"/>
      <c r="CN292" s="460"/>
      <c r="CO292" s="460"/>
      <c r="CP292" s="1800"/>
      <c r="CQ292" s="863"/>
      <c r="CR292" s="863"/>
      <c r="CS292" s="863"/>
      <c r="CT292" s="863"/>
      <c r="CU292" s="62"/>
      <c r="CV292" s="470"/>
      <c r="CW292" s="470"/>
      <c r="CX292" s="470"/>
      <c r="CY292" s="470"/>
      <c r="CZ292" s="470"/>
      <c r="DA292" s="470"/>
      <c r="DB292" s="470"/>
      <c r="DC292" s="470"/>
      <c r="DD292" s="864"/>
      <c r="DE292" s="864"/>
      <c r="DF292" s="864"/>
      <c r="DG292" s="864"/>
      <c r="DH292" s="864"/>
      <c r="DI292" s="709"/>
      <c r="DJ292" s="866"/>
      <c r="DK292" s="866"/>
      <c r="DL292" s="709"/>
      <c r="DM292" s="709"/>
      <c r="DN292" s="709"/>
      <c r="DO292" s="866"/>
      <c r="DP292" s="866"/>
      <c r="DQ292" s="866"/>
      <c r="DR292" s="709"/>
      <c r="DS292" s="709"/>
      <c r="DT292" s="866"/>
      <c r="DU292" s="709"/>
      <c r="DV292" s="866"/>
      <c r="DW292" s="866"/>
      <c r="DX292" s="866"/>
      <c r="DY292" s="866"/>
      <c r="DZ292" s="866"/>
      <c r="EA292" s="709"/>
      <c r="EB292" s="866"/>
      <c r="EC292" s="866"/>
      <c r="ED292" s="974"/>
    </row>
    <row r="293">
      <c r="A293" s="1718"/>
      <c r="B293" s="229" t="s">
        <v>155</v>
      </c>
      <c r="C293" s="230" t="s">
        <v>155</v>
      </c>
      <c r="D293" s="231" t="s">
        <v>155</v>
      </c>
      <c r="E293" s="232" t="s">
        <v>155</v>
      </c>
      <c r="F293" s="233" t="s">
        <v>155</v>
      </c>
      <c r="G293" s="229" t="s">
        <v>155</v>
      </c>
      <c r="H293" s="333"/>
      <c r="I293" s="274"/>
      <c r="J293" s="333"/>
      <c r="K293" s="333"/>
      <c r="L293" s="333"/>
      <c r="M293" s="333"/>
      <c r="N293" s="333"/>
      <c r="O293" s="333"/>
      <c r="P293" s="333"/>
      <c r="Q293" s="304"/>
      <c r="R293" s="304"/>
      <c r="S293" s="304"/>
      <c r="T293" s="304"/>
      <c r="U293" s="304"/>
      <c r="V293" s="304"/>
      <c r="W293" s="62"/>
      <c r="X293" s="333"/>
      <c r="Y293" s="333"/>
      <c r="Z293" s="333"/>
      <c r="AA293" s="333"/>
      <c r="AB293" s="908"/>
      <c r="AC293" s="333"/>
      <c r="AD293" s="333"/>
      <c r="AE293" s="304"/>
      <c r="AF293" s="333"/>
      <c r="AG293" s="333"/>
      <c r="AH293" s="304"/>
      <c r="AI293" s="304"/>
      <c r="AJ293" s="333"/>
      <c r="AK293" s="304"/>
      <c r="AL293" s="61"/>
      <c r="AM293" s="333"/>
      <c r="AN293" s="333"/>
      <c r="AO293" s="304"/>
      <c r="AP293" s="304"/>
      <c r="AQ293" s="273"/>
      <c r="AR293" s="273"/>
      <c r="AS293" s="304"/>
      <c r="AT293" s="304"/>
      <c r="AU293" s="333"/>
      <c r="AV293" s="333"/>
      <c r="AW293" s="333"/>
      <c r="AX293" s="304"/>
      <c r="AY293" s="304"/>
      <c r="AZ293" s="304"/>
      <c r="BA293" s="304"/>
      <c r="BB293" s="333"/>
      <c r="BC293" s="333"/>
      <c r="BD293" s="333"/>
      <c r="BE293" s="333"/>
      <c r="BF293" s="333"/>
      <c r="BG293" s="333"/>
      <c r="BH293" s="304"/>
      <c r="BI293" s="333"/>
      <c r="BJ293" s="304"/>
      <c r="BK293" s="333"/>
      <c r="BL293" s="333"/>
      <c r="BM293" s="304"/>
      <c r="BN293" s="304"/>
      <c r="BO293" s="333"/>
      <c r="BP293" s="304"/>
      <c r="BQ293" s="841"/>
      <c r="BR293" s="333"/>
      <c r="BS293" s="333"/>
      <c r="BT293" s="333"/>
      <c r="BU293" s="333"/>
      <c r="BV293" s="333"/>
      <c r="BW293" s="333"/>
      <c r="BX293" s="304"/>
      <c r="BY293" s="333"/>
      <c r="BZ293" s="333"/>
      <c r="CA293" s="333"/>
      <c r="CB293" s="304"/>
      <c r="CC293" s="304"/>
      <c r="CD293" s="304"/>
      <c r="CE293" s="304"/>
      <c r="CF293" s="841"/>
      <c r="CG293" s="333"/>
      <c r="CH293" s="333"/>
      <c r="CI293" s="333"/>
      <c r="CJ293" s="333"/>
      <c r="CK293" s="333"/>
      <c r="CL293" s="333"/>
      <c r="CM293" s="333"/>
      <c r="CN293" s="333"/>
      <c r="CO293" s="333"/>
      <c r="CP293" s="768"/>
      <c r="CQ293" s="304"/>
      <c r="CR293" s="304"/>
      <c r="CS293" s="304"/>
      <c r="CT293" s="304"/>
      <c r="CU293" s="62"/>
      <c r="CV293" s="333"/>
      <c r="CW293" s="333"/>
      <c r="CX293" s="333"/>
      <c r="CY293" s="333"/>
      <c r="CZ293" s="333"/>
      <c r="DA293" s="333"/>
      <c r="DB293" s="333"/>
      <c r="DC293" s="333"/>
      <c r="DD293" s="304"/>
      <c r="DE293" s="304"/>
      <c r="DF293" s="304"/>
      <c r="DG293" s="304"/>
      <c r="DH293" s="304"/>
      <c r="DI293" s="333"/>
      <c r="DJ293" s="304"/>
      <c r="DK293" s="304"/>
      <c r="DL293" s="333"/>
      <c r="DM293" s="333"/>
      <c r="DN293" s="333"/>
      <c r="DO293" s="304"/>
      <c r="DP293" s="304"/>
      <c r="DQ293" s="304"/>
      <c r="DR293" s="333"/>
      <c r="DS293" s="333"/>
      <c r="DT293" s="304"/>
      <c r="DU293" s="333"/>
      <c r="DV293" s="304"/>
      <c r="DW293" s="304"/>
      <c r="DX293" s="304"/>
      <c r="DY293" s="304"/>
      <c r="DZ293" s="304"/>
      <c r="EA293" s="333"/>
      <c r="EB293" s="304"/>
      <c r="EC293" s="304"/>
      <c r="ED293" s="885"/>
    </row>
    <row r="294">
      <c r="A294" s="1798"/>
      <c r="B294" s="381" t="s">
        <v>155</v>
      </c>
      <c r="C294" s="384" t="s">
        <v>155</v>
      </c>
      <c r="D294" s="386" t="s">
        <v>155</v>
      </c>
      <c r="E294" s="389" t="s">
        <v>155</v>
      </c>
      <c r="F294" s="390" t="s">
        <v>155</v>
      </c>
      <c r="G294" s="381" t="s">
        <v>155</v>
      </c>
      <c r="H294" s="1711"/>
      <c r="I294" s="1799"/>
      <c r="J294" s="1711"/>
      <c r="K294" s="1711"/>
      <c r="L294" s="1711"/>
      <c r="M294" s="1711"/>
      <c r="N294" s="1711"/>
      <c r="O294" s="1711"/>
      <c r="P294" s="1711"/>
      <c r="Q294" s="849"/>
      <c r="R294" s="849"/>
      <c r="S294" s="849"/>
      <c r="T294" s="849"/>
      <c r="U294" s="849"/>
      <c r="V294" s="849"/>
      <c r="W294" s="62"/>
      <c r="X294" s="421"/>
      <c r="Y294" s="421"/>
      <c r="Z294" s="421"/>
      <c r="AA294" s="421"/>
      <c r="AB294" s="1007"/>
      <c r="AC294" s="421"/>
      <c r="AD294" s="421"/>
      <c r="AE294" s="852"/>
      <c r="AF294" s="421"/>
      <c r="AG294" s="421"/>
      <c r="AH294" s="852"/>
      <c r="AI294" s="852"/>
      <c r="AJ294" s="421"/>
      <c r="AK294" s="852"/>
      <c r="AL294" s="61"/>
      <c r="AM294" s="435"/>
      <c r="AN294" s="435"/>
      <c r="AO294" s="855"/>
      <c r="AP294" s="855"/>
      <c r="AQ294" s="571"/>
      <c r="AR294" s="571"/>
      <c r="AS294" s="855"/>
      <c r="AT294" s="855"/>
      <c r="AU294" s="435"/>
      <c r="AV294" s="435"/>
      <c r="AW294" s="435"/>
      <c r="AX294" s="855"/>
      <c r="AY294" s="855"/>
      <c r="AZ294" s="855"/>
      <c r="BA294" s="855"/>
      <c r="BB294" s="1645"/>
      <c r="BC294" s="1645"/>
      <c r="BD294" s="1645"/>
      <c r="BE294" s="1645"/>
      <c r="BF294" s="1645"/>
      <c r="BG294" s="1645"/>
      <c r="BH294" s="587"/>
      <c r="BI294" s="1645"/>
      <c r="BJ294" s="587"/>
      <c r="BK294" s="1645"/>
      <c r="BL294" s="1645"/>
      <c r="BM294" s="587"/>
      <c r="BN294" s="587"/>
      <c r="BO294" s="1645"/>
      <c r="BP294" s="587"/>
      <c r="BQ294" s="857"/>
      <c r="BR294" s="451"/>
      <c r="BS294" s="451"/>
      <c r="BT294" s="451"/>
      <c r="BU294" s="451"/>
      <c r="BV294" s="451"/>
      <c r="BW294" s="451"/>
      <c r="BX294" s="859"/>
      <c r="BY294" s="451"/>
      <c r="BZ294" s="451"/>
      <c r="CA294" s="451"/>
      <c r="CB294" s="859"/>
      <c r="CC294" s="859"/>
      <c r="CD294" s="859"/>
      <c r="CE294" s="859"/>
      <c r="CF294" s="861"/>
      <c r="CG294" s="460"/>
      <c r="CH294" s="460"/>
      <c r="CI294" s="460"/>
      <c r="CJ294" s="460"/>
      <c r="CK294" s="460"/>
      <c r="CL294" s="460"/>
      <c r="CM294" s="460"/>
      <c r="CN294" s="460"/>
      <c r="CO294" s="460"/>
      <c r="CP294" s="1800"/>
      <c r="CQ294" s="863"/>
      <c r="CR294" s="863"/>
      <c r="CS294" s="863"/>
      <c r="CT294" s="863"/>
      <c r="CU294" s="62"/>
      <c r="CV294" s="470"/>
      <c r="CW294" s="470"/>
      <c r="CX294" s="470"/>
      <c r="CY294" s="470"/>
      <c r="CZ294" s="470"/>
      <c r="DA294" s="470"/>
      <c r="DB294" s="470"/>
      <c r="DC294" s="470"/>
      <c r="DD294" s="864"/>
      <c r="DE294" s="864"/>
      <c r="DF294" s="864"/>
      <c r="DG294" s="864"/>
      <c r="DH294" s="864"/>
      <c r="DI294" s="709"/>
      <c r="DJ294" s="866"/>
      <c r="DK294" s="866"/>
      <c r="DL294" s="709"/>
      <c r="DM294" s="709"/>
      <c r="DN294" s="709"/>
      <c r="DO294" s="866"/>
      <c r="DP294" s="866"/>
      <c r="DQ294" s="866"/>
      <c r="DR294" s="709"/>
      <c r="DS294" s="709"/>
      <c r="DT294" s="866"/>
      <c r="DU294" s="709"/>
      <c r="DV294" s="866"/>
      <c r="DW294" s="866"/>
      <c r="DX294" s="866"/>
      <c r="DY294" s="866"/>
      <c r="DZ294" s="866"/>
      <c r="EA294" s="709"/>
      <c r="EB294" s="866"/>
      <c r="EC294" s="866"/>
      <c r="ED294" s="974"/>
    </row>
    <row r="295">
      <c r="A295" s="1718"/>
      <c r="B295" s="229" t="s">
        <v>155</v>
      </c>
      <c r="C295" s="230" t="s">
        <v>155</v>
      </c>
      <c r="D295" s="231" t="s">
        <v>155</v>
      </c>
      <c r="E295" s="232" t="s">
        <v>155</v>
      </c>
      <c r="F295" s="233" t="s">
        <v>155</v>
      </c>
      <c r="G295" s="229" t="s">
        <v>155</v>
      </c>
      <c r="H295" s="333"/>
      <c r="I295" s="274"/>
      <c r="J295" s="333"/>
      <c r="K295" s="333"/>
      <c r="L295" s="333"/>
      <c r="M295" s="333"/>
      <c r="N295" s="333"/>
      <c r="O295" s="333"/>
      <c r="P295" s="333"/>
      <c r="Q295" s="304"/>
      <c r="R295" s="304"/>
      <c r="S295" s="304"/>
      <c r="T295" s="304"/>
      <c r="U295" s="304"/>
      <c r="V295" s="304"/>
      <c r="W295" s="62"/>
      <c r="X295" s="333"/>
      <c r="Y295" s="333"/>
      <c r="Z295" s="333"/>
      <c r="AA295" s="333"/>
      <c r="AB295" s="908"/>
      <c r="AC295" s="333"/>
      <c r="AD295" s="333"/>
      <c r="AE295" s="304"/>
      <c r="AF295" s="333"/>
      <c r="AG295" s="333"/>
      <c r="AH295" s="304"/>
      <c r="AI295" s="304"/>
      <c r="AJ295" s="333"/>
      <c r="AK295" s="304"/>
      <c r="AL295" s="61"/>
      <c r="AM295" s="333"/>
      <c r="AN295" s="333"/>
      <c r="AO295" s="304"/>
      <c r="AP295" s="304"/>
      <c r="AQ295" s="273"/>
      <c r="AR295" s="273"/>
      <c r="AS295" s="304"/>
      <c r="AT295" s="304"/>
      <c r="AU295" s="333"/>
      <c r="AV295" s="333"/>
      <c r="AW295" s="333"/>
      <c r="AX295" s="304"/>
      <c r="AY295" s="304"/>
      <c r="AZ295" s="304"/>
      <c r="BA295" s="304"/>
      <c r="BB295" s="333"/>
      <c r="BC295" s="333"/>
      <c r="BD295" s="333"/>
      <c r="BE295" s="333"/>
      <c r="BF295" s="333"/>
      <c r="BG295" s="333"/>
      <c r="BH295" s="304"/>
      <c r="BI295" s="333"/>
      <c r="BJ295" s="304"/>
      <c r="BK295" s="333"/>
      <c r="BL295" s="333"/>
      <c r="BM295" s="304"/>
      <c r="BN295" s="304"/>
      <c r="BO295" s="333"/>
      <c r="BP295" s="304"/>
      <c r="BQ295" s="841"/>
      <c r="BR295" s="333"/>
      <c r="BS295" s="333"/>
      <c r="BT295" s="333"/>
      <c r="BU295" s="333"/>
      <c r="BV295" s="333"/>
      <c r="BW295" s="333"/>
      <c r="BX295" s="304"/>
      <c r="BY295" s="333"/>
      <c r="BZ295" s="333"/>
      <c r="CA295" s="333"/>
      <c r="CB295" s="304"/>
      <c r="CC295" s="304"/>
      <c r="CD295" s="304"/>
      <c r="CE295" s="304"/>
      <c r="CF295" s="841"/>
      <c r="CG295" s="333"/>
      <c r="CH295" s="333"/>
      <c r="CI295" s="333"/>
      <c r="CJ295" s="333"/>
      <c r="CK295" s="333"/>
      <c r="CL295" s="333"/>
      <c r="CM295" s="333"/>
      <c r="CN295" s="333"/>
      <c r="CO295" s="333"/>
      <c r="CP295" s="768"/>
      <c r="CQ295" s="304"/>
      <c r="CR295" s="304"/>
      <c r="CS295" s="304"/>
      <c r="CT295" s="304"/>
      <c r="CU295" s="62"/>
      <c r="CV295" s="333"/>
      <c r="CW295" s="333"/>
      <c r="CX295" s="333"/>
      <c r="CY295" s="333"/>
      <c r="CZ295" s="333"/>
      <c r="DA295" s="333"/>
      <c r="DB295" s="333"/>
      <c r="DC295" s="333"/>
      <c r="DD295" s="304"/>
      <c r="DE295" s="304"/>
      <c r="DF295" s="304"/>
      <c r="DG295" s="304"/>
      <c r="DH295" s="841"/>
      <c r="DI295" s="333"/>
      <c r="DJ295" s="304"/>
      <c r="DK295" s="304"/>
      <c r="DL295" s="333"/>
      <c r="DM295" s="333"/>
      <c r="DN295" s="333"/>
      <c r="DO295" s="304"/>
      <c r="DP295" s="304"/>
      <c r="DQ295" s="304"/>
      <c r="DR295" s="333"/>
      <c r="DS295" s="333"/>
      <c r="DT295" s="304"/>
      <c r="DU295" s="333"/>
      <c r="DV295" s="304"/>
      <c r="DW295" s="304"/>
      <c r="DX295" s="304"/>
      <c r="DY295" s="304"/>
      <c r="DZ295" s="304"/>
      <c r="EA295" s="333"/>
      <c r="EB295" s="304"/>
      <c r="EC295" s="304"/>
      <c r="ED295" s="885"/>
    </row>
    <row r="296">
      <c r="A296" s="1798"/>
      <c r="B296" s="381"/>
      <c r="C296" s="384"/>
      <c r="D296" s="386"/>
      <c r="E296" s="389"/>
      <c r="F296" s="390"/>
      <c r="G296" s="381"/>
      <c r="H296" s="1711"/>
      <c r="I296" s="1799"/>
      <c r="J296" s="1711"/>
      <c r="K296" s="1711"/>
      <c r="L296" s="1711"/>
      <c r="M296" s="1711"/>
      <c r="N296" s="1711"/>
      <c r="O296" s="1711"/>
      <c r="P296" s="1711"/>
      <c r="Q296" s="849"/>
      <c r="R296" s="849"/>
      <c r="S296" s="849"/>
      <c r="T296" s="849"/>
      <c r="U296" s="849"/>
      <c r="V296" s="849"/>
      <c r="W296" s="62"/>
      <c r="X296" s="421"/>
      <c r="Y296" s="421"/>
      <c r="Z296" s="421"/>
      <c r="AA296" s="421"/>
      <c r="AB296" s="1007"/>
      <c r="AC296" s="421"/>
      <c r="AD296" s="421"/>
      <c r="AE296" s="852"/>
      <c r="AF296" s="421"/>
      <c r="AG296" s="421"/>
      <c r="AH296" s="852"/>
      <c r="AI296" s="852"/>
      <c r="AJ296" s="421"/>
      <c r="AK296" s="852"/>
      <c r="AL296" s="61"/>
      <c r="AM296" s="435"/>
      <c r="AN296" s="435"/>
      <c r="AO296" s="855"/>
      <c r="AP296" s="855"/>
      <c r="AQ296" s="571"/>
      <c r="AR296" s="571"/>
      <c r="AS296" s="855"/>
      <c r="AT296" s="855"/>
      <c r="AU296" s="435"/>
      <c r="AV296" s="435"/>
      <c r="AW296" s="435"/>
      <c r="AX296" s="855"/>
      <c r="AY296" s="855"/>
      <c r="AZ296" s="855"/>
      <c r="BA296" s="855"/>
      <c r="BB296" s="1645"/>
      <c r="BC296" s="1645"/>
      <c r="BD296" s="1645"/>
      <c r="BE296" s="1645"/>
      <c r="BF296" s="1645"/>
      <c r="BG296" s="1645"/>
      <c r="BH296" s="587"/>
      <c r="BI296" s="1645"/>
      <c r="BJ296" s="587"/>
      <c r="BK296" s="1645"/>
      <c r="BL296" s="1645"/>
      <c r="BM296" s="587"/>
      <c r="BN296" s="587"/>
      <c r="BO296" s="1645"/>
      <c r="BP296" s="587"/>
      <c r="BQ296" s="857"/>
      <c r="BR296" s="451"/>
      <c r="BS296" s="451"/>
      <c r="BT296" s="451"/>
      <c r="BU296" s="451"/>
      <c r="BV296" s="451"/>
      <c r="BW296" s="451"/>
      <c r="BX296" s="859"/>
      <c r="BY296" s="451"/>
      <c r="BZ296" s="451"/>
      <c r="CA296" s="451"/>
      <c r="CB296" s="859"/>
      <c r="CC296" s="859"/>
      <c r="CD296" s="859"/>
      <c r="CE296" s="859"/>
      <c r="CF296" s="861"/>
      <c r="CG296" s="460"/>
      <c r="CH296" s="460"/>
      <c r="CI296" s="460"/>
      <c r="CJ296" s="460"/>
      <c r="CK296" s="460"/>
      <c r="CL296" s="460"/>
      <c r="CM296" s="460"/>
      <c r="CN296" s="460"/>
      <c r="CO296" s="460"/>
      <c r="CP296" s="1800"/>
      <c r="CQ296" s="863"/>
      <c r="CR296" s="863"/>
      <c r="CS296" s="863"/>
      <c r="CT296" s="863"/>
      <c r="CU296" s="61"/>
      <c r="CV296" s="470"/>
      <c r="CW296" s="470"/>
      <c r="CX296" s="470"/>
      <c r="CY296" s="470"/>
      <c r="CZ296" s="470"/>
      <c r="DA296" s="470"/>
      <c r="DB296" s="470"/>
      <c r="DC296" s="470"/>
      <c r="DD296" s="864"/>
      <c r="DE296" s="864"/>
      <c r="DF296" s="864"/>
      <c r="DG296" s="864"/>
      <c r="DH296" s="2056"/>
      <c r="DI296" s="709"/>
      <c r="DJ296" s="866"/>
      <c r="DK296" s="866"/>
      <c r="DL296" s="709"/>
      <c r="DM296" s="709"/>
      <c r="DN296" s="709"/>
      <c r="DO296" s="866"/>
      <c r="DP296" s="866"/>
      <c r="DQ296" s="866"/>
      <c r="DR296" s="709"/>
      <c r="DS296" s="709"/>
      <c r="DT296" s="866"/>
      <c r="DU296" s="709"/>
      <c r="DV296" s="866"/>
      <c r="DW296" s="866"/>
      <c r="DX296" s="866"/>
      <c r="DY296" s="866"/>
      <c r="DZ296" s="866"/>
      <c r="EA296" s="709"/>
      <c r="EB296" s="866"/>
      <c r="EC296" s="866"/>
      <c r="ED296" s="974"/>
    </row>
    <row r="297">
      <c r="A297" s="1718"/>
      <c r="B297" s="229"/>
      <c r="C297" s="230"/>
      <c r="D297" s="231"/>
      <c r="E297" s="232"/>
      <c r="F297" s="233"/>
      <c r="G297" s="229"/>
      <c r="H297" s="2057"/>
      <c r="I297" s="2057"/>
      <c r="J297" s="2057"/>
      <c r="K297" s="2057"/>
      <c r="L297" s="2057"/>
      <c r="M297" s="2057"/>
      <c r="N297" s="2057"/>
      <c r="O297" s="2057"/>
      <c r="P297" s="2057"/>
      <c r="Q297" s="2057"/>
      <c r="R297" s="2057"/>
      <c r="S297" s="2057"/>
      <c r="T297" s="2057"/>
      <c r="U297" s="2057"/>
      <c r="V297" s="2057"/>
      <c r="W297" s="2015"/>
      <c r="X297" s="2057"/>
      <c r="Y297" s="2057"/>
      <c r="Z297" s="2057"/>
      <c r="AA297" s="2057"/>
      <c r="AB297" s="2057"/>
      <c r="AC297" s="2057"/>
      <c r="AD297" s="2057"/>
      <c r="AE297" s="2057"/>
      <c r="AF297" s="2057"/>
      <c r="AG297" s="2057"/>
      <c r="AH297" s="2057"/>
      <c r="AI297" s="2057"/>
      <c r="AJ297" s="2057"/>
      <c r="AK297" s="2057"/>
      <c r="AL297" s="2015"/>
      <c r="AM297" s="2057"/>
      <c r="AN297" s="2057"/>
      <c r="AO297" s="2057"/>
      <c r="AP297" s="2057"/>
      <c r="AQ297" s="2057"/>
      <c r="AR297" s="2057"/>
      <c r="AS297" s="2057"/>
      <c r="AT297" s="2057"/>
      <c r="AU297" s="2057"/>
      <c r="AV297" s="2057"/>
      <c r="AW297" s="2057"/>
      <c r="AX297" s="2057"/>
      <c r="AY297" s="2057"/>
      <c r="AZ297" s="2057"/>
      <c r="BA297" s="2057"/>
      <c r="BB297" s="2057"/>
      <c r="BC297" s="2057"/>
      <c r="BD297" s="2057"/>
      <c r="BE297" s="2057"/>
      <c r="BF297" s="2057"/>
      <c r="BG297" s="2057"/>
      <c r="BH297" s="2057"/>
      <c r="BI297" s="2057"/>
      <c r="BJ297" s="2057"/>
      <c r="BK297" s="2057"/>
      <c r="BL297" s="2057"/>
      <c r="BM297" s="2057"/>
      <c r="BN297" s="2057"/>
      <c r="BO297" s="2057"/>
      <c r="BP297" s="2057"/>
      <c r="BQ297" s="2057"/>
      <c r="BR297" s="2057"/>
      <c r="BS297" s="2057"/>
      <c r="BT297" s="2057"/>
      <c r="BU297" s="2057"/>
      <c r="BV297" s="2057"/>
      <c r="BW297" s="2057"/>
      <c r="BX297" s="2057"/>
      <c r="BY297" s="2057"/>
      <c r="BZ297" s="2057"/>
      <c r="CA297" s="2057"/>
      <c r="CB297" s="2057"/>
      <c r="CC297" s="2057"/>
      <c r="CD297" s="2057"/>
      <c r="CE297" s="2057"/>
      <c r="CF297" s="2057"/>
      <c r="CG297" s="2057"/>
      <c r="CH297" s="2057"/>
      <c r="CI297" s="2057"/>
      <c r="CJ297" s="2057"/>
      <c r="CK297" s="2057"/>
      <c r="CL297" s="2057"/>
      <c r="CM297" s="2057"/>
      <c r="CN297" s="2057"/>
      <c r="CO297" s="2057"/>
      <c r="CP297" s="2057"/>
      <c r="CQ297" s="2057"/>
      <c r="CR297" s="2057"/>
      <c r="CS297" s="2057"/>
      <c r="CT297" s="2057"/>
      <c r="CU297" s="2058"/>
      <c r="CV297" s="2057"/>
      <c r="CW297" s="2057"/>
      <c r="CX297" s="2057"/>
      <c r="CY297" s="2057"/>
      <c r="CZ297" s="2057"/>
      <c r="DA297" s="2057"/>
      <c r="DB297" s="2057"/>
      <c r="DC297" s="2057"/>
      <c r="DD297" s="2057"/>
      <c r="DE297" s="2057"/>
      <c r="DF297" s="2057"/>
      <c r="DG297" s="2057"/>
      <c r="DH297" s="2057"/>
      <c r="DI297" s="2057"/>
      <c r="DJ297" s="2057"/>
      <c r="DK297" s="2057"/>
      <c r="DL297" s="2057"/>
      <c r="DM297" s="2057"/>
      <c r="DN297" s="2057"/>
      <c r="DO297" s="2057"/>
      <c r="DP297" s="2057"/>
      <c r="DQ297" s="2057"/>
      <c r="DR297" s="2057"/>
      <c r="DS297" s="2057"/>
      <c r="DT297" s="2057"/>
      <c r="DU297" s="2057"/>
      <c r="DV297" s="2057"/>
      <c r="DW297" s="2057"/>
      <c r="DX297" s="2057"/>
      <c r="DY297" s="2057"/>
      <c r="DZ297" s="2057"/>
      <c r="EA297" s="2057"/>
      <c r="EB297" s="2057"/>
      <c r="EC297" s="2057"/>
      <c r="ED297" s="2057"/>
    </row>
    <row r="298">
      <c r="A298" s="1798"/>
      <c r="B298" s="381"/>
      <c r="C298" s="384"/>
      <c r="D298" s="386"/>
      <c r="E298" s="389"/>
      <c r="F298" s="390"/>
      <c r="G298" s="381"/>
      <c r="H298" s="2059"/>
      <c r="I298" s="2059"/>
      <c r="J298" s="2059"/>
      <c r="K298" s="2059"/>
      <c r="L298" s="2059"/>
      <c r="M298" s="2059"/>
      <c r="N298" s="2059"/>
      <c r="O298" s="2059"/>
      <c r="P298" s="2059"/>
      <c r="Q298" s="2059"/>
      <c r="R298" s="2059"/>
      <c r="S298" s="2059"/>
      <c r="T298" s="2059"/>
      <c r="U298" s="2059"/>
      <c r="V298" s="2059"/>
      <c r="W298" s="2015"/>
      <c r="X298" s="687"/>
      <c r="Y298" s="687"/>
      <c r="Z298" s="687"/>
      <c r="AA298" s="687"/>
      <c r="AB298" s="687"/>
      <c r="AC298" s="687"/>
      <c r="AD298" s="687"/>
      <c r="AE298" s="687"/>
      <c r="AF298" s="687"/>
      <c r="AG298" s="687"/>
      <c r="AH298" s="687"/>
      <c r="AI298" s="687"/>
      <c r="AJ298" s="687"/>
      <c r="AK298" s="687"/>
      <c r="AL298" s="2015"/>
      <c r="AM298" s="2060"/>
      <c r="AN298" s="2060"/>
      <c r="AO298" s="2060"/>
      <c r="AP298" s="2060"/>
      <c r="AQ298" s="2060"/>
      <c r="AR298" s="2060"/>
      <c r="AS298" s="2060"/>
      <c r="AT298" s="2060"/>
      <c r="AU298" s="2060"/>
      <c r="AV298" s="2060"/>
      <c r="AW298" s="2060"/>
      <c r="AX298" s="2060"/>
      <c r="AY298" s="2060"/>
      <c r="AZ298" s="2060"/>
      <c r="BA298" s="2060"/>
      <c r="BB298" s="2020"/>
      <c r="BC298" s="2020"/>
      <c r="BD298" s="2020"/>
      <c r="BE298" s="2020"/>
      <c r="BF298" s="2020"/>
      <c r="BG298" s="2020"/>
      <c r="BH298" s="2020"/>
      <c r="BI298" s="2020"/>
      <c r="BJ298" s="2020"/>
      <c r="BK298" s="2020"/>
      <c r="BL298" s="2020"/>
      <c r="BM298" s="2020"/>
      <c r="BN298" s="2020"/>
      <c r="BO298" s="2020"/>
      <c r="BP298" s="2020"/>
      <c r="BQ298" s="2020"/>
      <c r="BR298" s="2024"/>
      <c r="BS298" s="2024"/>
      <c r="BT298" s="2024"/>
      <c r="BU298" s="2024"/>
      <c r="BV298" s="2024"/>
      <c r="BW298" s="2024"/>
      <c r="BX298" s="2024"/>
      <c r="BY298" s="2024"/>
      <c r="BZ298" s="2024"/>
      <c r="CA298" s="2024"/>
      <c r="CB298" s="2024"/>
      <c r="CC298" s="2024"/>
      <c r="CD298" s="2024"/>
      <c r="CE298" s="2024"/>
      <c r="CF298" s="2024"/>
      <c r="CG298" s="2061"/>
      <c r="CH298" s="2061"/>
      <c r="CI298" s="2061"/>
      <c r="CJ298" s="2061"/>
      <c r="CK298" s="2061"/>
      <c r="CL298" s="2061"/>
      <c r="CM298" s="2061"/>
      <c r="CN298" s="2061"/>
      <c r="CO298" s="2061"/>
      <c r="CP298" s="2061"/>
      <c r="CQ298" s="2061"/>
      <c r="CR298" s="2061"/>
      <c r="CS298" s="2061"/>
      <c r="CT298" s="2061"/>
      <c r="CU298" s="2058"/>
      <c r="CV298" s="2062"/>
      <c r="CW298" s="2062"/>
      <c r="CX298" s="2062"/>
      <c r="CY298" s="2062"/>
      <c r="CZ298" s="2062"/>
      <c r="DA298" s="2062"/>
      <c r="DB298" s="2062"/>
      <c r="DC298" s="2062"/>
      <c r="DD298" s="2062"/>
      <c r="DE298" s="2062"/>
      <c r="DF298" s="2062"/>
      <c r="DG298" s="2062"/>
      <c r="DH298" s="2062"/>
      <c r="DI298" s="2063"/>
      <c r="DJ298" s="2063"/>
      <c r="DK298" s="2063"/>
      <c r="DL298" s="2063"/>
      <c r="DM298" s="2063"/>
      <c r="DN298" s="2063"/>
      <c r="DO298" s="2063"/>
      <c r="DP298" s="2063"/>
      <c r="DQ298" s="2063"/>
      <c r="DR298" s="2063"/>
      <c r="DS298" s="2063"/>
      <c r="DT298" s="2063"/>
      <c r="DU298" s="2063"/>
      <c r="DV298" s="2063"/>
      <c r="DW298" s="2063"/>
      <c r="DX298" s="2063"/>
      <c r="DY298" s="2063"/>
      <c r="DZ298" s="2063"/>
      <c r="EA298" s="2063"/>
      <c r="EB298" s="2063"/>
      <c r="EC298" s="2063"/>
      <c r="ED298" s="2063"/>
    </row>
    <row r="299">
      <c r="A299" s="1718"/>
      <c r="B299" s="229"/>
      <c r="C299" s="230"/>
      <c r="D299" s="231"/>
      <c r="E299" s="232"/>
      <c r="F299" s="233"/>
      <c r="G299" s="229"/>
      <c r="H299" s="2057"/>
      <c r="I299" s="2057"/>
      <c r="J299" s="2057"/>
      <c r="K299" s="2057"/>
      <c r="L299" s="2057"/>
      <c r="M299" s="2057"/>
      <c r="N299" s="2057"/>
      <c r="O299" s="2057"/>
      <c r="P299" s="2057"/>
      <c r="Q299" s="2057"/>
      <c r="R299" s="2057"/>
      <c r="S299" s="2057"/>
      <c r="T299" s="2057"/>
      <c r="U299" s="2057"/>
      <c r="V299" s="2057"/>
      <c r="W299" s="2015"/>
      <c r="X299" s="2057"/>
      <c r="Y299" s="2057"/>
      <c r="Z299" s="2057"/>
      <c r="AA299" s="2057"/>
      <c r="AB299" s="2057"/>
      <c r="AC299" s="2057"/>
      <c r="AD299" s="2057"/>
      <c r="AE299" s="2057"/>
      <c r="AF299" s="2057"/>
      <c r="AG299" s="2057"/>
      <c r="AH299" s="2057"/>
      <c r="AI299" s="2057"/>
      <c r="AJ299" s="2057"/>
      <c r="AK299" s="2057"/>
      <c r="AL299" s="2015"/>
      <c r="AM299" s="2057"/>
      <c r="AN299" s="2057"/>
      <c r="AO299" s="2057"/>
      <c r="AP299" s="2057"/>
      <c r="AQ299" s="2057"/>
      <c r="AR299" s="2057"/>
      <c r="AS299" s="2057"/>
      <c r="AT299" s="2057"/>
      <c r="AU299" s="2057"/>
      <c r="AV299" s="2057"/>
      <c r="AW299" s="2057"/>
      <c r="AX299" s="2057"/>
      <c r="AY299" s="2057"/>
      <c r="AZ299" s="2057"/>
      <c r="BA299" s="2057"/>
      <c r="BB299" s="2057"/>
      <c r="BC299" s="2057"/>
      <c r="BD299" s="2057"/>
      <c r="BE299" s="2057"/>
      <c r="BF299" s="2057"/>
      <c r="BG299" s="2057"/>
      <c r="BH299" s="2057"/>
      <c r="BI299" s="2057"/>
      <c r="BJ299" s="2057"/>
      <c r="BK299" s="2057"/>
      <c r="BL299" s="2057"/>
      <c r="BM299" s="2057"/>
      <c r="BN299" s="2057"/>
      <c r="BO299" s="2057"/>
      <c r="BP299" s="2057"/>
      <c r="BQ299" s="2057"/>
      <c r="BR299" s="2057"/>
      <c r="BS299" s="2057"/>
      <c r="BT299" s="2057"/>
      <c r="BU299" s="2057"/>
      <c r="BV299" s="2057"/>
      <c r="BW299" s="2057"/>
      <c r="BX299" s="2057"/>
      <c r="BY299" s="2057"/>
      <c r="BZ299" s="2057"/>
      <c r="CA299" s="2057"/>
      <c r="CB299" s="2057"/>
      <c r="CC299" s="2057"/>
      <c r="CD299" s="2057"/>
      <c r="CE299" s="2057"/>
      <c r="CF299" s="2057"/>
      <c r="CG299" s="2057"/>
      <c r="CH299" s="2057"/>
      <c r="CI299" s="2057"/>
      <c r="CJ299" s="2057"/>
      <c r="CK299" s="2057"/>
      <c r="CL299" s="2057"/>
      <c r="CM299" s="2057"/>
      <c r="CN299" s="2057"/>
      <c r="CO299" s="2057"/>
      <c r="CP299" s="2057"/>
      <c r="CQ299" s="2057"/>
      <c r="CR299" s="2057"/>
      <c r="CS299" s="2057"/>
      <c r="CT299" s="2057"/>
      <c r="CU299" s="2058"/>
      <c r="CV299" s="2057"/>
      <c r="CW299" s="2057"/>
      <c r="CX299" s="2057"/>
      <c r="CY299" s="2057"/>
      <c r="CZ299" s="2057"/>
      <c r="DA299" s="2057"/>
      <c r="DB299" s="2057"/>
      <c r="DC299" s="2057"/>
      <c r="DD299" s="2057"/>
      <c r="DE299" s="2057"/>
      <c r="DF299" s="2057"/>
      <c r="DG299" s="2057"/>
      <c r="DH299" s="2057"/>
      <c r="DI299" s="2057"/>
      <c r="DJ299" s="2057"/>
      <c r="DK299" s="2057"/>
      <c r="DL299" s="2057"/>
      <c r="DM299" s="2057"/>
      <c r="DN299" s="2057"/>
      <c r="DO299" s="2057"/>
      <c r="DP299" s="2057"/>
      <c r="DQ299" s="2057"/>
      <c r="DR299" s="2057"/>
      <c r="DS299" s="2057"/>
      <c r="DT299" s="2057"/>
      <c r="DU299" s="2057"/>
      <c r="DV299" s="2057"/>
      <c r="DW299" s="2057"/>
      <c r="DX299" s="2057"/>
      <c r="DY299" s="2057"/>
      <c r="DZ299" s="2057"/>
      <c r="EA299" s="2057"/>
      <c r="EB299" s="2057"/>
      <c r="EC299" s="2057"/>
      <c r="ED299" s="2057"/>
    </row>
    <row r="300">
      <c r="A300" s="1798"/>
      <c r="B300" s="381"/>
      <c r="C300" s="384"/>
      <c r="D300" s="386"/>
      <c r="E300" s="389"/>
      <c r="F300" s="390"/>
      <c r="G300" s="381"/>
      <c r="H300" s="2059"/>
      <c r="I300" s="2059"/>
      <c r="J300" s="2059"/>
      <c r="K300" s="2059"/>
      <c r="L300" s="2059"/>
      <c r="M300" s="2059"/>
      <c r="N300" s="2059"/>
      <c r="O300" s="2059"/>
      <c r="P300" s="2059"/>
      <c r="Q300" s="2059"/>
      <c r="R300" s="2059"/>
      <c r="S300" s="2059"/>
      <c r="T300" s="2059"/>
      <c r="U300" s="2059"/>
      <c r="V300" s="2059"/>
      <c r="W300" s="2015"/>
      <c r="X300" s="687"/>
      <c r="Y300" s="687"/>
      <c r="Z300" s="687"/>
      <c r="AA300" s="687"/>
      <c r="AB300" s="687"/>
      <c r="AC300" s="687"/>
      <c r="AD300" s="687"/>
      <c r="AE300" s="687"/>
      <c r="AF300" s="687"/>
      <c r="AG300" s="687"/>
      <c r="AH300" s="687"/>
      <c r="AI300" s="687"/>
      <c r="AJ300" s="687"/>
      <c r="AK300" s="687"/>
      <c r="AL300" s="2015"/>
      <c r="AM300" s="2060"/>
      <c r="AN300" s="2060"/>
      <c r="AO300" s="2060"/>
      <c r="AP300" s="2060"/>
      <c r="AQ300" s="2060"/>
      <c r="AR300" s="2060"/>
      <c r="AS300" s="2060"/>
      <c r="AT300" s="2060"/>
      <c r="AU300" s="2060"/>
      <c r="AV300" s="2060"/>
      <c r="AW300" s="2060"/>
      <c r="AX300" s="2060"/>
      <c r="AY300" s="2060"/>
      <c r="AZ300" s="2060"/>
      <c r="BA300" s="2060"/>
      <c r="BB300" s="2020"/>
      <c r="BC300" s="2020"/>
      <c r="BD300" s="2020"/>
      <c r="BE300" s="2020"/>
      <c r="BF300" s="2020"/>
      <c r="BG300" s="2020"/>
      <c r="BH300" s="2020"/>
      <c r="BI300" s="2020"/>
      <c r="BJ300" s="2020"/>
      <c r="BK300" s="2020"/>
      <c r="BL300" s="2020"/>
      <c r="BM300" s="2020"/>
      <c r="BN300" s="2020"/>
      <c r="BO300" s="2020"/>
      <c r="BP300" s="2020"/>
      <c r="BQ300" s="2020"/>
      <c r="BR300" s="2024"/>
      <c r="BS300" s="2024"/>
      <c r="BT300" s="2024"/>
      <c r="BU300" s="2024"/>
      <c r="BV300" s="2024"/>
      <c r="BW300" s="2024"/>
      <c r="BX300" s="2024"/>
      <c r="BY300" s="2024"/>
      <c r="BZ300" s="2024"/>
      <c r="CA300" s="2024"/>
      <c r="CB300" s="2024"/>
      <c r="CC300" s="2024"/>
      <c r="CD300" s="2024"/>
      <c r="CE300" s="2024"/>
      <c r="CF300" s="2024"/>
      <c r="CG300" s="2061"/>
      <c r="CH300" s="2061"/>
      <c r="CI300" s="2061"/>
      <c r="CJ300" s="2061"/>
      <c r="CK300" s="2061"/>
      <c r="CL300" s="2061"/>
      <c r="CM300" s="2061"/>
      <c r="CN300" s="2061"/>
      <c r="CO300" s="2061"/>
      <c r="CP300" s="2061"/>
      <c r="CQ300" s="2061"/>
      <c r="CR300" s="2061"/>
      <c r="CS300" s="2061"/>
      <c r="CT300" s="2061"/>
      <c r="CU300" s="2058"/>
      <c r="CV300" s="2062"/>
      <c r="CW300" s="2062"/>
      <c r="CX300" s="2062"/>
      <c r="CY300" s="2062"/>
      <c r="CZ300" s="2062"/>
      <c r="DA300" s="2062"/>
      <c r="DB300" s="2062"/>
      <c r="DC300" s="2062"/>
      <c r="DD300" s="2062"/>
      <c r="DE300" s="2062"/>
      <c r="DF300" s="2062"/>
      <c r="DG300" s="2062"/>
      <c r="DH300" s="2062"/>
      <c r="DI300" s="2063"/>
      <c r="DJ300" s="2063"/>
      <c r="DK300" s="2063"/>
      <c r="DL300" s="2063"/>
      <c r="DM300" s="2063"/>
      <c r="DN300" s="2063"/>
      <c r="DO300" s="2063"/>
      <c r="DP300" s="2063"/>
      <c r="DQ300" s="2063"/>
      <c r="DR300" s="2063"/>
      <c r="DS300" s="2063"/>
      <c r="DT300" s="2063"/>
      <c r="DU300" s="2063"/>
      <c r="DV300" s="2063"/>
      <c r="DW300" s="2063"/>
      <c r="DX300" s="2063"/>
      <c r="DY300" s="2063"/>
      <c r="DZ300" s="2063"/>
      <c r="EA300" s="2063"/>
      <c r="EB300" s="2063"/>
      <c r="EC300" s="2063"/>
      <c r="ED300" s="2063"/>
    </row>
    <row r="301">
      <c r="A301" s="1718"/>
      <c r="B301" s="229"/>
      <c r="C301" s="230"/>
      <c r="D301" s="231"/>
      <c r="E301" s="232"/>
      <c r="F301" s="233"/>
      <c r="G301" s="229"/>
      <c r="H301" s="2057"/>
      <c r="I301" s="2057"/>
      <c r="J301" s="2057"/>
      <c r="K301" s="2057"/>
      <c r="L301" s="2057"/>
      <c r="M301" s="2057"/>
      <c r="N301" s="2057"/>
      <c r="O301" s="2057"/>
      <c r="P301" s="2057"/>
      <c r="Q301" s="2057"/>
      <c r="R301" s="2057"/>
      <c r="S301" s="2057"/>
      <c r="T301" s="2057"/>
      <c r="U301" s="2057"/>
      <c r="V301" s="2057"/>
      <c r="W301" s="2015"/>
      <c r="X301" s="2057"/>
      <c r="Y301" s="2057"/>
      <c r="Z301" s="2057"/>
      <c r="AA301" s="2057"/>
      <c r="AB301" s="2057"/>
      <c r="AC301" s="2057"/>
      <c r="AD301" s="2057"/>
      <c r="AE301" s="2057"/>
      <c r="AF301" s="2057"/>
      <c r="AG301" s="2057"/>
      <c r="AH301" s="2057"/>
      <c r="AI301" s="2057"/>
      <c r="AJ301" s="2057"/>
      <c r="AK301" s="2057"/>
      <c r="AL301" s="2015"/>
      <c r="AM301" s="2057"/>
      <c r="AN301" s="2057"/>
      <c r="AO301" s="2057"/>
      <c r="AP301" s="2057"/>
      <c r="AQ301" s="2057"/>
      <c r="AR301" s="2057"/>
      <c r="AS301" s="2057"/>
      <c r="AT301" s="2057"/>
      <c r="AU301" s="2057"/>
      <c r="AV301" s="2057"/>
      <c r="AW301" s="2057"/>
      <c r="AX301" s="2057"/>
      <c r="AY301" s="2057"/>
      <c r="AZ301" s="2057"/>
      <c r="BA301" s="2057"/>
      <c r="BB301" s="2057"/>
      <c r="BC301" s="2057"/>
      <c r="BD301" s="2057"/>
      <c r="BE301" s="2057"/>
      <c r="BF301" s="2057"/>
      <c r="BG301" s="2057"/>
      <c r="BH301" s="2057"/>
      <c r="BI301" s="2057"/>
      <c r="BJ301" s="2057"/>
      <c r="BK301" s="2057"/>
      <c r="BL301" s="2057"/>
      <c r="BM301" s="2057"/>
      <c r="BN301" s="2057"/>
      <c r="BO301" s="2057"/>
      <c r="BP301" s="2057"/>
      <c r="BQ301" s="2057"/>
      <c r="BR301" s="2057"/>
      <c r="BS301" s="2057"/>
      <c r="BT301" s="2057"/>
      <c r="BU301" s="2057"/>
      <c r="BV301" s="2057"/>
      <c r="BW301" s="2057"/>
      <c r="BX301" s="2057"/>
      <c r="BY301" s="2057"/>
      <c r="BZ301" s="2057"/>
      <c r="CA301" s="2057"/>
      <c r="CB301" s="2057"/>
      <c r="CC301" s="2057"/>
      <c r="CD301" s="2057"/>
      <c r="CE301" s="2057"/>
      <c r="CF301" s="2057"/>
      <c r="CG301" s="2057"/>
      <c r="CH301" s="2057"/>
      <c r="CI301" s="2057"/>
      <c r="CJ301" s="2057"/>
      <c r="CK301" s="2057"/>
      <c r="CL301" s="2057"/>
      <c r="CM301" s="2057"/>
      <c r="CN301" s="2057"/>
      <c r="CO301" s="2057"/>
      <c r="CP301" s="2057"/>
      <c r="CQ301" s="2057"/>
      <c r="CR301" s="2057"/>
      <c r="CS301" s="2057"/>
      <c r="CT301" s="2057"/>
      <c r="CU301" s="2058"/>
      <c r="CV301" s="2057"/>
      <c r="CW301" s="2057"/>
      <c r="CX301" s="2057"/>
      <c r="CY301" s="2057"/>
      <c r="CZ301" s="2057"/>
      <c r="DA301" s="2057"/>
      <c r="DB301" s="2057"/>
      <c r="DC301" s="2057"/>
      <c r="DD301" s="2057"/>
      <c r="DE301" s="2057"/>
      <c r="DF301" s="2057"/>
      <c r="DG301" s="2057"/>
      <c r="DH301" s="2057"/>
      <c r="DI301" s="2057"/>
      <c r="DJ301" s="2057"/>
      <c r="DK301" s="2057"/>
      <c r="DL301" s="2057"/>
      <c r="DM301" s="2057"/>
      <c r="DN301" s="2057"/>
      <c r="DO301" s="2057"/>
      <c r="DP301" s="2057"/>
      <c r="DQ301" s="2057"/>
      <c r="DR301" s="2057"/>
      <c r="DS301" s="2057"/>
      <c r="DT301" s="2057"/>
      <c r="DU301" s="2057"/>
      <c r="DV301" s="2057"/>
      <c r="DW301" s="2057"/>
      <c r="DX301" s="2057"/>
      <c r="DY301" s="2057"/>
      <c r="DZ301" s="2057"/>
      <c r="EA301" s="2057"/>
      <c r="EB301" s="2057"/>
      <c r="EC301" s="2057"/>
      <c r="ED301" s="2057"/>
    </row>
    <row r="302">
      <c r="A302" s="1798"/>
      <c r="B302" s="381"/>
      <c r="C302" s="384"/>
      <c r="D302" s="386"/>
      <c r="E302" s="389"/>
      <c r="F302" s="390"/>
      <c r="G302" s="381"/>
      <c r="H302" s="2059"/>
      <c r="I302" s="2059"/>
      <c r="J302" s="2059"/>
      <c r="K302" s="2059"/>
      <c r="L302" s="2059"/>
      <c r="M302" s="2059"/>
      <c r="N302" s="2059"/>
      <c r="O302" s="2059"/>
      <c r="P302" s="2059"/>
      <c r="Q302" s="2059"/>
      <c r="R302" s="2059"/>
      <c r="S302" s="2059"/>
      <c r="T302" s="2059"/>
      <c r="U302" s="2059"/>
      <c r="V302" s="2059"/>
      <c r="W302" s="2015"/>
      <c r="X302" s="687"/>
      <c r="Y302" s="687"/>
      <c r="Z302" s="687"/>
      <c r="AA302" s="687"/>
      <c r="AB302" s="687"/>
      <c r="AC302" s="687"/>
      <c r="AD302" s="687"/>
      <c r="AE302" s="687"/>
      <c r="AF302" s="687"/>
      <c r="AG302" s="687"/>
      <c r="AH302" s="687"/>
      <c r="AI302" s="687"/>
      <c r="AJ302" s="687"/>
      <c r="AK302" s="687"/>
      <c r="AL302" s="2015"/>
      <c r="AM302" s="2060"/>
      <c r="AN302" s="2060"/>
      <c r="AO302" s="2060"/>
      <c r="AP302" s="2060"/>
      <c r="AQ302" s="2060"/>
      <c r="AR302" s="2060"/>
      <c r="AS302" s="2060"/>
      <c r="AT302" s="2060"/>
      <c r="AU302" s="2060"/>
      <c r="AV302" s="2060"/>
      <c r="AW302" s="2060"/>
      <c r="AX302" s="2060"/>
      <c r="AY302" s="2060"/>
      <c r="AZ302" s="2060"/>
      <c r="BA302" s="2060"/>
      <c r="BB302" s="2020"/>
      <c r="BC302" s="2020"/>
      <c r="BD302" s="2020"/>
      <c r="BE302" s="2020"/>
      <c r="BF302" s="2020"/>
      <c r="BG302" s="2020"/>
      <c r="BH302" s="2020"/>
      <c r="BI302" s="2020"/>
      <c r="BJ302" s="2020"/>
      <c r="BK302" s="2020"/>
      <c r="BL302" s="2020"/>
      <c r="BM302" s="2020"/>
      <c r="BN302" s="2020"/>
      <c r="BO302" s="2020"/>
      <c r="BP302" s="2020"/>
      <c r="BQ302" s="2020"/>
      <c r="BR302" s="2024"/>
      <c r="BS302" s="2024"/>
      <c r="BT302" s="2024"/>
      <c r="BU302" s="2024"/>
      <c r="BV302" s="2024"/>
      <c r="BW302" s="2024"/>
      <c r="BX302" s="2024"/>
      <c r="BY302" s="2024"/>
      <c r="BZ302" s="2024"/>
      <c r="CA302" s="2024"/>
      <c r="CB302" s="2024"/>
      <c r="CC302" s="2024"/>
      <c r="CD302" s="2024"/>
      <c r="CE302" s="2024"/>
      <c r="CF302" s="2024"/>
      <c r="CG302" s="2061"/>
      <c r="CH302" s="2061"/>
      <c r="CI302" s="2061"/>
      <c r="CJ302" s="2061"/>
      <c r="CK302" s="2061"/>
      <c r="CL302" s="2061"/>
      <c r="CM302" s="2061"/>
      <c r="CN302" s="2061"/>
      <c r="CO302" s="2061"/>
      <c r="CP302" s="2061"/>
      <c r="CQ302" s="2061"/>
      <c r="CR302" s="2061"/>
      <c r="CS302" s="2061"/>
      <c r="CT302" s="2061"/>
      <c r="CU302" s="2058"/>
      <c r="CV302" s="2062"/>
      <c r="CW302" s="2062"/>
      <c r="CX302" s="2062"/>
      <c r="CY302" s="2062"/>
      <c r="CZ302" s="2062"/>
      <c r="DA302" s="2062"/>
      <c r="DB302" s="2062"/>
      <c r="DC302" s="2062"/>
      <c r="DD302" s="2062"/>
      <c r="DE302" s="2062"/>
      <c r="DF302" s="2062"/>
      <c r="DG302" s="2062"/>
      <c r="DH302" s="2062"/>
      <c r="DI302" s="2063"/>
      <c r="DJ302" s="2063"/>
      <c r="DK302" s="2063"/>
      <c r="DL302" s="2063"/>
      <c r="DM302" s="2063"/>
      <c r="DN302" s="2063"/>
      <c r="DO302" s="2063"/>
      <c r="DP302" s="2063"/>
      <c r="DQ302" s="2063"/>
      <c r="DR302" s="2063"/>
      <c r="DS302" s="2063"/>
      <c r="DT302" s="2063"/>
      <c r="DU302" s="2063"/>
      <c r="DV302" s="2063"/>
      <c r="DW302" s="2063"/>
      <c r="DX302" s="2063"/>
      <c r="DY302" s="2063"/>
      <c r="DZ302" s="2063"/>
      <c r="EA302" s="2063"/>
      <c r="EB302" s="2063"/>
      <c r="EC302" s="2063"/>
      <c r="ED302" s="2063"/>
    </row>
    <row r="303">
      <c r="A303" s="1718"/>
      <c r="B303" s="229"/>
      <c r="C303" s="230"/>
      <c r="D303" s="231"/>
      <c r="E303" s="232"/>
      <c r="F303" s="233"/>
      <c r="G303" s="229"/>
      <c r="H303" s="2057"/>
      <c r="I303" s="2057"/>
      <c r="J303" s="2057"/>
      <c r="K303" s="2057"/>
      <c r="L303" s="2057"/>
      <c r="M303" s="2057"/>
      <c r="N303" s="2057"/>
      <c r="O303" s="2057"/>
      <c r="P303" s="2057"/>
      <c r="Q303" s="2057"/>
      <c r="R303" s="2057"/>
      <c r="S303" s="2057"/>
      <c r="T303" s="2057"/>
      <c r="U303" s="2057"/>
      <c r="V303" s="2057"/>
      <c r="W303" s="2015"/>
      <c r="X303" s="2057"/>
      <c r="Y303" s="2057"/>
      <c r="Z303" s="2057"/>
      <c r="AA303" s="2057"/>
      <c r="AB303" s="2057"/>
      <c r="AC303" s="2057"/>
      <c r="AD303" s="2057"/>
      <c r="AE303" s="2057"/>
      <c r="AF303" s="2057"/>
      <c r="AG303" s="2057"/>
      <c r="AH303" s="2057"/>
      <c r="AI303" s="2057"/>
      <c r="AJ303" s="2057"/>
      <c r="AK303" s="2057"/>
      <c r="AL303" s="2015"/>
      <c r="AM303" s="2057"/>
      <c r="AN303" s="2057"/>
      <c r="AO303" s="2057"/>
      <c r="AP303" s="2057"/>
      <c r="AQ303" s="2057"/>
      <c r="AR303" s="2057"/>
      <c r="AS303" s="2057"/>
      <c r="AT303" s="2057"/>
      <c r="AU303" s="2057"/>
      <c r="AV303" s="2057"/>
      <c r="AW303" s="2057"/>
      <c r="AX303" s="2057"/>
      <c r="AY303" s="2057"/>
      <c r="AZ303" s="2057"/>
      <c r="BA303" s="2057"/>
      <c r="BB303" s="2057"/>
      <c r="BC303" s="2057"/>
      <c r="BD303" s="2057"/>
      <c r="BE303" s="2057"/>
      <c r="BF303" s="2057"/>
      <c r="BG303" s="2057"/>
      <c r="BH303" s="2057"/>
      <c r="BI303" s="2057"/>
      <c r="BJ303" s="2057"/>
      <c r="BK303" s="2057"/>
      <c r="BL303" s="2057"/>
      <c r="BM303" s="2057"/>
      <c r="BN303" s="2057"/>
      <c r="BO303" s="2057"/>
      <c r="BP303" s="2057"/>
      <c r="BQ303" s="2057"/>
      <c r="BR303" s="2057"/>
      <c r="BS303" s="2057"/>
      <c r="BT303" s="2057"/>
      <c r="BU303" s="2057"/>
      <c r="BV303" s="2057"/>
      <c r="BW303" s="2057"/>
      <c r="BX303" s="2057"/>
      <c r="BY303" s="2057"/>
      <c r="BZ303" s="2057"/>
      <c r="CA303" s="2057"/>
      <c r="CB303" s="2057"/>
      <c r="CC303" s="2057"/>
      <c r="CD303" s="2057"/>
      <c r="CE303" s="2057"/>
      <c r="CF303" s="2057"/>
      <c r="CG303" s="2057"/>
      <c r="CH303" s="2057"/>
      <c r="CI303" s="2057"/>
      <c r="CJ303" s="2057"/>
      <c r="CK303" s="2057"/>
      <c r="CL303" s="2057"/>
      <c r="CM303" s="2057"/>
      <c r="CN303" s="2057"/>
      <c r="CO303" s="2057"/>
      <c r="CP303" s="2057"/>
      <c r="CQ303" s="2057"/>
      <c r="CR303" s="2057"/>
      <c r="CS303" s="2057"/>
      <c r="CT303" s="2057"/>
      <c r="CU303" s="2058"/>
      <c r="CV303" s="2057"/>
      <c r="CW303" s="2057"/>
      <c r="CX303" s="2057"/>
      <c r="CY303" s="2057"/>
      <c r="CZ303" s="2057"/>
      <c r="DA303" s="2057"/>
      <c r="DB303" s="2057"/>
      <c r="DC303" s="2057"/>
      <c r="DD303" s="2057"/>
      <c r="DE303" s="2057"/>
      <c r="DF303" s="2057"/>
      <c r="DG303" s="2057"/>
      <c r="DH303" s="2057"/>
      <c r="DI303" s="2057"/>
      <c r="DJ303" s="2057"/>
      <c r="DK303" s="2057"/>
      <c r="DL303" s="2057"/>
      <c r="DM303" s="2057"/>
      <c r="DN303" s="2057"/>
      <c r="DO303" s="2057"/>
      <c r="DP303" s="2057"/>
      <c r="DQ303" s="2057"/>
      <c r="DR303" s="2057"/>
      <c r="DS303" s="2057"/>
      <c r="DT303" s="2057"/>
      <c r="DU303" s="2057"/>
      <c r="DV303" s="2057"/>
      <c r="DW303" s="2057"/>
      <c r="DX303" s="2057"/>
      <c r="DY303" s="2057"/>
      <c r="DZ303" s="2057"/>
      <c r="EA303" s="2057"/>
      <c r="EB303" s="2057"/>
      <c r="EC303" s="2057"/>
      <c r="ED303" s="2057"/>
    </row>
    <row r="304">
      <c r="A304" s="1798"/>
      <c r="B304" s="381"/>
      <c r="C304" s="384"/>
      <c r="D304" s="386"/>
      <c r="E304" s="389"/>
      <c r="F304" s="390"/>
      <c r="G304" s="381"/>
      <c r="H304" s="2059"/>
      <c r="I304" s="2059"/>
      <c r="J304" s="2059"/>
      <c r="K304" s="2059"/>
      <c r="L304" s="2059"/>
      <c r="M304" s="2059"/>
      <c r="N304" s="2059"/>
      <c r="O304" s="2059"/>
      <c r="P304" s="2059"/>
      <c r="Q304" s="2059"/>
      <c r="R304" s="2059"/>
      <c r="S304" s="2059"/>
      <c r="T304" s="2059"/>
      <c r="U304" s="2059"/>
      <c r="V304" s="2059"/>
      <c r="W304" s="2015"/>
      <c r="X304" s="687"/>
      <c r="Y304" s="687"/>
      <c r="Z304" s="687"/>
      <c r="AA304" s="687"/>
      <c r="AB304" s="687"/>
      <c r="AC304" s="687"/>
      <c r="AD304" s="687"/>
      <c r="AE304" s="687"/>
      <c r="AF304" s="687"/>
      <c r="AG304" s="687"/>
      <c r="AH304" s="687"/>
      <c r="AI304" s="687"/>
      <c r="AJ304" s="687"/>
      <c r="AK304" s="687"/>
      <c r="AL304" s="2015"/>
      <c r="AM304" s="2060"/>
      <c r="AN304" s="2060"/>
      <c r="AO304" s="2060"/>
      <c r="AP304" s="2060"/>
      <c r="AQ304" s="2060"/>
      <c r="AR304" s="2060"/>
      <c r="AS304" s="2060"/>
      <c r="AT304" s="2060"/>
      <c r="AU304" s="2060"/>
      <c r="AV304" s="2060"/>
      <c r="AW304" s="2060"/>
      <c r="AX304" s="2060"/>
      <c r="AY304" s="2060"/>
      <c r="AZ304" s="2060"/>
      <c r="BA304" s="2060"/>
      <c r="BB304" s="2020"/>
      <c r="BC304" s="2020"/>
      <c r="BD304" s="2020"/>
      <c r="BE304" s="2020"/>
      <c r="BF304" s="2020"/>
      <c r="BG304" s="2020"/>
      <c r="BH304" s="2020"/>
      <c r="BI304" s="2020"/>
      <c r="BJ304" s="2020"/>
      <c r="BK304" s="2020"/>
      <c r="BL304" s="2020"/>
      <c r="BM304" s="2020"/>
      <c r="BN304" s="2020"/>
      <c r="BO304" s="2020"/>
      <c r="BP304" s="2020"/>
      <c r="BQ304" s="2020"/>
      <c r="BR304" s="2024"/>
      <c r="BS304" s="2024"/>
      <c r="BT304" s="2024"/>
      <c r="BU304" s="2024"/>
      <c r="BV304" s="2024"/>
      <c r="BW304" s="2024"/>
      <c r="BX304" s="2024"/>
      <c r="BY304" s="2024"/>
      <c r="BZ304" s="2024"/>
      <c r="CA304" s="2024"/>
      <c r="CB304" s="2024"/>
      <c r="CC304" s="2024"/>
      <c r="CD304" s="2024"/>
      <c r="CE304" s="2024"/>
      <c r="CF304" s="2024"/>
      <c r="CG304" s="2061"/>
      <c r="CH304" s="2061"/>
      <c r="CI304" s="2061"/>
      <c r="CJ304" s="2061"/>
      <c r="CK304" s="2061"/>
      <c r="CL304" s="2061"/>
      <c r="CM304" s="2061"/>
      <c r="CN304" s="2061"/>
      <c r="CO304" s="2061"/>
      <c r="CP304" s="2061"/>
      <c r="CQ304" s="2061"/>
      <c r="CR304" s="2061"/>
      <c r="CS304" s="2061"/>
      <c r="CT304" s="2061"/>
      <c r="CU304" s="2058"/>
      <c r="CV304" s="2062"/>
      <c r="CW304" s="2062"/>
      <c r="CX304" s="2062"/>
      <c r="CY304" s="2062"/>
      <c r="CZ304" s="2062"/>
      <c r="DA304" s="2062"/>
      <c r="DB304" s="2062"/>
      <c r="DC304" s="2062"/>
      <c r="DD304" s="2062"/>
      <c r="DE304" s="2062"/>
      <c r="DF304" s="2062"/>
      <c r="DG304" s="2062"/>
      <c r="DH304" s="2062"/>
      <c r="DI304" s="2063"/>
      <c r="DJ304" s="2063"/>
      <c r="DK304" s="2063"/>
      <c r="DL304" s="2063"/>
      <c r="DM304" s="2063"/>
      <c r="DN304" s="2063"/>
      <c r="DO304" s="2063"/>
      <c r="DP304" s="2063"/>
      <c r="DQ304" s="2063"/>
      <c r="DR304" s="2063"/>
      <c r="DS304" s="2063"/>
      <c r="DT304" s="2063"/>
      <c r="DU304" s="2063"/>
      <c r="DV304" s="2063"/>
      <c r="DW304" s="2063"/>
      <c r="DX304" s="2063"/>
      <c r="DY304" s="2063"/>
      <c r="DZ304" s="2063"/>
      <c r="EA304" s="2063"/>
      <c r="EB304" s="2063"/>
      <c r="EC304" s="2063"/>
      <c r="ED304" s="2063"/>
    </row>
  </sheetData>
  <mergeCells count="112">
    <mergeCell ref="BJ2:BK2"/>
    <mergeCell ref="BL2:BL3"/>
    <mergeCell ref="AZ2:AZ3"/>
    <mergeCell ref="BB2:BB3"/>
    <mergeCell ref="BC2:BD2"/>
    <mergeCell ref="BE2:BE3"/>
    <mergeCell ref="BF2:BF3"/>
    <mergeCell ref="BG2:BG3"/>
    <mergeCell ref="BH2:BI2"/>
    <mergeCell ref="BV2:BW2"/>
    <mergeCell ref="BX2:BX3"/>
    <mergeCell ref="BM2:BM3"/>
    <mergeCell ref="BN2:BN3"/>
    <mergeCell ref="BO2:BO3"/>
    <mergeCell ref="BP2:BP3"/>
    <mergeCell ref="BR2:BR3"/>
    <mergeCell ref="BS2:BT2"/>
    <mergeCell ref="BU2:BU3"/>
    <mergeCell ref="CI2:CI3"/>
    <mergeCell ref="CJ2:CK2"/>
    <mergeCell ref="BY2:BZ2"/>
    <mergeCell ref="CA2:CA3"/>
    <mergeCell ref="CB2:CB3"/>
    <mergeCell ref="CD2:CD3"/>
    <mergeCell ref="CE2:CE3"/>
    <mergeCell ref="CG2:CG3"/>
    <mergeCell ref="CH2:CH3"/>
    <mergeCell ref="CV2:CV3"/>
    <mergeCell ref="CW2:CW3"/>
    <mergeCell ref="CL2:CL3"/>
    <mergeCell ref="CM2:CN2"/>
    <mergeCell ref="CO2:CO3"/>
    <mergeCell ref="CP2:CP3"/>
    <mergeCell ref="CQ2:CQ3"/>
    <mergeCell ref="CR2:CS2"/>
    <mergeCell ref="CT2:CT3"/>
    <mergeCell ref="DF2:DF3"/>
    <mergeCell ref="DG2:DG3"/>
    <mergeCell ref="CX2:CX3"/>
    <mergeCell ref="CY2:CY3"/>
    <mergeCell ref="CZ2:DA2"/>
    <mergeCell ref="DB2:DB3"/>
    <mergeCell ref="DC2:DC3"/>
    <mergeCell ref="DD2:DD3"/>
    <mergeCell ref="DE2:DE3"/>
    <mergeCell ref="DQ2:DQ3"/>
    <mergeCell ref="DR2:DS2"/>
    <mergeCell ref="DI2:DI3"/>
    <mergeCell ref="DJ2:DK2"/>
    <mergeCell ref="DL2:DL3"/>
    <mergeCell ref="DM2:DM3"/>
    <mergeCell ref="DN2:DN3"/>
    <mergeCell ref="DO2:DO3"/>
    <mergeCell ref="DP2:DP3"/>
    <mergeCell ref="DY2:DY3"/>
    <mergeCell ref="DZ2:DZ3"/>
    <mergeCell ref="EA2:EA3"/>
    <mergeCell ref="EB2:EB3"/>
    <mergeCell ref="BR1:CE1"/>
    <mergeCell ref="CG1:CT1"/>
    <mergeCell ref="CV1:DG1"/>
    <mergeCell ref="DI1:ED1"/>
    <mergeCell ref="DT2:DT3"/>
    <mergeCell ref="DU2:DU3"/>
    <mergeCell ref="DV2:DV3"/>
    <mergeCell ref="EC2:EC3"/>
    <mergeCell ref="A1:B1"/>
    <mergeCell ref="C1:E1"/>
    <mergeCell ref="F1:G1"/>
    <mergeCell ref="H1:V1"/>
    <mergeCell ref="X1:AK1"/>
    <mergeCell ref="AM1:AZ1"/>
    <mergeCell ref="BB1:BP1"/>
    <mergeCell ref="L2:L3"/>
    <mergeCell ref="M2:M3"/>
    <mergeCell ref="N2:O2"/>
    <mergeCell ref="P2:P3"/>
    <mergeCell ref="Q2:Q3"/>
    <mergeCell ref="R2:S2"/>
    <mergeCell ref="T2:U2"/>
    <mergeCell ref="V2:V3"/>
    <mergeCell ref="X2:X3"/>
    <mergeCell ref="Y2:Z2"/>
    <mergeCell ref="AA2:AA3"/>
    <mergeCell ref="AB2:AC2"/>
    <mergeCell ref="AD2:AD3"/>
    <mergeCell ref="AE2:AF2"/>
    <mergeCell ref="AG2:AG3"/>
    <mergeCell ref="AH2:AH3"/>
    <mergeCell ref="AI2:AJ2"/>
    <mergeCell ref="AK2:AK3"/>
    <mergeCell ref="AM2:AN2"/>
    <mergeCell ref="AO2:AO3"/>
    <mergeCell ref="AP2:AP3"/>
    <mergeCell ref="AQ2:AR2"/>
    <mergeCell ref="AS2:AS3"/>
    <mergeCell ref="AT2:AT3"/>
    <mergeCell ref="AU2:AU3"/>
    <mergeCell ref="AV2:AV3"/>
    <mergeCell ref="AW2:AW3"/>
    <mergeCell ref="AX2:AY2"/>
    <mergeCell ref="DW2:DW3"/>
    <mergeCell ref="DX2:DX3"/>
    <mergeCell ref="A4:B4"/>
    <mergeCell ref="C4:G4"/>
    <mergeCell ref="A2:A3"/>
    <mergeCell ref="B2:B3"/>
    <mergeCell ref="C2:E3"/>
    <mergeCell ref="F2:G3"/>
    <mergeCell ref="H2:H3"/>
    <mergeCell ref="I2:I3"/>
    <mergeCell ref="J2:K2"/>
  </mergeCells>
  <conditionalFormatting sqref="BA1:BA304">
    <cfRule type="containsBlanks" dxfId="17" priority="1">
      <formula>LEN(TRIM(BA1))=0</formula>
    </cfRule>
  </conditionalFormatting>
  <conditionalFormatting sqref="BQ1:BQ304">
    <cfRule type="containsBlanks" dxfId="17" priority="2">
      <formula>LEN(TRIM(BQ1))=0</formula>
    </cfRule>
  </conditionalFormatting>
  <conditionalFormatting sqref="CF1:CF304 CG70 CN70">
    <cfRule type="containsBlanks" dxfId="17" priority="3">
      <formula>LEN(TRIM(CF1))=0</formula>
    </cfRule>
  </conditionalFormatting>
  <conditionalFormatting sqref="CU1:CU304">
    <cfRule type="containsBlanks" dxfId="17" priority="4">
      <formula>LEN(TRIM(CU1))=0</formula>
    </cfRule>
  </conditionalFormatting>
  <conditionalFormatting sqref="DH1:DH304">
    <cfRule type="containsBlanks" dxfId="17" priority="5">
      <formula>LEN(TRIM(DH1))=0</formula>
    </cfRule>
  </conditionalFormatting>
  <conditionalFormatting sqref="AL1:AL304">
    <cfRule type="containsBlanks" dxfId="17" priority="6">
      <formula>LEN(TRIM(AL1))=0</formula>
    </cfRule>
  </conditionalFormatting>
  <conditionalFormatting sqref="W1:W304">
    <cfRule type="containsBlanks" dxfId="17" priority="7">
      <formula>LEN(TRIM(W1))=0</formula>
    </cfRule>
  </conditionalFormatting>
  <conditionalFormatting sqref="F5:F304">
    <cfRule type="expression" dxfId="24" priority="8">
      <formula>AND(ROW()-4&lt;=5,INDIRECT(ADDRESS(ROW(),6))/INDIRECT(ADDRESS(ROW(),7))&lt;0.7)</formula>
    </cfRule>
  </conditionalFormatting>
  <conditionalFormatting sqref="F5:F304">
    <cfRule type="expression" dxfId="24" priority="9">
      <formula>AND(ROW()-4&lt;=10,INDIRECT(ADDRESS(ROW(),6))/INDIRECT(ADDRESS(ROW(),7))&lt;0.6)</formula>
    </cfRule>
  </conditionalFormatting>
  <conditionalFormatting sqref="F5:F304">
    <cfRule type="expression" dxfId="24" priority="10">
      <formula>AND(ROW()-4&lt;=15,INDIRECT(ADDRESS(ROW(),6))/INDIRECT(ADDRESS(ROW(),7))&lt;0.5)</formula>
    </cfRule>
  </conditionalFormatting>
  <conditionalFormatting sqref="F5:F304">
    <cfRule type="expression" dxfId="24" priority="11">
      <formula>AND(ROW()-4&lt;=20,INDIRECT(ADDRESS(ROW(),6))/INDIRECT(ADDRESS(ROW(),7))&lt;0.4)</formula>
    </cfRule>
  </conditionalFormatting>
  <conditionalFormatting sqref="F5:F304">
    <cfRule type="expression" dxfId="24" priority="12">
      <formula>AND(ROW()-4&lt;=25,INDIRECT(ADDRESS(ROW(),6))/INDIRECT(ADDRESS(ROW(),7))&lt;0.3)</formula>
    </cfRule>
  </conditionalFormatting>
  <conditionalFormatting sqref="B6:B304">
    <cfRule type="expression" dxfId="25" priority="13">
      <formula>VALUE(INDIRECT("B"&amp;ROW()-1))&lt;VALUE(INDIRECT("B"&amp;ROW()))</formula>
    </cfRule>
  </conditionalFormatting>
  <conditionalFormatting sqref="B2:B3">
    <cfRule type="expression" dxfId="14" priority="14">
      <formula>ARRAYFORMULA(OR(VALUE(INDIRECT("B5:B"&amp;(COUNTA(B6:B304)+5)))&lt;VALUE(INDIRECT("B6:B"&amp;(COUNTA(B6:B304)+6)))))</formula>
    </cfRule>
  </conditionalFormatting>
  <conditionalFormatting sqref="CJ105:CL105">
    <cfRule type="colorScale" priority="15">
      <colorScale>
        <cfvo type="min"/>
        <cfvo type="max"/>
        <color rgb="FF57BB8A"/>
        <color rgb="FFFFFFFF"/>
      </colorScale>
    </cfRule>
  </conditionalFormatting>
  <conditionalFormatting sqref="H92">
    <cfRule type="notContainsBlanks" dxfId="19" priority="16">
      <formula>LEN(TRIM(H92))&gt;0</formula>
    </cfRule>
  </conditionalFormatting>
  <conditionalFormatting sqref="A174">
    <cfRule type="colorScale" priority="17">
      <colorScale>
        <cfvo type="min"/>
        <cfvo type="max"/>
        <color rgb="FFFFFFFF"/>
        <color rgb="FF57BB8A"/>
      </colorScale>
    </cfRule>
  </conditionalFormatting>
  <conditionalFormatting sqref="A132 A147 A151 A167 A170">
    <cfRule type="colorScale" priority="18">
      <colorScale>
        <cfvo type="min"/>
        <cfvo type="max"/>
        <color rgb="FFFFFFFF"/>
        <color rgb="FF57BB8A"/>
      </colorScale>
    </cfRule>
  </conditionalFormatting>
  <hyperlinks>
    <hyperlink r:id="rId2" ref="C1"/>
    <hyperlink r:id="rId3" ref="F1"/>
    <hyperlink r:id="rId4" ref="A4"/>
    <hyperlink r:id="rId5" ref="H5"/>
    <hyperlink r:id="rId6" ref="I5"/>
    <hyperlink r:id="rId7" ref="J5"/>
    <hyperlink r:id="rId8" ref="K5"/>
    <hyperlink r:id="rId9" ref="L5"/>
    <hyperlink r:id="rId10" ref="M5"/>
    <hyperlink r:id="rId11" ref="N5"/>
    <hyperlink r:id="rId12" ref="O5"/>
    <hyperlink r:id="rId13" ref="P5"/>
    <hyperlink r:id="rId14" ref="Q5"/>
    <hyperlink r:id="rId15" ref="R5"/>
    <hyperlink r:id="rId16" ref="S5"/>
    <hyperlink r:id="rId17" ref="T5"/>
    <hyperlink r:id="rId18" ref="U5"/>
    <hyperlink r:id="rId19" ref="V5"/>
    <hyperlink r:id="rId20" ref="X5"/>
    <hyperlink r:id="rId21" ref="Z5"/>
    <hyperlink r:id="rId22" ref="AA5"/>
    <hyperlink r:id="rId23" ref="AB5"/>
    <hyperlink r:id="rId24" ref="AC5"/>
    <hyperlink r:id="rId25" ref="AD5"/>
    <hyperlink r:id="rId26" ref="AE5"/>
    <hyperlink r:id="rId27" ref="AF5"/>
    <hyperlink r:id="rId28" ref="AG5"/>
    <hyperlink r:id="rId29" ref="AJ5"/>
    <hyperlink r:id="rId30" ref="AK5"/>
    <hyperlink r:id="rId31" ref="AM5"/>
    <hyperlink r:id="rId32" ref="AN5"/>
    <hyperlink r:id="rId33" ref="AO5"/>
    <hyperlink r:id="rId34" ref="AP5"/>
    <hyperlink r:id="rId35" ref="AQ5"/>
    <hyperlink r:id="rId36" ref="AR5"/>
    <hyperlink r:id="rId37" ref="AS5"/>
    <hyperlink r:id="rId38" ref="AT5"/>
    <hyperlink r:id="rId39" ref="AU5"/>
    <hyperlink r:id="rId40" ref="AW5"/>
    <hyperlink r:id="rId41" ref="AX5"/>
    <hyperlink r:id="rId42" ref="AY5"/>
    <hyperlink r:id="rId43" ref="AZ5"/>
    <hyperlink r:id="rId44" ref="BB5"/>
    <hyperlink r:id="rId45" ref="BC5"/>
    <hyperlink r:id="rId46" ref="BD5"/>
    <hyperlink r:id="rId47" ref="BF5"/>
    <hyperlink r:id="rId48" ref="BG5"/>
    <hyperlink r:id="rId49" ref="BH5"/>
    <hyperlink r:id="rId50" ref="BI5"/>
    <hyperlink r:id="rId51" ref="BK5"/>
    <hyperlink r:id="rId52" ref="BL5"/>
    <hyperlink r:id="rId53" ref="BM5"/>
    <hyperlink r:id="rId54" ref="BN5"/>
    <hyperlink r:id="rId55" ref="BO5"/>
    <hyperlink r:id="rId56" ref="BP5"/>
    <hyperlink r:id="rId57" ref="BR5"/>
    <hyperlink r:id="rId58" ref="BS5"/>
    <hyperlink r:id="rId59" ref="BT5"/>
    <hyperlink r:id="rId60" ref="BU5"/>
    <hyperlink r:id="rId61" ref="BV5"/>
    <hyperlink r:id="rId62" ref="BW5"/>
    <hyperlink r:id="rId63" ref="BX5"/>
    <hyperlink r:id="rId64" ref="BY5"/>
    <hyperlink r:id="rId65" ref="BZ5"/>
    <hyperlink r:id="rId66" ref="CA5"/>
    <hyperlink r:id="rId67" ref="CD5"/>
    <hyperlink r:id="rId68" ref="CG5"/>
    <hyperlink r:id="rId69" ref="CH5"/>
    <hyperlink r:id="rId70" ref="CI5"/>
    <hyperlink r:id="rId71" ref="CJ5"/>
    <hyperlink r:id="rId72" ref="CL5"/>
    <hyperlink r:id="rId73" ref="CM5"/>
    <hyperlink r:id="rId74" ref="CN5"/>
    <hyperlink r:id="rId75" ref="CO5"/>
    <hyperlink r:id="rId76" ref="CP5"/>
    <hyperlink r:id="rId77" ref="CQ5"/>
    <hyperlink r:id="rId78" ref="CS5"/>
    <hyperlink r:id="rId79" ref="CT5"/>
    <hyperlink r:id="rId80" ref="CV5"/>
    <hyperlink r:id="rId81" ref="CW5"/>
    <hyperlink r:id="rId82" ref="CX5"/>
    <hyperlink r:id="rId83" ref="CY5"/>
    <hyperlink r:id="rId84" ref="CZ5"/>
    <hyperlink r:id="rId85" ref="DA5"/>
    <hyperlink r:id="rId86" ref="DB5"/>
    <hyperlink r:id="rId87" ref="DC5"/>
    <hyperlink r:id="rId88" ref="DD5"/>
    <hyperlink r:id="rId89" ref="DE5"/>
    <hyperlink r:id="rId90" ref="DF5"/>
    <hyperlink r:id="rId91" ref="DG5"/>
    <hyperlink r:id="rId92" ref="DI5"/>
    <hyperlink r:id="rId93" ref="DJ5"/>
    <hyperlink r:id="rId94" ref="DK5"/>
    <hyperlink r:id="rId95" ref="DL5"/>
    <hyperlink r:id="rId96" ref="DM5"/>
    <hyperlink r:id="rId97" ref="DN5"/>
    <hyperlink r:id="rId98" ref="DO5"/>
    <hyperlink r:id="rId99" ref="DP5"/>
    <hyperlink r:id="rId100" ref="DQ5"/>
    <hyperlink r:id="rId101" ref="DR5"/>
    <hyperlink r:id="rId102" ref="DS5"/>
    <hyperlink r:id="rId103" ref="DT5"/>
    <hyperlink r:id="rId104" ref="DU5"/>
    <hyperlink r:id="rId105" ref="DV5"/>
    <hyperlink r:id="rId106" ref="DW5"/>
    <hyperlink r:id="rId107" ref="DX5"/>
    <hyperlink r:id="rId108" ref="DY5"/>
    <hyperlink r:id="rId109" ref="DZ5"/>
    <hyperlink r:id="rId110" ref="EA5"/>
    <hyperlink r:id="rId111" ref="EB5"/>
    <hyperlink r:id="rId112" ref="EC5"/>
    <hyperlink r:id="rId113" ref="ED5"/>
    <hyperlink r:id="rId114" ref="H6"/>
    <hyperlink r:id="rId115" ref="I6"/>
    <hyperlink r:id="rId116" ref="J6"/>
    <hyperlink r:id="rId117" ref="K6"/>
    <hyperlink r:id="rId118" ref="L6"/>
    <hyperlink r:id="rId119" ref="M6"/>
    <hyperlink r:id="rId120" ref="N6"/>
    <hyperlink r:id="rId121" ref="O6"/>
    <hyperlink r:id="rId122" ref="P6"/>
    <hyperlink r:id="rId123" ref="Q6"/>
    <hyperlink r:id="rId124" ref="R6"/>
    <hyperlink r:id="rId125" ref="S6"/>
    <hyperlink r:id="rId126" ref="T6"/>
    <hyperlink r:id="rId127" ref="U6"/>
    <hyperlink r:id="rId128" ref="V6"/>
    <hyperlink r:id="rId129" ref="X6"/>
    <hyperlink r:id="rId130" ref="Z6"/>
    <hyperlink r:id="rId131" ref="AA6"/>
    <hyperlink r:id="rId132" ref="AB6"/>
    <hyperlink r:id="rId133" ref="AC6"/>
    <hyperlink r:id="rId134" ref="AD6"/>
    <hyperlink r:id="rId135" ref="AE6"/>
    <hyperlink r:id="rId136" ref="AF6"/>
    <hyperlink r:id="rId137" ref="AG6"/>
    <hyperlink r:id="rId138" ref="AH6"/>
    <hyperlink r:id="rId139" ref="AJ6"/>
    <hyperlink r:id="rId140" ref="AK6"/>
    <hyperlink r:id="rId141" ref="AM6"/>
    <hyperlink r:id="rId142" ref="AN6"/>
    <hyperlink r:id="rId143" ref="AO6"/>
    <hyperlink r:id="rId144" ref="AP6"/>
    <hyperlink r:id="rId145" ref="AQ6"/>
    <hyperlink r:id="rId146" ref="AR6"/>
    <hyperlink r:id="rId147" ref="AS6"/>
    <hyperlink r:id="rId148" ref="AT6"/>
    <hyperlink r:id="rId149" ref="AU6"/>
    <hyperlink r:id="rId150" ref="AV6"/>
    <hyperlink r:id="rId151" ref="AW6"/>
    <hyperlink r:id="rId152" ref="AX6"/>
    <hyperlink r:id="rId153" ref="AY6"/>
    <hyperlink r:id="rId154" ref="AZ6"/>
    <hyperlink r:id="rId155" ref="BB6"/>
    <hyperlink r:id="rId156" ref="BC6"/>
    <hyperlink r:id="rId157" ref="BD6"/>
    <hyperlink r:id="rId158" ref="BE6"/>
    <hyperlink r:id="rId159" ref="BF6"/>
    <hyperlink r:id="rId160" ref="BG6"/>
    <hyperlink r:id="rId161" ref="BH6"/>
    <hyperlink r:id="rId162" ref="BI6"/>
    <hyperlink r:id="rId163" ref="BJ6"/>
    <hyperlink r:id="rId164" ref="BK6"/>
    <hyperlink r:id="rId165" ref="BL6"/>
    <hyperlink r:id="rId166" ref="BM6"/>
    <hyperlink r:id="rId167" ref="BN6"/>
    <hyperlink r:id="rId168" ref="BO6"/>
    <hyperlink r:id="rId169" ref="BP6"/>
    <hyperlink r:id="rId170" ref="BR6"/>
    <hyperlink r:id="rId171" ref="BS6"/>
    <hyperlink r:id="rId172" ref="BT6"/>
    <hyperlink r:id="rId173" ref="BU6"/>
    <hyperlink r:id="rId174" ref="BV6"/>
    <hyperlink r:id="rId175" ref="BW6"/>
    <hyperlink r:id="rId176" ref="BX6"/>
    <hyperlink r:id="rId177" ref="BY6"/>
    <hyperlink r:id="rId178" ref="BZ6"/>
    <hyperlink r:id="rId179" ref="CA6"/>
    <hyperlink r:id="rId180" ref="CB6"/>
    <hyperlink r:id="rId181" ref="CC6"/>
    <hyperlink r:id="rId182" ref="CD6"/>
    <hyperlink r:id="rId183" ref="CE6"/>
    <hyperlink r:id="rId184" ref="CG6"/>
    <hyperlink r:id="rId185" ref="CH6"/>
    <hyperlink r:id="rId186" ref="CI6"/>
    <hyperlink r:id="rId187" ref="CJ6"/>
    <hyperlink r:id="rId188" ref="CL6"/>
    <hyperlink r:id="rId189" ref="CM6"/>
    <hyperlink r:id="rId190" ref="CN6"/>
    <hyperlink r:id="rId191" ref="CO6"/>
    <hyperlink r:id="rId192" ref="CP6"/>
    <hyperlink r:id="rId193" ref="CQ6"/>
    <hyperlink r:id="rId194" ref="CS6"/>
    <hyperlink r:id="rId195" ref="CT6"/>
    <hyperlink r:id="rId196" ref="CV6"/>
    <hyperlink r:id="rId197" ref="CW6"/>
    <hyperlink r:id="rId198" ref="CX6"/>
    <hyperlink r:id="rId199" ref="CY6"/>
    <hyperlink r:id="rId200" ref="CZ6"/>
    <hyperlink r:id="rId201" ref="DA6"/>
    <hyperlink r:id="rId202" ref="DB6"/>
    <hyperlink r:id="rId203" ref="DC6"/>
    <hyperlink r:id="rId204" ref="DD6"/>
    <hyperlink r:id="rId205" ref="DE6"/>
    <hyperlink r:id="rId206" ref="DF6"/>
    <hyperlink r:id="rId207" ref="DG6"/>
    <hyperlink r:id="rId208" ref="DI6"/>
    <hyperlink r:id="rId209" ref="DJ6"/>
    <hyperlink r:id="rId210" ref="DK6"/>
    <hyperlink r:id="rId211" ref="DM6"/>
    <hyperlink r:id="rId212" ref="DN6"/>
    <hyperlink r:id="rId213" ref="DO6"/>
    <hyperlink r:id="rId214" ref="DP6"/>
    <hyperlink r:id="rId215" ref="DQ6"/>
    <hyperlink r:id="rId216" ref="DR6"/>
    <hyperlink r:id="rId217" ref="DS6"/>
    <hyperlink r:id="rId218" ref="DT6"/>
    <hyperlink r:id="rId219" ref="DU6"/>
    <hyperlink r:id="rId220" ref="DV6"/>
    <hyperlink r:id="rId221" ref="DW6"/>
    <hyperlink r:id="rId222" ref="DX6"/>
    <hyperlink r:id="rId223" ref="DY6"/>
    <hyperlink r:id="rId224" ref="DZ6"/>
    <hyperlink r:id="rId225" ref="EA6"/>
    <hyperlink r:id="rId226" ref="EB6"/>
    <hyperlink r:id="rId227" ref="EC6"/>
    <hyperlink r:id="rId228" ref="ED6"/>
    <hyperlink r:id="rId229" ref="H7"/>
    <hyperlink r:id="rId230" ref="I7"/>
    <hyperlink r:id="rId231" ref="J7"/>
    <hyperlink r:id="rId232" ref="K7"/>
    <hyperlink r:id="rId233" ref="L7"/>
    <hyperlink r:id="rId234" ref="M7"/>
    <hyperlink r:id="rId235" ref="N7"/>
    <hyperlink r:id="rId236" ref="O7"/>
    <hyperlink r:id="rId237" ref="P7"/>
    <hyperlink r:id="rId238" ref="Q7"/>
    <hyperlink r:id="rId239" ref="R7"/>
    <hyperlink r:id="rId240" ref="S7"/>
    <hyperlink r:id="rId241" ref="T7"/>
    <hyperlink r:id="rId242" ref="U7"/>
    <hyperlink r:id="rId243" ref="X7"/>
    <hyperlink r:id="rId244" ref="Z7"/>
    <hyperlink r:id="rId245" ref="AC7"/>
    <hyperlink r:id="rId246" ref="AD7"/>
    <hyperlink r:id="rId247" ref="AE7"/>
    <hyperlink r:id="rId248" ref="AF7"/>
    <hyperlink r:id="rId249" ref="AG7"/>
    <hyperlink r:id="rId250" ref="AH7"/>
    <hyperlink r:id="rId251" ref="AI7"/>
    <hyperlink r:id="rId252" ref="AK7"/>
    <hyperlink r:id="rId253" ref="AM7"/>
    <hyperlink r:id="rId254" ref="AN7"/>
    <hyperlink r:id="rId255" ref="AO7"/>
    <hyperlink r:id="rId256" ref="AQ7"/>
    <hyperlink r:id="rId257" ref="AR7"/>
    <hyperlink r:id="rId258" ref="AS7"/>
    <hyperlink r:id="rId259" ref="AT7"/>
    <hyperlink r:id="rId260" ref="AU7"/>
    <hyperlink r:id="rId261" ref="AV7"/>
    <hyperlink r:id="rId262" ref="AW7"/>
    <hyperlink r:id="rId263" ref="AX7"/>
    <hyperlink r:id="rId264" ref="AY7"/>
    <hyperlink r:id="rId265" ref="AZ7"/>
    <hyperlink r:id="rId266" ref="BB7"/>
    <hyperlink r:id="rId267" ref="BC7"/>
    <hyperlink r:id="rId268" ref="BD7"/>
    <hyperlink r:id="rId269" ref="BE7"/>
    <hyperlink r:id="rId270" ref="BF7"/>
    <hyperlink r:id="rId271" ref="BG7"/>
    <hyperlink r:id="rId272" ref="BH7"/>
    <hyperlink r:id="rId273" ref="BI7"/>
    <hyperlink r:id="rId274" ref="BK7"/>
    <hyperlink r:id="rId275" ref="BL7"/>
    <hyperlink r:id="rId276" ref="BM7"/>
    <hyperlink r:id="rId277" ref="BN7"/>
    <hyperlink r:id="rId278" ref="BO7"/>
    <hyperlink r:id="rId279" ref="BR7"/>
    <hyperlink r:id="rId280" ref="BS7"/>
    <hyperlink r:id="rId281" ref="BU7"/>
    <hyperlink r:id="rId282" ref="BV7"/>
    <hyperlink r:id="rId283" ref="BW7"/>
    <hyperlink r:id="rId284" ref="BX7"/>
    <hyperlink r:id="rId285" ref="BY7"/>
    <hyperlink r:id="rId286" ref="CA7"/>
    <hyperlink r:id="rId287" ref="CB7"/>
    <hyperlink r:id="rId288" ref="CC7"/>
    <hyperlink r:id="rId289" ref="CD7"/>
    <hyperlink r:id="rId290" ref="CE7"/>
    <hyperlink r:id="rId291" ref="CG7"/>
    <hyperlink r:id="rId292" ref="CH7"/>
    <hyperlink r:id="rId293" ref="CJ7"/>
    <hyperlink r:id="rId294" ref="CL7"/>
    <hyperlink r:id="rId295" ref="CN7"/>
    <hyperlink r:id="rId296" ref="CO7"/>
    <hyperlink r:id="rId297" ref="CP7"/>
    <hyperlink r:id="rId298" ref="CQ7"/>
    <hyperlink r:id="rId299" ref="CT7"/>
    <hyperlink r:id="rId300" ref="CV7"/>
    <hyperlink r:id="rId301" ref="CW7"/>
    <hyperlink r:id="rId302" ref="CX7"/>
    <hyperlink r:id="rId303" ref="CY7"/>
    <hyperlink r:id="rId304" ref="CZ7"/>
    <hyperlink r:id="rId305" ref="DA7"/>
    <hyperlink r:id="rId306" ref="DB7"/>
    <hyperlink r:id="rId307" ref="DC7"/>
    <hyperlink r:id="rId308" ref="DD7"/>
    <hyperlink r:id="rId309" ref="DG7"/>
    <hyperlink r:id="rId310" ref="DI7"/>
    <hyperlink r:id="rId311" ref="DJ7"/>
    <hyperlink r:id="rId312" ref="DK7"/>
    <hyperlink r:id="rId313" ref="DN7"/>
    <hyperlink r:id="rId314" ref="DO7"/>
    <hyperlink r:id="rId315" ref="DP7"/>
    <hyperlink r:id="rId316" ref="DQ7"/>
    <hyperlink r:id="rId317" ref="DR7"/>
    <hyperlink r:id="rId318" ref="DT7"/>
    <hyperlink r:id="rId319" ref="DU7"/>
    <hyperlink r:id="rId320" ref="DV7"/>
    <hyperlink r:id="rId321" ref="DW7"/>
    <hyperlink r:id="rId322" ref="DX7"/>
    <hyperlink r:id="rId323" ref="DY7"/>
    <hyperlink r:id="rId324" ref="EB7"/>
    <hyperlink r:id="rId325" ref="EC7"/>
    <hyperlink r:id="rId326" ref="ED7"/>
    <hyperlink r:id="rId327" ref="I8"/>
    <hyperlink r:id="rId328" ref="J8"/>
    <hyperlink r:id="rId329" ref="K8"/>
    <hyperlink r:id="rId330" ref="L8"/>
    <hyperlink r:id="rId331" ref="M8"/>
    <hyperlink r:id="rId332" ref="N8"/>
    <hyperlink r:id="rId333" ref="O8"/>
    <hyperlink r:id="rId334" ref="P8"/>
    <hyperlink r:id="rId335" ref="Q8"/>
    <hyperlink r:id="rId336" ref="S8"/>
    <hyperlink r:id="rId337" ref="T8"/>
    <hyperlink r:id="rId338" ref="U8"/>
    <hyperlink r:id="rId339" ref="X8"/>
    <hyperlink r:id="rId340" ref="Z8"/>
    <hyperlink r:id="rId341" ref="AA8"/>
    <hyperlink r:id="rId342" ref="AB8"/>
    <hyperlink r:id="rId343" ref="AC8"/>
    <hyperlink r:id="rId344" ref="AD8"/>
    <hyperlink r:id="rId345" ref="AE8"/>
    <hyperlink r:id="rId346" ref="AF8"/>
    <hyperlink r:id="rId347" ref="AG8"/>
    <hyperlink r:id="rId348" ref="AH8"/>
    <hyperlink r:id="rId349" ref="AI8"/>
    <hyperlink r:id="rId350" ref="AJ8"/>
    <hyperlink r:id="rId351" ref="AK8"/>
    <hyperlink r:id="rId352" ref="AM8"/>
    <hyperlink r:id="rId353" ref="AN8"/>
    <hyperlink r:id="rId354" ref="AO8"/>
    <hyperlink r:id="rId355" ref="AP8"/>
    <hyperlink r:id="rId356" ref="AR8"/>
    <hyperlink r:id="rId357" ref="AS8"/>
    <hyperlink r:id="rId358" ref="AT8"/>
    <hyperlink r:id="rId359" ref="AU8"/>
    <hyperlink r:id="rId360" ref="AW8"/>
    <hyperlink r:id="rId361" ref="AX8"/>
    <hyperlink r:id="rId362" ref="AY8"/>
    <hyperlink r:id="rId363" ref="BC8"/>
    <hyperlink r:id="rId364" ref="BD8"/>
    <hyperlink r:id="rId365" ref="BE8"/>
    <hyperlink r:id="rId366" ref="BF8"/>
    <hyperlink r:id="rId367" ref="BG8"/>
    <hyperlink r:id="rId368" ref="BH8"/>
    <hyperlink r:id="rId369" ref="BK8"/>
    <hyperlink r:id="rId370" ref="BL8"/>
    <hyperlink r:id="rId371" ref="BN8"/>
    <hyperlink r:id="rId372" ref="BO8"/>
    <hyperlink r:id="rId373" ref="BP8"/>
    <hyperlink r:id="rId374" ref="BR8"/>
    <hyperlink r:id="rId375" ref="BS8"/>
    <hyperlink r:id="rId376" ref="BT8"/>
    <hyperlink r:id="rId377" ref="BU8"/>
    <hyperlink r:id="rId378" ref="BV8"/>
    <hyperlink r:id="rId379" ref="BW8"/>
    <hyperlink r:id="rId380" ref="BZ8"/>
    <hyperlink r:id="rId381" ref="CA8"/>
    <hyperlink r:id="rId382" ref="CB8"/>
    <hyperlink r:id="rId383" ref="CC8"/>
    <hyperlink r:id="rId384" ref="CD8"/>
    <hyperlink r:id="rId385" ref="CG8"/>
    <hyperlink r:id="rId386" ref="CH8"/>
    <hyperlink r:id="rId387" ref="CI8"/>
    <hyperlink r:id="rId388" ref="CJ8"/>
    <hyperlink r:id="rId389" ref="CL8"/>
    <hyperlink r:id="rId390" ref="CM8"/>
    <hyperlink r:id="rId391" ref="CN8"/>
    <hyperlink r:id="rId392" ref="CP8"/>
    <hyperlink r:id="rId393" ref="CQ8"/>
    <hyperlink r:id="rId394" ref="CS8"/>
    <hyperlink r:id="rId395" ref="CT8"/>
    <hyperlink r:id="rId396" ref="CV8"/>
    <hyperlink r:id="rId397" ref="CW8"/>
    <hyperlink r:id="rId398" ref="CX8"/>
    <hyperlink r:id="rId399" ref="CY8"/>
    <hyperlink r:id="rId400" ref="CZ8"/>
    <hyperlink r:id="rId401" ref="DA8"/>
    <hyperlink r:id="rId402" ref="DB8"/>
    <hyperlink r:id="rId403" ref="DC8"/>
    <hyperlink r:id="rId404" ref="DD8"/>
    <hyperlink r:id="rId405" ref="DE8"/>
    <hyperlink r:id="rId406" ref="DF8"/>
    <hyperlink r:id="rId407" ref="DG8"/>
    <hyperlink r:id="rId408" ref="DI8"/>
    <hyperlink r:id="rId409" ref="DJ8"/>
    <hyperlink r:id="rId410" ref="DK8"/>
    <hyperlink r:id="rId411" ref="DL8"/>
    <hyperlink r:id="rId412" ref="DM8"/>
    <hyperlink r:id="rId413" ref="DN8"/>
    <hyperlink r:id="rId414" ref="DO8"/>
    <hyperlink r:id="rId415" ref="DP8"/>
    <hyperlink r:id="rId416" ref="DQ8"/>
    <hyperlink r:id="rId417" ref="DR8"/>
    <hyperlink r:id="rId418" ref="DS8"/>
    <hyperlink r:id="rId419" ref="DT8"/>
    <hyperlink r:id="rId420" ref="DU8"/>
    <hyperlink r:id="rId421" ref="DV8"/>
    <hyperlink r:id="rId422" ref="DW8"/>
    <hyperlink r:id="rId423" ref="DX8"/>
    <hyperlink r:id="rId424" ref="DY8"/>
    <hyperlink r:id="rId425" ref="DZ8"/>
    <hyperlink r:id="rId426" ref="EA8"/>
    <hyperlink r:id="rId427" ref="EB8"/>
    <hyperlink r:id="rId428" ref="EC8"/>
    <hyperlink r:id="rId429" ref="ED8"/>
    <hyperlink r:id="rId430" ref="H9"/>
    <hyperlink r:id="rId431" ref="I9"/>
    <hyperlink r:id="rId432" ref="J9"/>
    <hyperlink r:id="rId433" ref="K9"/>
    <hyperlink r:id="rId434" ref="L9"/>
    <hyperlink r:id="rId435" ref="M9"/>
    <hyperlink r:id="rId436" ref="O9"/>
    <hyperlink r:id="rId437" ref="P9"/>
    <hyperlink r:id="rId438" ref="Q9"/>
    <hyperlink r:id="rId439" ref="R9"/>
    <hyperlink r:id="rId440" ref="S9"/>
    <hyperlink r:id="rId441" ref="T9"/>
    <hyperlink r:id="rId442" ref="U9"/>
    <hyperlink r:id="rId443" ref="V9"/>
    <hyperlink r:id="rId444" ref="X9"/>
    <hyperlink r:id="rId445" ref="Z9"/>
    <hyperlink r:id="rId446" ref="AA9"/>
    <hyperlink r:id="rId447" ref="AB9"/>
    <hyperlink r:id="rId448" ref="AC9"/>
    <hyperlink r:id="rId449" ref="AD9"/>
    <hyperlink r:id="rId450" ref="AE9"/>
    <hyperlink r:id="rId451" ref="AF9"/>
    <hyperlink r:id="rId452" ref="AG9"/>
    <hyperlink r:id="rId453" ref="AH9"/>
    <hyperlink r:id="rId454" ref="AI9"/>
    <hyperlink r:id="rId455" ref="AJ9"/>
    <hyperlink r:id="rId456" ref="AK9"/>
    <hyperlink r:id="rId457" ref="AM9"/>
    <hyperlink r:id="rId458" ref="AN9"/>
    <hyperlink r:id="rId459" ref="AO9"/>
    <hyperlink r:id="rId460" ref="AP9"/>
    <hyperlink r:id="rId461" ref="AT9"/>
    <hyperlink r:id="rId462" ref="AU9"/>
    <hyperlink r:id="rId463" ref="AV9"/>
    <hyperlink r:id="rId464" ref="AW9"/>
    <hyperlink r:id="rId465" ref="AX9"/>
    <hyperlink r:id="rId466" ref="AY9"/>
    <hyperlink r:id="rId467" ref="AZ9"/>
    <hyperlink r:id="rId468" ref="BB9"/>
    <hyperlink r:id="rId469" ref="BC9"/>
    <hyperlink r:id="rId470" ref="BD9"/>
    <hyperlink r:id="rId471" ref="BE9"/>
    <hyperlink r:id="rId472" ref="BF9"/>
    <hyperlink r:id="rId473" ref="BG9"/>
    <hyperlink r:id="rId474" ref="BH9"/>
    <hyperlink r:id="rId475" ref="BI9"/>
    <hyperlink r:id="rId476" ref="BJ9"/>
    <hyperlink r:id="rId477" ref="BL9"/>
    <hyperlink r:id="rId478" ref="BM9"/>
    <hyperlink r:id="rId479" ref="BN9"/>
    <hyperlink r:id="rId480" ref="BO9"/>
    <hyperlink r:id="rId481" ref="BP9"/>
    <hyperlink r:id="rId482" ref="BR9"/>
    <hyperlink r:id="rId483" ref="BS9"/>
    <hyperlink r:id="rId484" ref="BT9"/>
    <hyperlink r:id="rId485" ref="BU9"/>
    <hyperlink r:id="rId486" ref="BV9"/>
    <hyperlink r:id="rId487" ref="BW9"/>
    <hyperlink r:id="rId488" ref="BX9"/>
    <hyperlink r:id="rId489" ref="BY9"/>
    <hyperlink r:id="rId490" ref="BZ9"/>
    <hyperlink r:id="rId491" ref="CA9"/>
    <hyperlink r:id="rId492" ref="CB9"/>
    <hyperlink r:id="rId493" ref="CC9"/>
    <hyperlink r:id="rId494" ref="CD9"/>
    <hyperlink r:id="rId495" ref="CE9"/>
    <hyperlink r:id="rId496" ref="CG9"/>
    <hyperlink r:id="rId497" ref="CH9"/>
    <hyperlink r:id="rId498" ref="CI9"/>
    <hyperlink r:id="rId499" ref="CJ9"/>
    <hyperlink r:id="rId500" ref="CL9"/>
    <hyperlink r:id="rId501" ref="CM9"/>
    <hyperlink r:id="rId502" ref="CN9"/>
    <hyperlink r:id="rId503" ref="CO9"/>
    <hyperlink r:id="rId504" ref="CP9"/>
    <hyperlink r:id="rId505" ref="CQ9"/>
    <hyperlink r:id="rId506" ref="CS9"/>
    <hyperlink r:id="rId507" ref="CT9"/>
    <hyperlink r:id="rId508" ref="CV9"/>
    <hyperlink r:id="rId509" ref="CW9"/>
    <hyperlink r:id="rId510" ref="CX9"/>
    <hyperlink r:id="rId511" ref="CY9"/>
    <hyperlink r:id="rId512" ref="CZ9"/>
    <hyperlink r:id="rId513" ref="DA9"/>
    <hyperlink r:id="rId514" ref="DB9"/>
    <hyperlink r:id="rId515" ref="DC9"/>
    <hyperlink r:id="rId516" ref="DD9"/>
    <hyperlink r:id="rId517" ref="DE9"/>
    <hyperlink r:id="rId518" ref="DF9"/>
    <hyperlink r:id="rId519" ref="DG9"/>
    <hyperlink r:id="rId520" ref="DI9"/>
    <hyperlink r:id="rId521" ref="DJ9"/>
    <hyperlink r:id="rId522" ref="DK9"/>
    <hyperlink r:id="rId523" ref="DM9"/>
    <hyperlink r:id="rId524" ref="DN9"/>
    <hyperlink r:id="rId525" ref="DO9"/>
    <hyperlink r:id="rId526" ref="DP9"/>
    <hyperlink r:id="rId527" ref="DQ9"/>
    <hyperlink r:id="rId528" ref="DR9"/>
    <hyperlink r:id="rId529" ref="DS9"/>
    <hyperlink r:id="rId530" ref="DT9"/>
    <hyperlink r:id="rId531" ref="DU9"/>
    <hyperlink r:id="rId532" ref="DV9"/>
    <hyperlink r:id="rId533" ref="DX9"/>
    <hyperlink r:id="rId534" ref="DY9"/>
    <hyperlink r:id="rId535" ref="DZ9"/>
    <hyperlink r:id="rId536" ref="EA9"/>
    <hyperlink r:id="rId537" ref="EB9"/>
    <hyperlink r:id="rId538" ref="EC9"/>
    <hyperlink r:id="rId539" ref="ED9"/>
    <hyperlink r:id="rId540" ref="K10"/>
    <hyperlink r:id="rId541" ref="L10"/>
    <hyperlink r:id="rId542" ref="O10"/>
    <hyperlink r:id="rId543" ref="P10"/>
    <hyperlink r:id="rId544" ref="R10"/>
    <hyperlink r:id="rId545" ref="S10"/>
    <hyperlink r:id="rId546" ref="T10"/>
    <hyperlink r:id="rId547" ref="X10"/>
    <hyperlink r:id="rId548" ref="Z10"/>
    <hyperlink r:id="rId549" ref="AB10"/>
    <hyperlink r:id="rId550" ref="AC10"/>
    <hyperlink r:id="rId551" ref="AD10"/>
    <hyperlink r:id="rId552" ref="AE10"/>
    <hyperlink r:id="rId553" ref="AF10"/>
    <hyperlink r:id="rId554" ref="AK10"/>
    <hyperlink r:id="rId555" ref="AN10"/>
    <hyperlink r:id="rId556" ref="AO10"/>
    <hyperlink r:id="rId557" ref="AQ10"/>
    <hyperlink r:id="rId558" ref="AR10"/>
    <hyperlink r:id="rId559" ref="AU10"/>
    <hyperlink r:id="rId560" ref="AV10"/>
    <hyperlink r:id="rId561" ref="AW10"/>
    <hyperlink r:id="rId562" ref="AX10"/>
    <hyperlink r:id="rId563" ref="AZ10"/>
    <hyperlink r:id="rId564" ref="BB10"/>
    <hyperlink r:id="rId565" ref="BC10"/>
    <hyperlink r:id="rId566" ref="BE10"/>
    <hyperlink r:id="rId567" ref="BI10"/>
    <hyperlink r:id="rId568" ref="BL10"/>
    <hyperlink r:id="rId569" ref="BN10"/>
    <hyperlink r:id="rId570" ref="BO10"/>
    <hyperlink r:id="rId571" ref="BS10"/>
    <hyperlink r:id="rId572" ref="BT10"/>
    <hyperlink r:id="rId573" ref="BU10"/>
    <hyperlink r:id="rId574" ref="BV10"/>
    <hyperlink r:id="rId575" ref="BY10"/>
    <hyperlink r:id="rId576" ref="BZ10"/>
    <hyperlink r:id="rId577" ref="CA10"/>
    <hyperlink r:id="rId578" ref="CB10"/>
    <hyperlink r:id="rId579" ref="CD10"/>
    <hyperlink r:id="rId580" ref="CE10"/>
    <hyperlink r:id="rId581" ref="CG10"/>
    <hyperlink r:id="rId582" ref="CH10"/>
    <hyperlink r:id="rId583" ref="CJ10"/>
    <hyperlink r:id="rId584" ref="CL10"/>
    <hyperlink r:id="rId585" ref="CN10"/>
    <hyperlink r:id="rId586" ref="CO10"/>
    <hyperlink r:id="rId587" ref="CP10"/>
    <hyperlink r:id="rId588" ref="CQ10"/>
    <hyperlink r:id="rId589" ref="CT10"/>
    <hyperlink r:id="rId590" ref="CW10"/>
    <hyperlink r:id="rId591" ref="CX10"/>
    <hyperlink r:id="rId592" ref="CY10"/>
    <hyperlink r:id="rId593" ref="DA10"/>
    <hyperlink r:id="rId594" ref="DB10"/>
    <hyperlink r:id="rId595" ref="DC10"/>
    <hyperlink r:id="rId596" ref="DD10"/>
    <hyperlink r:id="rId597" ref="DE10"/>
    <hyperlink r:id="rId598" ref="DF10"/>
    <hyperlink r:id="rId599" ref="DG10"/>
    <hyperlink r:id="rId600" ref="DI10"/>
    <hyperlink r:id="rId601" ref="DJ10"/>
    <hyperlink r:id="rId602" ref="DM10"/>
    <hyperlink r:id="rId603" ref="DN10"/>
    <hyperlink r:id="rId604" ref="DO10"/>
    <hyperlink r:id="rId605" ref="DP10"/>
    <hyperlink r:id="rId606" ref="DQ10"/>
    <hyperlink r:id="rId607" ref="DR10"/>
    <hyperlink r:id="rId608" ref="DT10"/>
    <hyperlink r:id="rId609" ref="DU10"/>
    <hyperlink r:id="rId610" ref="DV10"/>
    <hyperlink r:id="rId611" ref="DW10"/>
    <hyperlink r:id="rId612" ref="DX10"/>
    <hyperlink r:id="rId613" ref="DY10"/>
    <hyperlink r:id="rId614" ref="DZ10"/>
    <hyperlink r:id="rId615" ref="EA10"/>
    <hyperlink r:id="rId616" ref="EB10"/>
    <hyperlink r:id="rId617" ref="ED10"/>
    <hyperlink r:id="rId618" ref="H11"/>
    <hyperlink r:id="rId619" ref="I11"/>
    <hyperlink r:id="rId620" ref="J11"/>
    <hyperlink r:id="rId621" ref="K11"/>
    <hyperlink r:id="rId622" ref="L11"/>
    <hyperlink r:id="rId623" ref="M11"/>
    <hyperlink r:id="rId624" ref="N11"/>
    <hyperlink r:id="rId625" ref="O11"/>
    <hyperlink r:id="rId626" ref="P11"/>
    <hyperlink r:id="rId627" ref="S11"/>
    <hyperlink r:id="rId628" ref="V11"/>
    <hyperlink r:id="rId629" ref="X11"/>
    <hyperlink r:id="rId630" ref="Z11"/>
    <hyperlink r:id="rId631" ref="AA11"/>
    <hyperlink r:id="rId632" ref="AB11"/>
    <hyperlink r:id="rId633" ref="AC11"/>
    <hyperlink r:id="rId634" ref="AD11"/>
    <hyperlink r:id="rId635" ref="AF11"/>
    <hyperlink r:id="rId636" ref="AG11"/>
    <hyperlink r:id="rId637" ref="AJ11"/>
    <hyperlink r:id="rId638" ref="AK11"/>
    <hyperlink r:id="rId639" ref="AM11"/>
    <hyperlink r:id="rId640" ref="AN11"/>
    <hyperlink r:id="rId641" ref="AU11"/>
    <hyperlink r:id="rId642" ref="AV11"/>
    <hyperlink r:id="rId643" ref="AW11"/>
    <hyperlink r:id="rId644" ref="AY11"/>
    <hyperlink r:id="rId645" ref="BB11"/>
    <hyperlink r:id="rId646" ref="BC11"/>
    <hyperlink r:id="rId647" ref="BD11"/>
    <hyperlink r:id="rId648" ref="BE11"/>
    <hyperlink r:id="rId649" ref="BF11"/>
    <hyperlink r:id="rId650" ref="BG11"/>
    <hyperlink r:id="rId651" ref="BH11"/>
    <hyperlink r:id="rId652" ref="BI11"/>
    <hyperlink r:id="rId653" ref="BK11"/>
    <hyperlink r:id="rId654" ref="BL11"/>
    <hyperlink r:id="rId655" ref="BN11"/>
    <hyperlink r:id="rId656" ref="BO11"/>
    <hyperlink r:id="rId657" ref="BR11"/>
    <hyperlink r:id="rId658" ref="BS11"/>
    <hyperlink r:id="rId659" ref="BT11"/>
    <hyperlink r:id="rId660" ref="BU11"/>
    <hyperlink r:id="rId661" ref="BV11"/>
    <hyperlink r:id="rId662" ref="BW11"/>
    <hyperlink r:id="rId663" ref="BX11"/>
    <hyperlink r:id="rId664" ref="BY11"/>
    <hyperlink r:id="rId665" ref="BZ11"/>
    <hyperlink r:id="rId666" ref="CA11"/>
    <hyperlink r:id="rId667" ref="CC11"/>
    <hyperlink r:id="rId668" ref="CD11"/>
    <hyperlink r:id="rId669" ref="CE11"/>
    <hyperlink r:id="rId670" ref="CG11"/>
    <hyperlink r:id="rId671" ref="CH11"/>
    <hyperlink r:id="rId672" ref="CI11"/>
    <hyperlink r:id="rId673" ref="CJ11"/>
    <hyperlink r:id="rId674" ref="CL11"/>
    <hyperlink r:id="rId675" ref="CM11"/>
    <hyperlink r:id="rId676" ref="CN11"/>
    <hyperlink r:id="rId677" ref="CO11"/>
    <hyperlink r:id="rId678" ref="CQ11"/>
    <hyperlink r:id="rId679" ref="CV11"/>
    <hyperlink r:id="rId680" ref="CW11"/>
    <hyperlink r:id="rId681" ref="CX11"/>
    <hyperlink r:id="rId682" ref="CY11"/>
    <hyperlink r:id="rId683" ref="CZ11"/>
    <hyperlink r:id="rId684" ref="DA11"/>
    <hyperlink r:id="rId685" ref="DB11"/>
    <hyperlink r:id="rId686" ref="DC11"/>
    <hyperlink r:id="rId687" ref="DD11"/>
    <hyperlink r:id="rId688" ref="DG11"/>
    <hyperlink r:id="rId689" ref="DI11"/>
    <hyperlink r:id="rId690" ref="DM11"/>
    <hyperlink r:id="rId691" ref="DN11"/>
    <hyperlink r:id="rId692" ref="DO11"/>
    <hyperlink r:id="rId693" ref="DP11"/>
    <hyperlink r:id="rId694" ref="DQ11"/>
    <hyperlink r:id="rId695" ref="DR11"/>
    <hyperlink r:id="rId696" ref="DS11"/>
    <hyperlink r:id="rId697" ref="DU11"/>
    <hyperlink r:id="rId698" ref="DV11"/>
    <hyperlink r:id="rId699" ref="DY11"/>
    <hyperlink r:id="rId700" ref="DZ11"/>
    <hyperlink r:id="rId701" ref="EA11"/>
    <hyperlink r:id="rId702" ref="EB11"/>
    <hyperlink r:id="rId703" ref="EC11"/>
    <hyperlink r:id="rId704" ref="ED11"/>
    <hyperlink r:id="rId705" ref="H12"/>
    <hyperlink r:id="rId706" ref="J12"/>
    <hyperlink r:id="rId707" ref="K12"/>
    <hyperlink r:id="rId708" ref="L12"/>
    <hyperlink r:id="rId709" ref="M12"/>
    <hyperlink r:id="rId710" ref="O12"/>
    <hyperlink r:id="rId711" ref="P12"/>
    <hyperlink r:id="rId712" ref="S12"/>
    <hyperlink r:id="rId713" ref="T12"/>
    <hyperlink r:id="rId714" ref="V12"/>
    <hyperlink r:id="rId715" ref="X12"/>
    <hyperlink r:id="rId716" ref="Z12"/>
    <hyperlink r:id="rId717" ref="AA12"/>
    <hyperlink r:id="rId718" ref="AB12"/>
    <hyperlink r:id="rId719" ref="AC12"/>
    <hyperlink r:id="rId720" ref="AD12"/>
    <hyperlink r:id="rId721" ref="AE12"/>
    <hyperlink r:id="rId722" ref="AF12"/>
    <hyperlink r:id="rId723" ref="AH12"/>
    <hyperlink r:id="rId724" ref="AI12"/>
    <hyperlink r:id="rId725" ref="AK12"/>
    <hyperlink r:id="rId726" ref="AM12"/>
    <hyperlink r:id="rId727" ref="AO12"/>
    <hyperlink r:id="rId728" ref="AS12"/>
    <hyperlink r:id="rId729" ref="AT12"/>
    <hyperlink r:id="rId730" ref="AU12"/>
    <hyperlink r:id="rId731" ref="AV12"/>
    <hyperlink r:id="rId732" ref="AW12"/>
    <hyperlink r:id="rId733" ref="AY12"/>
    <hyperlink r:id="rId734" ref="BB12"/>
    <hyperlink r:id="rId735" ref="BC12"/>
    <hyperlink r:id="rId736" ref="BD12"/>
    <hyperlink r:id="rId737" ref="BE12"/>
    <hyperlink r:id="rId738" ref="BF12"/>
    <hyperlink r:id="rId739" ref="BI12"/>
    <hyperlink r:id="rId740" ref="BK12"/>
    <hyperlink r:id="rId741" ref="BL12"/>
    <hyperlink r:id="rId742" ref="BN12"/>
    <hyperlink r:id="rId743" ref="BO12"/>
    <hyperlink r:id="rId744" ref="BP12"/>
    <hyperlink r:id="rId745" ref="BS12"/>
    <hyperlink r:id="rId746" ref="BT12"/>
    <hyperlink r:id="rId747" ref="BU12"/>
    <hyperlink r:id="rId748" ref="BV12"/>
    <hyperlink r:id="rId749" ref="BW12"/>
    <hyperlink r:id="rId750" ref="CA12"/>
    <hyperlink r:id="rId751" ref="CE12"/>
    <hyperlink r:id="rId752" ref="CG12"/>
    <hyperlink r:id="rId753" ref="CH12"/>
    <hyperlink r:id="rId754" ref="CI12"/>
    <hyperlink r:id="rId755" ref="CL12"/>
    <hyperlink r:id="rId756" ref="CN12"/>
    <hyperlink r:id="rId757" ref="CO12"/>
    <hyperlink r:id="rId758" ref="CP12"/>
    <hyperlink r:id="rId759" ref="CQ12"/>
    <hyperlink r:id="rId760" ref="CR12"/>
    <hyperlink r:id="rId761" ref="CS12"/>
    <hyperlink r:id="rId762" ref="CT12"/>
    <hyperlink r:id="rId763" ref="CW12"/>
    <hyperlink r:id="rId764" ref="DA12"/>
    <hyperlink r:id="rId765" ref="DC12"/>
    <hyperlink r:id="rId766" ref="DE12"/>
    <hyperlink r:id="rId767" ref="DF12"/>
    <hyperlink r:id="rId768" ref="DG12"/>
    <hyperlink r:id="rId769" ref="DI12"/>
    <hyperlink r:id="rId770" ref="DJ12"/>
    <hyperlink r:id="rId771" ref="DK12"/>
    <hyperlink r:id="rId772" ref="DM12"/>
    <hyperlink r:id="rId773" ref="DO12"/>
    <hyperlink r:id="rId774" ref="DP12"/>
    <hyperlink r:id="rId775" ref="DQ12"/>
    <hyperlink r:id="rId776" ref="DR12"/>
    <hyperlink r:id="rId777" ref="DS12"/>
    <hyperlink r:id="rId778" ref="DT12"/>
    <hyperlink r:id="rId779" ref="DU12"/>
    <hyperlink r:id="rId780" ref="DV12"/>
    <hyperlink r:id="rId781" ref="DW12"/>
    <hyperlink r:id="rId782" ref="DX12"/>
    <hyperlink r:id="rId783" ref="DY12"/>
    <hyperlink r:id="rId784" ref="DZ12"/>
    <hyperlink r:id="rId785" ref="EC12"/>
    <hyperlink r:id="rId786" ref="ED12"/>
    <hyperlink r:id="rId787" ref="H13"/>
    <hyperlink r:id="rId788" ref="I13"/>
    <hyperlink r:id="rId789" ref="J13"/>
    <hyperlink r:id="rId790" ref="K13"/>
    <hyperlink r:id="rId791" ref="L13"/>
    <hyperlink r:id="rId792" ref="M13"/>
    <hyperlink r:id="rId793" ref="O13"/>
    <hyperlink r:id="rId794" ref="P13"/>
    <hyperlink r:id="rId795" ref="S13"/>
    <hyperlink r:id="rId796" ref="X13"/>
    <hyperlink r:id="rId797" ref="Z13"/>
    <hyperlink r:id="rId798" ref="AA13"/>
    <hyperlink r:id="rId799" ref="AC13"/>
    <hyperlink r:id="rId800" ref="AD13"/>
    <hyperlink r:id="rId801" ref="AF13"/>
    <hyperlink r:id="rId802" ref="AG13"/>
    <hyperlink r:id="rId803" ref="AH13"/>
    <hyperlink r:id="rId804" ref="AJ13"/>
    <hyperlink r:id="rId805" ref="AM13"/>
    <hyperlink r:id="rId806" ref="AN13"/>
    <hyperlink r:id="rId807" ref="AP13"/>
    <hyperlink r:id="rId808" ref="AR13"/>
    <hyperlink r:id="rId809" ref="AU13"/>
    <hyperlink r:id="rId810" ref="AV13"/>
    <hyperlink r:id="rId811" ref="AW13"/>
    <hyperlink r:id="rId812" ref="BB13"/>
    <hyperlink r:id="rId813" ref="BC13"/>
    <hyperlink r:id="rId814" ref="BD13"/>
    <hyperlink r:id="rId815" ref="BE13"/>
    <hyperlink r:id="rId816" ref="BF13"/>
    <hyperlink r:id="rId817" ref="BH13"/>
    <hyperlink r:id="rId818" ref="BI13"/>
    <hyperlink r:id="rId819" ref="BJ13"/>
    <hyperlink r:id="rId820" ref="BK13"/>
    <hyperlink r:id="rId821" ref="BL13"/>
    <hyperlink r:id="rId822" ref="BN13"/>
    <hyperlink r:id="rId823" ref="BR13"/>
    <hyperlink r:id="rId824" ref="BS13"/>
    <hyperlink r:id="rId825" ref="BT13"/>
    <hyperlink r:id="rId826" ref="BU13"/>
    <hyperlink r:id="rId827" ref="BV13"/>
    <hyperlink r:id="rId828" ref="BW13"/>
    <hyperlink r:id="rId829" ref="BY13"/>
    <hyperlink r:id="rId830" ref="BZ13"/>
    <hyperlink r:id="rId831" ref="CA13"/>
    <hyperlink r:id="rId832" ref="CC13"/>
    <hyperlink r:id="rId833" ref="CG13"/>
    <hyperlink r:id="rId834" ref="CH13"/>
    <hyperlink r:id="rId835" ref="CI13"/>
    <hyperlink r:id="rId836" ref="CJ13"/>
    <hyperlink r:id="rId837" ref="CK13"/>
    <hyperlink r:id="rId838" ref="CL13"/>
    <hyperlink r:id="rId839" ref="CM13"/>
    <hyperlink r:id="rId840" ref="CN13"/>
    <hyperlink r:id="rId841" ref="CO13"/>
    <hyperlink r:id="rId842" ref="CP13"/>
    <hyperlink r:id="rId843" ref="CQ13"/>
    <hyperlink r:id="rId844" ref="CS13"/>
    <hyperlink r:id="rId845" ref="CV13"/>
    <hyperlink r:id="rId846" ref="CW13"/>
    <hyperlink r:id="rId847" ref="CX13"/>
    <hyperlink r:id="rId848" ref="CY13"/>
    <hyperlink r:id="rId849" ref="CZ13"/>
    <hyperlink r:id="rId850" ref="DA13"/>
    <hyperlink r:id="rId851" ref="DB13"/>
    <hyperlink r:id="rId852" ref="DC13"/>
    <hyperlink r:id="rId853" ref="DF13"/>
    <hyperlink r:id="rId854" ref="DI13"/>
    <hyperlink r:id="rId855" ref="DM13"/>
    <hyperlink r:id="rId856" ref="DO13"/>
    <hyperlink r:id="rId857" ref="DQ13"/>
    <hyperlink r:id="rId858" ref="DS13"/>
    <hyperlink r:id="rId859" ref="DT13"/>
    <hyperlink r:id="rId860" ref="DW13"/>
    <hyperlink r:id="rId861" ref="DY13"/>
    <hyperlink r:id="rId862" ref="EA13"/>
    <hyperlink r:id="rId863" ref="EC13"/>
    <hyperlink r:id="rId864" ref="ED13"/>
    <hyperlink r:id="rId865" ref="H14"/>
    <hyperlink r:id="rId866" ref="I14"/>
    <hyperlink r:id="rId867" ref="J14"/>
    <hyperlink r:id="rId868" ref="K14"/>
    <hyperlink r:id="rId869" ref="L14"/>
    <hyperlink r:id="rId870" ref="M14"/>
    <hyperlink r:id="rId871" ref="O14"/>
    <hyperlink r:id="rId872" ref="P14"/>
    <hyperlink r:id="rId873" ref="Q14"/>
    <hyperlink r:id="rId874" ref="S14"/>
    <hyperlink r:id="rId875" ref="U14"/>
    <hyperlink r:id="rId876" ref="X14"/>
    <hyperlink r:id="rId877" ref="Z14"/>
    <hyperlink r:id="rId878" ref="AA14"/>
    <hyperlink r:id="rId879" ref="AB14"/>
    <hyperlink r:id="rId880" ref="AC14"/>
    <hyperlink r:id="rId881" ref="AD14"/>
    <hyperlink r:id="rId882" ref="AE14"/>
    <hyperlink r:id="rId883" ref="AF14"/>
    <hyperlink r:id="rId884" ref="AG14"/>
    <hyperlink r:id="rId885" ref="AH14"/>
    <hyperlink r:id="rId886" ref="AJ14"/>
    <hyperlink r:id="rId887" ref="AK14"/>
    <hyperlink r:id="rId888" ref="AM14"/>
    <hyperlink r:id="rId889" ref="AN14"/>
    <hyperlink r:id="rId890" ref="AR14"/>
    <hyperlink r:id="rId891" ref="AS14"/>
    <hyperlink r:id="rId892" ref="AT14"/>
    <hyperlink r:id="rId893" ref="AU14"/>
    <hyperlink r:id="rId894" ref="AV14"/>
    <hyperlink r:id="rId895" ref="AW14"/>
    <hyperlink r:id="rId896" ref="AY14"/>
    <hyperlink r:id="rId897" ref="BB14"/>
    <hyperlink r:id="rId898" ref="BC14"/>
    <hyperlink r:id="rId899" ref="BD14"/>
    <hyperlink r:id="rId900" ref="BE14"/>
    <hyperlink r:id="rId901" ref="BF14"/>
    <hyperlink r:id="rId902" ref="BG14"/>
    <hyperlink r:id="rId903" ref="BH14"/>
    <hyperlink r:id="rId904" ref="BI14"/>
    <hyperlink r:id="rId905" ref="BJ14"/>
    <hyperlink r:id="rId906" ref="BL14"/>
    <hyperlink r:id="rId907" ref="BN14"/>
    <hyperlink r:id="rId908" ref="BO14"/>
    <hyperlink r:id="rId909" ref="BR14"/>
    <hyperlink r:id="rId910" ref="BS14"/>
    <hyperlink r:id="rId911" ref="BT14"/>
    <hyperlink r:id="rId912" ref="BU14"/>
    <hyperlink r:id="rId913" ref="BV14"/>
    <hyperlink r:id="rId914" ref="BW14"/>
    <hyperlink r:id="rId915" ref="BX14"/>
    <hyperlink r:id="rId916" ref="BY14"/>
    <hyperlink r:id="rId917" ref="CA14"/>
    <hyperlink r:id="rId918" ref="CB14"/>
    <hyperlink r:id="rId919" ref="CC14"/>
    <hyperlink r:id="rId920" ref="CD14"/>
    <hyperlink r:id="rId921" ref="CG14"/>
    <hyperlink r:id="rId922" ref="CH14"/>
    <hyperlink r:id="rId923" ref="CI14"/>
    <hyperlink r:id="rId924" ref="CJ14"/>
    <hyperlink r:id="rId925" ref="CL14"/>
    <hyperlink r:id="rId926" ref="CM14"/>
    <hyperlink r:id="rId927" ref="CN14"/>
    <hyperlink r:id="rId928" ref="CO14"/>
    <hyperlink r:id="rId929" ref="CQ14"/>
    <hyperlink r:id="rId930" ref="CV14"/>
    <hyperlink r:id="rId931" ref="CW14"/>
    <hyperlink r:id="rId932" ref="CX14"/>
    <hyperlink r:id="rId933" ref="CY14"/>
    <hyperlink r:id="rId934" ref="CZ14"/>
    <hyperlink r:id="rId935" ref="DA14"/>
    <hyperlink r:id="rId936" ref="DB14"/>
    <hyperlink r:id="rId937" ref="DC14"/>
    <hyperlink r:id="rId938" ref="DD14"/>
    <hyperlink r:id="rId939" ref="DG14"/>
    <hyperlink r:id="rId940" ref="DI14"/>
    <hyperlink r:id="rId941" ref="DM14"/>
    <hyperlink r:id="rId942" ref="DN14"/>
    <hyperlink r:id="rId943" ref="DR14"/>
    <hyperlink r:id="rId944" ref="DS14"/>
    <hyperlink r:id="rId945" ref="DT14"/>
    <hyperlink r:id="rId946" ref="DU14"/>
    <hyperlink r:id="rId947" ref="DW14"/>
    <hyperlink r:id="rId948" ref="DY14"/>
    <hyperlink r:id="rId949" ref="DZ14"/>
    <hyperlink r:id="rId950" ref="EB14"/>
    <hyperlink r:id="rId951" ref="EC14"/>
    <hyperlink r:id="rId952" ref="ED14"/>
    <hyperlink r:id="rId953" ref="H15"/>
    <hyperlink r:id="rId954" ref="I15"/>
    <hyperlink r:id="rId955" ref="J15"/>
    <hyperlink r:id="rId956" ref="K15"/>
    <hyperlink r:id="rId957" ref="L15"/>
    <hyperlink r:id="rId958" ref="M15"/>
    <hyperlink r:id="rId959" ref="N15"/>
    <hyperlink r:id="rId960" ref="P15"/>
    <hyperlink r:id="rId961" ref="Q15"/>
    <hyperlink r:id="rId962" ref="S15"/>
    <hyperlink r:id="rId963" ref="T15"/>
    <hyperlink r:id="rId964" ref="X15"/>
    <hyperlink r:id="rId965" ref="Z15"/>
    <hyperlink r:id="rId966" ref="AA15"/>
    <hyperlink r:id="rId967" ref="AC15"/>
    <hyperlink r:id="rId968" ref="AD15"/>
    <hyperlink r:id="rId969" ref="AE15"/>
    <hyperlink r:id="rId970" ref="AF15"/>
    <hyperlink r:id="rId971" ref="AG15"/>
    <hyperlink r:id="rId972" ref="AJ15"/>
    <hyperlink r:id="rId973" ref="AK15"/>
    <hyperlink r:id="rId974" ref="AM15"/>
    <hyperlink r:id="rId975" ref="AN15"/>
    <hyperlink r:id="rId976" ref="AO15"/>
    <hyperlink r:id="rId977" ref="AP15"/>
    <hyperlink r:id="rId978" ref="AQ15"/>
    <hyperlink r:id="rId979" ref="AR15"/>
    <hyperlink r:id="rId980" ref="AU15"/>
    <hyperlink r:id="rId981" ref="AV15"/>
    <hyperlink r:id="rId982" ref="AW15"/>
    <hyperlink r:id="rId983" ref="AY15"/>
    <hyperlink r:id="rId984" ref="BC15"/>
    <hyperlink r:id="rId985" ref="BD15"/>
    <hyperlink r:id="rId986" ref="BE15"/>
    <hyperlink r:id="rId987" ref="BF15"/>
    <hyperlink r:id="rId988" ref="BG15"/>
    <hyperlink r:id="rId989" ref="BI15"/>
    <hyperlink r:id="rId990" ref="BK15"/>
    <hyperlink r:id="rId991" ref="BL15"/>
    <hyperlink r:id="rId992" ref="BN15"/>
    <hyperlink r:id="rId993" ref="BO15"/>
    <hyperlink r:id="rId994" ref="BR15"/>
    <hyperlink r:id="rId995" ref="BS15"/>
    <hyperlink r:id="rId996" ref="BT15"/>
    <hyperlink r:id="rId997" ref="BU15"/>
    <hyperlink r:id="rId998" ref="BV15"/>
    <hyperlink r:id="rId999" ref="BW15"/>
    <hyperlink r:id="rId1000" ref="BX15"/>
    <hyperlink r:id="rId1001" ref="BY15"/>
    <hyperlink r:id="rId1002" ref="BZ15"/>
    <hyperlink r:id="rId1003" ref="CA15"/>
    <hyperlink r:id="rId1004" ref="CB15"/>
    <hyperlink r:id="rId1005" ref="CC15"/>
    <hyperlink r:id="rId1006" ref="CD15"/>
    <hyperlink r:id="rId1007" ref="CG15"/>
    <hyperlink r:id="rId1008" ref="CH15"/>
    <hyperlink r:id="rId1009" ref="CJ15"/>
    <hyperlink r:id="rId1010" ref="CL15"/>
    <hyperlink r:id="rId1011" ref="CN15"/>
    <hyperlink r:id="rId1012" ref="CO15"/>
    <hyperlink r:id="rId1013" ref="CP15"/>
    <hyperlink r:id="rId1014" ref="CQ15"/>
    <hyperlink r:id="rId1015" ref="CT15"/>
    <hyperlink r:id="rId1016" ref="CV15"/>
    <hyperlink r:id="rId1017" ref="CY15"/>
    <hyperlink r:id="rId1018" ref="CZ15"/>
    <hyperlink r:id="rId1019" ref="DA15"/>
    <hyperlink r:id="rId1020" ref="DB15"/>
    <hyperlink r:id="rId1021" ref="DE15"/>
    <hyperlink r:id="rId1022" ref="DG15"/>
    <hyperlink r:id="rId1023" ref="DI15"/>
    <hyperlink r:id="rId1024" ref="DJ15"/>
    <hyperlink r:id="rId1025" ref="DM15"/>
    <hyperlink r:id="rId1026" ref="DN15"/>
    <hyperlink r:id="rId1027" ref="DO15"/>
    <hyperlink r:id="rId1028" ref="DP15"/>
    <hyperlink r:id="rId1029" ref="DR15"/>
    <hyperlink r:id="rId1030" ref="DS15"/>
    <hyperlink r:id="rId1031" ref="DT15"/>
    <hyperlink r:id="rId1032" ref="DU15"/>
    <hyperlink r:id="rId1033" ref="DW15"/>
    <hyperlink r:id="rId1034" ref="DY15"/>
    <hyperlink r:id="rId1035" ref="EB15"/>
    <hyperlink r:id="rId1036" ref="EC15"/>
    <hyperlink r:id="rId1037" ref="ED15"/>
    <hyperlink r:id="rId1038" ref="H16"/>
    <hyperlink r:id="rId1039" ref="I16"/>
    <hyperlink r:id="rId1040" ref="J16"/>
    <hyperlink r:id="rId1041" ref="K16"/>
    <hyperlink r:id="rId1042" ref="L16"/>
    <hyperlink r:id="rId1043" ref="M16"/>
    <hyperlink r:id="rId1044" ref="N16"/>
    <hyperlink r:id="rId1045" ref="O16"/>
    <hyperlink r:id="rId1046" ref="P16"/>
    <hyperlink r:id="rId1047" ref="S16"/>
    <hyperlink r:id="rId1048" ref="U16"/>
    <hyperlink r:id="rId1049" ref="X16"/>
    <hyperlink r:id="rId1050" ref="Z16"/>
    <hyperlink r:id="rId1051" ref="AA16"/>
    <hyperlink r:id="rId1052" ref="AB16"/>
    <hyperlink r:id="rId1053" ref="AC16"/>
    <hyperlink r:id="rId1054" ref="AD16"/>
    <hyperlink r:id="rId1055" ref="AE16"/>
    <hyperlink r:id="rId1056" ref="AF16"/>
    <hyperlink r:id="rId1057" ref="AG16"/>
    <hyperlink r:id="rId1058" ref="AM16"/>
    <hyperlink r:id="rId1059" ref="AN16"/>
    <hyperlink r:id="rId1060" ref="AP16"/>
    <hyperlink r:id="rId1061" ref="AS16"/>
    <hyperlink r:id="rId1062" ref="AU16"/>
    <hyperlink r:id="rId1063" ref="AV16"/>
    <hyperlink r:id="rId1064" ref="AW16"/>
    <hyperlink r:id="rId1065" ref="AY16"/>
    <hyperlink r:id="rId1066" ref="BB16"/>
    <hyperlink r:id="rId1067" ref="BC16"/>
    <hyperlink r:id="rId1068" ref="BD16"/>
    <hyperlink r:id="rId1069" ref="BE16"/>
    <hyperlink r:id="rId1070" ref="BF16"/>
    <hyperlink r:id="rId1071" ref="BG16"/>
    <hyperlink r:id="rId1072" ref="BH16"/>
    <hyperlink r:id="rId1073" ref="BI16"/>
    <hyperlink r:id="rId1074" ref="BJ16"/>
    <hyperlink r:id="rId1075" ref="BK16"/>
    <hyperlink r:id="rId1076" ref="BL16"/>
    <hyperlink r:id="rId1077" ref="BM16"/>
    <hyperlink r:id="rId1078" ref="BN16"/>
    <hyperlink r:id="rId1079" ref="BO16"/>
    <hyperlink r:id="rId1080" ref="BP16"/>
    <hyperlink r:id="rId1081" ref="BR16"/>
    <hyperlink r:id="rId1082" ref="BS16"/>
    <hyperlink r:id="rId1083" ref="BT16"/>
    <hyperlink r:id="rId1084" ref="BU16"/>
    <hyperlink r:id="rId1085" ref="BV16"/>
    <hyperlink r:id="rId1086" ref="BW16"/>
    <hyperlink r:id="rId1087" ref="BX16"/>
    <hyperlink r:id="rId1088" ref="BY16"/>
    <hyperlink r:id="rId1089" ref="BZ16"/>
    <hyperlink r:id="rId1090" ref="CA16"/>
    <hyperlink r:id="rId1091" ref="CB16"/>
    <hyperlink r:id="rId1092" ref="CC16"/>
    <hyperlink r:id="rId1093" ref="CD16"/>
    <hyperlink r:id="rId1094" ref="CG16"/>
    <hyperlink r:id="rId1095" ref="CH16"/>
    <hyperlink r:id="rId1096" ref="CI16"/>
    <hyperlink r:id="rId1097" ref="CJ16"/>
    <hyperlink r:id="rId1098" ref="CL16"/>
    <hyperlink r:id="rId1099" ref="CM16"/>
    <hyperlink r:id="rId1100" ref="CN16"/>
    <hyperlink r:id="rId1101" ref="CO16"/>
    <hyperlink r:id="rId1102" ref="CQ16"/>
    <hyperlink r:id="rId1103" ref="CV16"/>
    <hyperlink r:id="rId1104" ref="CW16"/>
    <hyperlink r:id="rId1105" ref="CX16"/>
    <hyperlink r:id="rId1106" ref="CY16"/>
    <hyperlink r:id="rId1107" ref="CZ16"/>
    <hyperlink r:id="rId1108" ref="DA16"/>
    <hyperlink r:id="rId1109" ref="DB16"/>
    <hyperlink r:id="rId1110" ref="DC16"/>
    <hyperlink r:id="rId1111" ref="DI16"/>
    <hyperlink r:id="rId1112" ref="DM16"/>
    <hyperlink r:id="rId1113" ref="DO16"/>
    <hyperlink r:id="rId1114" ref="DR16"/>
    <hyperlink r:id="rId1115" ref="DS16"/>
    <hyperlink r:id="rId1116" ref="DT16"/>
    <hyperlink r:id="rId1117" ref="DW16"/>
    <hyperlink r:id="rId1118" ref="DZ16"/>
    <hyperlink r:id="rId1119" ref="EA16"/>
    <hyperlink r:id="rId1120" ref="ED16"/>
    <hyperlink r:id="rId1121" ref="H17"/>
    <hyperlink r:id="rId1122" ref="I17"/>
    <hyperlink r:id="rId1123" ref="J17"/>
    <hyperlink r:id="rId1124" ref="K17"/>
    <hyperlink r:id="rId1125" ref="L17"/>
    <hyperlink r:id="rId1126" ref="N17"/>
    <hyperlink r:id="rId1127" ref="O17"/>
    <hyperlink r:id="rId1128" ref="P17"/>
    <hyperlink r:id="rId1129" ref="Q17"/>
    <hyperlink r:id="rId1130" ref="R17"/>
    <hyperlink r:id="rId1131" ref="S17"/>
    <hyperlink r:id="rId1132" ref="T17"/>
    <hyperlink r:id="rId1133" ref="U17"/>
    <hyperlink r:id="rId1134" ref="V17"/>
    <hyperlink r:id="rId1135" ref="X17"/>
    <hyperlink r:id="rId1136" ref="Z17"/>
    <hyperlink r:id="rId1137" ref="AA17"/>
    <hyperlink r:id="rId1138" ref="AB17"/>
    <hyperlink r:id="rId1139" ref="AC17"/>
    <hyperlink r:id="rId1140" ref="AD17"/>
    <hyperlink r:id="rId1141" ref="AE17"/>
    <hyperlink r:id="rId1142" ref="AF17"/>
    <hyperlink r:id="rId1143" ref="AG17"/>
    <hyperlink r:id="rId1144" ref="AH17"/>
    <hyperlink r:id="rId1145" ref="AI17"/>
    <hyperlink r:id="rId1146" ref="AJ17"/>
    <hyperlink r:id="rId1147" ref="AK17"/>
    <hyperlink r:id="rId1148" ref="AM17"/>
    <hyperlink r:id="rId1149" ref="AN17"/>
    <hyperlink r:id="rId1150" ref="AO17"/>
    <hyperlink r:id="rId1151" ref="AP17"/>
    <hyperlink r:id="rId1152" ref="AQ17"/>
    <hyperlink r:id="rId1153" ref="AR17"/>
    <hyperlink r:id="rId1154" ref="AS17"/>
    <hyperlink r:id="rId1155" ref="AT17"/>
    <hyperlink r:id="rId1156" ref="AU17"/>
    <hyperlink r:id="rId1157" ref="AV17"/>
    <hyperlink r:id="rId1158" ref="AW17"/>
    <hyperlink r:id="rId1159" ref="AX17"/>
    <hyperlink r:id="rId1160" ref="AY17"/>
    <hyperlink r:id="rId1161" ref="AZ17"/>
    <hyperlink r:id="rId1162" ref="BB17"/>
    <hyperlink r:id="rId1163" ref="BC17"/>
    <hyperlink r:id="rId1164" ref="BD17"/>
    <hyperlink r:id="rId1165" ref="BE17"/>
    <hyperlink r:id="rId1166" ref="BF17"/>
    <hyperlink r:id="rId1167" ref="BG17"/>
    <hyperlink r:id="rId1168" ref="BH17"/>
    <hyperlink r:id="rId1169" ref="BI17"/>
    <hyperlink r:id="rId1170" ref="BJ17"/>
    <hyperlink r:id="rId1171" ref="BL17"/>
    <hyperlink r:id="rId1172" ref="BM17"/>
    <hyperlink r:id="rId1173" ref="BN17"/>
    <hyperlink r:id="rId1174" ref="BO17"/>
    <hyperlink r:id="rId1175" ref="BP17"/>
    <hyperlink r:id="rId1176" ref="BR17"/>
    <hyperlink r:id="rId1177" ref="BS17"/>
    <hyperlink r:id="rId1178" ref="BT17"/>
    <hyperlink r:id="rId1179" ref="BU17"/>
    <hyperlink r:id="rId1180" ref="BV17"/>
    <hyperlink r:id="rId1181" ref="BW17"/>
    <hyperlink r:id="rId1182" ref="BX17"/>
    <hyperlink r:id="rId1183" ref="BY17"/>
    <hyperlink r:id="rId1184" ref="CA17"/>
    <hyperlink r:id="rId1185" ref="CB17"/>
    <hyperlink r:id="rId1186" ref="CC17"/>
    <hyperlink r:id="rId1187" ref="CD17"/>
    <hyperlink r:id="rId1188" ref="CE17"/>
    <hyperlink r:id="rId1189" ref="CG17"/>
    <hyperlink r:id="rId1190" ref="CH17"/>
    <hyperlink r:id="rId1191" ref="CI17"/>
    <hyperlink r:id="rId1192" ref="CJ17"/>
    <hyperlink r:id="rId1193" ref="CL17"/>
    <hyperlink r:id="rId1194" ref="CM17"/>
    <hyperlink r:id="rId1195" ref="CN17"/>
    <hyperlink r:id="rId1196" ref="CO17"/>
    <hyperlink r:id="rId1197" ref="CP17"/>
    <hyperlink r:id="rId1198" ref="CQ17"/>
    <hyperlink r:id="rId1199" ref="CR17"/>
    <hyperlink r:id="rId1200" ref="CS17"/>
    <hyperlink r:id="rId1201" ref="CT17"/>
    <hyperlink r:id="rId1202" ref="CV17"/>
    <hyperlink r:id="rId1203" ref="CW17"/>
    <hyperlink r:id="rId1204" ref="CX17"/>
    <hyperlink r:id="rId1205" ref="CY17"/>
    <hyperlink r:id="rId1206" ref="CZ17"/>
    <hyperlink r:id="rId1207" ref="DA17"/>
    <hyperlink r:id="rId1208" ref="DB17"/>
    <hyperlink r:id="rId1209" ref="DC17"/>
    <hyperlink r:id="rId1210" ref="DD17"/>
    <hyperlink r:id="rId1211" ref="DE17"/>
    <hyperlink r:id="rId1212" ref="DF17"/>
    <hyperlink r:id="rId1213" ref="DG17"/>
    <hyperlink r:id="rId1214" ref="DI17"/>
    <hyperlink r:id="rId1215" ref="DJ17"/>
    <hyperlink r:id="rId1216" ref="DK17"/>
    <hyperlink r:id="rId1217" ref="DL17"/>
    <hyperlink r:id="rId1218" ref="DM17"/>
    <hyperlink r:id="rId1219" ref="DN17"/>
    <hyperlink r:id="rId1220" ref="DO17"/>
    <hyperlink r:id="rId1221" ref="DP17"/>
    <hyperlink r:id="rId1222" ref="DQ17"/>
    <hyperlink r:id="rId1223" ref="DR17"/>
    <hyperlink r:id="rId1224" ref="DS17"/>
    <hyperlink r:id="rId1225" ref="DT17"/>
    <hyperlink r:id="rId1226" ref="DU17"/>
    <hyperlink r:id="rId1227" ref="DV17"/>
    <hyperlink r:id="rId1228" ref="DW17"/>
    <hyperlink r:id="rId1229" ref="DX17"/>
    <hyperlink r:id="rId1230" ref="DY17"/>
    <hyperlink r:id="rId1231" ref="DZ17"/>
    <hyperlink r:id="rId1232" ref="EA17"/>
    <hyperlink r:id="rId1233" ref="EB17"/>
    <hyperlink r:id="rId1234" ref="EC17"/>
    <hyperlink r:id="rId1235" ref="ED17"/>
    <hyperlink r:id="rId1236" ref="H18"/>
    <hyperlink r:id="rId1237" ref="I18"/>
    <hyperlink r:id="rId1238" ref="J18"/>
    <hyperlink r:id="rId1239" ref="K18"/>
    <hyperlink r:id="rId1240" ref="L18"/>
    <hyperlink r:id="rId1241" ref="M18"/>
    <hyperlink r:id="rId1242" ref="N18"/>
    <hyperlink r:id="rId1243" ref="O18"/>
    <hyperlink r:id="rId1244" ref="P18"/>
    <hyperlink r:id="rId1245" ref="S18"/>
    <hyperlink r:id="rId1246" ref="U18"/>
    <hyperlink r:id="rId1247" ref="V18"/>
    <hyperlink r:id="rId1248" ref="X18"/>
    <hyperlink r:id="rId1249" ref="Z18"/>
    <hyperlink r:id="rId1250" ref="AA18"/>
    <hyperlink r:id="rId1251" ref="AB18"/>
    <hyperlink r:id="rId1252" ref="AC18"/>
    <hyperlink r:id="rId1253" ref="AD18"/>
    <hyperlink r:id="rId1254" ref="AE18"/>
    <hyperlink r:id="rId1255" ref="AF18"/>
    <hyperlink r:id="rId1256" ref="AG18"/>
    <hyperlink r:id="rId1257" ref="AH18"/>
    <hyperlink r:id="rId1258" ref="AJ18"/>
    <hyperlink r:id="rId1259" ref="AM18"/>
    <hyperlink r:id="rId1260" ref="AN18"/>
    <hyperlink r:id="rId1261" ref="AO18"/>
    <hyperlink r:id="rId1262" ref="AP18"/>
    <hyperlink r:id="rId1263" ref="AT18"/>
    <hyperlink r:id="rId1264" ref="AU18"/>
    <hyperlink r:id="rId1265" ref="AV18"/>
    <hyperlink r:id="rId1266" ref="AW18"/>
    <hyperlink r:id="rId1267" ref="AY18"/>
    <hyperlink r:id="rId1268" ref="BB18"/>
    <hyperlink r:id="rId1269" ref="BC18"/>
    <hyperlink r:id="rId1270" ref="BD18"/>
    <hyperlink r:id="rId1271" ref="BE18"/>
    <hyperlink r:id="rId1272" ref="BF18"/>
    <hyperlink r:id="rId1273" ref="BG18"/>
    <hyperlink r:id="rId1274" ref="BI18"/>
    <hyperlink r:id="rId1275" ref="BJ18"/>
    <hyperlink r:id="rId1276" ref="BL18"/>
    <hyperlink r:id="rId1277" ref="BM18"/>
    <hyperlink r:id="rId1278" ref="BN18"/>
    <hyperlink r:id="rId1279" ref="BO18"/>
    <hyperlink r:id="rId1280" ref="BP18"/>
    <hyperlink r:id="rId1281" ref="BR18"/>
    <hyperlink r:id="rId1282" ref="BS18"/>
    <hyperlink r:id="rId1283" ref="BT18"/>
    <hyperlink r:id="rId1284" ref="BU18"/>
    <hyperlink r:id="rId1285" ref="BV18"/>
    <hyperlink r:id="rId1286" ref="BW18"/>
    <hyperlink r:id="rId1287" ref="BX18"/>
    <hyperlink r:id="rId1288" ref="BY18"/>
    <hyperlink r:id="rId1289" ref="CA18"/>
    <hyperlink r:id="rId1290" ref="CC18"/>
    <hyperlink r:id="rId1291" ref="CG18"/>
    <hyperlink r:id="rId1292" ref="CH18"/>
    <hyperlink r:id="rId1293" ref="CI18"/>
    <hyperlink r:id="rId1294" ref="CJ18"/>
    <hyperlink r:id="rId1295" ref="CM18"/>
    <hyperlink r:id="rId1296" ref="CN18"/>
    <hyperlink r:id="rId1297" ref="CO18"/>
    <hyperlink r:id="rId1298" ref="CP18"/>
    <hyperlink r:id="rId1299" ref="CQ18"/>
    <hyperlink r:id="rId1300" ref="CS18"/>
    <hyperlink r:id="rId1301" ref="CV18"/>
    <hyperlink r:id="rId1302" ref="CX18"/>
    <hyperlink r:id="rId1303" ref="CY18"/>
    <hyperlink r:id="rId1304" ref="CZ18"/>
    <hyperlink r:id="rId1305" ref="DA18"/>
    <hyperlink r:id="rId1306" ref="DB18"/>
    <hyperlink r:id="rId1307" ref="DC18"/>
    <hyperlink r:id="rId1308" ref="DE18"/>
    <hyperlink r:id="rId1309" ref="DF18"/>
    <hyperlink r:id="rId1310" ref="DI18"/>
    <hyperlink r:id="rId1311" ref="DM18"/>
    <hyperlink r:id="rId1312" ref="DN18"/>
    <hyperlink r:id="rId1313" ref="DO18"/>
    <hyperlink r:id="rId1314" ref="DP18"/>
    <hyperlink r:id="rId1315" ref="DR18"/>
    <hyperlink r:id="rId1316" ref="DS18"/>
    <hyperlink r:id="rId1317" ref="DT18"/>
    <hyperlink r:id="rId1318" ref="DU18"/>
    <hyperlink r:id="rId1319" ref="DV18"/>
    <hyperlink r:id="rId1320" ref="DW18"/>
    <hyperlink r:id="rId1321" ref="DX18"/>
    <hyperlink r:id="rId1322" ref="DY18"/>
    <hyperlink r:id="rId1323" ref="DZ18"/>
    <hyperlink r:id="rId1324" ref="EA18"/>
    <hyperlink r:id="rId1325" ref="EB18"/>
    <hyperlink r:id="rId1326" ref="EC18"/>
    <hyperlink r:id="rId1327" ref="ED18"/>
    <hyperlink r:id="rId1328" ref="J19"/>
    <hyperlink r:id="rId1329" ref="K19"/>
    <hyperlink r:id="rId1330" ref="L19"/>
    <hyperlink r:id="rId1331" ref="M19"/>
    <hyperlink r:id="rId1332" ref="N19"/>
    <hyperlink r:id="rId1333" ref="O19"/>
    <hyperlink r:id="rId1334" ref="P19"/>
    <hyperlink r:id="rId1335" ref="T19"/>
    <hyperlink r:id="rId1336" ref="U19"/>
    <hyperlink r:id="rId1337" ref="X19"/>
    <hyperlink r:id="rId1338" ref="Z19"/>
    <hyperlink r:id="rId1339" ref="AC19"/>
    <hyperlink r:id="rId1340" ref="AF19"/>
    <hyperlink r:id="rId1341" ref="AH19"/>
    <hyperlink r:id="rId1342" ref="AJ19"/>
    <hyperlink r:id="rId1343" ref="AM19"/>
    <hyperlink r:id="rId1344" ref="AO19"/>
    <hyperlink r:id="rId1345" ref="AP19"/>
    <hyperlink r:id="rId1346" ref="AW19"/>
    <hyperlink r:id="rId1347" ref="AX19"/>
    <hyperlink r:id="rId1348" ref="AZ19"/>
    <hyperlink r:id="rId1349" ref="BC19"/>
    <hyperlink r:id="rId1350" ref="BE19"/>
    <hyperlink r:id="rId1351" ref="BF19"/>
    <hyperlink r:id="rId1352" ref="BG19"/>
    <hyperlink r:id="rId1353" ref="BJ19"/>
    <hyperlink r:id="rId1354" ref="BK19"/>
    <hyperlink r:id="rId1355" ref="BL19"/>
    <hyperlink r:id="rId1356" ref="BM19"/>
    <hyperlink r:id="rId1357" ref="BN19"/>
    <hyperlink r:id="rId1358" ref="BP19"/>
    <hyperlink r:id="rId1359" ref="BT19"/>
    <hyperlink r:id="rId1360" ref="BU19"/>
    <hyperlink r:id="rId1361" ref="BV19"/>
    <hyperlink r:id="rId1362" ref="BX19"/>
    <hyperlink r:id="rId1363" ref="CA19"/>
    <hyperlink r:id="rId1364" ref="CB19"/>
    <hyperlink r:id="rId1365" ref="CE19"/>
    <hyperlink r:id="rId1366" ref="CH19"/>
    <hyperlink r:id="rId1367" ref="CI19"/>
    <hyperlink r:id="rId1368" ref="CN19"/>
    <hyperlink r:id="rId1369" ref="CO19"/>
    <hyperlink r:id="rId1370" ref="CT19"/>
    <hyperlink r:id="rId1371" ref="CV19"/>
    <hyperlink r:id="rId1372" ref="CW19"/>
    <hyperlink r:id="rId1373" ref="CX19"/>
    <hyperlink r:id="rId1374" ref="CY19"/>
    <hyperlink r:id="rId1375" ref="CZ19"/>
    <hyperlink r:id="rId1376" ref="DA19"/>
    <hyperlink r:id="rId1377" ref="DB19"/>
    <hyperlink r:id="rId1378" ref="DE19"/>
    <hyperlink r:id="rId1379" ref="DF19"/>
    <hyperlink r:id="rId1380" ref="DG19"/>
    <hyperlink r:id="rId1381" ref="DI19"/>
    <hyperlink r:id="rId1382" ref="DK19"/>
    <hyperlink r:id="rId1383" ref="DN19"/>
    <hyperlink r:id="rId1384" ref="DP19"/>
    <hyperlink r:id="rId1385" ref="DT19"/>
    <hyperlink r:id="rId1386" ref="DU19"/>
    <hyperlink r:id="rId1387" ref="DW19"/>
    <hyperlink r:id="rId1388" ref="DX19"/>
    <hyperlink r:id="rId1389" ref="DY19"/>
    <hyperlink r:id="rId1390" ref="DZ19"/>
    <hyperlink r:id="rId1391" ref="EA19"/>
    <hyperlink r:id="rId1392" ref="EC19"/>
    <hyperlink r:id="rId1393" ref="ED19"/>
    <hyperlink r:id="rId1394" ref="L20"/>
    <hyperlink r:id="rId1395" ref="M20"/>
    <hyperlink r:id="rId1396" ref="O20"/>
    <hyperlink r:id="rId1397" ref="P20"/>
    <hyperlink r:id="rId1398" ref="T20"/>
    <hyperlink r:id="rId1399" ref="X20"/>
    <hyperlink r:id="rId1400" ref="Z20"/>
    <hyperlink r:id="rId1401" ref="AB20"/>
    <hyperlink r:id="rId1402" ref="AC20"/>
    <hyperlink r:id="rId1403" ref="AD20"/>
    <hyperlink r:id="rId1404" ref="AE20"/>
    <hyperlink r:id="rId1405" ref="AF20"/>
    <hyperlink r:id="rId1406" ref="AG20"/>
    <hyperlink r:id="rId1407" ref="AJ20"/>
    <hyperlink r:id="rId1408" ref="AM20"/>
    <hyperlink r:id="rId1409" ref="AN20"/>
    <hyperlink r:id="rId1410" ref="AO20"/>
    <hyperlink r:id="rId1411" ref="AU20"/>
    <hyperlink r:id="rId1412" ref="AW20"/>
    <hyperlink r:id="rId1413" ref="BC20"/>
    <hyperlink r:id="rId1414" ref="BD20"/>
    <hyperlink r:id="rId1415" ref="BE20"/>
    <hyperlink r:id="rId1416" ref="BI20"/>
    <hyperlink r:id="rId1417" ref="BN20"/>
    <hyperlink r:id="rId1418" ref="BO20"/>
    <hyperlink r:id="rId1419" ref="BT20"/>
    <hyperlink r:id="rId1420" ref="BU20"/>
    <hyperlink r:id="rId1421" ref="BV20"/>
    <hyperlink r:id="rId1422" ref="CC20"/>
    <hyperlink r:id="rId1423" ref="CI20"/>
    <hyperlink r:id="rId1424" ref="CQ20"/>
    <hyperlink r:id="rId1425" ref="CS20"/>
    <hyperlink r:id="rId1426" ref="CY20"/>
    <hyperlink r:id="rId1427" ref="DB20"/>
    <hyperlink r:id="rId1428" ref="DE20"/>
    <hyperlink r:id="rId1429" ref="DF20"/>
    <hyperlink r:id="rId1430" ref="DS20"/>
    <hyperlink r:id="rId1431" ref="DV20"/>
    <hyperlink r:id="rId1432" ref="DZ20"/>
    <hyperlink r:id="rId1433" ref="EB20"/>
    <hyperlink r:id="rId1434" ref="EC20"/>
    <hyperlink r:id="rId1435" ref="H21"/>
    <hyperlink r:id="rId1436" ref="I21"/>
    <hyperlink r:id="rId1437" ref="J21"/>
    <hyperlink r:id="rId1438" ref="K21"/>
    <hyperlink r:id="rId1439" ref="L21"/>
    <hyperlink r:id="rId1440" ref="M21"/>
    <hyperlink r:id="rId1441" ref="N21"/>
    <hyperlink r:id="rId1442" ref="O21"/>
    <hyperlink r:id="rId1443" ref="Q21"/>
    <hyperlink r:id="rId1444" ref="T21"/>
    <hyperlink r:id="rId1445" ref="U21"/>
    <hyperlink r:id="rId1446" ref="V21"/>
    <hyperlink r:id="rId1447" ref="X21"/>
    <hyperlink r:id="rId1448" ref="Z21"/>
    <hyperlink r:id="rId1449" ref="AA21"/>
    <hyperlink r:id="rId1450" ref="AB21"/>
    <hyperlink r:id="rId1451" ref="AC21"/>
    <hyperlink r:id="rId1452" ref="AD21"/>
    <hyperlink r:id="rId1453" ref="AF21"/>
    <hyperlink r:id="rId1454" ref="AG21"/>
    <hyperlink r:id="rId1455" ref="AH21"/>
    <hyperlink r:id="rId1456" ref="AJ21"/>
    <hyperlink r:id="rId1457" ref="AK21"/>
    <hyperlink r:id="rId1458" ref="AM21"/>
    <hyperlink r:id="rId1459" ref="AN21"/>
    <hyperlink r:id="rId1460" ref="AO21"/>
    <hyperlink r:id="rId1461" ref="AP21"/>
    <hyperlink r:id="rId1462" ref="AQ21"/>
    <hyperlink r:id="rId1463" ref="AR21"/>
    <hyperlink r:id="rId1464" ref="AS21"/>
    <hyperlink r:id="rId1465" ref="AT21"/>
    <hyperlink r:id="rId1466" ref="AU21"/>
    <hyperlink r:id="rId1467" ref="AV21"/>
    <hyperlink r:id="rId1468" ref="AW21"/>
    <hyperlink r:id="rId1469" ref="AY21"/>
    <hyperlink r:id="rId1470" ref="AZ21"/>
    <hyperlink r:id="rId1471" ref="BB21"/>
    <hyperlink r:id="rId1472" ref="BC21"/>
    <hyperlink r:id="rId1473" ref="BD21"/>
    <hyperlink r:id="rId1474" ref="BE21"/>
    <hyperlink r:id="rId1475" ref="BF21"/>
    <hyperlink r:id="rId1476" ref="BG21"/>
    <hyperlink r:id="rId1477" ref="BH21"/>
    <hyperlink r:id="rId1478" ref="BI21"/>
    <hyperlink r:id="rId1479" ref="BJ21"/>
    <hyperlink r:id="rId1480" ref="BK21"/>
    <hyperlink r:id="rId1481" ref="BL21"/>
    <hyperlink r:id="rId1482" ref="BM21"/>
    <hyperlink r:id="rId1483" ref="BN21"/>
    <hyperlink r:id="rId1484" ref="BP21"/>
    <hyperlink r:id="rId1485" ref="BR21"/>
    <hyperlink r:id="rId1486" ref="BS21"/>
    <hyperlink r:id="rId1487" ref="BT21"/>
    <hyperlink r:id="rId1488" ref="BU21"/>
    <hyperlink r:id="rId1489" ref="BV21"/>
    <hyperlink r:id="rId1490" ref="BW21"/>
    <hyperlink r:id="rId1491" ref="BX21"/>
    <hyperlink r:id="rId1492" ref="BY21"/>
    <hyperlink r:id="rId1493" ref="BZ21"/>
    <hyperlink r:id="rId1494" ref="CA21"/>
    <hyperlink r:id="rId1495" ref="CB21"/>
    <hyperlink r:id="rId1496" ref="CC21"/>
    <hyperlink r:id="rId1497" ref="CD21"/>
    <hyperlink r:id="rId1498" ref="CE21"/>
    <hyperlink r:id="rId1499" ref="CG21"/>
    <hyperlink r:id="rId1500" ref="CH21"/>
    <hyperlink r:id="rId1501" ref="CI21"/>
    <hyperlink r:id="rId1502" ref="CJ21"/>
    <hyperlink r:id="rId1503" ref="CL21"/>
    <hyperlink r:id="rId1504" ref="CM21"/>
    <hyperlink r:id="rId1505" ref="CN21"/>
    <hyperlink r:id="rId1506" ref="CO21"/>
    <hyperlink r:id="rId1507" ref="CP21"/>
    <hyperlink r:id="rId1508" ref="CQ21"/>
    <hyperlink r:id="rId1509" ref="CS21"/>
    <hyperlink r:id="rId1510" ref="CT21"/>
    <hyperlink r:id="rId1511" ref="CV21"/>
    <hyperlink r:id="rId1512" ref="CW21"/>
    <hyperlink r:id="rId1513" ref="CX21"/>
    <hyperlink r:id="rId1514" ref="CY21"/>
    <hyperlink r:id="rId1515" ref="CZ21"/>
    <hyperlink r:id="rId1516" ref="DA21"/>
    <hyperlink r:id="rId1517" ref="DB21"/>
    <hyperlink r:id="rId1518" ref="DC21"/>
    <hyperlink r:id="rId1519" ref="DD21"/>
    <hyperlink r:id="rId1520" ref="DG21"/>
    <hyperlink r:id="rId1521" ref="DI21"/>
    <hyperlink r:id="rId1522" ref="DK21"/>
    <hyperlink r:id="rId1523" ref="DL21"/>
    <hyperlink r:id="rId1524" ref="DN21"/>
    <hyperlink r:id="rId1525" ref="DO21"/>
    <hyperlink r:id="rId1526" ref="DP21"/>
    <hyperlink r:id="rId1527" ref="DQ21"/>
    <hyperlink r:id="rId1528" ref="DR21"/>
    <hyperlink r:id="rId1529" ref="DS21"/>
    <hyperlink r:id="rId1530" ref="DT21"/>
    <hyperlink r:id="rId1531" ref="DU21"/>
    <hyperlink r:id="rId1532" ref="DV21"/>
    <hyperlink r:id="rId1533" ref="EA21"/>
    <hyperlink r:id="rId1534" ref="EB21"/>
    <hyperlink r:id="rId1535" ref="EC21"/>
    <hyperlink r:id="rId1536" ref="ED21"/>
    <hyperlink r:id="rId1537" ref="H22"/>
    <hyperlink r:id="rId1538" ref="I22"/>
    <hyperlink r:id="rId1539" ref="K22"/>
    <hyperlink r:id="rId1540" ref="L22"/>
    <hyperlink r:id="rId1541" ref="O22"/>
    <hyperlink r:id="rId1542" ref="P22"/>
    <hyperlink r:id="rId1543" ref="R22"/>
    <hyperlink r:id="rId1544" ref="U22"/>
    <hyperlink r:id="rId1545" ref="X22"/>
    <hyperlink r:id="rId1546" ref="Y22"/>
    <hyperlink r:id="rId1547" ref="Z22"/>
    <hyperlink r:id="rId1548" ref="AC22"/>
    <hyperlink r:id="rId1549" ref="AD22"/>
    <hyperlink r:id="rId1550" ref="AG22"/>
    <hyperlink r:id="rId1551" ref="AJ22"/>
    <hyperlink r:id="rId1552" ref="AM22"/>
    <hyperlink r:id="rId1553" ref="AN22"/>
    <hyperlink r:id="rId1554" ref="AW22"/>
    <hyperlink r:id="rId1555" ref="AX22"/>
    <hyperlink r:id="rId1556" ref="BC22"/>
    <hyperlink r:id="rId1557" ref="BE22"/>
    <hyperlink r:id="rId1558" ref="BF22"/>
    <hyperlink r:id="rId1559" ref="BG22"/>
    <hyperlink r:id="rId1560" ref="BI22"/>
    <hyperlink r:id="rId1561" ref="BK22"/>
    <hyperlink r:id="rId1562" ref="BL22"/>
    <hyperlink r:id="rId1563" ref="BR22"/>
    <hyperlink r:id="rId1564" ref="BT22"/>
    <hyperlink r:id="rId1565" ref="BU22"/>
    <hyperlink r:id="rId1566" ref="BW22"/>
    <hyperlink r:id="rId1567" ref="BX22"/>
    <hyperlink r:id="rId1568" ref="CA22"/>
    <hyperlink r:id="rId1569" ref="CB22"/>
    <hyperlink r:id="rId1570" ref="CC22"/>
    <hyperlink r:id="rId1571" ref="CG22"/>
    <hyperlink r:id="rId1572" ref="CJ22"/>
    <hyperlink r:id="rId1573" ref="CM22"/>
    <hyperlink r:id="rId1574" ref="CN22"/>
    <hyperlink r:id="rId1575" ref="CO22"/>
    <hyperlink r:id="rId1576" ref="CV22"/>
    <hyperlink r:id="rId1577" ref="CW22"/>
    <hyperlink r:id="rId1578" ref="CY22"/>
    <hyperlink r:id="rId1579" ref="DB22"/>
    <hyperlink r:id="rId1580" ref="DC22"/>
    <hyperlink r:id="rId1581" ref="DM22"/>
    <hyperlink r:id="rId1582" ref="DQ22"/>
    <hyperlink r:id="rId1583" ref="EB22"/>
    <hyperlink r:id="rId1584" ref="H23"/>
    <hyperlink r:id="rId1585" ref="I23"/>
    <hyperlink r:id="rId1586" ref="J23"/>
    <hyperlink r:id="rId1587" ref="K23"/>
    <hyperlink r:id="rId1588" ref="L23"/>
    <hyperlink r:id="rId1589" ref="M23"/>
    <hyperlink r:id="rId1590" ref="N23"/>
    <hyperlink r:id="rId1591" ref="O23"/>
    <hyperlink r:id="rId1592" ref="P23"/>
    <hyperlink r:id="rId1593" ref="Q23"/>
    <hyperlink r:id="rId1594" ref="S23"/>
    <hyperlink r:id="rId1595" ref="T23"/>
    <hyperlink r:id="rId1596" ref="V23"/>
    <hyperlink r:id="rId1597" ref="X23"/>
    <hyperlink r:id="rId1598" ref="Y23"/>
    <hyperlink r:id="rId1599" ref="Z23"/>
    <hyperlink r:id="rId1600" ref="AA23"/>
    <hyperlink r:id="rId1601" ref="AB23"/>
    <hyperlink r:id="rId1602" ref="AC23"/>
    <hyperlink r:id="rId1603" ref="AD23"/>
    <hyperlink r:id="rId1604" ref="AF23"/>
    <hyperlink r:id="rId1605" ref="AG23"/>
    <hyperlink r:id="rId1606" ref="AH23"/>
    <hyperlink r:id="rId1607" ref="AJ23"/>
    <hyperlink r:id="rId1608" ref="AK23"/>
    <hyperlink r:id="rId1609" ref="AM23"/>
    <hyperlink r:id="rId1610" ref="AN23"/>
    <hyperlink r:id="rId1611" ref="AO23"/>
    <hyperlink r:id="rId1612" ref="AP23"/>
    <hyperlink r:id="rId1613" ref="AQ23"/>
    <hyperlink r:id="rId1614" ref="AR23"/>
    <hyperlink r:id="rId1615" ref="AT23"/>
    <hyperlink r:id="rId1616" ref="AU23"/>
    <hyperlink r:id="rId1617" ref="AV23"/>
    <hyperlink r:id="rId1618" ref="AW23"/>
    <hyperlink r:id="rId1619" ref="AY23"/>
    <hyperlink r:id="rId1620" ref="AZ23"/>
    <hyperlink r:id="rId1621" ref="BB23"/>
    <hyperlink r:id="rId1622" ref="BC23"/>
    <hyperlink r:id="rId1623" ref="BD23"/>
    <hyperlink r:id="rId1624" ref="BE23"/>
    <hyperlink r:id="rId1625" ref="BF23"/>
    <hyperlink r:id="rId1626" ref="BG23"/>
    <hyperlink r:id="rId1627" ref="BH23"/>
    <hyperlink r:id="rId1628" ref="BI23"/>
    <hyperlink r:id="rId1629" ref="BK23"/>
    <hyperlink r:id="rId1630" ref="BL23"/>
    <hyperlink r:id="rId1631" ref="BM23"/>
    <hyperlink r:id="rId1632" ref="BN23"/>
    <hyperlink r:id="rId1633" ref="BO23"/>
    <hyperlink r:id="rId1634" ref="BP23"/>
    <hyperlink r:id="rId1635" ref="BR23"/>
    <hyperlink r:id="rId1636" ref="BS23"/>
    <hyperlink r:id="rId1637" ref="BT23"/>
    <hyperlink r:id="rId1638" ref="BU23"/>
    <hyperlink r:id="rId1639" ref="BV23"/>
    <hyperlink r:id="rId1640" ref="BW23"/>
    <hyperlink r:id="rId1641" ref="BX23"/>
    <hyperlink r:id="rId1642" ref="BZ23"/>
    <hyperlink r:id="rId1643" ref="CA23"/>
    <hyperlink r:id="rId1644" ref="CB23"/>
    <hyperlink r:id="rId1645" ref="CC23"/>
    <hyperlink r:id="rId1646" ref="CD23"/>
    <hyperlink r:id="rId1647" ref="CE23"/>
    <hyperlink r:id="rId1648" ref="CG23"/>
    <hyperlink r:id="rId1649" ref="CH23"/>
    <hyperlink r:id="rId1650" ref="CI23"/>
    <hyperlink r:id="rId1651" ref="CJ23"/>
    <hyperlink r:id="rId1652" ref="CK23"/>
    <hyperlink r:id="rId1653" ref="CM23"/>
    <hyperlink r:id="rId1654" ref="CN23"/>
    <hyperlink r:id="rId1655" ref="CO23"/>
    <hyperlink r:id="rId1656" ref="CP23"/>
    <hyperlink r:id="rId1657" ref="CQ23"/>
    <hyperlink r:id="rId1658" ref="CS23"/>
    <hyperlink r:id="rId1659" ref="CT23"/>
    <hyperlink r:id="rId1660" ref="CV23"/>
    <hyperlink r:id="rId1661" ref="CX23"/>
    <hyperlink r:id="rId1662" ref="CY23"/>
    <hyperlink r:id="rId1663" ref="CZ23"/>
    <hyperlink r:id="rId1664" ref="DA23"/>
    <hyperlink r:id="rId1665" ref="DB23"/>
    <hyperlink r:id="rId1666" ref="DC23"/>
    <hyperlink r:id="rId1667" ref="DD23"/>
    <hyperlink r:id="rId1668" ref="DE23"/>
    <hyperlink r:id="rId1669" ref="DF23"/>
    <hyperlink r:id="rId1670" ref="DG23"/>
    <hyperlink r:id="rId1671" ref="DI23"/>
    <hyperlink r:id="rId1672" ref="DR23"/>
    <hyperlink r:id="rId1673" ref="DS23"/>
    <hyperlink r:id="rId1674" ref="H24"/>
    <hyperlink r:id="rId1675" ref="I24"/>
    <hyperlink r:id="rId1676" ref="J24"/>
    <hyperlink r:id="rId1677" ref="K24"/>
    <hyperlink r:id="rId1678" ref="L24"/>
    <hyperlink r:id="rId1679" ref="M24"/>
    <hyperlink r:id="rId1680" ref="N24"/>
    <hyperlink r:id="rId1681" ref="S24"/>
    <hyperlink r:id="rId1682" ref="X24"/>
    <hyperlink r:id="rId1683" ref="Z24"/>
    <hyperlink r:id="rId1684" ref="AB24"/>
    <hyperlink r:id="rId1685" ref="AC24"/>
    <hyperlink r:id="rId1686" ref="AD24"/>
    <hyperlink r:id="rId1687" ref="AE24"/>
    <hyperlink r:id="rId1688" ref="AM24"/>
    <hyperlink r:id="rId1689" ref="AR24"/>
    <hyperlink r:id="rId1690" ref="AU24"/>
    <hyperlink r:id="rId1691" ref="AW24"/>
    <hyperlink r:id="rId1692" ref="BF24"/>
    <hyperlink r:id="rId1693" ref="BL24"/>
    <hyperlink r:id="rId1694" ref="BO24"/>
    <hyperlink r:id="rId1695" ref="BS24"/>
    <hyperlink r:id="rId1696" ref="BU24"/>
    <hyperlink r:id="rId1697" ref="BV24"/>
    <hyperlink r:id="rId1698" ref="BZ24"/>
    <hyperlink r:id="rId1699" ref="CA24"/>
    <hyperlink r:id="rId1700" ref="CD24"/>
    <hyperlink r:id="rId1701" ref="CE24"/>
    <hyperlink r:id="rId1702" ref="CG24"/>
    <hyperlink r:id="rId1703" ref="CH24"/>
    <hyperlink r:id="rId1704" ref="CJ24"/>
    <hyperlink r:id="rId1705" ref="CK24"/>
    <hyperlink r:id="rId1706" ref="CL24"/>
    <hyperlink r:id="rId1707" ref="CM24"/>
    <hyperlink r:id="rId1708" ref="CN24"/>
    <hyperlink r:id="rId1709" ref="CV24"/>
    <hyperlink r:id="rId1710" ref="CX24"/>
    <hyperlink r:id="rId1711" ref="CY24"/>
    <hyperlink r:id="rId1712" ref="CZ24"/>
    <hyperlink r:id="rId1713" ref="DB24"/>
    <hyperlink r:id="rId1714" ref="DN24"/>
    <hyperlink r:id="rId1715" ref="DR24"/>
    <hyperlink r:id="rId1716" ref="DS24"/>
    <hyperlink r:id="rId1717" ref="DT24"/>
    <hyperlink r:id="rId1718" ref="DU24"/>
    <hyperlink r:id="rId1719" ref="DV24"/>
    <hyperlink r:id="rId1720" ref="DW24"/>
    <hyperlink r:id="rId1721" ref="DY24"/>
    <hyperlink r:id="rId1722" ref="DZ24"/>
    <hyperlink r:id="rId1723" ref="EB24"/>
    <hyperlink r:id="rId1724" ref="EC24"/>
    <hyperlink r:id="rId1725" ref="H25"/>
    <hyperlink r:id="rId1726" ref="I25"/>
    <hyperlink r:id="rId1727" ref="J25"/>
    <hyperlink r:id="rId1728" ref="K25"/>
    <hyperlink r:id="rId1729" ref="L25"/>
    <hyperlink r:id="rId1730" ref="M25"/>
    <hyperlink r:id="rId1731" ref="N25"/>
    <hyperlink r:id="rId1732" ref="O25"/>
    <hyperlink r:id="rId1733" ref="P25"/>
    <hyperlink r:id="rId1734" ref="Q25"/>
    <hyperlink r:id="rId1735" ref="R25"/>
    <hyperlink r:id="rId1736" ref="S25"/>
    <hyperlink r:id="rId1737" ref="T25"/>
    <hyperlink r:id="rId1738" ref="U25"/>
    <hyperlink r:id="rId1739" ref="V25"/>
    <hyperlink r:id="rId1740" ref="X25"/>
    <hyperlink r:id="rId1741" ref="Z25"/>
    <hyperlink r:id="rId1742" ref="AA25"/>
    <hyperlink r:id="rId1743" ref="AB25"/>
    <hyperlink r:id="rId1744" ref="AC25"/>
    <hyperlink r:id="rId1745" ref="AD25"/>
    <hyperlink r:id="rId1746" ref="AE25"/>
    <hyperlink r:id="rId1747" ref="AF25"/>
    <hyperlink r:id="rId1748" ref="AG25"/>
    <hyperlink r:id="rId1749" ref="AH25"/>
    <hyperlink r:id="rId1750" ref="AI25"/>
    <hyperlink r:id="rId1751" ref="AJ25"/>
    <hyperlink r:id="rId1752" ref="AK25"/>
    <hyperlink r:id="rId1753" ref="AM25"/>
    <hyperlink r:id="rId1754" ref="AN25"/>
    <hyperlink r:id="rId1755" ref="AO25"/>
    <hyperlink r:id="rId1756" ref="AP25"/>
    <hyperlink r:id="rId1757" ref="AQ25"/>
    <hyperlink r:id="rId1758" ref="AR25"/>
    <hyperlink r:id="rId1759" ref="AS25"/>
    <hyperlink r:id="rId1760" ref="AT25"/>
    <hyperlink r:id="rId1761" ref="AU25"/>
    <hyperlink r:id="rId1762" ref="AV25"/>
    <hyperlink r:id="rId1763" ref="AW25"/>
    <hyperlink r:id="rId1764" ref="AX25"/>
    <hyperlink r:id="rId1765" ref="AY25"/>
    <hyperlink r:id="rId1766" ref="AZ25"/>
    <hyperlink r:id="rId1767" ref="BB25"/>
    <hyperlink r:id="rId1768" ref="BC25"/>
    <hyperlink r:id="rId1769" ref="BD25"/>
    <hyperlink r:id="rId1770" ref="BE25"/>
    <hyperlink r:id="rId1771" ref="BF25"/>
    <hyperlink r:id="rId1772" ref="BG25"/>
    <hyperlink r:id="rId1773" ref="BH25"/>
    <hyperlink r:id="rId1774" ref="BI25"/>
    <hyperlink r:id="rId1775" ref="BJ25"/>
    <hyperlink r:id="rId1776" ref="BK25"/>
    <hyperlink r:id="rId1777" ref="BL25"/>
    <hyperlink r:id="rId1778" ref="BM25"/>
    <hyperlink r:id="rId1779" ref="BN25"/>
    <hyperlink r:id="rId1780" ref="BO25"/>
    <hyperlink r:id="rId1781" ref="BP25"/>
    <hyperlink r:id="rId1782" ref="BR25"/>
    <hyperlink r:id="rId1783" ref="BS25"/>
    <hyperlink r:id="rId1784" ref="BT25"/>
    <hyperlink r:id="rId1785" ref="BU25"/>
    <hyperlink r:id="rId1786" ref="BV25"/>
    <hyperlink r:id="rId1787" ref="BW25"/>
    <hyperlink r:id="rId1788" ref="BX25"/>
    <hyperlink r:id="rId1789" ref="BY25"/>
    <hyperlink r:id="rId1790" ref="CA25"/>
    <hyperlink r:id="rId1791" ref="CB25"/>
    <hyperlink r:id="rId1792" ref="CC25"/>
    <hyperlink r:id="rId1793" ref="CD25"/>
    <hyperlink r:id="rId1794" ref="CE25"/>
    <hyperlink r:id="rId1795" ref="CG25"/>
    <hyperlink r:id="rId1796" ref="CH25"/>
    <hyperlink r:id="rId1797" ref="CI25"/>
    <hyperlink r:id="rId1798" ref="CJ25"/>
    <hyperlink r:id="rId1799" ref="CL25"/>
    <hyperlink r:id="rId1800" ref="CM25"/>
    <hyperlink r:id="rId1801" ref="CN25"/>
    <hyperlink r:id="rId1802" ref="CO25"/>
    <hyperlink r:id="rId1803" ref="CP25"/>
    <hyperlink r:id="rId1804" ref="CQ25"/>
    <hyperlink r:id="rId1805" ref="CR25"/>
    <hyperlink r:id="rId1806" ref="CT25"/>
    <hyperlink r:id="rId1807" ref="CW25"/>
    <hyperlink r:id="rId1808" ref="CX25"/>
    <hyperlink r:id="rId1809" ref="CY25"/>
    <hyperlink r:id="rId1810" ref="CZ25"/>
    <hyperlink r:id="rId1811" ref="DA25"/>
    <hyperlink r:id="rId1812" ref="DB25"/>
    <hyperlink r:id="rId1813" ref="DC25"/>
    <hyperlink r:id="rId1814" ref="DD25"/>
    <hyperlink r:id="rId1815" ref="DE25"/>
    <hyperlink r:id="rId1816" ref="DF25"/>
    <hyperlink r:id="rId1817" ref="DG25"/>
    <hyperlink r:id="rId1818" ref="DI25"/>
    <hyperlink r:id="rId1819" ref="DK25"/>
    <hyperlink r:id="rId1820" ref="DL25"/>
    <hyperlink r:id="rId1821" ref="DM25"/>
    <hyperlink r:id="rId1822" ref="DN25"/>
    <hyperlink r:id="rId1823" ref="DO25"/>
    <hyperlink r:id="rId1824" ref="DP25"/>
    <hyperlink r:id="rId1825" ref="DQ25"/>
    <hyperlink r:id="rId1826" ref="DR25"/>
    <hyperlink r:id="rId1827" ref="DS25"/>
    <hyperlink r:id="rId1828" ref="DT25"/>
    <hyperlink r:id="rId1829" ref="DU25"/>
    <hyperlink r:id="rId1830" ref="DV25"/>
    <hyperlink r:id="rId1831" ref="DW25"/>
    <hyperlink r:id="rId1832" ref="DX25"/>
    <hyperlink r:id="rId1833" ref="DY25"/>
    <hyperlink r:id="rId1834" ref="DZ25"/>
    <hyperlink r:id="rId1835" ref="EA25"/>
    <hyperlink r:id="rId1836" ref="EB25"/>
    <hyperlink r:id="rId1837" ref="EC25"/>
    <hyperlink r:id="rId1838" ref="ED25"/>
    <hyperlink r:id="rId1839" ref="H26"/>
    <hyperlink r:id="rId1840" ref="I26"/>
    <hyperlink r:id="rId1841" ref="J26"/>
    <hyperlink r:id="rId1842" ref="K26"/>
    <hyperlink r:id="rId1843" ref="L26"/>
    <hyperlink r:id="rId1844" ref="N26"/>
    <hyperlink r:id="rId1845" ref="O26"/>
    <hyperlink r:id="rId1846" ref="P26"/>
    <hyperlink r:id="rId1847" ref="X26"/>
    <hyperlink r:id="rId1848" ref="Z26"/>
    <hyperlink r:id="rId1849" ref="AC26"/>
    <hyperlink r:id="rId1850" ref="AD26"/>
    <hyperlink r:id="rId1851" ref="AF26"/>
    <hyperlink r:id="rId1852" ref="AO26"/>
    <hyperlink r:id="rId1853" ref="AU26"/>
    <hyperlink r:id="rId1854" ref="BN26"/>
    <hyperlink r:id="rId1855" ref="BR26"/>
    <hyperlink r:id="rId1856" ref="BS26"/>
    <hyperlink r:id="rId1857" ref="BT26"/>
    <hyperlink r:id="rId1858" ref="BV26"/>
    <hyperlink r:id="rId1859" ref="CC26"/>
    <hyperlink r:id="rId1860" ref="CD26"/>
    <hyperlink r:id="rId1861" ref="CG26"/>
    <hyperlink r:id="rId1862" ref="CH26"/>
    <hyperlink r:id="rId1863" ref="CJ26"/>
    <hyperlink r:id="rId1864" ref="CM26"/>
    <hyperlink r:id="rId1865" ref="CN26"/>
    <hyperlink r:id="rId1866" ref="CT26"/>
    <hyperlink r:id="rId1867" ref="CV26"/>
    <hyperlink r:id="rId1868" ref="CY26"/>
    <hyperlink r:id="rId1869" ref="CZ26"/>
    <hyperlink r:id="rId1870" ref="DA26"/>
    <hyperlink r:id="rId1871" ref="DB26"/>
    <hyperlink r:id="rId1872" ref="DC26"/>
    <hyperlink r:id="rId1873" ref="DM26"/>
    <hyperlink r:id="rId1874" ref="DR26"/>
    <hyperlink r:id="rId1875" ref="EB26"/>
    <hyperlink r:id="rId1876" ref="J27"/>
    <hyperlink r:id="rId1877" ref="L27"/>
    <hyperlink r:id="rId1878" ref="Q27"/>
    <hyperlink r:id="rId1879" ref="AC27"/>
    <hyperlink r:id="rId1880" ref="AF27"/>
    <hyperlink r:id="rId1881" ref="AH27"/>
    <hyperlink r:id="rId1882" ref="AN27"/>
    <hyperlink r:id="rId1883" ref="AO27"/>
    <hyperlink r:id="rId1884" ref="AQ27"/>
    <hyperlink r:id="rId1885" ref="AR27"/>
    <hyperlink r:id="rId1886" ref="AU27"/>
    <hyperlink r:id="rId1887" ref="BB27"/>
    <hyperlink r:id="rId1888" ref="BG27"/>
    <hyperlink r:id="rId1889" ref="BV27"/>
    <hyperlink r:id="rId1890" ref="CA27"/>
    <hyperlink r:id="rId1891" ref="CG27"/>
    <hyperlink r:id="rId1892" ref="CH27"/>
    <hyperlink r:id="rId1893" ref="CN27"/>
    <hyperlink r:id="rId1894" ref="CQ27"/>
    <hyperlink r:id="rId1895" ref="CX27"/>
    <hyperlink r:id="rId1896" ref="DD27"/>
    <hyperlink r:id="rId1897" ref="DM27"/>
    <hyperlink r:id="rId1898" ref="ED27"/>
    <hyperlink r:id="rId1899" ref="H28"/>
    <hyperlink r:id="rId1900" ref="I28"/>
    <hyperlink r:id="rId1901" ref="J28"/>
    <hyperlink r:id="rId1902" ref="K28"/>
    <hyperlink r:id="rId1903" ref="L28"/>
    <hyperlink r:id="rId1904" ref="N28"/>
    <hyperlink r:id="rId1905" ref="O28"/>
    <hyperlink r:id="rId1906" ref="P28"/>
    <hyperlink r:id="rId1907" ref="Q28"/>
    <hyperlink r:id="rId1908" ref="R28"/>
    <hyperlink r:id="rId1909" ref="S28"/>
    <hyperlink r:id="rId1910" ref="T28"/>
    <hyperlink r:id="rId1911" ref="U28"/>
    <hyperlink r:id="rId1912" ref="AA28"/>
    <hyperlink r:id="rId1913" ref="AB28"/>
    <hyperlink r:id="rId1914" ref="AD28"/>
    <hyperlink r:id="rId1915" ref="AF28"/>
    <hyperlink r:id="rId1916" ref="AH28"/>
    <hyperlink r:id="rId1917" ref="AI28"/>
    <hyperlink r:id="rId1918" ref="AN28"/>
    <hyperlink r:id="rId1919" ref="AP28"/>
    <hyperlink r:id="rId1920" ref="AS28"/>
    <hyperlink r:id="rId1921" ref="AT28"/>
    <hyperlink r:id="rId1922" ref="AU28"/>
    <hyperlink r:id="rId1923" ref="AV28"/>
    <hyperlink r:id="rId1924" ref="AW28"/>
    <hyperlink r:id="rId1925" ref="AY28"/>
    <hyperlink r:id="rId1926" ref="BB28"/>
    <hyperlink r:id="rId1927" ref="BC28"/>
    <hyperlink r:id="rId1928" ref="BD28"/>
    <hyperlink r:id="rId1929" ref="BE28"/>
    <hyperlink r:id="rId1930" ref="BG28"/>
    <hyperlink r:id="rId1931" ref="BI28"/>
    <hyperlink r:id="rId1932" ref="BL28"/>
    <hyperlink r:id="rId1933" ref="BN28"/>
    <hyperlink r:id="rId1934" ref="BT28"/>
    <hyperlink r:id="rId1935" ref="BU28"/>
    <hyperlink r:id="rId1936" ref="BZ28"/>
    <hyperlink r:id="rId1937" ref="CA28"/>
    <hyperlink r:id="rId1938" ref="CB28"/>
    <hyperlink r:id="rId1939" ref="CC28"/>
    <hyperlink r:id="rId1940" ref="CD28"/>
    <hyperlink r:id="rId1941" ref="CG28"/>
    <hyperlink r:id="rId1942" ref="CH28"/>
    <hyperlink r:id="rId1943" ref="CI28"/>
    <hyperlink r:id="rId1944" ref="CJ28"/>
    <hyperlink r:id="rId1945" ref="CL28"/>
    <hyperlink r:id="rId1946" ref="CM28"/>
    <hyperlink r:id="rId1947" ref="CN28"/>
    <hyperlink r:id="rId1948" ref="CO28"/>
    <hyperlink r:id="rId1949" ref="CX28"/>
    <hyperlink r:id="rId1950" ref="CZ28"/>
    <hyperlink r:id="rId1951" ref="DA28"/>
    <hyperlink r:id="rId1952" ref="DB28"/>
    <hyperlink r:id="rId1953" ref="DC28"/>
    <hyperlink r:id="rId1954" ref="DF28"/>
    <hyperlink r:id="rId1955" ref="DO28"/>
    <hyperlink r:id="rId1956" ref="DP28"/>
    <hyperlink r:id="rId1957" ref="DQ28"/>
    <hyperlink r:id="rId1958" ref="DU28"/>
    <hyperlink r:id="rId1959" ref="DW28"/>
    <hyperlink r:id="rId1960" ref="DZ28"/>
    <hyperlink r:id="rId1961" ref="EA28"/>
    <hyperlink r:id="rId1962" ref="AH29"/>
    <hyperlink r:id="rId1963" ref="AV29"/>
    <hyperlink r:id="rId1964" ref="CN29"/>
    <hyperlink r:id="rId1965" ref="DB29"/>
    <hyperlink r:id="rId1966" ref="DI29"/>
    <hyperlink r:id="rId1967" ref="DM29"/>
    <hyperlink r:id="rId1968" ref="DN29"/>
    <hyperlink r:id="rId1969" ref="DQ29"/>
    <hyperlink r:id="rId1970" ref="I30"/>
    <hyperlink r:id="rId1971" ref="J30"/>
    <hyperlink r:id="rId1972" ref="K30"/>
    <hyperlink r:id="rId1973" ref="L30"/>
    <hyperlink r:id="rId1974" ref="M30"/>
    <hyperlink r:id="rId1975" ref="N30"/>
    <hyperlink r:id="rId1976" ref="O30"/>
    <hyperlink r:id="rId1977" ref="P30"/>
    <hyperlink r:id="rId1978" ref="X30"/>
    <hyperlink r:id="rId1979" ref="AB30"/>
    <hyperlink r:id="rId1980" ref="AC30"/>
    <hyperlink r:id="rId1981" ref="AD30"/>
    <hyperlink r:id="rId1982" ref="AF30"/>
    <hyperlink r:id="rId1983" ref="AG30"/>
    <hyperlink r:id="rId1984" ref="AH30"/>
    <hyperlink r:id="rId1985" ref="AM30"/>
    <hyperlink r:id="rId1986" ref="AN30"/>
    <hyperlink r:id="rId1987" ref="AS30"/>
    <hyperlink r:id="rId1988" ref="AU30"/>
    <hyperlink r:id="rId1989" ref="AV30"/>
    <hyperlink r:id="rId1990" ref="AY30"/>
    <hyperlink r:id="rId1991" ref="BB30"/>
    <hyperlink r:id="rId1992" ref="BC30"/>
    <hyperlink r:id="rId1993" ref="BD30"/>
    <hyperlink r:id="rId1994" ref="BE30"/>
    <hyperlink r:id="rId1995" ref="BF30"/>
    <hyperlink r:id="rId1996" ref="BI30"/>
    <hyperlink r:id="rId1997" ref="BL30"/>
    <hyperlink r:id="rId1998" ref="BT30"/>
    <hyperlink r:id="rId1999" ref="BU30"/>
    <hyperlink r:id="rId2000" ref="BV30"/>
    <hyperlink r:id="rId2001" ref="BX30"/>
    <hyperlink r:id="rId2002" ref="CA30"/>
    <hyperlink r:id="rId2003" ref="CG30"/>
    <hyperlink r:id="rId2004" ref="CI30"/>
    <hyperlink r:id="rId2005" ref="CO30"/>
    <hyperlink r:id="rId2006" ref="CV30"/>
    <hyperlink r:id="rId2007" ref="CW30"/>
    <hyperlink r:id="rId2008" ref="CX30"/>
    <hyperlink r:id="rId2009" ref="CY30"/>
    <hyperlink r:id="rId2010" ref="CZ30"/>
    <hyperlink r:id="rId2011" ref="DB30"/>
    <hyperlink r:id="rId2012" ref="DC30"/>
    <hyperlink r:id="rId2013" ref="DM30"/>
    <hyperlink r:id="rId2014" ref="DN30"/>
    <hyperlink r:id="rId2015" ref="DO30"/>
    <hyperlink r:id="rId2016" ref="DP30"/>
    <hyperlink r:id="rId2017" ref="DS30"/>
    <hyperlink r:id="rId2018" ref="DU30"/>
    <hyperlink r:id="rId2019" ref="DW30"/>
    <hyperlink r:id="rId2020" ref="ED30"/>
    <hyperlink r:id="rId2021" ref="H31"/>
    <hyperlink r:id="rId2022" ref="I31"/>
    <hyperlink r:id="rId2023" ref="J31"/>
    <hyperlink r:id="rId2024" ref="K31"/>
    <hyperlink r:id="rId2025" ref="L31"/>
    <hyperlink r:id="rId2026" ref="M31"/>
    <hyperlink r:id="rId2027" ref="N31"/>
    <hyperlink r:id="rId2028" ref="O31"/>
    <hyperlink r:id="rId2029" ref="P31"/>
    <hyperlink r:id="rId2030" ref="X31"/>
    <hyperlink r:id="rId2031" ref="Z31"/>
    <hyperlink r:id="rId2032" ref="AA31"/>
    <hyperlink r:id="rId2033" ref="AB31"/>
    <hyperlink r:id="rId2034" ref="AC31"/>
    <hyperlink r:id="rId2035" ref="AD31"/>
    <hyperlink r:id="rId2036" ref="AF31"/>
    <hyperlink r:id="rId2037" ref="AG31"/>
    <hyperlink r:id="rId2038" ref="AU31"/>
    <hyperlink r:id="rId2039" ref="AV31"/>
    <hyperlink r:id="rId2040" ref="BB31"/>
    <hyperlink r:id="rId2041" ref="BC31"/>
    <hyperlink r:id="rId2042" ref="BD31"/>
    <hyperlink r:id="rId2043" ref="BE31"/>
    <hyperlink r:id="rId2044" ref="BF31"/>
    <hyperlink r:id="rId2045" ref="BI31"/>
    <hyperlink r:id="rId2046" ref="BJ31"/>
    <hyperlink r:id="rId2047" ref="BL31"/>
    <hyperlink r:id="rId2048" ref="BR31"/>
    <hyperlink r:id="rId2049" ref="BS31"/>
    <hyperlink r:id="rId2050" ref="BT31"/>
    <hyperlink r:id="rId2051" ref="BU31"/>
    <hyperlink r:id="rId2052" ref="BV31"/>
    <hyperlink r:id="rId2053" ref="BW31"/>
    <hyperlink r:id="rId2054" ref="BX31"/>
    <hyperlink r:id="rId2055" ref="BY31"/>
    <hyperlink r:id="rId2056" ref="CA31"/>
    <hyperlink r:id="rId2057" ref="CG31"/>
    <hyperlink r:id="rId2058" ref="CH31"/>
    <hyperlink r:id="rId2059" ref="CI31"/>
    <hyperlink r:id="rId2060" ref="CJ31"/>
    <hyperlink r:id="rId2061" ref="CK31"/>
    <hyperlink r:id="rId2062" ref="CL31"/>
    <hyperlink r:id="rId2063" ref="CM31"/>
    <hyperlink r:id="rId2064" ref="CN31"/>
    <hyperlink r:id="rId2065" ref="CO31"/>
    <hyperlink r:id="rId2066" ref="CV31"/>
    <hyperlink r:id="rId2067" ref="CX31"/>
    <hyperlink r:id="rId2068" ref="CY31"/>
    <hyperlink r:id="rId2069" ref="CZ31"/>
    <hyperlink r:id="rId2070" ref="DA31"/>
    <hyperlink r:id="rId2071" ref="DB31"/>
    <hyperlink r:id="rId2072" ref="DC31"/>
    <hyperlink r:id="rId2073" ref="DI31"/>
    <hyperlink r:id="rId2074" ref="DR31"/>
    <hyperlink r:id="rId2075" ref="DS31"/>
    <hyperlink r:id="rId2076" ref="H32"/>
    <hyperlink r:id="rId2077" ref="J32"/>
    <hyperlink r:id="rId2078" ref="K32"/>
    <hyperlink r:id="rId2079" ref="L32"/>
    <hyperlink r:id="rId2080" ref="M32"/>
    <hyperlink r:id="rId2081" ref="N32"/>
    <hyperlink r:id="rId2082" ref="O32"/>
    <hyperlink r:id="rId2083" ref="P32"/>
    <hyperlink r:id="rId2084" ref="Q32"/>
    <hyperlink r:id="rId2085" ref="V32"/>
    <hyperlink r:id="rId2086" ref="X32"/>
    <hyperlink r:id="rId2087" ref="Z32"/>
    <hyperlink r:id="rId2088" ref="AA32"/>
    <hyperlink r:id="rId2089" ref="AD32"/>
    <hyperlink r:id="rId2090" ref="AF32"/>
    <hyperlink r:id="rId2091" ref="AG32"/>
    <hyperlink r:id="rId2092" ref="AH32"/>
    <hyperlink r:id="rId2093" ref="AJ32"/>
    <hyperlink r:id="rId2094" ref="AK32"/>
    <hyperlink r:id="rId2095" ref="AM32"/>
    <hyperlink r:id="rId2096" ref="AP32"/>
    <hyperlink r:id="rId2097" ref="AQ32"/>
    <hyperlink r:id="rId2098" ref="AR32"/>
    <hyperlink r:id="rId2099" ref="AT32"/>
    <hyperlink r:id="rId2100" ref="AU32"/>
    <hyperlink r:id="rId2101" ref="AV32"/>
    <hyperlink r:id="rId2102" ref="AW32"/>
    <hyperlink r:id="rId2103" ref="BC32"/>
    <hyperlink r:id="rId2104" ref="BD32"/>
    <hyperlink r:id="rId2105" ref="BE32"/>
    <hyperlink r:id="rId2106" ref="BF32"/>
    <hyperlink r:id="rId2107" ref="BH32"/>
    <hyperlink r:id="rId2108" ref="BI32"/>
    <hyperlink r:id="rId2109" ref="BJ32"/>
    <hyperlink r:id="rId2110" ref="BL32"/>
    <hyperlink r:id="rId2111" ref="BN32"/>
    <hyperlink r:id="rId2112" ref="BR32"/>
    <hyperlink r:id="rId2113" ref="BS32"/>
    <hyperlink r:id="rId2114" ref="BT32"/>
    <hyperlink r:id="rId2115" ref="BU32"/>
    <hyperlink r:id="rId2116" ref="BW32"/>
    <hyperlink r:id="rId2117" ref="BY32"/>
    <hyperlink r:id="rId2118" ref="CB32"/>
    <hyperlink r:id="rId2119" ref="CC32"/>
    <hyperlink r:id="rId2120" ref="CD32"/>
    <hyperlink r:id="rId2121" ref="CE32"/>
    <hyperlink r:id="rId2122" ref="CH32"/>
    <hyperlink r:id="rId2123" ref="CI32"/>
    <hyperlink r:id="rId2124" ref="CJ32"/>
    <hyperlink r:id="rId2125" ref="CM32"/>
    <hyperlink r:id="rId2126" ref="CN32"/>
    <hyperlink r:id="rId2127" ref="CO32"/>
    <hyperlink r:id="rId2128" ref="CQ32"/>
    <hyperlink r:id="rId2129" ref="CT32"/>
    <hyperlink r:id="rId2130" ref="CV32"/>
    <hyperlink r:id="rId2131" ref="CX32"/>
    <hyperlink r:id="rId2132" ref="CY32"/>
    <hyperlink r:id="rId2133" ref="DA32"/>
    <hyperlink r:id="rId2134" ref="DD32"/>
    <hyperlink r:id="rId2135" ref="DF32"/>
    <hyperlink r:id="rId2136" ref="DG32"/>
    <hyperlink r:id="rId2137" ref="DI32"/>
    <hyperlink r:id="rId2138" ref="DL32"/>
    <hyperlink r:id="rId2139" ref="DM32"/>
    <hyperlink r:id="rId2140" ref="DN32"/>
    <hyperlink r:id="rId2141" ref="DR32"/>
    <hyperlink r:id="rId2142" ref="DS32"/>
    <hyperlink r:id="rId2143" ref="DV32"/>
    <hyperlink r:id="rId2144" ref="DW32"/>
    <hyperlink r:id="rId2145" ref="DZ32"/>
    <hyperlink r:id="rId2146" ref="EA32"/>
    <hyperlink r:id="rId2147" ref="H33"/>
    <hyperlink r:id="rId2148" ref="I33"/>
    <hyperlink r:id="rId2149" ref="J33"/>
    <hyperlink r:id="rId2150" ref="K33"/>
    <hyperlink r:id="rId2151" ref="L33"/>
    <hyperlink r:id="rId2152" ref="M33"/>
    <hyperlink r:id="rId2153" ref="N33"/>
    <hyperlink r:id="rId2154" ref="O33"/>
    <hyperlink r:id="rId2155" ref="P33"/>
    <hyperlink r:id="rId2156" ref="U33"/>
    <hyperlink r:id="rId2157" ref="X33"/>
    <hyperlink r:id="rId2158" ref="Z33"/>
    <hyperlink r:id="rId2159" ref="AA33"/>
    <hyperlink r:id="rId2160" ref="AB33"/>
    <hyperlink r:id="rId2161" ref="AC33"/>
    <hyperlink r:id="rId2162" ref="AD33"/>
    <hyperlink r:id="rId2163" ref="AE33"/>
    <hyperlink r:id="rId2164" ref="AF33"/>
    <hyperlink r:id="rId2165" ref="AG33"/>
    <hyperlink r:id="rId2166" ref="AM33"/>
    <hyperlink r:id="rId2167" ref="AN33"/>
    <hyperlink r:id="rId2168" ref="AU33"/>
    <hyperlink r:id="rId2169" ref="AV33"/>
    <hyperlink r:id="rId2170" ref="BB33"/>
    <hyperlink r:id="rId2171" ref="BC33"/>
    <hyperlink r:id="rId2172" ref="BD33"/>
    <hyperlink r:id="rId2173" ref="BE33"/>
    <hyperlink r:id="rId2174" ref="BF33"/>
    <hyperlink r:id="rId2175" ref="BI33"/>
    <hyperlink r:id="rId2176" ref="BL33"/>
    <hyperlink r:id="rId2177" ref="BR33"/>
    <hyperlink r:id="rId2178" ref="BS33"/>
    <hyperlink r:id="rId2179" ref="BT33"/>
    <hyperlink r:id="rId2180" ref="BU33"/>
    <hyperlink r:id="rId2181" ref="BV33"/>
    <hyperlink r:id="rId2182" ref="BW33"/>
    <hyperlink r:id="rId2183" ref="BX33"/>
    <hyperlink r:id="rId2184" ref="BZ33"/>
    <hyperlink r:id="rId2185" ref="CA33"/>
    <hyperlink r:id="rId2186" ref="CG33"/>
    <hyperlink r:id="rId2187" ref="CH33"/>
    <hyperlink r:id="rId2188" ref="CI33"/>
    <hyperlink r:id="rId2189" ref="CJ33"/>
    <hyperlink r:id="rId2190" ref="CL33"/>
    <hyperlink r:id="rId2191" ref="CM33"/>
    <hyperlink r:id="rId2192" ref="CN33"/>
    <hyperlink r:id="rId2193" ref="CO33"/>
    <hyperlink r:id="rId2194" ref="CV33"/>
    <hyperlink r:id="rId2195" ref="CW33"/>
    <hyperlink r:id="rId2196" ref="CX33"/>
    <hyperlink r:id="rId2197" ref="CY33"/>
    <hyperlink r:id="rId2198" ref="CZ33"/>
    <hyperlink r:id="rId2199" ref="DA33"/>
    <hyperlink r:id="rId2200" ref="DB33"/>
    <hyperlink r:id="rId2201" ref="DC33"/>
    <hyperlink r:id="rId2202" ref="DI33"/>
    <hyperlink r:id="rId2203" ref="DR33"/>
    <hyperlink r:id="rId2204" ref="DS33"/>
    <hyperlink r:id="rId2205" ref="DW33"/>
    <hyperlink r:id="rId2206" ref="BI34"/>
    <hyperlink r:id="rId2207" ref="BK34"/>
    <hyperlink r:id="rId2208" ref="BZ34"/>
    <hyperlink r:id="rId2209" ref="CJ34"/>
    <hyperlink r:id="rId2210" ref="CR34"/>
    <hyperlink r:id="rId2211" ref="DB34"/>
    <hyperlink r:id="rId2212" ref="DP34"/>
    <hyperlink r:id="rId2213" ref="DQ34"/>
    <hyperlink r:id="rId2214" ref="I35"/>
    <hyperlink r:id="rId2215" ref="J35"/>
    <hyperlink r:id="rId2216" ref="K35"/>
    <hyperlink r:id="rId2217" ref="L35"/>
    <hyperlink r:id="rId2218" ref="M35"/>
    <hyperlink r:id="rId2219" ref="N35"/>
    <hyperlink r:id="rId2220" ref="O35"/>
    <hyperlink r:id="rId2221" ref="P35"/>
    <hyperlink r:id="rId2222" ref="Q35"/>
    <hyperlink r:id="rId2223" ref="S35"/>
    <hyperlink r:id="rId2224" ref="X35"/>
    <hyperlink r:id="rId2225" ref="Z35"/>
    <hyperlink r:id="rId2226" ref="AA35"/>
    <hyperlink r:id="rId2227" ref="AB35"/>
    <hyperlink r:id="rId2228" ref="AC35"/>
    <hyperlink r:id="rId2229" ref="AD35"/>
    <hyperlink r:id="rId2230" ref="AF35"/>
    <hyperlink r:id="rId2231" ref="AG35"/>
    <hyperlink r:id="rId2232" ref="AN35"/>
    <hyperlink r:id="rId2233" ref="AU35"/>
    <hyperlink r:id="rId2234" ref="AV35"/>
    <hyperlink r:id="rId2235" ref="AY35"/>
    <hyperlink r:id="rId2236" ref="BB35"/>
    <hyperlink r:id="rId2237" ref="BC35"/>
    <hyperlink r:id="rId2238" ref="BD35"/>
    <hyperlink r:id="rId2239" ref="BE35"/>
    <hyperlink r:id="rId2240" ref="BF35"/>
    <hyperlink r:id="rId2241" ref="BI35"/>
    <hyperlink r:id="rId2242" ref="BK35"/>
    <hyperlink r:id="rId2243" ref="BL35"/>
    <hyperlink r:id="rId2244" ref="BN35"/>
    <hyperlink r:id="rId2245" ref="BO35"/>
    <hyperlink r:id="rId2246" ref="BR35"/>
    <hyperlink r:id="rId2247" ref="BS35"/>
    <hyperlink r:id="rId2248" ref="BT35"/>
    <hyperlink r:id="rId2249" ref="BU35"/>
    <hyperlink r:id="rId2250" ref="BV35"/>
    <hyperlink r:id="rId2251" ref="BW35"/>
    <hyperlink r:id="rId2252" ref="BZ35"/>
    <hyperlink r:id="rId2253" ref="CA35"/>
    <hyperlink r:id="rId2254" ref="CB35"/>
    <hyperlink r:id="rId2255" ref="CG35"/>
    <hyperlink r:id="rId2256" ref="CH35"/>
    <hyperlink r:id="rId2257" ref="CI35"/>
    <hyperlink r:id="rId2258" ref="CJ35"/>
    <hyperlink r:id="rId2259" ref="CM35"/>
    <hyperlink r:id="rId2260" ref="CN35"/>
    <hyperlink r:id="rId2261" ref="CO35"/>
    <hyperlink r:id="rId2262" ref="CP35"/>
    <hyperlink r:id="rId2263" ref="CV35"/>
    <hyperlink r:id="rId2264" ref="CX35"/>
    <hyperlink r:id="rId2265" ref="CY35"/>
    <hyperlink r:id="rId2266" ref="CZ35"/>
    <hyperlink r:id="rId2267" ref="DA35"/>
    <hyperlink r:id="rId2268" ref="DB35"/>
    <hyperlink r:id="rId2269" ref="DC35"/>
    <hyperlink r:id="rId2270" ref="DR35"/>
    <hyperlink r:id="rId2271" ref="DS35"/>
    <hyperlink r:id="rId2272" ref="DU35"/>
    <hyperlink r:id="rId2273" ref="DV35"/>
    <hyperlink r:id="rId2274" ref="DZ35"/>
    <hyperlink r:id="rId2275" ref="EA35"/>
    <hyperlink r:id="rId2276" ref="J36"/>
    <hyperlink r:id="rId2277" ref="K36"/>
    <hyperlink r:id="rId2278" ref="L36"/>
    <hyperlink r:id="rId2279" ref="M36"/>
    <hyperlink r:id="rId2280" ref="P36"/>
    <hyperlink r:id="rId2281" ref="S36"/>
    <hyperlink r:id="rId2282" ref="T36"/>
    <hyperlink r:id="rId2283" ref="X36"/>
    <hyperlink r:id="rId2284" ref="Z36"/>
    <hyperlink r:id="rId2285" ref="AA36"/>
    <hyperlink r:id="rId2286" ref="AC36"/>
    <hyperlink r:id="rId2287" ref="AD36"/>
    <hyperlink r:id="rId2288" ref="AF36"/>
    <hyperlink r:id="rId2289" ref="AG36"/>
    <hyperlink r:id="rId2290" ref="AI36"/>
    <hyperlink r:id="rId2291" ref="AJ36"/>
    <hyperlink r:id="rId2292" ref="AN36"/>
    <hyperlink r:id="rId2293" ref="AS36"/>
    <hyperlink r:id="rId2294" ref="BB36"/>
    <hyperlink r:id="rId2295" ref="BD36"/>
    <hyperlink r:id="rId2296" ref="BN36"/>
    <hyperlink r:id="rId2297" ref="BT36"/>
    <hyperlink r:id="rId2298" ref="BU36"/>
    <hyperlink r:id="rId2299" ref="BV36"/>
    <hyperlink r:id="rId2300" ref="BW36"/>
    <hyperlink r:id="rId2301" ref="CA36"/>
    <hyperlink r:id="rId2302" ref="CD36"/>
    <hyperlink r:id="rId2303" ref="CI36"/>
    <hyperlink r:id="rId2304" ref="CJ36"/>
    <hyperlink r:id="rId2305" ref="CM36"/>
    <hyperlink r:id="rId2306" ref="CN36"/>
    <hyperlink r:id="rId2307" ref="CO36"/>
    <hyperlink r:id="rId2308" ref="CQ36"/>
    <hyperlink r:id="rId2309" ref="CV36"/>
    <hyperlink r:id="rId2310" ref="DA36"/>
    <hyperlink r:id="rId2311" ref="DE36"/>
    <hyperlink r:id="rId2312" ref="DI36"/>
    <hyperlink r:id="rId2313" ref="DM36"/>
    <hyperlink r:id="rId2314" ref="DR36"/>
    <hyperlink r:id="rId2315" ref="DS36"/>
    <hyperlink r:id="rId2316" ref="DT36"/>
    <hyperlink r:id="rId2317" ref="DU36"/>
    <hyperlink r:id="rId2318" ref="DV36"/>
    <hyperlink r:id="rId2319" ref="DW36"/>
    <hyperlink r:id="rId2320" ref="DZ36"/>
    <hyperlink r:id="rId2321" ref="EB36"/>
    <hyperlink r:id="rId2322" ref="EC36"/>
    <hyperlink r:id="rId2323" ref="ED36"/>
    <hyperlink r:id="rId2324" ref="H37"/>
    <hyperlink r:id="rId2325" ref="J37"/>
    <hyperlink r:id="rId2326" ref="K37"/>
    <hyperlink r:id="rId2327" ref="L37"/>
    <hyperlink r:id="rId2328" ref="M37"/>
    <hyperlink r:id="rId2329" ref="N37"/>
    <hyperlink r:id="rId2330" ref="O37"/>
    <hyperlink r:id="rId2331" ref="R37"/>
    <hyperlink r:id="rId2332" ref="T37"/>
    <hyperlink r:id="rId2333" ref="U37"/>
    <hyperlink r:id="rId2334" ref="Z37"/>
    <hyperlink r:id="rId2335" ref="AB37"/>
    <hyperlink r:id="rId2336" ref="AC37"/>
    <hyperlink r:id="rId2337" ref="AD37"/>
    <hyperlink r:id="rId2338" ref="AE37"/>
    <hyperlink r:id="rId2339" ref="AG37"/>
    <hyperlink r:id="rId2340" ref="AI37"/>
    <hyperlink r:id="rId2341" ref="AO37"/>
    <hyperlink r:id="rId2342" ref="AP37"/>
    <hyperlink r:id="rId2343" ref="AS37"/>
    <hyperlink r:id="rId2344" ref="AU37"/>
    <hyperlink r:id="rId2345" ref="AX37"/>
    <hyperlink r:id="rId2346" ref="AY37"/>
    <hyperlink r:id="rId2347" ref="BC37"/>
    <hyperlink r:id="rId2348" ref="BG37"/>
    <hyperlink r:id="rId2349" ref="BI37"/>
    <hyperlink r:id="rId2350" ref="BN37"/>
    <hyperlink r:id="rId2351" ref="BR37"/>
    <hyperlink r:id="rId2352" ref="BT37"/>
    <hyperlink r:id="rId2353" ref="BW37"/>
    <hyperlink r:id="rId2354" ref="BX37"/>
    <hyperlink r:id="rId2355" ref="CG37"/>
    <hyperlink r:id="rId2356" ref="CL37"/>
    <hyperlink r:id="rId2357" ref="CM37"/>
    <hyperlink r:id="rId2358" ref="CN37"/>
    <hyperlink r:id="rId2359" ref="CO37"/>
    <hyperlink r:id="rId2360" ref="CQ37"/>
    <hyperlink r:id="rId2361" ref="CR37"/>
    <hyperlink r:id="rId2362" ref="CS37"/>
    <hyperlink r:id="rId2363" ref="CX37"/>
    <hyperlink r:id="rId2364" ref="DA37"/>
    <hyperlink r:id="rId2365" ref="DC37"/>
    <hyperlink r:id="rId2366" ref="DF37"/>
    <hyperlink r:id="rId2367" ref="DJ37"/>
    <hyperlink r:id="rId2368" ref="DL37"/>
    <hyperlink r:id="rId2369" ref="DM37"/>
    <hyperlink r:id="rId2370" ref="DP37"/>
    <hyperlink r:id="rId2371" ref="DQ37"/>
    <hyperlink r:id="rId2372" ref="DS37"/>
    <hyperlink r:id="rId2373" ref="DT37"/>
    <hyperlink r:id="rId2374" ref="DU37"/>
    <hyperlink r:id="rId2375" ref="DV37"/>
    <hyperlink r:id="rId2376" ref="DW37"/>
    <hyperlink r:id="rId2377" ref="DX37"/>
    <hyperlink r:id="rId2378" ref="DY37"/>
    <hyperlink r:id="rId2379" ref="DZ37"/>
    <hyperlink r:id="rId2380" ref="EA37"/>
    <hyperlink r:id="rId2381" ref="EB37"/>
    <hyperlink r:id="rId2382" ref="EC37"/>
    <hyperlink r:id="rId2383" ref="ED37"/>
    <hyperlink r:id="rId2384" ref="H38"/>
    <hyperlink r:id="rId2385" ref="I38"/>
    <hyperlink r:id="rId2386" ref="J38"/>
    <hyperlink r:id="rId2387" ref="K38"/>
    <hyperlink r:id="rId2388" ref="L38"/>
    <hyperlink r:id="rId2389" ref="M38"/>
    <hyperlink r:id="rId2390" ref="N38"/>
    <hyperlink r:id="rId2391" ref="O38"/>
    <hyperlink r:id="rId2392" ref="P38"/>
    <hyperlink r:id="rId2393" ref="S38"/>
    <hyperlink r:id="rId2394" ref="U38"/>
    <hyperlink r:id="rId2395" ref="X38"/>
    <hyperlink r:id="rId2396" ref="Z38"/>
    <hyperlink r:id="rId2397" ref="AA38"/>
    <hyperlink r:id="rId2398" ref="AB38"/>
    <hyperlink r:id="rId2399" ref="AC38"/>
    <hyperlink r:id="rId2400" ref="AD38"/>
    <hyperlink r:id="rId2401" ref="AE38"/>
    <hyperlink r:id="rId2402" ref="AF38"/>
    <hyperlink r:id="rId2403" ref="AG38"/>
    <hyperlink r:id="rId2404" ref="AH38"/>
    <hyperlink r:id="rId2405" ref="AN38"/>
    <hyperlink r:id="rId2406" ref="AV38"/>
    <hyperlink r:id="rId2407" ref="AW38"/>
    <hyperlink r:id="rId2408" ref="AY38"/>
    <hyperlink r:id="rId2409" ref="BB38"/>
    <hyperlink r:id="rId2410" ref="BC38"/>
    <hyperlink r:id="rId2411" ref="BD38"/>
    <hyperlink r:id="rId2412" ref="BE38"/>
    <hyperlink r:id="rId2413" ref="BF38"/>
    <hyperlink r:id="rId2414" ref="BG38"/>
    <hyperlink r:id="rId2415" ref="BI38"/>
    <hyperlink r:id="rId2416" ref="BJ38"/>
    <hyperlink r:id="rId2417" ref="BL38"/>
    <hyperlink r:id="rId2418" ref="BM38"/>
    <hyperlink r:id="rId2419" ref="BO38"/>
    <hyperlink r:id="rId2420" ref="BR38"/>
    <hyperlink r:id="rId2421" ref="BS38"/>
    <hyperlink r:id="rId2422" ref="BT38"/>
    <hyperlink r:id="rId2423" ref="BU38"/>
    <hyperlink r:id="rId2424" ref="BV38"/>
    <hyperlink r:id="rId2425" ref="BW38"/>
    <hyperlink r:id="rId2426" ref="BX38"/>
    <hyperlink r:id="rId2427" ref="BY38"/>
    <hyperlink r:id="rId2428" ref="CC38"/>
    <hyperlink r:id="rId2429" ref="CD38"/>
    <hyperlink r:id="rId2430" ref="CG38"/>
    <hyperlink r:id="rId2431" ref="CH38"/>
    <hyperlink r:id="rId2432" ref="CJ38"/>
    <hyperlink r:id="rId2433" ref="CL38"/>
    <hyperlink r:id="rId2434" ref="CM38"/>
    <hyperlink r:id="rId2435" ref="CN38"/>
    <hyperlink r:id="rId2436" ref="CO38"/>
    <hyperlink r:id="rId2437" ref="CP38"/>
    <hyperlink r:id="rId2438" ref="CS38"/>
    <hyperlink r:id="rId2439" ref="CV38"/>
    <hyperlink r:id="rId2440" ref="CW38"/>
    <hyperlink r:id="rId2441" ref="CX38"/>
    <hyperlink r:id="rId2442" ref="CY38"/>
    <hyperlink r:id="rId2443" ref="CZ38"/>
    <hyperlink r:id="rId2444" ref="DA38"/>
    <hyperlink r:id="rId2445" ref="DB38"/>
    <hyperlink r:id="rId2446" ref="DE38"/>
    <hyperlink r:id="rId2447" ref="DF38"/>
    <hyperlink r:id="rId2448" ref="DI38"/>
    <hyperlink r:id="rId2449" ref="DJ38"/>
    <hyperlink r:id="rId2450" ref="DL38"/>
    <hyperlink r:id="rId2451" ref="DM38"/>
    <hyperlink r:id="rId2452" ref="DR38"/>
    <hyperlink r:id="rId2453" ref="DT38"/>
    <hyperlink r:id="rId2454" ref="DV38"/>
    <hyperlink r:id="rId2455" ref="DX38"/>
    <hyperlink r:id="rId2456" ref="DZ38"/>
    <hyperlink r:id="rId2457" ref="EA38"/>
    <hyperlink r:id="rId2458" ref="H39"/>
    <hyperlink r:id="rId2459" ref="I39"/>
    <hyperlink r:id="rId2460" ref="J39"/>
    <hyperlink r:id="rId2461" ref="K39"/>
    <hyperlink r:id="rId2462" ref="L39"/>
    <hyperlink r:id="rId2463" ref="M39"/>
    <hyperlink r:id="rId2464" ref="N39"/>
    <hyperlink r:id="rId2465" ref="O39"/>
    <hyperlink r:id="rId2466" ref="P39"/>
    <hyperlink r:id="rId2467" ref="Q39"/>
    <hyperlink r:id="rId2468" ref="S39"/>
    <hyperlink r:id="rId2469" ref="V39"/>
    <hyperlink r:id="rId2470" ref="X39"/>
    <hyperlink r:id="rId2471" ref="Y39"/>
    <hyperlink r:id="rId2472" ref="Z39"/>
    <hyperlink r:id="rId2473" ref="AA39"/>
    <hyperlink r:id="rId2474" ref="AB39"/>
    <hyperlink r:id="rId2475" ref="AC39"/>
    <hyperlink r:id="rId2476" ref="AD39"/>
    <hyperlink r:id="rId2477" ref="AE39"/>
    <hyperlink r:id="rId2478" ref="AF39"/>
    <hyperlink r:id="rId2479" ref="AG39"/>
    <hyperlink r:id="rId2480" ref="AJ39"/>
    <hyperlink r:id="rId2481" ref="AK39"/>
    <hyperlink r:id="rId2482" ref="AM39"/>
    <hyperlink r:id="rId2483" ref="AN39"/>
    <hyperlink r:id="rId2484" ref="AO39"/>
    <hyperlink r:id="rId2485" ref="AP39"/>
    <hyperlink r:id="rId2486" ref="AQ39"/>
    <hyperlink r:id="rId2487" ref="AR39"/>
    <hyperlink r:id="rId2488" ref="AS39"/>
    <hyperlink r:id="rId2489" ref="AT39"/>
    <hyperlink r:id="rId2490" ref="AU39"/>
    <hyperlink r:id="rId2491" ref="AV39"/>
    <hyperlink r:id="rId2492" ref="AW39"/>
    <hyperlink r:id="rId2493" ref="AZ39"/>
    <hyperlink r:id="rId2494" ref="BB39"/>
    <hyperlink r:id="rId2495" ref="BC39"/>
    <hyperlink r:id="rId2496" ref="BD39"/>
    <hyperlink r:id="rId2497" ref="BE39"/>
    <hyperlink r:id="rId2498" ref="BF39"/>
    <hyperlink r:id="rId2499" ref="BI39"/>
    <hyperlink r:id="rId2500" ref="BK39"/>
    <hyperlink r:id="rId2501" ref="BL39"/>
    <hyperlink r:id="rId2502" ref="BM39"/>
    <hyperlink r:id="rId2503" ref="BN39"/>
    <hyperlink r:id="rId2504" ref="BO39"/>
    <hyperlink r:id="rId2505" ref="BP39"/>
    <hyperlink r:id="rId2506" ref="BR39"/>
    <hyperlink r:id="rId2507" ref="BS39"/>
    <hyperlink r:id="rId2508" ref="BT39"/>
    <hyperlink r:id="rId2509" ref="BU39"/>
    <hyperlink r:id="rId2510" ref="BV39"/>
    <hyperlink r:id="rId2511" ref="BW39"/>
    <hyperlink r:id="rId2512" ref="BX39"/>
    <hyperlink r:id="rId2513" ref="BZ39"/>
    <hyperlink r:id="rId2514" ref="CA39"/>
    <hyperlink r:id="rId2515" ref="CB39"/>
    <hyperlink r:id="rId2516" ref="CC39"/>
    <hyperlink r:id="rId2517" ref="CD39"/>
    <hyperlink r:id="rId2518" ref="CE39"/>
    <hyperlink r:id="rId2519" ref="CG39"/>
    <hyperlink r:id="rId2520" ref="CH39"/>
    <hyperlink r:id="rId2521" ref="CI39"/>
    <hyperlink r:id="rId2522" ref="CJ39"/>
    <hyperlink r:id="rId2523" ref="CK39"/>
    <hyperlink r:id="rId2524" ref="CL39"/>
    <hyperlink r:id="rId2525" ref="CM39"/>
    <hyperlink r:id="rId2526" ref="CN39"/>
    <hyperlink r:id="rId2527" ref="CO39"/>
    <hyperlink r:id="rId2528" ref="CS39"/>
    <hyperlink r:id="rId2529" ref="CT39"/>
    <hyperlink r:id="rId2530" ref="CV39"/>
    <hyperlink r:id="rId2531" ref="CW39"/>
    <hyperlink r:id="rId2532" ref="CX39"/>
    <hyperlink r:id="rId2533" ref="CY39"/>
    <hyperlink r:id="rId2534" ref="CZ39"/>
    <hyperlink r:id="rId2535" ref="DA39"/>
    <hyperlink r:id="rId2536" ref="DB39"/>
    <hyperlink r:id="rId2537" ref="DC39"/>
    <hyperlink r:id="rId2538" ref="DD39"/>
    <hyperlink r:id="rId2539" ref="DE39"/>
    <hyperlink r:id="rId2540" ref="DG39"/>
    <hyperlink r:id="rId2541" ref="DI39"/>
    <hyperlink r:id="rId2542" ref="DM39"/>
    <hyperlink r:id="rId2543" ref="DN39"/>
    <hyperlink r:id="rId2544" ref="DO39"/>
    <hyperlink r:id="rId2545" ref="DR39"/>
    <hyperlink r:id="rId2546" ref="DS39"/>
    <hyperlink r:id="rId2547" ref="DT39"/>
    <hyperlink r:id="rId2548" ref="DU39"/>
    <hyperlink r:id="rId2549" ref="DV39"/>
    <hyperlink r:id="rId2550" ref="DW39"/>
    <hyperlink r:id="rId2551" ref="EA39"/>
    <hyperlink r:id="rId2552" ref="EB39"/>
    <hyperlink r:id="rId2553" ref="EC39"/>
    <hyperlink r:id="rId2554" ref="ED39"/>
    <hyperlink r:id="rId2555" ref="J40"/>
    <hyperlink r:id="rId2556" ref="L40"/>
    <hyperlink r:id="rId2557" ref="M40"/>
    <hyperlink r:id="rId2558" ref="N40"/>
    <hyperlink r:id="rId2559" ref="O40"/>
    <hyperlink r:id="rId2560" ref="X40"/>
    <hyperlink r:id="rId2561" ref="AA40"/>
    <hyperlink r:id="rId2562" ref="AB40"/>
    <hyperlink r:id="rId2563" ref="AC40"/>
    <hyperlink r:id="rId2564" ref="AD40"/>
    <hyperlink r:id="rId2565" ref="AF40"/>
    <hyperlink r:id="rId2566" ref="AG40"/>
    <hyperlink r:id="rId2567" ref="AU40"/>
    <hyperlink r:id="rId2568" ref="AV40"/>
    <hyperlink r:id="rId2569" ref="BB40"/>
    <hyperlink r:id="rId2570" ref="BC40"/>
    <hyperlink r:id="rId2571" ref="BD40"/>
    <hyperlink r:id="rId2572" ref="BE40"/>
    <hyperlink r:id="rId2573" ref="BF40"/>
    <hyperlink r:id="rId2574" ref="BI40"/>
    <hyperlink r:id="rId2575" ref="BJ40"/>
    <hyperlink r:id="rId2576" ref="BL40"/>
    <hyperlink r:id="rId2577" ref="BR40"/>
    <hyperlink r:id="rId2578" ref="BS40"/>
    <hyperlink r:id="rId2579" ref="BU40"/>
    <hyperlink r:id="rId2580" ref="BX40"/>
    <hyperlink r:id="rId2581" ref="BY40"/>
    <hyperlink r:id="rId2582" ref="CG40"/>
    <hyperlink r:id="rId2583" ref="CI40"/>
    <hyperlink r:id="rId2584" ref="CJ40"/>
    <hyperlink r:id="rId2585" ref="CM40"/>
    <hyperlink r:id="rId2586" ref="CN40"/>
    <hyperlink r:id="rId2587" ref="CV40"/>
    <hyperlink r:id="rId2588" ref="CX40"/>
    <hyperlink r:id="rId2589" ref="CY40"/>
    <hyperlink r:id="rId2590" ref="CZ40"/>
    <hyperlink r:id="rId2591" ref="DB40"/>
    <hyperlink r:id="rId2592" ref="DR40"/>
    <hyperlink r:id="rId2593" ref="I41"/>
    <hyperlink r:id="rId2594" ref="M41"/>
    <hyperlink r:id="rId2595" ref="P41"/>
    <hyperlink r:id="rId2596" ref="AA41"/>
    <hyperlink r:id="rId2597" ref="AD41"/>
    <hyperlink r:id="rId2598" ref="BB41"/>
    <hyperlink r:id="rId2599" ref="BF41"/>
    <hyperlink r:id="rId2600" ref="BJ41"/>
    <hyperlink r:id="rId2601" ref="BR41"/>
    <hyperlink r:id="rId2602" ref="BW41"/>
    <hyperlink r:id="rId2603" ref="BX41"/>
    <hyperlink r:id="rId2604" ref="CJ41"/>
    <hyperlink r:id="rId2605" ref="CV41"/>
    <hyperlink r:id="rId2606" ref="DB41"/>
    <hyperlink r:id="rId2607" ref="DR41"/>
    <hyperlink r:id="rId2608" ref="I42"/>
    <hyperlink r:id="rId2609" ref="L42"/>
    <hyperlink r:id="rId2610" ref="O42"/>
    <hyperlink r:id="rId2611" ref="AD42"/>
    <hyperlink r:id="rId2612" ref="AF42"/>
    <hyperlink r:id="rId2613" ref="AR42"/>
    <hyperlink r:id="rId2614" ref="AV42"/>
    <hyperlink r:id="rId2615" ref="BE42"/>
    <hyperlink r:id="rId2616" ref="BK42"/>
    <hyperlink r:id="rId2617" ref="BU42"/>
    <hyperlink r:id="rId2618" ref="CG42"/>
    <hyperlink r:id="rId2619" ref="CV42"/>
    <hyperlink r:id="rId2620" ref="DB42"/>
    <hyperlink r:id="rId2621" ref="V43"/>
    <hyperlink r:id="rId2622" ref="AK43"/>
    <hyperlink r:id="rId2623" ref="AZ43"/>
    <hyperlink r:id="rId2624" ref="BM43"/>
    <hyperlink r:id="rId2625" ref="BP43"/>
    <hyperlink r:id="rId2626" ref="CE43"/>
    <hyperlink r:id="rId2627" ref="CT43"/>
    <hyperlink r:id="rId2628" ref="DG43"/>
    <hyperlink r:id="rId2629" ref="I44"/>
    <hyperlink r:id="rId2630" ref="J44"/>
    <hyperlink r:id="rId2631" ref="K44"/>
    <hyperlink r:id="rId2632" ref="L44"/>
    <hyperlink r:id="rId2633" ref="M44"/>
    <hyperlink r:id="rId2634" ref="N44"/>
    <hyperlink r:id="rId2635" ref="O44"/>
    <hyperlink r:id="rId2636" ref="P44"/>
    <hyperlink r:id="rId2637" ref="R44"/>
    <hyperlink r:id="rId2638" ref="S44"/>
    <hyperlink r:id="rId2639" ref="V44"/>
    <hyperlink r:id="rId2640" ref="X44"/>
    <hyperlink r:id="rId2641" ref="Z44"/>
    <hyperlink r:id="rId2642" ref="AA44"/>
    <hyperlink r:id="rId2643" ref="AB44"/>
    <hyperlink r:id="rId2644" ref="AC44"/>
    <hyperlink r:id="rId2645" ref="AD44"/>
    <hyperlink r:id="rId2646" ref="AG44"/>
    <hyperlink r:id="rId2647" ref="AK44"/>
    <hyperlink r:id="rId2648" ref="AN44"/>
    <hyperlink r:id="rId2649" ref="AU44"/>
    <hyperlink r:id="rId2650" ref="AV44"/>
    <hyperlink r:id="rId2651" ref="AW44"/>
    <hyperlink r:id="rId2652" ref="AY44"/>
    <hyperlink r:id="rId2653" ref="BB44"/>
    <hyperlink r:id="rId2654" ref="BC44"/>
    <hyperlink r:id="rId2655" ref="BD44"/>
    <hyperlink r:id="rId2656" ref="BE44"/>
    <hyperlink r:id="rId2657" ref="BF44"/>
    <hyperlink r:id="rId2658" ref="BG44"/>
    <hyperlink r:id="rId2659" ref="BL44"/>
    <hyperlink r:id="rId2660" ref="BP44"/>
    <hyperlink r:id="rId2661" ref="BR44"/>
    <hyperlink r:id="rId2662" ref="BS44"/>
    <hyperlink r:id="rId2663" ref="BT44"/>
    <hyperlink r:id="rId2664" ref="BU44"/>
    <hyperlink r:id="rId2665" ref="BV44"/>
    <hyperlink r:id="rId2666" ref="BW44"/>
    <hyperlink r:id="rId2667" ref="BZ44"/>
    <hyperlink r:id="rId2668" ref="CA44"/>
    <hyperlink r:id="rId2669" ref="CB44"/>
    <hyperlink r:id="rId2670" ref="CC44"/>
    <hyperlink r:id="rId2671" ref="CD44"/>
    <hyperlink r:id="rId2672" ref="CG44"/>
    <hyperlink r:id="rId2673" ref="CH44"/>
    <hyperlink r:id="rId2674" ref="CI44"/>
    <hyperlink r:id="rId2675" ref="CJ44"/>
    <hyperlink r:id="rId2676" ref="CL44"/>
    <hyperlink r:id="rId2677" ref="CM44"/>
    <hyperlink r:id="rId2678" ref="CN44"/>
    <hyperlink r:id="rId2679" ref="CO44"/>
    <hyperlink r:id="rId2680" ref="CQ44"/>
    <hyperlink r:id="rId2681" ref="CS44"/>
    <hyperlink r:id="rId2682" ref="CT44"/>
    <hyperlink r:id="rId2683" ref="CV44"/>
    <hyperlink r:id="rId2684" ref="CW44"/>
    <hyperlink r:id="rId2685" ref="CY44"/>
    <hyperlink r:id="rId2686" ref="CZ44"/>
    <hyperlink r:id="rId2687" ref="DA44"/>
    <hyperlink r:id="rId2688" ref="DB44"/>
    <hyperlink r:id="rId2689" ref="DC44"/>
    <hyperlink r:id="rId2690" ref="DF44"/>
    <hyperlink r:id="rId2691" ref="DG44"/>
    <hyperlink r:id="rId2692" ref="DI44"/>
    <hyperlink r:id="rId2693" ref="DO44"/>
    <hyperlink r:id="rId2694" ref="DP44"/>
    <hyperlink r:id="rId2695" ref="DR44"/>
    <hyperlink r:id="rId2696" ref="DS44"/>
    <hyperlink r:id="rId2697" ref="DX44"/>
    <hyperlink r:id="rId2698" ref="DZ44"/>
    <hyperlink r:id="rId2699" ref="EC44"/>
    <hyperlink r:id="rId2700" ref="Q45"/>
    <hyperlink r:id="rId2701" ref="V45"/>
    <hyperlink r:id="rId2702" ref="AK45"/>
    <hyperlink r:id="rId2703" ref="AQ45"/>
    <hyperlink r:id="rId2704" ref="AR45"/>
    <hyperlink r:id="rId2705" ref="AT45"/>
    <hyperlink r:id="rId2706" ref="AX45"/>
    <hyperlink r:id="rId2707" ref="AY45"/>
    <hyperlink r:id="rId2708" ref="AZ45"/>
    <hyperlink r:id="rId2709" ref="BP45"/>
    <hyperlink r:id="rId2710" ref="BU45"/>
    <hyperlink r:id="rId2711" ref="CA45"/>
    <hyperlink r:id="rId2712" ref="CE45"/>
    <hyperlink r:id="rId2713" ref="CQ45"/>
    <hyperlink r:id="rId2714" ref="CS45"/>
    <hyperlink r:id="rId2715" ref="CT45"/>
    <hyperlink r:id="rId2716" ref="DG45"/>
    <hyperlink r:id="rId2717" ref="DL45"/>
    <hyperlink r:id="rId2718" ref="DY45"/>
    <hyperlink r:id="rId2719" ref="EA45"/>
    <hyperlink r:id="rId2720" ref="K46"/>
    <hyperlink r:id="rId2721" ref="M46"/>
    <hyperlink r:id="rId2722" ref="N46"/>
    <hyperlink r:id="rId2723" ref="O46"/>
    <hyperlink r:id="rId2724" ref="P46"/>
    <hyperlink r:id="rId2725" ref="S46"/>
    <hyperlink r:id="rId2726" ref="X46"/>
    <hyperlink r:id="rId2727" ref="AD46"/>
    <hyperlink r:id="rId2728" ref="AG46"/>
    <hyperlink r:id="rId2729" ref="AN46"/>
    <hyperlink r:id="rId2730" ref="AT46"/>
    <hyperlink r:id="rId2731" ref="BB46"/>
    <hyperlink r:id="rId2732" ref="BD46"/>
    <hyperlink r:id="rId2733" ref="BE46"/>
    <hyperlink r:id="rId2734" ref="BI46"/>
    <hyperlink r:id="rId2735" ref="BL46"/>
    <hyperlink r:id="rId2736" ref="BR46"/>
    <hyperlink r:id="rId2737" ref="BS46"/>
    <hyperlink r:id="rId2738" ref="BT46"/>
    <hyperlink r:id="rId2739" ref="BU46"/>
    <hyperlink r:id="rId2740" ref="BV46"/>
    <hyperlink r:id="rId2741" ref="BW46"/>
    <hyperlink r:id="rId2742" ref="CB46"/>
    <hyperlink r:id="rId2743" ref="CD46"/>
    <hyperlink r:id="rId2744" ref="CE46"/>
    <hyperlink r:id="rId2745" ref="CN46"/>
    <hyperlink r:id="rId2746" ref="CQ46"/>
    <hyperlink r:id="rId2747" ref="CY46"/>
    <hyperlink r:id="rId2748" ref="DB46"/>
    <hyperlink r:id="rId2749" ref="DM46"/>
    <hyperlink r:id="rId2750" ref="DS46"/>
    <hyperlink r:id="rId2751" ref="DZ46"/>
    <hyperlink r:id="rId2752" ref="P47"/>
    <hyperlink r:id="rId2753" ref="Z47"/>
    <hyperlink r:id="rId2754" ref="AA47"/>
    <hyperlink r:id="rId2755" ref="AV47"/>
    <hyperlink r:id="rId2756" ref="BD47"/>
    <hyperlink r:id="rId2757" ref="BE47"/>
    <hyperlink r:id="rId2758" ref="CH47"/>
    <hyperlink r:id="rId2759" ref="CO47"/>
    <hyperlink r:id="rId2760" ref="CX47"/>
    <hyperlink r:id="rId2761" ref="DB47"/>
    <hyperlink r:id="rId2762" ref="DZ47"/>
    <hyperlink r:id="rId2763" ref="I48"/>
    <hyperlink r:id="rId2764" ref="J48"/>
    <hyperlink r:id="rId2765" ref="K48"/>
    <hyperlink r:id="rId2766" ref="L48"/>
    <hyperlink r:id="rId2767" ref="M48"/>
    <hyperlink r:id="rId2768" ref="N48"/>
    <hyperlink r:id="rId2769" ref="O48"/>
    <hyperlink r:id="rId2770" ref="X48"/>
    <hyperlink r:id="rId2771" ref="AA48"/>
    <hyperlink r:id="rId2772" ref="AB48"/>
    <hyperlink r:id="rId2773" ref="AC48"/>
    <hyperlink r:id="rId2774" ref="AG48"/>
    <hyperlink r:id="rId2775" ref="AN48"/>
    <hyperlink r:id="rId2776" ref="AV48"/>
    <hyperlink r:id="rId2777" ref="BB48"/>
    <hyperlink r:id="rId2778" ref="BC48"/>
    <hyperlink r:id="rId2779" ref="BE48"/>
    <hyperlink r:id="rId2780" ref="BI48"/>
    <hyperlink r:id="rId2781" ref="BJ48"/>
    <hyperlink r:id="rId2782" ref="BK48"/>
    <hyperlink r:id="rId2783" ref="BR48"/>
    <hyperlink r:id="rId2784" ref="BT48"/>
    <hyperlink r:id="rId2785" ref="BW48"/>
    <hyperlink r:id="rId2786" ref="BY48"/>
    <hyperlink r:id="rId2787" ref="BZ48"/>
    <hyperlink r:id="rId2788" ref="CA48"/>
    <hyperlink r:id="rId2789" ref="CH48"/>
    <hyperlink r:id="rId2790" ref="CI48"/>
    <hyperlink r:id="rId2791" ref="CJ48"/>
    <hyperlink r:id="rId2792" ref="CM48"/>
    <hyperlink r:id="rId2793" ref="CN48"/>
    <hyperlink r:id="rId2794" ref="CO48"/>
    <hyperlink r:id="rId2795" ref="CV48"/>
    <hyperlink r:id="rId2796" ref="CX48"/>
    <hyperlink r:id="rId2797" ref="CY48"/>
    <hyperlink r:id="rId2798" ref="DB48"/>
    <hyperlink r:id="rId2799" ref="DC48"/>
    <hyperlink r:id="rId2800" ref="DR48"/>
    <hyperlink r:id="rId2801" ref="H50"/>
    <hyperlink r:id="rId2802" ref="J50"/>
    <hyperlink r:id="rId2803" ref="M50"/>
    <hyperlink r:id="rId2804" ref="P50"/>
    <hyperlink r:id="rId2805" ref="R50"/>
    <hyperlink r:id="rId2806" ref="S50"/>
    <hyperlink r:id="rId2807" ref="X50"/>
    <hyperlink r:id="rId2808" ref="Z50"/>
    <hyperlink r:id="rId2809" ref="AB50"/>
    <hyperlink r:id="rId2810" ref="AC50"/>
    <hyperlink r:id="rId2811" ref="AD50"/>
    <hyperlink r:id="rId2812" ref="AF50"/>
    <hyperlink r:id="rId2813" ref="AG50"/>
    <hyperlink r:id="rId2814" ref="AJ50"/>
    <hyperlink r:id="rId2815" ref="AK50"/>
    <hyperlink r:id="rId2816" ref="AN50"/>
    <hyperlink r:id="rId2817" ref="AP50"/>
    <hyperlink r:id="rId2818" ref="AU50"/>
    <hyperlink r:id="rId2819" ref="AY50"/>
    <hyperlink r:id="rId2820" ref="AZ50"/>
    <hyperlink r:id="rId2821" ref="BC50"/>
    <hyperlink r:id="rId2822" ref="BF50"/>
    <hyperlink r:id="rId2823" ref="BJ50"/>
    <hyperlink r:id="rId2824" ref="BL50"/>
    <hyperlink r:id="rId2825" ref="BP50"/>
    <hyperlink r:id="rId2826" ref="BU50"/>
    <hyperlink r:id="rId2827" ref="BW50"/>
    <hyperlink r:id="rId2828" ref="BX50"/>
    <hyperlink r:id="rId2829" ref="BY50"/>
    <hyperlink r:id="rId2830" ref="CA50"/>
    <hyperlink r:id="rId2831" ref="CB50"/>
    <hyperlink r:id="rId2832" ref="CC50"/>
    <hyperlink r:id="rId2833" ref="CD50"/>
    <hyperlink r:id="rId2834" ref="CE50"/>
    <hyperlink r:id="rId2835" ref="CG50"/>
    <hyperlink r:id="rId2836" ref="CI50"/>
    <hyperlink r:id="rId2837" ref="CJ50"/>
    <hyperlink r:id="rId2838" ref="CM50"/>
    <hyperlink r:id="rId2839" ref="CN50"/>
    <hyperlink r:id="rId2840" ref="CO50"/>
    <hyperlink r:id="rId2841" ref="CQ50"/>
    <hyperlink r:id="rId2842" ref="CS50"/>
    <hyperlink r:id="rId2843" ref="CY50"/>
    <hyperlink r:id="rId2844" ref="DC50"/>
    <hyperlink r:id="rId2845" ref="DE50"/>
    <hyperlink r:id="rId2846" ref="DG50"/>
    <hyperlink r:id="rId2847" ref="DR50"/>
    <hyperlink r:id="rId2848" ref="DT50"/>
    <hyperlink r:id="rId2849" ref="DV50"/>
    <hyperlink r:id="rId2850" ref="EC50"/>
    <hyperlink r:id="rId2851" ref="R51"/>
    <hyperlink r:id="rId2852" ref="AC51"/>
    <hyperlink r:id="rId2853" ref="AE51"/>
    <hyperlink r:id="rId2854" ref="AH51"/>
    <hyperlink r:id="rId2855" ref="AI51"/>
    <hyperlink r:id="rId2856" ref="AN51"/>
    <hyperlink r:id="rId2857" ref="AP51"/>
    <hyperlink r:id="rId2858" ref="K52"/>
    <hyperlink r:id="rId2859" ref="N52"/>
    <hyperlink r:id="rId2860" ref="O52"/>
    <hyperlink r:id="rId2861" ref="P52"/>
    <hyperlink r:id="rId2862" ref="AD52"/>
    <hyperlink r:id="rId2863" ref="BI52"/>
    <hyperlink r:id="rId2864" ref="BT52"/>
    <hyperlink r:id="rId2865" ref="BU52"/>
    <hyperlink r:id="rId2866" ref="CH52"/>
    <hyperlink r:id="rId2867" ref="CL52"/>
    <hyperlink r:id="rId2868" ref="CM52"/>
    <hyperlink r:id="rId2869" ref="CN52"/>
    <hyperlink r:id="rId2870" ref="DC52"/>
    <hyperlink r:id="rId2871" ref="DM52"/>
    <hyperlink r:id="rId2872" ref="DP52"/>
    <hyperlink r:id="rId2873" ref="DR52"/>
    <hyperlink r:id="rId2874" ref="ED52"/>
    <hyperlink r:id="rId2875" ref="J53"/>
    <hyperlink r:id="rId2876" ref="K53"/>
    <hyperlink r:id="rId2877" ref="L53"/>
    <hyperlink r:id="rId2878" ref="N53"/>
    <hyperlink r:id="rId2879" ref="O53"/>
    <hyperlink r:id="rId2880" ref="P53"/>
    <hyperlink r:id="rId2881" ref="X53"/>
    <hyperlink r:id="rId2882" ref="Z53"/>
    <hyperlink r:id="rId2883" ref="AB53"/>
    <hyperlink r:id="rId2884" ref="AC53"/>
    <hyperlink r:id="rId2885" ref="AD53"/>
    <hyperlink r:id="rId2886" ref="AN53"/>
    <hyperlink r:id="rId2887" ref="AV53"/>
    <hyperlink r:id="rId2888" ref="BB53"/>
    <hyperlink r:id="rId2889" ref="BC53"/>
    <hyperlink r:id="rId2890" ref="BD53"/>
    <hyperlink r:id="rId2891" ref="BI53"/>
    <hyperlink r:id="rId2892" ref="BK53"/>
    <hyperlink r:id="rId2893" ref="BS53"/>
    <hyperlink r:id="rId2894" ref="BT53"/>
    <hyperlink r:id="rId2895" ref="BV53"/>
    <hyperlink r:id="rId2896" ref="BW53"/>
    <hyperlink r:id="rId2897" ref="CA53"/>
    <hyperlink r:id="rId2898" ref="CG53"/>
    <hyperlink r:id="rId2899" ref="CI53"/>
    <hyperlink r:id="rId2900" ref="CN53"/>
    <hyperlink r:id="rId2901" ref="CV53"/>
    <hyperlink r:id="rId2902" ref="CX53"/>
    <hyperlink r:id="rId2903" ref="CY53"/>
    <hyperlink r:id="rId2904" ref="CZ53"/>
    <hyperlink r:id="rId2905" ref="DA53"/>
    <hyperlink r:id="rId2906" ref="DB53"/>
    <hyperlink r:id="rId2907" ref="DR53"/>
    <hyperlink r:id="rId2908" ref="H54"/>
    <hyperlink r:id="rId2909" ref="I54"/>
    <hyperlink r:id="rId2910" ref="J54"/>
    <hyperlink r:id="rId2911" ref="K54"/>
    <hyperlink r:id="rId2912" ref="P54"/>
    <hyperlink r:id="rId2913" ref="AN54"/>
    <hyperlink r:id="rId2914" ref="BF54"/>
    <hyperlink r:id="rId2915" ref="CG54"/>
    <hyperlink r:id="rId2916" ref="AB55"/>
    <hyperlink r:id="rId2917" ref="AV55"/>
    <hyperlink r:id="rId2918" ref="BS55"/>
    <hyperlink r:id="rId2919" ref="BV55"/>
    <hyperlink r:id="rId2920" ref="CJ55"/>
    <hyperlink r:id="rId2921" ref="CX55"/>
    <hyperlink r:id="rId2922" ref="DB55"/>
    <hyperlink r:id="rId2923" ref="DD55"/>
    <hyperlink r:id="rId2924" ref="DG55"/>
    <hyperlink r:id="rId2925" ref="H56"/>
    <hyperlink r:id="rId2926" ref="I56"/>
    <hyperlink r:id="rId2927" ref="M56"/>
    <hyperlink r:id="rId2928" ref="O56"/>
    <hyperlink r:id="rId2929" ref="AB56"/>
    <hyperlink r:id="rId2930" ref="AE56"/>
    <hyperlink r:id="rId2931" ref="AF56"/>
    <hyperlink r:id="rId2932" ref="AM56"/>
    <hyperlink r:id="rId2933" ref="AN56"/>
    <hyperlink r:id="rId2934" ref="AQ56"/>
    <hyperlink r:id="rId2935" ref="AR56"/>
    <hyperlink r:id="rId2936" ref="AV56"/>
    <hyperlink r:id="rId2937" ref="BE56"/>
    <hyperlink r:id="rId2938" ref="BW56"/>
    <hyperlink r:id="rId2939" ref="CD56"/>
    <hyperlink r:id="rId2940" ref="CV56"/>
    <hyperlink r:id="rId2941" ref="CX56"/>
    <hyperlink r:id="rId2942" ref="CY56"/>
    <hyperlink r:id="rId2943" ref="DB56"/>
    <hyperlink r:id="rId2944" ref="DN56"/>
    <hyperlink r:id="rId2945" ref="K57"/>
    <hyperlink r:id="rId2946" ref="O57"/>
    <hyperlink r:id="rId2947" ref="X57"/>
    <hyperlink r:id="rId2948" ref="BG57"/>
    <hyperlink r:id="rId2949" ref="BU57"/>
    <hyperlink r:id="rId2950" ref="DM57"/>
    <hyperlink r:id="rId2951" ref="K58"/>
    <hyperlink r:id="rId2952" ref="O58"/>
    <hyperlink r:id="rId2953" ref="P58"/>
    <hyperlink r:id="rId2954" ref="Q58"/>
    <hyperlink r:id="rId2955" ref="U58"/>
    <hyperlink r:id="rId2956" ref="X58"/>
    <hyperlink r:id="rId2957" ref="AC58"/>
    <hyperlink r:id="rId2958" ref="BF58"/>
    <hyperlink r:id="rId2959" ref="BG58"/>
    <hyperlink r:id="rId2960" ref="BW58"/>
    <hyperlink r:id="rId2961" ref="CC58"/>
    <hyperlink r:id="rId2962" ref="CD58"/>
    <hyperlink r:id="rId2963" ref="DA58"/>
    <hyperlink r:id="rId2964" ref="DM58"/>
    <hyperlink r:id="rId2965" ref="DZ58"/>
    <hyperlink r:id="rId2966" ref="H59"/>
    <hyperlink r:id="rId2967" ref="I59"/>
    <hyperlink r:id="rId2968" ref="J59"/>
    <hyperlink r:id="rId2969" ref="K59"/>
    <hyperlink r:id="rId2970" ref="L59"/>
    <hyperlink r:id="rId2971" ref="N59"/>
    <hyperlink r:id="rId2972" ref="O59"/>
    <hyperlink r:id="rId2973" ref="P59"/>
    <hyperlink r:id="rId2974" ref="AA59"/>
    <hyperlink r:id="rId2975" ref="AD59"/>
    <hyperlink r:id="rId2976" ref="AF59"/>
    <hyperlink r:id="rId2977" ref="AG59"/>
    <hyperlink r:id="rId2978" ref="AZ59"/>
    <hyperlink r:id="rId2979" ref="BB59"/>
    <hyperlink r:id="rId2980" ref="BC59"/>
    <hyperlink r:id="rId2981" ref="BD59"/>
    <hyperlink r:id="rId2982" ref="BF59"/>
    <hyperlink r:id="rId2983" ref="BL59"/>
    <hyperlink r:id="rId2984" ref="BM59"/>
    <hyperlink r:id="rId2985" ref="BR59"/>
    <hyperlink r:id="rId2986" ref="BS59"/>
    <hyperlink r:id="rId2987" ref="BT59"/>
    <hyperlink r:id="rId2988" ref="BV59"/>
    <hyperlink r:id="rId2989" ref="BW59"/>
    <hyperlink r:id="rId2990" ref="BZ59"/>
    <hyperlink r:id="rId2991" ref="CA59"/>
    <hyperlink r:id="rId2992" ref="CB59"/>
    <hyperlink r:id="rId2993" ref="CC59"/>
    <hyperlink r:id="rId2994" ref="CD59"/>
    <hyperlink r:id="rId2995" ref="CH59"/>
    <hyperlink r:id="rId2996" ref="CQ59"/>
    <hyperlink r:id="rId2997" ref="CS59"/>
    <hyperlink r:id="rId2998" ref="CW59"/>
    <hyperlink r:id="rId2999" ref="DC59"/>
    <hyperlink r:id="rId3000" ref="DM59"/>
    <hyperlink r:id="rId3001" ref="DU59"/>
    <hyperlink r:id="rId3002" ref="H60"/>
    <hyperlink r:id="rId3003" ref="I60"/>
    <hyperlink r:id="rId3004" ref="J60"/>
    <hyperlink r:id="rId3005" ref="K60"/>
    <hyperlink r:id="rId3006" ref="L60"/>
    <hyperlink r:id="rId3007" ref="M60"/>
    <hyperlink r:id="rId3008" ref="N60"/>
    <hyperlink r:id="rId3009" ref="O60"/>
    <hyperlink r:id="rId3010" ref="P60"/>
    <hyperlink r:id="rId3011" ref="S60"/>
    <hyperlink r:id="rId3012" ref="U60"/>
    <hyperlink r:id="rId3013" ref="X60"/>
    <hyperlink r:id="rId3014" ref="Z60"/>
    <hyperlink r:id="rId3015" ref="AA60"/>
    <hyperlink r:id="rId3016" ref="AB60"/>
    <hyperlink r:id="rId3017" ref="AC60"/>
    <hyperlink r:id="rId3018" ref="AD60"/>
    <hyperlink r:id="rId3019" ref="AF60"/>
    <hyperlink r:id="rId3020" ref="AG60"/>
    <hyperlink r:id="rId3021" ref="AJ60"/>
    <hyperlink r:id="rId3022" ref="AN60"/>
    <hyperlink r:id="rId3023" ref="AP60"/>
    <hyperlink r:id="rId3024" ref="AU60"/>
    <hyperlink r:id="rId3025" ref="AV60"/>
    <hyperlink r:id="rId3026" ref="AY60"/>
    <hyperlink r:id="rId3027" ref="BB60"/>
    <hyperlink r:id="rId3028" ref="BC60"/>
    <hyperlink r:id="rId3029" ref="BD60"/>
    <hyperlink r:id="rId3030" ref="BF60"/>
    <hyperlink r:id="rId3031" ref="BG60"/>
    <hyperlink r:id="rId3032" ref="BI60"/>
    <hyperlink r:id="rId3033" ref="BJ60"/>
    <hyperlink r:id="rId3034" ref="BK60"/>
    <hyperlink r:id="rId3035" ref="BL60"/>
    <hyperlink r:id="rId3036" ref="BN60"/>
    <hyperlink r:id="rId3037" ref="BO60"/>
    <hyperlink r:id="rId3038" ref="BR60"/>
    <hyperlink r:id="rId3039" ref="BS60"/>
    <hyperlink r:id="rId3040" ref="BT60"/>
    <hyperlink r:id="rId3041" ref="BU60"/>
    <hyperlink r:id="rId3042" ref="BV60"/>
    <hyperlink r:id="rId3043" ref="BW60"/>
    <hyperlink r:id="rId3044" ref="BY60"/>
    <hyperlink r:id="rId3045" ref="BZ60"/>
    <hyperlink r:id="rId3046" ref="CA60"/>
    <hyperlink r:id="rId3047" ref="CB60"/>
    <hyperlink r:id="rId3048" ref="CC60"/>
    <hyperlink r:id="rId3049" ref="CD60"/>
    <hyperlink r:id="rId3050" ref="CG60"/>
    <hyperlink r:id="rId3051" ref="CH60"/>
    <hyperlink r:id="rId3052" ref="CI60"/>
    <hyperlink r:id="rId3053" ref="CJ60"/>
    <hyperlink r:id="rId3054" ref="CL60"/>
    <hyperlink r:id="rId3055" ref="CM60"/>
    <hyperlink r:id="rId3056" ref="CN60"/>
    <hyperlink r:id="rId3057" ref="CO60"/>
    <hyperlink r:id="rId3058" ref="CS60"/>
    <hyperlink r:id="rId3059" ref="CV60"/>
    <hyperlink r:id="rId3060" ref="CW60"/>
    <hyperlink r:id="rId3061" ref="CX60"/>
    <hyperlink r:id="rId3062" ref="CY60"/>
    <hyperlink r:id="rId3063" ref="CZ60"/>
    <hyperlink r:id="rId3064" ref="DB60"/>
    <hyperlink r:id="rId3065" ref="DC60"/>
    <hyperlink r:id="rId3066" ref="DI60"/>
    <hyperlink r:id="rId3067" ref="DM60"/>
    <hyperlink r:id="rId3068" ref="DP60"/>
    <hyperlink r:id="rId3069" ref="DR60"/>
    <hyperlink r:id="rId3070" ref="DW60"/>
    <hyperlink r:id="rId3071" ref="EA60"/>
    <hyperlink r:id="rId3072" ref="EC60"/>
    <hyperlink r:id="rId3073" ref="ED60"/>
    <hyperlink r:id="rId3074" ref="K61"/>
    <hyperlink r:id="rId3075" ref="L61"/>
    <hyperlink r:id="rId3076" ref="N61"/>
    <hyperlink r:id="rId3077" ref="R61"/>
    <hyperlink r:id="rId3078" ref="U61"/>
    <hyperlink r:id="rId3079" ref="AV61"/>
    <hyperlink r:id="rId3080" ref="BC61"/>
    <hyperlink r:id="rId3081" ref="BD61"/>
    <hyperlink r:id="rId3082" ref="BI61"/>
    <hyperlink r:id="rId3083" ref="BN61"/>
    <hyperlink r:id="rId3084" ref="BR61"/>
    <hyperlink r:id="rId3085" ref="CQ61"/>
    <hyperlink r:id="rId3086" ref="CX61"/>
    <hyperlink r:id="rId3087" ref="DC61"/>
    <hyperlink r:id="rId3088" ref="AF62"/>
    <hyperlink r:id="rId3089" ref="BS62"/>
    <hyperlink r:id="rId3090" ref="DI62"/>
    <hyperlink r:id="rId3091" ref="H63"/>
    <hyperlink r:id="rId3092" ref="I63"/>
    <hyperlink r:id="rId3093" ref="J63"/>
    <hyperlink r:id="rId3094" ref="K63"/>
    <hyperlink r:id="rId3095" ref="L63"/>
    <hyperlink r:id="rId3096" ref="X63"/>
    <hyperlink r:id="rId3097" ref="Z63"/>
    <hyperlink r:id="rId3098" ref="AA63"/>
    <hyperlink r:id="rId3099" ref="AU63"/>
    <hyperlink r:id="rId3100" ref="AV63"/>
    <hyperlink r:id="rId3101" ref="BD63"/>
    <hyperlink r:id="rId3102" ref="BE63"/>
    <hyperlink r:id="rId3103" ref="CH63"/>
    <hyperlink r:id="rId3104" ref="CM63"/>
    <hyperlink r:id="rId3105" ref="CX63"/>
    <hyperlink r:id="rId3106" ref="CG64"/>
    <hyperlink r:id="rId3107" ref="CY64"/>
    <hyperlink r:id="rId3108" ref="H65"/>
    <hyperlink r:id="rId3109" ref="S65"/>
    <hyperlink r:id="rId3110" ref="X65"/>
    <hyperlink r:id="rId3111" ref="AY65"/>
    <hyperlink r:id="rId3112" ref="BE65"/>
    <hyperlink r:id="rId3113" ref="BS65"/>
    <hyperlink r:id="rId3114" ref="CG65"/>
    <hyperlink r:id="rId3115" ref="CW65"/>
    <hyperlink r:id="rId3116" ref="DC65"/>
    <hyperlink r:id="rId3117" ref="DI65"/>
    <hyperlink r:id="rId3118" ref="DS65"/>
    <hyperlink r:id="rId3119" ref="L66"/>
    <hyperlink r:id="rId3120" ref="P66"/>
    <hyperlink r:id="rId3121" ref="S66"/>
    <hyperlink r:id="rId3122" ref="BE66"/>
    <hyperlink r:id="rId3123" ref="BF66"/>
    <hyperlink r:id="rId3124" ref="BN66"/>
    <hyperlink r:id="rId3125" ref="DB66"/>
    <hyperlink r:id="rId3126" ref="J67"/>
    <hyperlink r:id="rId3127" ref="N67"/>
    <hyperlink r:id="rId3128" ref="X67"/>
    <hyperlink r:id="rId3129" ref="Z67"/>
    <hyperlink r:id="rId3130" ref="AB67"/>
    <hyperlink r:id="rId3131" ref="AC67"/>
    <hyperlink r:id="rId3132" ref="AD67"/>
    <hyperlink r:id="rId3133" ref="AG67"/>
    <hyperlink r:id="rId3134" ref="AI67"/>
    <hyperlink r:id="rId3135" ref="AM67"/>
    <hyperlink r:id="rId3136" ref="AV67"/>
    <hyperlink r:id="rId3137" ref="BC67"/>
    <hyperlink r:id="rId3138" ref="BH67"/>
    <hyperlink r:id="rId3139" ref="BJ67"/>
    <hyperlink r:id="rId3140" ref="BK67"/>
    <hyperlink r:id="rId3141" ref="BR67"/>
    <hyperlink r:id="rId3142" ref="BT67"/>
    <hyperlink r:id="rId3143" ref="BY67"/>
    <hyperlink r:id="rId3144" ref="CE67"/>
    <hyperlink r:id="rId3145" ref="CJ67"/>
    <hyperlink r:id="rId3146" ref="CN67"/>
    <hyperlink r:id="rId3147" ref="CO67"/>
    <hyperlink r:id="rId3148" ref="P68"/>
    <hyperlink r:id="rId3149" ref="S68"/>
    <hyperlink r:id="rId3150" ref="U68"/>
    <hyperlink r:id="rId3151" ref="X68"/>
    <hyperlink r:id="rId3152" ref="AB68"/>
    <hyperlink r:id="rId3153" ref="AC68"/>
    <hyperlink r:id="rId3154" ref="AK68"/>
    <hyperlink r:id="rId3155" ref="AN68"/>
    <hyperlink r:id="rId3156" ref="AY68"/>
    <hyperlink r:id="rId3157" ref="BB68"/>
    <hyperlink r:id="rId3158" ref="BD68"/>
    <hyperlink r:id="rId3159" ref="BE68"/>
    <hyperlink r:id="rId3160" ref="BM68"/>
    <hyperlink r:id="rId3161" ref="BN68"/>
    <hyperlink r:id="rId3162" ref="BR68"/>
    <hyperlink r:id="rId3163" ref="BT68"/>
    <hyperlink r:id="rId3164" ref="CB68"/>
    <hyperlink r:id="rId3165" ref="CC68"/>
    <hyperlink r:id="rId3166" ref="CG68"/>
    <hyperlink r:id="rId3167" ref="CH68"/>
    <hyperlink r:id="rId3168" ref="CJ68"/>
    <hyperlink r:id="rId3169" ref="CN68"/>
    <hyperlink r:id="rId3170" ref="CY68"/>
    <hyperlink r:id="rId3171" ref="DE68"/>
    <hyperlink r:id="rId3172" ref="DG68"/>
    <hyperlink r:id="rId3173" ref="DM68"/>
    <hyperlink r:id="rId3174" ref="EC68"/>
    <hyperlink r:id="rId3175" ref="J69"/>
    <hyperlink r:id="rId3176" ref="K69"/>
    <hyperlink r:id="rId3177" ref="N69"/>
    <hyperlink r:id="rId3178" ref="O69"/>
    <hyperlink r:id="rId3179" ref="P69"/>
    <hyperlink r:id="rId3180" ref="X69"/>
    <hyperlink r:id="rId3181" ref="Z69"/>
    <hyperlink r:id="rId3182" ref="AA69"/>
    <hyperlink r:id="rId3183" ref="AB69"/>
    <hyperlink r:id="rId3184" ref="AC69"/>
    <hyperlink r:id="rId3185" ref="AD69"/>
    <hyperlink r:id="rId3186" ref="AG69"/>
    <hyperlink r:id="rId3187" ref="AJ69"/>
    <hyperlink r:id="rId3188" ref="AN69"/>
    <hyperlink r:id="rId3189" ref="AU69"/>
    <hyperlink r:id="rId3190" ref="AV69"/>
    <hyperlink r:id="rId3191" ref="BB69"/>
    <hyperlink r:id="rId3192" ref="BD69"/>
    <hyperlink r:id="rId3193" ref="BE69"/>
    <hyperlink r:id="rId3194" ref="BF69"/>
    <hyperlink r:id="rId3195" ref="BG69"/>
    <hyperlink r:id="rId3196" ref="BI69"/>
    <hyperlink r:id="rId3197" ref="BJ69"/>
    <hyperlink r:id="rId3198" ref="BL69"/>
    <hyperlink r:id="rId3199" ref="BS69"/>
    <hyperlink r:id="rId3200" ref="BT69"/>
    <hyperlink r:id="rId3201" ref="BU69"/>
    <hyperlink r:id="rId3202" ref="BW69"/>
    <hyperlink r:id="rId3203" ref="CA69"/>
    <hyperlink r:id="rId3204" ref="CN69"/>
    <hyperlink r:id="rId3205" ref="CO69"/>
    <hyperlink r:id="rId3206" ref="CW69"/>
    <hyperlink r:id="rId3207" ref="CX69"/>
    <hyperlink r:id="rId3208" ref="CY69"/>
    <hyperlink r:id="rId3209" ref="DC69"/>
    <hyperlink r:id="rId3210" ref="DG69"/>
    <hyperlink r:id="rId3211" ref="DN69"/>
    <hyperlink r:id="rId3212" ref="DR69"/>
    <hyperlink r:id="rId3213" ref="DU69"/>
    <hyperlink r:id="rId3214" ref="DW69"/>
    <hyperlink r:id="rId3215" ref="H70"/>
    <hyperlink r:id="rId3216" ref="I70"/>
    <hyperlink r:id="rId3217" ref="J70"/>
    <hyperlink r:id="rId3218" ref="K70"/>
    <hyperlink r:id="rId3219" ref="L70"/>
    <hyperlink r:id="rId3220" ref="M70"/>
    <hyperlink r:id="rId3221" ref="P70"/>
    <hyperlink r:id="rId3222" ref="X70"/>
    <hyperlink r:id="rId3223" ref="Z70"/>
    <hyperlink r:id="rId3224" ref="AA70"/>
    <hyperlink r:id="rId3225" ref="AB70"/>
    <hyperlink r:id="rId3226" ref="AC70"/>
    <hyperlink r:id="rId3227" ref="AE70"/>
    <hyperlink r:id="rId3228" ref="AG70"/>
    <hyperlink r:id="rId3229" ref="AN70"/>
    <hyperlink r:id="rId3230" ref="AU70"/>
    <hyperlink r:id="rId3231" ref="AV70"/>
    <hyperlink r:id="rId3232" ref="BB70"/>
    <hyperlink r:id="rId3233" ref="BC70"/>
    <hyperlink r:id="rId3234" ref="BF70"/>
    <hyperlink r:id="rId3235" ref="BT70"/>
    <hyperlink r:id="rId3236" ref="CG70"/>
    <hyperlink r:id="rId3237" ref="CH70"/>
    <hyperlink r:id="rId3238" ref="CN70"/>
    <hyperlink r:id="rId3239" ref="CX70"/>
    <hyperlink r:id="rId3240" ref="DI70"/>
    <hyperlink r:id="rId3241" ref="DN70"/>
    <hyperlink r:id="rId3242" ref="DR70"/>
    <hyperlink r:id="rId3243" ref="DW70"/>
    <hyperlink r:id="rId3244" ref="I71"/>
    <hyperlink r:id="rId3245" ref="K71"/>
    <hyperlink r:id="rId3246" ref="N71"/>
    <hyperlink r:id="rId3247" ref="O71"/>
    <hyperlink r:id="rId3248" ref="X71"/>
    <hyperlink r:id="rId3249" ref="Y71"/>
    <hyperlink r:id="rId3250" ref="Z71"/>
    <hyperlink r:id="rId3251" ref="AA71"/>
    <hyperlink r:id="rId3252" ref="AB71"/>
    <hyperlink r:id="rId3253" ref="AC71"/>
    <hyperlink r:id="rId3254" ref="AD71"/>
    <hyperlink r:id="rId3255" ref="AF71"/>
    <hyperlink r:id="rId3256" ref="AG71"/>
    <hyperlink r:id="rId3257" ref="AH71"/>
    <hyperlink r:id="rId3258" ref="AK71"/>
    <hyperlink r:id="rId3259" ref="BD71"/>
    <hyperlink r:id="rId3260" ref="BE71"/>
    <hyperlink r:id="rId3261" ref="BG71"/>
    <hyperlink r:id="rId3262" ref="BI71"/>
    <hyperlink r:id="rId3263" ref="BT71"/>
    <hyperlink r:id="rId3264" ref="CG71"/>
    <hyperlink r:id="rId3265" ref="CH71"/>
    <hyperlink r:id="rId3266" ref="CI71"/>
    <hyperlink r:id="rId3267" ref="CV71"/>
    <hyperlink r:id="rId3268" ref="CX71"/>
    <hyperlink r:id="rId3269" ref="DA71"/>
    <hyperlink r:id="rId3270" ref="DB71"/>
    <hyperlink r:id="rId3271" ref="EA71"/>
    <hyperlink r:id="rId3272" ref="H72"/>
    <hyperlink r:id="rId3273" ref="I72"/>
    <hyperlink r:id="rId3274" ref="J72"/>
    <hyperlink r:id="rId3275" ref="K72"/>
    <hyperlink r:id="rId3276" ref="L72"/>
    <hyperlink r:id="rId3277" ref="M72"/>
    <hyperlink r:id="rId3278" ref="N72"/>
    <hyperlink r:id="rId3279" ref="O72"/>
    <hyperlink r:id="rId3280" ref="P72"/>
    <hyperlink r:id="rId3281" ref="X72"/>
    <hyperlink r:id="rId3282" ref="Z72"/>
    <hyperlink r:id="rId3283" ref="AA72"/>
    <hyperlink r:id="rId3284" ref="AB72"/>
    <hyperlink r:id="rId3285" ref="AC72"/>
    <hyperlink r:id="rId3286" ref="AD72"/>
    <hyperlink r:id="rId3287" ref="AF72"/>
    <hyperlink r:id="rId3288" ref="AG72"/>
    <hyperlink r:id="rId3289" ref="AH72"/>
    <hyperlink r:id="rId3290" ref="AM72"/>
    <hyperlink r:id="rId3291" ref="AN72"/>
    <hyperlink r:id="rId3292" ref="AU72"/>
    <hyperlink r:id="rId3293" ref="AV72"/>
    <hyperlink r:id="rId3294" ref="BB72"/>
    <hyperlink r:id="rId3295" ref="BC72"/>
    <hyperlink r:id="rId3296" ref="BD72"/>
    <hyperlink r:id="rId3297" ref="BE72"/>
    <hyperlink r:id="rId3298" ref="BF72"/>
    <hyperlink r:id="rId3299" ref="BG72"/>
    <hyperlink r:id="rId3300" ref="BH72"/>
    <hyperlink r:id="rId3301" ref="BI72"/>
    <hyperlink r:id="rId3302" ref="BJ72"/>
    <hyperlink r:id="rId3303" ref="BK72"/>
    <hyperlink r:id="rId3304" ref="BL72"/>
    <hyperlink r:id="rId3305" ref="BM72"/>
    <hyperlink r:id="rId3306" ref="BN72"/>
    <hyperlink r:id="rId3307" ref="BO72"/>
    <hyperlink r:id="rId3308" ref="BR72"/>
    <hyperlink r:id="rId3309" ref="BS72"/>
    <hyperlink r:id="rId3310" ref="BT72"/>
    <hyperlink r:id="rId3311" ref="BU72"/>
    <hyperlink r:id="rId3312" ref="BV72"/>
    <hyperlink r:id="rId3313" ref="BW72"/>
    <hyperlink r:id="rId3314" ref="BX72"/>
    <hyperlink r:id="rId3315" ref="BY72"/>
    <hyperlink r:id="rId3316" ref="CA72"/>
    <hyperlink r:id="rId3317" ref="CD72"/>
    <hyperlink r:id="rId3318" ref="CG72"/>
    <hyperlink r:id="rId3319" ref="CH72"/>
    <hyperlink r:id="rId3320" ref="CI72"/>
    <hyperlink r:id="rId3321" ref="CJ72"/>
    <hyperlink r:id="rId3322" ref="CL72"/>
    <hyperlink r:id="rId3323" ref="CM72"/>
    <hyperlink r:id="rId3324" ref="CN72"/>
    <hyperlink r:id="rId3325" ref="CO72"/>
    <hyperlink r:id="rId3326" ref="CV72"/>
    <hyperlink r:id="rId3327" ref="CW72"/>
    <hyperlink r:id="rId3328" ref="CX72"/>
    <hyperlink r:id="rId3329" ref="CY72"/>
    <hyperlink r:id="rId3330" ref="CZ72"/>
    <hyperlink r:id="rId3331" ref="DA72"/>
    <hyperlink r:id="rId3332" ref="DB72"/>
    <hyperlink r:id="rId3333" ref="DC72"/>
    <hyperlink r:id="rId3334" ref="DF72"/>
    <hyperlink r:id="rId3335" ref="DM72"/>
    <hyperlink r:id="rId3336" ref="DN72"/>
    <hyperlink r:id="rId3337" ref="DR72"/>
    <hyperlink r:id="rId3338" ref="DS72"/>
    <hyperlink r:id="rId3339" ref="DW72"/>
    <hyperlink r:id="rId3340" ref="DZ72"/>
    <hyperlink r:id="rId3341" ref="EA72"/>
    <hyperlink r:id="rId3342" ref="H74"/>
    <hyperlink r:id="rId3343" ref="Q74"/>
    <hyperlink r:id="rId3344" ref="V74"/>
    <hyperlink r:id="rId3345" ref="AC74"/>
    <hyperlink r:id="rId3346" ref="AK74"/>
    <hyperlink r:id="rId3347" ref="AO74"/>
    <hyperlink r:id="rId3348" ref="AR74"/>
    <hyperlink r:id="rId3349" ref="AV74"/>
    <hyperlink r:id="rId3350" ref="AW74"/>
    <hyperlink r:id="rId3351" ref="AZ74"/>
    <hyperlink r:id="rId3352" ref="BE74"/>
    <hyperlink r:id="rId3353" ref="BG74"/>
    <hyperlink r:id="rId3354" ref="BI74"/>
    <hyperlink r:id="rId3355" ref="BM74"/>
    <hyperlink r:id="rId3356" ref="BP74"/>
    <hyperlink r:id="rId3357" ref="CB74"/>
    <hyperlink r:id="rId3358" ref="CE74"/>
    <hyperlink r:id="rId3359" ref="CH74"/>
    <hyperlink r:id="rId3360" ref="CT74"/>
    <hyperlink r:id="rId3361" ref="DD74"/>
    <hyperlink r:id="rId3362" ref="DF74"/>
    <hyperlink r:id="rId3363" ref="DG74"/>
    <hyperlink r:id="rId3364" ref="DL74"/>
    <hyperlink r:id="rId3365" ref="DS74"/>
    <hyperlink r:id="rId3366" ref="DZ74"/>
    <hyperlink r:id="rId3367" ref="BX77"/>
    <hyperlink r:id="rId3368" ref="CJ77"/>
    <hyperlink r:id="rId3369" ref="BX79"/>
    <hyperlink r:id="rId3370" ref="H80"/>
    <hyperlink r:id="rId3371" ref="Q80"/>
    <hyperlink r:id="rId3372" ref="AD80"/>
    <hyperlink r:id="rId3373" ref="AF80"/>
    <hyperlink r:id="rId3374" ref="BD80"/>
    <hyperlink r:id="rId3375" ref="BR80"/>
    <hyperlink r:id="rId3376" ref="BU80"/>
    <hyperlink r:id="rId3377" ref="CN80"/>
    <hyperlink r:id="rId3378" ref="CT80"/>
    <hyperlink r:id="rId3379" ref="DG80"/>
    <hyperlink r:id="rId3380" ref="DM80"/>
    <hyperlink r:id="rId3381" ref="EB80"/>
    <hyperlink r:id="rId3382" ref="EC80"/>
    <hyperlink r:id="rId3383" ref="ED80"/>
    <hyperlink r:id="rId3384" ref="M81"/>
    <hyperlink r:id="rId3385" ref="BX81"/>
    <hyperlink r:id="rId3386" ref="I82"/>
    <hyperlink r:id="rId3387" ref="L82"/>
    <hyperlink r:id="rId3388" ref="P82"/>
    <hyperlink r:id="rId3389" ref="X82"/>
    <hyperlink r:id="rId3390" ref="AA82"/>
    <hyperlink r:id="rId3391" ref="AC82"/>
    <hyperlink r:id="rId3392" ref="BE82"/>
    <hyperlink r:id="rId3393" ref="BU82"/>
    <hyperlink r:id="rId3394" ref="BW82"/>
    <hyperlink r:id="rId3395" ref="CN82"/>
    <hyperlink r:id="rId3396" ref="CO82"/>
    <hyperlink r:id="rId3397" ref="DB82"/>
    <hyperlink r:id="rId3398" ref="H83"/>
    <hyperlink r:id="rId3399" ref="I83"/>
    <hyperlink r:id="rId3400" ref="K83"/>
    <hyperlink r:id="rId3401" ref="L83"/>
    <hyperlink r:id="rId3402" ref="M83"/>
    <hyperlink r:id="rId3403" ref="N83"/>
    <hyperlink r:id="rId3404" ref="O83"/>
    <hyperlink r:id="rId3405" ref="P83"/>
    <hyperlink r:id="rId3406" ref="Q83"/>
    <hyperlink r:id="rId3407" ref="X83"/>
    <hyperlink r:id="rId3408" ref="Z83"/>
    <hyperlink r:id="rId3409" ref="AA83"/>
    <hyperlink r:id="rId3410" ref="AD83"/>
    <hyperlink r:id="rId3411" ref="AE83"/>
    <hyperlink r:id="rId3412" ref="AF83"/>
    <hyperlink r:id="rId3413" ref="AG83"/>
    <hyperlink r:id="rId3414" ref="AU83"/>
    <hyperlink r:id="rId3415" ref="AV83"/>
    <hyperlink r:id="rId3416" ref="AW83"/>
    <hyperlink r:id="rId3417" ref="BB83"/>
    <hyperlink r:id="rId3418" ref="BC83"/>
    <hyperlink r:id="rId3419" ref="BD83"/>
    <hyperlink r:id="rId3420" ref="BE83"/>
    <hyperlink r:id="rId3421" ref="BI83"/>
    <hyperlink r:id="rId3422" ref="BL83"/>
    <hyperlink r:id="rId3423" ref="BO83"/>
    <hyperlink r:id="rId3424" ref="BT83"/>
    <hyperlink r:id="rId3425" ref="BU83"/>
    <hyperlink r:id="rId3426" ref="BV83"/>
    <hyperlink r:id="rId3427" ref="BW83"/>
    <hyperlink r:id="rId3428" ref="CA83"/>
    <hyperlink r:id="rId3429" ref="CB83"/>
    <hyperlink r:id="rId3430" ref="CC83"/>
    <hyperlink r:id="rId3431" ref="CH83"/>
    <hyperlink r:id="rId3432" ref="CI83"/>
    <hyperlink r:id="rId3433" ref="CL83"/>
    <hyperlink r:id="rId3434" ref="CM83"/>
    <hyperlink r:id="rId3435" ref="CN83"/>
    <hyperlink r:id="rId3436" ref="CO83"/>
    <hyperlink r:id="rId3437" ref="CW83"/>
    <hyperlink r:id="rId3438" ref="DB83"/>
    <hyperlink r:id="rId3439" ref="DL83"/>
    <hyperlink r:id="rId3440" ref="DM83"/>
    <hyperlink r:id="rId3441" ref="DR83"/>
    <hyperlink r:id="rId3442" ref="DS83"/>
    <hyperlink r:id="rId3443" ref="DT83"/>
    <hyperlink r:id="rId3444" ref="DW83"/>
    <hyperlink r:id="rId3445" ref="ED83"/>
    <hyperlink r:id="rId3446" ref="CI85"/>
    <hyperlink r:id="rId3447" ref="CY85"/>
    <hyperlink r:id="rId3448" ref="H88"/>
    <hyperlink r:id="rId3449" ref="K88"/>
    <hyperlink r:id="rId3450" ref="L88"/>
    <hyperlink r:id="rId3451" ref="M88"/>
    <hyperlink r:id="rId3452" ref="P88"/>
    <hyperlink r:id="rId3453" ref="Q88"/>
    <hyperlink r:id="rId3454" ref="R88"/>
    <hyperlink r:id="rId3455" ref="T88"/>
    <hyperlink r:id="rId3456" ref="V88"/>
    <hyperlink r:id="rId3457" ref="AA88"/>
    <hyperlink r:id="rId3458" ref="AD88"/>
    <hyperlink r:id="rId3459" ref="AF88"/>
    <hyperlink r:id="rId3460" ref="AG88"/>
    <hyperlink r:id="rId3461" ref="AH88"/>
    <hyperlink r:id="rId3462" ref="AI88"/>
    <hyperlink r:id="rId3463" ref="AJ88"/>
    <hyperlink r:id="rId3464" ref="AK88"/>
    <hyperlink r:id="rId3465" ref="AV88"/>
    <hyperlink r:id="rId3466" ref="AX88"/>
    <hyperlink r:id="rId3467" ref="AY88"/>
    <hyperlink r:id="rId3468" ref="BE88"/>
    <hyperlink r:id="rId3469" ref="BG88"/>
    <hyperlink r:id="rId3470" ref="BL88"/>
    <hyperlink r:id="rId3471" ref="BN88"/>
    <hyperlink r:id="rId3472" ref="BO88"/>
    <hyperlink r:id="rId3473" ref="BT88"/>
    <hyperlink r:id="rId3474" ref="CC88"/>
    <hyperlink r:id="rId3475" ref="CG88"/>
    <hyperlink r:id="rId3476" ref="CH88"/>
    <hyperlink r:id="rId3477" ref="CI88"/>
    <hyperlink r:id="rId3478" ref="CN88"/>
    <hyperlink r:id="rId3479" ref="CO88"/>
    <hyperlink r:id="rId3480" ref="CR88"/>
    <hyperlink r:id="rId3481" ref="CS88"/>
    <hyperlink r:id="rId3482" ref="CX88"/>
    <hyperlink r:id="rId3483" ref="CY88"/>
    <hyperlink r:id="rId3484" ref="DB88"/>
    <hyperlink r:id="rId3485" ref="DC88"/>
    <hyperlink r:id="rId3486" ref="DD88"/>
    <hyperlink r:id="rId3487" ref="DE88"/>
    <hyperlink r:id="rId3488" ref="DX88"/>
    <hyperlink r:id="rId3489" ref="BU89"/>
    <hyperlink r:id="rId3490" ref="BW89"/>
    <hyperlink r:id="rId3491" ref="CA89"/>
    <hyperlink r:id="rId3492" ref="P90"/>
    <hyperlink r:id="rId3493" ref="Q90"/>
    <hyperlink r:id="rId3494" ref="R90"/>
    <hyperlink r:id="rId3495" ref="S90"/>
    <hyperlink r:id="rId3496" ref="T90"/>
    <hyperlink r:id="rId3497" ref="U90"/>
    <hyperlink r:id="rId3498" ref="AG90"/>
    <hyperlink r:id="rId3499" ref="AI90"/>
    <hyperlink r:id="rId3500" ref="AJ90"/>
    <hyperlink r:id="rId3501" ref="AK90"/>
    <hyperlink r:id="rId3502" ref="AP90"/>
    <hyperlink r:id="rId3503" ref="AQ90"/>
    <hyperlink r:id="rId3504" ref="AR90"/>
    <hyperlink r:id="rId3505" ref="AT90"/>
    <hyperlink r:id="rId3506" ref="AU90"/>
    <hyperlink r:id="rId3507" ref="AV90"/>
    <hyperlink r:id="rId3508" ref="AX90"/>
    <hyperlink r:id="rId3509" ref="AY90"/>
    <hyperlink r:id="rId3510" ref="AZ90"/>
    <hyperlink r:id="rId3511" ref="BC90"/>
    <hyperlink r:id="rId3512" ref="BS90"/>
    <hyperlink r:id="rId3513" ref="BU90"/>
    <hyperlink r:id="rId3514" ref="CA90"/>
    <hyperlink r:id="rId3515" ref="CI90"/>
    <hyperlink r:id="rId3516" ref="CO90"/>
    <hyperlink r:id="rId3517" ref="CQ90"/>
    <hyperlink r:id="rId3518" ref="CR90"/>
    <hyperlink r:id="rId3519" ref="CX90"/>
    <hyperlink r:id="rId3520" ref="CZ90"/>
    <hyperlink r:id="rId3521" ref="DC90"/>
    <hyperlink r:id="rId3522" ref="DS90"/>
    <hyperlink r:id="rId3523" ref="ED90"/>
    <hyperlink r:id="rId3524" ref="J91"/>
    <hyperlink r:id="rId3525" ref="K91"/>
    <hyperlink r:id="rId3526" ref="AN91"/>
    <hyperlink r:id="rId3527" ref="BR91"/>
    <hyperlink r:id="rId3528" ref="BS91"/>
    <hyperlink r:id="rId3529" ref="BT91"/>
    <hyperlink r:id="rId3530" ref="BU91"/>
    <hyperlink r:id="rId3531" ref="BV91"/>
    <hyperlink r:id="rId3532" ref="BW91"/>
    <hyperlink r:id="rId3533" ref="BX91"/>
    <hyperlink r:id="rId3534" ref="CA91"/>
    <hyperlink r:id="rId3535" ref="CB91"/>
    <hyperlink r:id="rId3536" ref="CC91"/>
    <hyperlink r:id="rId3537" ref="I92"/>
    <hyperlink r:id="rId3538" ref="J92"/>
    <hyperlink r:id="rId3539" ref="K92"/>
    <hyperlink r:id="rId3540" ref="L92"/>
    <hyperlink r:id="rId3541" ref="M92"/>
    <hyperlink r:id="rId3542" ref="N92"/>
    <hyperlink r:id="rId3543" ref="O92"/>
    <hyperlink r:id="rId3544" ref="P92"/>
    <hyperlink r:id="rId3545" ref="X92"/>
    <hyperlink r:id="rId3546" ref="AA92"/>
    <hyperlink r:id="rId3547" ref="AB92"/>
    <hyperlink r:id="rId3548" ref="AC92"/>
    <hyperlink r:id="rId3549" ref="AD92"/>
    <hyperlink r:id="rId3550" ref="AG92"/>
    <hyperlink r:id="rId3551" ref="AU92"/>
    <hyperlink r:id="rId3552" ref="AV92"/>
    <hyperlink r:id="rId3553" ref="BC92"/>
    <hyperlink r:id="rId3554" ref="BD92"/>
    <hyperlink r:id="rId3555" ref="BE92"/>
    <hyperlink r:id="rId3556" ref="BF92"/>
    <hyperlink r:id="rId3557" ref="BI92"/>
    <hyperlink r:id="rId3558" ref="BK92"/>
    <hyperlink r:id="rId3559" ref="BL92"/>
    <hyperlink r:id="rId3560" ref="BR92"/>
    <hyperlink r:id="rId3561" ref="BS92"/>
    <hyperlink r:id="rId3562" ref="BT92"/>
    <hyperlink r:id="rId3563" ref="BU92"/>
    <hyperlink r:id="rId3564" ref="BW92"/>
    <hyperlink r:id="rId3565" ref="BZ92"/>
    <hyperlink r:id="rId3566" ref="CA92"/>
    <hyperlink r:id="rId3567" ref="CH92"/>
    <hyperlink r:id="rId3568" ref="CN92"/>
    <hyperlink r:id="rId3569" ref="CO92"/>
    <hyperlink r:id="rId3570" ref="CV92"/>
    <hyperlink r:id="rId3571" ref="CX92"/>
    <hyperlink r:id="rId3572" ref="CY92"/>
    <hyperlink r:id="rId3573" ref="CZ92"/>
    <hyperlink r:id="rId3574" ref="DB92"/>
    <hyperlink r:id="rId3575" ref="DC92"/>
    <hyperlink r:id="rId3576" ref="DI92"/>
    <hyperlink r:id="rId3577" ref="DM92"/>
    <hyperlink r:id="rId3578" ref="DR92"/>
    <hyperlink r:id="rId3579" ref="DS92"/>
    <hyperlink r:id="rId3580" ref="EB92"/>
    <hyperlink r:id="rId3581" ref="ED92"/>
    <hyperlink r:id="rId3582" ref="I93"/>
    <hyperlink r:id="rId3583" ref="AC93"/>
    <hyperlink r:id="rId3584" ref="AV93"/>
    <hyperlink r:id="rId3585" ref="AJ94"/>
    <hyperlink r:id="rId3586" ref="AV94"/>
    <hyperlink r:id="rId3587" ref="CE94"/>
    <hyperlink r:id="rId3588" ref="CT94"/>
    <hyperlink r:id="rId3589" ref="CW94"/>
    <hyperlink r:id="rId3590" ref="DD94"/>
    <hyperlink r:id="rId3591" ref="DO94"/>
    <hyperlink r:id="rId3592" ref="P95"/>
    <hyperlink r:id="rId3593" ref="AA95"/>
    <hyperlink r:id="rId3594" ref="AB95"/>
    <hyperlink r:id="rId3595" ref="AC95"/>
    <hyperlink r:id="rId3596" ref="AG95"/>
    <hyperlink r:id="rId3597" ref="AY95"/>
    <hyperlink r:id="rId3598" ref="BE95"/>
    <hyperlink r:id="rId3599" ref="BT95"/>
    <hyperlink r:id="rId3600" ref="CA95"/>
    <hyperlink r:id="rId3601" ref="CB95"/>
    <hyperlink r:id="rId3602" ref="CD95"/>
    <hyperlink r:id="rId3603" ref="CH95"/>
    <hyperlink r:id="rId3604" ref="CO95"/>
    <hyperlink r:id="rId3605" ref="DG95"/>
    <hyperlink r:id="rId3606" ref="I96"/>
    <hyperlink r:id="rId3607" ref="J96"/>
    <hyperlink r:id="rId3608" ref="K96"/>
    <hyperlink r:id="rId3609" ref="L96"/>
    <hyperlink r:id="rId3610" ref="M96"/>
    <hyperlink r:id="rId3611" ref="N96"/>
    <hyperlink r:id="rId3612" ref="O96"/>
    <hyperlink r:id="rId3613" ref="P96"/>
    <hyperlink r:id="rId3614" ref="Q96"/>
    <hyperlink r:id="rId3615" ref="S96"/>
    <hyperlink r:id="rId3616" ref="T96"/>
    <hyperlink r:id="rId3617" ref="X96"/>
    <hyperlink r:id="rId3618" ref="AA96"/>
    <hyperlink r:id="rId3619" ref="AC96"/>
    <hyperlink r:id="rId3620" ref="AF96"/>
    <hyperlink r:id="rId3621" ref="AG96"/>
    <hyperlink r:id="rId3622" ref="AU96"/>
    <hyperlink r:id="rId3623" ref="AV96"/>
    <hyperlink r:id="rId3624" ref="AW96"/>
    <hyperlink r:id="rId3625" ref="AY96"/>
    <hyperlink r:id="rId3626" ref="BE96"/>
    <hyperlink r:id="rId3627" ref="BF96"/>
    <hyperlink r:id="rId3628" ref="BI96"/>
    <hyperlink r:id="rId3629" ref="BK96"/>
    <hyperlink r:id="rId3630" ref="BL96"/>
    <hyperlink r:id="rId3631" ref="BN96"/>
    <hyperlink r:id="rId3632" ref="BR96"/>
    <hyperlink r:id="rId3633" ref="BU96"/>
    <hyperlink r:id="rId3634" ref="CA96"/>
    <hyperlink r:id="rId3635" ref="CB96"/>
    <hyperlink r:id="rId3636" ref="CD96"/>
    <hyperlink r:id="rId3637" ref="CG96"/>
    <hyperlink r:id="rId3638" ref="CH96"/>
    <hyperlink r:id="rId3639" ref="CJ96"/>
    <hyperlink r:id="rId3640" ref="CL96"/>
    <hyperlink r:id="rId3641" ref="CM96"/>
    <hyperlink r:id="rId3642" ref="CO96"/>
    <hyperlink r:id="rId3643" ref="CS96"/>
    <hyperlink r:id="rId3644" ref="CY96"/>
    <hyperlink r:id="rId3645" ref="DC96"/>
    <hyperlink r:id="rId3646" ref="DF96"/>
    <hyperlink r:id="rId3647" ref="DO96"/>
    <hyperlink r:id="rId3648" ref="EA96"/>
    <hyperlink r:id="rId3649" ref="H97"/>
    <hyperlink r:id="rId3650" ref="J97"/>
    <hyperlink r:id="rId3651" ref="K97"/>
    <hyperlink r:id="rId3652" ref="L97"/>
    <hyperlink r:id="rId3653" ref="M97"/>
    <hyperlink r:id="rId3654" ref="N97"/>
    <hyperlink r:id="rId3655" ref="O97"/>
    <hyperlink r:id="rId3656" ref="R97"/>
    <hyperlink r:id="rId3657" ref="S97"/>
    <hyperlink r:id="rId3658" ref="U97"/>
    <hyperlink r:id="rId3659" ref="V97"/>
    <hyperlink r:id="rId3660" ref="AF97"/>
    <hyperlink r:id="rId3661" ref="AG97"/>
    <hyperlink r:id="rId3662" ref="AH97"/>
    <hyperlink r:id="rId3663" ref="AJ97"/>
    <hyperlink r:id="rId3664" ref="AK97"/>
    <hyperlink r:id="rId3665" ref="AM97"/>
    <hyperlink r:id="rId3666" ref="AN97"/>
    <hyperlink r:id="rId3667" ref="AV97"/>
    <hyperlink r:id="rId3668" ref="AW97"/>
    <hyperlink r:id="rId3669" ref="AX97"/>
    <hyperlink r:id="rId3670" ref="AY97"/>
    <hyperlink r:id="rId3671" ref="BC97"/>
    <hyperlink r:id="rId3672" ref="BF97"/>
    <hyperlink r:id="rId3673" ref="BG97"/>
    <hyperlink r:id="rId3674" ref="BH97"/>
    <hyperlink r:id="rId3675" ref="BN97"/>
    <hyperlink r:id="rId3676" ref="BR97"/>
    <hyperlink r:id="rId3677" ref="BU97"/>
    <hyperlink r:id="rId3678" ref="BX97"/>
    <hyperlink r:id="rId3679" ref="CB97"/>
    <hyperlink r:id="rId3680" ref="CG97"/>
    <hyperlink r:id="rId3681" ref="CH97"/>
    <hyperlink r:id="rId3682" ref="CI97"/>
    <hyperlink r:id="rId3683" ref="CL97"/>
    <hyperlink r:id="rId3684" ref="CN97"/>
    <hyperlink r:id="rId3685" ref="CO97"/>
    <hyperlink r:id="rId3686" ref="CT97"/>
    <hyperlink r:id="rId3687" ref="CV97"/>
    <hyperlink r:id="rId3688" ref="CZ97"/>
    <hyperlink r:id="rId3689" ref="DG97"/>
    <hyperlink r:id="rId3690" ref="DM97"/>
    <hyperlink r:id="rId3691" ref="DN97"/>
    <hyperlink r:id="rId3692" ref="DU97"/>
    <hyperlink r:id="rId3693" ref="DY97"/>
    <hyperlink r:id="rId3694" ref="ED97"/>
    <hyperlink r:id="rId3695" ref="J98"/>
    <hyperlink r:id="rId3696" ref="L98"/>
    <hyperlink r:id="rId3697" ref="S98"/>
    <hyperlink r:id="rId3698" ref="AY98"/>
    <hyperlink r:id="rId3699" ref="BL98"/>
    <hyperlink r:id="rId3700" ref="BV98"/>
    <hyperlink r:id="rId3701" ref="CJ98"/>
    <hyperlink r:id="rId3702" ref="DV98"/>
    <hyperlink r:id="rId3703" ref="L99"/>
    <hyperlink r:id="rId3704" ref="P99"/>
    <hyperlink r:id="rId3705" ref="S99"/>
    <hyperlink r:id="rId3706" ref="V99"/>
    <hyperlink r:id="rId3707" ref="X99"/>
    <hyperlink r:id="rId3708" ref="Z99"/>
    <hyperlink r:id="rId3709" ref="AA99"/>
    <hyperlink r:id="rId3710" ref="AB99"/>
    <hyperlink r:id="rId3711" ref="AC99"/>
    <hyperlink r:id="rId3712" ref="AG99"/>
    <hyperlink r:id="rId3713" ref="AP99"/>
    <hyperlink r:id="rId3714" ref="AR99"/>
    <hyperlink r:id="rId3715" ref="AW99"/>
    <hyperlink r:id="rId3716" ref="BD99"/>
    <hyperlink r:id="rId3717" ref="BE99"/>
    <hyperlink r:id="rId3718" ref="BI99"/>
    <hyperlink r:id="rId3719" ref="BN99"/>
    <hyperlink r:id="rId3720" ref="BP99"/>
    <hyperlink r:id="rId3721" ref="BR99"/>
    <hyperlink r:id="rId3722" ref="BU99"/>
    <hyperlink r:id="rId3723" ref="BY99"/>
    <hyperlink r:id="rId3724" ref="CB99"/>
    <hyperlink r:id="rId3725" ref="CE99"/>
    <hyperlink r:id="rId3726" ref="CH99"/>
    <hyperlink r:id="rId3727" ref="CO99"/>
    <hyperlink r:id="rId3728" ref="CT99"/>
    <hyperlink r:id="rId3729" ref="DB99"/>
    <hyperlink r:id="rId3730" ref="DL99"/>
    <hyperlink r:id="rId3731" ref="DM99"/>
    <hyperlink r:id="rId3732" ref="DO99"/>
    <hyperlink r:id="rId3733" ref="DP99"/>
    <hyperlink r:id="rId3734" ref="DQ99"/>
    <hyperlink r:id="rId3735" ref="Z101"/>
    <hyperlink r:id="rId3736" ref="AF101"/>
    <hyperlink r:id="rId3737" ref="CN101"/>
    <hyperlink r:id="rId3738" ref="DM101"/>
    <hyperlink r:id="rId3739" ref="AC102"/>
    <hyperlink r:id="rId3740" ref="BG102"/>
    <hyperlink r:id="rId3741" ref="BI102"/>
    <hyperlink r:id="rId3742" ref="CH102"/>
    <hyperlink r:id="rId3743" ref="DB102"/>
    <hyperlink r:id="rId3744" ref="CJ103"/>
    <hyperlink r:id="rId3745" ref="AC104"/>
    <hyperlink r:id="rId3746" ref="H105"/>
    <hyperlink r:id="rId3747" ref="I105"/>
    <hyperlink r:id="rId3748" ref="J105"/>
    <hyperlink r:id="rId3749" ref="P105"/>
    <hyperlink r:id="rId3750" ref="AU105"/>
    <hyperlink r:id="rId3751" ref="BL105"/>
    <hyperlink r:id="rId3752" ref="CB105"/>
    <hyperlink r:id="rId3753" ref="CX105"/>
    <hyperlink r:id="rId3754" ref="BF108"/>
    <hyperlink r:id="rId3755" ref="CN108"/>
    <hyperlink r:id="rId3756" ref="DA108"/>
    <hyperlink r:id="rId3757" ref="H111"/>
    <hyperlink r:id="rId3758" ref="I111"/>
    <hyperlink r:id="rId3759" ref="J111"/>
    <hyperlink r:id="rId3760" ref="K111"/>
    <hyperlink r:id="rId3761" ref="L111"/>
    <hyperlink r:id="rId3762" ref="P111"/>
    <hyperlink r:id="rId3763" ref="U111"/>
    <hyperlink r:id="rId3764" ref="AA111"/>
    <hyperlink r:id="rId3765" ref="AC111"/>
    <hyperlink r:id="rId3766" ref="AJ111"/>
    <hyperlink r:id="rId3767" ref="AS111"/>
    <hyperlink r:id="rId3768" ref="AW111"/>
    <hyperlink r:id="rId3769" ref="BD111"/>
    <hyperlink r:id="rId3770" ref="BN111"/>
    <hyperlink r:id="rId3771" ref="BO111"/>
    <hyperlink r:id="rId3772" ref="CC111"/>
    <hyperlink r:id="rId3773" ref="CD111"/>
    <hyperlink r:id="rId3774" ref="CS111"/>
    <hyperlink r:id="rId3775" ref="CW111"/>
    <hyperlink r:id="rId3776" ref="DE111"/>
    <hyperlink r:id="rId3777" ref="DP111"/>
    <hyperlink r:id="rId3778" ref="DW111"/>
    <hyperlink r:id="rId3779" ref="J113"/>
    <hyperlink r:id="rId3780" ref="K115"/>
    <hyperlink r:id="rId3781" ref="X115"/>
    <hyperlink r:id="rId3782" ref="BW115"/>
    <hyperlink r:id="rId3783" ref="I116"/>
    <hyperlink r:id="rId3784" ref="L116"/>
    <hyperlink r:id="rId3785" ref="Z116"/>
    <hyperlink r:id="rId3786" ref="BN116"/>
    <hyperlink r:id="rId3787" ref="BW116"/>
    <hyperlink r:id="rId3788" ref="CA116"/>
    <hyperlink r:id="rId3789" ref="CX116"/>
    <hyperlink r:id="rId3790" ref="DM116"/>
    <hyperlink r:id="rId3791" ref="DZ116"/>
    <hyperlink r:id="rId3792" ref="P117"/>
    <hyperlink r:id="rId3793" ref="S117"/>
    <hyperlink r:id="rId3794" ref="V117"/>
    <hyperlink r:id="rId3795" ref="AG117"/>
    <hyperlink r:id="rId3796" ref="AJ117"/>
    <hyperlink r:id="rId3797" ref="AP117"/>
    <hyperlink r:id="rId3798" ref="AU117"/>
    <hyperlink r:id="rId3799" ref="AY117"/>
    <hyperlink r:id="rId3800" ref="BY117"/>
    <hyperlink r:id="rId3801" ref="CA117"/>
    <hyperlink r:id="rId3802" ref="CB117"/>
    <hyperlink r:id="rId3803" ref="CC117"/>
    <hyperlink r:id="rId3804" ref="CO117"/>
    <hyperlink r:id="rId3805" ref="DB117"/>
    <hyperlink r:id="rId3806" ref="DC117"/>
    <hyperlink r:id="rId3807" ref="P121"/>
    <hyperlink r:id="rId3808" ref="Q121"/>
    <hyperlink r:id="rId3809" ref="AG121"/>
    <hyperlink r:id="rId3810" ref="I122"/>
    <hyperlink r:id="rId3811" ref="J122"/>
    <hyperlink r:id="rId3812" ref="K122"/>
    <hyperlink r:id="rId3813" ref="L122"/>
    <hyperlink r:id="rId3814" ref="M122"/>
    <hyperlink r:id="rId3815" ref="N122"/>
    <hyperlink r:id="rId3816" ref="O122"/>
    <hyperlink r:id="rId3817" ref="P122"/>
    <hyperlink r:id="rId3818" ref="X122"/>
    <hyperlink r:id="rId3819" ref="Y122"/>
    <hyperlink r:id="rId3820" ref="Z122"/>
    <hyperlink r:id="rId3821" ref="AA122"/>
    <hyperlink r:id="rId3822" ref="AB122"/>
    <hyperlink r:id="rId3823" ref="AC122"/>
    <hyperlink r:id="rId3824" ref="AD122"/>
    <hyperlink r:id="rId3825" ref="AE122"/>
    <hyperlink r:id="rId3826" ref="AF122"/>
    <hyperlink r:id="rId3827" ref="AG122"/>
    <hyperlink r:id="rId3828" ref="AU122"/>
    <hyperlink r:id="rId3829" ref="AV122"/>
    <hyperlink r:id="rId3830" ref="BB122"/>
    <hyperlink r:id="rId3831" ref="BC122"/>
    <hyperlink r:id="rId3832" ref="BD122"/>
    <hyperlink r:id="rId3833" ref="BE122"/>
    <hyperlink r:id="rId3834" ref="BF122"/>
    <hyperlink r:id="rId3835" ref="BI122"/>
    <hyperlink r:id="rId3836" ref="BK122"/>
    <hyperlink r:id="rId3837" ref="BL122"/>
    <hyperlink r:id="rId3838" ref="BR122"/>
    <hyperlink r:id="rId3839" ref="BS122"/>
    <hyperlink r:id="rId3840" ref="BT122"/>
    <hyperlink r:id="rId3841" ref="BU122"/>
    <hyperlink r:id="rId3842" ref="BV122"/>
    <hyperlink r:id="rId3843" ref="BW122"/>
    <hyperlink r:id="rId3844" ref="BX122"/>
    <hyperlink r:id="rId3845" ref="BZ122"/>
    <hyperlink r:id="rId3846" ref="CA122"/>
    <hyperlink r:id="rId3847" ref="CG122"/>
    <hyperlink r:id="rId3848" ref="CH122"/>
    <hyperlink r:id="rId3849" ref="CI122"/>
    <hyperlink r:id="rId3850" ref="CJ122"/>
    <hyperlink r:id="rId3851" ref="CK122"/>
    <hyperlink r:id="rId3852" ref="CL122"/>
    <hyperlink r:id="rId3853" ref="CM122"/>
    <hyperlink r:id="rId3854" ref="CN122"/>
    <hyperlink r:id="rId3855" ref="CO122"/>
    <hyperlink r:id="rId3856" ref="CV122"/>
    <hyperlink r:id="rId3857" ref="CW122"/>
    <hyperlink r:id="rId3858" ref="CX122"/>
    <hyperlink r:id="rId3859" ref="CY122"/>
    <hyperlink r:id="rId3860" ref="CZ122"/>
    <hyperlink r:id="rId3861" ref="DA122"/>
    <hyperlink r:id="rId3862" ref="DB122"/>
    <hyperlink r:id="rId3863" ref="DC122"/>
    <hyperlink r:id="rId3864" ref="DR122"/>
    <hyperlink r:id="rId3865" ref="DS122"/>
    <hyperlink r:id="rId3866" ref="O123"/>
    <hyperlink r:id="rId3867" ref="AC123"/>
    <hyperlink r:id="rId3868" ref="BE123"/>
    <hyperlink r:id="rId3869" ref="J124"/>
    <hyperlink r:id="rId3870" ref="K124"/>
    <hyperlink r:id="rId3871" ref="P124"/>
    <hyperlink r:id="rId3872" ref="L126"/>
    <hyperlink r:id="rId3873" ref="CH126"/>
    <hyperlink r:id="rId3874" ref="DU126"/>
    <hyperlink r:id="rId3875" ref="EA126"/>
    <hyperlink r:id="rId3876" ref="I128"/>
    <hyperlink r:id="rId3877" ref="J128"/>
    <hyperlink r:id="rId3878" ref="K128"/>
    <hyperlink r:id="rId3879" ref="L128"/>
    <hyperlink r:id="rId3880" ref="M128"/>
    <hyperlink r:id="rId3881" ref="N128"/>
    <hyperlink r:id="rId3882" ref="O128"/>
    <hyperlink r:id="rId3883" ref="X128"/>
    <hyperlink r:id="rId3884" ref="Z128"/>
    <hyperlink r:id="rId3885" ref="AC128"/>
    <hyperlink r:id="rId3886" ref="AG128"/>
    <hyperlink r:id="rId3887" ref="AU128"/>
    <hyperlink r:id="rId3888" ref="AV128"/>
    <hyperlink r:id="rId3889" ref="BB128"/>
    <hyperlink r:id="rId3890" ref="BE128"/>
    <hyperlink r:id="rId3891" ref="BF128"/>
    <hyperlink r:id="rId3892" ref="BI128"/>
    <hyperlink r:id="rId3893" ref="BR128"/>
    <hyperlink r:id="rId3894" ref="BZ128"/>
    <hyperlink r:id="rId3895" ref="CH128"/>
    <hyperlink r:id="rId3896" ref="CI128"/>
    <hyperlink r:id="rId3897" ref="CJ128"/>
    <hyperlink r:id="rId3898" ref="CL128"/>
    <hyperlink r:id="rId3899" ref="CN128"/>
    <hyperlink r:id="rId3900" ref="CV128"/>
    <hyperlink r:id="rId3901" ref="CW128"/>
    <hyperlink r:id="rId3902" ref="CX128"/>
    <hyperlink r:id="rId3903" ref="CY128"/>
    <hyperlink r:id="rId3904" ref="CZ128"/>
    <hyperlink r:id="rId3905" ref="DA128"/>
    <hyperlink r:id="rId3906" ref="DB128"/>
    <hyperlink r:id="rId3907" ref="DC128"/>
    <hyperlink r:id="rId3908" ref="DI128"/>
    <hyperlink r:id="rId3909" ref="DM128"/>
    <hyperlink r:id="rId3910" ref="I129"/>
    <hyperlink r:id="rId3911" ref="K129"/>
    <hyperlink r:id="rId3912" ref="M129"/>
    <hyperlink r:id="rId3913" ref="N129"/>
    <hyperlink r:id="rId3914" ref="O129"/>
    <hyperlink r:id="rId3915" ref="P129"/>
    <hyperlink r:id="rId3916" ref="Z129"/>
    <hyperlink r:id="rId3917" ref="AB129"/>
    <hyperlink r:id="rId3918" ref="AC129"/>
    <hyperlink r:id="rId3919" ref="AD129"/>
    <hyperlink r:id="rId3920" ref="AF129"/>
    <hyperlink r:id="rId3921" ref="AG129"/>
    <hyperlink r:id="rId3922" ref="AU129"/>
    <hyperlink r:id="rId3923" ref="AV129"/>
    <hyperlink r:id="rId3924" ref="CO130"/>
    <hyperlink r:id="rId3925" ref="K131"/>
    <hyperlink r:id="rId3926" ref="O131"/>
    <hyperlink r:id="rId3927" ref="P131"/>
    <hyperlink r:id="rId3928" ref="Z131"/>
    <hyperlink r:id="rId3929" ref="AA131"/>
    <hyperlink r:id="rId3930" ref="AC131"/>
    <hyperlink r:id="rId3931" ref="BW131"/>
    <hyperlink r:id="rId3932" ref="CO131"/>
    <hyperlink r:id="rId3933" ref="CX131"/>
    <hyperlink r:id="rId3934" ref="DB131"/>
    <hyperlink r:id="rId3935" ref="H134"/>
    <hyperlink r:id="rId3936" ref="I134"/>
    <hyperlink r:id="rId3937" ref="J134"/>
    <hyperlink r:id="rId3938" ref="L134"/>
    <hyperlink r:id="rId3939" ref="M134"/>
    <hyperlink r:id="rId3940" ref="P134"/>
    <hyperlink r:id="rId3941" ref="X134"/>
    <hyperlink r:id="rId3942" ref="Z134"/>
    <hyperlink r:id="rId3943" ref="AA134"/>
    <hyperlink r:id="rId3944" ref="AF134"/>
    <hyperlink r:id="rId3945" ref="BF134"/>
    <hyperlink r:id="rId3946" ref="BR134"/>
    <hyperlink r:id="rId3947" ref="BT134"/>
    <hyperlink r:id="rId3948" ref="CA134"/>
    <hyperlink r:id="rId3949" ref="CG134"/>
    <hyperlink r:id="rId3950" ref="CH134"/>
    <hyperlink r:id="rId3951" ref="CJ134"/>
    <hyperlink r:id="rId3952" ref="CM134"/>
    <hyperlink r:id="rId3953" ref="CN134"/>
    <hyperlink r:id="rId3954" ref="DB134"/>
    <hyperlink r:id="rId3955" ref="DI134"/>
    <hyperlink r:id="rId3956" ref="DM134"/>
    <hyperlink r:id="rId3957" ref="L137"/>
    <hyperlink r:id="rId3958" ref="P137"/>
    <hyperlink r:id="rId3959" ref="BI137"/>
    <hyperlink r:id="rId3960" ref="BK137"/>
    <hyperlink r:id="rId3961" ref="BV137"/>
    <hyperlink r:id="rId3962" ref="BW137"/>
    <hyperlink r:id="rId3963" ref="CA137"/>
    <hyperlink r:id="rId3964" ref="DA137"/>
    <hyperlink r:id="rId3965" ref="DB137"/>
    <hyperlink r:id="rId3966" ref="AA138"/>
    <hyperlink r:id="rId3967" ref="CY138"/>
    <hyperlink r:id="rId3968" ref="DC138"/>
    <hyperlink r:id="rId3969" ref="I140"/>
    <hyperlink r:id="rId3970" ref="J140"/>
    <hyperlink r:id="rId3971" ref="K140"/>
    <hyperlink r:id="rId3972" ref="L140"/>
    <hyperlink r:id="rId3973" ref="N140"/>
    <hyperlink r:id="rId3974" ref="P140"/>
    <hyperlink r:id="rId3975" ref="X140"/>
    <hyperlink r:id="rId3976" ref="AU140"/>
    <hyperlink r:id="rId3977" ref="AV140"/>
    <hyperlink r:id="rId3978" ref="BB140"/>
    <hyperlink r:id="rId3979" ref="BE140"/>
    <hyperlink r:id="rId3980" ref="CZ140"/>
    <hyperlink r:id="rId3981" ref="DB140"/>
    <hyperlink r:id="rId3982" ref="Z141"/>
    <hyperlink r:id="rId3983" ref="DB141"/>
    <hyperlink r:id="rId3984" ref="K142"/>
    <hyperlink r:id="rId3985" ref="CG142"/>
    <hyperlink r:id="rId3986" ref="L146"/>
    <hyperlink r:id="rId3987" ref="Q146"/>
    <hyperlink r:id="rId3988" ref="S146"/>
    <hyperlink r:id="rId3989" ref="AJ146"/>
    <hyperlink r:id="rId3990" ref="AK146"/>
    <hyperlink r:id="rId3991" ref="BN146"/>
    <hyperlink r:id="rId3992" ref="CC146"/>
    <hyperlink r:id="rId3993" ref="CD146"/>
    <hyperlink r:id="rId3994" ref="CH146"/>
    <hyperlink r:id="rId3995" ref="CT146"/>
    <hyperlink r:id="rId3996" ref="DB146"/>
    <hyperlink r:id="rId3997" ref="DG146"/>
    <hyperlink r:id="rId3998" ref="P147"/>
    <hyperlink r:id="rId3999" ref="Z147"/>
    <hyperlink r:id="rId4000" ref="O148"/>
    <hyperlink r:id="rId4001" ref="P148"/>
    <hyperlink r:id="rId4002" ref="AA148"/>
    <hyperlink r:id="rId4003" ref="AC148"/>
    <hyperlink r:id="rId4004" ref="AG148"/>
    <hyperlink r:id="rId4005" ref="AU148"/>
    <hyperlink r:id="rId4006" ref="BD148"/>
    <hyperlink r:id="rId4007" ref="BI148"/>
    <hyperlink r:id="rId4008" ref="BL148"/>
    <hyperlink r:id="rId4009" ref="BU148"/>
    <hyperlink r:id="rId4010" ref="BW148"/>
    <hyperlink r:id="rId4011" ref="CA148"/>
    <hyperlink r:id="rId4012" ref="CJ148"/>
    <hyperlink r:id="rId4013" ref="CL148"/>
    <hyperlink r:id="rId4014" ref="CO148"/>
    <hyperlink r:id="rId4015" ref="CV148"/>
    <hyperlink r:id="rId4016" ref="CW148"/>
    <hyperlink r:id="rId4017" ref="DC148"/>
    <hyperlink r:id="rId4018" ref="DM148"/>
    <hyperlink r:id="rId4019" ref="K150"/>
    <hyperlink r:id="rId4020" ref="L150"/>
    <hyperlink r:id="rId4021" ref="O150"/>
    <hyperlink r:id="rId4022" ref="P150"/>
    <hyperlink r:id="rId4023" ref="AA150"/>
    <hyperlink r:id="rId4024" ref="AC150"/>
    <hyperlink r:id="rId4025" ref="AG150"/>
    <hyperlink r:id="rId4026" ref="AN150"/>
    <hyperlink r:id="rId4027" ref="AU150"/>
    <hyperlink r:id="rId4028" ref="AW150"/>
    <hyperlink r:id="rId4029" ref="BD150"/>
    <hyperlink r:id="rId4030" ref="BI150"/>
    <hyperlink r:id="rId4031" ref="BW150"/>
    <hyperlink r:id="rId4032" ref="CH150"/>
    <hyperlink r:id="rId4033" ref="CX150"/>
    <hyperlink r:id="rId4034" ref="DM150"/>
    <hyperlink r:id="rId4035" ref="J152"/>
    <hyperlink r:id="rId4036" ref="Z152"/>
    <hyperlink r:id="rId4037" ref="BU152"/>
    <hyperlink r:id="rId4038" ref="CH152"/>
    <hyperlink r:id="rId4039" ref="I155"/>
    <hyperlink r:id="rId4040" ref="J155"/>
    <hyperlink r:id="rId4041" ref="K155"/>
    <hyperlink r:id="rId4042" ref="L155"/>
    <hyperlink r:id="rId4043" ref="AC155"/>
    <hyperlink r:id="rId4044" ref="BI155"/>
    <hyperlink r:id="rId4045" ref="AD157"/>
    <hyperlink r:id="rId4046" ref="BI157"/>
    <hyperlink r:id="rId4047" ref="K159"/>
    <hyperlink r:id="rId4048" ref="L159"/>
    <hyperlink r:id="rId4049" ref="AA159"/>
    <hyperlink r:id="rId4050" ref="BT159"/>
    <hyperlink r:id="rId4051" ref="BU159"/>
    <hyperlink r:id="rId4052" ref="CH159"/>
    <hyperlink r:id="rId4053" ref="DC159"/>
    <hyperlink r:id="rId4054" ref="AC161"/>
    <hyperlink r:id="rId4055" ref="BC161"/>
    <hyperlink r:id="rId4056" ref="AA162"/>
    <hyperlink r:id="rId4057" ref="AV162"/>
    <hyperlink r:id="rId4058" ref="CO162"/>
    <hyperlink r:id="rId4059" ref="DA162"/>
    <hyperlink r:id="rId4060" ref="DB162"/>
    <hyperlink r:id="rId4061" ref="BD164"/>
    <hyperlink r:id="rId4062" ref="K165"/>
    <hyperlink r:id="rId4063" ref="L165"/>
    <hyperlink r:id="rId4064" ref="S165"/>
    <hyperlink r:id="rId4065" ref="Z165"/>
    <hyperlink r:id="rId4066" ref="AC165"/>
    <hyperlink r:id="rId4067" ref="AE165"/>
    <hyperlink r:id="rId4068" ref="AF165"/>
    <hyperlink r:id="rId4069" ref="AJ165"/>
    <hyperlink r:id="rId4070" ref="AM165"/>
    <hyperlink r:id="rId4071" ref="AN165"/>
    <hyperlink r:id="rId4072" ref="AV165"/>
    <hyperlink r:id="rId4073" ref="CW165"/>
    <hyperlink r:id="rId4074" ref="DB165"/>
    <hyperlink r:id="rId4075" ref="DI165"/>
    <hyperlink r:id="rId4076" ref="K168"/>
    <hyperlink r:id="rId4077" ref="L168"/>
    <hyperlink r:id="rId4078" ref="X168"/>
    <hyperlink r:id="rId4079" ref="AA168"/>
    <hyperlink r:id="rId4080" ref="AB168"/>
    <hyperlink r:id="rId4081" ref="AC168"/>
    <hyperlink r:id="rId4082" ref="AD168"/>
    <hyperlink r:id="rId4083" ref="AG168"/>
    <hyperlink r:id="rId4084" ref="AU168"/>
    <hyperlink r:id="rId4085" ref="AV168"/>
    <hyperlink r:id="rId4086" ref="BC168"/>
    <hyperlink r:id="rId4087" ref="BE168"/>
    <hyperlink r:id="rId4088" ref="BF168"/>
    <hyperlink r:id="rId4089" ref="BG168"/>
    <hyperlink r:id="rId4090" ref="BR168"/>
    <hyperlink r:id="rId4091" ref="BT168"/>
    <hyperlink r:id="rId4092" ref="BU168"/>
    <hyperlink r:id="rId4093" ref="BY168"/>
    <hyperlink r:id="rId4094" ref="CA168"/>
    <hyperlink r:id="rId4095" ref="CG168"/>
    <hyperlink r:id="rId4096" ref="CH168"/>
    <hyperlink r:id="rId4097" ref="CI168"/>
    <hyperlink r:id="rId4098" ref="CM168"/>
    <hyperlink r:id="rId4099" ref="CN168"/>
    <hyperlink r:id="rId4100" ref="CO168"/>
    <hyperlink r:id="rId4101" ref="CV168"/>
    <hyperlink r:id="rId4102" ref="CX168"/>
    <hyperlink r:id="rId4103" ref="CY168"/>
    <hyperlink r:id="rId4104" ref="DB168"/>
    <hyperlink r:id="rId4105" ref="DC168"/>
    <hyperlink r:id="rId4106" ref="DS168"/>
    <hyperlink r:id="rId4107" ref="AC169"/>
    <hyperlink r:id="rId4108" ref="BI169"/>
    <hyperlink r:id="rId4109" ref="CG169"/>
    <hyperlink r:id="rId4110" ref="CO169"/>
    <hyperlink r:id="rId4111" ref="DB169"/>
    <hyperlink r:id="rId4112" ref="CG170"/>
    <hyperlink r:id="rId4113" ref="K172"/>
    <hyperlink r:id="rId4114" ref="BL172"/>
    <hyperlink r:id="rId4115" ref="CX172"/>
    <hyperlink r:id="rId4116" ref="DC172"/>
    <hyperlink r:id="rId4117" ref="AH173"/>
    <hyperlink r:id="rId4118" ref="DE173"/>
    <hyperlink r:id="rId4119" ref="DM176"/>
    <hyperlink r:id="rId4120" ref="T178"/>
    <hyperlink r:id="rId4121" ref="BF178"/>
    <hyperlink r:id="rId4122" ref="BT178"/>
    <hyperlink r:id="rId4123" ref="CT178"/>
    <hyperlink r:id="rId4124" ref="P179"/>
    <hyperlink r:id="rId4125" ref="X179"/>
    <hyperlink r:id="rId4126" ref="AA179"/>
    <hyperlink r:id="rId4127" ref="AG179"/>
    <hyperlink r:id="rId4128" ref="AU179"/>
    <hyperlink r:id="rId4129" ref="BU179"/>
    <hyperlink r:id="rId4130" ref="AS180"/>
    <hyperlink r:id="rId4131" ref="CL180"/>
    <hyperlink r:id="rId4132" ref="CN180"/>
    <hyperlink r:id="rId4133" ref="CW180"/>
    <hyperlink r:id="rId4134" ref="K183"/>
    <hyperlink r:id="rId4135" ref="X183"/>
    <hyperlink r:id="rId4136" ref="AA183"/>
    <hyperlink r:id="rId4137" ref="BW183"/>
    <hyperlink r:id="rId4138" ref="CA183"/>
    <hyperlink r:id="rId4139" ref="CG183"/>
    <hyperlink r:id="rId4140" ref="CN183"/>
    <hyperlink r:id="rId4141" ref="CO183"/>
    <hyperlink r:id="rId4142" ref="DB183"/>
    <hyperlink r:id="rId4143" ref="Z184"/>
    <hyperlink r:id="rId4144" ref="AS189"/>
    <hyperlink r:id="rId4145" ref="BW189"/>
    <hyperlink r:id="rId4146" ref="CD189"/>
    <hyperlink r:id="rId4147" ref="I191"/>
    <hyperlink r:id="rId4148" ref="K191"/>
    <hyperlink r:id="rId4149" ref="K193"/>
    <hyperlink r:id="rId4150" ref="DB194"/>
    <hyperlink r:id="rId4151" ref="AC195"/>
    <hyperlink r:id="rId4152" ref="X197"/>
    <hyperlink r:id="rId4153" ref="AE197"/>
    <hyperlink r:id="rId4154" ref="DM197"/>
    <hyperlink r:id="rId4155" ref="P198"/>
    <hyperlink r:id="rId4156" ref="AG198"/>
    <hyperlink r:id="rId4157" ref="H200"/>
    <hyperlink r:id="rId4158" ref="K200"/>
    <hyperlink r:id="rId4159" ref="BD200"/>
    <hyperlink r:id="rId4160" ref="AB207"/>
    <hyperlink r:id="rId4161" ref="BI208"/>
    <hyperlink r:id="rId4162" ref="J209"/>
    <hyperlink r:id="rId4163" ref="K209"/>
    <hyperlink r:id="rId4164" ref="L209"/>
    <hyperlink r:id="rId4165" ref="K211"/>
    <hyperlink r:id="rId4166" ref="AI213"/>
    <hyperlink r:id="rId4167" ref="EA214"/>
    <hyperlink r:id="rId4168" ref="BD215"/>
    <hyperlink r:id="rId4169" ref="DM215"/>
    <hyperlink r:id="rId4170" ref="H216"/>
    <hyperlink r:id="rId4171" ref="K216"/>
    <hyperlink r:id="rId4172" ref="Z216"/>
    <hyperlink r:id="rId4173" ref="AN216"/>
    <hyperlink r:id="rId4174" ref="AP216"/>
    <hyperlink r:id="rId4175" ref="AY216"/>
    <hyperlink r:id="rId4176" ref="BB216"/>
    <hyperlink r:id="rId4177" ref="BD216"/>
    <hyperlink r:id="rId4178" ref="BN216"/>
    <hyperlink r:id="rId4179" ref="CG216"/>
    <hyperlink r:id="rId4180" ref="DO216"/>
    <hyperlink r:id="rId4181" ref="DP216"/>
    <hyperlink r:id="rId4182" ref="DQ216"/>
    <hyperlink r:id="rId4183" ref="ED216"/>
    <hyperlink r:id="rId4184" ref="H225"/>
    <hyperlink r:id="rId4185" ref="AW225"/>
  </hyperlinks>
  <drawing r:id="rId4186"/>
  <legacyDrawing r:id="rId4187"/>
  <tableParts count="3">
    <tablePart r:id="rId4191"/>
    <tablePart r:id="rId4192"/>
    <tablePart r:id="rId419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4.0"/>
    <col customWidth="1" min="2" max="2" width="30.75"/>
    <col customWidth="1" min="3" max="3" width="7.63"/>
    <col customWidth="1" min="4" max="4" width="7.75"/>
    <col customWidth="1" min="5" max="12" width="7.63"/>
    <col customWidth="1" min="13" max="13" width="9.63"/>
    <col customWidth="1" min="14" max="43" width="7.63"/>
    <col customWidth="1" min="44" max="44" width="9.88"/>
    <col customWidth="1" min="45" max="47" width="7.63"/>
    <col customWidth="1" min="48" max="48" width="9.25"/>
    <col customWidth="1" min="49" max="50" width="7.63"/>
    <col customWidth="1" min="51" max="51" width="12.13"/>
    <col customWidth="1" min="52" max="53" width="7.63"/>
    <col customWidth="1" min="54" max="54" width="10.63"/>
    <col customWidth="1" min="55" max="64" width="7.63"/>
    <col customWidth="1" min="65" max="65" width="9.88"/>
    <col customWidth="1" min="66" max="66" width="10.25"/>
    <col customWidth="1" min="67" max="76" width="7.63"/>
  </cols>
  <sheetData>
    <row r="1" ht="15.75" customHeight="1">
      <c r="A1" s="35" t="s">
        <v>43</v>
      </c>
      <c r="B1" s="37"/>
      <c r="C1" s="40" t="s">
        <v>49</v>
      </c>
      <c r="D1" s="42" t="s">
        <v>52</v>
      </c>
      <c r="E1" s="44" t="s">
        <v>55</v>
      </c>
      <c r="F1" s="47" t="s">
        <v>58</v>
      </c>
      <c r="G1" s="44" t="s">
        <v>65</v>
      </c>
      <c r="H1" s="44" t="s">
        <v>67</v>
      </c>
      <c r="I1" s="44" t="s">
        <v>69</v>
      </c>
      <c r="J1" s="47" t="s">
        <v>70</v>
      </c>
      <c r="K1" s="44" t="s">
        <v>71</v>
      </c>
      <c r="L1" s="44" t="s">
        <v>72</v>
      </c>
      <c r="M1" s="55" t="s">
        <v>75</v>
      </c>
      <c r="N1" s="47" t="s">
        <v>77</v>
      </c>
      <c r="O1" s="44" t="s">
        <v>78</v>
      </c>
      <c r="P1" s="44" t="s">
        <v>80</v>
      </c>
      <c r="Q1" s="44" t="s">
        <v>82</v>
      </c>
      <c r="R1" s="64" t="s">
        <v>84</v>
      </c>
      <c r="S1" s="44" t="s">
        <v>88</v>
      </c>
      <c r="T1" s="44" t="s">
        <v>89</v>
      </c>
      <c r="U1" s="44" t="s">
        <v>90</v>
      </c>
      <c r="V1" s="44" t="s">
        <v>91</v>
      </c>
      <c r="W1" s="47" t="s">
        <v>92</v>
      </c>
      <c r="X1" s="44" t="s">
        <v>93</v>
      </c>
      <c r="Y1" s="65" t="s">
        <v>94</v>
      </c>
      <c r="Z1" s="44" t="s">
        <v>95</v>
      </c>
      <c r="AA1" s="44" t="s">
        <v>96</v>
      </c>
      <c r="AB1" s="44" t="s">
        <v>98</v>
      </c>
      <c r="AC1" s="44" t="s">
        <v>99</v>
      </c>
      <c r="AD1" s="44" t="s">
        <v>100</v>
      </c>
      <c r="AE1" s="65" t="s">
        <v>101</v>
      </c>
      <c r="AF1" s="44" t="s">
        <v>102</v>
      </c>
      <c r="AG1" s="44" t="s">
        <v>104</v>
      </c>
      <c r="AH1" s="44" t="s">
        <v>106</v>
      </c>
      <c r="AI1" s="44" t="s">
        <v>107</v>
      </c>
      <c r="AJ1" s="44" t="s">
        <v>108</v>
      </c>
      <c r="AK1" s="44" t="s">
        <v>109</v>
      </c>
      <c r="AL1" s="44" t="s">
        <v>110</v>
      </c>
      <c r="AM1" s="44" t="s">
        <v>111</v>
      </c>
      <c r="AN1" s="44" t="s">
        <v>112</v>
      </c>
      <c r="AO1" s="44" t="s">
        <v>113</v>
      </c>
      <c r="AP1" s="44" t="s">
        <v>115</v>
      </c>
      <c r="AQ1" s="44" t="s">
        <v>116</v>
      </c>
      <c r="AR1" s="65" t="s">
        <v>117</v>
      </c>
      <c r="AS1" s="44" t="s">
        <v>118</v>
      </c>
      <c r="AT1" s="44" t="s">
        <v>119</v>
      </c>
      <c r="AU1" s="44" t="s">
        <v>120</v>
      </c>
      <c r="AV1" s="44" t="s">
        <v>121</v>
      </c>
      <c r="AW1" s="44" t="s">
        <v>122</v>
      </c>
      <c r="AX1" s="65" t="s">
        <v>124</v>
      </c>
      <c r="AY1" s="44" t="s">
        <v>126</v>
      </c>
      <c r="AZ1" s="44" t="s">
        <v>128</v>
      </c>
      <c r="BA1" s="44" t="s">
        <v>129</v>
      </c>
      <c r="BB1" s="44" t="s">
        <v>130</v>
      </c>
      <c r="BC1" s="44" t="s">
        <v>131</v>
      </c>
      <c r="BD1" s="44" t="s">
        <v>132</v>
      </c>
      <c r="BE1" s="65" t="s">
        <v>134</v>
      </c>
      <c r="BF1" s="44" t="s">
        <v>136</v>
      </c>
      <c r="BG1" s="44" t="s">
        <v>137</v>
      </c>
      <c r="BH1" s="47" t="s">
        <v>138</v>
      </c>
      <c r="BI1" s="44" t="s">
        <v>139</v>
      </c>
      <c r="BJ1" s="44" t="s">
        <v>140</v>
      </c>
      <c r="BK1" s="44" t="s">
        <v>141</v>
      </c>
      <c r="BL1" s="65" t="s">
        <v>143</v>
      </c>
      <c r="BM1" s="65" t="s">
        <v>144</v>
      </c>
      <c r="BN1" s="65" t="s">
        <v>145</v>
      </c>
      <c r="BO1" s="65" t="s">
        <v>146</v>
      </c>
      <c r="BP1" s="65" t="s">
        <v>147</v>
      </c>
      <c r="BQ1" s="65" t="s">
        <v>148</v>
      </c>
      <c r="BR1" s="81"/>
      <c r="BS1" s="81"/>
      <c r="BT1" s="81"/>
      <c r="BU1" s="81"/>
      <c r="BV1" s="81"/>
      <c r="BW1" s="81"/>
      <c r="BX1" s="81"/>
    </row>
    <row r="2" ht="15.75" customHeight="1">
      <c r="A2" s="83" t="s">
        <v>150</v>
      </c>
      <c r="C2" s="85"/>
      <c r="D2" s="89">
        <f t="shared" ref="D2:BX2" si="1">COUNTIF(D4:D361,"*")</f>
        <v>202</v>
      </c>
      <c r="E2" s="89">
        <f t="shared" si="1"/>
        <v>175</v>
      </c>
      <c r="F2" s="89">
        <f t="shared" si="1"/>
        <v>149</v>
      </c>
      <c r="G2" s="89">
        <f t="shared" si="1"/>
        <v>148</v>
      </c>
      <c r="H2" s="89">
        <f t="shared" si="1"/>
        <v>125</v>
      </c>
      <c r="I2" s="89">
        <f t="shared" si="1"/>
        <v>111</v>
      </c>
      <c r="J2" s="89">
        <f t="shared" si="1"/>
        <v>91</v>
      </c>
      <c r="K2" s="89">
        <f t="shared" si="1"/>
        <v>91</v>
      </c>
      <c r="L2" s="89">
        <f t="shared" si="1"/>
        <v>90</v>
      </c>
      <c r="M2" s="89">
        <f t="shared" si="1"/>
        <v>87</v>
      </c>
      <c r="N2" s="89">
        <f t="shared" si="1"/>
        <v>85</v>
      </c>
      <c r="O2" s="89">
        <f t="shared" si="1"/>
        <v>72</v>
      </c>
      <c r="P2" s="89">
        <f t="shared" si="1"/>
        <v>72</v>
      </c>
      <c r="Q2" s="89">
        <f t="shared" si="1"/>
        <v>69</v>
      </c>
      <c r="R2" s="89">
        <f t="shared" si="1"/>
        <v>66</v>
      </c>
      <c r="S2" s="89">
        <f t="shared" si="1"/>
        <v>47</v>
      </c>
      <c r="T2" s="89">
        <f t="shared" si="1"/>
        <v>44</v>
      </c>
      <c r="U2" s="89">
        <f t="shared" si="1"/>
        <v>44</v>
      </c>
      <c r="V2" s="89">
        <f t="shared" si="1"/>
        <v>43</v>
      </c>
      <c r="W2" s="89">
        <f t="shared" si="1"/>
        <v>38</v>
      </c>
      <c r="X2" s="89">
        <f t="shared" si="1"/>
        <v>34</v>
      </c>
      <c r="Y2" s="89">
        <f t="shared" si="1"/>
        <v>28</v>
      </c>
      <c r="Z2" s="89">
        <f t="shared" si="1"/>
        <v>27</v>
      </c>
      <c r="AA2" s="89">
        <f t="shared" si="1"/>
        <v>26</v>
      </c>
      <c r="AB2" s="89">
        <f t="shared" si="1"/>
        <v>24</v>
      </c>
      <c r="AC2" s="89">
        <f t="shared" si="1"/>
        <v>18</v>
      </c>
      <c r="AD2" s="89">
        <f t="shared" si="1"/>
        <v>16</v>
      </c>
      <c r="AE2" s="89">
        <f t="shared" si="1"/>
        <v>16</v>
      </c>
      <c r="AF2" s="89">
        <f t="shared" si="1"/>
        <v>15</v>
      </c>
      <c r="AG2" s="89">
        <f t="shared" si="1"/>
        <v>12</v>
      </c>
      <c r="AH2" s="89">
        <f t="shared" si="1"/>
        <v>11</v>
      </c>
      <c r="AI2" s="89">
        <f t="shared" si="1"/>
        <v>10</v>
      </c>
      <c r="AJ2" s="89">
        <f t="shared" si="1"/>
        <v>10</v>
      </c>
      <c r="AK2" s="89">
        <f t="shared" si="1"/>
        <v>10</v>
      </c>
      <c r="AL2" s="89">
        <f t="shared" si="1"/>
        <v>8</v>
      </c>
      <c r="AM2" s="89">
        <f t="shared" si="1"/>
        <v>8</v>
      </c>
      <c r="AN2" s="89">
        <f t="shared" si="1"/>
        <v>8</v>
      </c>
      <c r="AO2" s="89">
        <f t="shared" si="1"/>
        <v>7</v>
      </c>
      <c r="AP2" s="89">
        <f t="shared" si="1"/>
        <v>6</v>
      </c>
      <c r="AQ2" s="89">
        <f t="shared" si="1"/>
        <v>6</v>
      </c>
      <c r="AR2" s="89">
        <f t="shared" si="1"/>
        <v>6</v>
      </c>
      <c r="AS2" s="89">
        <f t="shared" si="1"/>
        <v>5</v>
      </c>
      <c r="AT2" s="89">
        <f t="shared" si="1"/>
        <v>5</v>
      </c>
      <c r="AU2" s="89">
        <f t="shared" si="1"/>
        <v>5</v>
      </c>
      <c r="AV2" s="89">
        <f t="shared" si="1"/>
        <v>6</v>
      </c>
      <c r="AW2" s="89">
        <f t="shared" si="1"/>
        <v>4</v>
      </c>
      <c r="AX2" s="89">
        <f t="shared" si="1"/>
        <v>4</v>
      </c>
      <c r="AY2" s="89">
        <f t="shared" si="1"/>
        <v>3</v>
      </c>
      <c r="AZ2" s="89">
        <f t="shared" si="1"/>
        <v>3</v>
      </c>
      <c r="BA2" s="89">
        <f t="shared" si="1"/>
        <v>3</v>
      </c>
      <c r="BB2" s="89">
        <f t="shared" si="1"/>
        <v>2</v>
      </c>
      <c r="BC2" s="89">
        <f t="shared" si="1"/>
        <v>2</v>
      </c>
      <c r="BD2" s="89">
        <f t="shared" si="1"/>
        <v>2</v>
      </c>
      <c r="BE2" s="89">
        <f t="shared" si="1"/>
        <v>2</v>
      </c>
      <c r="BF2" s="89">
        <f t="shared" si="1"/>
        <v>1</v>
      </c>
      <c r="BG2" s="89">
        <f t="shared" si="1"/>
        <v>1</v>
      </c>
      <c r="BH2" s="89">
        <f t="shared" si="1"/>
        <v>1</v>
      </c>
      <c r="BI2" s="89">
        <f t="shared" si="1"/>
        <v>1</v>
      </c>
      <c r="BJ2" s="89">
        <f t="shared" si="1"/>
        <v>1</v>
      </c>
      <c r="BK2" s="89">
        <f t="shared" si="1"/>
        <v>1</v>
      </c>
      <c r="BL2" s="89">
        <f t="shared" si="1"/>
        <v>1</v>
      </c>
      <c r="BM2" s="89">
        <f t="shared" si="1"/>
        <v>1</v>
      </c>
      <c r="BN2" s="89">
        <f t="shared" si="1"/>
        <v>1</v>
      </c>
      <c r="BO2" s="89">
        <f t="shared" si="1"/>
        <v>1</v>
      </c>
      <c r="BP2" s="89">
        <f t="shared" si="1"/>
        <v>1</v>
      </c>
      <c r="BQ2" s="89">
        <f t="shared" si="1"/>
        <v>1</v>
      </c>
      <c r="BR2" s="89">
        <f t="shared" si="1"/>
        <v>0</v>
      </c>
      <c r="BS2" s="89">
        <f t="shared" si="1"/>
        <v>0</v>
      </c>
      <c r="BT2" s="89">
        <f t="shared" si="1"/>
        <v>0</v>
      </c>
      <c r="BU2" s="89">
        <f t="shared" si="1"/>
        <v>0</v>
      </c>
      <c r="BV2" s="89">
        <f t="shared" si="1"/>
        <v>0</v>
      </c>
      <c r="BW2" s="89">
        <f t="shared" si="1"/>
        <v>0</v>
      </c>
      <c r="BX2" s="89">
        <f t="shared" si="1"/>
        <v>0</v>
      </c>
    </row>
    <row r="3">
      <c r="A3" s="105" t="s">
        <v>35</v>
      </c>
      <c r="D3" s="106"/>
      <c r="E3" s="108"/>
      <c r="F3" s="108"/>
      <c r="G3" s="108"/>
      <c r="H3" s="108"/>
      <c r="I3" s="108"/>
      <c r="J3" s="108"/>
      <c r="K3" s="108"/>
      <c r="L3" s="108"/>
      <c r="M3" s="109"/>
      <c r="N3" s="108"/>
      <c r="O3" s="108"/>
      <c r="P3" s="108"/>
      <c r="Q3" s="108"/>
      <c r="R3" s="110"/>
      <c r="S3" s="108"/>
      <c r="T3" s="108"/>
      <c r="U3" s="108"/>
      <c r="V3" s="108"/>
      <c r="W3" s="108"/>
      <c r="X3" s="108"/>
      <c r="Y3" s="111"/>
      <c r="Z3" s="108"/>
      <c r="AA3" s="108"/>
      <c r="AB3" s="108"/>
      <c r="AC3" s="108"/>
      <c r="AD3" s="108"/>
      <c r="AE3" s="111"/>
      <c r="AF3" s="108"/>
      <c r="AG3" s="108"/>
      <c r="AH3" s="108"/>
      <c r="AI3" s="108"/>
      <c r="AJ3" s="108"/>
      <c r="AK3" s="108"/>
      <c r="AL3" s="108"/>
      <c r="AM3" s="108"/>
      <c r="AN3" s="108"/>
      <c r="AO3" s="108"/>
      <c r="AP3" s="108"/>
      <c r="AQ3" s="108"/>
      <c r="AR3" s="111"/>
      <c r="AS3" s="108"/>
      <c r="AT3" s="108"/>
      <c r="AU3" s="108"/>
      <c r="AV3" s="108"/>
      <c r="AW3" s="108"/>
      <c r="AX3" s="111"/>
      <c r="AY3" s="108"/>
      <c r="AZ3" s="108"/>
      <c r="BA3" s="108"/>
      <c r="BB3" s="108"/>
      <c r="BC3" s="108"/>
      <c r="BD3" s="108"/>
      <c r="BE3" s="111"/>
      <c r="BF3" s="108"/>
      <c r="BG3" s="108"/>
      <c r="BH3" s="108"/>
      <c r="BI3" s="108"/>
      <c r="BJ3" s="108"/>
      <c r="BK3" s="108"/>
      <c r="BL3" s="111"/>
      <c r="BM3" s="111"/>
      <c r="BN3" s="111"/>
      <c r="BO3" s="111"/>
      <c r="BP3" s="111"/>
      <c r="BQ3" s="111"/>
      <c r="BR3" s="111"/>
      <c r="BS3" s="111"/>
      <c r="BT3" s="111"/>
      <c r="BU3" s="111"/>
      <c r="BV3" s="111"/>
      <c r="BW3" s="111"/>
      <c r="BX3" s="111"/>
    </row>
    <row r="4" ht="15.75" customHeight="1">
      <c r="A4" s="116" t="s">
        <v>186</v>
      </c>
      <c r="B4" s="117" t="s">
        <v>187</v>
      </c>
      <c r="C4" s="119" t="s">
        <v>188</v>
      </c>
      <c r="D4" s="124" t="s">
        <v>192</v>
      </c>
      <c r="E4" s="125" t="s">
        <v>198</v>
      </c>
      <c r="F4" s="126" t="s">
        <v>188</v>
      </c>
      <c r="G4" s="129" t="s">
        <v>201</v>
      </c>
      <c r="H4" s="132" t="s">
        <v>208</v>
      </c>
      <c r="I4" s="133" t="s">
        <v>215</v>
      </c>
      <c r="J4" s="129" t="str">
        <f>HYPERLINK("https://youtu.be/BAG8a3WI9KM","52.27")</f>
        <v>52.27</v>
      </c>
      <c r="K4" s="129" t="s">
        <v>220</v>
      </c>
      <c r="L4" s="139" t="s">
        <v>224</v>
      </c>
      <c r="M4" s="140" t="s">
        <v>225</v>
      </c>
      <c r="N4" s="129" t="s">
        <v>227</v>
      </c>
      <c r="O4" s="139" t="s">
        <v>235</v>
      </c>
      <c r="P4" s="129" t="str">
        <f>HYPERLINK("https://youtu.be/qv_H1NgDIQ8","53.73")</f>
        <v>53.73</v>
      </c>
      <c r="Q4" s="129" t="s">
        <v>242</v>
      </c>
      <c r="R4" s="133" t="s">
        <v>256</v>
      </c>
      <c r="S4" s="129" t="str">
        <f>HYPERLINK("https://clips.twitch.tv/ZealousSeductiveOkapiCharlieBitMe","51.96")</f>
        <v>51.96</v>
      </c>
      <c r="T4" s="139"/>
      <c r="U4" s="139"/>
      <c r="V4" s="129" t="s">
        <v>262</v>
      </c>
      <c r="W4" s="139"/>
      <c r="X4" s="139"/>
      <c r="Y4" s="154"/>
      <c r="Z4" s="139"/>
      <c r="AA4" s="139"/>
      <c r="AB4" s="139"/>
      <c r="AC4" s="139"/>
      <c r="AD4" s="139"/>
      <c r="AE4" s="154"/>
      <c r="AF4" s="139"/>
      <c r="AG4" s="139"/>
      <c r="AH4" s="139"/>
      <c r="AI4" s="139"/>
      <c r="AJ4" s="139"/>
      <c r="AK4" s="139"/>
      <c r="AL4" s="139"/>
      <c r="AM4" s="139"/>
      <c r="AN4" s="139"/>
      <c r="AO4" s="133"/>
      <c r="AP4" s="139"/>
      <c r="AQ4" s="139"/>
      <c r="AR4" s="154"/>
      <c r="AS4" s="139"/>
      <c r="AT4" s="139"/>
      <c r="AU4" s="139"/>
      <c r="AV4" s="133"/>
      <c r="AW4" s="139"/>
      <c r="AX4" s="154"/>
      <c r="AY4" s="139"/>
      <c r="AZ4" s="139"/>
      <c r="BA4" s="139"/>
      <c r="BB4" s="139"/>
      <c r="BC4" s="139"/>
      <c r="BD4" s="139"/>
      <c r="BE4" s="154"/>
      <c r="BF4" s="139"/>
      <c r="BG4" s="139"/>
      <c r="BH4" s="139"/>
      <c r="BI4" s="139"/>
      <c r="BJ4" s="139"/>
      <c r="BK4" s="139"/>
      <c r="BL4" s="154"/>
      <c r="BM4" s="154"/>
      <c r="BN4" s="154"/>
      <c r="BO4" s="154"/>
      <c r="BP4" s="154"/>
      <c r="BQ4" s="154"/>
      <c r="BR4" s="154"/>
      <c r="BS4" s="154"/>
      <c r="BT4" s="154"/>
      <c r="BU4" s="154"/>
      <c r="BV4" s="154"/>
      <c r="BW4" s="154"/>
      <c r="BX4" s="154"/>
    </row>
    <row r="5" ht="15.75" customHeight="1">
      <c r="A5" s="165" t="s">
        <v>285</v>
      </c>
      <c r="B5" s="167" t="s">
        <v>287</v>
      </c>
      <c r="C5" s="119" t="s">
        <v>290</v>
      </c>
      <c r="D5" s="172"/>
      <c r="E5" s="174" t="s">
        <v>296</v>
      </c>
      <c r="F5" s="174" t="s">
        <v>298</v>
      </c>
      <c r="G5" s="174"/>
      <c r="H5" s="132" t="s">
        <v>307</v>
      </c>
      <c r="I5" s="133" t="s">
        <v>312</v>
      </c>
      <c r="J5" s="174" t="s">
        <v>313</v>
      </c>
      <c r="K5" s="174"/>
      <c r="L5" s="174" t="s">
        <v>314</v>
      </c>
      <c r="M5" s="182" t="s">
        <v>315</v>
      </c>
      <c r="N5" s="174"/>
      <c r="O5" s="174"/>
      <c r="P5" s="174" t="s">
        <v>319</v>
      </c>
      <c r="Q5" s="174" t="str">
        <f>HYPERLINK("https://youtu.be/y9FQ4EcrohI", "1:21.52")</f>
        <v>1:21.52</v>
      </c>
      <c r="R5" s="133" t="s">
        <v>322</v>
      </c>
      <c r="S5" s="174"/>
      <c r="T5" s="174"/>
      <c r="U5" s="174" t="s">
        <v>290</v>
      </c>
      <c r="V5" s="174" t="s">
        <v>326</v>
      </c>
      <c r="W5" s="174"/>
      <c r="X5" s="174"/>
      <c r="Y5" s="186"/>
      <c r="Z5" s="174"/>
      <c r="AA5" s="174"/>
      <c r="AB5" s="174"/>
      <c r="AC5" s="174"/>
      <c r="AD5" s="174" t="s">
        <v>331</v>
      </c>
      <c r="AE5" s="188" t="s">
        <v>335</v>
      </c>
      <c r="AF5" s="174"/>
      <c r="AG5" s="174"/>
      <c r="AH5" s="174" t="s">
        <v>336</v>
      </c>
      <c r="AI5" s="174"/>
      <c r="AJ5" s="174"/>
      <c r="AK5" s="174"/>
      <c r="AL5" s="174"/>
      <c r="AM5" s="174"/>
      <c r="AN5" s="174"/>
      <c r="AO5" s="129" t="s">
        <v>342</v>
      </c>
      <c r="AP5" s="174"/>
      <c r="AQ5" s="174"/>
      <c r="AR5" s="186"/>
      <c r="AS5" s="174"/>
      <c r="AT5" s="174"/>
      <c r="AU5" s="174" t="s">
        <v>345</v>
      </c>
      <c r="AV5" s="133"/>
      <c r="AW5" s="174"/>
      <c r="AX5" s="186"/>
      <c r="AY5" s="174"/>
      <c r="AZ5" s="174"/>
      <c r="BA5" s="174"/>
      <c r="BB5" s="174"/>
      <c r="BC5" s="174"/>
      <c r="BD5" s="174"/>
      <c r="BE5" s="186"/>
      <c r="BF5" s="174"/>
      <c r="BG5" s="174"/>
      <c r="BH5" s="174"/>
      <c r="BI5" s="174"/>
      <c r="BJ5" s="174"/>
      <c r="BK5" s="174"/>
      <c r="BL5" s="186"/>
      <c r="BM5" s="186"/>
      <c r="BN5" s="186"/>
      <c r="BO5" s="186"/>
      <c r="BP5" s="186"/>
      <c r="BQ5" s="186"/>
      <c r="BR5" s="186"/>
      <c r="BS5" s="186"/>
      <c r="BT5" s="186"/>
      <c r="BU5" s="186"/>
      <c r="BV5" s="186"/>
      <c r="BW5" s="186"/>
      <c r="BX5" s="186"/>
    </row>
    <row r="6" ht="15.75" customHeight="1">
      <c r="A6" s="194"/>
      <c r="B6" s="195" t="s">
        <v>352</v>
      </c>
      <c r="C6" s="119" t="s">
        <v>354</v>
      </c>
      <c r="D6" s="124" t="s">
        <v>360</v>
      </c>
      <c r="E6" s="70" t="s">
        <v>364</v>
      </c>
      <c r="F6" s="129" t="s">
        <v>354</v>
      </c>
      <c r="G6" s="129" t="s">
        <v>372</v>
      </c>
      <c r="H6" s="132" t="s">
        <v>386</v>
      </c>
      <c r="I6" s="133" t="s">
        <v>395</v>
      </c>
      <c r="J6" s="129" t="str">
        <f>HYPERLINK("https://youtu.be/ZP_d48CVxG0","1:19.30")</f>
        <v>1:19.30</v>
      </c>
      <c r="K6" s="139"/>
      <c r="L6" s="139"/>
      <c r="M6" s="208" t="s">
        <v>407</v>
      </c>
      <c r="N6" s="139" t="s">
        <v>422</v>
      </c>
      <c r="O6" s="139" t="s">
        <v>424</v>
      </c>
      <c r="P6" s="139" t="s">
        <v>425</v>
      </c>
      <c r="Q6" s="129" t="s">
        <v>426</v>
      </c>
      <c r="R6" s="133" t="s">
        <v>439</v>
      </c>
      <c r="S6" s="139" t="s">
        <v>422</v>
      </c>
      <c r="T6" s="129" t="s">
        <v>442</v>
      </c>
      <c r="U6" s="139"/>
      <c r="V6" s="139"/>
      <c r="W6" s="139"/>
      <c r="X6" s="139"/>
      <c r="Y6" s="154"/>
      <c r="Z6" s="139"/>
      <c r="AA6" s="139"/>
      <c r="AB6" s="139"/>
      <c r="AC6" s="139"/>
      <c r="AD6" s="139"/>
      <c r="AE6" s="154"/>
      <c r="AF6" s="139"/>
      <c r="AG6" s="139"/>
      <c r="AH6" s="139"/>
      <c r="AI6" s="139"/>
      <c r="AJ6" s="139"/>
      <c r="AK6" s="139"/>
      <c r="AL6" s="139"/>
      <c r="AM6" s="139"/>
      <c r="AN6" s="139"/>
      <c r="AO6" s="133"/>
      <c r="AP6" s="139"/>
      <c r="AQ6" s="139"/>
      <c r="AR6" s="154"/>
      <c r="AS6" s="139"/>
      <c r="AT6" s="139"/>
      <c r="AU6" s="139"/>
      <c r="AV6" s="133"/>
      <c r="AW6" s="139"/>
      <c r="AX6" s="154"/>
      <c r="AY6" s="139"/>
      <c r="AZ6" s="139"/>
      <c r="BA6" s="139"/>
      <c r="BB6" s="139"/>
      <c r="BC6" s="139"/>
      <c r="BD6" s="139"/>
      <c r="BE6" s="154"/>
      <c r="BF6" s="139"/>
      <c r="BG6" s="139"/>
      <c r="BH6" s="139"/>
      <c r="BI6" s="139"/>
      <c r="BJ6" s="139"/>
      <c r="BK6" s="139"/>
      <c r="BL6" s="154"/>
      <c r="BM6" s="154"/>
      <c r="BN6" s="154"/>
      <c r="BO6" s="154"/>
      <c r="BP6" s="154"/>
      <c r="BQ6" s="154"/>
      <c r="BR6" s="154"/>
      <c r="BS6" s="154"/>
      <c r="BT6" s="154"/>
      <c r="BU6" s="154"/>
      <c r="BV6" s="154"/>
      <c r="BW6" s="154"/>
      <c r="BX6" s="154"/>
    </row>
    <row r="7" ht="15.75" customHeight="1">
      <c r="A7" s="214" t="s">
        <v>469</v>
      </c>
      <c r="B7" s="215" t="s">
        <v>472</v>
      </c>
      <c r="C7" s="217" t="s">
        <v>474</v>
      </c>
      <c r="D7" s="219"/>
      <c r="E7" s="221"/>
      <c r="F7" s="221"/>
      <c r="G7" s="221"/>
      <c r="H7" s="222"/>
      <c r="I7" s="221"/>
      <c r="J7" s="221"/>
      <c r="K7" s="221"/>
      <c r="L7" s="221"/>
      <c r="M7" s="225" t="s">
        <v>494</v>
      </c>
      <c r="N7" s="221"/>
      <c r="O7" s="221"/>
      <c r="P7" s="221"/>
      <c r="Q7" s="221"/>
      <c r="R7" s="221"/>
      <c r="S7" s="221"/>
      <c r="T7" s="129" t="s">
        <v>474</v>
      </c>
      <c r="U7" s="221"/>
      <c r="V7" s="221"/>
      <c r="W7" s="221"/>
      <c r="X7" s="221"/>
      <c r="Y7" s="154"/>
      <c r="Z7" s="221"/>
      <c r="AA7" s="221"/>
      <c r="AB7" s="221"/>
      <c r="AC7" s="221"/>
      <c r="AD7" s="221"/>
      <c r="AE7" s="154"/>
      <c r="AF7" s="221"/>
      <c r="AG7" s="221"/>
      <c r="AH7" s="221"/>
      <c r="AI7" s="221"/>
      <c r="AJ7" s="221"/>
      <c r="AK7" s="221"/>
      <c r="AL7" s="221"/>
      <c r="AM7" s="221"/>
      <c r="AN7" s="221"/>
      <c r="AO7" s="221"/>
      <c r="AP7" s="221"/>
      <c r="AQ7" s="221"/>
      <c r="AR7" s="154"/>
      <c r="AS7" s="221"/>
      <c r="AT7" s="221"/>
      <c r="AU7" s="221"/>
      <c r="AV7" s="221"/>
      <c r="AW7" s="221"/>
      <c r="AX7" s="154"/>
      <c r="AY7" s="221"/>
      <c r="AZ7" s="221"/>
      <c r="BA7" s="221"/>
      <c r="BB7" s="221"/>
      <c r="BC7" s="221"/>
      <c r="BD7" s="221"/>
      <c r="BE7" s="154"/>
      <c r="BF7" s="221"/>
      <c r="BG7" s="221"/>
      <c r="BH7" s="221"/>
      <c r="BI7" s="221"/>
      <c r="BJ7" s="221"/>
      <c r="BK7" s="221"/>
      <c r="BL7" s="154"/>
      <c r="BM7" s="154"/>
      <c r="BN7" s="154"/>
      <c r="BO7" s="154"/>
      <c r="BP7" s="154"/>
      <c r="BQ7" s="154"/>
      <c r="BR7" s="154"/>
      <c r="BS7" s="154"/>
      <c r="BT7" s="154"/>
      <c r="BU7" s="154"/>
      <c r="BV7" s="154"/>
      <c r="BW7" s="154"/>
      <c r="BX7" s="154"/>
    </row>
    <row r="8" ht="15.75" customHeight="1">
      <c r="A8" s="165"/>
      <c r="B8" s="167" t="s">
        <v>521</v>
      </c>
      <c r="C8" s="119" t="s">
        <v>427</v>
      </c>
      <c r="D8" s="208" t="s">
        <v>534</v>
      </c>
      <c r="E8" s="174" t="s">
        <v>540</v>
      </c>
      <c r="F8" s="174" t="s">
        <v>542</v>
      </c>
      <c r="G8" s="129" t="s">
        <v>427</v>
      </c>
      <c r="H8" s="222"/>
      <c r="I8" s="133"/>
      <c r="J8" s="174" t="s">
        <v>546</v>
      </c>
      <c r="K8" s="174"/>
      <c r="L8" s="174"/>
      <c r="M8" s="182" t="s">
        <v>547</v>
      </c>
      <c r="N8" s="174" t="s">
        <v>550</v>
      </c>
      <c r="O8" s="174" t="s">
        <v>550</v>
      </c>
      <c r="P8" s="174" t="s">
        <v>552</v>
      </c>
      <c r="Q8" s="174"/>
      <c r="R8" s="133"/>
      <c r="S8" s="174" t="s">
        <v>554</v>
      </c>
      <c r="T8" s="174"/>
      <c r="U8" s="174" t="s">
        <v>555</v>
      </c>
      <c r="V8" s="174" t="s">
        <v>560</v>
      </c>
      <c r="W8" s="174" t="s">
        <v>561</v>
      </c>
      <c r="X8" s="174"/>
      <c r="Y8" s="245" t="s">
        <v>562</v>
      </c>
      <c r="Z8" s="174" t="s">
        <v>554</v>
      </c>
      <c r="AA8" s="174"/>
      <c r="AB8" s="174" t="s">
        <v>565</v>
      </c>
      <c r="AC8" s="174" t="s">
        <v>568</v>
      </c>
      <c r="AD8" s="174"/>
      <c r="AE8" s="245" t="s">
        <v>569</v>
      </c>
      <c r="AF8" s="174"/>
      <c r="AG8" s="174" t="s">
        <v>491</v>
      </c>
      <c r="AH8" s="174"/>
      <c r="AI8" s="174" t="s">
        <v>550</v>
      </c>
      <c r="AJ8" s="174"/>
      <c r="AK8" s="174"/>
      <c r="AL8" s="174"/>
      <c r="AM8" s="174"/>
      <c r="AN8" s="174"/>
      <c r="AO8" s="133"/>
      <c r="AP8" s="174"/>
      <c r="AQ8" s="174"/>
      <c r="AR8" s="186"/>
      <c r="AS8" s="174"/>
      <c r="AT8" s="174"/>
      <c r="AU8" s="174"/>
      <c r="AV8" s="133"/>
      <c r="AW8" s="174"/>
      <c r="AX8" s="186"/>
      <c r="AY8" s="174"/>
      <c r="AZ8" s="174"/>
      <c r="BA8" s="174"/>
      <c r="BB8" s="174"/>
      <c r="BC8" s="174"/>
      <c r="BD8" s="174"/>
      <c r="BE8" s="186"/>
      <c r="BF8" s="174"/>
      <c r="BG8" s="174"/>
      <c r="BH8" s="174"/>
      <c r="BI8" s="174"/>
      <c r="BJ8" s="174"/>
      <c r="BK8" s="174"/>
      <c r="BL8" s="186"/>
      <c r="BM8" s="186"/>
      <c r="BN8" s="186"/>
      <c r="BO8" s="186"/>
      <c r="BP8" s="186"/>
      <c r="BQ8" s="186"/>
      <c r="BR8" s="186"/>
      <c r="BS8" s="186"/>
      <c r="BT8" s="186"/>
      <c r="BU8" s="186"/>
      <c r="BV8" s="186"/>
      <c r="BW8" s="186"/>
      <c r="BX8" s="186"/>
    </row>
    <row r="9" ht="15.75" customHeight="1">
      <c r="A9" s="214" t="s">
        <v>577</v>
      </c>
      <c r="B9" s="215" t="s">
        <v>578</v>
      </c>
      <c r="C9" s="119" t="s">
        <v>579</v>
      </c>
      <c r="D9" s="219"/>
      <c r="E9" s="221"/>
      <c r="F9" s="221"/>
      <c r="G9" s="221"/>
      <c r="H9" s="132" t="s">
        <v>582</v>
      </c>
      <c r="I9" s="221"/>
      <c r="J9" s="221"/>
      <c r="K9" s="221"/>
      <c r="L9" s="221"/>
      <c r="M9" s="208" t="s">
        <v>585</v>
      </c>
      <c r="N9" s="221"/>
      <c r="O9" s="221"/>
      <c r="P9" s="221"/>
      <c r="Q9" s="221" t="s">
        <v>588</v>
      </c>
      <c r="R9" s="221"/>
      <c r="S9" s="221"/>
      <c r="T9" s="221"/>
      <c r="U9" s="129" t="s">
        <v>579</v>
      </c>
      <c r="V9" s="221"/>
      <c r="W9" s="221"/>
      <c r="X9" s="221"/>
      <c r="Y9" s="258" t="s">
        <v>590</v>
      </c>
      <c r="Z9" s="221"/>
      <c r="AA9" s="221"/>
      <c r="AB9" s="221"/>
      <c r="AC9" s="221"/>
      <c r="AD9" s="221"/>
      <c r="AE9" s="154"/>
      <c r="AF9" s="221"/>
      <c r="AG9" s="221" t="s">
        <v>593</v>
      </c>
      <c r="AH9" s="221"/>
      <c r="AI9" s="221"/>
      <c r="AJ9" s="221"/>
      <c r="AK9" s="221"/>
      <c r="AL9" s="221"/>
      <c r="AM9" s="221"/>
      <c r="AN9" s="221"/>
      <c r="AO9" s="221"/>
      <c r="AP9" s="221"/>
      <c r="AQ9" s="221"/>
      <c r="AR9" s="154"/>
      <c r="AS9" s="221"/>
      <c r="AT9" s="221"/>
      <c r="AU9" s="221" t="s">
        <v>596</v>
      </c>
      <c r="AV9" s="221"/>
      <c r="AW9" s="221"/>
      <c r="AX9" s="154"/>
      <c r="AY9" s="221"/>
      <c r="AZ9" s="221"/>
      <c r="BA9" s="221"/>
      <c r="BB9" s="221"/>
      <c r="BC9" s="221"/>
      <c r="BD9" s="221"/>
      <c r="BE9" s="154"/>
      <c r="BF9" s="221"/>
      <c r="BG9" s="221"/>
      <c r="BH9" s="221"/>
      <c r="BI9" s="221"/>
      <c r="BJ9" s="221"/>
      <c r="BK9" s="221"/>
      <c r="BL9" s="154"/>
      <c r="BM9" s="154"/>
      <c r="BN9" s="154"/>
      <c r="BO9" s="154"/>
      <c r="BP9" s="154"/>
      <c r="BQ9" s="154"/>
      <c r="BR9" s="154"/>
      <c r="BS9" s="154"/>
      <c r="BT9" s="154"/>
      <c r="BU9" s="154"/>
      <c r="BV9" s="154"/>
      <c r="BW9" s="154"/>
      <c r="BX9" s="154"/>
    </row>
    <row r="10" ht="15.75" customHeight="1">
      <c r="A10" s="165"/>
      <c r="B10" s="167" t="s">
        <v>598</v>
      </c>
      <c r="C10" s="261" t="s">
        <v>600</v>
      </c>
      <c r="D10" s="262"/>
      <c r="E10" s="139"/>
      <c r="F10" s="139"/>
      <c r="G10" s="139"/>
      <c r="H10" s="222"/>
      <c r="I10" s="133" t="s">
        <v>602</v>
      </c>
      <c r="J10" s="139"/>
      <c r="K10" s="139"/>
      <c r="L10" s="139"/>
      <c r="M10" s="182" t="s">
        <v>603</v>
      </c>
      <c r="N10" s="139"/>
      <c r="O10" s="139"/>
      <c r="P10" s="139"/>
      <c r="Q10" s="139"/>
      <c r="R10" s="133"/>
      <c r="S10" s="139"/>
      <c r="T10" s="139"/>
      <c r="U10" s="139"/>
      <c r="V10" s="139"/>
      <c r="W10" s="139"/>
      <c r="X10" s="139"/>
      <c r="Y10" s="186"/>
      <c r="Z10" s="139"/>
      <c r="AA10" s="139"/>
      <c r="AB10" s="139"/>
      <c r="AC10" s="139"/>
      <c r="AD10" s="139"/>
      <c r="AE10" s="186"/>
      <c r="AF10" s="139"/>
      <c r="AG10" s="139"/>
      <c r="AH10" s="139"/>
      <c r="AI10" s="139"/>
      <c r="AJ10" s="139"/>
      <c r="AK10" s="139"/>
      <c r="AL10" s="139"/>
      <c r="AM10" s="139"/>
      <c r="AN10" s="139"/>
      <c r="AO10" s="133"/>
      <c r="AP10" s="139"/>
      <c r="AQ10" s="139"/>
      <c r="AR10" s="186"/>
      <c r="AS10" s="139"/>
      <c r="AT10" s="139"/>
      <c r="AU10" s="139"/>
      <c r="AV10" s="133"/>
      <c r="AW10" s="139"/>
      <c r="AX10" s="186"/>
      <c r="AY10" s="139"/>
      <c r="AZ10" s="139"/>
      <c r="BA10" s="139"/>
      <c r="BB10" s="139"/>
      <c r="BC10" s="139"/>
      <c r="BD10" s="139"/>
      <c r="BE10" s="186"/>
      <c r="BF10" s="139"/>
      <c r="BG10" s="139"/>
      <c r="BH10" s="139"/>
      <c r="BI10" s="139"/>
      <c r="BJ10" s="139"/>
      <c r="BK10" s="139"/>
      <c r="BL10" s="186"/>
      <c r="BM10" s="245" t="s">
        <v>600</v>
      </c>
      <c r="BN10" s="186"/>
      <c r="BO10" s="186"/>
      <c r="BP10" s="186"/>
      <c r="BQ10" s="186"/>
      <c r="BR10" s="186"/>
      <c r="BS10" s="186"/>
      <c r="BT10" s="186"/>
      <c r="BU10" s="186"/>
      <c r="BV10" s="186"/>
      <c r="BW10" s="186"/>
      <c r="BX10" s="186"/>
    </row>
    <row r="11" ht="15.75" customHeight="1">
      <c r="A11" s="265"/>
      <c r="B11" s="266" t="s">
        <v>352</v>
      </c>
      <c r="C11" s="119" t="s">
        <v>612</v>
      </c>
      <c r="D11" s="208" t="s">
        <v>544</v>
      </c>
      <c r="E11" s="139"/>
      <c r="F11" s="129" t="s">
        <v>616</v>
      </c>
      <c r="G11" s="139"/>
      <c r="H11" s="132" t="s">
        <v>617</v>
      </c>
      <c r="I11" s="133" t="s">
        <v>619</v>
      </c>
      <c r="J11" s="139"/>
      <c r="K11" s="139"/>
      <c r="L11" s="139"/>
      <c r="M11" s="182" t="s">
        <v>620</v>
      </c>
      <c r="N11" s="139"/>
      <c r="O11" s="139"/>
      <c r="P11" s="139"/>
      <c r="Q11" s="129" t="s">
        <v>612</v>
      </c>
      <c r="R11" s="133"/>
      <c r="S11" s="139"/>
      <c r="T11" s="139"/>
      <c r="U11" s="139"/>
      <c r="V11" s="139"/>
      <c r="W11" s="139"/>
      <c r="X11" s="139"/>
      <c r="Y11" s="245" t="s">
        <v>625</v>
      </c>
      <c r="Z11" s="139"/>
      <c r="AA11" s="139"/>
      <c r="AB11" s="129" t="s">
        <v>629</v>
      </c>
      <c r="AC11" s="139"/>
      <c r="AD11" s="139"/>
      <c r="AE11" s="186"/>
      <c r="AF11" s="139"/>
      <c r="AG11" s="139"/>
      <c r="AH11" s="139"/>
      <c r="AI11" s="139"/>
      <c r="AJ11" s="139"/>
      <c r="AK11" s="139"/>
      <c r="AL11" s="139"/>
      <c r="AM11" s="139"/>
      <c r="AN11" s="139"/>
      <c r="AO11" s="133"/>
      <c r="AP11" s="139"/>
      <c r="AQ11" s="139"/>
      <c r="AR11" s="186"/>
      <c r="AS11" s="139"/>
      <c r="AT11" s="139"/>
      <c r="AU11" s="139"/>
      <c r="AV11" s="133"/>
      <c r="AW11" s="139"/>
      <c r="AX11" s="186"/>
      <c r="AY11" s="139"/>
      <c r="AZ11" s="139"/>
      <c r="BA11" s="139"/>
      <c r="BB11" s="139"/>
      <c r="BC11" s="139"/>
      <c r="BD11" s="139"/>
      <c r="BE11" s="186"/>
      <c r="BF11" s="139"/>
      <c r="BG11" s="139"/>
      <c r="BH11" s="139"/>
      <c r="BI11" s="139"/>
      <c r="BJ11" s="139"/>
      <c r="BK11" s="139"/>
      <c r="BL11" s="186"/>
      <c r="BM11" s="186"/>
      <c r="BN11" s="186"/>
      <c r="BO11" s="186"/>
      <c r="BP11" s="186"/>
      <c r="BQ11" s="186"/>
      <c r="BR11" s="186"/>
      <c r="BS11" s="186"/>
      <c r="BT11" s="186"/>
      <c r="BU11" s="186"/>
      <c r="BV11" s="186"/>
      <c r="BW11" s="186"/>
      <c r="BX11" s="186"/>
    </row>
    <row r="12" ht="15.75" customHeight="1">
      <c r="A12" s="116" t="s">
        <v>633</v>
      </c>
      <c r="B12" s="117" t="s">
        <v>634</v>
      </c>
      <c r="C12" s="279" t="s">
        <v>635</v>
      </c>
      <c r="D12" s="182" t="s">
        <v>635</v>
      </c>
      <c r="E12" s="174" t="s">
        <v>637</v>
      </c>
      <c r="F12" s="174" t="s">
        <v>638</v>
      </c>
      <c r="G12" s="174"/>
      <c r="H12" s="132" t="s">
        <v>642</v>
      </c>
      <c r="I12" s="133" t="s">
        <v>645</v>
      </c>
      <c r="J12" s="174" t="s">
        <v>647</v>
      </c>
      <c r="K12" s="174"/>
      <c r="L12" s="174" t="s">
        <v>648</v>
      </c>
      <c r="M12" s="208" t="s">
        <v>650</v>
      </c>
      <c r="N12" s="174"/>
      <c r="O12" s="174" t="s">
        <v>653</v>
      </c>
      <c r="P12" s="174" t="s">
        <v>654</v>
      </c>
      <c r="Q12" s="174"/>
      <c r="R12" s="133" t="s">
        <v>655</v>
      </c>
      <c r="S12" s="174" t="s">
        <v>653</v>
      </c>
      <c r="T12" s="174" t="s">
        <v>657</v>
      </c>
      <c r="U12" s="174"/>
      <c r="V12" s="174" t="s">
        <v>659</v>
      </c>
      <c r="W12" s="174"/>
      <c r="X12" s="174" t="s">
        <v>660</v>
      </c>
      <c r="Y12" s="154"/>
      <c r="Z12" s="174"/>
      <c r="AA12" s="174"/>
      <c r="AB12" s="174"/>
      <c r="AC12" s="174"/>
      <c r="AD12" s="174" t="s">
        <v>663</v>
      </c>
      <c r="AE12" s="154"/>
      <c r="AF12" s="174"/>
      <c r="AG12" s="174"/>
      <c r="AH12" s="174"/>
      <c r="AI12" s="174"/>
      <c r="AJ12" s="174"/>
      <c r="AK12" s="174"/>
      <c r="AL12" s="174"/>
      <c r="AM12" s="174"/>
      <c r="AN12" s="174"/>
      <c r="AO12" s="139"/>
      <c r="AP12" s="174"/>
      <c r="AQ12" s="174"/>
      <c r="AR12" s="154"/>
      <c r="AS12" s="174" t="s">
        <v>666</v>
      </c>
      <c r="AT12" s="174"/>
      <c r="AU12" s="174" t="s">
        <v>667</v>
      </c>
      <c r="AV12" s="133"/>
      <c r="AW12" s="174"/>
      <c r="AX12" s="154"/>
      <c r="AY12" s="174"/>
      <c r="AZ12" s="174"/>
      <c r="BA12" s="174"/>
      <c r="BB12" s="174"/>
      <c r="BC12" s="174"/>
      <c r="BD12" s="174"/>
      <c r="BE12" s="154"/>
      <c r="BF12" s="174"/>
      <c r="BG12" s="174"/>
      <c r="BH12" s="174"/>
      <c r="BI12" s="174"/>
      <c r="BJ12" s="174"/>
      <c r="BK12" s="174"/>
      <c r="BL12" s="154"/>
      <c r="BM12" s="154"/>
      <c r="BN12" s="154"/>
      <c r="BO12" s="154"/>
      <c r="BP12" s="154"/>
      <c r="BQ12" s="154"/>
      <c r="BR12" s="154"/>
      <c r="BS12" s="154"/>
      <c r="BT12" s="154"/>
      <c r="BU12" s="154"/>
      <c r="BV12" s="154"/>
      <c r="BW12" s="154"/>
      <c r="BX12" s="154"/>
    </row>
    <row r="13" ht="15.75" customHeight="1">
      <c r="A13" s="165"/>
      <c r="B13" s="286" t="s">
        <v>669</v>
      </c>
      <c r="C13" s="119" t="s">
        <v>670</v>
      </c>
      <c r="D13" s="292" t="s">
        <v>673</v>
      </c>
      <c r="E13" s="70" t="s">
        <v>676</v>
      </c>
      <c r="F13" s="129" t="s">
        <v>684</v>
      </c>
      <c r="G13" s="129" t="s">
        <v>670</v>
      </c>
      <c r="H13" s="132" t="s">
        <v>688</v>
      </c>
      <c r="I13" s="133" t="s">
        <v>692</v>
      </c>
      <c r="J13" s="139" t="s">
        <v>693</v>
      </c>
      <c r="K13" s="129" t="s">
        <v>694</v>
      </c>
      <c r="L13" s="139"/>
      <c r="M13" s="182" t="s">
        <v>696</v>
      </c>
      <c r="N13" s="139" t="s">
        <v>635</v>
      </c>
      <c r="O13" s="129" t="s">
        <v>699</v>
      </c>
      <c r="P13" s="139" t="s">
        <v>703</v>
      </c>
      <c r="Q13" s="129" t="s">
        <v>704</v>
      </c>
      <c r="R13" s="133" t="s">
        <v>638</v>
      </c>
      <c r="S13" s="139" t="s">
        <v>708</v>
      </c>
      <c r="T13" s="139"/>
      <c r="U13" s="139"/>
      <c r="V13" s="129" t="s">
        <v>709</v>
      </c>
      <c r="W13" s="139" t="s">
        <v>712</v>
      </c>
      <c r="X13" s="139"/>
      <c r="Y13" s="186"/>
      <c r="Z13" s="139"/>
      <c r="AA13" s="139"/>
      <c r="AB13" s="139"/>
      <c r="AC13" s="139"/>
      <c r="AD13" s="139"/>
      <c r="AE13" s="186"/>
      <c r="AF13" s="139"/>
      <c r="AG13" s="139"/>
      <c r="AH13" s="129" t="s">
        <v>713</v>
      </c>
      <c r="AI13" s="139"/>
      <c r="AJ13" s="139"/>
      <c r="AK13" s="139"/>
      <c r="AL13" s="139"/>
      <c r="AM13" s="139"/>
      <c r="AN13" s="139"/>
      <c r="AO13" s="129" t="s">
        <v>716</v>
      </c>
      <c r="AP13" s="139"/>
      <c r="AQ13" s="139"/>
      <c r="AR13" s="186"/>
      <c r="AS13" s="139"/>
      <c r="AT13" s="139"/>
      <c r="AU13" s="139"/>
      <c r="AV13" s="133"/>
      <c r="AW13" s="139"/>
      <c r="AX13" s="186"/>
      <c r="AY13" s="139"/>
      <c r="AZ13" s="139"/>
      <c r="BA13" s="139"/>
      <c r="BB13" s="139"/>
      <c r="BC13" s="139"/>
      <c r="BD13" s="139"/>
      <c r="BE13" s="186"/>
      <c r="BF13" s="139"/>
      <c r="BG13" s="139"/>
      <c r="BH13" s="139"/>
      <c r="BI13" s="139"/>
      <c r="BJ13" s="139"/>
      <c r="BK13" s="139"/>
      <c r="BL13" s="186"/>
      <c r="BM13" s="186"/>
      <c r="BN13" s="186"/>
      <c r="BO13" s="186"/>
      <c r="BP13" s="186"/>
      <c r="BQ13" s="186"/>
      <c r="BR13" s="186"/>
      <c r="BS13" s="186"/>
      <c r="BT13" s="186"/>
      <c r="BU13" s="186"/>
      <c r="BV13" s="186"/>
      <c r="BW13" s="186"/>
      <c r="BX13" s="186"/>
    </row>
    <row r="14" ht="15.75" customHeight="1">
      <c r="A14" s="214" t="s">
        <v>469</v>
      </c>
      <c r="B14" s="306" t="s">
        <v>634</v>
      </c>
      <c r="C14" s="119" t="s">
        <v>133</v>
      </c>
      <c r="D14" s="182" t="s">
        <v>726</v>
      </c>
      <c r="E14" s="174" t="s">
        <v>393</v>
      </c>
      <c r="F14" s="174" t="s">
        <v>133</v>
      </c>
      <c r="G14" s="139" t="s">
        <v>729</v>
      </c>
      <c r="H14" s="132" t="str">
        <f>HYPERLINK("https://www.twitch.tv/videos/569558488","14.31")</f>
        <v>14.31</v>
      </c>
      <c r="I14" s="311" t="s">
        <v>732</v>
      </c>
      <c r="J14" s="174" t="str">
        <f>HYPERLINK("https://youtu.be/F4XtupQ5d4o","14.33")</f>
        <v>14.33</v>
      </c>
      <c r="K14" s="174" t="s">
        <v>729</v>
      </c>
      <c r="L14" s="129" t="s">
        <v>736</v>
      </c>
      <c r="M14" s="140" t="s">
        <v>737</v>
      </c>
      <c r="N14" s="174"/>
      <c r="O14" s="174" t="str">
        <f>HYPERLINK("https://www.youtube.com/watch?v=h3GaauXfeR4","14.16")</f>
        <v>14.16</v>
      </c>
      <c r="P14" s="174" t="str">
        <f>HYPERLINK("https://youtu.be/rZW3Nzg9CsM","14.20")</f>
        <v>14.20</v>
      </c>
      <c r="Q14" s="174"/>
      <c r="R14" s="133" t="s">
        <v>741</v>
      </c>
      <c r="S14" s="174" t="s">
        <v>743</v>
      </c>
      <c r="T14" s="174"/>
      <c r="U14" s="174" t="s">
        <v>744</v>
      </c>
      <c r="V14" s="174"/>
      <c r="W14" s="174"/>
      <c r="X14" s="174" t="s">
        <v>746</v>
      </c>
      <c r="Y14" s="154"/>
      <c r="Z14" s="174"/>
      <c r="AA14" s="174" t="s">
        <v>158</v>
      </c>
      <c r="AB14" s="174"/>
      <c r="AC14" s="174"/>
      <c r="AD14" s="174" t="s">
        <v>726</v>
      </c>
      <c r="AE14" s="319" t="s">
        <v>750</v>
      </c>
      <c r="AF14" s="174"/>
      <c r="AG14" s="174"/>
      <c r="AH14" s="174" t="s">
        <v>753</v>
      </c>
      <c r="AI14" s="174" t="s">
        <v>754</v>
      </c>
      <c r="AJ14" s="174"/>
      <c r="AK14" s="174" t="s">
        <v>737</v>
      </c>
      <c r="AL14" s="174"/>
      <c r="AM14" s="174"/>
      <c r="AN14" s="174"/>
      <c r="AO14" s="320"/>
      <c r="AP14" s="174"/>
      <c r="AQ14" s="174"/>
      <c r="AR14" s="154"/>
      <c r="AS14" s="174" t="s">
        <v>756</v>
      </c>
      <c r="AT14" s="174"/>
      <c r="AU14" s="174"/>
      <c r="AV14" s="320"/>
      <c r="AW14" s="174"/>
      <c r="AX14" s="154"/>
      <c r="AY14" s="174"/>
      <c r="AZ14" s="174"/>
      <c r="BA14" s="174"/>
      <c r="BB14" s="174"/>
      <c r="BC14" s="174"/>
      <c r="BD14" s="174"/>
      <c r="BE14" s="154"/>
      <c r="BF14" s="174"/>
      <c r="BG14" s="174"/>
      <c r="BH14" s="174"/>
      <c r="BI14" s="174"/>
      <c r="BJ14" s="174"/>
      <c r="BK14" s="174"/>
      <c r="BL14" s="154"/>
      <c r="BM14" s="154"/>
      <c r="BN14" s="154"/>
      <c r="BO14" s="154"/>
      <c r="BP14" s="154"/>
      <c r="BQ14" s="154"/>
      <c r="BR14" s="154"/>
      <c r="BS14" s="154"/>
      <c r="BT14" s="154"/>
      <c r="BU14" s="154"/>
      <c r="BV14" s="154"/>
      <c r="BW14" s="154"/>
      <c r="BX14" s="154"/>
    </row>
    <row r="15" ht="15.75" customHeight="1">
      <c r="A15" s="165"/>
      <c r="B15" s="286" t="s">
        <v>669</v>
      </c>
      <c r="C15" s="119" t="s">
        <v>762</v>
      </c>
      <c r="D15" s="292" t="s">
        <v>764</v>
      </c>
      <c r="E15" s="70" t="s">
        <v>767</v>
      </c>
      <c r="F15" s="174" t="s">
        <v>768</v>
      </c>
      <c r="G15" s="139" t="s">
        <v>762</v>
      </c>
      <c r="H15" s="132" t="s">
        <v>771</v>
      </c>
      <c r="I15" s="133" t="s">
        <v>772</v>
      </c>
      <c r="J15" s="174" t="str">
        <f>HYPERLINK("https://clips.twitch.tv/BusyTriangularAlmondRuleFive","13.97")</f>
        <v>13.97</v>
      </c>
      <c r="K15" s="174" t="s">
        <v>771</v>
      </c>
      <c r="L15" s="174" t="s">
        <v>774</v>
      </c>
      <c r="M15" s="182" t="s">
        <v>776</v>
      </c>
      <c r="N15" s="174" t="s">
        <v>768</v>
      </c>
      <c r="O15" s="174" t="str">
        <f>HYPERLINK("https://youtu.be/v-0tSrJ8Kf0","13.80")</f>
        <v>13.80</v>
      </c>
      <c r="P15" s="174" t="str">
        <f>HYPERLINK("https://youtu.be/Kv9otnDdZKc","13.93")</f>
        <v>13.93</v>
      </c>
      <c r="Q15" s="174" t="s">
        <v>762</v>
      </c>
      <c r="R15" s="133" t="s">
        <v>782</v>
      </c>
      <c r="S15" s="174" t="s">
        <v>774</v>
      </c>
      <c r="T15" s="174"/>
      <c r="U15" s="174"/>
      <c r="V15" s="129" t="s">
        <v>764</v>
      </c>
      <c r="W15" s="174"/>
      <c r="X15" s="174" t="s">
        <v>784</v>
      </c>
      <c r="Y15" s="186"/>
      <c r="Z15" s="174"/>
      <c r="AA15" s="174"/>
      <c r="AB15" s="174"/>
      <c r="AC15" s="174"/>
      <c r="AD15" s="174" t="s">
        <v>785</v>
      </c>
      <c r="AE15" s="245" t="s">
        <v>788</v>
      </c>
      <c r="AF15" s="174"/>
      <c r="AG15" s="174"/>
      <c r="AH15" s="174" t="s">
        <v>791</v>
      </c>
      <c r="AI15" s="174"/>
      <c r="AJ15" s="174"/>
      <c r="AK15" s="174" t="s">
        <v>791</v>
      </c>
      <c r="AL15" s="174" t="s">
        <v>762</v>
      </c>
      <c r="AM15" s="174"/>
      <c r="AN15" s="174"/>
      <c r="AO15" s="129" t="s">
        <v>774</v>
      </c>
      <c r="AP15" s="174" t="s">
        <v>794</v>
      </c>
      <c r="AQ15" s="174"/>
      <c r="AR15" s="186"/>
      <c r="AS15" s="174"/>
      <c r="AT15" s="174"/>
      <c r="AU15" s="174"/>
      <c r="AV15" s="133"/>
      <c r="AW15" s="174"/>
      <c r="AX15" s="186"/>
      <c r="AY15" s="174"/>
      <c r="AZ15" s="174"/>
      <c r="BA15" s="174"/>
      <c r="BB15" s="174"/>
      <c r="BC15" s="174"/>
      <c r="BD15" s="174"/>
      <c r="BE15" s="186"/>
      <c r="BF15" s="174"/>
      <c r="BG15" s="174"/>
      <c r="BH15" s="174"/>
      <c r="BI15" s="174"/>
      <c r="BJ15" s="174"/>
      <c r="BK15" s="174"/>
      <c r="BL15" s="186"/>
      <c r="BM15" s="186"/>
      <c r="BN15" s="186"/>
      <c r="BO15" s="186"/>
      <c r="BP15" s="186"/>
      <c r="BQ15" s="186"/>
      <c r="BR15" s="186"/>
      <c r="BS15" s="186"/>
      <c r="BT15" s="186"/>
      <c r="BU15" s="186"/>
      <c r="BV15" s="186"/>
      <c r="BW15" s="186"/>
      <c r="BX15" s="186"/>
    </row>
    <row r="16" ht="15.75" customHeight="1">
      <c r="A16" s="214" t="s">
        <v>577</v>
      </c>
      <c r="B16" s="328" t="s">
        <v>797</v>
      </c>
      <c r="C16" s="119" t="s">
        <v>798</v>
      </c>
      <c r="D16" s="182" t="s">
        <v>803</v>
      </c>
      <c r="E16" s="174" t="s">
        <v>804</v>
      </c>
      <c r="F16" s="174"/>
      <c r="G16" s="174"/>
      <c r="H16" s="222"/>
      <c r="I16" s="133" t="s">
        <v>805</v>
      </c>
      <c r="J16" s="174"/>
      <c r="K16" s="174"/>
      <c r="L16" s="174"/>
      <c r="M16" s="182" t="s">
        <v>806</v>
      </c>
      <c r="N16" s="174"/>
      <c r="O16" s="174" t="s">
        <v>798</v>
      </c>
      <c r="P16" s="174"/>
      <c r="Q16" s="174"/>
      <c r="R16" s="133"/>
      <c r="S16" s="174"/>
      <c r="T16" s="174"/>
      <c r="U16" s="174"/>
      <c r="V16" s="174" t="s">
        <v>809</v>
      </c>
      <c r="W16" s="174"/>
      <c r="X16" s="174"/>
      <c r="Y16" s="186"/>
      <c r="Z16" s="174"/>
      <c r="AA16" s="174"/>
      <c r="AB16" s="174"/>
      <c r="AC16" s="174"/>
      <c r="AD16" s="174"/>
      <c r="AE16" s="186"/>
      <c r="AF16" s="174"/>
      <c r="AG16" s="174"/>
      <c r="AH16" s="174"/>
      <c r="AI16" s="174"/>
      <c r="AJ16" s="174"/>
      <c r="AK16" s="174"/>
      <c r="AL16" s="174"/>
      <c r="AM16" s="174"/>
      <c r="AN16" s="174"/>
      <c r="AO16" s="133"/>
      <c r="AP16" s="174"/>
      <c r="AQ16" s="174"/>
      <c r="AR16" s="186"/>
      <c r="AS16" s="174"/>
      <c r="AT16" s="174"/>
      <c r="AU16" s="174"/>
      <c r="AV16" s="133"/>
      <c r="AW16" s="174"/>
      <c r="AX16" s="186"/>
      <c r="AY16" s="174"/>
      <c r="AZ16" s="174"/>
      <c r="BA16" s="174"/>
      <c r="BB16" s="174"/>
      <c r="BC16" s="174"/>
      <c r="BD16" s="174"/>
      <c r="BE16" s="186"/>
      <c r="BF16" s="174"/>
      <c r="BG16" s="174"/>
      <c r="BH16" s="174"/>
      <c r="BI16" s="174"/>
      <c r="BJ16" s="174"/>
      <c r="BK16" s="174"/>
      <c r="BL16" s="186"/>
      <c r="BM16" s="186"/>
      <c r="BN16" s="186"/>
      <c r="BO16" s="186"/>
      <c r="BP16" s="186"/>
      <c r="BQ16" s="186"/>
      <c r="BR16" s="186"/>
      <c r="BS16" s="186"/>
      <c r="BT16" s="186"/>
      <c r="BU16" s="186"/>
      <c r="BV16" s="186"/>
      <c r="BW16" s="186"/>
      <c r="BX16" s="186"/>
    </row>
    <row r="17" ht="15.75" customHeight="1">
      <c r="A17" s="165"/>
      <c r="B17" s="286" t="s">
        <v>812</v>
      </c>
      <c r="C17" s="119" t="s">
        <v>813</v>
      </c>
      <c r="D17" s="208" t="s">
        <v>816</v>
      </c>
      <c r="E17" s="139" t="s">
        <v>817</v>
      </c>
      <c r="F17" s="129" t="s">
        <v>818</v>
      </c>
      <c r="G17" s="139" t="s">
        <v>819</v>
      </c>
      <c r="H17" s="132" t="s">
        <v>821</v>
      </c>
      <c r="I17" s="133"/>
      <c r="J17" s="139"/>
      <c r="K17" s="129" t="s">
        <v>822</v>
      </c>
      <c r="L17" s="139"/>
      <c r="M17" s="208" t="s">
        <v>824</v>
      </c>
      <c r="N17" s="139" t="s">
        <v>822</v>
      </c>
      <c r="O17" s="139"/>
      <c r="P17" s="139"/>
      <c r="Q17" s="129" t="s">
        <v>827</v>
      </c>
      <c r="R17" s="133" t="s">
        <v>830</v>
      </c>
      <c r="S17" s="139" t="s">
        <v>831</v>
      </c>
      <c r="T17" s="139"/>
      <c r="U17" s="139"/>
      <c r="V17" s="139"/>
      <c r="W17" s="139" t="s">
        <v>798</v>
      </c>
      <c r="X17" s="139"/>
      <c r="Y17" s="154"/>
      <c r="Z17" s="139" t="s">
        <v>822</v>
      </c>
      <c r="AA17" s="139"/>
      <c r="AB17" s="129" t="s">
        <v>827</v>
      </c>
      <c r="AC17" s="139"/>
      <c r="AD17" s="139"/>
      <c r="AE17" s="154"/>
      <c r="AF17" s="139"/>
      <c r="AG17" s="139"/>
      <c r="AH17" s="139"/>
      <c r="AI17" s="139"/>
      <c r="AJ17" s="129" t="s">
        <v>813</v>
      </c>
      <c r="AK17" s="139" t="s">
        <v>833</v>
      </c>
      <c r="AL17" s="139"/>
      <c r="AM17" s="139"/>
      <c r="AN17" s="139"/>
      <c r="AO17" s="133"/>
      <c r="AP17" s="139"/>
      <c r="AQ17" s="139"/>
      <c r="AR17" s="154"/>
      <c r="AS17" s="139"/>
      <c r="AT17" s="139"/>
      <c r="AU17" s="139"/>
      <c r="AV17" s="133"/>
      <c r="AW17" s="139"/>
      <c r="AX17" s="154"/>
      <c r="AY17" s="139"/>
      <c r="AZ17" s="139"/>
      <c r="BA17" s="139"/>
      <c r="BB17" s="139"/>
      <c r="BC17" s="139"/>
      <c r="BD17" s="139"/>
      <c r="BE17" s="154"/>
      <c r="BF17" s="139"/>
      <c r="BG17" s="139"/>
      <c r="BH17" s="139"/>
      <c r="BI17" s="139"/>
      <c r="BJ17" s="139"/>
      <c r="BK17" s="139"/>
      <c r="BL17" s="154"/>
      <c r="BM17" s="154"/>
      <c r="BN17" s="154"/>
      <c r="BO17" s="154"/>
      <c r="BP17" s="154"/>
      <c r="BQ17" s="154"/>
      <c r="BR17" s="154"/>
      <c r="BS17" s="154"/>
      <c r="BT17" s="154"/>
      <c r="BU17" s="154"/>
      <c r="BV17" s="154"/>
      <c r="BW17" s="154"/>
      <c r="BX17" s="154"/>
    </row>
    <row r="18" ht="15.75" customHeight="1">
      <c r="A18" s="116" t="s">
        <v>838</v>
      </c>
      <c r="B18" s="117" t="s">
        <v>839</v>
      </c>
      <c r="C18" s="119" t="s">
        <v>840</v>
      </c>
      <c r="D18" s="172"/>
      <c r="E18" s="174" t="s">
        <v>842</v>
      </c>
      <c r="F18" s="174" t="s">
        <v>843</v>
      </c>
      <c r="G18" s="174"/>
      <c r="H18" s="132" t="s">
        <v>847</v>
      </c>
      <c r="I18" s="133"/>
      <c r="J18" s="174" t="s">
        <v>848</v>
      </c>
      <c r="K18" s="174"/>
      <c r="L18" s="174" t="s">
        <v>849</v>
      </c>
      <c r="M18" s="182" t="s">
        <v>852</v>
      </c>
      <c r="N18" s="174"/>
      <c r="O18" s="174" t="s">
        <v>855</v>
      </c>
      <c r="P18" s="174" t="str">
        <f>HYPERLINK("https://www.youtube.com/watch?v=2TATjRbAkgw","46.87")</f>
        <v>46.87</v>
      </c>
      <c r="Q18" s="174"/>
      <c r="R18" s="133"/>
      <c r="S18" s="174" t="str">
        <f>HYPERLINK("https://clips.twitch.tv/ManlyHedonisticDotterelOMGScoots","45.85")</f>
        <v>45.85</v>
      </c>
      <c r="T18" s="174"/>
      <c r="U18" s="174"/>
      <c r="V18" s="174"/>
      <c r="W18" s="174"/>
      <c r="X18" s="174"/>
      <c r="Y18" s="186"/>
      <c r="Z18" s="174"/>
      <c r="AA18" s="174"/>
      <c r="AB18" s="174"/>
      <c r="AC18" s="174"/>
      <c r="AD18" s="174"/>
      <c r="AE18" s="186"/>
      <c r="AF18" s="174"/>
      <c r="AG18" s="174"/>
      <c r="AH18" s="174"/>
      <c r="AI18" s="174"/>
      <c r="AJ18" s="174"/>
      <c r="AK18" s="174"/>
      <c r="AL18" s="174"/>
      <c r="AM18" s="174"/>
      <c r="AN18" s="174"/>
      <c r="AO18" s="139"/>
      <c r="AP18" s="174"/>
      <c r="AQ18" s="174"/>
      <c r="AR18" s="186"/>
      <c r="AS18" s="174"/>
      <c r="AT18" s="174"/>
      <c r="AU18" s="174" t="s">
        <v>860</v>
      </c>
      <c r="AV18" s="133"/>
      <c r="AW18" s="174"/>
      <c r="AX18" s="186"/>
      <c r="AY18" s="174"/>
      <c r="AZ18" s="174"/>
      <c r="BA18" s="174"/>
      <c r="BB18" s="174"/>
      <c r="BC18" s="174"/>
      <c r="BD18" s="174"/>
      <c r="BE18" s="186"/>
      <c r="BF18" s="174"/>
      <c r="BG18" s="174"/>
      <c r="BH18" s="174"/>
      <c r="BI18" s="174"/>
      <c r="BJ18" s="174"/>
      <c r="BK18" s="174"/>
      <c r="BL18" s="186"/>
      <c r="BM18" s="186"/>
      <c r="BN18" s="186"/>
      <c r="BO18" s="186"/>
      <c r="BP18" s="186"/>
      <c r="BQ18" s="186"/>
      <c r="BR18" s="186"/>
      <c r="BS18" s="186"/>
      <c r="BT18" s="186"/>
      <c r="BU18" s="186"/>
      <c r="BV18" s="186"/>
      <c r="BW18" s="186"/>
      <c r="BX18" s="186"/>
    </row>
    <row r="19" ht="15.75" customHeight="1">
      <c r="A19" s="165"/>
      <c r="B19" s="286" t="s">
        <v>863</v>
      </c>
      <c r="C19" s="119" t="s">
        <v>865</v>
      </c>
      <c r="D19" s="219"/>
      <c r="E19" s="174"/>
      <c r="F19" s="174" t="s">
        <v>867</v>
      </c>
      <c r="G19" s="174"/>
      <c r="H19" s="222"/>
      <c r="I19" s="133"/>
      <c r="J19" s="174"/>
      <c r="K19" s="174"/>
      <c r="L19" s="174" t="s">
        <v>329</v>
      </c>
      <c r="M19" s="140"/>
      <c r="N19" s="174"/>
      <c r="O19" s="174"/>
      <c r="P19" s="174"/>
      <c r="Q19" s="174"/>
      <c r="R19" s="133"/>
      <c r="S19" s="174" t="s">
        <v>871</v>
      </c>
      <c r="T19" s="174"/>
      <c r="U19" s="174" t="s">
        <v>872</v>
      </c>
      <c r="V19" s="174"/>
      <c r="W19" s="174"/>
      <c r="X19" s="174"/>
      <c r="Y19" s="154"/>
      <c r="Z19" s="174"/>
      <c r="AA19" s="174"/>
      <c r="AB19" s="174"/>
      <c r="AC19" s="174"/>
      <c r="AD19" s="174"/>
      <c r="AE19" s="319" t="s">
        <v>875</v>
      </c>
      <c r="AF19" s="174"/>
      <c r="AG19" s="174"/>
      <c r="AH19" s="174"/>
      <c r="AI19" s="174"/>
      <c r="AJ19" s="174"/>
      <c r="AK19" s="174"/>
      <c r="AL19" s="174"/>
      <c r="AM19" s="174" t="s">
        <v>876</v>
      </c>
      <c r="AN19" s="174"/>
      <c r="AO19" s="133"/>
      <c r="AP19" s="174"/>
      <c r="AQ19" s="174"/>
      <c r="AR19" s="154"/>
      <c r="AS19" s="174"/>
      <c r="AT19" s="174"/>
      <c r="AU19" s="174"/>
      <c r="AV19" s="133"/>
      <c r="AW19" s="174"/>
      <c r="AX19" s="154"/>
      <c r="AY19" s="174"/>
      <c r="AZ19" s="174"/>
      <c r="BA19" s="174"/>
      <c r="BB19" s="174"/>
      <c r="BC19" s="174"/>
      <c r="BD19" s="174"/>
      <c r="BE19" s="154"/>
      <c r="BF19" s="174"/>
      <c r="BG19" s="174"/>
      <c r="BH19" s="174"/>
      <c r="BI19" s="174"/>
      <c r="BJ19" s="174"/>
      <c r="BK19" s="174"/>
      <c r="BL19" s="154"/>
      <c r="BM19" s="154"/>
      <c r="BN19" s="154"/>
      <c r="BO19" s="154"/>
      <c r="BP19" s="154"/>
      <c r="BQ19" s="154"/>
      <c r="BR19" s="154"/>
      <c r="BS19" s="154"/>
      <c r="BT19" s="154"/>
      <c r="BU19" s="154"/>
      <c r="BV19" s="154"/>
      <c r="BW19" s="154"/>
      <c r="BX19" s="154"/>
    </row>
    <row r="20" ht="15.75" customHeight="1">
      <c r="A20" s="265"/>
      <c r="B20" s="349" t="s">
        <v>879</v>
      </c>
      <c r="C20" s="119" t="s">
        <v>881</v>
      </c>
      <c r="D20" s="292" t="s">
        <v>883</v>
      </c>
      <c r="E20" s="174" t="s">
        <v>885</v>
      </c>
      <c r="F20" s="174" t="s">
        <v>881</v>
      </c>
      <c r="G20" s="129" t="s">
        <v>888</v>
      </c>
      <c r="H20" s="132" t="s">
        <v>891</v>
      </c>
      <c r="I20" s="133" t="s">
        <v>894</v>
      </c>
      <c r="J20" s="174" t="str">
        <f>HYPERLINK("https://clips.twitch.tv/EnergeticBeautifulMallardRalpherZ","42.96")</f>
        <v>42.96</v>
      </c>
      <c r="K20" s="174" t="s">
        <v>421</v>
      </c>
      <c r="L20" s="129" t="s">
        <v>898</v>
      </c>
      <c r="M20" s="355"/>
      <c r="N20" s="174" t="s">
        <v>901</v>
      </c>
      <c r="O20" s="174" t="s">
        <v>904</v>
      </c>
      <c r="P20" s="174" t="s">
        <v>394</v>
      </c>
      <c r="Q20" s="174" t="s">
        <v>906</v>
      </c>
      <c r="R20" s="133" t="s">
        <v>908</v>
      </c>
      <c r="S20" s="174" t="s">
        <v>885</v>
      </c>
      <c r="T20" s="129" t="s">
        <v>909</v>
      </c>
      <c r="U20" s="174"/>
      <c r="V20" s="174" t="s">
        <v>911</v>
      </c>
      <c r="W20" s="174"/>
      <c r="X20" s="174" t="s">
        <v>914</v>
      </c>
      <c r="Y20" s="186"/>
      <c r="Z20" s="174" t="s">
        <v>888</v>
      </c>
      <c r="AA20" s="174"/>
      <c r="AB20" s="174"/>
      <c r="AC20" s="174"/>
      <c r="AD20" s="174" t="s">
        <v>917</v>
      </c>
      <c r="AE20" s="188" t="s">
        <v>923</v>
      </c>
      <c r="AF20" s="174"/>
      <c r="AG20" s="174"/>
      <c r="AH20" s="174"/>
      <c r="AI20" s="174"/>
      <c r="AJ20" s="174"/>
      <c r="AK20" s="174"/>
      <c r="AL20" s="174" t="str">
        <f>HYPERLINK("https://www.youtube.com/watch?v=XcowqtMv72o","42.92")</f>
        <v>42.92</v>
      </c>
      <c r="AM20" s="174"/>
      <c r="AN20" s="174"/>
      <c r="AO20" s="133"/>
      <c r="AP20" s="174"/>
      <c r="AQ20" s="174"/>
      <c r="AR20" s="186"/>
      <c r="AS20" s="174"/>
      <c r="AT20" s="174"/>
      <c r="AU20" s="174"/>
      <c r="AV20" s="133"/>
      <c r="AW20" s="174"/>
      <c r="AX20" s="186"/>
      <c r="AY20" s="174"/>
      <c r="AZ20" s="174"/>
      <c r="BA20" s="174"/>
      <c r="BB20" s="174"/>
      <c r="BC20" s="174"/>
      <c r="BD20" s="174"/>
      <c r="BE20" s="186"/>
      <c r="BF20" s="174"/>
      <c r="BG20" s="174"/>
      <c r="BH20" s="174"/>
      <c r="BI20" s="174"/>
      <c r="BJ20" s="174"/>
      <c r="BK20" s="174"/>
      <c r="BL20" s="186"/>
      <c r="BM20" s="186"/>
      <c r="BN20" s="186"/>
      <c r="BO20" s="186"/>
      <c r="BP20" s="186"/>
      <c r="BQ20" s="186"/>
      <c r="BR20" s="186"/>
      <c r="BS20" s="186"/>
      <c r="BT20" s="186"/>
      <c r="BU20" s="186"/>
      <c r="BV20" s="186"/>
      <c r="BW20" s="186"/>
      <c r="BX20" s="186"/>
    </row>
    <row r="21" ht="15.75" customHeight="1">
      <c r="A21" s="116" t="s">
        <v>936</v>
      </c>
      <c r="B21" s="117" t="s">
        <v>937</v>
      </c>
      <c r="C21" s="370" t="s">
        <v>938</v>
      </c>
      <c r="D21" s="219"/>
      <c r="E21" s="104"/>
      <c r="F21" s="104"/>
      <c r="G21" s="104"/>
      <c r="H21" s="222"/>
      <c r="I21" s="372"/>
      <c r="J21" s="104"/>
      <c r="K21" s="104"/>
      <c r="L21" s="104"/>
      <c r="M21" s="208" t="s">
        <v>944</v>
      </c>
      <c r="N21" s="104"/>
      <c r="O21" s="104"/>
      <c r="P21" s="104"/>
      <c r="Q21" s="104"/>
      <c r="R21" s="372"/>
      <c r="S21" s="104"/>
      <c r="T21" s="374" t="s">
        <v>938</v>
      </c>
      <c r="U21" s="104"/>
      <c r="V21" s="104"/>
      <c r="W21" s="104"/>
      <c r="X21" s="104"/>
      <c r="Y21" s="154"/>
      <c r="Z21" s="104"/>
      <c r="AA21" s="104"/>
      <c r="AB21" s="104"/>
      <c r="AC21" s="104"/>
      <c r="AD21" s="104"/>
      <c r="AE21" s="154"/>
      <c r="AF21" s="104"/>
      <c r="AG21" s="104"/>
      <c r="AH21" s="104"/>
      <c r="AI21" s="104"/>
      <c r="AJ21" s="104"/>
      <c r="AK21" s="104"/>
      <c r="AL21" s="104"/>
      <c r="AM21" s="104"/>
      <c r="AN21" s="104"/>
      <c r="AO21" s="376"/>
      <c r="AP21" s="104"/>
      <c r="AQ21" s="104"/>
      <c r="AR21" s="154"/>
      <c r="AS21" s="104"/>
      <c r="AT21" s="104"/>
      <c r="AU21" s="104"/>
      <c r="AV21" s="372"/>
      <c r="AW21" s="104"/>
      <c r="AX21" s="154"/>
      <c r="AY21" s="104"/>
      <c r="AZ21" s="104"/>
      <c r="BA21" s="104"/>
      <c r="BB21" s="104"/>
      <c r="BC21" s="104"/>
      <c r="BD21" s="104"/>
      <c r="BE21" s="154"/>
      <c r="BF21" s="104"/>
      <c r="BG21" s="104"/>
      <c r="BH21" s="104"/>
      <c r="BI21" s="104"/>
      <c r="BJ21" s="104"/>
      <c r="BK21" s="104"/>
      <c r="BL21" s="154"/>
      <c r="BM21" s="154"/>
      <c r="BN21" s="154"/>
      <c r="BO21" s="154"/>
      <c r="BP21" s="154"/>
      <c r="BQ21" s="154"/>
      <c r="BR21" s="154"/>
      <c r="BS21" s="154"/>
      <c r="BT21" s="154"/>
      <c r="BU21" s="154"/>
      <c r="BV21" s="154"/>
      <c r="BW21" s="154"/>
      <c r="BX21" s="154"/>
    </row>
    <row r="22" ht="15.75" customHeight="1">
      <c r="A22" s="165"/>
      <c r="B22" s="286" t="s">
        <v>975</v>
      </c>
      <c r="C22" s="119" t="s">
        <v>977</v>
      </c>
      <c r="D22" s="219"/>
      <c r="E22" s="104"/>
      <c r="F22" s="104"/>
      <c r="G22" s="104"/>
      <c r="H22" s="222"/>
      <c r="I22" s="372"/>
      <c r="J22" s="104"/>
      <c r="K22" s="104"/>
      <c r="L22" s="104"/>
      <c r="M22" s="208" t="s">
        <v>993</v>
      </c>
      <c r="N22" s="104"/>
      <c r="O22" s="104"/>
      <c r="P22" s="104"/>
      <c r="Q22" s="104"/>
      <c r="R22" s="372"/>
      <c r="S22" s="104"/>
      <c r="T22" s="104"/>
      <c r="U22" s="385" t="s">
        <v>977</v>
      </c>
      <c r="V22" s="104"/>
      <c r="W22" s="104"/>
      <c r="X22" s="104"/>
      <c r="Y22" s="154"/>
      <c r="Z22" s="104"/>
      <c r="AA22" s="104"/>
      <c r="AB22" s="104"/>
      <c r="AC22" s="104"/>
      <c r="AD22" s="104"/>
      <c r="AE22" s="154"/>
      <c r="AF22" s="104"/>
      <c r="AG22" s="104"/>
      <c r="AH22" s="104"/>
      <c r="AI22" s="104"/>
      <c r="AJ22" s="104"/>
      <c r="AK22" s="104"/>
      <c r="AL22" s="104"/>
      <c r="AM22" s="104"/>
      <c r="AN22" s="104"/>
      <c r="AO22" s="376"/>
      <c r="AP22" s="104"/>
      <c r="AQ22" s="104"/>
      <c r="AR22" s="154"/>
      <c r="AS22" s="104"/>
      <c r="AT22" s="104"/>
      <c r="AU22" s="104"/>
      <c r="AV22" s="372"/>
      <c r="AW22" s="104"/>
      <c r="AX22" s="154"/>
      <c r="AY22" s="104"/>
      <c r="AZ22" s="104"/>
      <c r="BA22" s="104"/>
      <c r="BB22" s="104"/>
      <c r="BC22" s="104"/>
      <c r="BD22" s="104"/>
      <c r="BE22" s="154"/>
      <c r="BF22" s="104"/>
      <c r="BG22" s="104"/>
      <c r="BH22" s="104"/>
      <c r="BI22" s="104"/>
      <c r="BJ22" s="104"/>
      <c r="BK22" s="104"/>
      <c r="BL22" s="154"/>
      <c r="BM22" s="154"/>
      <c r="BN22" s="154"/>
      <c r="BO22" s="154"/>
      <c r="BP22" s="154"/>
      <c r="BQ22" s="154"/>
      <c r="BR22" s="154"/>
      <c r="BS22" s="154"/>
      <c r="BT22" s="154"/>
      <c r="BU22" s="154"/>
      <c r="BV22" s="154"/>
      <c r="BW22" s="154"/>
      <c r="BX22" s="154"/>
    </row>
    <row r="23" ht="15.75" customHeight="1">
      <c r="A23" s="265"/>
      <c r="B23" s="349" t="s">
        <v>1069</v>
      </c>
      <c r="C23" s="119" t="s">
        <v>798</v>
      </c>
      <c r="D23" s="219"/>
      <c r="E23" s="104"/>
      <c r="F23" s="104" t="s">
        <v>450</v>
      </c>
      <c r="G23" s="104"/>
      <c r="H23" s="222" t="s">
        <v>1083</v>
      </c>
      <c r="I23" s="372"/>
      <c r="J23" s="104"/>
      <c r="K23" s="104"/>
      <c r="L23" s="104"/>
      <c r="M23" s="208" t="s">
        <v>1085</v>
      </c>
      <c r="N23" s="104"/>
      <c r="O23" s="104"/>
      <c r="P23" s="104"/>
      <c r="Q23" s="104"/>
      <c r="R23" s="372"/>
      <c r="S23" s="104" t="s">
        <v>1091</v>
      </c>
      <c r="T23" s="104"/>
      <c r="U23" s="104"/>
      <c r="V23" s="104"/>
      <c r="W23" s="104"/>
      <c r="X23" s="104"/>
      <c r="Y23" s="154"/>
      <c r="Z23" s="104"/>
      <c r="AA23" s="104"/>
      <c r="AB23" s="104"/>
      <c r="AC23" s="104"/>
      <c r="AD23" s="104"/>
      <c r="AE23" s="154"/>
      <c r="AF23" s="104"/>
      <c r="AG23" s="104"/>
      <c r="AH23" s="104"/>
      <c r="AI23" s="104"/>
      <c r="AJ23" s="104"/>
      <c r="AK23" s="104"/>
      <c r="AL23" s="104"/>
      <c r="AM23" s="104"/>
      <c r="AN23" s="104"/>
      <c r="AO23" s="376"/>
      <c r="AP23" s="104"/>
      <c r="AQ23" s="104"/>
      <c r="AR23" s="154"/>
      <c r="AS23" s="104"/>
      <c r="AT23" s="104"/>
      <c r="AU23" s="104"/>
      <c r="AV23" s="372"/>
      <c r="AW23" s="104"/>
      <c r="AX23" s="154"/>
      <c r="AY23" s="104"/>
      <c r="AZ23" s="104"/>
      <c r="BA23" s="104"/>
      <c r="BB23" s="104"/>
      <c r="BC23" s="104"/>
      <c r="BD23" s="104"/>
      <c r="BE23" s="154"/>
      <c r="BF23" s="104"/>
      <c r="BG23" s="104"/>
      <c r="BH23" s="104"/>
      <c r="BI23" s="104"/>
      <c r="BJ23" s="104"/>
      <c r="BK23" s="104"/>
      <c r="BL23" s="154"/>
      <c r="BM23" s="154"/>
      <c r="BN23" s="154"/>
      <c r="BO23" s="154"/>
      <c r="BP23" s="154"/>
      <c r="BQ23" s="154"/>
      <c r="BR23" s="154"/>
      <c r="BS23" s="154"/>
      <c r="BT23" s="154"/>
      <c r="BU23" s="154"/>
      <c r="BV23" s="154"/>
      <c r="BW23" s="154"/>
      <c r="BX23" s="154"/>
    </row>
    <row r="24" ht="15.75" customHeight="1">
      <c r="A24" s="165"/>
      <c r="B24" s="286" t="s">
        <v>1096</v>
      </c>
      <c r="C24" s="119" t="s">
        <v>1097</v>
      </c>
      <c r="D24" s="208" t="s">
        <v>1101</v>
      </c>
      <c r="E24" s="174"/>
      <c r="F24" s="174" t="s">
        <v>833</v>
      </c>
      <c r="G24" s="174" t="s">
        <v>1106</v>
      </c>
      <c r="H24" s="222"/>
      <c r="I24" s="133"/>
      <c r="J24" s="174"/>
      <c r="K24" s="174"/>
      <c r="L24" s="174"/>
      <c r="M24" s="219"/>
      <c r="N24" s="174" t="s">
        <v>1110</v>
      </c>
      <c r="O24" s="174"/>
      <c r="P24" s="174"/>
      <c r="Q24" s="174"/>
      <c r="R24" s="133"/>
      <c r="S24" s="174" t="s">
        <v>1111</v>
      </c>
      <c r="T24" s="174"/>
      <c r="U24" s="174"/>
      <c r="V24" s="174"/>
      <c r="W24" s="174"/>
      <c r="X24" s="174"/>
      <c r="Y24" s="186"/>
      <c r="Z24" s="174"/>
      <c r="AA24" s="174"/>
      <c r="AB24" s="174" t="s">
        <v>1113</v>
      </c>
      <c r="AC24" s="174"/>
      <c r="AD24" s="174"/>
      <c r="AE24" s="186"/>
      <c r="AF24" s="174"/>
      <c r="AG24" s="174"/>
      <c r="AH24" s="174"/>
      <c r="AI24" s="174"/>
      <c r="AJ24" s="174" t="s">
        <v>1097</v>
      </c>
      <c r="AK24" s="174"/>
      <c r="AL24" s="174"/>
      <c r="AM24" s="174"/>
      <c r="AN24" s="174"/>
      <c r="AO24" s="133"/>
      <c r="AP24" s="174"/>
      <c r="AQ24" s="174"/>
      <c r="AR24" s="186"/>
      <c r="AS24" s="174"/>
      <c r="AT24" s="174"/>
      <c r="AU24" s="174"/>
      <c r="AV24" s="133"/>
      <c r="AW24" s="174"/>
      <c r="AX24" s="186"/>
      <c r="AY24" s="174"/>
      <c r="AZ24" s="174"/>
      <c r="BA24" s="174"/>
      <c r="BB24" s="174"/>
      <c r="BC24" s="174"/>
      <c r="BD24" s="174"/>
      <c r="BE24" s="186"/>
      <c r="BF24" s="174"/>
      <c r="BG24" s="174"/>
      <c r="BH24" s="174"/>
      <c r="BI24" s="174"/>
      <c r="BJ24" s="174"/>
      <c r="BK24" s="174"/>
      <c r="BL24" s="186"/>
      <c r="BM24" s="186"/>
      <c r="BN24" s="186"/>
      <c r="BO24" s="186"/>
      <c r="BP24" s="186"/>
      <c r="BQ24" s="186"/>
      <c r="BR24" s="186"/>
      <c r="BS24" s="186"/>
      <c r="BT24" s="186"/>
      <c r="BU24" s="186"/>
      <c r="BV24" s="186"/>
      <c r="BW24" s="186"/>
      <c r="BX24" s="186"/>
    </row>
    <row r="25" ht="15.75" customHeight="1">
      <c r="A25" s="116" t="s">
        <v>1122</v>
      </c>
      <c r="B25" s="117" t="s">
        <v>1125</v>
      </c>
      <c r="C25" s="119" t="s">
        <v>646</v>
      </c>
      <c r="D25" s="219"/>
      <c r="E25" s="174"/>
      <c r="F25" s="174" t="s">
        <v>646</v>
      </c>
      <c r="G25" s="174"/>
      <c r="H25" s="222"/>
      <c r="I25" s="133"/>
      <c r="J25" s="174"/>
      <c r="K25" s="174"/>
      <c r="L25" s="174"/>
      <c r="M25" s="172"/>
      <c r="N25" s="174"/>
      <c r="O25" s="174"/>
      <c r="P25" s="174" t="s">
        <v>1134</v>
      </c>
      <c r="Q25" s="174"/>
      <c r="R25" s="133"/>
      <c r="S25" s="174" t="s">
        <v>1137</v>
      </c>
      <c r="T25" s="174"/>
      <c r="U25" s="174"/>
      <c r="V25" s="174"/>
      <c r="W25" s="174"/>
      <c r="X25" s="174"/>
      <c r="Y25" s="154"/>
      <c r="Z25" s="174"/>
      <c r="AA25" s="174"/>
      <c r="AB25" s="174"/>
      <c r="AC25" s="174"/>
      <c r="AD25" s="174"/>
      <c r="AE25" s="154"/>
      <c r="AF25" s="174"/>
      <c r="AG25" s="174"/>
      <c r="AH25" s="174"/>
      <c r="AI25" s="174"/>
      <c r="AJ25" s="174"/>
      <c r="AK25" s="174"/>
      <c r="AL25" s="174"/>
      <c r="AM25" s="174"/>
      <c r="AN25" s="174"/>
      <c r="AO25" s="133"/>
      <c r="AP25" s="174"/>
      <c r="AQ25" s="174"/>
      <c r="AR25" s="154"/>
      <c r="AS25" s="174"/>
      <c r="AT25" s="174"/>
      <c r="AU25" s="174"/>
      <c r="AV25" s="133"/>
      <c r="AW25" s="174"/>
      <c r="AX25" s="154"/>
      <c r="AY25" s="174"/>
      <c r="AZ25" s="174"/>
      <c r="BA25" s="174"/>
      <c r="BB25" s="174"/>
      <c r="BC25" s="174"/>
      <c r="BD25" s="174"/>
      <c r="BE25" s="154"/>
      <c r="BF25" s="174"/>
      <c r="BG25" s="174"/>
      <c r="BH25" s="174"/>
      <c r="BI25" s="174"/>
      <c r="BJ25" s="174"/>
      <c r="BK25" s="174"/>
      <c r="BL25" s="154"/>
      <c r="BM25" s="154"/>
      <c r="BN25" s="154"/>
      <c r="BO25" s="154"/>
      <c r="BP25" s="154"/>
      <c r="BQ25" s="154"/>
      <c r="BR25" s="154"/>
      <c r="BS25" s="154"/>
      <c r="BT25" s="154"/>
      <c r="BU25" s="154"/>
      <c r="BV25" s="154"/>
      <c r="BW25" s="154"/>
      <c r="BX25" s="154"/>
    </row>
    <row r="26" ht="15.75" customHeight="1">
      <c r="A26" s="414"/>
      <c r="B26" s="286" t="s">
        <v>1143</v>
      </c>
      <c r="C26" s="119" t="s">
        <v>1145</v>
      </c>
      <c r="D26" s="208" t="s">
        <v>1149</v>
      </c>
      <c r="E26" s="174"/>
      <c r="F26" s="174" t="s">
        <v>1154</v>
      </c>
      <c r="G26" s="174"/>
      <c r="H26" s="222"/>
      <c r="I26" s="133" t="s">
        <v>1158</v>
      </c>
      <c r="J26" s="174"/>
      <c r="K26" s="174"/>
      <c r="L26" s="174"/>
      <c r="M26" s="355" t="s">
        <v>1159</v>
      </c>
      <c r="N26" s="174"/>
      <c r="O26" s="174"/>
      <c r="P26" s="174"/>
      <c r="Q26" s="174"/>
      <c r="R26" s="133"/>
      <c r="S26" s="174" t="s">
        <v>1154</v>
      </c>
      <c r="T26" s="174"/>
      <c r="U26" s="174"/>
      <c r="V26" s="174"/>
      <c r="W26" s="174"/>
      <c r="X26" s="174"/>
      <c r="Y26" s="186"/>
      <c r="Z26" s="174"/>
      <c r="AA26" s="174"/>
      <c r="AB26" s="174"/>
      <c r="AC26" s="174"/>
      <c r="AD26" s="174"/>
      <c r="AE26" s="186"/>
      <c r="AF26" s="174"/>
      <c r="AG26" s="174"/>
      <c r="AH26" s="174"/>
      <c r="AI26" s="174"/>
      <c r="AJ26" s="174"/>
      <c r="AK26" s="174"/>
      <c r="AL26" s="174"/>
      <c r="AM26" s="174"/>
      <c r="AN26" s="174"/>
      <c r="AO26" s="133"/>
      <c r="AP26" s="174"/>
      <c r="AQ26" s="174"/>
      <c r="AR26" s="186"/>
      <c r="AS26" s="174"/>
      <c r="AT26" s="174"/>
      <c r="AU26" s="174"/>
      <c r="AV26" s="133"/>
      <c r="AW26" s="174"/>
      <c r="AX26" s="186"/>
      <c r="AY26" s="174"/>
      <c r="AZ26" s="174"/>
      <c r="BA26" s="174"/>
      <c r="BB26" s="174"/>
      <c r="BC26" s="174"/>
      <c r="BD26" s="174"/>
      <c r="BE26" s="186"/>
      <c r="BF26" s="174"/>
      <c r="BG26" s="174"/>
      <c r="BH26" s="174"/>
      <c r="BI26" s="174"/>
      <c r="BJ26" s="174"/>
      <c r="BK26" s="174"/>
      <c r="BL26" s="186"/>
      <c r="BM26" s="186"/>
      <c r="BN26" s="186"/>
      <c r="BO26" s="186"/>
      <c r="BP26" s="186"/>
      <c r="BQ26" s="186"/>
      <c r="BR26" s="186"/>
      <c r="BS26" s="186"/>
      <c r="BT26" s="186"/>
      <c r="BU26" s="186"/>
      <c r="BV26" s="186"/>
      <c r="BW26" s="186"/>
      <c r="BX26" s="186"/>
    </row>
    <row r="27" ht="15.75" customHeight="1">
      <c r="A27" s="418"/>
      <c r="B27" s="349" t="s">
        <v>1166</v>
      </c>
      <c r="C27" s="119" t="s">
        <v>1168</v>
      </c>
      <c r="D27" s="182" t="s">
        <v>570</v>
      </c>
      <c r="E27" s="129" t="s">
        <v>1174</v>
      </c>
      <c r="F27" s="174" t="s">
        <v>1178</v>
      </c>
      <c r="G27" s="174"/>
      <c r="H27" s="222"/>
      <c r="I27" s="133"/>
      <c r="J27" s="174"/>
      <c r="K27" s="174"/>
      <c r="L27" s="174"/>
      <c r="M27" s="172"/>
      <c r="N27" s="174"/>
      <c r="O27" s="174"/>
      <c r="P27" s="174"/>
      <c r="Q27" s="174"/>
      <c r="R27" s="133"/>
      <c r="S27" s="174"/>
      <c r="T27" s="174" t="s">
        <v>1184</v>
      </c>
      <c r="U27" s="174"/>
      <c r="V27" s="174"/>
      <c r="W27" s="174"/>
      <c r="X27" s="174"/>
      <c r="Y27" s="154"/>
      <c r="Z27" s="174"/>
      <c r="AA27" s="174"/>
      <c r="AB27" s="174"/>
      <c r="AC27" s="174"/>
      <c r="AD27" s="174"/>
      <c r="AE27" s="154"/>
      <c r="AF27" s="174"/>
      <c r="AG27" s="174"/>
      <c r="AH27" s="174"/>
      <c r="AI27" s="174"/>
      <c r="AJ27" s="174"/>
      <c r="AK27" s="174"/>
      <c r="AL27" s="174"/>
      <c r="AM27" s="174"/>
      <c r="AN27" s="174"/>
      <c r="AO27" s="129" t="s">
        <v>1188</v>
      </c>
      <c r="AP27" s="174"/>
      <c r="AQ27" s="174"/>
      <c r="AR27" s="154"/>
      <c r="AS27" s="174"/>
      <c r="AT27" s="174"/>
      <c r="AU27" s="174"/>
      <c r="AV27" s="133"/>
      <c r="AW27" s="174"/>
      <c r="AX27" s="154"/>
      <c r="AY27" s="174"/>
      <c r="AZ27" s="174"/>
      <c r="BA27" s="174"/>
      <c r="BB27" s="174"/>
      <c r="BC27" s="174"/>
      <c r="BD27" s="174"/>
      <c r="BE27" s="154"/>
      <c r="BF27" s="174"/>
      <c r="BG27" s="174"/>
      <c r="BH27" s="174"/>
      <c r="BI27" s="174"/>
      <c r="BJ27" s="174"/>
      <c r="BK27" s="174"/>
      <c r="BL27" s="154"/>
      <c r="BM27" s="154"/>
      <c r="BN27" s="154"/>
      <c r="BO27" s="154"/>
      <c r="BP27" s="154"/>
      <c r="BQ27" s="154"/>
      <c r="BR27" s="154"/>
      <c r="BS27" s="154"/>
      <c r="BT27" s="154"/>
      <c r="BU27" s="154"/>
      <c r="BV27" s="154"/>
      <c r="BW27" s="154"/>
      <c r="BX27" s="154"/>
    </row>
    <row r="28" ht="15.75" customHeight="1">
      <c r="A28" s="414"/>
      <c r="B28" s="286" t="s">
        <v>1195</v>
      </c>
      <c r="C28" s="119" t="s">
        <v>1196</v>
      </c>
      <c r="D28" s="124" t="s">
        <v>1196</v>
      </c>
      <c r="E28" s="174"/>
      <c r="F28" s="174" t="s">
        <v>1199</v>
      </c>
      <c r="G28" s="174"/>
      <c r="H28" s="132" t="s">
        <v>1204</v>
      </c>
      <c r="I28" s="133"/>
      <c r="J28" s="174"/>
      <c r="K28" s="174" t="s">
        <v>1209</v>
      </c>
      <c r="L28" s="174" t="s">
        <v>1214</v>
      </c>
      <c r="M28" s="219"/>
      <c r="N28" s="174"/>
      <c r="O28" s="174"/>
      <c r="P28" s="174"/>
      <c r="Q28" s="174" t="s">
        <v>1215</v>
      </c>
      <c r="R28" s="133" t="s">
        <v>1220</v>
      </c>
      <c r="S28" s="174" t="s">
        <v>1221</v>
      </c>
      <c r="T28" s="174"/>
      <c r="U28" s="174"/>
      <c r="V28" s="174" t="s">
        <v>1222</v>
      </c>
      <c r="W28" s="174" t="s">
        <v>1226</v>
      </c>
      <c r="X28" s="174"/>
      <c r="Y28" s="186"/>
      <c r="Z28" s="174"/>
      <c r="AA28" s="174"/>
      <c r="AB28" s="174"/>
      <c r="AC28" s="174"/>
      <c r="AD28" s="174"/>
      <c r="AE28" s="186"/>
      <c r="AF28" s="174"/>
      <c r="AG28" s="174"/>
      <c r="AH28" s="174"/>
      <c r="AI28" s="174"/>
      <c r="AJ28" s="174"/>
      <c r="AK28" s="174"/>
      <c r="AL28" s="174"/>
      <c r="AM28" s="174"/>
      <c r="AN28" s="174"/>
      <c r="AO28" s="133"/>
      <c r="AP28" s="174"/>
      <c r="AQ28" s="174"/>
      <c r="AR28" s="186"/>
      <c r="AS28" s="174"/>
      <c r="AT28" s="174"/>
      <c r="AU28" s="174"/>
      <c r="AV28" s="133"/>
      <c r="AW28" s="174"/>
      <c r="AX28" s="186"/>
      <c r="AY28" s="174"/>
      <c r="AZ28" s="174"/>
      <c r="BA28" s="174"/>
      <c r="BB28" s="174"/>
      <c r="BC28" s="174"/>
      <c r="BD28" s="174"/>
      <c r="BE28" s="186"/>
      <c r="BF28" s="174"/>
      <c r="BG28" s="174"/>
      <c r="BH28" s="174"/>
      <c r="BI28" s="174"/>
      <c r="BJ28" s="174"/>
      <c r="BK28" s="174"/>
      <c r="BL28" s="186"/>
      <c r="BM28" s="186"/>
      <c r="BN28" s="186"/>
      <c r="BO28" s="186"/>
      <c r="BP28" s="186"/>
      <c r="BQ28" s="186"/>
      <c r="BR28" s="186"/>
      <c r="BS28" s="186"/>
      <c r="BT28" s="186"/>
      <c r="BU28" s="186"/>
      <c r="BV28" s="186"/>
      <c r="BW28" s="186"/>
      <c r="BX28" s="186"/>
    </row>
    <row r="29" ht="15.75" customHeight="1">
      <c r="A29" s="214" t="s">
        <v>469</v>
      </c>
      <c r="B29" s="215" t="s">
        <v>1233</v>
      </c>
      <c r="C29" s="119" t="s">
        <v>1234</v>
      </c>
      <c r="D29" s="219"/>
      <c r="E29" s="174" t="s">
        <v>1238</v>
      </c>
      <c r="F29" s="174" t="s">
        <v>1234</v>
      </c>
      <c r="G29" s="174"/>
      <c r="H29" s="132" t="s">
        <v>1239</v>
      </c>
      <c r="I29" s="133"/>
      <c r="J29" s="174"/>
      <c r="K29" s="174"/>
      <c r="L29" s="174" t="s">
        <v>1238</v>
      </c>
      <c r="M29" s="208" t="s">
        <v>1245</v>
      </c>
      <c r="N29" s="174"/>
      <c r="O29" s="174"/>
      <c r="P29" s="174"/>
      <c r="Q29" s="174"/>
      <c r="R29" s="133"/>
      <c r="S29" s="174"/>
      <c r="T29" s="174"/>
      <c r="U29" s="174"/>
      <c r="V29" s="174"/>
      <c r="W29" s="174"/>
      <c r="X29" s="174"/>
      <c r="Y29" s="154"/>
      <c r="Z29" s="174"/>
      <c r="AA29" s="174"/>
      <c r="AB29" s="174"/>
      <c r="AC29" s="174"/>
      <c r="AD29" s="174"/>
      <c r="AE29" s="154"/>
      <c r="AF29" s="174"/>
      <c r="AG29" s="174"/>
      <c r="AH29" s="174"/>
      <c r="AI29" s="174"/>
      <c r="AJ29" s="174"/>
      <c r="AK29" s="174"/>
      <c r="AL29" s="174"/>
      <c r="AM29" s="174" t="s">
        <v>1250</v>
      </c>
      <c r="AN29" s="174"/>
      <c r="AO29" s="129" t="s">
        <v>1252</v>
      </c>
      <c r="AP29" s="174"/>
      <c r="AQ29" s="174"/>
      <c r="AR29" s="154"/>
      <c r="AS29" s="174"/>
      <c r="AT29" s="174"/>
      <c r="AU29" s="174"/>
      <c r="AV29" s="133"/>
      <c r="AW29" s="174"/>
      <c r="AX29" s="154"/>
      <c r="AY29" s="174"/>
      <c r="AZ29" s="174"/>
      <c r="BA29" s="174"/>
      <c r="BB29" s="434" t="s">
        <v>1261</v>
      </c>
      <c r="BC29" s="174"/>
      <c r="BD29" s="174"/>
      <c r="BE29" s="154"/>
      <c r="BF29" s="174"/>
      <c r="BG29" s="174"/>
      <c r="BH29" s="174"/>
      <c r="BI29" s="174"/>
      <c r="BJ29" s="174"/>
      <c r="BK29" s="174"/>
      <c r="BL29" s="154"/>
      <c r="BM29" s="154"/>
      <c r="BN29" s="154"/>
      <c r="BO29" s="154"/>
      <c r="BP29" s="154"/>
      <c r="BQ29" s="154"/>
      <c r="BR29" s="154"/>
      <c r="BS29" s="154"/>
      <c r="BT29" s="154"/>
      <c r="BU29" s="154"/>
      <c r="BV29" s="154"/>
      <c r="BW29" s="154"/>
      <c r="BX29" s="154"/>
    </row>
    <row r="30" ht="15.75" customHeight="1">
      <c r="A30" s="414"/>
      <c r="B30" s="286" t="s">
        <v>1267</v>
      </c>
      <c r="C30" s="119" t="s">
        <v>1268</v>
      </c>
      <c r="D30" s="172"/>
      <c r="E30" s="174"/>
      <c r="F30" s="174" t="s">
        <v>1268</v>
      </c>
      <c r="G30" s="174"/>
      <c r="H30" s="222"/>
      <c r="I30" s="133"/>
      <c r="J30" s="174"/>
      <c r="K30" s="174"/>
      <c r="L30" s="174" t="s">
        <v>1273</v>
      </c>
      <c r="M30" s="182" t="s">
        <v>501</v>
      </c>
      <c r="N30" s="174"/>
      <c r="O30" s="174"/>
      <c r="P30" s="174"/>
      <c r="Q30" s="174"/>
      <c r="R30" s="133"/>
      <c r="S30" s="174"/>
      <c r="T30" s="174"/>
      <c r="U30" s="174"/>
      <c r="V30" s="174"/>
      <c r="W30" s="174"/>
      <c r="X30" s="174"/>
      <c r="Y30" s="186"/>
      <c r="Z30" s="174"/>
      <c r="AA30" s="174"/>
      <c r="AB30" s="174"/>
      <c r="AC30" s="174"/>
      <c r="AD30" s="174"/>
      <c r="AE30" s="186"/>
      <c r="AF30" s="174"/>
      <c r="AG30" s="174"/>
      <c r="AH30" s="174"/>
      <c r="AI30" s="174"/>
      <c r="AJ30" s="174"/>
      <c r="AK30" s="174"/>
      <c r="AL30" s="174"/>
      <c r="AM30" s="174" t="s">
        <v>1286</v>
      </c>
      <c r="AN30" s="174"/>
      <c r="AO30" s="139"/>
      <c r="AP30" s="174"/>
      <c r="AQ30" s="174"/>
      <c r="AR30" s="186"/>
      <c r="AS30" s="174"/>
      <c r="AT30" s="174"/>
      <c r="AU30" s="174"/>
      <c r="AV30" s="133"/>
      <c r="AW30" s="174"/>
      <c r="AX30" s="186"/>
      <c r="AY30" s="174"/>
      <c r="AZ30" s="174"/>
      <c r="BA30" s="174"/>
      <c r="BB30" s="174"/>
      <c r="BC30" s="174"/>
      <c r="BD30" s="174"/>
      <c r="BE30" s="186"/>
      <c r="BF30" s="174"/>
      <c r="BG30" s="174"/>
      <c r="BH30" s="174"/>
      <c r="BI30" s="174"/>
      <c r="BJ30" s="174"/>
      <c r="BK30" s="174"/>
      <c r="BL30" s="186"/>
      <c r="BM30" s="186"/>
      <c r="BN30" s="186"/>
      <c r="BO30" s="186"/>
      <c r="BP30" s="186"/>
      <c r="BQ30" s="186"/>
      <c r="BR30" s="186"/>
      <c r="BS30" s="186"/>
      <c r="BT30" s="186"/>
      <c r="BU30" s="186"/>
      <c r="BV30" s="186"/>
      <c r="BW30" s="186"/>
      <c r="BX30" s="186"/>
    </row>
    <row r="31" ht="15.75" customHeight="1">
      <c r="A31" s="440"/>
      <c r="B31" s="349" t="s">
        <v>1291</v>
      </c>
      <c r="C31" s="119" t="s">
        <v>1293</v>
      </c>
      <c r="D31" s="443" t="s">
        <v>1273</v>
      </c>
      <c r="E31" s="174"/>
      <c r="F31" s="174" t="s">
        <v>1300</v>
      </c>
      <c r="G31" s="174"/>
      <c r="H31" s="222"/>
      <c r="I31" s="133"/>
      <c r="J31" s="174" t="s">
        <v>1302</v>
      </c>
      <c r="K31" s="174" t="s">
        <v>1303</v>
      </c>
      <c r="L31" s="174" t="s">
        <v>1306</v>
      </c>
      <c r="M31" s="208" t="s">
        <v>1309</v>
      </c>
      <c r="N31" s="174"/>
      <c r="O31" s="174" t="s">
        <v>1314</v>
      </c>
      <c r="P31" s="174" t="s">
        <v>1273</v>
      </c>
      <c r="Q31" s="174"/>
      <c r="R31" s="133"/>
      <c r="S31" s="174"/>
      <c r="T31" s="174"/>
      <c r="U31" s="174"/>
      <c r="V31" s="174"/>
      <c r="W31" s="174"/>
      <c r="X31" s="174"/>
      <c r="Y31" s="154"/>
      <c r="Z31" s="174"/>
      <c r="AA31" s="174" t="s">
        <v>1316</v>
      </c>
      <c r="AB31" s="174"/>
      <c r="AC31" s="174"/>
      <c r="AD31" s="174" t="s">
        <v>1116</v>
      </c>
      <c r="AE31" s="154"/>
      <c r="AF31" s="174"/>
      <c r="AG31" s="174"/>
      <c r="AH31" s="174"/>
      <c r="AI31" s="174"/>
      <c r="AJ31" s="174"/>
      <c r="AK31" s="174"/>
      <c r="AL31" s="174"/>
      <c r="AM31" s="174" t="s">
        <v>1323</v>
      </c>
      <c r="AN31" s="174"/>
      <c r="AO31" s="133"/>
      <c r="AP31" s="174"/>
      <c r="AQ31" s="174"/>
      <c r="AR31" s="154"/>
      <c r="AS31" s="174"/>
      <c r="AT31" s="174"/>
      <c r="AU31" s="174"/>
      <c r="AV31" s="133"/>
      <c r="AW31" s="174"/>
      <c r="AX31" s="154"/>
      <c r="AY31" s="174"/>
      <c r="AZ31" s="174"/>
      <c r="BA31" s="174"/>
      <c r="BB31" s="174"/>
      <c r="BC31" s="174"/>
      <c r="BD31" s="174"/>
      <c r="BE31" s="154"/>
      <c r="BF31" s="174"/>
      <c r="BG31" s="174"/>
      <c r="BH31" s="174"/>
      <c r="BI31" s="174"/>
      <c r="BJ31" s="174"/>
      <c r="BK31" s="174"/>
      <c r="BL31" s="154"/>
      <c r="BM31" s="154"/>
      <c r="BN31" s="154"/>
      <c r="BO31" s="154"/>
      <c r="BP31" s="154"/>
      <c r="BQ31" s="154"/>
      <c r="BR31" s="154"/>
      <c r="BS31" s="154"/>
      <c r="BT31" s="154"/>
      <c r="BU31" s="154"/>
      <c r="BV31" s="154"/>
      <c r="BW31" s="154"/>
      <c r="BX31" s="154"/>
    </row>
    <row r="32" ht="15.75" customHeight="1">
      <c r="A32" s="444"/>
      <c r="B32" s="286" t="s">
        <v>1329</v>
      </c>
      <c r="C32" s="119" t="s">
        <v>1330</v>
      </c>
      <c r="D32" s="172"/>
      <c r="E32" s="174"/>
      <c r="F32" s="174" t="s">
        <v>1332</v>
      </c>
      <c r="G32" s="174"/>
      <c r="H32" s="132" t="s">
        <v>1336</v>
      </c>
      <c r="I32" s="133"/>
      <c r="J32" s="174" t="s">
        <v>1300</v>
      </c>
      <c r="K32" s="174" t="s">
        <v>1330</v>
      </c>
      <c r="L32" s="174" t="s">
        <v>1338</v>
      </c>
      <c r="M32" s="182" t="s">
        <v>1343</v>
      </c>
      <c r="N32" s="174"/>
      <c r="O32" s="174" t="s">
        <v>1348</v>
      </c>
      <c r="P32" s="174" t="s">
        <v>1351</v>
      </c>
      <c r="Q32" s="174"/>
      <c r="R32" s="133"/>
      <c r="S32" s="174"/>
      <c r="T32" s="174"/>
      <c r="U32" s="174"/>
      <c r="V32" s="174"/>
      <c r="W32" s="174"/>
      <c r="X32" s="174"/>
      <c r="Y32" s="186"/>
      <c r="Z32" s="174"/>
      <c r="AA32" s="174"/>
      <c r="AB32" s="174"/>
      <c r="AC32" s="174"/>
      <c r="AD32" s="174"/>
      <c r="AE32" s="186"/>
      <c r="AF32" s="174"/>
      <c r="AG32" s="174"/>
      <c r="AH32" s="174"/>
      <c r="AI32" s="174"/>
      <c r="AJ32" s="174"/>
      <c r="AK32" s="174"/>
      <c r="AL32" s="174"/>
      <c r="AM32" s="174" t="s">
        <v>1352</v>
      </c>
      <c r="AN32" s="174"/>
      <c r="AO32" s="133"/>
      <c r="AP32" s="174"/>
      <c r="AQ32" s="174"/>
      <c r="AR32" s="186"/>
      <c r="AS32" s="174"/>
      <c r="AT32" s="174"/>
      <c r="AU32" s="174"/>
      <c r="AV32" s="133"/>
      <c r="AW32" s="174"/>
      <c r="AX32" s="186"/>
      <c r="AY32" s="174"/>
      <c r="AZ32" s="174"/>
      <c r="BA32" s="174"/>
      <c r="BB32" s="174"/>
      <c r="BC32" s="174"/>
      <c r="BD32" s="174"/>
      <c r="BE32" s="186"/>
      <c r="BF32" s="174"/>
      <c r="BG32" s="174"/>
      <c r="BH32" s="174"/>
      <c r="BI32" s="174"/>
      <c r="BJ32" s="174"/>
      <c r="BK32" s="174"/>
      <c r="BL32" s="186"/>
      <c r="BM32" s="186"/>
      <c r="BN32" s="186"/>
      <c r="BO32" s="186"/>
      <c r="BP32" s="186"/>
      <c r="BQ32" s="186"/>
      <c r="BR32" s="186"/>
      <c r="BS32" s="186"/>
      <c r="BT32" s="186"/>
      <c r="BU32" s="186"/>
      <c r="BV32" s="186"/>
      <c r="BW32" s="186"/>
      <c r="BX32" s="186"/>
    </row>
    <row r="33" ht="15.75" customHeight="1">
      <c r="A33" s="440"/>
      <c r="B33" s="349" t="s">
        <v>1355</v>
      </c>
      <c r="C33" s="119" t="s">
        <v>1356</v>
      </c>
      <c r="D33" s="219"/>
      <c r="E33" s="174"/>
      <c r="F33" s="174" t="s">
        <v>1356</v>
      </c>
      <c r="G33" s="174"/>
      <c r="H33" s="222"/>
      <c r="I33" s="133"/>
      <c r="J33" s="174"/>
      <c r="K33" s="174"/>
      <c r="L33" s="174" t="s">
        <v>1361</v>
      </c>
      <c r="M33" s="172"/>
      <c r="N33" s="174"/>
      <c r="O33" s="174"/>
      <c r="P33" s="174"/>
      <c r="Q33" s="174"/>
      <c r="R33" s="133"/>
      <c r="S33" s="174"/>
      <c r="T33" s="174"/>
      <c r="U33" s="174"/>
      <c r="V33" s="174"/>
      <c r="W33" s="174"/>
      <c r="X33" s="174"/>
      <c r="Y33" s="154"/>
      <c r="Z33" s="174"/>
      <c r="AA33" s="174"/>
      <c r="AB33" s="174"/>
      <c r="AC33" s="174"/>
      <c r="AD33" s="174"/>
      <c r="AE33" s="154"/>
      <c r="AF33" s="174"/>
      <c r="AG33" s="174"/>
      <c r="AH33" s="174"/>
      <c r="AI33" s="174"/>
      <c r="AJ33" s="174"/>
      <c r="AK33" s="174"/>
      <c r="AL33" s="174"/>
      <c r="AM33" s="174"/>
      <c r="AN33" s="174"/>
      <c r="AO33" s="133"/>
      <c r="AP33" s="174"/>
      <c r="AQ33" s="174"/>
      <c r="AR33" s="154"/>
      <c r="AS33" s="174"/>
      <c r="AT33" s="174"/>
      <c r="AU33" s="174"/>
      <c r="AV33" s="133"/>
      <c r="AW33" s="174"/>
      <c r="AX33" s="154"/>
      <c r="AY33" s="174"/>
      <c r="AZ33" s="174"/>
      <c r="BA33" s="174"/>
      <c r="BB33" s="174"/>
      <c r="BC33" s="174"/>
      <c r="BD33" s="174"/>
      <c r="BE33" s="154"/>
      <c r="BF33" s="174"/>
      <c r="BG33" s="174"/>
      <c r="BH33" s="174"/>
      <c r="BI33" s="174"/>
      <c r="BJ33" s="174"/>
      <c r="BK33" s="174"/>
      <c r="BL33" s="154"/>
      <c r="BM33" s="154"/>
      <c r="BN33" s="154"/>
      <c r="BO33" s="154"/>
      <c r="BP33" s="154"/>
      <c r="BQ33" s="154"/>
      <c r="BR33" s="154"/>
      <c r="BS33" s="154"/>
      <c r="BT33" s="154"/>
      <c r="BU33" s="154"/>
      <c r="BV33" s="154"/>
      <c r="BW33" s="154"/>
      <c r="BX33" s="154"/>
    </row>
    <row r="34" ht="15.75" customHeight="1">
      <c r="A34" s="444"/>
      <c r="B34" s="286" t="s">
        <v>1369</v>
      </c>
      <c r="C34" s="119" t="s">
        <v>1348</v>
      </c>
      <c r="D34" s="172"/>
      <c r="E34" s="174"/>
      <c r="F34" s="174" t="s">
        <v>1372</v>
      </c>
      <c r="G34" s="174"/>
      <c r="H34" s="222"/>
      <c r="I34" s="133"/>
      <c r="J34" s="174"/>
      <c r="K34" s="174"/>
      <c r="L34" s="174" t="s">
        <v>1293</v>
      </c>
      <c r="M34" s="219"/>
      <c r="N34" s="174"/>
      <c r="O34" s="174" t="s">
        <v>1348</v>
      </c>
      <c r="P34" s="174"/>
      <c r="Q34" s="174"/>
      <c r="R34" s="133"/>
      <c r="S34" s="174"/>
      <c r="T34" s="174"/>
      <c r="U34" s="174"/>
      <c r="V34" s="174"/>
      <c r="W34" s="174"/>
      <c r="X34" s="174"/>
      <c r="Y34" s="186"/>
      <c r="Z34" s="174"/>
      <c r="AA34" s="174"/>
      <c r="AB34" s="174"/>
      <c r="AC34" s="174"/>
      <c r="AD34" s="174"/>
      <c r="AE34" s="186"/>
      <c r="AF34" s="174"/>
      <c r="AG34" s="174"/>
      <c r="AH34" s="174"/>
      <c r="AI34" s="174"/>
      <c r="AJ34" s="174"/>
      <c r="AK34" s="174"/>
      <c r="AL34" s="174"/>
      <c r="AM34" s="174"/>
      <c r="AN34" s="174"/>
      <c r="AO34" s="133"/>
      <c r="AP34" s="174"/>
      <c r="AQ34" s="174"/>
      <c r="AR34" s="186"/>
      <c r="AS34" s="174"/>
      <c r="AT34" s="174"/>
      <c r="AU34" s="174"/>
      <c r="AV34" s="133"/>
      <c r="AW34" s="174"/>
      <c r="AX34" s="186"/>
      <c r="AY34" s="174"/>
      <c r="AZ34" s="174"/>
      <c r="BA34" s="174"/>
      <c r="BB34" s="174"/>
      <c r="BC34" s="174"/>
      <c r="BD34" s="174"/>
      <c r="BE34" s="186"/>
      <c r="BF34" s="174"/>
      <c r="BG34" s="174"/>
      <c r="BH34" s="174"/>
      <c r="BI34" s="174"/>
      <c r="BJ34" s="174"/>
      <c r="BK34" s="174"/>
      <c r="BL34" s="186"/>
      <c r="BM34" s="186"/>
      <c r="BN34" s="186"/>
      <c r="BO34" s="186"/>
      <c r="BP34" s="186"/>
      <c r="BQ34" s="186"/>
      <c r="BR34" s="186"/>
      <c r="BS34" s="186"/>
      <c r="BT34" s="186"/>
      <c r="BU34" s="186"/>
      <c r="BV34" s="186"/>
      <c r="BW34" s="186"/>
      <c r="BX34" s="186"/>
    </row>
    <row r="35" ht="15.75" customHeight="1">
      <c r="A35" s="265"/>
      <c r="B35" s="349" t="s">
        <v>1389</v>
      </c>
      <c r="C35" s="119" t="s">
        <v>1390</v>
      </c>
      <c r="D35" s="219"/>
      <c r="E35" s="174"/>
      <c r="F35" s="174" t="s">
        <v>1306</v>
      </c>
      <c r="G35" s="174"/>
      <c r="H35" s="222"/>
      <c r="I35" s="311" t="s">
        <v>1395</v>
      </c>
      <c r="J35" s="174"/>
      <c r="K35" s="174" t="s">
        <v>1390</v>
      </c>
      <c r="L35" s="174" t="s">
        <v>1356</v>
      </c>
      <c r="M35" s="208" t="s">
        <v>1245</v>
      </c>
      <c r="N35" s="174"/>
      <c r="O35" s="174" t="s">
        <v>1407</v>
      </c>
      <c r="P35" s="174"/>
      <c r="Q35" s="174"/>
      <c r="R35" s="133"/>
      <c r="S35" s="174" t="s">
        <v>1408</v>
      </c>
      <c r="T35" s="174"/>
      <c r="U35" s="129" t="s">
        <v>1390</v>
      </c>
      <c r="V35" s="174"/>
      <c r="W35" s="174"/>
      <c r="X35" s="174"/>
      <c r="Y35" s="154"/>
      <c r="Z35" s="174"/>
      <c r="AA35" s="174"/>
      <c r="AB35" s="174"/>
      <c r="AC35" s="174"/>
      <c r="AD35" s="174"/>
      <c r="AE35" s="154"/>
      <c r="AF35" s="174"/>
      <c r="AG35" s="174"/>
      <c r="AH35" s="174"/>
      <c r="AI35" s="174"/>
      <c r="AJ35" s="174"/>
      <c r="AK35" s="174"/>
      <c r="AL35" s="174"/>
      <c r="AM35" s="174"/>
      <c r="AN35" s="174"/>
      <c r="AO35" s="320"/>
      <c r="AP35" s="174"/>
      <c r="AQ35" s="174"/>
      <c r="AR35" s="154"/>
      <c r="AS35" s="174"/>
      <c r="AT35" s="174"/>
      <c r="AU35" s="174"/>
      <c r="AV35" s="320"/>
      <c r="AW35" s="174"/>
      <c r="AX35" s="154"/>
      <c r="AY35" s="174"/>
      <c r="AZ35" s="174"/>
      <c r="BA35" s="174"/>
      <c r="BB35" s="174"/>
      <c r="BC35" s="174"/>
      <c r="BD35" s="174"/>
      <c r="BE35" s="154"/>
      <c r="BF35" s="174"/>
      <c r="BG35" s="174"/>
      <c r="BH35" s="174"/>
      <c r="BI35" s="174"/>
      <c r="BJ35" s="174"/>
      <c r="BK35" s="174"/>
      <c r="BL35" s="154"/>
      <c r="BM35" s="154"/>
      <c r="BN35" s="154"/>
      <c r="BO35" s="154"/>
      <c r="BP35" s="154"/>
      <c r="BQ35" s="154"/>
      <c r="BR35" s="154"/>
      <c r="BS35" s="154"/>
      <c r="BT35" s="154"/>
      <c r="BU35" s="154"/>
      <c r="BV35" s="154"/>
      <c r="BW35" s="154"/>
      <c r="BX35" s="154"/>
    </row>
    <row r="36" ht="15.75" customHeight="1">
      <c r="A36" s="165"/>
      <c r="B36" s="286" t="s">
        <v>1416</v>
      </c>
      <c r="C36" s="119" t="s">
        <v>1417</v>
      </c>
      <c r="D36" s="172"/>
      <c r="E36" s="174"/>
      <c r="F36" s="174" t="s">
        <v>1420</v>
      </c>
      <c r="G36" s="174"/>
      <c r="H36" s="222"/>
      <c r="I36" s="133"/>
      <c r="J36" s="174"/>
      <c r="K36" s="174" t="s">
        <v>1417</v>
      </c>
      <c r="L36" s="174" t="s">
        <v>1422</v>
      </c>
      <c r="M36" s="219"/>
      <c r="N36" s="174" t="s">
        <v>1428</v>
      </c>
      <c r="O36" s="174" t="s">
        <v>1348</v>
      </c>
      <c r="P36" s="174"/>
      <c r="Q36" s="174"/>
      <c r="R36" s="133"/>
      <c r="S36" s="174"/>
      <c r="T36" s="174"/>
      <c r="U36" s="174"/>
      <c r="V36" s="174"/>
      <c r="W36" s="174"/>
      <c r="X36" s="174"/>
      <c r="Y36" s="186"/>
      <c r="Z36" s="174"/>
      <c r="AA36" s="174"/>
      <c r="AB36" s="174"/>
      <c r="AC36" s="174"/>
      <c r="AD36" s="174"/>
      <c r="AE36" s="186"/>
      <c r="AF36" s="174"/>
      <c r="AG36" s="174"/>
      <c r="AH36" s="174"/>
      <c r="AI36" s="174"/>
      <c r="AJ36" s="174"/>
      <c r="AK36" s="174"/>
      <c r="AL36" s="174"/>
      <c r="AM36" s="174"/>
      <c r="AN36" s="174"/>
      <c r="AO36" s="133"/>
      <c r="AP36" s="174"/>
      <c r="AQ36" s="174"/>
      <c r="AR36" s="186"/>
      <c r="AS36" s="174"/>
      <c r="AT36" s="174"/>
      <c r="AU36" s="174"/>
      <c r="AV36" s="133"/>
      <c r="AW36" s="174"/>
      <c r="AX36" s="186"/>
      <c r="AY36" s="174"/>
      <c r="AZ36" s="174"/>
      <c r="BA36" s="174"/>
      <c r="BB36" s="174"/>
      <c r="BC36" s="174"/>
      <c r="BD36" s="174"/>
      <c r="BE36" s="186"/>
      <c r="BF36" s="174"/>
      <c r="BG36" s="174"/>
      <c r="BH36" s="174"/>
      <c r="BI36" s="174"/>
      <c r="BJ36" s="174"/>
      <c r="BK36" s="174"/>
      <c r="BL36" s="186"/>
      <c r="BM36" s="186"/>
      <c r="BN36" s="186"/>
      <c r="BO36" s="186"/>
      <c r="BP36" s="186"/>
      <c r="BQ36" s="186"/>
      <c r="BR36" s="186"/>
      <c r="BS36" s="186"/>
      <c r="BT36" s="186"/>
      <c r="BU36" s="186"/>
      <c r="BV36" s="186"/>
      <c r="BW36" s="186"/>
      <c r="BX36" s="186"/>
    </row>
    <row r="37" ht="15.75" customHeight="1">
      <c r="A37" s="440"/>
      <c r="B37" s="349" t="s">
        <v>1436</v>
      </c>
      <c r="C37" s="119" t="s">
        <v>1437</v>
      </c>
      <c r="D37" s="182" t="s">
        <v>1441</v>
      </c>
      <c r="E37" s="174" t="s">
        <v>1444</v>
      </c>
      <c r="F37" s="174" t="s">
        <v>1390</v>
      </c>
      <c r="G37" s="174"/>
      <c r="H37" s="222"/>
      <c r="I37" s="133"/>
      <c r="J37" s="174" t="s">
        <v>1448</v>
      </c>
      <c r="K37" s="174" t="s">
        <v>1437</v>
      </c>
      <c r="L37" s="174" t="s">
        <v>1428</v>
      </c>
      <c r="M37" s="172"/>
      <c r="N37" s="174"/>
      <c r="O37" s="174" t="s">
        <v>1422</v>
      </c>
      <c r="P37" s="174"/>
      <c r="Q37" s="174"/>
      <c r="R37" s="133"/>
      <c r="S37" s="174" t="s">
        <v>1454</v>
      </c>
      <c r="T37" s="129" t="s">
        <v>1390</v>
      </c>
      <c r="U37" s="174"/>
      <c r="V37" s="174"/>
      <c r="W37" s="174"/>
      <c r="X37" s="174" t="s">
        <v>1458</v>
      </c>
      <c r="Y37" s="154"/>
      <c r="Z37" s="174"/>
      <c r="AA37" s="174"/>
      <c r="AB37" s="174"/>
      <c r="AC37" s="174"/>
      <c r="AD37" s="174" t="s">
        <v>1459</v>
      </c>
      <c r="AE37" s="154"/>
      <c r="AF37" s="174"/>
      <c r="AG37" s="174"/>
      <c r="AH37" s="174"/>
      <c r="AI37" s="174"/>
      <c r="AJ37" s="174"/>
      <c r="AK37" s="174"/>
      <c r="AL37" s="174"/>
      <c r="AM37" s="174"/>
      <c r="AN37" s="174"/>
      <c r="AO37" s="133"/>
      <c r="AP37" s="174"/>
      <c r="AQ37" s="174"/>
      <c r="AR37" s="154"/>
      <c r="AS37" s="174"/>
      <c r="AT37" s="174"/>
      <c r="AU37" s="174"/>
      <c r="AV37" s="133"/>
      <c r="AW37" s="174"/>
      <c r="AX37" s="154"/>
      <c r="AY37" s="174"/>
      <c r="AZ37" s="174"/>
      <c r="BA37" s="174"/>
      <c r="BB37" s="174"/>
      <c r="BC37" s="174"/>
      <c r="BD37" s="174"/>
      <c r="BE37" s="154"/>
      <c r="BF37" s="174"/>
      <c r="BG37" s="174"/>
      <c r="BH37" s="174"/>
      <c r="BI37" s="174"/>
      <c r="BJ37" s="174"/>
      <c r="BK37" s="174"/>
      <c r="BL37" s="154"/>
      <c r="BM37" s="154"/>
      <c r="BN37" s="154"/>
      <c r="BO37" s="154"/>
      <c r="BP37" s="154"/>
      <c r="BQ37" s="154"/>
      <c r="BR37" s="154"/>
      <c r="BS37" s="154"/>
      <c r="BT37" s="154"/>
      <c r="BU37" s="154"/>
      <c r="BV37" s="154"/>
      <c r="BW37" s="154"/>
      <c r="BX37" s="154"/>
    </row>
    <row r="38" ht="15.75" customHeight="1">
      <c r="A38" s="165"/>
      <c r="B38" s="286" t="s">
        <v>1468</v>
      </c>
      <c r="C38" s="119" t="s">
        <v>1469</v>
      </c>
      <c r="D38" s="124" t="s">
        <v>1471</v>
      </c>
      <c r="E38" s="174"/>
      <c r="F38" s="174" t="s">
        <v>1473</v>
      </c>
      <c r="G38" s="174" t="s">
        <v>1469</v>
      </c>
      <c r="H38" s="132" t="s">
        <v>1475</v>
      </c>
      <c r="I38" s="133"/>
      <c r="J38" s="174" t="s">
        <v>666</v>
      </c>
      <c r="K38" s="174" t="s">
        <v>1481</v>
      </c>
      <c r="L38" s="174" t="s">
        <v>1483</v>
      </c>
      <c r="M38" s="219"/>
      <c r="N38" s="174"/>
      <c r="O38" s="174"/>
      <c r="P38" s="174"/>
      <c r="Q38" s="174" t="s">
        <v>666</v>
      </c>
      <c r="R38" s="133" t="s">
        <v>1263</v>
      </c>
      <c r="S38" s="174" t="str">
        <f>HYPERLINK("https://clips.twitch.tv/AggressiveBigTeaNononoCat","40.26")</f>
        <v>40.26</v>
      </c>
      <c r="T38" s="174" t="s">
        <v>1498</v>
      </c>
      <c r="U38" s="174"/>
      <c r="V38" s="174"/>
      <c r="W38" s="174" t="s">
        <v>1473</v>
      </c>
      <c r="X38" s="174"/>
      <c r="Y38" s="186"/>
      <c r="Z38" s="174"/>
      <c r="AA38" s="174"/>
      <c r="AB38" s="174"/>
      <c r="AC38" s="174"/>
      <c r="AD38" s="174"/>
      <c r="AE38" s="186"/>
      <c r="AF38" s="174"/>
      <c r="AG38" s="174"/>
      <c r="AH38" s="174"/>
      <c r="AI38" s="174"/>
      <c r="AJ38" s="174"/>
      <c r="AK38" s="174"/>
      <c r="AL38" s="174"/>
      <c r="AM38" s="174"/>
      <c r="AN38" s="174"/>
      <c r="AO38" s="139"/>
      <c r="AP38" s="174" t="s">
        <v>1506</v>
      </c>
      <c r="AQ38" s="174"/>
      <c r="AR38" s="186"/>
      <c r="AS38" s="174"/>
      <c r="AT38" s="174"/>
      <c r="AU38" s="174"/>
      <c r="AV38" s="133"/>
      <c r="AW38" s="174"/>
      <c r="AX38" s="186"/>
      <c r="AY38" s="174"/>
      <c r="AZ38" s="174"/>
      <c r="BA38" s="174"/>
      <c r="BB38" s="174"/>
      <c r="BC38" s="174"/>
      <c r="BD38" s="174"/>
      <c r="BE38" s="186"/>
      <c r="BF38" s="174"/>
      <c r="BG38" s="174"/>
      <c r="BH38" s="174"/>
      <c r="BI38" s="174"/>
      <c r="BJ38" s="174"/>
      <c r="BK38" s="174"/>
      <c r="BL38" s="186"/>
      <c r="BM38" s="186"/>
      <c r="BN38" s="186"/>
      <c r="BO38" s="186"/>
      <c r="BP38" s="186"/>
      <c r="BQ38" s="186"/>
      <c r="BR38" s="186"/>
      <c r="BS38" s="186"/>
      <c r="BT38" s="186"/>
      <c r="BU38" s="186"/>
      <c r="BV38" s="186"/>
      <c r="BW38" s="186"/>
      <c r="BX38" s="186"/>
    </row>
    <row r="39" ht="15.75" customHeight="1">
      <c r="A39" s="214" t="s">
        <v>577</v>
      </c>
      <c r="B39" s="215" t="s">
        <v>1512</v>
      </c>
      <c r="C39" s="119" t="s">
        <v>1513</v>
      </c>
      <c r="D39" s="182" t="s">
        <v>1518</v>
      </c>
      <c r="E39" s="174" t="s">
        <v>1521</v>
      </c>
      <c r="F39" s="174" t="s">
        <v>1513</v>
      </c>
      <c r="G39" s="174"/>
      <c r="H39" s="132" t="s">
        <v>1522</v>
      </c>
      <c r="I39" s="133" t="s">
        <v>1525</v>
      </c>
      <c r="J39" s="174"/>
      <c r="K39" s="174"/>
      <c r="L39" s="174" t="s">
        <v>1148</v>
      </c>
      <c r="M39" s="208" t="s">
        <v>1529</v>
      </c>
      <c r="N39" s="174"/>
      <c r="O39" s="174"/>
      <c r="P39" s="174"/>
      <c r="Q39" s="174"/>
      <c r="R39" s="133"/>
      <c r="S39" s="174" t="s">
        <v>297</v>
      </c>
      <c r="T39" s="174"/>
      <c r="U39" s="174"/>
      <c r="V39" s="174"/>
      <c r="W39" s="174"/>
      <c r="X39" s="174"/>
      <c r="Y39" s="154"/>
      <c r="Z39" s="174"/>
      <c r="AA39" s="174" t="s">
        <v>1536</v>
      </c>
      <c r="AB39" s="174" t="s">
        <v>1538</v>
      </c>
      <c r="AC39" s="174"/>
      <c r="AD39" s="174" t="s">
        <v>1539</v>
      </c>
      <c r="AE39" s="154"/>
      <c r="AF39" s="174"/>
      <c r="AG39" s="174"/>
      <c r="AH39" s="174"/>
      <c r="AI39" s="174"/>
      <c r="AJ39" s="174"/>
      <c r="AK39" s="174"/>
      <c r="AL39" s="174"/>
      <c r="AM39" s="174"/>
      <c r="AN39" s="174"/>
      <c r="AO39" s="139"/>
      <c r="AP39" s="174"/>
      <c r="AQ39" s="174"/>
      <c r="AR39" s="154"/>
      <c r="AS39" s="174"/>
      <c r="AT39" s="174"/>
      <c r="AU39" s="174"/>
      <c r="AV39" s="133"/>
      <c r="AW39" s="174"/>
      <c r="AX39" s="154"/>
      <c r="AY39" s="174"/>
      <c r="AZ39" s="174"/>
      <c r="BA39" s="174"/>
      <c r="BB39" s="174"/>
      <c r="BC39" s="174"/>
      <c r="BD39" s="174"/>
      <c r="BE39" s="154"/>
      <c r="BF39" s="174"/>
      <c r="BG39" s="174"/>
      <c r="BH39" s="174"/>
      <c r="BI39" s="174"/>
      <c r="BJ39" s="174"/>
      <c r="BK39" s="174"/>
      <c r="BL39" s="154"/>
      <c r="BM39" s="154"/>
      <c r="BN39" s="154"/>
      <c r="BO39" s="154"/>
      <c r="BP39" s="154"/>
      <c r="BQ39" s="154"/>
      <c r="BR39" s="154"/>
      <c r="BS39" s="154"/>
      <c r="BT39" s="154"/>
      <c r="BU39" s="154"/>
      <c r="BV39" s="154"/>
      <c r="BW39" s="154"/>
      <c r="BX39" s="154"/>
    </row>
    <row r="40" ht="15.75" customHeight="1">
      <c r="A40" s="490"/>
      <c r="B40" s="167" t="s">
        <v>1552</v>
      </c>
      <c r="C40" s="119" t="s">
        <v>1554</v>
      </c>
      <c r="D40" s="208" t="s">
        <v>1561</v>
      </c>
      <c r="E40" s="174" t="s">
        <v>1564</v>
      </c>
      <c r="F40" s="174" t="s">
        <v>1566</v>
      </c>
      <c r="G40" s="174" t="s">
        <v>1570</v>
      </c>
      <c r="H40" s="132" t="s">
        <v>1574</v>
      </c>
      <c r="I40" s="133"/>
      <c r="J40" s="174"/>
      <c r="K40" s="174" t="s">
        <v>1578</v>
      </c>
      <c r="L40" s="174" t="s">
        <v>1581</v>
      </c>
      <c r="M40" s="495"/>
      <c r="N40" s="174"/>
      <c r="O40" s="174"/>
      <c r="P40" s="174"/>
      <c r="Q40" s="174"/>
      <c r="R40" s="133"/>
      <c r="S40" s="174" t="s">
        <v>802</v>
      </c>
      <c r="T40" s="174"/>
      <c r="U40" s="174"/>
      <c r="V40" s="174" t="s">
        <v>1585</v>
      </c>
      <c r="W40" s="174"/>
      <c r="X40" s="174"/>
      <c r="Y40" s="186"/>
      <c r="Z40" s="174"/>
      <c r="AA40" s="174"/>
      <c r="AB40" s="174" t="s">
        <v>796</v>
      </c>
      <c r="AC40" s="174"/>
      <c r="AD40" s="174"/>
      <c r="AE40" s="186"/>
      <c r="AF40" s="174"/>
      <c r="AG40" s="174"/>
      <c r="AH40" s="174"/>
      <c r="AI40" s="174"/>
      <c r="AJ40" s="174"/>
      <c r="AK40" s="174"/>
      <c r="AL40" s="174"/>
      <c r="AM40" s="174"/>
      <c r="AN40" s="174"/>
      <c r="AO40" s="133"/>
      <c r="AP40" s="174"/>
      <c r="AQ40" s="174"/>
      <c r="AR40" s="186"/>
      <c r="AS40" s="174"/>
      <c r="AT40" s="174"/>
      <c r="AU40" s="174"/>
      <c r="AV40" s="133"/>
      <c r="AW40" s="174"/>
      <c r="AX40" s="186"/>
      <c r="AY40" s="174"/>
      <c r="AZ40" s="174"/>
      <c r="BA40" s="174"/>
      <c r="BB40" s="174"/>
      <c r="BC40" s="174"/>
      <c r="BD40" s="174"/>
      <c r="BE40" s="186"/>
      <c r="BF40" s="174" t="s">
        <v>1554</v>
      </c>
      <c r="BG40" s="174"/>
      <c r="BH40" s="174"/>
      <c r="BI40" s="174"/>
      <c r="BJ40" s="174"/>
      <c r="BK40" s="174"/>
      <c r="BL40" s="186"/>
      <c r="BM40" s="186"/>
      <c r="BN40" s="186"/>
      <c r="BO40" s="186"/>
      <c r="BP40" s="186"/>
      <c r="BQ40" s="186"/>
      <c r="BR40" s="186"/>
      <c r="BS40" s="186"/>
      <c r="BT40" s="186"/>
      <c r="BU40" s="186"/>
      <c r="BV40" s="186"/>
      <c r="BW40" s="186"/>
      <c r="BX40" s="186"/>
    </row>
    <row r="41" ht="15.75" customHeight="1">
      <c r="A41" s="116" t="s">
        <v>1598</v>
      </c>
      <c r="B41" s="117" t="s">
        <v>1599</v>
      </c>
      <c r="C41" s="119" t="s">
        <v>1600</v>
      </c>
      <c r="D41" s="219"/>
      <c r="E41" s="174" t="s">
        <v>1605</v>
      </c>
      <c r="F41" s="174" t="s">
        <v>362</v>
      </c>
      <c r="G41" s="174" t="s">
        <v>1609</v>
      </c>
      <c r="H41" s="222"/>
      <c r="I41" s="133"/>
      <c r="J41" s="174" t="str">
        <f>HYPERLINK("https://youtu.be/WdBDZlWcLa8","16.95")</f>
        <v>16.95</v>
      </c>
      <c r="K41" s="174"/>
      <c r="L41" s="174"/>
      <c r="M41" s="182" t="s">
        <v>1613</v>
      </c>
      <c r="N41" s="174"/>
      <c r="O41" s="174"/>
      <c r="P41" s="174" t="str">
        <f>HYPERLINK("https://youtu.be/FwtG-kRM0SE","17.64")</f>
        <v>17.64</v>
      </c>
      <c r="Q41" s="174"/>
      <c r="R41" s="133" t="s">
        <v>1618</v>
      </c>
      <c r="S41" s="174" t="str">
        <f>HYPERLINK("https://clips.twitch.tv/VainSmokyPotSeemsGood","16.88")</f>
        <v>16.88</v>
      </c>
      <c r="T41" s="174"/>
      <c r="U41" s="174"/>
      <c r="V41" s="174" t="s">
        <v>1600</v>
      </c>
      <c r="W41" s="174"/>
      <c r="X41" s="174" t="s">
        <v>348</v>
      </c>
      <c r="Y41" s="154"/>
      <c r="Z41" s="174"/>
      <c r="AA41" s="174"/>
      <c r="AB41" s="174"/>
      <c r="AC41" s="174"/>
      <c r="AD41" s="174"/>
      <c r="AE41" s="154"/>
      <c r="AF41" s="174"/>
      <c r="AG41" s="174"/>
      <c r="AH41" s="174"/>
      <c r="AI41" s="174"/>
      <c r="AJ41" s="174"/>
      <c r="AK41" s="174"/>
      <c r="AL41" s="174"/>
      <c r="AM41" s="174"/>
      <c r="AN41" s="174"/>
      <c r="AO41" s="139"/>
      <c r="AP41" s="174"/>
      <c r="AQ41" s="174"/>
      <c r="AR41" s="154"/>
      <c r="AS41" s="174"/>
      <c r="AT41" s="174" t="str">
        <f>HYPERLINK("https://youtu.be/nGctd2CZYrU","16.85")</f>
        <v>16.85</v>
      </c>
      <c r="AU41" s="174"/>
      <c r="AV41" s="133"/>
      <c r="AW41" s="174"/>
      <c r="AX41" s="154"/>
      <c r="AY41" s="174"/>
      <c r="AZ41" s="174"/>
      <c r="BA41" s="174"/>
      <c r="BB41" s="174"/>
      <c r="BC41" s="174"/>
      <c r="BD41" s="174"/>
      <c r="BE41" s="154"/>
      <c r="BF41" s="174"/>
      <c r="BG41" s="174"/>
      <c r="BH41" s="174"/>
      <c r="BI41" s="174"/>
      <c r="BJ41" s="174"/>
      <c r="BK41" s="174"/>
      <c r="BL41" s="154"/>
      <c r="BM41" s="154"/>
      <c r="BN41" s="154"/>
      <c r="BO41" s="154"/>
      <c r="BP41" s="154"/>
      <c r="BQ41" s="154"/>
      <c r="BR41" s="154"/>
      <c r="BS41" s="154"/>
      <c r="BT41" s="154"/>
      <c r="BU41" s="154"/>
      <c r="BV41" s="154"/>
      <c r="BW41" s="154"/>
      <c r="BX41" s="154"/>
    </row>
    <row r="42" ht="15.75" customHeight="1">
      <c r="A42" s="165"/>
      <c r="B42" s="286" t="s">
        <v>1638</v>
      </c>
      <c r="C42" s="119">
        <v>15.96</v>
      </c>
      <c r="D42" s="292" t="s">
        <v>1093</v>
      </c>
      <c r="E42" s="139" t="s">
        <v>1649</v>
      </c>
      <c r="F42" s="129" t="s">
        <v>1093</v>
      </c>
      <c r="G42" s="129" t="s">
        <v>576</v>
      </c>
      <c r="H42" s="132" t="s">
        <v>1652</v>
      </c>
      <c r="I42" s="133" t="s">
        <v>1656</v>
      </c>
      <c r="J42" s="129" t="s">
        <v>379</v>
      </c>
      <c r="K42" s="129" t="s">
        <v>1652</v>
      </c>
      <c r="L42" s="129" t="s">
        <v>1663</v>
      </c>
      <c r="M42" s="355" t="s">
        <v>845</v>
      </c>
      <c r="N42" s="139" t="s">
        <v>1652</v>
      </c>
      <c r="O42" s="129" t="s">
        <v>379</v>
      </c>
      <c r="P42" s="139" t="s">
        <v>1630</v>
      </c>
      <c r="Q42" s="129" t="s">
        <v>1652</v>
      </c>
      <c r="R42" s="133" t="s">
        <v>1093</v>
      </c>
      <c r="S42" s="139"/>
      <c r="T42" s="129" t="s">
        <v>1354</v>
      </c>
      <c r="U42" s="139"/>
      <c r="V42" s="139"/>
      <c r="W42" s="139"/>
      <c r="X42" s="139" t="s">
        <v>387</v>
      </c>
      <c r="Y42" s="186"/>
      <c r="Z42" s="139"/>
      <c r="AA42" s="139"/>
      <c r="AB42" s="139"/>
      <c r="AC42" s="139"/>
      <c r="AD42" s="139"/>
      <c r="AE42" s="186"/>
      <c r="AF42" s="139"/>
      <c r="AG42" s="139"/>
      <c r="AH42" s="139"/>
      <c r="AI42" s="139"/>
      <c r="AJ42" s="139"/>
      <c r="AK42" s="139"/>
      <c r="AL42" s="139"/>
      <c r="AM42" s="139"/>
      <c r="AN42" s="139"/>
      <c r="AO42" s="434" t="s">
        <v>1677</v>
      </c>
      <c r="AP42" s="139"/>
      <c r="AQ42" s="139"/>
      <c r="AR42" s="186"/>
      <c r="AS42" s="139"/>
      <c r="AT42" s="139"/>
      <c r="AU42" s="139"/>
      <c r="AV42" s="133"/>
      <c r="AW42" s="139"/>
      <c r="AX42" s="188" t="s">
        <v>1679</v>
      </c>
      <c r="AY42" s="139"/>
      <c r="AZ42" s="139"/>
      <c r="BA42" s="139"/>
      <c r="BB42" s="139"/>
      <c r="BC42" s="139"/>
      <c r="BD42" s="139"/>
      <c r="BE42" s="186"/>
      <c r="BF42" s="139"/>
      <c r="BG42" s="139"/>
      <c r="BH42" s="139"/>
      <c r="BI42" s="139"/>
      <c r="BJ42" s="139"/>
      <c r="BK42" s="139"/>
      <c r="BL42" s="186"/>
      <c r="BM42" s="186"/>
      <c r="BN42" s="186"/>
      <c r="BO42" s="186"/>
      <c r="BP42" s="186"/>
      <c r="BQ42" s="186"/>
      <c r="BR42" s="186"/>
      <c r="BS42" s="186"/>
      <c r="BT42" s="186"/>
      <c r="BU42" s="186"/>
      <c r="BV42" s="186"/>
      <c r="BW42" s="186"/>
      <c r="BX42" s="186"/>
    </row>
    <row r="43" ht="15.75" customHeight="1">
      <c r="A43" s="116" t="s">
        <v>1681</v>
      </c>
      <c r="B43" s="117" t="s">
        <v>1682</v>
      </c>
      <c r="C43" s="279" t="s">
        <v>1683</v>
      </c>
      <c r="D43" s="124" t="s">
        <v>1683</v>
      </c>
      <c r="E43" s="70" t="s">
        <v>1687</v>
      </c>
      <c r="F43" s="516"/>
      <c r="G43" s="516"/>
      <c r="H43" s="222"/>
      <c r="I43" s="311" t="s">
        <v>1690</v>
      </c>
      <c r="J43" s="516"/>
      <c r="K43" s="516"/>
      <c r="L43" s="516"/>
      <c r="M43" s="172"/>
      <c r="N43" s="516" t="s">
        <v>618</v>
      </c>
      <c r="O43" s="516"/>
      <c r="P43" s="516"/>
      <c r="Q43" s="516"/>
      <c r="R43" s="311"/>
      <c r="S43" s="516"/>
      <c r="T43" s="129" t="s">
        <v>1086</v>
      </c>
      <c r="U43" s="516"/>
      <c r="V43" s="516"/>
      <c r="W43" s="516"/>
      <c r="X43" s="516"/>
      <c r="Y43" s="154"/>
      <c r="Z43" s="516"/>
      <c r="AA43" s="516"/>
      <c r="AB43" s="516"/>
      <c r="AC43" s="516"/>
      <c r="AD43" s="516"/>
      <c r="AE43" s="154"/>
      <c r="AF43" s="516"/>
      <c r="AG43" s="516"/>
      <c r="AH43" s="516"/>
      <c r="AI43" s="516"/>
      <c r="AJ43" s="516"/>
      <c r="AK43" s="516"/>
      <c r="AL43" s="516"/>
      <c r="AM43" s="516"/>
      <c r="AN43" s="516"/>
      <c r="AO43" s="311"/>
      <c r="AP43" s="516"/>
      <c r="AQ43" s="516"/>
      <c r="AR43" s="154"/>
      <c r="AS43" s="516"/>
      <c r="AT43" s="516"/>
      <c r="AU43" s="516"/>
      <c r="AV43" s="311"/>
      <c r="AW43" s="516"/>
      <c r="AX43" s="154"/>
      <c r="AY43" s="516"/>
      <c r="AZ43" s="516"/>
      <c r="BA43" s="516"/>
      <c r="BB43" s="516"/>
      <c r="BC43" s="516"/>
      <c r="BD43" s="516"/>
      <c r="BE43" s="154"/>
      <c r="BF43" s="516"/>
      <c r="BG43" s="516"/>
      <c r="BH43" s="516"/>
      <c r="BI43" s="516"/>
      <c r="BJ43" s="516"/>
      <c r="BK43" s="516"/>
      <c r="BL43" s="154"/>
      <c r="BM43" s="154"/>
      <c r="BN43" s="154"/>
      <c r="BO43" s="154"/>
      <c r="BP43" s="154"/>
      <c r="BQ43" s="154"/>
      <c r="BR43" s="154"/>
      <c r="BS43" s="154"/>
      <c r="BT43" s="154"/>
      <c r="BU43" s="154"/>
      <c r="BV43" s="154"/>
      <c r="BW43" s="154"/>
      <c r="BX43" s="154"/>
    </row>
    <row r="44" ht="15.75" customHeight="1">
      <c r="A44" s="116" t="s">
        <v>1703</v>
      </c>
      <c r="B44" s="117" t="s">
        <v>1704</v>
      </c>
      <c r="C44" s="119" t="s">
        <v>1705</v>
      </c>
      <c r="D44" s="292" t="s">
        <v>1707</v>
      </c>
      <c r="E44" s="63" t="s">
        <v>1710</v>
      </c>
      <c r="F44" s="174" t="s">
        <v>1705</v>
      </c>
      <c r="G44" s="139" t="s">
        <v>1712</v>
      </c>
      <c r="H44" s="222"/>
      <c r="I44" s="133" t="s">
        <v>1714</v>
      </c>
      <c r="J44" s="174" t="str">
        <f>HYPERLINK("https://youtu.be/t-1yqXLdZMA","38.05")</f>
        <v>38.05</v>
      </c>
      <c r="K44" s="174" t="s">
        <v>1715</v>
      </c>
      <c r="L44" s="174" t="s">
        <v>1718</v>
      </c>
      <c r="M44" s="208" t="s">
        <v>1723</v>
      </c>
      <c r="N44" s="174" t="s">
        <v>1729</v>
      </c>
      <c r="O44" s="174" t="s">
        <v>1707</v>
      </c>
      <c r="P44" s="174" t="str">
        <f>HYPERLINK("https://youtu.be/Vn6tjVSJ144","36.45")</f>
        <v>36.45</v>
      </c>
      <c r="Q44" s="174"/>
      <c r="R44" s="133"/>
      <c r="S44" s="174"/>
      <c r="T44" s="174"/>
      <c r="U44" s="174"/>
      <c r="V44" s="174"/>
      <c r="W44" s="174"/>
      <c r="X44" s="174"/>
      <c r="Y44" s="154"/>
      <c r="Z44" s="174"/>
      <c r="AA44" s="174"/>
      <c r="AB44" s="174"/>
      <c r="AC44" s="174"/>
      <c r="AD44" s="174"/>
      <c r="AE44" s="154"/>
      <c r="AF44" s="174"/>
      <c r="AG44" s="174"/>
      <c r="AH44" s="174"/>
      <c r="AI44" s="174"/>
      <c r="AJ44" s="174"/>
      <c r="AK44" s="174"/>
      <c r="AL44" s="174"/>
      <c r="AM44" s="174"/>
      <c r="AN44" s="174"/>
      <c r="AO44" s="133"/>
      <c r="AP44" s="174"/>
      <c r="AQ44" s="174"/>
      <c r="AR44" s="154"/>
      <c r="AS44" s="174"/>
      <c r="AT44" s="174"/>
      <c r="AU44" s="174"/>
      <c r="AV44" s="133"/>
      <c r="AW44" s="174"/>
      <c r="AX44" s="154"/>
      <c r="AY44" s="174"/>
      <c r="AZ44" s="174"/>
      <c r="BA44" s="174"/>
      <c r="BB44" s="174"/>
      <c r="BC44" s="174"/>
      <c r="BD44" s="174"/>
      <c r="BE44" s="154"/>
      <c r="BF44" s="174"/>
      <c r="BG44" s="174" t="s">
        <v>1735</v>
      </c>
      <c r="BH44" s="174"/>
      <c r="BI44" s="174"/>
      <c r="BJ44" s="174"/>
      <c r="BK44" s="174"/>
      <c r="BL44" s="154"/>
      <c r="BM44" s="154"/>
      <c r="BN44" s="154"/>
      <c r="BO44" s="154"/>
      <c r="BP44" s="154"/>
      <c r="BQ44" s="154"/>
      <c r="BR44" s="154"/>
      <c r="BS44" s="154"/>
      <c r="BT44" s="154"/>
      <c r="BU44" s="154"/>
      <c r="BV44" s="154"/>
      <c r="BW44" s="154"/>
      <c r="BX44" s="154"/>
    </row>
    <row r="45" ht="15.75" customHeight="1">
      <c r="A45" s="214" t="s">
        <v>1740</v>
      </c>
      <c r="B45" s="215" t="s">
        <v>1704</v>
      </c>
      <c r="C45" s="279" t="s">
        <v>1743</v>
      </c>
      <c r="D45" s="182" t="s">
        <v>1743</v>
      </c>
      <c r="E45" s="521" t="s">
        <v>1747</v>
      </c>
      <c r="F45" s="174"/>
      <c r="G45" s="139" t="s">
        <v>1749</v>
      </c>
      <c r="H45" s="222"/>
      <c r="I45" s="133" t="s">
        <v>645</v>
      </c>
      <c r="J45" s="174"/>
      <c r="K45" s="174"/>
      <c r="L45" s="174"/>
      <c r="M45" s="172"/>
      <c r="N45" s="174"/>
      <c r="O45" s="174"/>
      <c r="P45" s="174"/>
      <c r="Q45" s="174"/>
      <c r="R45" s="133"/>
      <c r="S45" s="174"/>
      <c r="T45" s="174"/>
      <c r="U45" s="174"/>
      <c r="V45" s="174"/>
      <c r="W45" s="174"/>
      <c r="X45" s="174"/>
      <c r="Y45" s="154"/>
      <c r="Z45" s="174"/>
      <c r="AA45" s="174"/>
      <c r="AB45" s="174"/>
      <c r="AC45" s="174"/>
      <c r="AD45" s="174"/>
      <c r="AE45" s="154"/>
      <c r="AF45" s="174"/>
      <c r="AG45" s="174"/>
      <c r="AH45" s="174"/>
      <c r="AI45" s="174"/>
      <c r="AJ45" s="174"/>
      <c r="AK45" s="174"/>
      <c r="AL45" s="174"/>
      <c r="AM45" s="174"/>
      <c r="AN45" s="174"/>
      <c r="AO45" s="133"/>
      <c r="AP45" s="174"/>
      <c r="AQ45" s="174"/>
      <c r="AR45" s="154"/>
      <c r="AS45" s="174"/>
      <c r="AT45" s="174"/>
      <c r="AU45" s="174"/>
      <c r="AV45" s="133"/>
      <c r="AW45" s="174"/>
      <c r="AX45" s="154"/>
      <c r="AY45" s="174"/>
      <c r="AZ45" s="174"/>
      <c r="BA45" s="174"/>
      <c r="BB45" s="174"/>
      <c r="BC45" s="174"/>
      <c r="BD45" s="174"/>
      <c r="BE45" s="154"/>
      <c r="BF45" s="174"/>
      <c r="BG45" s="174"/>
      <c r="BH45" s="174"/>
      <c r="BI45" s="174"/>
      <c r="BJ45" s="174"/>
      <c r="BK45" s="174"/>
      <c r="BL45" s="154"/>
      <c r="BM45" s="154"/>
      <c r="BN45" s="154"/>
      <c r="BO45" s="154"/>
      <c r="BP45" s="154"/>
      <c r="BQ45" s="154"/>
      <c r="BR45" s="154"/>
      <c r="BS45" s="154"/>
      <c r="BT45" s="154"/>
      <c r="BU45" s="154"/>
      <c r="BV45" s="154"/>
      <c r="BW45" s="154"/>
      <c r="BX45" s="154"/>
    </row>
    <row r="46" ht="15.75" customHeight="1">
      <c r="A46" s="116" t="s">
        <v>1760</v>
      </c>
      <c r="B46" s="117" t="s">
        <v>1704</v>
      </c>
      <c r="C46" s="119" t="s">
        <v>1761</v>
      </c>
      <c r="D46" s="219"/>
      <c r="E46" s="70" t="s">
        <v>1767</v>
      </c>
      <c r="F46" s="174" t="s">
        <v>1768</v>
      </c>
      <c r="G46" s="174"/>
      <c r="H46" s="222"/>
      <c r="I46" s="133"/>
      <c r="J46" s="174" t="s">
        <v>1772</v>
      </c>
      <c r="K46" s="174"/>
      <c r="L46" s="174" t="s">
        <v>1778</v>
      </c>
      <c r="M46" s="172"/>
      <c r="N46" s="174" t="s">
        <v>739</v>
      </c>
      <c r="O46" s="174" t="s">
        <v>1783</v>
      </c>
      <c r="P46" s="174" t="str">
        <f>HYPERLINK("https://youtu.be/Z3lDpXDeu-A","48.50")</f>
        <v>48.50</v>
      </c>
      <c r="Q46" s="174"/>
      <c r="R46" s="133"/>
      <c r="S46" s="174"/>
      <c r="T46" s="174"/>
      <c r="U46" s="174"/>
      <c r="V46" s="174" t="s">
        <v>1761</v>
      </c>
      <c r="W46" s="174"/>
      <c r="X46" s="174"/>
      <c r="Y46" s="154"/>
      <c r="Z46" s="174"/>
      <c r="AA46" s="174"/>
      <c r="AB46" s="174"/>
      <c r="AC46" s="174"/>
      <c r="AD46" s="174"/>
      <c r="AE46" s="154"/>
      <c r="AF46" s="174"/>
      <c r="AG46" s="174"/>
      <c r="AH46" s="174"/>
      <c r="AI46" s="174"/>
      <c r="AJ46" s="174"/>
      <c r="AK46" s="174"/>
      <c r="AL46" s="174"/>
      <c r="AM46" s="174"/>
      <c r="AN46" s="174"/>
      <c r="AO46" s="133"/>
      <c r="AP46" s="174"/>
      <c r="AQ46" s="174"/>
      <c r="AR46" s="154"/>
      <c r="AS46" s="174"/>
      <c r="AT46" s="174"/>
      <c r="AU46" s="174"/>
      <c r="AV46" s="133"/>
      <c r="AW46" s="174"/>
      <c r="AX46" s="154"/>
      <c r="AY46" s="174"/>
      <c r="AZ46" s="174"/>
      <c r="BA46" s="174"/>
      <c r="BB46" s="174"/>
      <c r="BC46" s="174"/>
      <c r="BD46" s="174"/>
      <c r="BE46" s="154"/>
      <c r="BF46" s="174"/>
      <c r="BG46" s="174"/>
      <c r="BH46" s="174"/>
      <c r="BI46" s="174"/>
      <c r="BJ46" s="174"/>
      <c r="BK46" s="174"/>
      <c r="BL46" s="154"/>
      <c r="BM46" s="154"/>
      <c r="BN46" s="154"/>
      <c r="BO46" s="154"/>
      <c r="BP46" s="154"/>
      <c r="BQ46" s="154"/>
      <c r="BR46" s="154"/>
      <c r="BS46" s="154"/>
      <c r="BT46" s="154"/>
      <c r="BU46" s="154"/>
      <c r="BV46" s="154"/>
      <c r="BW46" s="154"/>
      <c r="BX46" s="154"/>
    </row>
    <row r="47" ht="15.75" customHeight="1">
      <c r="A47" s="490"/>
      <c r="B47" s="167" t="s">
        <v>1796</v>
      </c>
      <c r="C47" s="217" t="s">
        <v>1797</v>
      </c>
      <c r="D47" s="172"/>
      <c r="E47" s="133"/>
      <c r="F47" s="133"/>
      <c r="G47" s="133"/>
      <c r="H47" s="222"/>
      <c r="I47" s="133"/>
      <c r="J47" s="129" t="s">
        <v>1797</v>
      </c>
      <c r="K47" s="133"/>
      <c r="L47" s="133"/>
      <c r="M47" s="219"/>
      <c r="N47" s="133"/>
      <c r="O47" s="133"/>
      <c r="P47" s="133"/>
      <c r="Q47" s="133"/>
      <c r="R47" s="133"/>
      <c r="S47" s="133"/>
      <c r="T47" s="133"/>
      <c r="U47" s="133"/>
      <c r="V47" s="133"/>
      <c r="W47" s="133"/>
      <c r="X47" s="133"/>
      <c r="Y47" s="186"/>
      <c r="Z47" s="133"/>
      <c r="AA47" s="133"/>
      <c r="AB47" s="133"/>
      <c r="AC47" s="133"/>
      <c r="AD47" s="133"/>
      <c r="AE47" s="186"/>
      <c r="AF47" s="133"/>
      <c r="AG47" s="133"/>
      <c r="AH47" s="133"/>
      <c r="AI47" s="133"/>
      <c r="AJ47" s="133"/>
      <c r="AK47" s="133"/>
      <c r="AL47" s="133"/>
      <c r="AM47" s="133"/>
      <c r="AN47" s="133"/>
      <c r="AO47" s="133"/>
      <c r="AP47" s="133"/>
      <c r="AQ47" s="133"/>
      <c r="AR47" s="186"/>
      <c r="AS47" s="133"/>
      <c r="AT47" s="133"/>
      <c r="AU47" s="133"/>
      <c r="AV47" s="133"/>
      <c r="AW47" s="133"/>
      <c r="AX47" s="186"/>
      <c r="AY47" s="133"/>
      <c r="AZ47" s="133"/>
      <c r="BA47" s="133"/>
      <c r="BB47" s="133"/>
      <c r="BC47" s="133"/>
      <c r="BD47" s="133"/>
      <c r="BE47" s="186"/>
      <c r="BF47" s="133"/>
      <c r="BG47" s="133"/>
      <c r="BH47" s="133"/>
      <c r="BI47" s="133"/>
      <c r="BJ47" s="133"/>
      <c r="BK47" s="133"/>
      <c r="BL47" s="186"/>
      <c r="BM47" s="186"/>
      <c r="BN47" s="186"/>
      <c r="BO47" s="186"/>
      <c r="BP47" s="186"/>
      <c r="BQ47" s="186"/>
      <c r="BR47" s="186"/>
      <c r="BS47" s="186"/>
      <c r="BT47" s="186"/>
      <c r="BU47" s="186"/>
      <c r="BV47" s="186"/>
      <c r="BW47" s="186"/>
      <c r="BX47" s="186"/>
    </row>
    <row r="48" ht="15.75" customHeight="1">
      <c r="A48" s="523"/>
      <c r="B48" s="266" t="s">
        <v>1806</v>
      </c>
      <c r="C48" s="119" t="s">
        <v>1808</v>
      </c>
      <c r="D48" s="219"/>
      <c r="E48" s="133"/>
      <c r="F48" s="133"/>
      <c r="G48" s="133"/>
      <c r="H48" s="222"/>
      <c r="I48" s="133"/>
      <c r="J48" s="129" t="s">
        <v>1808</v>
      </c>
      <c r="K48" s="133"/>
      <c r="L48" s="133"/>
      <c r="M48" s="172"/>
      <c r="N48" s="133"/>
      <c r="O48" s="133"/>
      <c r="P48" s="133"/>
      <c r="Q48" s="133"/>
      <c r="R48" s="133"/>
      <c r="S48" s="133"/>
      <c r="T48" s="133"/>
      <c r="U48" s="133"/>
      <c r="V48" s="133"/>
      <c r="W48" s="133"/>
      <c r="X48" s="133"/>
      <c r="Y48" s="154"/>
      <c r="Z48" s="133"/>
      <c r="AA48" s="133"/>
      <c r="AB48" s="133"/>
      <c r="AC48" s="133"/>
      <c r="AD48" s="133"/>
      <c r="AE48" s="154"/>
      <c r="AF48" s="133"/>
      <c r="AG48" s="133"/>
      <c r="AH48" s="133"/>
      <c r="AI48" s="133"/>
      <c r="AJ48" s="133"/>
      <c r="AK48" s="133"/>
      <c r="AL48" s="133"/>
      <c r="AM48" s="133"/>
      <c r="AN48" s="133"/>
      <c r="AO48" s="133"/>
      <c r="AP48" s="133"/>
      <c r="AQ48" s="133"/>
      <c r="AR48" s="154"/>
      <c r="AS48" s="133"/>
      <c r="AT48" s="133"/>
      <c r="AU48" s="133"/>
      <c r="AV48" s="133"/>
      <c r="AW48" s="133"/>
      <c r="AX48" s="154"/>
      <c r="AY48" s="133"/>
      <c r="AZ48" s="133"/>
      <c r="BA48" s="133"/>
      <c r="BB48" s="133"/>
      <c r="BC48" s="133"/>
      <c r="BD48" s="133"/>
      <c r="BE48" s="154"/>
      <c r="BF48" s="133"/>
      <c r="BG48" s="133"/>
      <c r="BH48" s="133"/>
      <c r="BI48" s="133"/>
      <c r="BJ48" s="133"/>
      <c r="BK48" s="133"/>
      <c r="BL48" s="154"/>
      <c r="BM48" s="154"/>
      <c r="BN48" s="154"/>
      <c r="BO48" s="154"/>
      <c r="BP48" s="154"/>
      <c r="BQ48" s="154"/>
      <c r="BR48" s="154"/>
      <c r="BS48" s="154"/>
      <c r="BT48" s="154"/>
      <c r="BU48" s="154"/>
      <c r="BV48" s="154"/>
      <c r="BW48" s="154"/>
      <c r="BX48" s="154"/>
    </row>
    <row r="49" ht="15.75" customHeight="1">
      <c r="A49" s="490"/>
      <c r="B49" s="167" t="s">
        <v>1818</v>
      </c>
      <c r="C49" s="119" t="s">
        <v>1819</v>
      </c>
      <c r="D49" s="172"/>
      <c r="E49" s="524" t="s">
        <v>1825</v>
      </c>
      <c r="F49" s="133"/>
      <c r="G49" s="133" t="s">
        <v>1825</v>
      </c>
      <c r="H49" s="222"/>
      <c r="I49" s="133" t="s">
        <v>1829</v>
      </c>
      <c r="J49" s="129" t="s">
        <v>1819</v>
      </c>
      <c r="K49" s="525" t="s">
        <v>1830</v>
      </c>
      <c r="L49" s="133"/>
      <c r="M49" s="219"/>
      <c r="N49" s="133"/>
      <c r="O49" s="133"/>
      <c r="P49" s="133"/>
      <c r="Q49" s="133"/>
      <c r="R49" s="133"/>
      <c r="S49" s="133"/>
      <c r="T49" s="133"/>
      <c r="U49" s="133"/>
      <c r="V49" s="133"/>
      <c r="W49" s="133"/>
      <c r="X49" s="133"/>
      <c r="Y49" s="186"/>
      <c r="Z49" s="133"/>
      <c r="AA49" s="133"/>
      <c r="AB49" s="133"/>
      <c r="AC49" s="133"/>
      <c r="AD49" s="133"/>
      <c r="AE49" s="186"/>
      <c r="AF49" s="133"/>
      <c r="AG49" s="133"/>
      <c r="AH49" s="133"/>
      <c r="AI49" s="133"/>
      <c r="AJ49" s="133"/>
      <c r="AK49" s="133"/>
      <c r="AL49" s="133"/>
      <c r="AM49" s="133"/>
      <c r="AN49" s="133"/>
      <c r="AO49" s="133"/>
      <c r="AP49" s="133"/>
      <c r="AQ49" s="133"/>
      <c r="AR49" s="186"/>
      <c r="AS49" s="133"/>
      <c r="AT49" s="133"/>
      <c r="AU49" s="133"/>
      <c r="AV49" s="133"/>
      <c r="AW49" s="133"/>
      <c r="AX49" s="186"/>
      <c r="AY49" s="133"/>
      <c r="AZ49" s="133"/>
      <c r="BA49" s="133"/>
      <c r="BB49" s="133"/>
      <c r="BC49" s="133"/>
      <c r="BD49" s="133"/>
      <c r="BE49" s="186"/>
      <c r="BF49" s="133"/>
      <c r="BG49" s="133"/>
      <c r="BH49" s="133"/>
      <c r="BI49" s="133"/>
      <c r="BJ49" s="133"/>
      <c r="BK49" s="133"/>
      <c r="BL49" s="186"/>
      <c r="BM49" s="186"/>
      <c r="BN49" s="186"/>
      <c r="BO49" s="186"/>
      <c r="BP49" s="186"/>
      <c r="BQ49" s="186"/>
      <c r="BR49" s="186"/>
      <c r="BS49" s="186"/>
      <c r="BT49" s="186"/>
      <c r="BU49" s="186"/>
      <c r="BV49" s="186"/>
      <c r="BW49" s="186"/>
      <c r="BX49" s="186"/>
    </row>
    <row r="50" ht="15.75" customHeight="1">
      <c r="A50" s="523"/>
      <c r="B50" s="527" t="s">
        <v>1838</v>
      </c>
      <c r="C50" s="119" t="s">
        <v>1839</v>
      </c>
      <c r="D50" s="124" t="s">
        <v>1843</v>
      </c>
      <c r="E50" s="529"/>
      <c r="F50" s="174"/>
      <c r="G50" s="174"/>
      <c r="H50" s="222"/>
      <c r="I50" s="133"/>
      <c r="J50" s="174"/>
      <c r="K50" s="174"/>
      <c r="L50" s="174"/>
      <c r="M50" s="172"/>
      <c r="N50" s="174"/>
      <c r="O50" s="174"/>
      <c r="P50" s="174"/>
      <c r="Q50" s="174"/>
      <c r="R50" s="133"/>
      <c r="S50" s="174"/>
      <c r="T50" s="174"/>
      <c r="U50" s="174"/>
      <c r="V50" s="174"/>
      <c r="W50" s="174"/>
      <c r="X50" s="174"/>
      <c r="Y50" s="154"/>
      <c r="Z50" s="174"/>
      <c r="AA50" s="174"/>
      <c r="AB50" s="174"/>
      <c r="AC50" s="174"/>
      <c r="AD50" s="174"/>
      <c r="AE50" s="154"/>
      <c r="AF50" s="174"/>
      <c r="AG50" s="174"/>
      <c r="AH50" s="174"/>
      <c r="AI50" s="174"/>
      <c r="AJ50" s="174"/>
      <c r="AK50" s="174"/>
      <c r="AL50" s="174"/>
      <c r="AM50" s="174"/>
      <c r="AN50" s="385" t="s">
        <v>1839</v>
      </c>
      <c r="AO50" s="133"/>
      <c r="AP50" s="174"/>
      <c r="AQ50" s="174"/>
      <c r="AR50" s="154"/>
      <c r="AS50" s="174"/>
      <c r="AT50" s="174"/>
      <c r="AU50" s="174"/>
      <c r="AV50" s="133"/>
      <c r="AW50" s="174"/>
      <c r="AX50" s="154"/>
      <c r="AY50" s="174"/>
      <c r="AZ50" s="174"/>
      <c r="BA50" s="174"/>
      <c r="BB50" s="174"/>
      <c r="BC50" s="174"/>
      <c r="BD50" s="174"/>
      <c r="BE50" s="154"/>
      <c r="BF50" s="174"/>
      <c r="BG50" s="174"/>
      <c r="BH50" s="174"/>
      <c r="BI50" s="174"/>
      <c r="BJ50" s="174"/>
      <c r="BK50" s="174"/>
      <c r="BL50" s="154"/>
      <c r="BM50" s="154"/>
      <c r="BN50" s="154"/>
      <c r="BO50" s="154"/>
      <c r="BP50" s="154"/>
      <c r="BQ50" s="154"/>
      <c r="BR50" s="154"/>
      <c r="BS50" s="154"/>
      <c r="BT50" s="154"/>
      <c r="BU50" s="154"/>
      <c r="BV50" s="154"/>
      <c r="BW50" s="154"/>
      <c r="BX50" s="154"/>
    </row>
    <row r="51" ht="15.75" customHeight="1">
      <c r="A51" s="214" t="s">
        <v>1740</v>
      </c>
      <c r="B51" s="215" t="s">
        <v>1704</v>
      </c>
      <c r="C51" s="119" t="s">
        <v>1854</v>
      </c>
      <c r="D51" s="219"/>
      <c r="E51" s="529"/>
      <c r="F51" s="174"/>
      <c r="G51" s="174"/>
      <c r="H51" s="222"/>
      <c r="I51" s="133" t="s">
        <v>1856</v>
      </c>
      <c r="J51" s="174"/>
      <c r="K51" s="174"/>
      <c r="L51" s="174"/>
      <c r="M51" s="172"/>
      <c r="N51" s="174"/>
      <c r="O51" s="174"/>
      <c r="P51" s="174"/>
      <c r="Q51" s="174"/>
      <c r="R51" s="133"/>
      <c r="S51" s="174"/>
      <c r="T51" s="174"/>
      <c r="U51" s="174"/>
      <c r="V51" s="385" t="s">
        <v>1857</v>
      </c>
      <c r="W51" s="174"/>
      <c r="X51" s="174"/>
      <c r="Y51" s="154"/>
      <c r="Z51" s="174"/>
      <c r="AA51" s="174"/>
      <c r="AB51" s="174"/>
      <c r="AC51" s="174"/>
      <c r="AD51" s="174"/>
      <c r="AE51" s="154"/>
      <c r="AF51" s="174"/>
      <c r="AG51" s="174"/>
      <c r="AH51" s="174"/>
      <c r="AI51" s="174"/>
      <c r="AJ51" s="174"/>
      <c r="AK51" s="174"/>
      <c r="AL51" s="174"/>
      <c r="AM51" s="174"/>
      <c r="AN51" s="174"/>
      <c r="AO51" s="133"/>
      <c r="AP51" s="174"/>
      <c r="AQ51" s="174"/>
      <c r="AR51" s="154"/>
      <c r="AS51" s="174"/>
      <c r="AT51" s="174"/>
      <c r="AU51" s="174"/>
      <c r="AV51" s="133"/>
      <c r="AW51" s="174"/>
      <c r="AX51" s="154"/>
      <c r="AY51" s="174"/>
      <c r="AZ51" s="174"/>
      <c r="BA51" s="174"/>
      <c r="BB51" s="174"/>
      <c r="BC51" s="174"/>
      <c r="BD51" s="174"/>
      <c r="BE51" s="154"/>
      <c r="BF51" s="174"/>
      <c r="BG51" s="174"/>
      <c r="BH51" s="174"/>
      <c r="BI51" s="174"/>
      <c r="BJ51" s="174"/>
      <c r="BK51" s="174"/>
      <c r="BL51" s="154"/>
      <c r="BM51" s="154"/>
      <c r="BN51" s="154"/>
      <c r="BO51" s="154"/>
      <c r="BP51" s="154"/>
      <c r="BQ51" s="154"/>
      <c r="BR51" s="154"/>
      <c r="BS51" s="154"/>
      <c r="BT51" s="154"/>
      <c r="BU51" s="154"/>
      <c r="BV51" s="154"/>
      <c r="BW51" s="154"/>
      <c r="BX51" s="154"/>
    </row>
    <row r="52" ht="15.75" customHeight="1">
      <c r="A52" s="490"/>
      <c r="B52" s="532" t="s">
        <v>1863</v>
      </c>
      <c r="C52" s="217" t="s">
        <v>1865</v>
      </c>
      <c r="D52" s="124" t="s">
        <v>1869</v>
      </c>
      <c r="E52" s="524" t="s">
        <v>1873</v>
      </c>
      <c r="F52" s="174"/>
      <c r="G52" s="174" t="s">
        <v>1875</v>
      </c>
      <c r="H52" s="222"/>
      <c r="I52" s="133" t="s">
        <v>1876</v>
      </c>
      <c r="J52" s="174"/>
      <c r="K52" s="174"/>
      <c r="L52" s="174"/>
      <c r="M52" s="172"/>
      <c r="N52" s="174"/>
      <c r="O52" s="174"/>
      <c r="P52" s="174"/>
      <c r="Q52" s="174"/>
      <c r="R52" s="133"/>
      <c r="S52" s="174"/>
      <c r="T52" s="174"/>
      <c r="U52" s="174"/>
      <c r="V52" s="174"/>
      <c r="W52" s="174"/>
      <c r="X52" s="174"/>
      <c r="Y52" s="154"/>
      <c r="Z52" s="174"/>
      <c r="AA52" s="174"/>
      <c r="AB52" s="174"/>
      <c r="AC52" s="174"/>
      <c r="AD52" s="174"/>
      <c r="AE52" s="154"/>
      <c r="AF52" s="174"/>
      <c r="AG52" s="174"/>
      <c r="AH52" s="174"/>
      <c r="AI52" s="174"/>
      <c r="AJ52" s="174"/>
      <c r="AK52" s="174"/>
      <c r="AL52" s="174"/>
      <c r="AM52" s="174"/>
      <c r="AN52" s="129" t="s">
        <v>1880</v>
      </c>
      <c r="AO52" s="133"/>
      <c r="AP52" s="174"/>
      <c r="AQ52" s="174"/>
      <c r="AR52" s="154"/>
      <c r="AS52" s="174"/>
      <c r="AT52" s="174"/>
      <c r="AU52" s="174"/>
      <c r="AV52" s="133"/>
      <c r="AW52" s="174"/>
      <c r="AX52" s="154"/>
      <c r="AY52" s="174"/>
      <c r="AZ52" s="174"/>
      <c r="BA52" s="174"/>
      <c r="BB52" s="174"/>
      <c r="BC52" s="174"/>
      <c r="BD52" s="174"/>
      <c r="BE52" s="154"/>
      <c r="BF52" s="174"/>
      <c r="BG52" s="174"/>
      <c r="BH52" s="174"/>
      <c r="BI52" s="174"/>
      <c r="BJ52" s="174"/>
      <c r="BK52" s="174"/>
      <c r="BL52" s="154"/>
      <c r="BM52" s="154"/>
      <c r="BN52" s="154"/>
      <c r="BO52" s="154"/>
      <c r="BP52" s="154"/>
      <c r="BQ52" s="154"/>
      <c r="BR52" s="154"/>
      <c r="BS52" s="154"/>
      <c r="BT52" s="154"/>
      <c r="BU52" s="154"/>
      <c r="BV52" s="154"/>
      <c r="BW52" s="154"/>
      <c r="BX52" s="154"/>
    </row>
    <row r="53" ht="15.75" customHeight="1">
      <c r="A53" s="116" t="s">
        <v>171</v>
      </c>
      <c r="B53" s="117" t="s">
        <v>187</v>
      </c>
      <c r="C53" s="119" t="s">
        <v>1120</v>
      </c>
      <c r="D53" s="124" t="s">
        <v>1889</v>
      </c>
      <c r="E53" s="70" t="s">
        <v>1891</v>
      </c>
      <c r="F53" s="129" t="s">
        <v>1120</v>
      </c>
      <c r="G53" s="139"/>
      <c r="H53" s="132" t="s">
        <v>1893</v>
      </c>
      <c r="I53" s="133" t="s">
        <v>1896</v>
      </c>
      <c r="J53" s="139"/>
      <c r="K53" s="139"/>
      <c r="L53" s="139"/>
      <c r="M53" s="219"/>
      <c r="N53" s="129" t="s">
        <v>1897</v>
      </c>
      <c r="O53" s="139"/>
      <c r="P53" s="139"/>
      <c r="Q53" s="139"/>
      <c r="R53" s="133"/>
      <c r="S53" s="139"/>
      <c r="T53" s="139"/>
      <c r="U53" s="139"/>
      <c r="V53" s="139"/>
      <c r="W53" s="139"/>
      <c r="X53" s="139"/>
      <c r="Y53" s="186"/>
      <c r="Z53" s="139"/>
      <c r="AA53" s="139"/>
      <c r="AB53" s="139"/>
      <c r="AC53" s="139"/>
      <c r="AD53" s="139"/>
      <c r="AE53" s="186"/>
      <c r="AF53" s="139"/>
      <c r="AG53" s="139"/>
      <c r="AH53" s="139"/>
      <c r="AI53" s="139"/>
      <c r="AJ53" s="139"/>
      <c r="AK53" s="139"/>
      <c r="AL53" s="139"/>
      <c r="AM53" s="139"/>
      <c r="AN53" s="139"/>
      <c r="AO53" s="133"/>
      <c r="AP53" s="139"/>
      <c r="AQ53" s="139"/>
      <c r="AR53" s="186"/>
      <c r="AS53" s="139"/>
      <c r="AT53" s="139"/>
      <c r="AU53" s="139"/>
      <c r="AV53" s="133"/>
      <c r="AW53" s="139"/>
      <c r="AX53" s="186"/>
      <c r="AY53" s="139"/>
      <c r="AZ53" s="139"/>
      <c r="BA53" s="139"/>
      <c r="BB53" s="139"/>
      <c r="BC53" s="139"/>
      <c r="BD53" s="139"/>
      <c r="BE53" s="186"/>
      <c r="BF53" s="139"/>
      <c r="BG53" s="139"/>
      <c r="BH53" s="139"/>
      <c r="BI53" s="139"/>
      <c r="BJ53" s="139"/>
      <c r="BK53" s="139"/>
      <c r="BL53" s="186"/>
      <c r="BM53" s="186"/>
      <c r="BN53" s="186"/>
      <c r="BO53" s="186"/>
      <c r="BP53" s="186"/>
      <c r="BQ53" s="186"/>
      <c r="BR53" s="186"/>
      <c r="BS53" s="186"/>
      <c r="BT53" s="186"/>
      <c r="BU53" s="186"/>
      <c r="BV53" s="186"/>
      <c r="BW53" s="186"/>
      <c r="BX53" s="186"/>
    </row>
    <row r="54">
      <c r="A54" s="536" t="s">
        <v>36</v>
      </c>
      <c r="D54" s="537"/>
      <c r="E54" s="538"/>
      <c r="F54" s="538"/>
      <c r="G54" s="538"/>
      <c r="H54" s="539"/>
      <c r="I54" s="538"/>
      <c r="J54" s="538"/>
      <c r="K54" s="538"/>
      <c r="L54" s="538"/>
      <c r="M54" s="537"/>
      <c r="N54" s="538"/>
      <c r="O54" s="538"/>
      <c r="P54" s="538"/>
      <c r="Q54" s="538"/>
      <c r="R54" s="540"/>
      <c r="S54" s="538"/>
      <c r="T54" s="538"/>
      <c r="U54" s="538"/>
      <c r="V54" s="538"/>
      <c r="W54" s="538"/>
      <c r="X54" s="538"/>
      <c r="Y54" s="541"/>
      <c r="Z54" s="538"/>
      <c r="AA54" s="538"/>
      <c r="AB54" s="538"/>
      <c r="AC54" s="538"/>
      <c r="AD54" s="538"/>
      <c r="AE54" s="541"/>
      <c r="AF54" s="538"/>
      <c r="AG54" s="538"/>
      <c r="AH54" s="538"/>
      <c r="AI54" s="538"/>
      <c r="AJ54" s="538"/>
      <c r="AK54" s="538"/>
      <c r="AL54" s="538"/>
      <c r="AM54" s="538"/>
      <c r="AN54" s="538"/>
      <c r="AO54" s="538"/>
      <c r="AP54" s="538"/>
      <c r="AQ54" s="538"/>
      <c r="AR54" s="541"/>
      <c r="AS54" s="538"/>
      <c r="AT54" s="538"/>
      <c r="AU54" s="538"/>
      <c r="AV54" s="538"/>
      <c r="AW54" s="538"/>
      <c r="AX54" s="541"/>
      <c r="AY54" s="538"/>
      <c r="AZ54" s="538"/>
      <c r="BA54" s="538"/>
      <c r="BB54" s="538"/>
      <c r="BC54" s="538"/>
      <c r="BD54" s="538"/>
      <c r="BE54" s="541"/>
      <c r="BF54" s="538"/>
      <c r="BG54" s="538"/>
      <c r="BH54" s="538"/>
      <c r="BI54" s="538"/>
      <c r="BJ54" s="538"/>
      <c r="BK54" s="538"/>
      <c r="BL54" s="541"/>
      <c r="BM54" s="541"/>
      <c r="BN54" s="541"/>
      <c r="BO54" s="541"/>
      <c r="BP54" s="541"/>
      <c r="BQ54" s="541"/>
      <c r="BR54" s="541"/>
      <c r="BS54" s="541"/>
      <c r="BT54" s="541"/>
      <c r="BU54" s="541"/>
      <c r="BV54" s="541"/>
      <c r="BW54" s="541"/>
      <c r="BX54" s="541"/>
    </row>
    <row r="55" ht="15.75" customHeight="1">
      <c r="A55" s="542" t="s">
        <v>1920</v>
      </c>
      <c r="B55" s="543" t="s">
        <v>1922</v>
      </c>
      <c r="C55" s="544" t="s">
        <v>1923</v>
      </c>
      <c r="D55" s="219"/>
      <c r="E55" s="174"/>
      <c r="F55" s="174" t="s">
        <v>1926</v>
      </c>
      <c r="G55" s="174"/>
      <c r="H55" s="132" t="s">
        <v>1928</v>
      </c>
      <c r="I55" s="546"/>
      <c r="J55" s="174" t="s">
        <v>1738</v>
      </c>
      <c r="K55" s="174" t="s">
        <v>1923</v>
      </c>
      <c r="L55" s="174" t="s">
        <v>1939</v>
      </c>
      <c r="M55" s="548" t="s">
        <v>1942</v>
      </c>
      <c r="N55" s="174" t="s">
        <v>198</v>
      </c>
      <c r="O55" s="174" t="s">
        <v>1948</v>
      </c>
      <c r="P55" s="174" t="s">
        <v>558</v>
      </c>
      <c r="Q55" s="174"/>
      <c r="R55" s="133" t="s">
        <v>1952</v>
      </c>
      <c r="S55" s="174" t="s">
        <v>1726</v>
      </c>
      <c r="T55" s="174" t="s">
        <v>1953</v>
      </c>
      <c r="U55" s="174" t="s">
        <v>1957</v>
      </c>
      <c r="V55" s="174"/>
      <c r="W55" s="174"/>
      <c r="X55" s="174" t="s">
        <v>1959</v>
      </c>
      <c r="Y55" s="549"/>
      <c r="Z55" s="174"/>
      <c r="AA55" s="174"/>
      <c r="AB55" s="174"/>
      <c r="AC55" s="174"/>
      <c r="AD55" s="174"/>
      <c r="AE55" s="549"/>
      <c r="AF55" s="174"/>
      <c r="AG55" s="174"/>
      <c r="AH55" s="174"/>
      <c r="AI55" s="174"/>
      <c r="AJ55" s="174"/>
      <c r="AK55" s="174"/>
      <c r="AL55" s="174"/>
      <c r="AM55" s="174"/>
      <c r="AN55" s="174"/>
      <c r="AO55" s="546"/>
      <c r="AP55" s="174" t="s">
        <v>1066</v>
      </c>
      <c r="AQ55" s="174"/>
      <c r="AR55" s="549"/>
      <c r="AS55" s="174"/>
      <c r="AT55" s="174"/>
      <c r="AU55" s="174"/>
      <c r="AV55" s="546"/>
      <c r="AW55" s="174"/>
      <c r="AX55" s="549"/>
      <c r="AY55" s="174"/>
      <c r="AZ55" s="174"/>
      <c r="BA55" s="174"/>
      <c r="BB55" s="174"/>
      <c r="BC55" s="174"/>
      <c r="BD55" s="174"/>
      <c r="BE55" s="549"/>
      <c r="BF55" s="174"/>
      <c r="BG55" s="174"/>
      <c r="BH55" s="174"/>
      <c r="BI55" s="174"/>
      <c r="BJ55" s="174"/>
      <c r="BK55" s="174"/>
      <c r="BL55" s="549"/>
      <c r="BM55" s="549"/>
      <c r="BN55" s="549"/>
      <c r="BO55" s="549"/>
      <c r="BP55" s="549"/>
      <c r="BQ55" s="549"/>
      <c r="BR55" s="549"/>
      <c r="BS55" s="549"/>
      <c r="BT55" s="549"/>
      <c r="BU55" s="549"/>
      <c r="BV55" s="549"/>
      <c r="BW55" s="549"/>
      <c r="BX55" s="549"/>
    </row>
    <row r="56" ht="15.75" customHeight="1">
      <c r="A56" s="550"/>
      <c r="B56" s="551" t="s">
        <v>1965</v>
      </c>
      <c r="C56" s="544" t="s">
        <v>1967</v>
      </c>
      <c r="D56" s="552"/>
      <c r="E56" s="174"/>
      <c r="F56" s="174" t="s">
        <v>1967</v>
      </c>
      <c r="G56" s="174"/>
      <c r="H56" s="222"/>
      <c r="I56" s="546"/>
      <c r="J56" s="174"/>
      <c r="K56" s="174"/>
      <c r="L56" s="174"/>
      <c r="M56" s="219"/>
      <c r="N56" s="174"/>
      <c r="O56" s="174"/>
      <c r="P56" s="174"/>
      <c r="Q56" s="174" t="s">
        <v>1411</v>
      </c>
      <c r="R56" s="133" t="s">
        <v>256</v>
      </c>
      <c r="S56" s="174" t="s">
        <v>1973</v>
      </c>
      <c r="T56" s="174"/>
      <c r="U56" s="174"/>
      <c r="V56" s="174"/>
      <c r="W56" s="174" t="s">
        <v>1974</v>
      </c>
      <c r="X56" s="174"/>
      <c r="Y56" s="186"/>
      <c r="Z56" s="174"/>
      <c r="AA56" s="174"/>
      <c r="AB56" s="174"/>
      <c r="AC56" s="174"/>
      <c r="AD56" s="174"/>
      <c r="AE56" s="186"/>
      <c r="AF56" s="174"/>
      <c r="AG56" s="174"/>
      <c r="AH56" s="174"/>
      <c r="AI56" s="174"/>
      <c r="AJ56" s="174"/>
      <c r="AK56" s="174"/>
      <c r="AL56" s="174"/>
      <c r="AM56" s="174"/>
      <c r="AN56" s="174"/>
      <c r="AO56" s="546"/>
      <c r="AP56" s="174"/>
      <c r="AQ56" s="174"/>
      <c r="AR56" s="186"/>
      <c r="AS56" s="174"/>
      <c r="AT56" s="174"/>
      <c r="AU56" s="174"/>
      <c r="AV56" s="546"/>
      <c r="AW56" s="174"/>
      <c r="AX56" s="186"/>
      <c r="AY56" s="174"/>
      <c r="AZ56" s="174"/>
      <c r="BA56" s="174"/>
      <c r="BB56" s="174"/>
      <c r="BC56" s="174"/>
      <c r="BD56" s="174"/>
      <c r="BE56" s="186"/>
      <c r="BF56" s="174"/>
      <c r="BG56" s="174"/>
      <c r="BH56" s="174"/>
      <c r="BI56" s="174"/>
      <c r="BJ56" s="174"/>
      <c r="BK56" s="174"/>
      <c r="BL56" s="186"/>
      <c r="BM56" s="186"/>
      <c r="BN56" s="186"/>
      <c r="BO56" s="186"/>
      <c r="BP56" s="186"/>
      <c r="BQ56" s="186"/>
      <c r="BR56" s="186"/>
      <c r="BS56" s="186"/>
      <c r="BT56" s="186"/>
      <c r="BU56" s="186"/>
      <c r="BV56" s="186"/>
      <c r="BW56" s="186"/>
      <c r="BX56" s="186"/>
    </row>
    <row r="57" ht="15.75" customHeight="1">
      <c r="A57" s="554"/>
      <c r="B57" s="555" t="s">
        <v>1980</v>
      </c>
      <c r="C57" s="544">
        <v>52.89</v>
      </c>
      <c r="D57" s="219"/>
      <c r="E57" s="434" t="s">
        <v>1983</v>
      </c>
      <c r="F57" s="556"/>
      <c r="G57" s="556"/>
      <c r="H57" s="222"/>
      <c r="I57" s="546"/>
      <c r="J57" s="556"/>
      <c r="K57" s="556"/>
      <c r="L57" s="556"/>
      <c r="M57" s="552"/>
      <c r="N57" s="556"/>
      <c r="O57" s="556"/>
      <c r="P57" s="557" t="s">
        <v>1985</v>
      </c>
      <c r="Q57" s="556"/>
      <c r="R57" s="133"/>
      <c r="S57" s="556"/>
      <c r="T57" s="434" t="s">
        <v>1986</v>
      </c>
      <c r="U57" s="556"/>
      <c r="V57" s="556"/>
      <c r="W57" s="556"/>
      <c r="X57" s="556"/>
      <c r="Y57" s="549"/>
      <c r="Z57" s="556"/>
      <c r="AA57" s="556"/>
      <c r="AB57" s="556"/>
      <c r="AC57" s="556"/>
      <c r="AD57" s="556"/>
      <c r="AE57" s="549"/>
      <c r="AF57" s="556"/>
      <c r="AG57" s="556"/>
      <c r="AH57" s="556"/>
      <c r="AI57" s="556"/>
      <c r="AJ57" s="556"/>
      <c r="AK57" s="556"/>
      <c r="AL57" s="556"/>
      <c r="AM57" s="556"/>
      <c r="AN57" s="556"/>
      <c r="AO57" s="546"/>
      <c r="AP57" s="556"/>
      <c r="AQ57" s="556"/>
      <c r="AR57" s="549"/>
      <c r="AS57" s="556"/>
      <c r="AT57" s="556"/>
      <c r="AU57" s="556"/>
      <c r="AV57" s="546"/>
      <c r="AW57" s="556"/>
      <c r="AX57" s="549"/>
      <c r="AY57" s="556"/>
      <c r="AZ57" s="556"/>
      <c r="BA57" s="556"/>
      <c r="BB57" s="556"/>
      <c r="BC57" s="556"/>
      <c r="BD57" s="556"/>
      <c r="BE57" s="549"/>
      <c r="BF57" s="556"/>
      <c r="BG57" s="556"/>
      <c r="BH57" s="556"/>
      <c r="BI57" s="556"/>
      <c r="BJ57" s="556"/>
      <c r="BK57" s="556"/>
      <c r="BL57" s="549"/>
      <c r="BM57" s="549"/>
      <c r="BN57" s="549"/>
      <c r="BO57" s="549"/>
      <c r="BP57" s="549"/>
      <c r="BQ57" s="549"/>
      <c r="BR57" s="549"/>
      <c r="BS57" s="549"/>
      <c r="BT57" s="549"/>
      <c r="BU57" s="549"/>
      <c r="BV57" s="549"/>
      <c r="BW57" s="549"/>
      <c r="BX57" s="549"/>
    </row>
    <row r="58" ht="15.75" customHeight="1">
      <c r="A58" s="550"/>
      <c r="B58" s="551" t="s">
        <v>1993</v>
      </c>
      <c r="C58" s="544" t="s">
        <v>601</v>
      </c>
      <c r="D58" s="182" t="s">
        <v>1996</v>
      </c>
      <c r="E58" s="174" t="s">
        <v>1756</v>
      </c>
      <c r="F58" s="434" t="s">
        <v>1128</v>
      </c>
      <c r="G58" s="132" t="s">
        <v>562</v>
      </c>
      <c r="H58" s="132" t="s">
        <v>1999</v>
      </c>
      <c r="I58" s="546"/>
      <c r="J58" s="434"/>
      <c r="K58" s="434"/>
      <c r="L58" s="434"/>
      <c r="M58" s="219"/>
      <c r="N58" s="434"/>
      <c r="O58" s="434"/>
      <c r="P58" s="434"/>
      <c r="Q58" s="434" t="s">
        <v>1996</v>
      </c>
      <c r="R58" s="133"/>
      <c r="S58" s="434"/>
      <c r="T58" s="434"/>
      <c r="U58" s="434"/>
      <c r="V58" s="434"/>
      <c r="W58" s="434"/>
      <c r="X58" s="434"/>
      <c r="Y58" s="186"/>
      <c r="Z58" s="434"/>
      <c r="AA58" s="434"/>
      <c r="AB58" s="434"/>
      <c r="AC58" s="434"/>
      <c r="AD58" s="434"/>
      <c r="AE58" s="186"/>
      <c r="AF58" s="434"/>
      <c r="AG58" s="434"/>
      <c r="AH58" s="434"/>
      <c r="AI58" s="434"/>
      <c r="AJ58" s="434"/>
      <c r="AK58" s="434"/>
      <c r="AL58" s="434"/>
      <c r="AM58" s="434"/>
      <c r="AN58" s="434"/>
      <c r="AO58" s="546"/>
      <c r="AP58" s="434"/>
      <c r="AQ58" s="434"/>
      <c r="AR58" s="186"/>
      <c r="AS58" s="434"/>
      <c r="AT58" s="434"/>
      <c r="AU58" s="434"/>
      <c r="AV58" s="546"/>
      <c r="AW58" s="434"/>
      <c r="AX58" s="186"/>
      <c r="AY58" s="434"/>
      <c r="AZ58" s="434"/>
      <c r="BA58" s="434"/>
      <c r="BB58" s="434"/>
      <c r="BC58" s="434"/>
      <c r="BD58" s="434"/>
      <c r="BE58" s="186"/>
      <c r="BF58" s="434"/>
      <c r="BG58" s="434"/>
      <c r="BH58" s="434"/>
      <c r="BI58" s="434"/>
      <c r="BJ58" s="434"/>
      <c r="BK58" s="434"/>
      <c r="BL58" s="186"/>
      <c r="BM58" s="186"/>
      <c r="BN58" s="186"/>
      <c r="BO58" s="186"/>
      <c r="BP58" s="186"/>
      <c r="BQ58" s="186"/>
      <c r="BR58" s="186"/>
      <c r="BS58" s="186"/>
      <c r="BT58" s="186"/>
      <c r="BU58" s="186"/>
      <c r="BV58" s="186"/>
      <c r="BW58" s="186"/>
      <c r="BX58" s="186"/>
    </row>
    <row r="59" ht="15.75" customHeight="1">
      <c r="A59" s="554"/>
      <c r="B59" s="561" t="s">
        <v>2013</v>
      </c>
      <c r="C59" s="279" t="s">
        <v>2014</v>
      </c>
      <c r="D59" s="182" t="s">
        <v>2014</v>
      </c>
      <c r="E59" s="434"/>
      <c r="F59" s="434"/>
      <c r="G59" s="434" t="s">
        <v>2016</v>
      </c>
      <c r="H59" s="222"/>
      <c r="I59" s="562" t="s">
        <v>2017</v>
      </c>
      <c r="J59" s="434"/>
      <c r="K59" s="434"/>
      <c r="L59" s="434"/>
      <c r="M59" s="552"/>
      <c r="N59" s="434"/>
      <c r="O59" s="434"/>
      <c r="P59" s="434"/>
      <c r="Q59" s="434"/>
      <c r="R59" s="133"/>
      <c r="S59" s="434"/>
      <c r="T59" s="434"/>
      <c r="U59" s="434"/>
      <c r="V59" s="434"/>
      <c r="W59" s="434"/>
      <c r="X59" s="434"/>
      <c r="Y59" s="549"/>
      <c r="Z59" s="434"/>
      <c r="AA59" s="434"/>
      <c r="AB59" s="434"/>
      <c r="AC59" s="434"/>
      <c r="AD59" s="434"/>
      <c r="AE59" s="549"/>
      <c r="AF59" s="434"/>
      <c r="AG59" s="434"/>
      <c r="AH59" s="434"/>
      <c r="AI59" s="434"/>
      <c r="AJ59" s="434"/>
      <c r="AK59" s="434"/>
      <c r="AL59" s="434"/>
      <c r="AM59" s="434"/>
      <c r="AN59" s="434"/>
      <c r="AO59" s="546"/>
      <c r="AP59" s="434"/>
      <c r="AQ59" s="434"/>
      <c r="AR59" s="549"/>
      <c r="AS59" s="434"/>
      <c r="AT59" s="434"/>
      <c r="AU59" s="434"/>
      <c r="AV59" s="546"/>
      <c r="AW59" s="434"/>
      <c r="AX59" s="549"/>
      <c r="AY59" s="434"/>
      <c r="AZ59" s="434"/>
      <c r="BA59" s="434"/>
      <c r="BB59" s="434"/>
      <c r="BC59" s="434"/>
      <c r="BD59" s="434"/>
      <c r="BE59" s="549"/>
      <c r="BF59" s="434"/>
      <c r="BG59" s="434"/>
      <c r="BH59" s="434"/>
      <c r="BI59" s="434"/>
      <c r="BJ59" s="434"/>
      <c r="BK59" s="434"/>
      <c r="BL59" s="549"/>
      <c r="BM59" s="549"/>
      <c r="BN59" s="549"/>
      <c r="BO59" s="549"/>
      <c r="BP59" s="549"/>
      <c r="BQ59" s="549"/>
      <c r="BR59" s="549"/>
      <c r="BS59" s="549"/>
      <c r="BT59" s="549"/>
      <c r="BU59" s="549"/>
      <c r="BV59" s="549"/>
      <c r="BW59" s="549"/>
      <c r="BX59" s="549"/>
    </row>
    <row r="60" ht="15.75" customHeight="1">
      <c r="A60" s="564" t="s">
        <v>577</v>
      </c>
      <c r="B60" s="565" t="s">
        <v>1922</v>
      </c>
      <c r="C60" s="544" t="s">
        <v>2028</v>
      </c>
      <c r="D60" s="219"/>
      <c r="E60" s="434"/>
      <c r="F60" s="434" t="s">
        <v>2033</v>
      </c>
      <c r="G60" s="434"/>
      <c r="H60" s="222"/>
      <c r="I60" s="546"/>
      <c r="J60" s="434"/>
      <c r="K60" s="434"/>
      <c r="L60" s="434"/>
      <c r="M60" s="552"/>
      <c r="N60" s="434"/>
      <c r="O60" s="434"/>
      <c r="P60" s="434"/>
      <c r="Q60" s="434"/>
      <c r="R60" s="133"/>
      <c r="S60" s="434"/>
      <c r="T60" s="434"/>
      <c r="U60" s="434"/>
      <c r="V60" s="434"/>
      <c r="W60" s="434"/>
      <c r="X60" s="434"/>
      <c r="Y60" s="549"/>
      <c r="Z60" s="434"/>
      <c r="AA60" s="434"/>
      <c r="AB60" s="434"/>
      <c r="AC60" s="434"/>
      <c r="AD60" s="434"/>
      <c r="AE60" s="549"/>
      <c r="AF60" s="434"/>
      <c r="AG60" s="434"/>
      <c r="AH60" s="434"/>
      <c r="AI60" s="434"/>
      <c r="AJ60" s="434"/>
      <c r="AK60" s="434"/>
      <c r="AL60" s="434"/>
      <c r="AM60" s="434"/>
      <c r="AN60" s="434"/>
      <c r="AO60" s="546"/>
      <c r="AP60" s="434"/>
      <c r="AQ60" s="434"/>
      <c r="AR60" s="549"/>
      <c r="AS60" s="434"/>
      <c r="AT60" s="434"/>
      <c r="AU60" s="434"/>
      <c r="AV60" s="546"/>
      <c r="AW60" s="434"/>
      <c r="AX60" s="549"/>
      <c r="AY60" s="434"/>
      <c r="AZ60" s="434"/>
      <c r="BA60" s="434"/>
      <c r="BB60" s="434"/>
      <c r="BC60" s="434"/>
      <c r="BD60" s="434"/>
      <c r="BE60" s="549"/>
      <c r="BF60" s="434"/>
      <c r="BG60" s="434"/>
      <c r="BH60" s="434"/>
      <c r="BI60" s="434"/>
      <c r="BJ60" s="434"/>
      <c r="BK60" s="434"/>
      <c r="BL60" s="549"/>
      <c r="BM60" s="549"/>
      <c r="BN60" s="549"/>
      <c r="BO60" s="549"/>
      <c r="BP60" s="549"/>
      <c r="BQ60" s="549"/>
      <c r="BR60" s="549"/>
      <c r="BS60" s="549"/>
      <c r="BT60" s="549"/>
      <c r="BU60" s="549"/>
      <c r="BV60" s="549"/>
      <c r="BW60" s="549"/>
      <c r="BX60" s="549"/>
    </row>
    <row r="61" ht="15.75" customHeight="1">
      <c r="A61" s="550"/>
      <c r="B61" s="551" t="s">
        <v>1965</v>
      </c>
      <c r="C61" s="544" t="s">
        <v>1666</v>
      </c>
      <c r="D61" s="569"/>
      <c r="E61" s="434"/>
      <c r="F61" s="434" t="s">
        <v>2044</v>
      </c>
      <c r="G61" s="434" t="s">
        <v>1666</v>
      </c>
      <c r="H61" s="222"/>
      <c r="I61" s="126" t="s">
        <v>410</v>
      </c>
      <c r="J61" s="434"/>
      <c r="K61" s="434"/>
      <c r="L61" s="434"/>
      <c r="M61" s="355" t="s">
        <v>871</v>
      </c>
      <c r="N61" s="434"/>
      <c r="O61" s="434"/>
      <c r="P61" s="434"/>
      <c r="Q61" s="434"/>
      <c r="R61" s="133" t="s">
        <v>2048</v>
      </c>
      <c r="S61" s="434" t="s">
        <v>2050</v>
      </c>
      <c r="T61" s="434"/>
      <c r="U61" s="434"/>
      <c r="V61" s="434"/>
      <c r="W61" s="434"/>
      <c r="X61" s="434"/>
      <c r="Y61" s="186"/>
      <c r="Z61" s="434"/>
      <c r="AA61" s="434"/>
      <c r="AB61" s="434" t="s">
        <v>2053</v>
      </c>
      <c r="AC61" s="434"/>
      <c r="AD61" s="434"/>
      <c r="AE61" s="186"/>
      <c r="AF61" s="434"/>
      <c r="AG61" s="434"/>
      <c r="AH61" s="434"/>
      <c r="AI61" s="434"/>
      <c r="AJ61" s="434"/>
      <c r="AK61" s="434"/>
      <c r="AL61" s="434"/>
      <c r="AM61" s="434"/>
      <c r="AN61" s="434"/>
      <c r="AO61" s="546"/>
      <c r="AP61" s="434"/>
      <c r="AQ61" s="434"/>
      <c r="AR61" s="186"/>
      <c r="AS61" s="434"/>
      <c r="AT61" s="434"/>
      <c r="AU61" s="434"/>
      <c r="AV61" s="546"/>
      <c r="AW61" s="434"/>
      <c r="AX61" s="186"/>
      <c r="AY61" s="434"/>
      <c r="AZ61" s="434"/>
      <c r="BA61" s="434"/>
      <c r="BB61" s="434"/>
      <c r="BC61" s="434"/>
      <c r="BD61" s="434"/>
      <c r="BE61" s="186"/>
      <c r="BF61" s="434"/>
      <c r="BG61" s="434"/>
      <c r="BH61" s="434"/>
      <c r="BI61" s="434"/>
      <c r="BJ61" s="434"/>
      <c r="BK61" s="434"/>
      <c r="BL61" s="186"/>
      <c r="BM61" s="186"/>
      <c r="BN61" s="186"/>
      <c r="BO61" s="186"/>
      <c r="BP61" s="186"/>
      <c r="BQ61" s="186"/>
      <c r="BR61" s="186"/>
      <c r="BS61" s="186"/>
      <c r="BT61" s="186"/>
      <c r="BU61" s="186"/>
      <c r="BV61" s="186"/>
      <c r="BW61" s="186"/>
      <c r="BX61" s="186"/>
    </row>
    <row r="62" ht="15.75" customHeight="1">
      <c r="A62" s="554"/>
      <c r="B62" s="555" t="s">
        <v>1980</v>
      </c>
      <c r="C62" s="544" t="s">
        <v>2058</v>
      </c>
      <c r="D62" s="219"/>
      <c r="E62" s="434" t="s">
        <v>2061</v>
      </c>
      <c r="F62" s="556"/>
      <c r="G62" s="132" t="s">
        <v>2062</v>
      </c>
      <c r="H62" s="222"/>
      <c r="I62" s="546"/>
      <c r="J62" s="556"/>
      <c r="K62" s="556"/>
      <c r="L62" s="556"/>
      <c r="M62" s="552"/>
      <c r="N62" s="556"/>
      <c r="O62" s="556"/>
      <c r="P62" s="556"/>
      <c r="Q62" s="556"/>
      <c r="R62" s="133"/>
      <c r="S62" s="556"/>
      <c r="T62" s="556"/>
      <c r="U62" s="556"/>
      <c r="V62" s="556"/>
      <c r="W62" s="556"/>
      <c r="X62" s="556"/>
      <c r="Y62" s="549"/>
      <c r="Z62" s="556"/>
      <c r="AA62" s="556"/>
      <c r="AB62" s="556"/>
      <c r="AC62" s="556"/>
      <c r="AD62" s="556"/>
      <c r="AE62" s="549"/>
      <c r="AF62" s="556"/>
      <c r="AG62" s="556"/>
      <c r="AH62" s="556"/>
      <c r="AI62" s="556"/>
      <c r="AJ62" s="556"/>
      <c r="AK62" s="556"/>
      <c r="AL62" s="556"/>
      <c r="AM62" s="556"/>
      <c r="AN62" s="556"/>
      <c r="AO62" s="546"/>
      <c r="AP62" s="556"/>
      <c r="AQ62" s="556"/>
      <c r="AR62" s="549"/>
      <c r="AS62" s="556"/>
      <c r="AT62" s="556"/>
      <c r="AU62" s="556"/>
      <c r="AV62" s="546"/>
      <c r="AW62" s="556"/>
      <c r="AX62" s="549"/>
      <c r="AY62" s="556"/>
      <c r="AZ62" s="556"/>
      <c r="BA62" s="556"/>
      <c r="BB62" s="556"/>
      <c r="BC62" s="556"/>
      <c r="BD62" s="556"/>
      <c r="BE62" s="549"/>
      <c r="BF62" s="556"/>
      <c r="BG62" s="556"/>
      <c r="BH62" s="556"/>
      <c r="BI62" s="556"/>
      <c r="BJ62" s="556"/>
      <c r="BK62" s="556"/>
      <c r="BL62" s="549"/>
      <c r="BM62" s="549"/>
      <c r="BN62" s="549"/>
      <c r="BO62" s="549"/>
      <c r="BP62" s="549"/>
      <c r="BQ62" s="549"/>
      <c r="BR62" s="549"/>
      <c r="BS62" s="549"/>
      <c r="BT62" s="549"/>
      <c r="BU62" s="549"/>
      <c r="BV62" s="549"/>
      <c r="BW62" s="549"/>
      <c r="BX62" s="549"/>
    </row>
    <row r="63" ht="15.75" customHeight="1">
      <c r="A63" s="550"/>
      <c r="B63" s="551" t="s">
        <v>1993</v>
      </c>
      <c r="C63" s="544" t="s">
        <v>1461</v>
      </c>
      <c r="D63" s="548" t="s">
        <v>2079</v>
      </c>
      <c r="E63" s="434"/>
      <c r="F63" s="434" t="s">
        <v>2083</v>
      </c>
      <c r="G63" s="132" t="s">
        <v>2085</v>
      </c>
      <c r="H63" s="132" t="s">
        <v>2088</v>
      </c>
      <c r="I63" s="546"/>
      <c r="J63" s="434"/>
      <c r="K63" s="434"/>
      <c r="L63" s="434"/>
      <c r="M63" s="219"/>
      <c r="N63" s="434"/>
      <c r="O63" s="434"/>
      <c r="P63" s="434"/>
      <c r="Q63" s="132" t="s">
        <v>2090</v>
      </c>
      <c r="R63" s="133" t="s">
        <v>2092</v>
      </c>
      <c r="S63" s="434" t="s">
        <v>871</v>
      </c>
      <c r="T63" s="434"/>
      <c r="U63" s="434" t="s">
        <v>458</v>
      </c>
      <c r="V63" s="434"/>
      <c r="W63" s="434"/>
      <c r="X63" s="434"/>
      <c r="Y63" s="186"/>
      <c r="Z63" s="434"/>
      <c r="AA63" s="434"/>
      <c r="AB63" s="434"/>
      <c r="AC63" s="434" t="s">
        <v>2090</v>
      </c>
      <c r="AD63" s="434"/>
      <c r="AE63" s="186"/>
      <c r="AF63" s="434"/>
      <c r="AG63" s="434"/>
      <c r="AH63" s="434"/>
      <c r="AI63" s="434" t="s">
        <v>458</v>
      </c>
      <c r="AJ63" s="434" t="s">
        <v>1461</v>
      </c>
      <c r="AK63" s="434"/>
      <c r="AL63" s="434"/>
      <c r="AM63" s="434"/>
      <c r="AN63" s="434"/>
      <c r="AO63" s="546"/>
      <c r="AP63" s="434"/>
      <c r="AQ63" s="434"/>
      <c r="AR63" s="186"/>
      <c r="AS63" s="434"/>
      <c r="AT63" s="434"/>
      <c r="AU63" s="434"/>
      <c r="AV63" s="546"/>
      <c r="AW63" s="434"/>
      <c r="AX63" s="186"/>
      <c r="AY63" s="434"/>
      <c r="AZ63" s="434"/>
      <c r="BA63" s="434"/>
      <c r="BB63" s="434"/>
      <c r="BC63" s="434"/>
      <c r="BD63" s="434"/>
      <c r="BE63" s="186"/>
      <c r="BF63" s="434"/>
      <c r="BG63" s="434"/>
      <c r="BH63" s="434"/>
      <c r="BI63" s="434"/>
      <c r="BJ63" s="434"/>
      <c r="BK63" s="434"/>
      <c r="BL63" s="186"/>
      <c r="BM63" s="186"/>
      <c r="BN63" s="186"/>
      <c r="BO63" s="186"/>
      <c r="BP63" s="186"/>
      <c r="BQ63" s="186"/>
      <c r="BR63" s="186"/>
      <c r="BS63" s="186"/>
      <c r="BT63" s="186"/>
      <c r="BU63" s="186"/>
      <c r="BV63" s="186"/>
      <c r="BW63" s="186"/>
      <c r="BX63" s="186"/>
    </row>
    <row r="64" ht="15.75" customHeight="1">
      <c r="A64" s="579" t="s">
        <v>469</v>
      </c>
      <c r="B64" s="580" t="s">
        <v>2103</v>
      </c>
      <c r="C64" s="544" t="s">
        <v>2105</v>
      </c>
      <c r="D64" s="182" t="s">
        <v>2115</v>
      </c>
      <c r="E64" s="186"/>
      <c r="F64" s="186"/>
      <c r="G64" s="132">
        <v>31.09</v>
      </c>
      <c r="H64" s="222"/>
      <c r="I64" s="186"/>
      <c r="J64" s="186"/>
      <c r="K64" s="186"/>
      <c r="L64" s="186"/>
      <c r="M64" s="182" t="s">
        <v>2122</v>
      </c>
      <c r="N64" s="186"/>
      <c r="O64" s="186"/>
      <c r="P64" s="186"/>
      <c r="Q64" s="186"/>
      <c r="R64" s="583"/>
      <c r="S64" s="186"/>
      <c r="T64" s="186"/>
      <c r="U64" s="186"/>
      <c r="V64" s="186"/>
      <c r="W64" s="186"/>
      <c r="X64" s="186"/>
      <c r="Y64" s="245" t="s">
        <v>2126</v>
      </c>
      <c r="Z64" s="186"/>
      <c r="AA64" s="186"/>
      <c r="AB64" s="186"/>
      <c r="AC64" s="186"/>
      <c r="AD64" s="186"/>
      <c r="AE64" s="186"/>
      <c r="AF64" s="186"/>
      <c r="AG64" s="186"/>
      <c r="AH64" s="186"/>
      <c r="AI64" s="186"/>
      <c r="AJ64" s="186"/>
      <c r="AK64" s="186"/>
      <c r="AL64" s="186"/>
      <c r="AM64" s="186"/>
      <c r="AN64" s="186"/>
      <c r="AO64" s="186"/>
      <c r="AP64" s="186"/>
      <c r="AQ64" s="186"/>
      <c r="AR64" s="186"/>
      <c r="AS64" s="186"/>
      <c r="AT64" s="186"/>
      <c r="AU64" s="186"/>
      <c r="AV64" s="186"/>
      <c r="AW64" s="186"/>
      <c r="AX64" s="186"/>
      <c r="AY64" s="186"/>
      <c r="AZ64" s="186"/>
      <c r="BA64" s="186"/>
      <c r="BB64" s="186"/>
      <c r="BC64" s="186"/>
      <c r="BD64" s="186"/>
      <c r="BE64" s="186"/>
      <c r="BF64" s="186"/>
      <c r="BG64" s="186"/>
      <c r="BH64" s="186"/>
      <c r="BI64" s="186"/>
      <c r="BJ64" s="186"/>
      <c r="BK64" s="186"/>
      <c r="BL64" s="186"/>
      <c r="BM64" s="186"/>
      <c r="BN64" s="186"/>
      <c r="BO64" s="186"/>
      <c r="BP64" s="186"/>
      <c r="BQ64" s="186"/>
      <c r="BR64" s="186"/>
      <c r="BS64" s="186"/>
      <c r="BT64" s="186"/>
      <c r="BU64" s="186"/>
      <c r="BV64" s="186"/>
      <c r="BW64" s="186"/>
      <c r="BX64" s="186"/>
    </row>
    <row r="65" ht="15.75" customHeight="1">
      <c r="A65" s="550"/>
      <c r="B65" s="551" t="s">
        <v>2142</v>
      </c>
      <c r="C65" s="261" t="s">
        <v>2144</v>
      </c>
      <c r="D65" s="548" t="s">
        <v>2144</v>
      </c>
      <c r="E65" s="434"/>
      <c r="F65" s="434"/>
      <c r="G65" s="245" t="s">
        <v>2144</v>
      </c>
      <c r="H65" s="222"/>
      <c r="I65" s="546"/>
      <c r="J65" s="434"/>
      <c r="K65" s="434"/>
      <c r="L65" s="434"/>
      <c r="M65" s="182" t="s">
        <v>2154</v>
      </c>
      <c r="N65" s="434"/>
      <c r="O65" s="434"/>
      <c r="P65" s="434"/>
      <c r="Q65" s="222"/>
      <c r="R65" s="133"/>
      <c r="S65" s="434"/>
      <c r="T65" s="434"/>
      <c r="U65" s="434"/>
      <c r="V65" s="434"/>
      <c r="W65" s="434"/>
      <c r="X65" s="434"/>
      <c r="Y65" s="245" t="s">
        <v>2159</v>
      </c>
      <c r="Z65" s="434"/>
      <c r="AA65" s="434"/>
      <c r="AB65" s="434"/>
      <c r="AC65" s="434"/>
      <c r="AD65" s="434"/>
      <c r="AE65" s="186"/>
      <c r="AF65" s="434"/>
      <c r="AG65" s="434"/>
      <c r="AH65" s="434"/>
      <c r="AI65" s="434"/>
      <c r="AJ65" s="434"/>
      <c r="AK65" s="434"/>
      <c r="AL65" s="434"/>
      <c r="AM65" s="434"/>
      <c r="AN65" s="434"/>
      <c r="AO65" s="546"/>
      <c r="AP65" s="434"/>
      <c r="AQ65" s="434"/>
      <c r="AR65" s="186"/>
      <c r="AS65" s="434"/>
      <c r="AT65" s="434"/>
      <c r="AU65" s="434"/>
      <c r="AV65" s="546"/>
      <c r="AW65" s="434"/>
      <c r="AX65" s="186"/>
      <c r="AY65" s="434"/>
      <c r="AZ65" s="434"/>
      <c r="BA65" s="434"/>
      <c r="BB65" s="434"/>
      <c r="BC65" s="434"/>
      <c r="BD65" s="434"/>
      <c r="BE65" s="186"/>
      <c r="BF65" s="434"/>
      <c r="BG65" s="434"/>
      <c r="BH65" s="434"/>
      <c r="BI65" s="434"/>
      <c r="BJ65" s="434"/>
      <c r="BK65" s="434"/>
      <c r="BL65" s="186"/>
      <c r="BM65" s="186"/>
      <c r="BN65" s="186"/>
      <c r="BO65" s="186"/>
      <c r="BP65" s="186"/>
      <c r="BQ65" s="186"/>
      <c r="BR65" s="186"/>
      <c r="BS65" s="186"/>
      <c r="BT65" s="186"/>
      <c r="BU65" s="186"/>
      <c r="BV65" s="186"/>
      <c r="BW65" s="186"/>
      <c r="BX65" s="186"/>
    </row>
    <row r="66" ht="15.75" customHeight="1">
      <c r="A66" s="542" t="s">
        <v>285</v>
      </c>
      <c r="B66" s="543" t="s">
        <v>187</v>
      </c>
      <c r="C66" s="591" t="s">
        <v>215</v>
      </c>
      <c r="D66" s="548" t="s">
        <v>215</v>
      </c>
      <c r="E66" s="516" t="s">
        <v>2179</v>
      </c>
      <c r="F66" s="516"/>
      <c r="G66" s="516" t="s">
        <v>2180</v>
      </c>
      <c r="H66" s="222"/>
      <c r="I66" s="562" t="s">
        <v>2181</v>
      </c>
      <c r="J66" s="516"/>
      <c r="K66" s="516"/>
      <c r="L66" s="516"/>
      <c r="M66" s="548" t="s">
        <v>2182</v>
      </c>
      <c r="N66" s="516"/>
      <c r="O66" s="516"/>
      <c r="P66" s="516"/>
      <c r="Q66" s="516"/>
      <c r="R66" s="311"/>
      <c r="S66" s="516"/>
      <c r="T66" s="516"/>
      <c r="U66" s="516"/>
      <c r="V66" s="516"/>
      <c r="W66" s="516"/>
      <c r="X66" s="516"/>
      <c r="Y66" s="549"/>
      <c r="Z66" s="516"/>
      <c r="AA66" s="516"/>
      <c r="AB66" s="516" t="s">
        <v>2187</v>
      </c>
      <c r="AC66" s="516"/>
      <c r="AD66" s="516"/>
      <c r="AE66" s="549"/>
      <c r="AF66" s="516"/>
      <c r="AG66" s="516"/>
      <c r="AH66" s="516"/>
      <c r="AI66" s="516"/>
      <c r="AJ66" s="516"/>
      <c r="AK66" s="516"/>
      <c r="AL66" s="516"/>
      <c r="AM66" s="516"/>
      <c r="AN66" s="516"/>
      <c r="AO66" s="546"/>
      <c r="AP66" s="516"/>
      <c r="AQ66" s="516"/>
      <c r="AR66" s="549"/>
      <c r="AS66" s="516"/>
      <c r="AT66" s="516"/>
      <c r="AU66" s="516"/>
      <c r="AV66" s="546"/>
      <c r="AW66" s="516"/>
      <c r="AX66" s="549"/>
      <c r="AY66" s="516"/>
      <c r="AZ66" s="516"/>
      <c r="BA66" s="516"/>
      <c r="BB66" s="516"/>
      <c r="BC66" s="516"/>
      <c r="BD66" s="516"/>
      <c r="BE66" s="549"/>
      <c r="BF66" s="516"/>
      <c r="BG66" s="516"/>
      <c r="BH66" s="516"/>
      <c r="BI66" s="516"/>
      <c r="BJ66" s="516"/>
      <c r="BK66" s="516"/>
      <c r="BL66" s="549"/>
      <c r="BM66" s="549"/>
      <c r="BN66" s="549"/>
      <c r="BO66" s="549"/>
      <c r="BP66" s="549"/>
      <c r="BQ66" s="549"/>
      <c r="BR66" s="549"/>
      <c r="BS66" s="549"/>
      <c r="BT66" s="549"/>
      <c r="BU66" s="549"/>
      <c r="BV66" s="549"/>
      <c r="BW66" s="549"/>
      <c r="BX66" s="549"/>
    </row>
    <row r="67" ht="15.75" customHeight="1">
      <c r="A67" s="564" t="s">
        <v>469</v>
      </c>
      <c r="B67" s="565" t="s">
        <v>2193</v>
      </c>
      <c r="C67" s="544" t="s">
        <v>2194</v>
      </c>
      <c r="D67" s="219"/>
      <c r="E67" s="516"/>
      <c r="F67" s="516"/>
      <c r="G67" s="132">
        <v>35.06</v>
      </c>
      <c r="H67" s="222"/>
      <c r="I67" s="546"/>
      <c r="J67" s="516"/>
      <c r="K67" s="516"/>
      <c r="L67" s="516"/>
      <c r="M67" s="182" t="s">
        <v>2197</v>
      </c>
      <c r="N67" s="516"/>
      <c r="O67" s="516"/>
      <c r="P67" s="516"/>
      <c r="Q67" s="516"/>
      <c r="R67" s="311"/>
      <c r="S67" s="516"/>
      <c r="T67" s="516" t="s">
        <v>2202</v>
      </c>
      <c r="U67" s="516"/>
      <c r="V67" s="516"/>
      <c r="W67" s="516"/>
      <c r="X67" s="516"/>
      <c r="Y67" s="186"/>
      <c r="Z67" s="516"/>
      <c r="AA67" s="516"/>
      <c r="AB67" s="516"/>
      <c r="AC67" s="516"/>
      <c r="AD67" s="516"/>
      <c r="AE67" s="186"/>
      <c r="AF67" s="516"/>
      <c r="AG67" s="516"/>
      <c r="AH67" s="516"/>
      <c r="AI67" s="516"/>
      <c r="AJ67" s="516"/>
      <c r="AK67" s="516"/>
      <c r="AL67" s="516"/>
      <c r="AM67" s="516"/>
      <c r="AN67" s="516"/>
      <c r="AO67" s="546"/>
      <c r="AP67" s="516"/>
      <c r="AQ67" s="516"/>
      <c r="AR67" s="186"/>
      <c r="AS67" s="516"/>
      <c r="AT67" s="516"/>
      <c r="AU67" s="516"/>
      <c r="AV67" s="126" t="s">
        <v>2210</v>
      </c>
      <c r="AW67" s="516"/>
      <c r="AX67" s="186"/>
      <c r="AY67" s="516"/>
      <c r="AZ67" s="516"/>
      <c r="BA67" s="516"/>
      <c r="BB67" s="516"/>
      <c r="BC67" s="516"/>
      <c r="BD67" s="516"/>
      <c r="BE67" s="186"/>
      <c r="BF67" s="516"/>
      <c r="BG67" s="516"/>
      <c r="BH67" s="516"/>
      <c r="BI67" s="516"/>
      <c r="BJ67" s="516"/>
      <c r="BK67" s="516"/>
      <c r="BL67" s="186"/>
      <c r="BM67" s="186"/>
      <c r="BN67" s="186"/>
      <c r="BO67" s="186"/>
      <c r="BP67" s="186"/>
      <c r="BQ67" s="186"/>
      <c r="BR67" s="186"/>
      <c r="BS67" s="186"/>
      <c r="BT67" s="186"/>
      <c r="BU67" s="186"/>
      <c r="BV67" s="186"/>
      <c r="BW67" s="186"/>
      <c r="BX67" s="186"/>
    </row>
    <row r="68" ht="15.75" customHeight="1">
      <c r="A68" s="596"/>
      <c r="B68" s="551" t="s">
        <v>2216</v>
      </c>
      <c r="C68" s="597" t="s">
        <v>2219</v>
      </c>
      <c r="D68" s="598"/>
      <c r="E68" s="133"/>
      <c r="F68" s="133"/>
      <c r="G68" s="133"/>
      <c r="H68" s="222"/>
      <c r="I68" s="599"/>
      <c r="J68" s="133"/>
      <c r="K68" s="133"/>
      <c r="L68" s="133"/>
      <c r="M68" s="548" t="s">
        <v>2224</v>
      </c>
      <c r="N68" s="133"/>
      <c r="O68" s="133"/>
      <c r="P68" s="133"/>
      <c r="Q68" s="133"/>
      <c r="R68" s="133"/>
      <c r="S68" s="133"/>
      <c r="T68" s="600"/>
      <c r="U68" s="139"/>
      <c r="V68" s="133"/>
      <c r="W68" s="133"/>
      <c r="X68" s="133"/>
      <c r="Y68" s="549"/>
      <c r="Z68" s="133"/>
      <c r="AA68" s="133"/>
      <c r="AB68" s="133"/>
      <c r="AC68" s="133"/>
      <c r="AD68" s="133"/>
      <c r="AE68" s="549"/>
      <c r="AF68" s="133"/>
      <c r="AG68" s="133"/>
      <c r="AH68" s="133"/>
      <c r="AI68" s="133"/>
      <c r="AJ68" s="133"/>
      <c r="AK68" s="133"/>
      <c r="AL68" s="133"/>
      <c r="AM68" s="133"/>
      <c r="AN68" s="133"/>
      <c r="AO68" s="599"/>
      <c r="AP68" s="133"/>
      <c r="AQ68" s="133"/>
      <c r="AR68" s="549"/>
      <c r="AS68" s="133"/>
      <c r="AT68" s="133"/>
      <c r="AU68" s="133"/>
      <c r="AV68" s="599"/>
      <c r="AW68" s="133"/>
      <c r="AX68" s="549"/>
      <c r="AY68" s="133"/>
      <c r="AZ68" s="133"/>
      <c r="BA68" s="133"/>
      <c r="BB68" s="133"/>
      <c r="BC68" s="133"/>
      <c r="BD68" s="133"/>
      <c r="BE68" s="549"/>
      <c r="BF68" s="133"/>
      <c r="BG68" s="133"/>
      <c r="BH68" s="133"/>
      <c r="BI68" s="133"/>
      <c r="BJ68" s="133"/>
      <c r="BK68" s="133"/>
      <c r="BL68" s="549"/>
      <c r="BM68" s="549"/>
      <c r="BN68" s="549"/>
      <c r="BO68" s="549"/>
      <c r="BP68" s="549"/>
      <c r="BQ68" s="549"/>
      <c r="BR68" s="549"/>
      <c r="BS68" s="549"/>
      <c r="BT68" s="549"/>
      <c r="BU68" s="549"/>
      <c r="BV68" s="549"/>
      <c r="BW68" s="549"/>
      <c r="BX68" s="549"/>
    </row>
    <row r="69" ht="15.75" customHeight="1">
      <c r="A69" s="603"/>
      <c r="B69" s="555" t="s">
        <v>2233</v>
      </c>
      <c r="C69" s="279" t="s">
        <v>2234</v>
      </c>
      <c r="D69" s="182" t="s">
        <v>2234</v>
      </c>
      <c r="E69" s="133" t="s">
        <v>871</v>
      </c>
      <c r="F69" s="133"/>
      <c r="G69" s="525" t="s">
        <v>515</v>
      </c>
      <c r="H69" s="222"/>
      <c r="I69" s="605" t="s">
        <v>1655</v>
      </c>
      <c r="J69" s="133"/>
      <c r="K69" s="133"/>
      <c r="L69" s="133"/>
      <c r="M69" s="548" t="s">
        <v>2244</v>
      </c>
      <c r="N69" s="133"/>
      <c r="O69" s="133"/>
      <c r="P69" s="133"/>
      <c r="Q69" s="133"/>
      <c r="R69" s="133"/>
      <c r="S69" s="133"/>
      <c r="T69" s="129" t="s">
        <v>2248</v>
      </c>
      <c r="U69" s="129" t="s">
        <v>2115</v>
      </c>
      <c r="V69" s="133"/>
      <c r="W69" s="133"/>
      <c r="X69" s="133"/>
      <c r="Y69" s="549"/>
      <c r="Z69" s="133"/>
      <c r="AA69" s="133"/>
      <c r="AB69" s="133"/>
      <c r="AC69" s="133"/>
      <c r="AD69" s="133"/>
      <c r="AE69" s="549"/>
      <c r="AF69" s="133"/>
      <c r="AG69" s="133"/>
      <c r="AH69" s="133"/>
      <c r="AI69" s="133"/>
      <c r="AJ69" s="133"/>
      <c r="AK69" s="133"/>
      <c r="AL69" s="133"/>
      <c r="AM69" s="133"/>
      <c r="AN69" s="133"/>
      <c r="AO69" s="599"/>
      <c r="AP69" s="133"/>
      <c r="AQ69" s="133"/>
      <c r="AR69" s="549"/>
      <c r="AS69" s="133"/>
      <c r="AT69" s="133"/>
      <c r="AU69" s="133"/>
      <c r="AV69" s="599"/>
      <c r="AW69" s="133"/>
      <c r="AX69" s="549"/>
      <c r="AY69" s="133"/>
      <c r="AZ69" s="133"/>
      <c r="BA69" s="133"/>
      <c r="BB69" s="133"/>
      <c r="BC69" s="133"/>
      <c r="BD69" s="133"/>
      <c r="BE69" s="549"/>
      <c r="BF69" s="133"/>
      <c r="BG69" s="133"/>
      <c r="BH69" s="133"/>
      <c r="BI69" s="133"/>
      <c r="BJ69" s="133"/>
      <c r="BK69" s="133"/>
      <c r="BL69" s="549"/>
      <c r="BM69" s="549"/>
      <c r="BN69" s="549"/>
      <c r="BO69" s="549"/>
      <c r="BP69" s="549"/>
      <c r="BQ69" s="549"/>
      <c r="BR69" s="549"/>
      <c r="BS69" s="549"/>
      <c r="BT69" s="549"/>
      <c r="BU69" s="549"/>
      <c r="BV69" s="549"/>
      <c r="BW69" s="549"/>
      <c r="BX69" s="549"/>
    </row>
    <row r="70" ht="15.75" customHeight="1">
      <c r="A70" s="564" t="s">
        <v>577</v>
      </c>
      <c r="B70" s="565" t="s">
        <v>2193</v>
      </c>
      <c r="C70" s="217" t="s">
        <v>2262</v>
      </c>
      <c r="D70" s="219"/>
      <c r="E70" s="133" t="s">
        <v>2265</v>
      </c>
      <c r="F70" s="133"/>
      <c r="G70" s="133"/>
      <c r="H70" s="222"/>
      <c r="I70" s="599"/>
      <c r="J70" s="133"/>
      <c r="K70" s="525" t="s">
        <v>2267</v>
      </c>
      <c r="L70" s="133"/>
      <c r="M70" s="182" t="s">
        <v>2270</v>
      </c>
      <c r="N70" s="133"/>
      <c r="O70" s="133"/>
      <c r="P70" s="133"/>
      <c r="Q70" s="133"/>
      <c r="R70" s="133"/>
      <c r="S70" s="133"/>
      <c r="T70" s="133"/>
      <c r="U70" s="133"/>
      <c r="V70" s="133"/>
      <c r="W70" s="133"/>
      <c r="X70" s="133"/>
      <c r="Y70" s="186"/>
      <c r="Z70" s="133"/>
      <c r="AA70" s="133"/>
      <c r="AB70" s="133"/>
      <c r="AC70" s="133"/>
      <c r="AD70" s="133"/>
      <c r="AE70" s="186"/>
      <c r="AF70" s="133"/>
      <c r="AG70" s="133"/>
      <c r="AH70" s="133"/>
      <c r="AI70" s="133"/>
      <c r="AJ70" s="133"/>
      <c r="AK70" s="133"/>
      <c r="AL70" s="133"/>
      <c r="AM70" s="133"/>
      <c r="AN70" s="133"/>
      <c r="AO70" s="599"/>
      <c r="AP70" s="133"/>
      <c r="AQ70" s="133"/>
      <c r="AR70" s="186"/>
      <c r="AS70" s="133"/>
      <c r="AT70" s="133"/>
      <c r="AU70" s="133"/>
      <c r="AV70" s="126" t="s">
        <v>2262</v>
      </c>
      <c r="AW70" s="133"/>
      <c r="AX70" s="186"/>
      <c r="AY70" s="133"/>
      <c r="AZ70" s="133"/>
      <c r="BA70" s="133"/>
      <c r="BB70" s="133"/>
      <c r="BC70" s="133"/>
      <c r="BD70" s="525" t="s">
        <v>2276</v>
      </c>
      <c r="BE70" s="186"/>
      <c r="BF70" s="133"/>
      <c r="BG70" s="133"/>
      <c r="BH70" s="133"/>
      <c r="BI70" s="133"/>
      <c r="BJ70" s="133"/>
      <c r="BK70" s="133"/>
      <c r="BL70" s="186"/>
      <c r="BM70" s="186"/>
      <c r="BN70" s="186"/>
      <c r="BO70" s="186"/>
      <c r="BP70" s="186"/>
      <c r="BQ70" s="186"/>
      <c r="BR70" s="186"/>
      <c r="BS70" s="186"/>
      <c r="BT70" s="186"/>
      <c r="BU70" s="186"/>
      <c r="BV70" s="186"/>
      <c r="BW70" s="186"/>
      <c r="BX70" s="186"/>
    </row>
    <row r="71" ht="15.75" customHeight="1">
      <c r="A71" s="596"/>
      <c r="B71" s="551" t="s">
        <v>2279</v>
      </c>
      <c r="C71" s="217" t="s">
        <v>1666</v>
      </c>
      <c r="D71" s="548" t="s">
        <v>2284</v>
      </c>
      <c r="E71" s="174" t="s">
        <v>2288</v>
      </c>
      <c r="F71" s="174" t="s">
        <v>2290</v>
      </c>
      <c r="G71" s="174" t="s">
        <v>2043</v>
      </c>
      <c r="H71" s="222"/>
      <c r="I71" s="562" t="s">
        <v>2297</v>
      </c>
      <c r="J71" s="174"/>
      <c r="K71" s="174" t="s">
        <v>2284</v>
      </c>
      <c r="L71" s="174"/>
      <c r="M71" s="548" t="s">
        <v>2303</v>
      </c>
      <c r="N71" s="174"/>
      <c r="O71" s="174" t="s">
        <v>2290</v>
      </c>
      <c r="P71" s="174"/>
      <c r="Q71" s="174"/>
      <c r="R71" s="133"/>
      <c r="S71" s="174"/>
      <c r="T71" s="434" t="s">
        <v>2313</v>
      </c>
      <c r="U71" s="174"/>
      <c r="V71" s="174"/>
      <c r="W71" s="174" t="s">
        <v>2315</v>
      </c>
      <c r="X71" s="174"/>
      <c r="Y71" s="610" t="s">
        <v>2319</v>
      </c>
      <c r="Z71" s="174" t="s">
        <v>2324</v>
      </c>
      <c r="AA71" s="174" t="s">
        <v>2325</v>
      </c>
      <c r="AB71" s="174"/>
      <c r="AC71" s="174" t="s">
        <v>2326</v>
      </c>
      <c r="AD71" s="174"/>
      <c r="AE71" s="549"/>
      <c r="AF71" s="174"/>
      <c r="AG71" s="174"/>
      <c r="AH71" s="174"/>
      <c r="AI71" s="174" t="s">
        <v>2028</v>
      </c>
      <c r="AJ71" s="174"/>
      <c r="AK71" s="174"/>
      <c r="AL71" s="174"/>
      <c r="AM71" s="174"/>
      <c r="AN71" s="129" t="s">
        <v>1666</v>
      </c>
      <c r="AO71" s="546"/>
      <c r="AP71" s="174"/>
      <c r="AQ71" s="174"/>
      <c r="AR71" s="549"/>
      <c r="AS71" s="174"/>
      <c r="AT71" s="174"/>
      <c r="AU71" s="174"/>
      <c r="AV71" s="546"/>
      <c r="AW71" s="174"/>
      <c r="AX71" s="549"/>
      <c r="AY71" s="174"/>
      <c r="AZ71" s="174"/>
      <c r="BA71" s="174"/>
      <c r="BB71" s="174"/>
      <c r="BC71" s="174"/>
      <c r="BD71" s="174"/>
      <c r="BE71" s="549"/>
      <c r="BF71" s="174"/>
      <c r="BG71" s="174"/>
      <c r="BH71" s="174"/>
      <c r="BI71" s="174"/>
      <c r="BJ71" s="174"/>
      <c r="BK71" s="174"/>
      <c r="BL71" s="549"/>
      <c r="BM71" s="549"/>
      <c r="BN71" s="549"/>
      <c r="BO71" s="549"/>
      <c r="BP71" s="549"/>
      <c r="BQ71" s="549"/>
      <c r="BR71" s="549"/>
      <c r="BS71" s="549"/>
      <c r="BT71" s="549"/>
      <c r="BU71" s="549"/>
      <c r="BV71" s="549"/>
      <c r="BW71" s="549"/>
      <c r="BX71" s="549"/>
    </row>
    <row r="72" ht="15.75" customHeight="1">
      <c r="A72" s="542" t="s">
        <v>2333</v>
      </c>
      <c r="B72" s="543" t="s">
        <v>2334</v>
      </c>
      <c r="C72" s="544" t="str">
        <f>HYPERLINK("https://youtu.be/4OqNmNgyDyw","16.24")</f>
        <v>16.24</v>
      </c>
      <c r="D72" s="569"/>
      <c r="E72" s="611"/>
      <c r="F72" s="611" t="s">
        <v>2339</v>
      </c>
      <c r="G72" s="611"/>
      <c r="H72" s="222"/>
      <c r="I72" s="562"/>
      <c r="J72" s="611"/>
      <c r="K72" s="611"/>
      <c r="L72" s="611"/>
      <c r="M72" s="182" t="s">
        <v>2343</v>
      </c>
      <c r="N72" s="611"/>
      <c r="O72" s="611"/>
      <c r="P72" s="129" t="s">
        <v>2346</v>
      </c>
      <c r="Q72" s="611"/>
      <c r="R72" s="221"/>
      <c r="S72" s="611" t="str">
        <f>HYPERLINK("https://clips.twitch.tv/ThankfulSpoopyHerdWOOP","16.58")</f>
        <v>16.58</v>
      </c>
      <c r="T72" s="611"/>
      <c r="U72" s="611"/>
      <c r="V72" s="611"/>
      <c r="W72" s="611"/>
      <c r="X72" s="611" t="s">
        <v>2355</v>
      </c>
      <c r="Y72" s="186"/>
      <c r="Z72" s="611"/>
      <c r="AA72" s="611" t="s">
        <v>2356</v>
      </c>
      <c r="AB72" s="611"/>
      <c r="AC72" s="611"/>
      <c r="AD72" s="611"/>
      <c r="AE72" s="186"/>
      <c r="AF72" s="611"/>
      <c r="AG72" s="611"/>
      <c r="AH72" s="611"/>
      <c r="AI72" s="611"/>
      <c r="AJ72" s="611"/>
      <c r="AK72" s="611"/>
      <c r="AL72" s="611"/>
      <c r="AM72" s="611"/>
      <c r="AN72" s="611"/>
      <c r="AO72" s="546"/>
      <c r="AP72" s="611"/>
      <c r="AQ72" s="611"/>
      <c r="AR72" s="186"/>
      <c r="AS72" s="611"/>
      <c r="AT72" s="611"/>
      <c r="AU72" s="611"/>
      <c r="AV72" s="546"/>
      <c r="AW72" s="611"/>
      <c r="AX72" s="186"/>
      <c r="AY72" s="611"/>
      <c r="AZ72" s="611"/>
      <c r="BA72" s="611"/>
      <c r="BB72" s="611"/>
      <c r="BC72" s="611"/>
      <c r="BD72" s="611"/>
      <c r="BE72" s="186"/>
      <c r="BF72" s="611"/>
      <c r="BG72" s="611"/>
      <c r="BH72" s="611"/>
      <c r="BI72" s="611"/>
      <c r="BJ72" s="611"/>
      <c r="BK72" s="611"/>
      <c r="BL72" s="186"/>
      <c r="BM72" s="186"/>
      <c r="BN72" s="186"/>
      <c r="BO72" s="186"/>
      <c r="BP72" s="186"/>
      <c r="BQ72" s="186"/>
      <c r="BR72" s="186"/>
      <c r="BS72" s="186"/>
      <c r="BT72" s="186"/>
      <c r="BU72" s="186"/>
      <c r="BV72" s="186"/>
      <c r="BW72" s="186"/>
      <c r="BX72" s="186"/>
    </row>
    <row r="73" ht="15.75" customHeight="1">
      <c r="A73" s="550"/>
      <c r="B73" s="551" t="s">
        <v>2366</v>
      </c>
      <c r="C73" s="544" t="s">
        <v>2367</v>
      </c>
      <c r="D73" s="182" t="s">
        <v>1093</v>
      </c>
      <c r="E73" s="174" t="s">
        <v>1883</v>
      </c>
      <c r="F73" s="174"/>
      <c r="G73" s="174" t="s">
        <v>2378</v>
      </c>
      <c r="H73" s="132" t="s">
        <v>2380</v>
      </c>
      <c r="I73" s="546"/>
      <c r="J73" s="174" t="s">
        <v>1421</v>
      </c>
      <c r="K73" s="174" t="s">
        <v>2400</v>
      </c>
      <c r="L73" s="174"/>
      <c r="M73" s="616">
        <v>16.95</v>
      </c>
      <c r="N73" s="174"/>
      <c r="O73" s="174"/>
      <c r="P73" s="174" t="str">
        <f>HYPERLINK("https://youtu.be/1clufi5ICPo","15.10")</f>
        <v>15.10</v>
      </c>
      <c r="Q73" s="174"/>
      <c r="R73" s="133"/>
      <c r="S73" s="174" t="s">
        <v>2423</v>
      </c>
      <c r="T73" s="174"/>
      <c r="U73" s="174"/>
      <c r="V73" s="174"/>
      <c r="W73" s="174"/>
      <c r="X73" s="174" t="s">
        <v>1883</v>
      </c>
      <c r="Y73" s="549"/>
      <c r="Z73" s="174"/>
      <c r="AA73" s="174"/>
      <c r="AB73" s="174"/>
      <c r="AC73" s="174"/>
      <c r="AD73" s="174"/>
      <c r="AE73" s="549"/>
      <c r="AF73" s="174"/>
      <c r="AG73" s="174"/>
      <c r="AH73" s="174"/>
      <c r="AI73" s="174"/>
      <c r="AJ73" s="174"/>
      <c r="AK73" s="174"/>
      <c r="AL73" s="174"/>
      <c r="AM73" s="174"/>
      <c r="AN73" s="174"/>
      <c r="AO73" s="546"/>
      <c r="AP73" s="174"/>
      <c r="AQ73" s="174"/>
      <c r="AR73" s="549"/>
      <c r="AS73" s="174"/>
      <c r="AT73" s="174"/>
      <c r="AU73" s="174"/>
      <c r="AV73" s="546"/>
      <c r="AW73" s="174"/>
      <c r="AX73" s="549"/>
      <c r="AY73" s="174"/>
      <c r="AZ73" s="174"/>
      <c r="BA73" s="174"/>
      <c r="BB73" s="174"/>
      <c r="BC73" s="174"/>
      <c r="BD73" s="174"/>
      <c r="BE73" s="549"/>
      <c r="BF73" s="174"/>
      <c r="BG73" s="174"/>
      <c r="BH73" s="174"/>
      <c r="BI73" s="174"/>
      <c r="BJ73" s="174"/>
      <c r="BK73" s="174"/>
      <c r="BL73" s="549"/>
      <c r="BM73" s="549"/>
      <c r="BN73" s="549"/>
      <c r="BO73" s="549"/>
      <c r="BP73" s="549"/>
      <c r="BQ73" s="549"/>
      <c r="BR73" s="549"/>
      <c r="BS73" s="549"/>
      <c r="BT73" s="549"/>
      <c r="BU73" s="549"/>
      <c r="BV73" s="549"/>
      <c r="BW73" s="549"/>
      <c r="BX73" s="549"/>
    </row>
    <row r="74" ht="15.75" customHeight="1">
      <c r="A74" s="554"/>
      <c r="B74" s="555" t="s">
        <v>2432</v>
      </c>
      <c r="C74" s="544" t="s">
        <v>753</v>
      </c>
      <c r="D74" s="548" t="s">
        <v>1633</v>
      </c>
      <c r="E74" s="174" t="s">
        <v>2445</v>
      </c>
      <c r="F74" s="516" t="s">
        <v>2451</v>
      </c>
      <c r="G74" s="516" t="s">
        <v>2452</v>
      </c>
      <c r="H74" s="132" t="s">
        <v>2445</v>
      </c>
      <c r="I74" s="562" t="s">
        <v>2463</v>
      </c>
      <c r="J74" s="516" t="s">
        <v>2464</v>
      </c>
      <c r="K74" s="516" t="s">
        <v>2466</v>
      </c>
      <c r="L74" s="516" t="s">
        <v>2476</v>
      </c>
      <c r="M74" s="548" t="s">
        <v>2490</v>
      </c>
      <c r="N74" s="516" t="s">
        <v>2503</v>
      </c>
      <c r="O74" s="516" t="s">
        <v>2506</v>
      </c>
      <c r="P74" s="516" t="s">
        <v>217</v>
      </c>
      <c r="Q74" s="516" t="s">
        <v>1155</v>
      </c>
      <c r="R74" s="311"/>
      <c r="S74" s="516" t="s">
        <v>2515</v>
      </c>
      <c r="T74" s="516"/>
      <c r="U74" s="516"/>
      <c r="V74" s="516" t="s">
        <v>2516</v>
      </c>
      <c r="W74" s="516"/>
      <c r="X74" s="516"/>
      <c r="Y74" s="186"/>
      <c r="Z74" s="516"/>
      <c r="AA74" s="516"/>
      <c r="AB74" s="516"/>
      <c r="AC74" s="516"/>
      <c r="AD74" s="516" t="s">
        <v>2367</v>
      </c>
      <c r="AE74" s="186"/>
      <c r="AF74" s="516"/>
      <c r="AG74" s="516"/>
      <c r="AH74" s="516"/>
      <c r="AI74" s="516"/>
      <c r="AJ74" s="516"/>
      <c r="AK74" s="516"/>
      <c r="AL74" s="516" t="s">
        <v>753</v>
      </c>
      <c r="AM74" s="516"/>
      <c r="AN74" s="516"/>
      <c r="AO74" s="546"/>
      <c r="AP74" s="516" t="s">
        <v>2538</v>
      </c>
      <c r="AQ74" s="516"/>
      <c r="AR74" s="186"/>
      <c r="AS74" s="516"/>
      <c r="AT74" s="516"/>
      <c r="AU74" s="516"/>
      <c r="AV74" s="546"/>
      <c r="AW74" s="516"/>
      <c r="AX74" s="186"/>
      <c r="AY74" s="516"/>
      <c r="AZ74" s="516"/>
      <c r="BA74" s="516"/>
      <c r="BB74" s="516"/>
      <c r="BC74" s="516"/>
      <c r="BD74" s="516"/>
      <c r="BE74" s="186"/>
      <c r="BF74" s="516"/>
      <c r="BG74" s="516"/>
      <c r="BH74" s="516"/>
      <c r="BI74" s="516"/>
      <c r="BJ74" s="516"/>
      <c r="BK74" s="516"/>
      <c r="BL74" s="186"/>
      <c r="BM74" s="186"/>
      <c r="BN74" s="186"/>
      <c r="BO74" s="186"/>
      <c r="BP74" s="186"/>
      <c r="BQ74" s="186"/>
      <c r="BR74" s="186"/>
      <c r="BS74" s="186"/>
      <c r="BT74" s="186"/>
      <c r="BU74" s="186"/>
      <c r="BV74" s="186"/>
      <c r="BW74" s="186"/>
      <c r="BX74" s="186"/>
    </row>
    <row r="75" ht="15.75" customHeight="1">
      <c r="A75" s="542" t="s">
        <v>2544</v>
      </c>
      <c r="B75" s="543" t="s">
        <v>2546</v>
      </c>
      <c r="C75" s="544" t="s">
        <v>2547</v>
      </c>
      <c r="D75" s="552"/>
      <c r="E75" s="174"/>
      <c r="F75" s="174" t="s">
        <v>2547</v>
      </c>
      <c r="G75" s="174"/>
      <c r="H75" s="132" t="s">
        <v>2557</v>
      </c>
      <c r="I75" s="546"/>
      <c r="J75" s="174" t="s">
        <v>2570</v>
      </c>
      <c r="K75" s="174"/>
      <c r="L75" s="174" t="s">
        <v>2572</v>
      </c>
      <c r="M75" s="548" t="s">
        <v>2580</v>
      </c>
      <c r="N75" s="174"/>
      <c r="O75" s="174"/>
      <c r="P75" s="174" t="s">
        <v>2590</v>
      </c>
      <c r="Q75" s="174"/>
      <c r="R75" s="133"/>
      <c r="S75" s="174"/>
      <c r="T75" s="174"/>
      <c r="U75" s="174"/>
      <c r="V75" s="174"/>
      <c r="W75" s="174"/>
      <c r="X75" s="174"/>
      <c r="Y75" s="549"/>
      <c r="Z75" s="174"/>
      <c r="AA75" s="174"/>
      <c r="AB75" s="174"/>
      <c r="AC75" s="174"/>
      <c r="AD75" s="174"/>
      <c r="AE75" s="549"/>
      <c r="AF75" s="174"/>
      <c r="AG75" s="174"/>
      <c r="AH75" s="174"/>
      <c r="AI75" s="174"/>
      <c r="AJ75" s="174"/>
      <c r="AK75" s="174"/>
      <c r="AL75" s="174"/>
      <c r="AM75" s="174"/>
      <c r="AN75" s="174"/>
      <c r="AO75" s="546"/>
      <c r="AP75" s="174"/>
      <c r="AQ75" s="174"/>
      <c r="AR75" s="549"/>
      <c r="AS75" s="174"/>
      <c r="AT75" s="174"/>
      <c r="AU75" s="174"/>
      <c r="AV75" s="546"/>
      <c r="AW75" s="174"/>
      <c r="AX75" s="549"/>
      <c r="AY75" s="174"/>
      <c r="AZ75" s="174"/>
      <c r="BA75" s="174"/>
      <c r="BB75" s="174"/>
      <c r="BC75" s="174"/>
      <c r="BD75" s="174"/>
      <c r="BE75" s="549"/>
      <c r="BF75" s="174"/>
      <c r="BG75" s="174"/>
      <c r="BH75" s="174"/>
      <c r="BI75" s="174"/>
      <c r="BJ75" s="174"/>
      <c r="BK75" s="174"/>
      <c r="BL75" s="549"/>
      <c r="BM75" s="549"/>
      <c r="BN75" s="549"/>
      <c r="BO75" s="549"/>
      <c r="BP75" s="549"/>
      <c r="BQ75" s="549"/>
      <c r="BR75" s="549"/>
      <c r="BS75" s="549"/>
      <c r="BT75" s="549"/>
      <c r="BU75" s="549"/>
      <c r="BV75" s="549"/>
      <c r="BW75" s="549"/>
      <c r="BX75" s="549"/>
    </row>
    <row r="76" ht="15.75" customHeight="1">
      <c r="A76" s="550"/>
      <c r="B76" s="551" t="s">
        <v>2608</v>
      </c>
      <c r="C76" s="544" t="s">
        <v>1142</v>
      </c>
      <c r="D76" s="124" t="s">
        <v>2385</v>
      </c>
      <c r="E76" s="174" t="s">
        <v>2626</v>
      </c>
      <c r="F76" s="174" t="s">
        <v>1142</v>
      </c>
      <c r="G76" s="174" t="s">
        <v>2632</v>
      </c>
      <c r="H76" s="132" t="s">
        <v>2368</v>
      </c>
      <c r="I76" s="126" t="s">
        <v>2642</v>
      </c>
      <c r="J76" s="174" t="s">
        <v>2652</v>
      </c>
      <c r="K76" s="174" t="s">
        <v>2653</v>
      </c>
      <c r="L76" s="174" t="s">
        <v>2659</v>
      </c>
      <c r="M76" s="182" t="s">
        <v>614</v>
      </c>
      <c r="N76" s="174" t="s">
        <v>309</v>
      </c>
      <c r="O76" s="174" t="s">
        <v>2676</v>
      </c>
      <c r="P76" s="174" t="s">
        <v>2679</v>
      </c>
      <c r="Q76" s="174" t="s">
        <v>2681</v>
      </c>
      <c r="R76" s="133" t="s">
        <v>2684</v>
      </c>
      <c r="S76" s="174" t="s">
        <v>2685</v>
      </c>
      <c r="T76" s="174"/>
      <c r="U76" s="174"/>
      <c r="V76" s="174" t="s">
        <v>2688</v>
      </c>
      <c r="W76" s="174"/>
      <c r="X76" s="174"/>
      <c r="Y76" s="186"/>
      <c r="Z76" s="174"/>
      <c r="AA76" s="174"/>
      <c r="AB76" s="174"/>
      <c r="AC76" s="174"/>
      <c r="AD76" s="174"/>
      <c r="AE76" s="186"/>
      <c r="AF76" s="174"/>
      <c r="AG76" s="174"/>
      <c r="AH76" s="174"/>
      <c r="AI76" s="174"/>
      <c r="AJ76" s="174"/>
      <c r="AK76" s="174"/>
      <c r="AL76" s="174"/>
      <c r="AM76" s="174"/>
      <c r="AN76" s="174"/>
      <c r="AO76" s="546"/>
      <c r="AP76" s="174"/>
      <c r="AQ76" s="174"/>
      <c r="AR76" s="186"/>
      <c r="AS76" s="174"/>
      <c r="AT76" s="174"/>
      <c r="AU76" s="174"/>
      <c r="AV76" s="546"/>
      <c r="AW76" s="174"/>
      <c r="AX76" s="186"/>
      <c r="AY76" s="174"/>
      <c r="AZ76" s="174"/>
      <c r="BA76" s="174"/>
      <c r="BB76" s="174"/>
      <c r="BC76" s="174"/>
      <c r="BD76" s="174"/>
      <c r="BE76" s="186"/>
      <c r="BF76" s="174"/>
      <c r="BG76" s="174"/>
      <c r="BH76" s="174"/>
      <c r="BI76" s="174"/>
      <c r="BJ76" s="174"/>
      <c r="BK76" s="174"/>
      <c r="BL76" s="186"/>
      <c r="BM76" s="186"/>
      <c r="BN76" s="186"/>
      <c r="BO76" s="186"/>
      <c r="BP76" s="186"/>
      <c r="BQ76" s="186"/>
      <c r="BR76" s="186"/>
      <c r="BS76" s="186"/>
      <c r="BT76" s="186"/>
      <c r="BU76" s="186"/>
      <c r="BV76" s="186"/>
      <c r="BW76" s="186"/>
      <c r="BX76" s="186"/>
    </row>
    <row r="77" ht="15.75" customHeight="1">
      <c r="A77" s="564" t="s">
        <v>469</v>
      </c>
      <c r="B77" s="565" t="s">
        <v>2712</v>
      </c>
      <c r="C77" s="217" t="s">
        <v>468</v>
      </c>
      <c r="D77" s="552"/>
      <c r="E77" s="174"/>
      <c r="F77" s="174"/>
      <c r="G77" s="174"/>
      <c r="H77" s="222"/>
      <c r="I77" s="546"/>
      <c r="J77" s="174"/>
      <c r="K77" s="174"/>
      <c r="L77" s="174"/>
      <c r="M77" s="182" t="s">
        <v>2735</v>
      </c>
      <c r="N77" s="174"/>
      <c r="O77" s="174"/>
      <c r="P77" s="174"/>
      <c r="Q77" s="174"/>
      <c r="R77" s="133"/>
      <c r="S77" s="174"/>
      <c r="T77" s="139"/>
      <c r="U77" s="174"/>
      <c r="V77" s="174"/>
      <c r="W77" s="174"/>
      <c r="X77" s="174"/>
      <c r="Y77" s="186"/>
      <c r="Z77" s="174"/>
      <c r="AA77" s="174"/>
      <c r="AB77" s="174"/>
      <c r="AC77" s="174"/>
      <c r="AD77" s="174"/>
      <c r="AE77" s="186"/>
      <c r="AF77" s="174"/>
      <c r="AG77" s="174"/>
      <c r="AH77" s="174"/>
      <c r="AI77" s="174"/>
      <c r="AJ77" s="174"/>
      <c r="AK77" s="174"/>
      <c r="AL77" s="174"/>
      <c r="AM77" s="174"/>
      <c r="AN77" s="174"/>
      <c r="AO77" s="546"/>
      <c r="AP77" s="174"/>
      <c r="AQ77" s="174"/>
      <c r="AR77" s="186"/>
      <c r="AS77" s="174"/>
      <c r="AT77" s="174"/>
      <c r="AU77" s="174"/>
      <c r="AV77" s="126" t="s">
        <v>2748</v>
      </c>
      <c r="AW77" s="174"/>
      <c r="AX77" s="186"/>
      <c r="AY77" s="174"/>
      <c r="AZ77" s="174"/>
      <c r="BA77" s="174"/>
      <c r="BB77" s="174"/>
      <c r="BC77" s="174"/>
      <c r="BD77" s="174"/>
      <c r="BE77" s="645"/>
      <c r="BF77" s="174"/>
      <c r="BG77" s="174"/>
      <c r="BH77" s="174"/>
      <c r="BI77" s="174"/>
      <c r="BJ77" s="174"/>
      <c r="BK77" s="174"/>
      <c r="BL77" s="186"/>
      <c r="BM77" s="186"/>
      <c r="BN77" s="186"/>
      <c r="BO77" s="186"/>
      <c r="BP77" s="186"/>
      <c r="BQ77" s="186"/>
      <c r="BR77" s="186"/>
      <c r="BS77" s="186"/>
      <c r="BT77" s="186"/>
      <c r="BU77" s="186"/>
      <c r="BV77" s="186"/>
      <c r="BW77" s="186"/>
      <c r="BX77" s="186"/>
    </row>
    <row r="78" ht="15.75" customHeight="1">
      <c r="A78" s="646"/>
      <c r="B78" s="646" t="s">
        <v>2751</v>
      </c>
      <c r="C78" s="261" t="s">
        <v>2752</v>
      </c>
      <c r="D78" s="552"/>
      <c r="E78" s="174"/>
      <c r="F78" s="174"/>
      <c r="G78" s="174"/>
      <c r="H78" s="222"/>
      <c r="I78" s="546"/>
      <c r="J78" s="174"/>
      <c r="K78" s="174"/>
      <c r="L78" s="174"/>
      <c r="M78" s="355" t="s">
        <v>2756</v>
      </c>
      <c r="N78" s="174"/>
      <c r="O78" s="174"/>
      <c r="P78" s="174"/>
      <c r="Q78" s="174"/>
      <c r="R78" s="133"/>
      <c r="S78" s="174"/>
      <c r="T78" s="129" t="s">
        <v>2759</v>
      </c>
      <c r="U78" s="174"/>
      <c r="V78" s="174"/>
      <c r="W78" s="174"/>
      <c r="X78" s="174"/>
      <c r="Y78" s="186"/>
      <c r="Z78" s="174"/>
      <c r="AA78" s="174"/>
      <c r="AB78" s="174"/>
      <c r="AC78" s="174"/>
      <c r="AD78" s="174"/>
      <c r="AE78" s="186"/>
      <c r="AF78" s="174"/>
      <c r="AG78" s="174"/>
      <c r="AH78" s="174"/>
      <c r="AI78" s="174"/>
      <c r="AJ78" s="174"/>
      <c r="AK78" s="174"/>
      <c r="AL78" s="174"/>
      <c r="AM78" s="174"/>
      <c r="AN78" s="174"/>
      <c r="AO78" s="546"/>
      <c r="AP78" s="174"/>
      <c r="AQ78" s="174"/>
      <c r="AR78" s="186"/>
      <c r="AS78" s="174"/>
      <c r="AT78" s="174"/>
      <c r="AU78" s="174"/>
      <c r="AV78" s="546"/>
      <c r="AW78" s="174"/>
      <c r="AX78" s="186"/>
      <c r="AY78" s="174"/>
      <c r="AZ78" s="174"/>
      <c r="BA78" s="174"/>
      <c r="BB78" s="174"/>
      <c r="BC78" s="174"/>
      <c r="BD78" s="174"/>
      <c r="BE78" s="245" t="s">
        <v>2752</v>
      </c>
      <c r="BF78" s="174"/>
      <c r="BG78" s="174"/>
      <c r="BH78" s="174"/>
      <c r="BI78" s="174"/>
      <c r="BJ78" s="174"/>
      <c r="BK78" s="174"/>
      <c r="BL78" s="186"/>
      <c r="BM78" s="186"/>
      <c r="BN78" s="186"/>
      <c r="BO78" s="186"/>
      <c r="BP78" s="186"/>
      <c r="BQ78" s="186"/>
      <c r="BR78" s="186"/>
      <c r="BS78" s="186"/>
      <c r="BT78" s="186"/>
      <c r="BU78" s="186"/>
      <c r="BV78" s="186"/>
      <c r="BW78" s="186"/>
      <c r="BX78" s="186"/>
    </row>
    <row r="79" ht="15.75" customHeight="1">
      <c r="A79" s="554"/>
      <c r="B79" s="555" t="s">
        <v>2769</v>
      </c>
      <c r="C79" s="544" t="s">
        <v>1148</v>
      </c>
      <c r="D79" s="124" t="s">
        <v>1521</v>
      </c>
      <c r="E79" s="174" t="s">
        <v>2773</v>
      </c>
      <c r="F79" s="174" t="s">
        <v>2774</v>
      </c>
      <c r="G79" s="174" t="s">
        <v>2776</v>
      </c>
      <c r="H79" s="132" t="s">
        <v>2780</v>
      </c>
      <c r="I79" s="562" t="s">
        <v>2234</v>
      </c>
      <c r="J79" s="174" t="str">
        <f>HYPERLINK("https://www.youtube.com/watch?v=Imyo7x5mfG4&amp;feature=youtu.be","30.15")</f>
        <v>30.15</v>
      </c>
      <c r="K79" s="174" t="s">
        <v>581</v>
      </c>
      <c r="L79" s="174" t="s">
        <v>2801</v>
      </c>
      <c r="M79" s="548" t="s">
        <v>1304</v>
      </c>
      <c r="N79" s="174" t="s">
        <v>396</v>
      </c>
      <c r="O79" s="174" t="s">
        <v>2774</v>
      </c>
      <c r="P79" s="174" t="s">
        <v>396</v>
      </c>
      <c r="Q79" s="174" t="s">
        <v>2830</v>
      </c>
      <c r="R79" s="133" t="s">
        <v>2831</v>
      </c>
      <c r="S79" s="174" t="s">
        <v>2832</v>
      </c>
      <c r="T79" s="129" t="s">
        <v>1646</v>
      </c>
      <c r="U79" s="174"/>
      <c r="V79" s="174"/>
      <c r="W79" s="174"/>
      <c r="X79" s="174" t="s">
        <v>2835</v>
      </c>
      <c r="Y79" s="549"/>
      <c r="Z79" s="174"/>
      <c r="AA79" s="174"/>
      <c r="AB79" s="174"/>
      <c r="AC79" s="174"/>
      <c r="AD79" s="174"/>
      <c r="AE79" s="549"/>
      <c r="AF79" s="174"/>
      <c r="AG79" s="174"/>
      <c r="AH79" s="174"/>
      <c r="AI79" s="174"/>
      <c r="AJ79" s="174"/>
      <c r="AK79" s="174"/>
      <c r="AL79" s="174"/>
      <c r="AM79" s="174"/>
      <c r="AN79" s="174"/>
      <c r="AO79" s="546"/>
      <c r="AP79" s="174" t="s">
        <v>2838</v>
      </c>
      <c r="AQ79" s="174"/>
      <c r="AR79" s="549"/>
      <c r="AS79" s="174"/>
      <c r="AT79" s="174"/>
      <c r="AU79" s="174"/>
      <c r="AV79" s="546"/>
      <c r="AW79" s="174"/>
      <c r="AX79" s="549"/>
      <c r="AY79" s="174"/>
      <c r="AZ79" s="174"/>
      <c r="BA79" s="174"/>
      <c r="BB79" s="174" t="s">
        <v>2847</v>
      </c>
      <c r="BC79" s="174"/>
      <c r="BD79" s="174"/>
      <c r="BE79" s="549"/>
      <c r="BF79" s="174"/>
      <c r="BG79" s="174"/>
      <c r="BH79" s="174"/>
      <c r="BI79" s="174"/>
      <c r="BJ79" s="174"/>
      <c r="BK79" s="174"/>
      <c r="BL79" s="549"/>
      <c r="BM79" s="549"/>
      <c r="BN79" s="549"/>
      <c r="BO79" s="549"/>
      <c r="BP79" s="549"/>
      <c r="BQ79" s="549"/>
      <c r="BR79" s="549"/>
      <c r="BS79" s="549"/>
      <c r="BT79" s="549"/>
      <c r="BU79" s="549"/>
      <c r="BV79" s="549"/>
      <c r="BW79" s="549"/>
      <c r="BX79" s="549"/>
    </row>
    <row r="80" ht="15.75" customHeight="1">
      <c r="A80" s="564" t="s">
        <v>577</v>
      </c>
      <c r="B80" s="565" t="s">
        <v>2859</v>
      </c>
      <c r="C80" s="217" t="s">
        <v>2861</v>
      </c>
      <c r="D80" s="552"/>
      <c r="E80" s="174"/>
      <c r="F80" s="174"/>
      <c r="G80" s="129" t="s">
        <v>2861</v>
      </c>
      <c r="H80" s="222"/>
      <c r="I80" s="546"/>
      <c r="J80" s="174"/>
      <c r="K80" s="174"/>
      <c r="L80" s="174"/>
      <c r="M80" s="182" t="s">
        <v>2872</v>
      </c>
      <c r="N80" s="174"/>
      <c r="O80" s="174"/>
      <c r="P80" s="174"/>
      <c r="Q80" s="174"/>
      <c r="R80" s="133"/>
      <c r="S80" s="174"/>
      <c r="T80" s="174"/>
      <c r="U80" s="174"/>
      <c r="V80" s="174"/>
      <c r="W80" s="174"/>
      <c r="X80" s="174"/>
      <c r="Y80" s="186"/>
      <c r="Z80" s="174"/>
      <c r="AA80" s="174"/>
      <c r="AB80" s="174"/>
      <c r="AC80" s="174"/>
      <c r="AD80" s="174"/>
      <c r="AE80" s="186"/>
      <c r="AF80" s="174"/>
      <c r="AG80" s="174"/>
      <c r="AH80" s="174"/>
      <c r="AI80" s="174"/>
      <c r="AJ80" s="174"/>
      <c r="AK80" s="174"/>
      <c r="AL80" s="174"/>
      <c r="AM80" s="174"/>
      <c r="AN80" s="174"/>
      <c r="AO80" s="546"/>
      <c r="AP80" s="174"/>
      <c r="AQ80" s="174"/>
      <c r="AR80" s="186"/>
      <c r="AS80" s="174"/>
      <c r="AT80" s="174"/>
      <c r="AU80" s="174"/>
      <c r="AV80" s="546"/>
      <c r="AW80" s="174"/>
      <c r="AX80" s="186"/>
      <c r="AY80" s="174"/>
      <c r="AZ80" s="174"/>
      <c r="BA80" s="174"/>
      <c r="BB80" s="174"/>
      <c r="BC80" s="174"/>
      <c r="BD80" s="174"/>
      <c r="BE80" s="186"/>
      <c r="BF80" s="174"/>
      <c r="BG80" s="174"/>
      <c r="BH80" s="174"/>
      <c r="BI80" s="174"/>
      <c r="BJ80" s="174"/>
      <c r="BK80" s="174"/>
      <c r="BL80" s="186"/>
      <c r="BM80" s="186"/>
      <c r="BN80" s="186"/>
      <c r="BO80" s="186"/>
      <c r="BP80" s="186"/>
      <c r="BQ80" s="186"/>
      <c r="BR80" s="186"/>
      <c r="BS80" s="186"/>
      <c r="BT80" s="186"/>
      <c r="BU80" s="186"/>
      <c r="BV80" s="186"/>
      <c r="BW80" s="186"/>
      <c r="BX80" s="186"/>
    </row>
    <row r="81" ht="15.75" customHeight="1">
      <c r="A81" s="603"/>
      <c r="B81" s="561" t="s">
        <v>2899</v>
      </c>
      <c r="C81" s="544" t="s">
        <v>736</v>
      </c>
      <c r="D81" s="552"/>
      <c r="E81" s="174"/>
      <c r="F81" s="174" t="s">
        <v>736</v>
      </c>
      <c r="G81" s="174"/>
      <c r="H81" s="132" t="s">
        <v>2904</v>
      </c>
      <c r="I81" s="546"/>
      <c r="J81" s="174"/>
      <c r="K81" s="174"/>
      <c r="L81" s="174"/>
      <c r="M81" s="182" t="s">
        <v>2909</v>
      </c>
      <c r="N81" s="174"/>
      <c r="O81" s="174"/>
      <c r="P81" s="174"/>
      <c r="Q81" s="174"/>
      <c r="R81" s="133"/>
      <c r="S81" s="174"/>
      <c r="T81" s="174"/>
      <c r="U81" s="174"/>
      <c r="V81" s="174"/>
      <c r="W81" s="174"/>
      <c r="X81" s="174"/>
      <c r="Y81" s="186"/>
      <c r="Z81" s="174"/>
      <c r="AA81" s="174" t="s">
        <v>359</v>
      </c>
      <c r="AB81" s="174"/>
      <c r="AC81" s="174"/>
      <c r="AD81" s="174"/>
      <c r="AE81" s="186"/>
      <c r="AF81" s="174"/>
      <c r="AG81" s="174" t="s">
        <v>2515</v>
      </c>
      <c r="AH81" s="174"/>
      <c r="AI81" s="174"/>
      <c r="AJ81" s="174"/>
      <c r="AK81" s="174"/>
      <c r="AL81" s="174"/>
      <c r="AM81" s="174"/>
      <c r="AN81" s="174"/>
      <c r="AO81" s="546"/>
      <c r="AP81" s="174"/>
      <c r="AQ81" s="174"/>
      <c r="AR81" s="186"/>
      <c r="AS81" s="174"/>
      <c r="AT81" s="174"/>
      <c r="AU81" s="174"/>
      <c r="AV81" s="546"/>
      <c r="AW81" s="174"/>
      <c r="AX81" s="186"/>
      <c r="AY81" s="174"/>
      <c r="AZ81" s="174"/>
      <c r="BA81" s="174"/>
      <c r="BB81" s="174"/>
      <c r="BC81" s="174"/>
      <c r="BD81" s="174"/>
      <c r="BE81" s="186"/>
      <c r="BF81" s="174"/>
      <c r="BG81" s="174"/>
      <c r="BH81" s="174"/>
      <c r="BI81" s="174"/>
      <c r="BJ81" s="174"/>
      <c r="BK81" s="174"/>
      <c r="BL81" s="186"/>
      <c r="BM81" s="186"/>
      <c r="BN81" s="186"/>
      <c r="BO81" s="186"/>
      <c r="BP81" s="186"/>
      <c r="BQ81" s="186"/>
      <c r="BR81" s="186"/>
      <c r="BS81" s="186"/>
      <c r="BT81" s="186"/>
      <c r="BU81" s="186"/>
      <c r="BV81" s="186"/>
      <c r="BW81" s="186"/>
      <c r="BX81" s="186"/>
    </row>
    <row r="82" ht="15.75" customHeight="1">
      <c r="A82" s="596"/>
      <c r="B82" s="551" t="s">
        <v>2933</v>
      </c>
      <c r="C82" s="544" t="s">
        <v>2934</v>
      </c>
      <c r="D82" s="182" t="s">
        <v>2939</v>
      </c>
      <c r="E82" s="174" t="s">
        <v>2942</v>
      </c>
      <c r="F82" s="174" t="s">
        <v>2944</v>
      </c>
      <c r="G82" s="174"/>
      <c r="H82" s="132" t="s">
        <v>2953</v>
      </c>
      <c r="I82" s="546"/>
      <c r="J82" s="174"/>
      <c r="K82" s="174"/>
      <c r="L82" s="174"/>
      <c r="M82" s="548" t="s">
        <v>2958</v>
      </c>
      <c r="N82" s="174"/>
      <c r="O82" s="174" t="s">
        <v>2970</v>
      </c>
      <c r="P82" s="174"/>
      <c r="Q82" s="174"/>
      <c r="R82" s="133" t="s">
        <v>2971</v>
      </c>
      <c r="S82" s="174"/>
      <c r="T82" s="174"/>
      <c r="U82" s="174"/>
      <c r="V82" s="174" t="s">
        <v>2973</v>
      </c>
      <c r="W82" s="174"/>
      <c r="X82" s="174"/>
      <c r="Y82" s="549"/>
      <c r="Z82" s="174" t="s">
        <v>2971</v>
      </c>
      <c r="AA82" s="174" t="s">
        <v>2979</v>
      </c>
      <c r="AB82" s="174" t="s">
        <v>2934</v>
      </c>
      <c r="AC82" s="174"/>
      <c r="AD82" s="174"/>
      <c r="AE82" s="549"/>
      <c r="AF82" s="174"/>
      <c r="AG82" s="174"/>
      <c r="AH82" s="174"/>
      <c r="AI82" s="174"/>
      <c r="AJ82" s="174"/>
      <c r="AK82" s="174"/>
      <c r="AL82" s="174"/>
      <c r="AM82" s="174"/>
      <c r="AN82" s="174"/>
      <c r="AO82" s="546"/>
      <c r="AP82" s="174"/>
      <c r="AQ82" s="174"/>
      <c r="AR82" s="549"/>
      <c r="AS82" s="174"/>
      <c r="AT82" s="174"/>
      <c r="AU82" s="174"/>
      <c r="AV82" s="546"/>
      <c r="AW82" s="174"/>
      <c r="AX82" s="549"/>
      <c r="AY82" s="174"/>
      <c r="AZ82" s="174"/>
      <c r="BA82" s="174"/>
      <c r="BB82" s="174"/>
      <c r="BC82" s="174"/>
      <c r="BD82" s="174"/>
      <c r="BE82" s="549"/>
      <c r="BF82" s="174"/>
      <c r="BG82" s="174"/>
      <c r="BH82" s="174"/>
      <c r="BI82" s="174"/>
      <c r="BJ82" s="174"/>
      <c r="BK82" s="174"/>
      <c r="BL82" s="549"/>
      <c r="BM82" s="549"/>
      <c r="BN82" s="549"/>
      <c r="BO82" s="549"/>
      <c r="BP82" s="549"/>
      <c r="BQ82" s="549"/>
      <c r="BR82" s="549"/>
      <c r="BS82" s="549"/>
      <c r="BT82" s="549"/>
      <c r="BU82" s="549"/>
      <c r="BV82" s="549"/>
      <c r="BW82" s="549"/>
      <c r="BX82" s="549"/>
    </row>
    <row r="83" ht="15.75" customHeight="1">
      <c r="A83" s="603"/>
      <c r="B83" s="555" t="s">
        <v>2988</v>
      </c>
      <c r="C83" s="544" t="s">
        <v>2989</v>
      </c>
      <c r="D83" s="548" t="s">
        <v>2996</v>
      </c>
      <c r="E83" s="434"/>
      <c r="F83" s="434"/>
      <c r="G83" s="611" t="s">
        <v>2989</v>
      </c>
      <c r="H83" s="222"/>
      <c r="I83" s="546"/>
      <c r="J83" s="434"/>
      <c r="K83" s="434"/>
      <c r="L83" s="434"/>
      <c r="M83" s="219"/>
      <c r="N83" s="434"/>
      <c r="O83" s="434"/>
      <c r="P83" s="434"/>
      <c r="Q83" s="434" t="s">
        <v>2989</v>
      </c>
      <c r="R83" s="133" t="s">
        <v>3006</v>
      </c>
      <c r="S83" s="434"/>
      <c r="T83" s="434"/>
      <c r="U83" s="434"/>
      <c r="V83" s="434"/>
      <c r="W83" s="434"/>
      <c r="X83" s="434"/>
      <c r="Y83" s="245" t="s">
        <v>3010</v>
      </c>
      <c r="Z83" s="434"/>
      <c r="AA83" s="434"/>
      <c r="AB83" s="434"/>
      <c r="AC83" s="434" t="s">
        <v>3014</v>
      </c>
      <c r="AD83" s="434"/>
      <c r="AE83" s="186"/>
      <c r="AF83" s="434"/>
      <c r="AG83" s="434"/>
      <c r="AH83" s="434"/>
      <c r="AI83" s="434"/>
      <c r="AJ83" s="434"/>
      <c r="AK83" s="434"/>
      <c r="AL83" s="434"/>
      <c r="AM83" s="434"/>
      <c r="AN83" s="434"/>
      <c r="AO83" s="546"/>
      <c r="AP83" s="434"/>
      <c r="AQ83" s="434"/>
      <c r="AR83" s="186"/>
      <c r="AS83" s="434"/>
      <c r="AT83" s="434"/>
      <c r="AU83" s="434"/>
      <c r="AV83" s="546"/>
      <c r="AW83" s="434"/>
      <c r="AX83" s="186"/>
      <c r="AY83" s="434"/>
      <c r="AZ83" s="434"/>
      <c r="BA83" s="434"/>
      <c r="BB83" s="434"/>
      <c r="BC83" s="434"/>
      <c r="BD83" s="434"/>
      <c r="BE83" s="186"/>
      <c r="BF83" s="434"/>
      <c r="BG83" s="434"/>
      <c r="BH83" s="434"/>
      <c r="BI83" s="434"/>
      <c r="BJ83" s="434"/>
      <c r="BK83" s="434"/>
      <c r="BL83" s="186"/>
      <c r="BM83" s="186"/>
      <c r="BN83" s="186"/>
      <c r="BO83" s="186"/>
      <c r="BP83" s="186"/>
      <c r="BQ83" s="186"/>
      <c r="BR83" s="186"/>
      <c r="BS83" s="186"/>
      <c r="BT83" s="186"/>
      <c r="BU83" s="186"/>
      <c r="BV83" s="186"/>
      <c r="BW83" s="186"/>
      <c r="BX83" s="186"/>
    </row>
    <row r="84" ht="15.75" customHeight="1">
      <c r="A84" s="542" t="s">
        <v>936</v>
      </c>
      <c r="B84" s="543" t="s">
        <v>3023</v>
      </c>
      <c r="C84" s="544" t="s">
        <v>2361</v>
      </c>
      <c r="D84" s="552"/>
      <c r="E84" s="174"/>
      <c r="F84" s="174" t="s">
        <v>2361</v>
      </c>
      <c r="G84" s="174"/>
      <c r="H84" s="132" t="s">
        <v>3028</v>
      </c>
      <c r="I84" s="546"/>
      <c r="J84" s="174"/>
      <c r="K84" s="174"/>
      <c r="L84" s="174"/>
      <c r="M84" s="219"/>
      <c r="N84" s="174"/>
      <c r="O84" s="174"/>
      <c r="P84" s="174"/>
      <c r="Q84" s="174"/>
      <c r="R84" s="133"/>
      <c r="S84" s="174"/>
      <c r="T84" s="174"/>
      <c r="U84" s="174"/>
      <c r="V84" s="174"/>
      <c r="W84" s="174"/>
      <c r="X84" s="174"/>
      <c r="Y84" s="186"/>
      <c r="Z84" s="174"/>
      <c r="AA84" s="174"/>
      <c r="AB84" s="174"/>
      <c r="AC84" s="174"/>
      <c r="AD84" s="174"/>
      <c r="AE84" s="186"/>
      <c r="AF84" s="174"/>
      <c r="AG84" s="174"/>
      <c r="AH84" s="174"/>
      <c r="AI84" s="174"/>
      <c r="AJ84" s="174"/>
      <c r="AK84" s="174"/>
      <c r="AL84" s="174"/>
      <c r="AM84" s="174"/>
      <c r="AN84" s="174"/>
      <c r="AO84" s="546"/>
      <c r="AP84" s="174"/>
      <c r="AQ84" s="174"/>
      <c r="AR84" s="186"/>
      <c r="AS84" s="174"/>
      <c r="AT84" s="174"/>
      <c r="AU84" s="174"/>
      <c r="AV84" s="546"/>
      <c r="AW84" s="174"/>
      <c r="AX84" s="186"/>
      <c r="AY84" s="174"/>
      <c r="AZ84" s="174"/>
      <c r="BA84" s="174"/>
      <c r="BB84" s="174"/>
      <c r="BC84" s="174"/>
      <c r="BD84" s="174"/>
      <c r="BE84" s="186"/>
      <c r="BF84" s="174"/>
      <c r="BG84" s="174"/>
      <c r="BH84" s="174"/>
      <c r="BI84" s="174"/>
      <c r="BJ84" s="174"/>
      <c r="BK84" s="174"/>
      <c r="BL84" s="186"/>
      <c r="BM84" s="186"/>
      <c r="BN84" s="186"/>
      <c r="BO84" s="186"/>
      <c r="BP84" s="186"/>
      <c r="BQ84" s="186"/>
      <c r="BR84" s="186"/>
      <c r="BS84" s="186"/>
      <c r="BT84" s="186"/>
      <c r="BU84" s="186"/>
      <c r="BV84" s="186"/>
      <c r="BW84" s="186"/>
      <c r="BX84" s="186"/>
    </row>
    <row r="85" ht="15.75" customHeight="1">
      <c r="A85" s="550"/>
      <c r="B85" s="551" t="s">
        <v>3040</v>
      </c>
      <c r="C85" s="544" t="s">
        <v>3041</v>
      </c>
      <c r="D85" s="219"/>
      <c r="E85" s="174" t="s">
        <v>3042</v>
      </c>
      <c r="F85" s="174" t="s">
        <v>3041</v>
      </c>
      <c r="G85" s="174"/>
      <c r="H85" s="222"/>
      <c r="I85" s="546"/>
      <c r="J85" s="174"/>
      <c r="K85" s="174"/>
      <c r="L85" s="174" t="s">
        <v>3044</v>
      </c>
      <c r="M85" s="657" t="s">
        <v>3046</v>
      </c>
      <c r="N85" s="174" t="s">
        <v>2864</v>
      </c>
      <c r="O85" s="174"/>
      <c r="P85" s="174" t="str">
        <f>HYPERLINK("https://youtu.be/HUwmtKe7cOY","56.54")</f>
        <v>56.54</v>
      </c>
      <c r="Q85" s="174"/>
      <c r="R85" s="133" t="s">
        <v>3047</v>
      </c>
      <c r="S85" s="174"/>
      <c r="T85" s="174" t="s">
        <v>3049</v>
      </c>
      <c r="U85" s="174"/>
      <c r="V85" s="174"/>
      <c r="W85" s="174"/>
      <c r="X85" s="174" t="s">
        <v>3052</v>
      </c>
      <c r="Y85" s="549"/>
      <c r="Z85" s="174"/>
      <c r="AA85" s="174"/>
      <c r="AB85" s="174"/>
      <c r="AC85" s="174"/>
      <c r="AD85" s="174"/>
      <c r="AE85" s="549"/>
      <c r="AF85" s="174"/>
      <c r="AG85" s="174"/>
      <c r="AH85" s="174"/>
      <c r="AI85" s="174"/>
      <c r="AJ85" s="174"/>
      <c r="AK85" s="174"/>
      <c r="AL85" s="174"/>
      <c r="AM85" s="174"/>
      <c r="AN85" s="174"/>
      <c r="AO85" s="546"/>
      <c r="AP85" s="174"/>
      <c r="AQ85" s="174"/>
      <c r="AR85" s="549"/>
      <c r="AS85" s="174"/>
      <c r="AT85" s="174"/>
      <c r="AU85" s="174"/>
      <c r="AV85" s="546"/>
      <c r="AW85" s="174"/>
      <c r="AX85" s="549"/>
      <c r="AY85" s="174"/>
      <c r="AZ85" s="174"/>
      <c r="BA85" s="174"/>
      <c r="BB85" s="174"/>
      <c r="BC85" s="174"/>
      <c r="BD85" s="174"/>
      <c r="BE85" s="549"/>
      <c r="BF85" s="174"/>
      <c r="BG85" s="174"/>
      <c r="BH85" s="174"/>
      <c r="BI85" s="174"/>
      <c r="BJ85" s="174"/>
      <c r="BK85" s="174"/>
      <c r="BL85" s="549"/>
      <c r="BM85" s="549"/>
      <c r="BN85" s="549"/>
      <c r="BO85" s="549"/>
      <c r="BP85" s="549"/>
      <c r="BQ85" s="549"/>
      <c r="BR85" s="549"/>
      <c r="BS85" s="549"/>
      <c r="BT85" s="549"/>
      <c r="BU85" s="549"/>
      <c r="BV85" s="549"/>
      <c r="BW85" s="549"/>
      <c r="BX85" s="549"/>
    </row>
    <row r="86" ht="15.75" customHeight="1">
      <c r="A86" s="554"/>
      <c r="B86" s="555" t="s">
        <v>3055</v>
      </c>
      <c r="C86" s="544" t="s">
        <v>2967</v>
      </c>
      <c r="D86" s="292" t="s">
        <v>3059</v>
      </c>
      <c r="E86" s="174" t="s">
        <v>3060</v>
      </c>
      <c r="F86" s="174" t="s">
        <v>3027</v>
      </c>
      <c r="G86" s="174" t="s">
        <v>2967</v>
      </c>
      <c r="H86" s="132" t="s">
        <v>397</v>
      </c>
      <c r="I86" s="562" t="s">
        <v>3069</v>
      </c>
      <c r="J86" s="174" t="s">
        <v>3070</v>
      </c>
      <c r="K86" s="174" t="s">
        <v>3071</v>
      </c>
      <c r="L86" s="174"/>
      <c r="M86" s="219"/>
      <c r="N86" s="174"/>
      <c r="O86" s="174"/>
      <c r="P86" s="174" t="str">
        <f>HYPERLINK("https://youtu.be/vycxuqUj3Q4","56.44")</f>
        <v>56.44</v>
      </c>
      <c r="Q86" s="174" t="s">
        <v>3075</v>
      </c>
      <c r="R86" s="133"/>
      <c r="S86" s="174"/>
      <c r="T86" s="174"/>
      <c r="U86" s="174"/>
      <c r="V86" s="174"/>
      <c r="W86" s="174" t="s">
        <v>1642</v>
      </c>
      <c r="X86" s="174"/>
      <c r="Y86" s="186"/>
      <c r="Z86" s="174"/>
      <c r="AA86" s="174"/>
      <c r="AB86" s="174"/>
      <c r="AC86" s="174"/>
      <c r="AD86" s="174"/>
      <c r="AE86" s="186"/>
      <c r="AF86" s="174"/>
      <c r="AG86" s="174"/>
      <c r="AH86" s="174"/>
      <c r="AI86" s="174"/>
      <c r="AJ86" s="174"/>
      <c r="AK86" s="174"/>
      <c r="AL86" s="174"/>
      <c r="AM86" s="174"/>
      <c r="AN86" s="174"/>
      <c r="AO86" s="546"/>
      <c r="AP86" s="174"/>
      <c r="AQ86" s="174"/>
      <c r="AR86" s="186"/>
      <c r="AS86" s="174"/>
      <c r="AT86" s="174"/>
      <c r="AU86" s="174"/>
      <c r="AV86" s="546"/>
      <c r="AW86" s="174"/>
      <c r="AX86" s="186"/>
      <c r="AY86" s="174"/>
      <c r="AZ86" s="174"/>
      <c r="BA86" s="174"/>
      <c r="BB86" s="174"/>
      <c r="BC86" s="174"/>
      <c r="BD86" s="174"/>
      <c r="BE86" s="186"/>
      <c r="BF86" s="174"/>
      <c r="BG86" s="174"/>
      <c r="BH86" s="174"/>
      <c r="BI86" s="174"/>
      <c r="BJ86" s="174"/>
      <c r="BK86" s="174"/>
      <c r="BL86" s="186"/>
      <c r="BM86" s="186"/>
      <c r="BN86" s="186"/>
      <c r="BO86" s="186"/>
      <c r="BP86" s="186"/>
      <c r="BQ86" s="186"/>
      <c r="BR86" s="186"/>
      <c r="BS86" s="186"/>
      <c r="BT86" s="186"/>
      <c r="BU86" s="186"/>
      <c r="BV86" s="186"/>
      <c r="BW86" s="186"/>
      <c r="BX86" s="186"/>
    </row>
    <row r="87" ht="15.75" customHeight="1">
      <c r="A87" s="554"/>
      <c r="B87" s="555" t="s">
        <v>3085</v>
      </c>
      <c r="C87" s="544" t="s">
        <v>2656</v>
      </c>
      <c r="D87" s="544" t="s">
        <v>2656</v>
      </c>
      <c r="E87" s="672"/>
      <c r="F87" s="174"/>
      <c r="G87" s="174"/>
      <c r="H87" s="222"/>
      <c r="I87" s="562"/>
      <c r="J87" s="174"/>
      <c r="K87" s="174"/>
      <c r="L87" s="174"/>
      <c r="M87" s="219"/>
      <c r="N87" s="174"/>
      <c r="O87" s="174"/>
      <c r="P87" s="174"/>
      <c r="Q87" s="174"/>
      <c r="R87" s="133"/>
      <c r="S87" s="174"/>
      <c r="T87" s="174"/>
      <c r="U87" s="174"/>
      <c r="V87" s="174"/>
      <c r="W87" s="174"/>
      <c r="X87" s="174"/>
      <c r="Y87" s="186"/>
      <c r="Z87" s="174"/>
      <c r="AA87" s="174"/>
      <c r="AB87" s="174"/>
      <c r="AC87" s="174"/>
      <c r="AD87" s="174"/>
      <c r="AE87" s="186"/>
      <c r="AF87" s="174"/>
      <c r="AG87" s="174"/>
      <c r="AH87" s="174"/>
      <c r="AI87" s="174"/>
      <c r="AJ87" s="174"/>
      <c r="AK87" s="174"/>
      <c r="AL87" s="174"/>
      <c r="AM87" s="174"/>
      <c r="AN87" s="174"/>
      <c r="AO87" s="546"/>
      <c r="AP87" s="174"/>
      <c r="AQ87" s="174"/>
      <c r="AR87" s="186"/>
      <c r="AS87" s="174"/>
      <c r="AT87" s="174"/>
      <c r="AU87" s="174"/>
      <c r="AV87" s="546"/>
      <c r="AW87" s="174"/>
      <c r="AX87" s="186"/>
      <c r="AY87" s="174"/>
      <c r="AZ87" s="174"/>
      <c r="BA87" s="174"/>
      <c r="BB87" s="174"/>
      <c r="BC87" s="174"/>
      <c r="BD87" s="174"/>
      <c r="BE87" s="186"/>
      <c r="BF87" s="174"/>
      <c r="BG87" s="174"/>
      <c r="BH87" s="174"/>
      <c r="BI87" s="174"/>
      <c r="BJ87" s="174"/>
      <c r="BK87" s="174"/>
      <c r="BL87" s="186"/>
      <c r="BM87" s="186"/>
      <c r="BN87" s="186"/>
      <c r="BO87" s="186"/>
      <c r="BP87" s="186"/>
      <c r="BQ87" s="186"/>
      <c r="BR87" s="186"/>
      <c r="BS87" s="186"/>
      <c r="BT87" s="186"/>
      <c r="BU87" s="186"/>
      <c r="BV87" s="186"/>
      <c r="BW87" s="186"/>
      <c r="BX87" s="186"/>
    </row>
    <row r="88" ht="15.75" customHeight="1">
      <c r="A88" s="542" t="s">
        <v>3096</v>
      </c>
      <c r="B88" s="543" t="s">
        <v>3098</v>
      </c>
      <c r="C88" s="544" t="s">
        <v>3099</v>
      </c>
      <c r="D88" s="219"/>
      <c r="E88" s="174"/>
      <c r="F88" s="174" t="s">
        <v>3104</v>
      </c>
      <c r="G88" s="174"/>
      <c r="H88" s="132" t="s">
        <v>3108</v>
      </c>
      <c r="I88" s="546"/>
      <c r="J88" s="174"/>
      <c r="K88" s="174"/>
      <c r="L88" s="174"/>
      <c r="M88" s="552"/>
      <c r="N88" s="174"/>
      <c r="O88" s="174"/>
      <c r="P88" s="174"/>
      <c r="Q88" s="174"/>
      <c r="R88" s="133"/>
      <c r="S88" s="174"/>
      <c r="T88" s="174"/>
      <c r="U88" s="174"/>
      <c r="V88" s="174"/>
      <c r="W88" s="174"/>
      <c r="X88" s="174"/>
      <c r="Y88" s="549"/>
      <c r="Z88" s="174"/>
      <c r="AA88" s="174"/>
      <c r="AB88" s="174"/>
      <c r="AC88" s="174"/>
      <c r="AD88" s="174"/>
      <c r="AE88" s="549"/>
      <c r="AF88" s="174" t="s">
        <v>3099</v>
      </c>
      <c r="AG88" s="174"/>
      <c r="AH88" s="174"/>
      <c r="AI88" s="174"/>
      <c r="AJ88" s="174"/>
      <c r="AK88" s="174"/>
      <c r="AL88" s="174"/>
      <c r="AM88" s="174"/>
      <c r="AN88" s="174"/>
      <c r="AO88" s="546"/>
      <c r="AP88" s="174"/>
      <c r="AQ88" s="174"/>
      <c r="AR88" s="549"/>
      <c r="AS88" s="174"/>
      <c r="AT88" s="174"/>
      <c r="AU88" s="174"/>
      <c r="AV88" s="126" t="s">
        <v>3127</v>
      </c>
      <c r="AW88" s="174"/>
      <c r="AX88" s="549"/>
      <c r="AY88" s="174"/>
      <c r="AZ88" s="174"/>
      <c r="BA88" s="174"/>
      <c r="BB88" s="174"/>
      <c r="BC88" s="174"/>
      <c r="BD88" s="174"/>
      <c r="BE88" s="549"/>
      <c r="BF88" s="174"/>
      <c r="BG88" s="174"/>
      <c r="BH88" s="174"/>
      <c r="BI88" s="174"/>
      <c r="BJ88" s="174"/>
      <c r="BK88" s="174"/>
      <c r="BL88" s="549"/>
      <c r="BM88" s="549"/>
      <c r="BN88" s="549"/>
      <c r="BO88" s="549"/>
      <c r="BP88" s="549"/>
      <c r="BQ88" s="549"/>
      <c r="BR88" s="549"/>
      <c r="BS88" s="549"/>
      <c r="BT88" s="549"/>
      <c r="BU88" s="549"/>
      <c r="BV88" s="549"/>
      <c r="BW88" s="549"/>
      <c r="BX88" s="549"/>
    </row>
    <row r="89" ht="15.75" customHeight="1">
      <c r="A89" s="550"/>
      <c r="B89" s="551" t="s">
        <v>3140</v>
      </c>
      <c r="C89" s="544" t="s">
        <v>3141</v>
      </c>
      <c r="D89" s="292" t="s">
        <v>3145</v>
      </c>
      <c r="E89" s="174" t="s">
        <v>3141</v>
      </c>
      <c r="F89" s="556"/>
      <c r="G89" s="556"/>
      <c r="H89" s="222"/>
      <c r="I89" s="562" t="s">
        <v>3151</v>
      </c>
      <c r="J89" s="556"/>
      <c r="K89" s="556"/>
      <c r="L89" s="556"/>
      <c r="M89" s="182" t="s">
        <v>3153</v>
      </c>
      <c r="N89" s="556"/>
      <c r="O89" s="556"/>
      <c r="P89" s="556"/>
      <c r="Q89" s="556"/>
      <c r="R89" s="133"/>
      <c r="S89" s="556"/>
      <c r="T89" s="556"/>
      <c r="U89" s="556" t="s">
        <v>3157</v>
      </c>
      <c r="V89" s="556"/>
      <c r="W89" s="556"/>
      <c r="X89" s="556"/>
      <c r="Y89" s="186"/>
      <c r="Z89" s="556" t="s">
        <v>3164</v>
      </c>
      <c r="AA89" s="556"/>
      <c r="AB89" s="556"/>
      <c r="AC89" s="556"/>
      <c r="AD89" s="556"/>
      <c r="AE89" s="186"/>
      <c r="AF89" s="556"/>
      <c r="AG89" s="556"/>
      <c r="AH89" s="556" t="s">
        <v>3157</v>
      </c>
      <c r="AI89" s="556"/>
      <c r="AJ89" s="556"/>
      <c r="AK89" s="556"/>
      <c r="AL89" s="556"/>
      <c r="AM89" s="556"/>
      <c r="AN89" s="556"/>
      <c r="AO89" s="546"/>
      <c r="AP89" s="556"/>
      <c r="AQ89" s="556"/>
      <c r="AR89" s="186"/>
      <c r="AS89" s="556"/>
      <c r="AT89" s="556"/>
      <c r="AU89" s="556"/>
      <c r="AV89" s="546"/>
      <c r="AW89" s="556"/>
      <c r="AX89" s="186"/>
      <c r="AY89" s="556" t="s">
        <v>3175</v>
      </c>
      <c r="AZ89" s="556"/>
      <c r="BA89" s="556"/>
      <c r="BB89" s="556"/>
      <c r="BC89" s="556"/>
      <c r="BD89" s="556"/>
      <c r="BE89" s="186"/>
      <c r="BF89" s="556"/>
      <c r="BG89" s="556"/>
      <c r="BH89" s="556"/>
      <c r="BI89" s="556"/>
      <c r="BJ89" s="556"/>
      <c r="BK89" s="556"/>
      <c r="BL89" s="186"/>
      <c r="BM89" s="186"/>
      <c r="BN89" s="186"/>
      <c r="BO89" s="186"/>
      <c r="BP89" s="186"/>
      <c r="BQ89" s="186"/>
      <c r="BR89" s="186"/>
      <c r="BS89" s="186"/>
      <c r="BT89" s="186"/>
      <c r="BU89" s="186"/>
      <c r="BV89" s="186"/>
      <c r="BW89" s="186"/>
      <c r="BX89" s="186"/>
    </row>
    <row r="90" ht="15.75" customHeight="1">
      <c r="A90" s="687"/>
      <c r="B90" s="688" t="s">
        <v>3188</v>
      </c>
      <c r="C90" s="689" t="s">
        <v>3189</v>
      </c>
      <c r="D90" s="690"/>
      <c r="E90" s="691" t="s">
        <v>3195</v>
      </c>
      <c r="F90" s="690" t="s">
        <v>3196</v>
      </c>
      <c r="G90" s="691" t="s">
        <v>400</v>
      </c>
      <c r="H90" s="690" t="s">
        <v>2683</v>
      </c>
      <c r="I90" s="692"/>
      <c r="J90" s="690" t="s">
        <v>3209</v>
      </c>
      <c r="K90" s="690" t="s">
        <v>3214</v>
      </c>
      <c r="L90" s="691" t="s">
        <v>3216</v>
      </c>
      <c r="M90" s="219"/>
      <c r="N90" s="691" t="s">
        <v>3218</v>
      </c>
      <c r="O90" s="692"/>
      <c r="P90" s="692"/>
      <c r="Q90" s="690" t="s">
        <v>3189</v>
      </c>
      <c r="R90" s="690" t="s">
        <v>3219</v>
      </c>
      <c r="S90" s="692"/>
      <c r="T90" s="692"/>
      <c r="U90" s="692"/>
      <c r="V90" s="692"/>
      <c r="W90" s="692"/>
      <c r="X90" s="692"/>
      <c r="Y90" s="186"/>
      <c r="Z90" s="692"/>
      <c r="AA90" s="692"/>
      <c r="AB90" s="692"/>
      <c r="AC90" s="692"/>
      <c r="AD90" s="692"/>
      <c r="AE90" s="186"/>
      <c r="AF90" s="692"/>
      <c r="AG90" s="692"/>
      <c r="AH90" s="692"/>
      <c r="AI90" s="692"/>
      <c r="AJ90" s="692"/>
      <c r="AK90" s="692"/>
      <c r="AL90" s="692"/>
      <c r="AM90" s="692"/>
      <c r="AN90" s="692"/>
      <c r="AO90" s="692"/>
      <c r="AP90" s="692"/>
      <c r="AQ90" s="692"/>
      <c r="AR90" s="186"/>
      <c r="AS90" s="692"/>
      <c r="AT90" s="692"/>
      <c r="AU90" s="692"/>
      <c r="AV90" s="692"/>
      <c r="AW90" s="692"/>
      <c r="AX90" s="186"/>
      <c r="AY90" s="692"/>
      <c r="AZ90" s="690" t="s">
        <v>3228</v>
      </c>
      <c r="BA90" s="556"/>
      <c r="BB90" s="692"/>
      <c r="BC90" s="692"/>
      <c r="BD90" s="692"/>
      <c r="BE90" s="692"/>
      <c r="BF90" s="692"/>
      <c r="BG90" s="692"/>
      <c r="BH90" s="556"/>
      <c r="BI90" s="556"/>
      <c r="BJ90" s="556"/>
      <c r="BK90" s="556"/>
      <c r="BL90" s="186"/>
      <c r="BM90" s="186"/>
      <c r="BN90" s="186"/>
      <c r="BO90" s="186"/>
      <c r="BP90" s="186"/>
      <c r="BQ90" s="186"/>
      <c r="BR90" s="186"/>
      <c r="BS90" s="186"/>
      <c r="BT90" s="186"/>
      <c r="BU90" s="186"/>
      <c r="BV90" s="186"/>
      <c r="BW90" s="186"/>
      <c r="BX90" s="186"/>
    </row>
    <row r="91" ht="15.75" customHeight="1">
      <c r="A91" s="696" t="s">
        <v>3235</v>
      </c>
      <c r="B91" s="580" t="s">
        <v>187</v>
      </c>
      <c r="C91" s="591" t="s">
        <v>3236</v>
      </c>
      <c r="D91" s="124" t="s">
        <v>3236</v>
      </c>
      <c r="E91" s="129" t="s">
        <v>3241</v>
      </c>
      <c r="F91" s="434"/>
      <c r="G91" s="129" t="s">
        <v>3236</v>
      </c>
      <c r="H91" s="222"/>
      <c r="I91" s="562" t="s">
        <v>3244</v>
      </c>
      <c r="J91" s="434"/>
      <c r="K91" s="434"/>
      <c r="L91" s="434"/>
      <c r="M91" s="552"/>
      <c r="N91" s="434"/>
      <c r="O91" s="434"/>
      <c r="P91" s="434"/>
      <c r="Q91" s="434"/>
      <c r="R91" s="133"/>
      <c r="S91" s="434"/>
      <c r="T91" s="434"/>
      <c r="U91" s="434"/>
      <c r="V91" s="434"/>
      <c r="W91" s="434"/>
      <c r="X91" s="434"/>
      <c r="Y91" s="610" t="s">
        <v>2790</v>
      </c>
      <c r="Z91" s="434"/>
      <c r="AA91" s="434"/>
      <c r="AB91" s="434"/>
      <c r="AC91" s="434"/>
      <c r="AD91" s="434"/>
      <c r="AE91" s="549"/>
      <c r="AF91" s="434"/>
      <c r="AG91" s="434"/>
      <c r="AH91" s="434"/>
      <c r="AI91" s="434"/>
      <c r="AJ91" s="434"/>
      <c r="AK91" s="434"/>
      <c r="AL91" s="434"/>
      <c r="AM91" s="434"/>
      <c r="AN91" s="434"/>
      <c r="AO91" s="546"/>
      <c r="AP91" s="434"/>
      <c r="AQ91" s="434"/>
      <c r="AR91" s="549"/>
      <c r="AS91" s="434"/>
      <c r="AT91" s="434"/>
      <c r="AU91" s="434"/>
      <c r="AV91" s="546"/>
      <c r="AW91" s="434"/>
      <c r="AX91" s="549"/>
      <c r="AY91" s="434"/>
      <c r="AZ91" s="434"/>
      <c r="BA91" s="434"/>
      <c r="BB91" s="434"/>
      <c r="BC91" s="434"/>
      <c r="BD91" s="434"/>
      <c r="BE91" s="549"/>
      <c r="BF91" s="434"/>
      <c r="BG91" s="434"/>
      <c r="BH91" s="434"/>
      <c r="BI91" s="434"/>
      <c r="BJ91" s="434"/>
      <c r="BK91" s="434"/>
      <c r="BL91" s="549"/>
      <c r="BM91" s="549"/>
      <c r="BN91" s="549"/>
      <c r="BO91" s="549"/>
      <c r="BP91" s="549"/>
      <c r="BQ91" s="549"/>
      <c r="BR91" s="549"/>
      <c r="BS91" s="549"/>
      <c r="BT91" s="549"/>
      <c r="BU91" s="549"/>
      <c r="BV91" s="549"/>
      <c r="BW91" s="549"/>
      <c r="BX91" s="549"/>
    </row>
    <row r="92" ht="15.75" customHeight="1">
      <c r="A92" s="696" t="s">
        <v>3254</v>
      </c>
      <c r="B92" s="580" t="s">
        <v>187</v>
      </c>
      <c r="C92" s="279" t="s">
        <v>3255</v>
      </c>
      <c r="D92" s="182" t="s">
        <v>3259</v>
      </c>
      <c r="E92" s="129" t="s">
        <v>3261</v>
      </c>
      <c r="F92" s="434"/>
      <c r="G92" s="129" t="s">
        <v>3255</v>
      </c>
      <c r="H92" s="222"/>
      <c r="I92" s="562" t="s">
        <v>3266</v>
      </c>
      <c r="J92" s="434"/>
      <c r="K92" s="434"/>
      <c r="L92" s="434"/>
      <c r="M92" s="552"/>
      <c r="N92" s="434"/>
      <c r="O92" s="434"/>
      <c r="P92" s="434"/>
      <c r="Q92" s="434"/>
      <c r="R92" s="133"/>
      <c r="S92" s="434"/>
      <c r="T92" s="129" t="s">
        <v>3269</v>
      </c>
      <c r="U92" s="434"/>
      <c r="V92" s="434"/>
      <c r="W92" s="434"/>
      <c r="X92" s="434"/>
      <c r="Y92" s="610" t="s">
        <v>3275</v>
      </c>
      <c r="Z92" s="434"/>
      <c r="AA92" s="434"/>
      <c r="AB92" s="434"/>
      <c r="AC92" s="434"/>
      <c r="AD92" s="434"/>
      <c r="AE92" s="549"/>
      <c r="AF92" s="434"/>
      <c r="AG92" s="434"/>
      <c r="AH92" s="434"/>
      <c r="AI92" s="434"/>
      <c r="AJ92" s="434"/>
      <c r="AK92" s="434"/>
      <c r="AL92" s="434"/>
      <c r="AM92" s="434"/>
      <c r="AN92" s="434"/>
      <c r="AO92" s="546"/>
      <c r="AP92" s="434"/>
      <c r="AQ92" s="434"/>
      <c r="AR92" s="549"/>
      <c r="AS92" s="434"/>
      <c r="AT92" s="434"/>
      <c r="AU92" s="434"/>
      <c r="AV92" s="546"/>
      <c r="AW92" s="434"/>
      <c r="AX92" s="549"/>
      <c r="AY92" s="434"/>
      <c r="AZ92" s="434"/>
      <c r="BA92" s="434"/>
      <c r="BB92" s="434"/>
      <c r="BC92" s="434"/>
      <c r="BD92" s="434"/>
      <c r="BE92" s="549"/>
      <c r="BF92" s="434"/>
      <c r="BG92" s="434"/>
      <c r="BH92" s="434"/>
      <c r="BI92" s="434"/>
      <c r="BJ92" s="434"/>
      <c r="BK92" s="434"/>
      <c r="BL92" s="549"/>
      <c r="BM92" s="549"/>
      <c r="BN92" s="549"/>
      <c r="BO92" s="549"/>
      <c r="BP92" s="549"/>
      <c r="BQ92" s="549"/>
      <c r="BR92" s="549"/>
      <c r="BS92" s="549"/>
      <c r="BT92" s="549"/>
      <c r="BU92" s="549"/>
      <c r="BV92" s="549"/>
      <c r="BW92" s="549"/>
      <c r="BX92" s="549"/>
    </row>
    <row r="93" ht="15.75" customHeight="1">
      <c r="A93" s="542" t="s">
        <v>1598</v>
      </c>
      <c r="B93" s="543" t="s">
        <v>1599</v>
      </c>
      <c r="C93" s="544" t="s">
        <v>1998</v>
      </c>
      <c r="D93" s="552"/>
      <c r="E93" s="174" t="s">
        <v>2405</v>
      </c>
      <c r="F93" s="174" t="s">
        <v>1998</v>
      </c>
      <c r="G93" s="174" t="s">
        <v>1998</v>
      </c>
      <c r="H93" s="222"/>
      <c r="I93" s="562" t="s">
        <v>3315</v>
      </c>
      <c r="J93" s="174" t="s">
        <v>3316</v>
      </c>
      <c r="K93" s="174"/>
      <c r="L93" s="174" t="s">
        <v>624</v>
      </c>
      <c r="M93" s="355" t="s">
        <v>3319</v>
      </c>
      <c r="N93" s="174"/>
      <c r="O93" s="174" t="s">
        <v>2223</v>
      </c>
      <c r="P93" s="174" t="str">
        <f>HYPERLINK("https://youtu.be/HjDDp_Mj_yI","16.74")</f>
        <v>16.74</v>
      </c>
      <c r="Q93" s="174"/>
      <c r="R93" s="133" t="s">
        <v>3328</v>
      </c>
      <c r="S93" s="174"/>
      <c r="T93" s="174"/>
      <c r="U93" s="174" t="s">
        <v>1998</v>
      </c>
      <c r="V93" s="174"/>
      <c r="W93" s="174"/>
      <c r="X93" s="174" t="s">
        <v>3316</v>
      </c>
      <c r="Y93" s="186"/>
      <c r="Z93" s="174"/>
      <c r="AA93" s="174"/>
      <c r="AB93" s="174"/>
      <c r="AC93" s="174"/>
      <c r="AD93" s="174"/>
      <c r="AE93" s="186"/>
      <c r="AF93" s="174"/>
      <c r="AG93" s="174"/>
      <c r="AH93" s="174" t="s">
        <v>1998</v>
      </c>
      <c r="AI93" s="174"/>
      <c r="AJ93" s="174"/>
      <c r="AK93" s="174"/>
      <c r="AL93" s="174"/>
      <c r="AM93" s="174"/>
      <c r="AN93" s="174"/>
      <c r="AO93" s="546"/>
      <c r="AP93" s="174"/>
      <c r="AQ93" s="174"/>
      <c r="AR93" s="186"/>
      <c r="AS93" s="174" t="s">
        <v>3345</v>
      </c>
      <c r="AT93" s="174"/>
      <c r="AU93" s="174"/>
      <c r="AV93" s="546"/>
      <c r="AW93" s="174"/>
      <c r="AX93" s="186"/>
      <c r="AY93" s="174"/>
      <c r="AZ93" s="174"/>
      <c r="BA93" s="174"/>
      <c r="BB93" s="174"/>
      <c r="BC93" s="174"/>
      <c r="BD93" s="174"/>
      <c r="BE93" s="186"/>
      <c r="BF93" s="174"/>
      <c r="BG93" s="174"/>
      <c r="BH93" s="174"/>
      <c r="BI93" s="174"/>
      <c r="BJ93" s="174"/>
      <c r="BK93" s="174"/>
      <c r="BL93" s="186"/>
      <c r="BM93" s="186"/>
      <c r="BN93" s="186"/>
      <c r="BO93" s="186"/>
      <c r="BP93" s="186"/>
      <c r="BQ93" s="186"/>
      <c r="BR93" s="186"/>
      <c r="BS93" s="186"/>
      <c r="BT93" s="186"/>
      <c r="BU93" s="186"/>
      <c r="BV93" s="186"/>
      <c r="BW93" s="186"/>
      <c r="BX93" s="186"/>
    </row>
    <row r="94" ht="15.75" customHeight="1">
      <c r="A94" s="550"/>
      <c r="B94" s="551" t="s">
        <v>3355</v>
      </c>
      <c r="C94" s="544" t="s">
        <v>222</v>
      </c>
      <c r="D94" s="219"/>
      <c r="E94" s="174"/>
      <c r="F94" s="174" t="s">
        <v>222</v>
      </c>
      <c r="G94" s="174" t="s">
        <v>222</v>
      </c>
      <c r="H94" s="222"/>
      <c r="I94" s="546"/>
      <c r="J94" s="174"/>
      <c r="K94" s="174"/>
      <c r="L94" s="174"/>
      <c r="M94" s="552"/>
      <c r="N94" s="174"/>
      <c r="O94" s="174" t="s">
        <v>222</v>
      </c>
      <c r="P94" s="174"/>
      <c r="Q94" s="174"/>
      <c r="R94" s="133"/>
      <c r="S94" s="174" t="s">
        <v>1679</v>
      </c>
      <c r="T94" s="174"/>
      <c r="U94" s="174" t="s">
        <v>222</v>
      </c>
      <c r="V94" s="174"/>
      <c r="W94" s="174"/>
      <c r="X94" s="174"/>
      <c r="Y94" s="549"/>
      <c r="Z94" s="174"/>
      <c r="AA94" s="174"/>
      <c r="AB94" s="174"/>
      <c r="AC94" s="174"/>
      <c r="AD94" s="174"/>
      <c r="AE94" s="549"/>
      <c r="AF94" s="174"/>
      <c r="AG94" s="174"/>
      <c r="AH94" s="174" t="s">
        <v>886</v>
      </c>
      <c r="AI94" s="174"/>
      <c r="AJ94" s="174"/>
      <c r="AK94" s="174"/>
      <c r="AL94" s="174"/>
      <c r="AM94" s="174"/>
      <c r="AN94" s="174"/>
      <c r="AO94" s="546"/>
      <c r="AP94" s="174"/>
      <c r="AQ94" s="174"/>
      <c r="AR94" s="549"/>
      <c r="AS94" s="174"/>
      <c r="AT94" s="174"/>
      <c r="AU94" s="174"/>
      <c r="AV94" s="546"/>
      <c r="AW94" s="174"/>
      <c r="AX94" s="549"/>
      <c r="AY94" s="174"/>
      <c r="AZ94" s="174"/>
      <c r="BA94" s="174"/>
      <c r="BB94" s="174"/>
      <c r="BC94" s="174"/>
      <c r="BD94" s="174"/>
      <c r="BE94" s="549"/>
      <c r="BF94" s="174"/>
      <c r="BG94" s="174"/>
      <c r="BH94" s="174"/>
      <c r="BI94" s="174"/>
      <c r="BJ94" s="174"/>
      <c r="BK94" s="174"/>
      <c r="BL94" s="549"/>
      <c r="BM94" s="549"/>
      <c r="BN94" s="549"/>
      <c r="BO94" s="549"/>
      <c r="BP94" s="549"/>
      <c r="BQ94" s="549"/>
      <c r="BR94" s="549"/>
      <c r="BS94" s="549"/>
      <c r="BT94" s="549"/>
      <c r="BU94" s="549"/>
      <c r="BV94" s="549"/>
      <c r="BW94" s="549"/>
      <c r="BX94" s="549"/>
    </row>
    <row r="95" ht="15.75" customHeight="1">
      <c r="A95" s="554"/>
      <c r="B95" s="555" t="s">
        <v>3410</v>
      </c>
      <c r="C95" s="544" t="s">
        <v>640</v>
      </c>
      <c r="D95" s="552"/>
      <c r="E95" s="174"/>
      <c r="F95" s="174" t="s">
        <v>3416</v>
      </c>
      <c r="G95" s="174" t="s">
        <v>640</v>
      </c>
      <c r="H95" s="222"/>
      <c r="I95" s="546"/>
      <c r="J95" s="174"/>
      <c r="K95" s="174"/>
      <c r="L95" s="174"/>
      <c r="M95" s="219"/>
      <c r="N95" s="174"/>
      <c r="O95" s="174"/>
      <c r="P95" s="174"/>
      <c r="Q95" s="174"/>
      <c r="R95" s="133"/>
      <c r="S95" s="174"/>
      <c r="T95" s="174"/>
      <c r="U95" s="174"/>
      <c r="V95" s="174"/>
      <c r="W95" s="174"/>
      <c r="X95" s="174"/>
      <c r="Y95" s="186"/>
      <c r="Z95" s="174"/>
      <c r="AA95" s="174"/>
      <c r="AB95" s="174"/>
      <c r="AC95" s="174"/>
      <c r="AD95" s="174"/>
      <c r="AE95" s="186"/>
      <c r="AF95" s="174"/>
      <c r="AG95" s="174"/>
      <c r="AH95" s="174" t="s">
        <v>1883</v>
      </c>
      <c r="AI95" s="174"/>
      <c r="AJ95" s="174"/>
      <c r="AK95" s="174"/>
      <c r="AL95" s="174"/>
      <c r="AM95" s="174" t="s">
        <v>3434</v>
      </c>
      <c r="AN95" s="174"/>
      <c r="AO95" s="546"/>
      <c r="AP95" s="174"/>
      <c r="AQ95" s="174"/>
      <c r="AR95" s="186"/>
      <c r="AS95" s="174"/>
      <c r="AT95" s="174"/>
      <c r="AU95" s="174"/>
      <c r="AV95" s="546"/>
      <c r="AW95" s="174"/>
      <c r="AX95" s="186"/>
      <c r="AY95" s="174"/>
      <c r="AZ95" s="174"/>
      <c r="BA95" s="174"/>
      <c r="BB95" s="174"/>
      <c r="BC95" s="174"/>
      <c r="BD95" s="174"/>
      <c r="BE95" s="186"/>
      <c r="BF95" s="174"/>
      <c r="BG95" s="174"/>
      <c r="BH95" s="174"/>
      <c r="BI95" s="174"/>
      <c r="BJ95" s="174"/>
      <c r="BK95" s="174"/>
      <c r="BL95" s="186"/>
      <c r="BM95" s="186"/>
      <c r="BN95" s="186"/>
      <c r="BO95" s="186"/>
      <c r="BP95" s="186"/>
      <c r="BQ95" s="186"/>
      <c r="BR95" s="186"/>
      <c r="BS95" s="186"/>
      <c r="BT95" s="186"/>
      <c r="BU95" s="186"/>
      <c r="BV95" s="186"/>
      <c r="BW95" s="186"/>
      <c r="BX95" s="186"/>
    </row>
    <row r="96" ht="15.75" customHeight="1">
      <c r="A96" s="550"/>
      <c r="B96" s="551" t="s">
        <v>3441</v>
      </c>
      <c r="C96" s="544" t="s">
        <v>3443</v>
      </c>
      <c r="D96" s="219"/>
      <c r="E96" s="174" t="s">
        <v>3448</v>
      </c>
      <c r="F96" s="129" t="s">
        <v>217</v>
      </c>
      <c r="G96" s="129" t="s">
        <v>3443</v>
      </c>
      <c r="H96" s="132" t="s">
        <v>401</v>
      </c>
      <c r="I96" s="546"/>
      <c r="J96" s="139"/>
      <c r="K96" s="129" t="s">
        <v>3462</v>
      </c>
      <c r="L96" s="139"/>
      <c r="M96" s="552"/>
      <c r="N96" s="139" t="s">
        <v>3467</v>
      </c>
      <c r="O96" s="129" t="s">
        <v>3469</v>
      </c>
      <c r="P96" s="139"/>
      <c r="Q96" s="129" t="s">
        <v>3467</v>
      </c>
      <c r="R96" s="133" t="s">
        <v>3467</v>
      </c>
      <c r="S96" s="139"/>
      <c r="T96" s="139"/>
      <c r="U96" s="139"/>
      <c r="V96" s="139"/>
      <c r="W96" s="139"/>
      <c r="X96" s="139"/>
      <c r="Y96" s="549"/>
      <c r="Z96" s="139"/>
      <c r="AA96" s="139"/>
      <c r="AB96" s="139"/>
      <c r="AC96" s="139"/>
      <c r="AD96" s="139"/>
      <c r="AE96" s="549"/>
      <c r="AF96" s="139"/>
      <c r="AG96" s="139"/>
      <c r="AH96" s="129" t="s">
        <v>401</v>
      </c>
      <c r="AI96" s="139"/>
      <c r="AJ96" s="139"/>
      <c r="AK96" s="139"/>
      <c r="AL96" s="129" t="str">
        <f>HYPERLINK("https://clips.twitch.tv/TameArbitraryBurritoYouDontSay","15.00")</f>
        <v>15.00</v>
      </c>
      <c r="AM96" s="139"/>
      <c r="AN96" s="139"/>
      <c r="AO96" s="546"/>
      <c r="AP96" s="139"/>
      <c r="AQ96" s="139"/>
      <c r="AR96" s="549"/>
      <c r="AS96" s="139"/>
      <c r="AT96" s="139"/>
      <c r="AU96" s="139"/>
      <c r="AV96" s="546"/>
      <c r="AW96" s="139"/>
      <c r="AX96" s="549"/>
      <c r="AY96" s="139"/>
      <c r="AZ96" s="139"/>
      <c r="BA96" s="139"/>
      <c r="BB96" s="139"/>
      <c r="BC96" s="139"/>
      <c r="BD96" s="139"/>
      <c r="BE96" s="549"/>
      <c r="BF96" s="139"/>
      <c r="BG96" s="139"/>
      <c r="BH96" s="139"/>
      <c r="BI96" s="139"/>
      <c r="BJ96" s="139"/>
      <c r="BK96" s="139"/>
      <c r="BL96" s="549"/>
      <c r="BM96" s="549"/>
      <c r="BN96" s="549"/>
      <c r="BO96" s="549"/>
      <c r="BP96" s="549"/>
      <c r="BQ96" s="549"/>
      <c r="BR96" s="549"/>
      <c r="BS96" s="549"/>
      <c r="BT96" s="549"/>
      <c r="BU96" s="549"/>
      <c r="BV96" s="549"/>
      <c r="BW96" s="549"/>
      <c r="BX96" s="549"/>
    </row>
    <row r="97" ht="15.75" customHeight="1">
      <c r="A97" s="554"/>
      <c r="B97" s="555" t="s">
        <v>3487</v>
      </c>
      <c r="C97" s="544" t="s">
        <v>2904</v>
      </c>
      <c r="D97" s="598" t="s">
        <v>2904</v>
      </c>
      <c r="E97" s="174" t="s">
        <v>2904</v>
      </c>
      <c r="F97" s="174"/>
      <c r="G97" s="139" t="s">
        <v>2904</v>
      </c>
      <c r="H97" s="222"/>
      <c r="I97" s="546"/>
      <c r="J97" s="174"/>
      <c r="K97" s="174"/>
      <c r="L97" s="174"/>
      <c r="M97" s="219"/>
      <c r="N97" s="174"/>
      <c r="O97" s="174"/>
      <c r="P97" s="174"/>
      <c r="Q97" s="174"/>
      <c r="R97" s="133"/>
      <c r="S97" s="174"/>
      <c r="T97" s="174"/>
      <c r="U97" s="174"/>
      <c r="V97" s="174"/>
      <c r="W97" s="174"/>
      <c r="X97" s="174"/>
      <c r="Y97" s="186"/>
      <c r="Z97" s="174"/>
      <c r="AA97" s="174"/>
      <c r="AB97" s="174"/>
      <c r="AC97" s="174"/>
      <c r="AD97" s="174"/>
      <c r="AE97" s="186"/>
      <c r="AF97" s="174"/>
      <c r="AG97" s="174"/>
      <c r="AH97" s="174"/>
      <c r="AI97" s="174"/>
      <c r="AJ97" s="174"/>
      <c r="AK97" s="174"/>
      <c r="AL97" s="174"/>
      <c r="AM97" s="174"/>
      <c r="AN97" s="174"/>
      <c r="AO97" s="546"/>
      <c r="AP97" s="174"/>
      <c r="AQ97" s="174"/>
      <c r="AR97" s="186"/>
      <c r="AS97" s="174"/>
      <c r="AT97" s="174"/>
      <c r="AU97" s="174"/>
      <c r="AV97" s="546"/>
      <c r="AW97" s="174"/>
      <c r="AX97" s="186"/>
      <c r="AY97" s="174"/>
      <c r="AZ97" s="174"/>
      <c r="BA97" s="174"/>
      <c r="BB97" s="174"/>
      <c r="BC97" s="174"/>
      <c r="BD97" s="174"/>
      <c r="BE97" s="186"/>
      <c r="BF97" s="174"/>
      <c r="BG97" s="174"/>
      <c r="BH97" s="174"/>
      <c r="BI97" s="174"/>
      <c r="BJ97" s="174"/>
      <c r="BK97" s="174"/>
      <c r="BL97" s="186"/>
      <c r="BM97" s="186"/>
      <c r="BN97" s="186"/>
      <c r="BO97" s="186"/>
      <c r="BP97" s="186"/>
      <c r="BQ97" s="186"/>
      <c r="BR97" s="186"/>
      <c r="BS97" s="186"/>
      <c r="BT97" s="186"/>
      <c r="BU97" s="186"/>
      <c r="BV97" s="186"/>
      <c r="BW97" s="186"/>
      <c r="BX97" s="186"/>
    </row>
    <row r="98" ht="15.75" customHeight="1">
      <c r="A98" s="542" t="s">
        <v>1681</v>
      </c>
      <c r="B98" s="543" t="s">
        <v>3506</v>
      </c>
      <c r="C98" s="544" t="s">
        <v>1172</v>
      </c>
      <c r="D98" s="124" t="s">
        <v>3512</v>
      </c>
      <c r="E98" s="70" t="s">
        <v>3522</v>
      </c>
      <c r="F98" s="174" t="s">
        <v>3528</v>
      </c>
      <c r="G98" s="174"/>
      <c r="H98" s="132" t="s">
        <v>3531</v>
      </c>
      <c r="I98" s="126" t="s">
        <v>3536</v>
      </c>
      <c r="J98" s="174" t="str">
        <f>HYPERLINK("https://youtu.be/VjOXmvP4h2s","46.37")</f>
        <v>46.37</v>
      </c>
      <c r="K98" s="174" t="s">
        <v>1172</v>
      </c>
      <c r="L98" s="174"/>
      <c r="M98" s="219"/>
      <c r="N98" s="174"/>
      <c r="O98" s="174"/>
      <c r="P98" s="174" t="s">
        <v>1952</v>
      </c>
      <c r="Q98" s="174"/>
      <c r="R98" s="133"/>
      <c r="S98" s="174"/>
      <c r="T98" s="174"/>
      <c r="U98" s="174"/>
      <c r="V98" s="174"/>
      <c r="W98" s="174"/>
      <c r="X98" s="174"/>
      <c r="Y98" s="186"/>
      <c r="Z98" s="174"/>
      <c r="AA98" s="174"/>
      <c r="AB98" s="174"/>
      <c r="AC98" s="174"/>
      <c r="AD98" s="174"/>
      <c r="AE98" s="186"/>
      <c r="AF98" s="174"/>
      <c r="AG98" s="174"/>
      <c r="AH98" s="174"/>
      <c r="AI98" s="174"/>
      <c r="AJ98" s="174"/>
      <c r="AK98" s="174"/>
      <c r="AL98" s="174"/>
      <c r="AM98" s="174"/>
      <c r="AN98" s="174"/>
      <c r="AO98" s="546"/>
      <c r="AP98" s="174"/>
      <c r="AQ98" s="174"/>
      <c r="AR98" s="186"/>
      <c r="AS98" s="174"/>
      <c r="AT98" s="174"/>
      <c r="AU98" s="174"/>
      <c r="AV98" s="546"/>
      <c r="AW98" s="174"/>
      <c r="AX98" s="186"/>
      <c r="AY98" s="174"/>
      <c r="AZ98" s="174"/>
      <c r="BA98" s="174"/>
      <c r="BB98" s="174"/>
      <c r="BC98" s="174"/>
      <c r="BD98" s="174"/>
      <c r="BE98" s="186"/>
      <c r="BF98" s="174"/>
      <c r="BG98" s="174"/>
      <c r="BH98" s="174"/>
      <c r="BI98" s="174"/>
      <c r="BJ98" s="174"/>
      <c r="BK98" s="174"/>
      <c r="BL98" s="186"/>
      <c r="BM98" s="186"/>
      <c r="BN98" s="188" t="s">
        <v>3556</v>
      </c>
      <c r="BO98" s="186"/>
      <c r="BP98" s="186"/>
      <c r="BQ98" s="186"/>
      <c r="BR98" s="186"/>
      <c r="BS98" s="186"/>
      <c r="BT98" s="186"/>
      <c r="BU98" s="186"/>
      <c r="BV98" s="186"/>
      <c r="BW98" s="186"/>
      <c r="BX98" s="186"/>
    </row>
    <row r="99" ht="15.75" customHeight="1">
      <c r="A99" s="542" t="s">
        <v>3558</v>
      </c>
      <c r="B99" s="543" t="s">
        <v>1704</v>
      </c>
      <c r="C99" s="544" t="s">
        <v>3560</v>
      </c>
      <c r="D99" s="124" t="s">
        <v>3567</v>
      </c>
      <c r="E99" s="524" t="s">
        <v>3570</v>
      </c>
      <c r="F99" s="174" t="s">
        <v>404</v>
      </c>
      <c r="G99" s="174" t="s">
        <v>2032</v>
      </c>
      <c r="H99" s="222"/>
      <c r="I99" s="562" t="s">
        <v>3575</v>
      </c>
      <c r="J99" s="174"/>
      <c r="K99" s="174"/>
      <c r="L99" s="174"/>
      <c r="M99" s="552"/>
      <c r="N99" s="174" t="s">
        <v>3577</v>
      </c>
      <c r="O99" s="174" t="str">
        <f>HYPERLINK("https://www.youtube.com/watch?v=8BrDAvD-IV4","1:01.54")</f>
        <v>1:01.54</v>
      </c>
      <c r="P99" s="174" t="s">
        <v>3583</v>
      </c>
      <c r="Q99" s="174"/>
      <c r="R99" s="133"/>
      <c r="S99" s="174"/>
      <c r="T99" s="129" t="s">
        <v>3589</v>
      </c>
      <c r="U99" s="174"/>
      <c r="V99" s="174"/>
      <c r="W99" s="174"/>
      <c r="X99" s="174"/>
      <c r="Y99" s="549"/>
      <c r="Z99" s="174"/>
      <c r="AA99" s="174"/>
      <c r="AB99" s="174"/>
      <c r="AC99" s="174"/>
      <c r="AD99" s="174"/>
      <c r="AE99" s="549"/>
      <c r="AF99" s="174"/>
      <c r="AG99" s="174"/>
      <c r="AH99" s="174"/>
      <c r="AI99" s="174"/>
      <c r="AJ99" s="174"/>
      <c r="AK99" s="174"/>
      <c r="AL99" s="174"/>
      <c r="AM99" s="174"/>
      <c r="AN99" s="174"/>
      <c r="AO99" s="546"/>
      <c r="AP99" s="174"/>
      <c r="AQ99" s="174"/>
      <c r="AR99" s="549"/>
      <c r="AS99" s="174"/>
      <c r="AT99" s="174"/>
      <c r="AU99" s="174"/>
      <c r="AV99" s="546"/>
      <c r="AW99" s="174"/>
      <c r="AX99" s="549"/>
      <c r="AY99" s="174"/>
      <c r="AZ99" s="174"/>
      <c r="BA99" s="174"/>
      <c r="BB99" s="174"/>
      <c r="BC99" s="174"/>
      <c r="BD99" s="174"/>
      <c r="BE99" s="549"/>
      <c r="BF99" s="174"/>
      <c r="BG99" s="174"/>
      <c r="BH99" s="174"/>
      <c r="BI99" s="174"/>
      <c r="BJ99" s="174"/>
      <c r="BK99" s="174"/>
      <c r="BL99" s="549"/>
      <c r="BM99" s="549"/>
      <c r="BN99" s="549"/>
      <c r="BO99" s="549"/>
      <c r="BP99" s="549"/>
      <c r="BQ99" s="549"/>
      <c r="BR99" s="549"/>
      <c r="BS99" s="549"/>
      <c r="BT99" s="549"/>
      <c r="BU99" s="549"/>
      <c r="BV99" s="549"/>
      <c r="BW99" s="549"/>
      <c r="BX99" s="549"/>
    </row>
    <row r="100" ht="15.75" customHeight="1">
      <c r="A100" s="696" t="s">
        <v>3602</v>
      </c>
      <c r="B100" s="580" t="s">
        <v>1704</v>
      </c>
      <c r="C100" s="730" t="s">
        <v>3603</v>
      </c>
      <c r="D100" s="124" t="s">
        <v>3604</v>
      </c>
      <c r="E100" s="521" t="s">
        <v>3606</v>
      </c>
      <c r="F100" s="174"/>
      <c r="G100" s="174" t="s">
        <v>3603</v>
      </c>
      <c r="H100" s="222"/>
      <c r="I100" s="562" t="s">
        <v>3607</v>
      </c>
      <c r="J100" s="174"/>
      <c r="K100" s="174"/>
      <c r="L100" s="174"/>
      <c r="M100" s="552"/>
      <c r="N100" s="174"/>
      <c r="O100" s="174"/>
      <c r="P100" s="174"/>
      <c r="Q100" s="174"/>
      <c r="R100" s="133"/>
      <c r="S100" s="174"/>
      <c r="T100" s="129" t="s">
        <v>3609</v>
      </c>
      <c r="U100" s="174"/>
      <c r="V100" s="174"/>
      <c r="W100" s="174"/>
      <c r="X100" s="174"/>
      <c r="Y100" s="549"/>
      <c r="Z100" s="174"/>
      <c r="AA100" s="174"/>
      <c r="AB100" s="174"/>
      <c r="AC100" s="174"/>
      <c r="AD100" s="174"/>
      <c r="AE100" s="549"/>
      <c r="AF100" s="174"/>
      <c r="AG100" s="174"/>
      <c r="AH100" s="174"/>
      <c r="AI100" s="174"/>
      <c r="AJ100" s="174"/>
      <c r="AK100" s="174"/>
      <c r="AL100" s="174"/>
      <c r="AM100" s="174"/>
      <c r="AN100" s="174"/>
      <c r="AO100" s="546"/>
      <c r="AP100" s="174"/>
      <c r="AQ100" s="174"/>
      <c r="AR100" s="549"/>
      <c r="AS100" s="174"/>
      <c r="AT100" s="174"/>
      <c r="AU100" s="174"/>
      <c r="AV100" s="546"/>
      <c r="AW100" s="174"/>
      <c r="AX100" s="549"/>
      <c r="AY100" s="174"/>
      <c r="AZ100" s="174"/>
      <c r="BA100" s="174"/>
      <c r="BB100" s="174"/>
      <c r="BC100" s="174"/>
      <c r="BD100" s="174"/>
      <c r="BE100" s="549"/>
      <c r="BF100" s="174"/>
      <c r="BG100" s="174"/>
      <c r="BH100" s="174"/>
      <c r="BI100" s="174"/>
      <c r="BJ100" s="174"/>
      <c r="BK100" s="174"/>
      <c r="BL100" s="549"/>
      <c r="BM100" s="549"/>
      <c r="BN100" s="549"/>
      <c r="BO100" s="549"/>
      <c r="BP100" s="549"/>
      <c r="BQ100" s="549"/>
      <c r="BR100" s="549"/>
      <c r="BS100" s="549"/>
      <c r="BT100" s="549"/>
      <c r="BU100" s="549"/>
      <c r="BV100" s="549"/>
      <c r="BW100" s="549"/>
      <c r="BX100" s="549"/>
    </row>
    <row r="101" ht="15.75" customHeight="1">
      <c r="A101" s="542" t="s">
        <v>171</v>
      </c>
      <c r="B101" s="543" t="s">
        <v>187</v>
      </c>
      <c r="C101" s="544" t="s">
        <v>1183</v>
      </c>
      <c r="D101" s="124" t="s">
        <v>3624</v>
      </c>
      <c r="E101" s="70" t="s">
        <v>2457</v>
      </c>
      <c r="F101" s="129" t="s">
        <v>1183</v>
      </c>
      <c r="G101" s="139"/>
      <c r="H101" s="132" t="s">
        <v>3629</v>
      </c>
      <c r="I101" s="562" t="s">
        <v>3633</v>
      </c>
      <c r="J101" s="139"/>
      <c r="K101" s="139"/>
      <c r="L101" s="139"/>
      <c r="M101" s="552"/>
      <c r="N101" s="129" t="s">
        <v>3634</v>
      </c>
      <c r="O101" s="139"/>
      <c r="P101" s="139"/>
      <c r="Q101" s="139"/>
      <c r="R101" s="133"/>
      <c r="S101" s="139"/>
      <c r="T101" s="139"/>
      <c r="U101" s="139"/>
      <c r="V101" s="139"/>
      <c r="W101" s="139"/>
      <c r="X101" s="139"/>
      <c r="Y101" s="549"/>
      <c r="Z101" s="139"/>
      <c r="AA101" s="139"/>
      <c r="AB101" s="139"/>
      <c r="AC101" s="139"/>
      <c r="AD101" s="139"/>
      <c r="AE101" s="549"/>
      <c r="AF101" s="139"/>
      <c r="AG101" s="139"/>
      <c r="AH101" s="139"/>
      <c r="AI101" s="139"/>
      <c r="AJ101" s="139"/>
      <c r="AK101" s="139"/>
      <c r="AL101" s="139"/>
      <c r="AM101" s="139"/>
      <c r="AN101" s="139"/>
      <c r="AO101" s="546"/>
      <c r="AP101" s="139"/>
      <c r="AQ101" s="139"/>
      <c r="AR101" s="549"/>
      <c r="AS101" s="139"/>
      <c r="AT101" s="139"/>
      <c r="AU101" s="139"/>
      <c r="AV101" s="546"/>
      <c r="AW101" s="139"/>
      <c r="AX101" s="549"/>
      <c r="AY101" s="139"/>
      <c r="AZ101" s="139"/>
      <c r="BA101" s="139"/>
      <c r="BB101" s="139"/>
      <c r="BC101" s="139"/>
      <c r="BD101" s="139"/>
      <c r="BE101" s="549"/>
      <c r="BF101" s="139"/>
      <c r="BG101" s="139"/>
      <c r="BH101" s="139"/>
      <c r="BI101" s="139"/>
      <c r="BJ101" s="139"/>
      <c r="BK101" s="139"/>
      <c r="BL101" s="549"/>
      <c r="BM101" s="549"/>
      <c r="BN101" s="549"/>
      <c r="BO101" s="549"/>
      <c r="BP101" s="549"/>
      <c r="BQ101" s="549"/>
      <c r="BR101" s="549"/>
      <c r="BS101" s="549"/>
      <c r="BT101" s="549"/>
      <c r="BU101" s="549"/>
      <c r="BV101" s="549"/>
      <c r="BW101" s="549"/>
      <c r="BX101" s="549"/>
    </row>
    <row r="102">
      <c r="A102" s="732" t="s">
        <v>37</v>
      </c>
      <c r="D102" s="733"/>
      <c r="E102" s="734"/>
      <c r="F102" s="734"/>
      <c r="G102" s="734"/>
      <c r="H102" s="735"/>
      <c r="I102" s="734"/>
      <c r="J102" s="734"/>
      <c r="K102" s="734"/>
      <c r="L102" s="734"/>
      <c r="M102" s="733"/>
      <c r="N102" s="734"/>
      <c r="O102" s="734"/>
      <c r="P102" s="734"/>
      <c r="Q102" s="734"/>
      <c r="R102" s="736"/>
      <c r="S102" s="734"/>
      <c r="T102" s="734"/>
      <c r="U102" s="734"/>
      <c r="V102" s="734"/>
      <c r="W102" s="734"/>
      <c r="X102" s="734"/>
      <c r="Y102" s="737"/>
      <c r="Z102" s="734"/>
      <c r="AA102" s="734"/>
      <c r="AB102" s="734"/>
      <c r="AC102" s="734"/>
      <c r="AD102" s="734"/>
      <c r="AE102" s="737"/>
      <c r="AF102" s="734"/>
      <c r="AG102" s="734"/>
      <c r="AH102" s="734"/>
      <c r="AI102" s="734"/>
      <c r="AJ102" s="734"/>
      <c r="AK102" s="734"/>
      <c r="AL102" s="734"/>
      <c r="AM102" s="734"/>
      <c r="AN102" s="734"/>
      <c r="AO102" s="734"/>
      <c r="AP102" s="734"/>
      <c r="AQ102" s="734"/>
      <c r="AR102" s="737"/>
      <c r="AS102" s="734"/>
      <c r="AT102" s="734"/>
      <c r="AU102" s="734"/>
      <c r="AV102" s="734"/>
      <c r="AW102" s="734"/>
      <c r="AX102" s="737"/>
      <c r="AY102" s="734"/>
      <c r="AZ102" s="734"/>
      <c r="BA102" s="734"/>
      <c r="BB102" s="734"/>
      <c r="BC102" s="734"/>
      <c r="BD102" s="734"/>
      <c r="BE102" s="737"/>
      <c r="BF102" s="734"/>
      <c r="BG102" s="734"/>
      <c r="BH102" s="734"/>
      <c r="BI102" s="734"/>
      <c r="BJ102" s="734"/>
      <c r="BK102" s="734"/>
      <c r="BL102" s="737"/>
      <c r="BM102" s="737"/>
      <c r="BN102" s="737"/>
      <c r="BO102" s="737"/>
      <c r="BP102" s="737"/>
      <c r="BQ102" s="737"/>
      <c r="BR102" s="737"/>
      <c r="BS102" s="737"/>
      <c r="BT102" s="737"/>
      <c r="BU102" s="737"/>
      <c r="BV102" s="737"/>
      <c r="BW102" s="737"/>
      <c r="BX102" s="737"/>
    </row>
    <row r="103" ht="15.75" customHeight="1">
      <c r="A103" s="739" t="s">
        <v>186</v>
      </c>
      <c r="B103" s="740"/>
      <c r="C103" s="741" t="s">
        <v>3642</v>
      </c>
      <c r="D103" s="124" t="s">
        <v>3646</v>
      </c>
      <c r="E103" s="70" t="s">
        <v>1961</v>
      </c>
      <c r="F103" s="742" t="s">
        <v>3650</v>
      </c>
      <c r="G103" s="742"/>
      <c r="H103" s="132" t="s">
        <v>3652</v>
      </c>
      <c r="I103" s="744" t="s">
        <v>3653</v>
      </c>
      <c r="J103" s="742" t="str">
        <f>HYPERLINK("https://youtu.be/ycBfir2aflI","41.70")</f>
        <v>41.70</v>
      </c>
      <c r="K103" s="742" t="s">
        <v>693</v>
      </c>
      <c r="L103" s="742"/>
      <c r="M103" s="745"/>
      <c r="N103" s="742" t="s">
        <v>1471</v>
      </c>
      <c r="O103" s="742"/>
      <c r="P103" s="742" t="str">
        <f>HYPERLINK("https://youtu.be/OxlK2SgEm_U","42.73")</f>
        <v>42.73</v>
      </c>
      <c r="Q103" s="742"/>
      <c r="R103" s="746" t="s">
        <v>3658</v>
      </c>
      <c r="S103" s="742"/>
      <c r="T103" s="742"/>
      <c r="U103" s="742"/>
      <c r="V103" s="742"/>
      <c r="W103" s="742"/>
      <c r="X103" s="742"/>
      <c r="Y103" s="747"/>
      <c r="Z103" s="742"/>
      <c r="AA103" s="742"/>
      <c r="AB103" s="742"/>
      <c r="AC103" s="742"/>
      <c r="AD103" s="742"/>
      <c r="AE103" s="747"/>
      <c r="AF103" s="742"/>
      <c r="AG103" s="742"/>
      <c r="AH103" s="742"/>
      <c r="AI103" s="742"/>
      <c r="AJ103" s="742"/>
      <c r="AK103" s="742"/>
      <c r="AL103" s="742"/>
      <c r="AM103" s="742"/>
      <c r="AN103" s="742"/>
      <c r="AO103" s="748"/>
      <c r="AP103" s="742"/>
      <c r="AQ103" s="742"/>
      <c r="AR103" s="747"/>
      <c r="AS103" s="742"/>
      <c r="AT103" s="742"/>
      <c r="AU103" s="742"/>
      <c r="AV103" s="748"/>
      <c r="AW103" s="742"/>
      <c r="AX103" s="747"/>
      <c r="AY103" s="742"/>
      <c r="AZ103" s="742"/>
      <c r="BA103" s="742"/>
      <c r="BB103" s="742"/>
      <c r="BC103" s="742"/>
      <c r="BD103" s="742"/>
      <c r="BE103" s="747"/>
      <c r="BF103" s="742"/>
      <c r="BG103" s="742"/>
      <c r="BH103" s="742"/>
      <c r="BI103" s="742"/>
      <c r="BJ103" s="742"/>
      <c r="BK103" s="742"/>
      <c r="BL103" s="747"/>
      <c r="BM103" s="747"/>
      <c r="BN103" s="747"/>
      <c r="BO103" s="747"/>
      <c r="BP103" s="747"/>
      <c r="BQ103" s="747"/>
      <c r="BR103" s="747"/>
      <c r="BS103" s="747"/>
      <c r="BT103" s="747"/>
      <c r="BU103" s="747"/>
      <c r="BV103" s="747"/>
      <c r="BW103" s="747"/>
      <c r="BX103" s="747"/>
    </row>
    <row r="104" ht="15.75" customHeight="1">
      <c r="A104" s="749" t="s">
        <v>469</v>
      </c>
      <c r="B104" s="750"/>
      <c r="C104" s="741" t="s">
        <v>3205</v>
      </c>
      <c r="D104" s="292" t="s">
        <v>3665</v>
      </c>
      <c r="E104" s="70" t="s">
        <v>3667</v>
      </c>
      <c r="F104" s="752"/>
      <c r="G104" s="752"/>
      <c r="H104" s="132" t="s">
        <v>2044</v>
      </c>
      <c r="I104" s="744" t="s">
        <v>3678</v>
      </c>
      <c r="J104" s="742" t="s">
        <v>3679</v>
      </c>
      <c r="K104" s="742" t="s">
        <v>2053</v>
      </c>
      <c r="L104" s="752" t="s">
        <v>3686</v>
      </c>
      <c r="M104" s="219"/>
      <c r="N104" s="752" t="s">
        <v>3687</v>
      </c>
      <c r="O104" s="742" t="s">
        <v>3165</v>
      </c>
      <c r="P104" s="752" t="s">
        <v>3690</v>
      </c>
      <c r="Q104" s="742" t="s">
        <v>3205</v>
      </c>
      <c r="R104" s="753" t="s">
        <v>3691</v>
      </c>
      <c r="S104" s="752"/>
      <c r="T104" s="752"/>
      <c r="U104" s="752" t="s">
        <v>2431</v>
      </c>
      <c r="V104" s="752"/>
      <c r="W104" s="752"/>
      <c r="X104" s="752"/>
      <c r="Y104" s="186"/>
      <c r="Z104" s="752"/>
      <c r="AA104" s="752"/>
      <c r="AB104" s="752"/>
      <c r="AC104" s="752"/>
      <c r="AD104" s="752"/>
      <c r="AE104" s="186"/>
      <c r="AF104" s="752"/>
      <c r="AG104" s="752"/>
      <c r="AH104" s="752"/>
      <c r="AI104" s="752"/>
      <c r="AJ104" s="752"/>
      <c r="AK104" s="752"/>
      <c r="AL104" s="752"/>
      <c r="AM104" s="752"/>
      <c r="AN104" s="752"/>
      <c r="AO104" s="748"/>
      <c r="AP104" s="752"/>
      <c r="AQ104" s="752"/>
      <c r="AR104" s="186"/>
      <c r="AS104" s="752"/>
      <c r="AT104" s="752"/>
      <c r="AU104" s="752"/>
      <c r="AV104" s="748"/>
      <c r="AW104" s="752"/>
      <c r="AX104" s="186"/>
      <c r="AY104" s="752"/>
      <c r="AZ104" s="752"/>
      <c r="BA104" s="752"/>
      <c r="BB104" s="752"/>
      <c r="BC104" s="752"/>
      <c r="BD104" s="752"/>
      <c r="BE104" s="186"/>
      <c r="BF104" s="752"/>
      <c r="BG104" s="752"/>
      <c r="BH104" s="752"/>
      <c r="BI104" s="752"/>
      <c r="BJ104" s="752"/>
      <c r="BK104" s="752"/>
      <c r="BL104" s="186"/>
      <c r="BM104" s="186"/>
      <c r="BN104" s="186"/>
      <c r="BO104" s="186"/>
      <c r="BP104" s="186"/>
      <c r="BQ104" s="186"/>
      <c r="BR104" s="186"/>
      <c r="BS104" s="186"/>
      <c r="BT104" s="186"/>
      <c r="BU104" s="186"/>
      <c r="BV104" s="186"/>
      <c r="BW104" s="186"/>
      <c r="BX104" s="186"/>
    </row>
    <row r="105" ht="15.75" customHeight="1">
      <c r="A105" s="749" t="s">
        <v>577</v>
      </c>
      <c r="B105" s="756"/>
      <c r="C105" s="741" t="s">
        <v>3701</v>
      </c>
      <c r="D105" s="124" t="s">
        <v>3702</v>
      </c>
      <c r="E105" s="757" t="s">
        <v>3706</v>
      </c>
      <c r="F105" s="752"/>
      <c r="G105" s="752"/>
      <c r="H105" s="132" t="s">
        <v>3707</v>
      </c>
      <c r="I105" s="744" t="s">
        <v>3709</v>
      </c>
      <c r="J105" s="752"/>
      <c r="K105" s="742" t="s">
        <v>3701</v>
      </c>
      <c r="L105" s="752"/>
      <c r="M105" s="745"/>
      <c r="N105" s="752" t="s">
        <v>2290</v>
      </c>
      <c r="O105" s="752"/>
      <c r="P105" s="752"/>
      <c r="Q105" s="752"/>
      <c r="R105" s="753"/>
      <c r="S105" s="752"/>
      <c r="T105" s="752"/>
      <c r="U105" s="752"/>
      <c r="V105" s="752"/>
      <c r="W105" s="752" t="s">
        <v>3542</v>
      </c>
      <c r="X105" s="752"/>
      <c r="Y105" s="747"/>
      <c r="Z105" s="752"/>
      <c r="AA105" s="752"/>
      <c r="AB105" s="752"/>
      <c r="AC105" s="752"/>
      <c r="AD105" s="752"/>
      <c r="AE105" s="747"/>
      <c r="AF105" s="752"/>
      <c r="AG105" s="752"/>
      <c r="AH105" s="752"/>
      <c r="AI105" s="752"/>
      <c r="AJ105" s="752"/>
      <c r="AK105" s="752"/>
      <c r="AL105" s="752"/>
      <c r="AM105" s="752"/>
      <c r="AN105" s="752"/>
      <c r="AO105" s="748"/>
      <c r="AP105" s="752"/>
      <c r="AQ105" s="752" t="s">
        <v>3691</v>
      </c>
      <c r="AR105" s="747"/>
      <c r="AS105" s="752"/>
      <c r="AT105" s="752"/>
      <c r="AU105" s="752"/>
      <c r="AV105" s="748"/>
      <c r="AW105" s="752"/>
      <c r="AX105" s="747"/>
      <c r="AY105" s="752"/>
      <c r="AZ105" s="752"/>
      <c r="BA105" s="752"/>
      <c r="BB105" s="752"/>
      <c r="BC105" s="752"/>
      <c r="BD105" s="752"/>
      <c r="BE105" s="747"/>
      <c r="BF105" s="752"/>
      <c r="BG105" s="752"/>
      <c r="BH105" s="752"/>
      <c r="BI105" s="752"/>
      <c r="BJ105" s="752"/>
      <c r="BK105" s="752"/>
      <c r="BL105" s="747"/>
      <c r="BM105" s="747"/>
      <c r="BN105" s="747"/>
      <c r="BO105" s="747"/>
      <c r="BP105" s="747"/>
      <c r="BQ105" s="747"/>
      <c r="BR105" s="747"/>
      <c r="BS105" s="747"/>
      <c r="BT105" s="747"/>
      <c r="BU105" s="747"/>
      <c r="BV105" s="747"/>
      <c r="BW105" s="747"/>
      <c r="BX105" s="747"/>
    </row>
    <row r="106" ht="15.75" customHeight="1">
      <c r="A106" s="739" t="s">
        <v>3720</v>
      </c>
      <c r="B106" s="758" t="s">
        <v>3721</v>
      </c>
      <c r="C106" s="741" t="s">
        <v>3723</v>
      </c>
      <c r="D106" s="219"/>
      <c r="E106" s="63" t="s">
        <v>3727</v>
      </c>
      <c r="F106" s="752"/>
      <c r="G106" s="752"/>
      <c r="H106" s="132" t="s">
        <v>411</v>
      </c>
      <c r="I106" s="744" t="s">
        <v>3729</v>
      </c>
      <c r="J106" s="752" t="s">
        <v>1556</v>
      </c>
      <c r="K106" s="742" t="s">
        <v>3730</v>
      </c>
      <c r="L106" s="752"/>
      <c r="M106" s="745"/>
      <c r="N106" s="742" t="s">
        <v>3733</v>
      </c>
      <c r="O106" s="752"/>
      <c r="P106" s="742" t="str">
        <f>HYPERLINK("https://youtu.be/amAFpVoAKyY","1:57.90")</f>
        <v>1:57.90</v>
      </c>
      <c r="Q106" s="752"/>
      <c r="R106" s="753"/>
      <c r="S106" s="752"/>
      <c r="T106" s="752"/>
      <c r="U106" s="752"/>
      <c r="V106" s="752"/>
      <c r="W106" s="752"/>
      <c r="X106" s="752"/>
      <c r="Y106" s="747"/>
      <c r="Z106" s="752"/>
      <c r="AA106" s="752"/>
      <c r="AB106" s="752"/>
      <c r="AC106" s="752" t="s">
        <v>3723</v>
      </c>
      <c r="AD106" s="752"/>
      <c r="AE106" s="747"/>
      <c r="AF106" s="752"/>
      <c r="AG106" s="752"/>
      <c r="AH106" s="752"/>
      <c r="AI106" s="752"/>
      <c r="AJ106" s="752"/>
      <c r="AK106" s="752"/>
      <c r="AL106" s="752"/>
      <c r="AM106" s="752"/>
      <c r="AN106" s="752"/>
      <c r="AO106" s="748"/>
      <c r="AP106" s="752"/>
      <c r="AQ106" s="752"/>
      <c r="AR106" s="747"/>
      <c r="AS106" s="752"/>
      <c r="AT106" s="752"/>
      <c r="AU106" s="752"/>
      <c r="AV106" s="748"/>
      <c r="AW106" s="752"/>
      <c r="AX106" s="747"/>
      <c r="AY106" s="752"/>
      <c r="AZ106" s="752"/>
      <c r="BA106" s="752"/>
      <c r="BB106" s="752"/>
      <c r="BC106" s="752"/>
      <c r="BD106" s="752"/>
      <c r="BE106" s="747"/>
      <c r="BF106" s="752"/>
      <c r="BG106" s="752"/>
      <c r="BH106" s="752"/>
      <c r="BI106" s="752"/>
      <c r="BJ106" s="752"/>
      <c r="BK106" s="752"/>
      <c r="BL106" s="747"/>
      <c r="BM106" s="747"/>
      <c r="BN106" s="747"/>
      <c r="BO106" s="747"/>
      <c r="BP106" s="747"/>
      <c r="BQ106" s="747"/>
      <c r="BR106" s="747"/>
      <c r="BS106" s="747"/>
      <c r="BT106" s="747"/>
      <c r="BU106" s="747"/>
      <c r="BV106" s="747"/>
      <c r="BW106" s="747"/>
      <c r="BX106" s="747"/>
    </row>
    <row r="107" ht="15.75" customHeight="1">
      <c r="A107" s="762"/>
      <c r="B107" s="763" t="s">
        <v>3742</v>
      </c>
      <c r="C107" s="741" t="s">
        <v>3743</v>
      </c>
      <c r="D107" s="124" t="s">
        <v>3745</v>
      </c>
      <c r="E107" s="70" t="s">
        <v>3747</v>
      </c>
      <c r="F107" s="752"/>
      <c r="G107" s="752"/>
      <c r="H107" s="222"/>
      <c r="I107" s="748"/>
      <c r="J107" s="752"/>
      <c r="K107" s="742" t="s">
        <v>3743</v>
      </c>
      <c r="L107" s="752"/>
      <c r="M107" s="219"/>
      <c r="N107" s="752"/>
      <c r="O107" s="752"/>
      <c r="P107" s="752"/>
      <c r="Q107" s="752"/>
      <c r="R107" s="753"/>
      <c r="S107" s="752"/>
      <c r="T107" s="752"/>
      <c r="U107" s="752"/>
      <c r="V107" s="752"/>
      <c r="W107" s="752"/>
      <c r="X107" s="752"/>
      <c r="Y107" s="186"/>
      <c r="Z107" s="752"/>
      <c r="AA107" s="752"/>
      <c r="AB107" s="752"/>
      <c r="AC107" s="752"/>
      <c r="AD107" s="752"/>
      <c r="AE107" s="186"/>
      <c r="AF107" s="752"/>
      <c r="AG107" s="752"/>
      <c r="AH107" s="752"/>
      <c r="AI107" s="752"/>
      <c r="AJ107" s="752"/>
      <c r="AK107" s="752"/>
      <c r="AL107" s="752"/>
      <c r="AM107" s="752"/>
      <c r="AN107" s="752"/>
      <c r="AO107" s="748"/>
      <c r="AP107" s="752"/>
      <c r="AQ107" s="752"/>
      <c r="AR107" s="186"/>
      <c r="AS107" s="752"/>
      <c r="AT107" s="752"/>
      <c r="AU107" s="752"/>
      <c r="AV107" s="748"/>
      <c r="AW107" s="752"/>
      <c r="AX107" s="186"/>
      <c r="AY107" s="752"/>
      <c r="AZ107" s="752"/>
      <c r="BA107" s="752"/>
      <c r="BB107" s="752"/>
      <c r="BC107" s="752"/>
      <c r="BD107" s="752"/>
      <c r="BE107" s="186"/>
      <c r="BF107" s="752"/>
      <c r="BG107" s="752"/>
      <c r="BH107" s="752"/>
      <c r="BI107" s="752"/>
      <c r="BJ107" s="752"/>
      <c r="BK107" s="752"/>
      <c r="BL107" s="186"/>
      <c r="BM107" s="186"/>
      <c r="BN107" s="186"/>
      <c r="BO107" s="186"/>
      <c r="BP107" s="186"/>
      <c r="BQ107" s="186"/>
      <c r="BR107" s="186"/>
      <c r="BS107" s="186"/>
      <c r="BT107" s="186"/>
      <c r="BU107" s="186"/>
      <c r="BV107" s="186"/>
      <c r="BW107" s="186"/>
      <c r="BX107" s="186"/>
    </row>
    <row r="108" ht="15.75" customHeight="1">
      <c r="A108" s="739" t="s">
        <v>2333</v>
      </c>
      <c r="B108" s="758" t="s">
        <v>3759</v>
      </c>
      <c r="C108" s="741" t="s">
        <v>343</v>
      </c>
      <c r="D108" s="124" t="s">
        <v>1137</v>
      </c>
      <c r="E108" s="63" t="s">
        <v>316</v>
      </c>
      <c r="F108" s="752"/>
      <c r="G108" s="752"/>
      <c r="H108" s="132" t="s">
        <v>2275</v>
      </c>
      <c r="I108" s="748"/>
      <c r="J108" s="752"/>
      <c r="K108" s="742" t="s">
        <v>3764</v>
      </c>
      <c r="L108" s="752" t="s">
        <v>3766</v>
      </c>
      <c r="M108" s="745"/>
      <c r="N108" s="752"/>
      <c r="O108" s="752"/>
      <c r="P108" s="752"/>
      <c r="Q108" s="752"/>
      <c r="R108" s="753"/>
      <c r="S108" s="752"/>
      <c r="T108" s="752"/>
      <c r="U108" s="752"/>
      <c r="V108" s="752"/>
      <c r="W108" s="752"/>
      <c r="X108" s="752"/>
      <c r="Y108" s="747"/>
      <c r="Z108" s="752"/>
      <c r="AA108" s="752"/>
      <c r="AB108" s="752"/>
      <c r="AC108" s="752"/>
      <c r="AD108" s="752"/>
      <c r="AE108" s="747"/>
      <c r="AF108" s="752"/>
      <c r="AG108" s="752"/>
      <c r="AH108" s="752"/>
      <c r="AI108" s="752"/>
      <c r="AJ108" s="752"/>
      <c r="AK108" s="752"/>
      <c r="AL108" s="752"/>
      <c r="AM108" s="752"/>
      <c r="AN108" s="752"/>
      <c r="AO108" s="748"/>
      <c r="AP108" s="752"/>
      <c r="AQ108" s="752"/>
      <c r="AR108" s="747"/>
      <c r="AS108" s="752"/>
      <c r="AT108" s="752"/>
      <c r="AU108" s="752"/>
      <c r="AV108" s="748"/>
      <c r="AW108" s="752"/>
      <c r="AX108" s="747"/>
      <c r="AY108" s="752"/>
      <c r="AZ108" s="752"/>
      <c r="BA108" s="752"/>
      <c r="BB108" s="752"/>
      <c r="BC108" s="752"/>
      <c r="BD108" s="752"/>
      <c r="BE108" s="747"/>
      <c r="BF108" s="752"/>
      <c r="BG108" s="752"/>
      <c r="BH108" s="752"/>
      <c r="BI108" s="752" t="s">
        <v>3775</v>
      </c>
      <c r="BJ108" s="752"/>
      <c r="BK108" s="752"/>
      <c r="BL108" s="747"/>
      <c r="BM108" s="747"/>
      <c r="BN108" s="747"/>
      <c r="BO108" s="747"/>
      <c r="BP108" s="747"/>
      <c r="BQ108" s="747"/>
      <c r="BR108" s="747"/>
      <c r="BS108" s="747"/>
      <c r="BT108" s="747"/>
      <c r="BU108" s="747"/>
      <c r="BV108" s="747"/>
      <c r="BW108" s="747"/>
      <c r="BX108" s="747"/>
    </row>
    <row r="109" ht="15.75" customHeight="1">
      <c r="A109" s="739" t="s">
        <v>2544</v>
      </c>
      <c r="B109" s="758" t="s">
        <v>3778</v>
      </c>
      <c r="C109" s="741" t="s">
        <v>3779</v>
      </c>
      <c r="D109" s="124" t="s">
        <v>3781</v>
      </c>
      <c r="E109" s="63" t="s">
        <v>3783</v>
      </c>
      <c r="F109" s="752"/>
      <c r="G109" s="752"/>
      <c r="H109" s="132" t="s">
        <v>413</v>
      </c>
      <c r="I109" s="744"/>
      <c r="J109" s="752" t="s">
        <v>3786</v>
      </c>
      <c r="K109" s="742" t="s">
        <v>3787</v>
      </c>
      <c r="L109" s="752" t="s">
        <v>3788</v>
      </c>
      <c r="M109" s="219"/>
      <c r="N109" s="752" t="s">
        <v>3789</v>
      </c>
      <c r="O109" s="752"/>
      <c r="P109" s="752" t="s">
        <v>3183</v>
      </c>
      <c r="Q109" s="752"/>
      <c r="R109" s="753"/>
      <c r="S109" s="752"/>
      <c r="T109" s="752"/>
      <c r="U109" s="752"/>
      <c r="V109" s="752"/>
      <c r="W109" s="752"/>
      <c r="X109" s="752"/>
      <c r="Y109" s="186"/>
      <c r="Z109" s="752"/>
      <c r="AA109" s="752"/>
      <c r="AB109" s="752"/>
      <c r="AC109" s="752"/>
      <c r="AD109" s="752"/>
      <c r="AE109" s="186"/>
      <c r="AF109" s="752"/>
      <c r="AG109" s="752"/>
      <c r="AH109" s="752"/>
      <c r="AI109" s="752"/>
      <c r="AJ109" s="752"/>
      <c r="AK109" s="752"/>
      <c r="AL109" s="752"/>
      <c r="AM109" s="752"/>
      <c r="AN109" s="752"/>
      <c r="AO109" s="748"/>
      <c r="AP109" s="752"/>
      <c r="AQ109" s="752"/>
      <c r="AR109" s="186"/>
      <c r="AS109" s="752"/>
      <c r="AT109" s="752"/>
      <c r="AU109" s="752"/>
      <c r="AV109" s="748"/>
      <c r="AW109" s="752"/>
      <c r="AX109" s="186"/>
      <c r="AY109" s="752"/>
      <c r="AZ109" s="752"/>
      <c r="BA109" s="752"/>
      <c r="BB109" s="752"/>
      <c r="BC109" s="752"/>
      <c r="BD109" s="752"/>
      <c r="BE109" s="186"/>
      <c r="BF109" s="752"/>
      <c r="BG109" s="752"/>
      <c r="BH109" s="752"/>
      <c r="BI109" s="752"/>
      <c r="BJ109" s="752"/>
      <c r="BK109" s="752"/>
      <c r="BL109" s="186"/>
      <c r="BM109" s="186"/>
      <c r="BN109" s="186"/>
      <c r="BO109" s="186"/>
      <c r="BP109" s="186"/>
      <c r="BQ109" s="186"/>
      <c r="BR109" s="186"/>
      <c r="BS109" s="186"/>
      <c r="BT109" s="186"/>
      <c r="BU109" s="186"/>
      <c r="BV109" s="186"/>
      <c r="BW109" s="186"/>
      <c r="BX109" s="186"/>
    </row>
    <row r="110" ht="15.75" customHeight="1">
      <c r="A110" s="749" t="s">
        <v>469</v>
      </c>
      <c r="B110" s="750" t="s">
        <v>3778</v>
      </c>
      <c r="C110" s="119" t="s">
        <v>3791</v>
      </c>
      <c r="D110" s="292" t="s">
        <v>2076</v>
      </c>
      <c r="E110" s="524" t="s">
        <v>2115</v>
      </c>
      <c r="F110" s="742" t="s">
        <v>1219</v>
      </c>
      <c r="G110" s="742"/>
      <c r="H110" s="132" t="s">
        <v>3800</v>
      </c>
      <c r="I110" s="748"/>
      <c r="J110" s="742"/>
      <c r="K110" s="742"/>
      <c r="L110" s="742"/>
      <c r="M110" s="745"/>
      <c r="N110" s="742"/>
      <c r="O110" s="742"/>
      <c r="P110" s="742" t="str">
        <f>HYPERLINK("https://youtu.be/fN_8rgua0Xs","36.26")</f>
        <v>36.26</v>
      </c>
      <c r="Q110" s="742"/>
      <c r="R110" s="746"/>
      <c r="S110" s="742"/>
      <c r="T110" s="742"/>
      <c r="U110" s="742"/>
      <c r="V110" s="742"/>
      <c r="W110" s="742" t="s">
        <v>414</v>
      </c>
      <c r="X110" s="742"/>
      <c r="Y110" s="747"/>
      <c r="Z110" s="742"/>
      <c r="AA110" s="742"/>
      <c r="AB110" s="742"/>
      <c r="AC110" s="742"/>
      <c r="AD110" s="742"/>
      <c r="AE110" s="747"/>
      <c r="AF110" s="742"/>
      <c r="AG110" s="742"/>
      <c r="AH110" s="742"/>
      <c r="AI110" s="742"/>
      <c r="AJ110" s="742"/>
      <c r="AK110" s="742"/>
      <c r="AL110" s="742"/>
      <c r="AM110" s="742"/>
      <c r="AN110" s="742"/>
      <c r="AO110" s="748"/>
      <c r="AP110" s="742"/>
      <c r="AQ110" s="742"/>
      <c r="AR110" s="747"/>
      <c r="AS110" s="742"/>
      <c r="AT110" s="742"/>
      <c r="AU110" s="742"/>
      <c r="AV110" s="385" t="s">
        <v>3791</v>
      </c>
      <c r="AW110" s="742"/>
      <c r="AX110" s="747"/>
      <c r="AY110" s="742"/>
      <c r="AZ110" s="742"/>
      <c r="BA110" s="742"/>
      <c r="BB110" s="742"/>
      <c r="BC110" s="742"/>
      <c r="BD110" s="742"/>
      <c r="BE110" s="747"/>
      <c r="BF110" s="742"/>
      <c r="BG110" s="742"/>
      <c r="BH110" s="742"/>
      <c r="BI110" s="742"/>
      <c r="BJ110" s="742"/>
      <c r="BK110" s="742"/>
      <c r="BL110" s="747"/>
      <c r="BM110" s="747"/>
      <c r="BN110" s="747"/>
      <c r="BO110" s="747"/>
      <c r="BP110" s="747"/>
      <c r="BQ110" s="747"/>
      <c r="BR110" s="747"/>
      <c r="BS110" s="747"/>
      <c r="BT110" s="747"/>
      <c r="BU110" s="747"/>
      <c r="BV110" s="747"/>
      <c r="BW110" s="747"/>
      <c r="BX110" s="747"/>
    </row>
    <row r="111" ht="15.75" customHeight="1">
      <c r="A111" s="749" t="s">
        <v>577</v>
      </c>
      <c r="B111" s="769" t="s">
        <v>3721</v>
      </c>
      <c r="C111" s="741" t="s">
        <v>2121</v>
      </c>
      <c r="D111" s="124" t="s">
        <v>3818</v>
      </c>
      <c r="E111" s="752"/>
      <c r="F111" s="752"/>
      <c r="G111" s="752"/>
      <c r="H111" s="132" t="s">
        <v>607</v>
      </c>
      <c r="I111" s="744" t="s">
        <v>3821</v>
      </c>
      <c r="J111" s="752"/>
      <c r="K111" s="752"/>
      <c r="L111" s="752"/>
      <c r="M111" s="219"/>
      <c r="N111" s="752"/>
      <c r="O111" s="752"/>
      <c r="P111" s="752"/>
      <c r="Q111" s="752"/>
      <c r="R111" s="753"/>
      <c r="S111" s="752"/>
      <c r="T111" s="752"/>
      <c r="U111" s="752"/>
      <c r="V111" s="752"/>
      <c r="W111" s="752"/>
      <c r="X111" s="752"/>
      <c r="Y111" s="186"/>
      <c r="Z111" s="752"/>
      <c r="AA111" s="752"/>
      <c r="AB111" s="752"/>
      <c r="AC111" s="752"/>
      <c r="AD111" s="752"/>
      <c r="AE111" s="186"/>
      <c r="AF111" s="752"/>
      <c r="AG111" s="752"/>
      <c r="AH111" s="752"/>
      <c r="AI111" s="752"/>
      <c r="AJ111" s="757" t="s">
        <v>3822</v>
      </c>
      <c r="AK111" s="752"/>
      <c r="AL111" s="752"/>
      <c r="AM111" s="752"/>
      <c r="AN111" s="752"/>
      <c r="AO111" s="748"/>
      <c r="AP111" s="752"/>
      <c r="AQ111" s="752"/>
      <c r="AR111" s="186"/>
      <c r="AS111" s="752"/>
      <c r="AT111" s="752"/>
      <c r="AU111" s="752"/>
      <c r="AV111" s="748"/>
      <c r="AW111" s="752"/>
      <c r="AX111" s="186"/>
      <c r="AY111" s="752"/>
      <c r="AZ111" s="752"/>
      <c r="BA111" s="752"/>
      <c r="BB111" s="752"/>
      <c r="BC111" s="752"/>
      <c r="BD111" s="752"/>
      <c r="BE111" s="186"/>
      <c r="BF111" s="752"/>
      <c r="BG111" s="752"/>
      <c r="BH111" s="752"/>
      <c r="BI111" s="752"/>
      <c r="BJ111" s="752"/>
      <c r="BK111" s="752"/>
      <c r="BL111" s="186"/>
      <c r="BM111" s="186"/>
      <c r="BN111" s="186"/>
      <c r="BO111" s="186"/>
      <c r="BP111" s="186"/>
      <c r="BQ111" s="186"/>
      <c r="BR111" s="186"/>
      <c r="BS111" s="186"/>
      <c r="BT111" s="186"/>
      <c r="BU111" s="186"/>
      <c r="BV111" s="186"/>
      <c r="BW111" s="186"/>
      <c r="BX111" s="186"/>
    </row>
    <row r="112" ht="15.75" customHeight="1">
      <c r="A112" s="739" t="s">
        <v>3823</v>
      </c>
      <c r="B112" s="770" t="s">
        <v>187</v>
      </c>
      <c r="C112" s="279" t="s">
        <v>2857</v>
      </c>
      <c r="D112" s="182" t="s">
        <v>2857</v>
      </c>
      <c r="E112" s="752"/>
      <c r="F112" s="752"/>
      <c r="G112" s="752"/>
      <c r="H112" s="222"/>
      <c r="I112" s="748"/>
      <c r="J112" s="752"/>
      <c r="K112" s="752"/>
      <c r="L112" s="752"/>
      <c r="M112" s="745"/>
      <c r="N112" s="752"/>
      <c r="O112" s="752"/>
      <c r="P112" s="752"/>
      <c r="Q112" s="752"/>
      <c r="R112" s="753"/>
      <c r="S112" s="752"/>
      <c r="T112" s="752"/>
      <c r="U112" s="752"/>
      <c r="V112" s="752"/>
      <c r="W112" s="752"/>
      <c r="X112" s="752"/>
      <c r="Y112" s="747"/>
      <c r="Z112" s="752"/>
      <c r="AA112" s="752"/>
      <c r="AB112" s="752"/>
      <c r="AC112" s="752"/>
      <c r="AD112" s="752"/>
      <c r="AE112" s="747"/>
      <c r="AF112" s="752"/>
      <c r="AG112" s="752"/>
      <c r="AH112" s="752"/>
      <c r="AI112" s="752"/>
      <c r="AJ112" s="752"/>
      <c r="AK112" s="752"/>
      <c r="AL112" s="752"/>
      <c r="AM112" s="752"/>
      <c r="AN112" s="752"/>
      <c r="AO112" s="748"/>
      <c r="AP112" s="752"/>
      <c r="AQ112" s="752"/>
      <c r="AR112" s="747"/>
      <c r="AS112" s="752"/>
      <c r="AT112" s="752"/>
      <c r="AU112" s="752"/>
      <c r="AV112" s="748"/>
      <c r="AW112" s="752"/>
      <c r="AX112" s="747"/>
      <c r="AY112" s="752"/>
      <c r="AZ112" s="752"/>
      <c r="BA112" s="752"/>
      <c r="BB112" s="752"/>
      <c r="BC112" s="752"/>
      <c r="BD112" s="752"/>
      <c r="BE112" s="747"/>
      <c r="BF112" s="752"/>
      <c r="BG112" s="752"/>
      <c r="BH112" s="752"/>
      <c r="BI112" s="752"/>
      <c r="BJ112" s="752"/>
      <c r="BK112" s="752"/>
      <c r="BL112" s="747"/>
      <c r="BM112" s="747"/>
      <c r="BN112" s="747"/>
      <c r="BO112" s="747"/>
      <c r="BP112" s="747"/>
      <c r="BQ112" s="747"/>
      <c r="BR112" s="747"/>
      <c r="BS112" s="747"/>
      <c r="BT112" s="747"/>
      <c r="BU112" s="747"/>
      <c r="BV112" s="747"/>
      <c r="BW112" s="747"/>
      <c r="BX112" s="747"/>
    </row>
    <row r="113" ht="15.75" customHeight="1">
      <c r="A113" s="739" t="s">
        <v>3096</v>
      </c>
      <c r="B113" s="758" t="s">
        <v>1704</v>
      </c>
      <c r="C113" s="741" t="str">
        <f>HYPERLINK("https://youtu.be/v1WXz9d1jVU","1:11.53")</f>
        <v>1:11.53</v>
      </c>
      <c r="D113" s="745"/>
      <c r="E113" s="752"/>
      <c r="F113" s="752"/>
      <c r="G113" s="752"/>
      <c r="H113" s="222"/>
      <c r="I113" s="748"/>
      <c r="J113" s="752"/>
      <c r="K113" s="752"/>
      <c r="L113" s="752"/>
      <c r="M113" s="745"/>
      <c r="N113" s="752"/>
      <c r="O113" s="752"/>
      <c r="P113" s="742" t="str">
        <f>HYPERLINK("https://youtu.be/v1WXz9d1jVU","1:11.53")</f>
        <v>1:11.53</v>
      </c>
      <c r="Q113" s="752"/>
      <c r="R113" s="753"/>
      <c r="S113" s="752"/>
      <c r="T113" s="752"/>
      <c r="U113" s="752"/>
      <c r="V113" s="752"/>
      <c r="W113" s="752"/>
      <c r="X113" s="752"/>
      <c r="Y113" s="747"/>
      <c r="Z113" s="752"/>
      <c r="AA113" s="752"/>
      <c r="AB113" s="752"/>
      <c r="AC113" s="752"/>
      <c r="AD113" s="752"/>
      <c r="AE113" s="747"/>
      <c r="AF113" s="752"/>
      <c r="AG113" s="752"/>
      <c r="AH113" s="752"/>
      <c r="AI113" s="752"/>
      <c r="AJ113" s="752"/>
      <c r="AK113" s="752"/>
      <c r="AL113" s="752"/>
      <c r="AM113" s="752"/>
      <c r="AN113" s="752"/>
      <c r="AO113" s="748"/>
      <c r="AP113" s="752"/>
      <c r="AQ113" s="752"/>
      <c r="AR113" s="747"/>
      <c r="AS113" s="752"/>
      <c r="AT113" s="752"/>
      <c r="AU113" s="752"/>
      <c r="AV113" s="748"/>
      <c r="AW113" s="752"/>
      <c r="AX113" s="747"/>
      <c r="AY113" s="752"/>
      <c r="AZ113" s="752"/>
      <c r="BA113" s="752"/>
      <c r="BB113" s="752"/>
      <c r="BC113" s="752"/>
      <c r="BD113" s="752"/>
      <c r="BE113" s="747"/>
      <c r="BF113" s="752"/>
      <c r="BG113" s="752"/>
      <c r="BH113" s="752"/>
      <c r="BI113" s="752"/>
      <c r="BJ113" s="752"/>
      <c r="BK113" s="752"/>
      <c r="BL113" s="747"/>
      <c r="BM113" s="747"/>
      <c r="BN113" s="747"/>
      <c r="BO113" s="747"/>
      <c r="BP113" s="747"/>
      <c r="BQ113" s="747"/>
      <c r="BR113" s="747"/>
      <c r="BS113" s="747"/>
      <c r="BT113" s="747"/>
      <c r="BU113" s="747"/>
      <c r="BV113" s="747"/>
      <c r="BW113" s="747"/>
      <c r="BX113" s="747"/>
    </row>
    <row r="114" ht="15.75" customHeight="1">
      <c r="A114" s="775"/>
      <c r="B114" s="763" t="s">
        <v>3843</v>
      </c>
      <c r="C114" s="741" t="s">
        <v>208</v>
      </c>
      <c r="D114" s="124" t="s">
        <v>3848</v>
      </c>
      <c r="E114" s="70" t="s">
        <v>3849</v>
      </c>
      <c r="F114" s="752"/>
      <c r="G114" s="752"/>
      <c r="H114" s="132" t="s">
        <v>3851</v>
      </c>
      <c r="I114" s="385" t="s">
        <v>1657</v>
      </c>
      <c r="J114" s="752" t="s">
        <v>3855</v>
      </c>
      <c r="K114" s="742" t="s">
        <v>208</v>
      </c>
      <c r="L114" s="752" t="s">
        <v>538</v>
      </c>
      <c r="M114" s="219"/>
      <c r="N114" s="742" t="s">
        <v>3856</v>
      </c>
      <c r="O114" s="752"/>
      <c r="P114" s="752"/>
      <c r="Q114" s="752"/>
      <c r="R114" s="753"/>
      <c r="S114" s="752"/>
      <c r="T114" s="752"/>
      <c r="U114" s="752"/>
      <c r="V114" s="752"/>
      <c r="W114" s="752"/>
      <c r="X114" s="752"/>
      <c r="Y114" s="186"/>
      <c r="Z114" s="752"/>
      <c r="AA114" s="752"/>
      <c r="AB114" s="752"/>
      <c r="AC114" s="752"/>
      <c r="AD114" s="752"/>
      <c r="AE114" s="186"/>
      <c r="AF114" s="752"/>
      <c r="AG114" s="752"/>
      <c r="AH114" s="752"/>
      <c r="AI114" s="752"/>
      <c r="AJ114" s="752"/>
      <c r="AK114" s="752"/>
      <c r="AL114" s="752"/>
      <c r="AM114" s="752"/>
      <c r="AN114" s="752"/>
      <c r="AO114" s="748"/>
      <c r="AP114" s="752"/>
      <c r="AQ114" s="752"/>
      <c r="AR114" s="186"/>
      <c r="AS114" s="752"/>
      <c r="AT114" s="752"/>
      <c r="AU114" s="752"/>
      <c r="AV114" s="748"/>
      <c r="AW114" s="752"/>
      <c r="AX114" s="186"/>
      <c r="AY114" s="752"/>
      <c r="AZ114" s="752"/>
      <c r="BA114" s="752"/>
      <c r="BB114" s="752"/>
      <c r="BC114" s="752"/>
      <c r="BD114" s="752"/>
      <c r="BE114" s="186"/>
      <c r="BF114" s="752"/>
      <c r="BG114" s="752"/>
      <c r="BH114" s="752"/>
      <c r="BI114" s="752"/>
      <c r="BJ114" s="752"/>
      <c r="BK114" s="752"/>
      <c r="BL114" s="186"/>
      <c r="BM114" s="186"/>
      <c r="BN114" s="186"/>
      <c r="BO114" s="186"/>
      <c r="BP114" s="186"/>
      <c r="BQ114" s="186"/>
      <c r="BR114" s="186"/>
      <c r="BS114" s="186"/>
      <c r="BT114" s="186"/>
      <c r="BU114" s="186"/>
      <c r="BV114" s="186"/>
      <c r="BW114" s="186"/>
      <c r="BX114" s="186"/>
    </row>
    <row r="115" ht="15.75" customHeight="1">
      <c r="A115" s="739" t="s">
        <v>1598</v>
      </c>
      <c r="B115" s="758" t="s">
        <v>3863</v>
      </c>
      <c r="C115" s="741" t="s">
        <v>1851</v>
      </c>
      <c r="D115" s="779" t="s">
        <v>3865</v>
      </c>
      <c r="E115" s="752" t="s">
        <v>3866</v>
      </c>
      <c r="H115" s="222"/>
      <c r="I115" s="748"/>
      <c r="J115" s="742" t="str">
        <f>HYPERLINK("https://youtu.be/NIfI1hsvvFQ","19.73")</f>
        <v>19.73</v>
      </c>
      <c r="K115" s="742" t="s">
        <v>1851</v>
      </c>
      <c r="L115" s="742" t="s">
        <v>3867</v>
      </c>
      <c r="M115" s="779" t="s">
        <v>3871</v>
      </c>
      <c r="N115" s="742"/>
      <c r="O115" s="752" t="s">
        <v>159</v>
      </c>
      <c r="P115" s="742" t="str">
        <f>HYPERLINK("https://youtu.be/vlD8b3WQME8","20.08")</f>
        <v>20.08</v>
      </c>
      <c r="Q115" s="742"/>
      <c r="R115" s="746" t="s">
        <v>3874</v>
      </c>
      <c r="S115" s="742"/>
      <c r="T115" s="742"/>
      <c r="U115" s="742" t="s">
        <v>3707</v>
      </c>
      <c r="V115" s="742"/>
      <c r="W115" s="742"/>
      <c r="X115" s="742"/>
      <c r="Y115" s="747"/>
      <c r="Z115" s="742"/>
      <c r="AA115" s="742"/>
      <c r="AB115" s="742"/>
      <c r="AC115" s="742"/>
      <c r="AD115" s="742"/>
      <c r="AE115" s="781" t="s">
        <v>3818</v>
      </c>
      <c r="AF115" s="742"/>
      <c r="AG115" s="742"/>
      <c r="AH115" s="742"/>
      <c r="AI115" s="742"/>
      <c r="AJ115" s="742"/>
      <c r="AK115" s="742"/>
      <c r="AL115" s="742"/>
      <c r="AM115" s="742"/>
      <c r="AN115" s="742"/>
      <c r="AO115" s="748"/>
      <c r="AP115" s="742"/>
      <c r="AQ115" s="742"/>
      <c r="AR115" s="747"/>
      <c r="AS115" s="742"/>
      <c r="AT115" s="742"/>
      <c r="AU115" s="742"/>
      <c r="AV115" s="748"/>
      <c r="AW115" s="742"/>
      <c r="AX115" s="747"/>
      <c r="AY115" s="742"/>
      <c r="AZ115" s="742"/>
      <c r="BA115" s="742"/>
      <c r="BB115" s="742"/>
      <c r="BC115" s="742"/>
      <c r="BD115" s="742"/>
      <c r="BE115" s="747"/>
      <c r="BF115" s="742"/>
      <c r="BG115" s="742"/>
      <c r="BH115" s="742"/>
      <c r="BI115" s="742"/>
      <c r="BJ115" s="742"/>
      <c r="BK115" s="742"/>
      <c r="BL115" s="747"/>
      <c r="BM115" s="747"/>
      <c r="BN115" s="747"/>
      <c r="BO115" s="747"/>
      <c r="BP115" s="747"/>
      <c r="BQ115" s="747"/>
      <c r="BR115" s="747"/>
      <c r="BS115" s="747"/>
      <c r="BT115" s="747"/>
      <c r="BU115" s="747"/>
      <c r="BV115" s="747"/>
      <c r="BW115" s="747"/>
      <c r="BX115" s="747"/>
    </row>
    <row r="116" ht="15.75" customHeight="1">
      <c r="A116" s="775"/>
      <c r="B116" s="763" t="s">
        <v>3884</v>
      </c>
      <c r="C116" s="783" t="s">
        <v>2319</v>
      </c>
      <c r="D116" s="779" t="s">
        <v>2319</v>
      </c>
      <c r="E116" s="742"/>
      <c r="F116" s="742" t="s">
        <v>3707</v>
      </c>
      <c r="G116" s="742" t="s">
        <v>3707</v>
      </c>
      <c r="H116" s="222"/>
      <c r="I116" s="748"/>
      <c r="J116" s="742"/>
      <c r="K116" s="742"/>
      <c r="L116" s="742"/>
      <c r="M116" s="745"/>
      <c r="N116" s="742"/>
      <c r="O116" s="742"/>
      <c r="Q116" s="742"/>
      <c r="R116" s="746"/>
      <c r="S116" s="742"/>
      <c r="T116" s="742"/>
      <c r="U116" s="742"/>
      <c r="V116" s="742"/>
      <c r="W116" s="742"/>
      <c r="X116" s="742"/>
      <c r="Y116" s="747"/>
      <c r="Z116" s="742"/>
      <c r="AA116" s="742"/>
      <c r="AB116" s="742"/>
      <c r="AC116" s="742"/>
      <c r="AD116" s="742"/>
      <c r="AE116" s="781" t="s">
        <v>3898</v>
      </c>
      <c r="AF116" s="742"/>
      <c r="AG116" s="742"/>
      <c r="AH116" s="742"/>
      <c r="AI116" s="742"/>
      <c r="AJ116" s="742"/>
      <c r="AK116" s="742"/>
      <c r="AL116" s="742"/>
      <c r="AM116" s="742"/>
      <c r="AN116" s="742"/>
      <c r="AO116" s="748"/>
      <c r="AP116" s="742"/>
      <c r="AQ116" s="742"/>
      <c r="AR116" s="747"/>
      <c r="AS116" s="742"/>
      <c r="AT116" s="742"/>
      <c r="AU116" s="742"/>
      <c r="AV116" s="748"/>
      <c r="AW116" s="742"/>
      <c r="AX116" s="747"/>
      <c r="AY116" s="742"/>
      <c r="AZ116" s="742"/>
      <c r="BA116" s="742"/>
      <c r="BB116" s="742"/>
      <c r="BC116" s="742"/>
      <c r="BD116" s="742"/>
      <c r="BE116" s="747"/>
      <c r="BF116" s="742"/>
      <c r="BG116" s="742"/>
      <c r="BH116" s="742"/>
      <c r="BI116" s="742"/>
      <c r="BJ116" s="742"/>
      <c r="BK116" s="742"/>
      <c r="BL116" s="747"/>
      <c r="BM116" s="747"/>
      <c r="BN116" s="747"/>
      <c r="BO116" s="747"/>
      <c r="BP116" s="747"/>
      <c r="BQ116" s="747"/>
      <c r="BR116" s="747"/>
      <c r="BS116" s="747"/>
      <c r="BT116" s="747"/>
      <c r="BU116" s="747"/>
      <c r="BV116" s="747"/>
      <c r="BW116" s="747"/>
      <c r="BX116" s="747"/>
    </row>
    <row r="117" ht="15.75" customHeight="1">
      <c r="A117" s="785"/>
      <c r="B117" s="786" t="s">
        <v>1638</v>
      </c>
      <c r="C117" s="741" t="s">
        <v>1685</v>
      </c>
      <c r="D117" s="292" t="s">
        <v>2670</v>
      </c>
      <c r="E117" s="174" t="s">
        <v>3638</v>
      </c>
      <c r="F117" s="742" t="s">
        <v>2757</v>
      </c>
      <c r="G117" s="742" t="s">
        <v>1685</v>
      </c>
      <c r="H117" s="132" t="s">
        <v>3910</v>
      </c>
      <c r="I117" s="744" t="s">
        <v>3912</v>
      </c>
      <c r="J117" s="742"/>
      <c r="K117" s="742" t="s">
        <v>3913</v>
      </c>
      <c r="L117" s="742" t="s">
        <v>3913</v>
      </c>
      <c r="M117" s="219"/>
      <c r="N117" s="742" t="s">
        <v>2757</v>
      </c>
      <c r="O117" s="742" t="s">
        <v>458</v>
      </c>
      <c r="P117" s="742"/>
      <c r="Q117" s="742" t="s">
        <v>2380</v>
      </c>
      <c r="R117" s="746"/>
      <c r="S117" s="742"/>
      <c r="T117" s="742"/>
      <c r="U117" s="742"/>
      <c r="V117" s="742"/>
      <c r="W117" s="742"/>
      <c r="X117" s="742"/>
      <c r="Y117" s="186"/>
      <c r="Z117" s="742"/>
      <c r="AA117" s="742"/>
      <c r="AB117" s="742"/>
      <c r="AC117" s="742"/>
      <c r="AD117" s="742"/>
      <c r="AE117" s="188" t="s">
        <v>3922</v>
      </c>
      <c r="AF117" s="742"/>
      <c r="AG117" s="742"/>
      <c r="AH117" s="742"/>
      <c r="AI117" s="742"/>
      <c r="AJ117" s="742"/>
      <c r="AK117" s="742"/>
      <c r="AL117" s="742" t="s">
        <v>1685</v>
      </c>
      <c r="AM117" s="742"/>
      <c r="AN117" s="742"/>
      <c r="AO117" s="748"/>
      <c r="AP117" s="742"/>
      <c r="AQ117" s="742"/>
      <c r="AR117" s="186"/>
      <c r="AS117" s="742"/>
      <c r="AT117" s="742"/>
      <c r="AU117" s="742"/>
      <c r="AV117" s="748"/>
      <c r="AW117" s="742"/>
      <c r="AX117" s="186"/>
      <c r="AY117" s="742"/>
      <c r="AZ117" s="742"/>
      <c r="BA117" s="742"/>
      <c r="BB117" s="742"/>
      <c r="BC117" s="742"/>
      <c r="BD117" s="742"/>
      <c r="BE117" s="186"/>
      <c r="BF117" s="742"/>
      <c r="BG117" s="742"/>
      <c r="BH117" s="742"/>
      <c r="BI117" s="742"/>
      <c r="BJ117" s="742"/>
      <c r="BK117" s="742"/>
      <c r="BL117" s="186"/>
      <c r="BM117" s="186"/>
      <c r="BN117" s="186"/>
      <c r="BO117" s="186"/>
      <c r="BP117" s="186"/>
      <c r="BQ117" s="186"/>
      <c r="BR117" s="186"/>
      <c r="BS117" s="186"/>
      <c r="BT117" s="186"/>
      <c r="BU117" s="186"/>
      <c r="BV117" s="186"/>
      <c r="BW117" s="186"/>
      <c r="BX117" s="186"/>
    </row>
    <row r="118" ht="15.75" customHeight="1">
      <c r="A118" s="739" t="s">
        <v>1681</v>
      </c>
      <c r="B118" s="758" t="s">
        <v>3925</v>
      </c>
      <c r="C118" s="741" t="s">
        <v>3926</v>
      </c>
      <c r="D118" s="745"/>
      <c r="E118" s="752"/>
      <c r="F118" s="752"/>
      <c r="G118" s="752"/>
      <c r="H118" s="132" t="s">
        <v>3927</v>
      </c>
      <c r="I118" s="748"/>
      <c r="J118" s="752"/>
      <c r="K118" s="752"/>
      <c r="L118" s="742" t="s">
        <v>3928</v>
      </c>
      <c r="M118" s="779" t="s">
        <v>3932</v>
      </c>
      <c r="N118" s="752"/>
      <c r="O118" s="752"/>
      <c r="P118" s="752" t="s">
        <v>3935</v>
      </c>
      <c r="Q118" s="752"/>
      <c r="R118" s="753"/>
      <c r="S118" s="752"/>
      <c r="T118" s="752"/>
      <c r="U118" s="752"/>
      <c r="V118" s="752"/>
      <c r="W118" s="752"/>
      <c r="X118" s="752"/>
      <c r="Y118" s="747"/>
      <c r="Z118" s="752"/>
      <c r="AA118" s="752"/>
      <c r="AB118" s="752"/>
      <c r="AC118" s="752"/>
      <c r="AD118" s="752"/>
      <c r="AE118" s="747"/>
      <c r="AF118" s="752"/>
      <c r="AG118" s="752"/>
      <c r="AH118" s="752"/>
      <c r="AI118" s="752"/>
      <c r="AJ118" s="752"/>
      <c r="AK118" s="752"/>
      <c r="AL118" s="752"/>
      <c r="AM118" s="752"/>
      <c r="AN118" s="752"/>
      <c r="AO118" s="385" t="s">
        <v>3936</v>
      </c>
      <c r="AP118" s="752"/>
      <c r="AQ118" s="752"/>
      <c r="AR118" s="747"/>
      <c r="AS118" s="752"/>
      <c r="AT118" s="752"/>
      <c r="AU118" s="752" t="s">
        <v>3939</v>
      </c>
      <c r="AV118" s="748"/>
      <c r="AW118" s="752"/>
      <c r="AX118" s="781" t="s">
        <v>3940</v>
      </c>
      <c r="AY118" s="752"/>
      <c r="AZ118" s="752"/>
      <c r="BA118" s="752"/>
      <c r="BB118" s="752"/>
      <c r="BC118" s="752"/>
      <c r="BD118" s="752"/>
      <c r="BE118" s="747"/>
      <c r="BF118" s="752"/>
      <c r="BG118" s="752"/>
      <c r="BH118" s="752"/>
      <c r="BI118" s="752"/>
      <c r="BJ118" s="752"/>
      <c r="BK118" s="752"/>
      <c r="BL118" s="781" t="s">
        <v>3941</v>
      </c>
      <c r="BM118" s="747"/>
      <c r="BN118" s="747"/>
      <c r="BO118" s="747"/>
      <c r="BP118" s="747"/>
      <c r="BQ118" s="747"/>
      <c r="BR118" s="747"/>
      <c r="BS118" s="747"/>
      <c r="BT118" s="747"/>
      <c r="BU118" s="747"/>
      <c r="BV118" s="747"/>
      <c r="BW118" s="747"/>
      <c r="BX118" s="747"/>
    </row>
    <row r="119" ht="15.75" customHeight="1">
      <c r="A119" s="775"/>
      <c r="B119" s="763" t="s">
        <v>3943</v>
      </c>
      <c r="C119" s="741" t="s">
        <v>3755</v>
      </c>
      <c r="D119" s="219"/>
      <c r="E119" s="752" t="s">
        <v>3945</v>
      </c>
      <c r="F119" s="752"/>
      <c r="G119" s="752"/>
      <c r="H119" s="132" t="s">
        <v>3489</v>
      </c>
      <c r="I119" s="748"/>
      <c r="J119" s="752"/>
      <c r="K119" s="742" t="s">
        <v>479</v>
      </c>
      <c r="L119" s="752" t="s">
        <v>396</v>
      </c>
      <c r="M119" s="219"/>
      <c r="N119" s="752" t="s">
        <v>802</v>
      </c>
      <c r="O119" s="752"/>
      <c r="P119" s="752"/>
      <c r="Q119" s="752"/>
      <c r="R119" s="753" t="s">
        <v>3949</v>
      </c>
      <c r="S119" s="752" t="s">
        <v>3950</v>
      </c>
      <c r="T119" s="752" t="s">
        <v>3369</v>
      </c>
      <c r="U119" s="752" t="s">
        <v>2358</v>
      </c>
      <c r="V119" s="752"/>
      <c r="W119" s="752"/>
      <c r="X119" s="752" t="s">
        <v>3951</v>
      </c>
      <c r="Y119" s="186"/>
      <c r="Z119" s="752"/>
      <c r="AA119" s="752"/>
      <c r="AB119" s="752"/>
      <c r="AC119" s="752"/>
      <c r="AD119" s="757" t="s">
        <v>3054</v>
      </c>
      <c r="AE119" s="186"/>
      <c r="AF119" s="752"/>
      <c r="AG119" s="752"/>
      <c r="AH119" s="752"/>
      <c r="AI119" s="752"/>
      <c r="AJ119" s="752"/>
      <c r="AK119" s="752"/>
      <c r="AL119" s="752"/>
      <c r="AM119" s="752"/>
      <c r="AN119" s="752"/>
      <c r="AO119" s="748"/>
      <c r="AP119" s="752"/>
      <c r="AQ119" s="752"/>
      <c r="AR119" s="186"/>
      <c r="AS119" s="752"/>
      <c r="AT119" s="752"/>
      <c r="AU119" s="752"/>
      <c r="AV119" s="748"/>
      <c r="AW119" s="752"/>
      <c r="AX119" s="186"/>
      <c r="AY119" s="752"/>
      <c r="AZ119" s="752"/>
      <c r="BA119" s="752"/>
      <c r="BB119" s="752"/>
      <c r="BC119" s="752"/>
      <c r="BD119" s="752"/>
      <c r="BE119" s="186"/>
      <c r="BF119" s="752"/>
      <c r="BG119" s="752"/>
      <c r="BH119" s="752"/>
      <c r="BI119" s="752"/>
      <c r="BJ119" s="752"/>
      <c r="BK119" s="752"/>
      <c r="BL119" s="186"/>
      <c r="BM119" s="186"/>
      <c r="BN119" s="186"/>
      <c r="BO119" s="186"/>
      <c r="BP119" s="186"/>
      <c r="BQ119" s="186"/>
      <c r="BR119" s="186"/>
      <c r="BS119" s="186"/>
      <c r="BT119" s="186"/>
      <c r="BU119" s="186"/>
      <c r="BV119" s="186"/>
      <c r="BW119" s="186"/>
      <c r="BX119" s="186"/>
    </row>
    <row r="120" ht="15.75" customHeight="1">
      <c r="A120" s="785"/>
      <c r="B120" s="786" t="s">
        <v>3954</v>
      </c>
      <c r="C120" s="741" t="s">
        <v>3955</v>
      </c>
      <c r="D120" s="182" t="s">
        <v>3959</v>
      </c>
      <c r="E120" s="174" t="s">
        <v>3963</v>
      </c>
      <c r="F120" s="742" t="s">
        <v>3955</v>
      </c>
      <c r="G120" s="752" t="s">
        <v>2076</v>
      </c>
      <c r="H120" s="222"/>
      <c r="I120" s="748"/>
      <c r="J120" s="742" t="s">
        <v>672</v>
      </c>
      <c r="K120" s="742" t="s">
        <v>3967</v>
      </c>
      <c r="L120" s="742" t="s">
        <v>2358</v>
      </c>
      <c r="M120" s="745"/>
      <c r="N120" s="742"/>
      <c r="O120" s="742" t="s">
        <v>3185</v>
      </c>
      <c r="P120" s="742"/>
      <c r="Q120" s="742" t="s">
        <v>3972</v>
      </c>
      <c r="R120" s="746" t="s">
        <v>3974</v>
      </c>
      <c r="S120" s="742" t="s">
        <v>3976</v>
      </c>
      <c r="T120" s="742"/>
      <c r="U120" s="742" t="s">
        <v>3978</v>
      </c>
      <c r="V120" s="742"/>
      <c r="W120" s="742" t="s">
        <v>483</v>
      </c>
      <c r="X120" s="742"/>
      <c r="Y120" s="747"/>
      <c r="Z120" s="742"/>
      <c r="AA120" s="742"/>
      <c r="AB120" s="742"/>
      <c r="AC120" s="742"/>
      <c r="AD120" s="742"/>
      <c r="AE120" s="747"/>
      <c r="AF120" s="742"/>
      <c r="AG120" s="742"/>
      <c r="AH120" s="742"/>
      <c r="AI120" s="742"/>
      <c r="AJ120" s="742"/>
      <c r="AK120" s="742"/>
      <c r="AL120" s="742"/>
      <c r="AM120" s="742"/>
      <c r="AN120" s="742"/>
      <c r="AO120" s="748"/>
      <c r="AP120" s="742"/>
      <c r="AQ120" s="742"/>
      <c r="AR120" s="747"/>
      <c r="AS120" s="742"/>
      <c r="AT120" s="742"/>
      <c r="AU120" s="742"/>
      <c r="AV120" s="748"/>
      <c r="AW120" s="742"/>
      <c r="AX120" s="747"/>
      <c r="AY120" s="742"/>
      <c r="AZ120" s="742"/>
      <c r="BA120" s="742"/>
      <c r="BB120" s="742"/>
      <c r="BC120" s="742"/>
      <c r="BD120" s="742"/>
      <c r="BE120" s="747"/>
      <c r="BF120" s="742"/>
      <c r="BG120" s="742"/>
      <c r="BH120" s="742"/>
      <c r="BI120" s="742"/>
      <c r="BJ120" s="742"/>
      <c r="BK120" s="742"/>
      <c r="BL120" s="747"/>
      <c r="BM120" s="747"/>
      <c r="BN120" s="747"/>
      <c r="BO120" s="747"/>
      <c r="BP120" s="747"/>
      <c r="BQ120" s="747"/>
      <c r="BR120" s="747"/>
      <c r="BS120" s="747"/>
      <c r="BT120" s="747"/>
      <c r="BU120" s="747"/>
      <c r="BV120" s="747"/>
      <c r="BW120" s="747"/>
      <c r="BX120" s="747"/>
    </row>
    <row r="121" ht="15.75" customHeight="1">
      <c r="A121" s="775"/>
      <c r="B121" s="763" t="s">
        <v>3985</v>
      </c>
      <c r="C121" s="741" t="s">
        <v>3986</v>
      </c>
      <c r="D121" s="124" t="s">
        <v>3990</v>
      </c>
      <c r="E121" s="752"/>
      <c r="F121" s="752"/>
      <c r="G121" s="752"/>
      <c r="H121" s="222"/>
      <c r="I121" s="748"/>
      <c r="J121" s="752"/>
      <c r="K121" s="752"/>
      <c r="L121" s="752"/>
      <c r="M121" s="219"/>
      <c r="N121" s="752"/>
      <c r="O121" s="752"/>
      <c r="P121" s="752"/>
      <c r="Q121" s="752"/>
      <c r="R121" s="753"/>
      <c r="S121" s="752"/>
      <c r="T121" s="752"/>
      <c r="U121" s="752"/>
      <c r="V121" s="752" t="s">
        <v>3994</v>
      </c>
      <c r="W121" s="752"/>
      <c r="X121" s="752"/>
      <c r="Y121" s="186"/>
      <c r="Z121" s="752"/>
      <c r="AA121" s="752"/>
      <c r="AB121" s="752"/>
      <c r="AC121" s="752"/>
      <c r="AD121" s="752"/>
      <c r="AE121" s="186"/>
      <c r="AF121" s="752"/>
      <c r="AG121" s="752"/>
      <c r="AH121" s="752"/>
      <c r="AI121" s="752"/>
      <c r="AJ121" s="752"/>
      <c r="AK121" s="752"/>
      <c r="AL121" s="752"/>
      <c r="AM121" s="752"/>
      <c r="AN121" s="752"/>
      <c r="AO121" s="748"/>
      <c r="AP121" s="752"/>
      <c r="AQ121" s="752"/>
      <c r="AR121" s="186"/>
      <c r="AS121" s="752"/>
      <c r="AT121" s="752"/>
      <c r="AU121" s="752"/>
      <c r="AV121" s="748"/>
      <c r="AW121" s="752"/>
      <c r="AX121" s="186"/>
      <c r="AY121" s="752"/>
      <c r="AZ121" s="752"/>
      <c r="BA121" s="752"/>
      <c r="BB121" s="752"/>
      <c r="BC121" s="752"/>
      <c r="BD121" s="752"/>
      <c r="BE121" s="186"/>
      <c r="BF121" s="752"/>
      <c r="BG121" s="752"/>
      <c r="BH121" s="752"/>
      <c r="BI121" s="752"/>
      <c r="BJ121" s="752"/>
      <c r="BK121" s="752"/>
      <c r="BL121" s="186"/>
      <c r="BM121" s="186"/>
      <c r="BN121" s="186"/>
      <c r="BO121" s="186"/>
      <c r="BP121" s="186"/>
      <c r="BQ121" s="186"/>
      <c r="BR121" s="186"/>
      <c r="BS121" s="186"/>
      <c r="BT121" s="186"/>
      <c r="BU121" s="186"/>
      <c r="BV121" s="186"/>
      <c r="BW121" s="186"/>
      <c r="BX121" s="186"/>
    </row>
    <row r="122" ht="15.75" customHeight="1">
      <c r="A122" s="739" t="s">
        <v>3997</v>
      </c>
      <c r="B122" s="770" t="s">
        <v>1704</v>
      </c>
      <c r="C122" s="741" t="s">
        <v>3998</v>
      </c>
      <c r="D122" s="795" t="s">
        <v>4001</v>
      </c>
      <c r="E122" s="70" t="s">
        <v>4002</v>
      </c>
      <c r="F122" s="752"/>
      <c r="G122" s="752" t="s">
        <v>4004</v>
      </c>
      <c r="H122" s="222"/>
      <c r="I122" s="744" t="s">
        <v>4001</v>
      </c>
      <c r="J122" s="752" t="s">
        <v>4006</v>
      </c>
      <c r="K122" s="752"/>
      <c r="L122" s="752" t="s">
        <v>4007</v>
      </c>
      <c r="M122" s="219"/>
      <c r="N122" s="742" t="s">
        <v>3998</v>
      </c>
      <c r="O122" s="752"/>
      <c r="P122" s="752"/>
      <c r="Q122" s="752"/>
      <c r="R122" s="753"/>
      <c r="S122" s="752"/>
      <c r="T122" s="752"/>
      <c r="U122" s="752"/>
      <c r="V122" s="752"/>
      <c r="W122" s="752"/>
      <c r="X122" s="752"/>
      <c r="Y122" s="186"/>
      <c r="Z122" s="752"/>
      <c r="AA122" s="752"/>
      <c r="AB122" s="752"/>
      <c r="AC122" s="752"/>
      <c r="AD122" s="752"/>
      <c r="AE122" s="186"/>
      <c r="AF122" s="752"/>
      <c r="AG122" s="752"/>
      <c r="AH122" s="752"/>
      <c r="AI122" s="752"/>
      <c r="AJ122" s="752"/>
      <c r="AK122" s="752"/>
      <c r="AL122" s="752" t="s">
        <v>3645</v>
      </c>
      <c r="AM122" s="752"/>
      <c r="AN122" s="752"/>
      <c r="AO122" s="748"/>
      <c r="AP122" s="752"/>
      <c r="AQ122" s="752" t="s">
        <v>4010</v>
      </c>
      <c r="AR122" s="186"/>
      <c r="AS122" s="752"/>
      <c r="AT122" s="752"/>
      <c r="AU122" s="752"/>
      <c r="AV122" s="748"/>
      <c r="AW122" s="752"/>
      <c r="AX122" s="186"/>
      <c r="AY122" s="752"/>
      <c r="AZ122" s="752"/>
      <c r="BA122" s="752"/>
      <c r="BB122" s="752"/>
      <c r="BC122" s="752"/>
      <c r="BD122" s="752"/>
      <c r="BE122" s="186"/>
      <c r="BF122" s="752"/>
      <c r="BG122" s="752"/>
      <c r="BH122" s="752"/>
      <c r="BI122" s="752"/>
      <c r="BJ122" s="752"/>
      <c r="BK122" s="752"/>
      <c r="BL122" s="186"/>
      <c r="BM122" s="186"/>
      <c r="BN122" s="186"/>
      <c r="BO122" s="186"/>
      <c r="BP122" s="186"/>
      <c r="BQ122" s="186"/>
      <c r="BR122" s="186"/>
      <c r="BS122" s="186"/>
      <c r="BT122" s="186"/>
      <c r="BU122" s="186"/>
      <c r="BV122" s="186"/>
      <c r="BW122" s="186"/>
      <c r="BX122" s="186"/>
    </row>
    <row r="123" ht="15.75" customHeight="1">
      <c r="A123" s="749" t="s">
        <v>3602</v>
      </c>
      <c r="B123" s="750" t="s">
        <v>1704</v>
      </c>
      <c r="C123" s="783" t="s">
        <v>4014</v>
      </c>
      <c r="D123" s="795" t="s">
        <v>4014</v>
      </c>
      <c r="E123" s="521" t="s">
        <v>4016</v>
      </c>
      <c r="F123" s="752"/>
      <c r="G123" s="752"/>
      <c r="H123" s="222"/>
      <c r="I123" s="744" t="s">
        <v>4017</v>
      </c>
      <c r="J123" s="752"/>
      <c r="K123" s="752"/>
      <c r="L123" s="752"/>
      <c r="M123" s="219"/>
      <c r="N123" s="752"/>
      <c r="O123" s="752"/>
      <c r="P123" s="752"/>
      <c r="Q123" s="752"/>
      <c r="R123" s="753"/>
      <c r="S123" s="752"/>
      <c r="T123" s="752"/>
      <c r="U123" s="752"/>
      <c r="V123" s="752"/>
      <c r="W123" s="752"/>
      <c r="X123" s="752"/>
      <c r="Y123" s="186"/>
      <c r="Z123" s="752"/>
      <c r="AA123" s="752"/>
      <c r="AB123" s="752"/>
      <c r="AC123" s="752"/>
      <c r="AD123" s="752"/>
      <c r="AE123" s="186"/>
      <c r="AF123" s="752"/>
      <c r="AG123" s="752"/>
      <c r="AH123" s="752"/>
      <c r="AI123" s="752"/>
      <c r="AJ123" s="752"/>
      <c r="AK123" s="752"/>
      <c r="AL123" s="752"/>
      <c r="AM123" s="752"/>
      <c r="AN123" s="752"/>
      <c r="AO123" s="748"/>
      <c r="AP123" s="752"/>
      <c r="AQ123" s="752"/>
      <c r="AR123" s="186"/>
      <c r="AS123" s="752"/>
      <c r="AT123" s="752"/>
      <c r="AU123" s="752"/>
      <c r="AV123" s="748"/>
      <c r="AW123" s="752"/>
      <c r="AX123" s="186"/>
      <c r="AY123" s="752"/>
      <c r="AZ123" s="752"/>
      <c r="BA123" s="752"/>
      <c r="BB123" s="752"/>
      <c r="BC123" s="752"/>
      <c r="BD123" s="752"/>
      <c r="BE123" s="186"/>
      <c r="BF123" s="752"/>
      <c r="BG123" s="752"/>
      <c r="BH123" s="752"/>
      <c r="BI123" s="752"/>
      <c r="BJ123" s="752"/>
      <c r="BK123" s="752"/>
      <c r="BL123" s="186"/>
      <c r="BM123" s="186"/>
      <c r="BN123" s="186"/>
      <c r="BO123" s="186"/>
      <c r="BP123" s="186"/>
      <c r="BQ123" s="186"/>
      <c r="BR123" s="186"/>
      <c r="BS123" s="186"/>
      <c r="BT123" s="186"/>
      <c r="BU123" s="186"/>
      <c r="BV123" s="186"/>
      <c r="BW123" s="186"/>
      <c r="BX123" s="186"/>
    </row>
    <row r="124" ht="15.75" customHeight="1">
      <c r="A124" s="739" t="s">
        <v>180</v>
      </c>
      <c r="B124" s="770" t="s">
        <v>187</v>
      </c>
      <c r="C124" s="741" t="s">
        <v>1578</v>
      </c>
      <c r="D124" s="124" t="s">
        <v>4024</v>
      </c>
      <c r="E124" s="70" t="s">
        <v>1899</v>
      </c>
      <c r="F124" s="752"/>
      <c r="G124" s="752"/>
      <c r="H124" s="132" t="s">
        <v>2822</v>
      </c>
      <c r="I124" s="385" t="s">
        <v>1635</v>
      </c>
      <c r="J124" s="742" t="str">
        <f>HYPERLINK("https://youtu.be/JiJPMQx9xwU","31.85")</f>
        <v>31.85</v>
      </c>
      <c r="K124" s="752"/>
      <c r="L124" s="752"/>
      <c r="M124" s="745"/>
      <c r="N124" s="752" t="s">
        <v>3845</v>
      </c>
      <c r="O124" s="752" t="s">
        <v>429</v>
      </c>
      <c r="P124" s="752"/>
      <c r="Q124" s="742" t="s">
        <v>600</v>
      </c>
      <c r="R124" s="753"/>
      <c r="S124" s="752"/>
      <c r="T124" s="752"/>
      <c r="U124" s="752"/>
      <c r="V124" s="752"/>
      <c r="W124" s="752"/>
      <c r="X124" s="752"/>
      <c r="Y124" s="747"/>
      <c r="Z124" s="752"/>
      <c r="AA124" s="752"/>
      <c r="AB124" s="752"/>
      <c r="AC124" s="752"/>
      <c r="AD124" s="752"/>
      <c r="AE124" s="747"/>
      <c r="AF124" s="752"/>
      <c r="AG124" s="752"/>
      <c r="AH124" s="752"/>
      <c r="AI124" s="752"/>
      <c r="AJ124" s="752"/>
      <c r="AK124" s="752"/>
      <c r="AL124" s="752"/>
      <c r="AM124" s="752"/>
      <c r="AN124" s="752"/>
      <c r="AO124" s="748"/>
      <c r="AP124" s="752"/>
      <c r="AQ124" s="752"/>
      <c r="AR124" s="747"/>
      <c r="AS124" s="752"/>
      <c r="AT124" s="752"/>
      <c r="AU124" s="752"/>
      <c r="AV124" s="748"/>
      <c r="AW124" s="752"/>
      <c r="AX124" s="747"/>
      <c r="AY124" s="752"/>
      <c r="AZ124" s="752"/>
      <c r="BA124" s="752"/>
      <c r="BB124" s="752"/>
      <c r="BC124" s="752"/>
      <c r="BD124" s="752"/>
      <c r="BE124" s="747"/>
      <c r="BF124" s="752"/>
      <c r="BG124" s="752"/>
      <c r="BH124" s="752"/>
      <c r="BI124" s="752"/>
      <c r="BJ124" s="752"/>
      <c r="BK124" s="752"/>
      <c r="BL124" s="747"/>
      <c r="BM124" s="747"/>
      <c r="BN124" s="747"/>
      <c r="BO124" s="747"/>
      <c r="BP124" s="747"/>
      <c r="BQ124" s="747"/>
      <c r="BR124" s="747"/>
      <c r="BS124" s="747"/>
      <c r="BT124" s="747"/>
      <c r="BU124" s="747"/>
      <c r="BV124" s="747"/>
      <c r="BW124" s="747"/>
      <c r="BX124" s="747"/>
    </row>
    <row r="125" ht="15.75" customHeight="1">
      <c r="A125" s="739" t="s">
        <v>171</v>
      </c>
      <c r="B125" s="770" t="s">
        <v>3721</v>
      </c>
      <c r="C125" s="741" t="s">
        <v>4034</v>
      </c>
      <c r="D125" s="292" t="s">
        <v>4038</v>
      </c>
      <c r="E125" s="70" t="s">
        <v>4040</v>
      </c>
      <c r="F125" s="752"/>
      <c r="G125" s="752"/>
      <c r="H125" s="222"/>
      <c r="I125" s="748"/>
      <c r="J125" s="742" t="s">
        <v>4042</v>
      </c>
      <c r="K125" s="752"/>
      <c r="L125" s="752"/>
      <c r="M125" s="219"/>
      <c r="N125" s="752" t="s">
        <v>4003</v>
      </c>
      <c r="O125" s="752"/>
      <c r="P125" s="752"/>
      <c r="Q125" s="752"/>
      <c r="R125" s="753"/>
      <c r="S125" s="752"/>
      <c r="T125" s="752"/>
      <c r="U125" s="752"/>
      <c r="V125" s="752"/>
      <c r="W125" s="752"/>
      <c r="X125" s="752"/>
      <c r="Y125" s="186"/>
      <c r="Z125" s="752"/>
      <c r="AA125" s="752"/>
      <c r="AB125" s="752"/>
      <c r="AC125" s="752"/>
      <c r="AD125" s="752"/>
      <c r="AE125" s="186"/>
      <c r="AF125" s="752"/>
      <c r="AG125" s="752"/>
      <c r="AH125" s="752"/>
      <c r="AI125" s="752"/>
      <c r="AJ125" s="752"/>
      <c r="AK125" s="752"/>
      <c r="AL125" s="752"/>
      <c r="AM125" s="752"/>
      <c r="AN125" s="752"/>
      <c r="AO125" s="748"/>
      <c r="AP125" s="752"/>
      <c r="AQ125" s="752"/>
      <c r="AR125" s="186"/>
      <c r="AS125" s="752"/>
      <c r="AT125" s="752"/>
      <c r="AU125" s="752"/>
      <c r="AV125" s="748"/>
      <c r="AW125" s="752"/>
      <c r="AX125" s="186"/>
      <c r="AY125" s="752"/>
      <c r="AZ125" s="752"/>
      <c r="BA125" s="752"/>
      <c r="BB125" s="752"/>
      <c r="BC125" s="752"/>
      <c r="BD125" s="752"/>
      <c r="BE125" s="186"/>
      <c r="BF125" s="752"/>
      <c r="BG125" s="752"/>
      <c r="BH125" s="752"/>
      <c r="BI125" s="752"/>
      <c r="BJ125" s="752"/>
      <c r="BK125" s="752"/>
      <c r="BL125" s="186"/>
      <c r="BM125" s="186"/>
      <c r="BN125" s="186"/>
      <c r="BO125" s="186"/>
      <c r="BP125" s="186"/>
      <c r="BQ125" s="186"/>
      <c r="BR125" s="186"/>
      <c r="BS125" s="186"/>
      <c r="BT125" s="186"/>
      <c r="BU125" s="186"/>
      <c r="BV125" s="186"/>
      <c r="BW125" s="186"/>
      <c r="BX125" s="186"/>
    </row>
    <row r="126">
      <c r="A126" s="799" t="s">
        <v>38</v>
      </c>
      <c r="D126" s="800"/>
      <c r="E126" s="801"/>
      <c r="F126" s="801"/>
      <c r="G126" s="801"/>
      <c r="H126" s="802"/>
      <c r="I126" s="801"/>
      <c r="J126" s="801"/>
      <c r="K126" s="801"/>
      <c r="L126" s="801"/>
      <c r="M126" s="800"/>
      <c r="N126" s="801"/>
      <c r="O126" s="801"/>
      <c r="P126" s="801"/>
      <c r="Q126" s="801"/>
      <c r="R126" s="803"/>
      <c r="S126" s="801"/>
      <c r="T126" s="801"/>
      <c r="U126" s="801"/>
      <c r="V126" s="801"/>
      <c r="W126" s="801"/>
      <c r="X126" s="801"/>
      <c r="Y126" s="804"/>
      <c r="Z126" s="801"/>
      <c r="AA126" s="801"/>
      <c r="AB126" s="801"/>
      <c r="AC126" s="801"/>
      <c r="AD126" s="801"/>
      <c r="AE126" s="804"/>
      <c r="AF126" s="801"/>
      <c r="AG126" s="801"/>
      <c r="AH126" s="801"/>
      <c r="AI126" s="801"/>
      <c r="AJ126" s="801"/>
      <c r="AK126" s="801"/>
      <c r="AL126" s="801"/>
      <c r="AM126" s="801"/>
      <c r="AN126" s="801"/>
      <c r="AO126" s="801"/>
      <c r="AP126" s="801"/>
      <c r="AQ126" s="801"/>
      <c r="AR126" s="804"/>
      <c r="AS126" s="801"/>
      <c r="AT126" s="801"/>
      <c r="AU126" s="801"/>
      <c r="AV126" s="801"/>
      <c r="AW126" s="801"/>
      <c r="AX126" s="804"/>
      <c r="AY126" s="801"/>
      <c r="AZ126" s="801"/>
      <c r="BA126" s="801"/>
      <c r="BB126" s="801"/>
      <c r="BC126" s="801"/>
      <c r="BD126" s="801"/>
      <c r="BE126" s="804"/>
      <c r="BF126" s="801"/>
      <c r="BG126" s="801"/>
      <c r="BH126" s="801"/>
      <c r="BI126" s="801"/>
      <c r="BJ126" s="801"/>
      <c r="BK126" s="801"/>
      <c r="BL126" s="804"/>
      <c r="BM126" s="804"/>
      <c r="BN126" s="804"/>
      <c r="BO126" s="804"/>
      <c r="BP126" s="804"/>
      <c r="BQ126" s="804"/>
      <c r="BR126" s="804"/>
      <c r="BS126" s="804"/>
      <c r="BT126" s="804"/>
      <c r="BU126" s="804"/>
      <c r="BV126" s="804"/>
      <c r="BW126" s="804"/>
      <c r="BX126" s="804"/>
    </row>
    <row r="127" ht="15.75" customHeight="1">
      <c r="A127" s="805" t="s">
        <v>4052</v>
      </c>
      <c r="B127" s="806"/>
      <c r="C127" s="741" t="s">
        <v>4054</v>
      </c>
      <c r="D127" s="182" t="s">
        <v>4056</v>
      </c>
      <c r="E127" s="742" t="s">
        <v>4058</v>
      </c>
      <c r="F127" s="742" t="s">
        <v>4059</v>
      </c>
      <c r="G127" s="742" t="s">
        <v>4054</v>
      </c>
      <c r="H127" s="222"/>
      <c r="I127" s="748"/>
      <c r="J127" s="742"/>
      <c r="K127" s="742"/>
      <c r="L127" s="742"/>
      <c r="M127" s="808"/>
      <c r="N127" s="742" t="s">
        <v>4059</v>
      </c>
      <c r="O127" s="742"/>
      <c r="P127" s="742"/>
      <c r="Q127" s="742"/>
      <c r="R127" s="746" t="s">
        <v>4063</v>
      </c>
      <c r="S127" s="742"/>
      <c r="T127" s="742"/>
      <c r="U127" s="742"/>
      <c r="V127" s="742" t="s">
        <v>4064</v>
      </c>
      <c r="W127" s="742"/>
      <c r="X127" s="742"/>
      <c r="Y127" s="809"/>
      <c r="Z127" s="742" t="s">
        <v>4063</v>
      </c>
      <c r="AA127" s="742"/>
      <c r="AB127" s="742"/>
      <c r="AC127" s="742" t="s">
        <v>4056</v>
      </c>
      <c r="AD127" s="742"/>
      <c r="AE127" s="809"/>
      <c r="AF127" s="742"/>
      <c r="AG127" s="742"/>
      <c r="AH127" s="742"/>
      <c r="AI127" s="742"/>
      <c r="AJ127" s="742"/>
      <c r="AK127" s="742"/>
      <c r="AL127" s="742"/>
      <c r="AM127" s="742"/>
      <c r="AN127" s="742"/>
      <c r="AO127" s="748"/>
      <c r="AP127" s="742"/>
      <c r="AQ127" s="742"/>
      <c r="AR127" s="809"/>
      <c r="AS127" s="742"/>
      <c r="AT127" s="742"/>
      <c r="AU127" s="742"/>
      <c r="AV127" s="748"/>
      <c r="AW127" s="742"/>
      <c r="AX127" s="809"/>
      <c r="AY127" s="742"/>
      <c r="AZ127" s="742"/>
      <c r="BA127" s="742"/>
      <c r="BB127" s="742"/>
      <c r="BC127" s="742"/>
      <c r="BD127" s="742"/>
      <c r="BE127" s="809"/>
      <c r="BF127" s="742"/>
      <c r="BG127" s="742"/>
      <c r="BH127" s="742"/>
      <c r="BI127" s="742"/>
      <c r="BJ127" s="742"/>
      <c r="BK127" s="742"/>
      <c r="BL127" s="809"/>
      <c r="BM127" s="809"/>
      <c r="BN127" s="809"/>
      <c r="BO127" s="809"/>
      <c r="BP127" s="809"/>
      <c r="BQ127" s="809"/>
      <c r="BR127" s="809"/>
      <c r="BS127" s="809"/>
      <c r="BT127" s="809"/>
      <c r="BU127" s="809"/>
      <c r="BV127" s="809"/>
      <c r="BW127" s="809"/>
      <c r="BX127" s="809"/>
    </row>
    <row r="128" ht="15.75" customHeight="1">
      <c r="A128" s="805" t="s">
        <v>186</v>
      </c>
      <c r="B128" s="810" t="s">
        <v>4067</v>
      </c>
      <c r="C128" s="741"/>
      <c r="D128" s="808"/>
      <c r="E128" s="752"/>
      <c r="F128" s="752"/>
      <c r="G128" s="752"/>
      <c r="H128" s="222"/>
      <c r="I128" s="748"/>
      <c r="J128" s="752"/>
      <c r="K128" s="752"/>
      <c r="L128" s="752"/>
      <c r="M128" s="219"/>
      <c r="N128" s="752"/>
      <c r="O128" s="752"/>
      <c r="P128" s="752"/>
      <c r="Q128" s="752"/>
      <c r="R128" s="753"/>
      <c r="S128" s="752"/>
      <c r="T128" s="752"/>
      <c r="U128" s="752"/>
      <c r="V128" s="752"/>
      <c r="W128" s="752"/>
      <c r="X128" s="752"/>
      <c r="Y128" s="186"/>
      <c r="Z128" s="752"/>
      <c r="AA128" s="752"/>
      <c r="AB128" s="752"/>
      <c r="AC128" s="752"/>
      <c r="AD128" s="752"/>
      <c r="AE128" s="186"/>
      <c r="AF128" s="752"/>
      <c r="AG128" s="752"/>
      <c r="AH128" s="752"/>
      <c r="AI128" s="752"/>
      <c r="AJ128" s="752"/>
      <c r="AK128" s="752"/>
      <c r="AL128" s="752"/>
      <c r="AM128" s="752"/>
      <c r="AN128" s="752"/>
      <c r="AO128" s="748"/>
      <c r="AP128" s="752"/>
      <c r="AQ128" s="752"/>
      <c r="AR128" s="186"/>
      <c r="AS128" s="752"/>
      <c r="AT128" s="752"/>
      <c r="AU128" s="752"/>
      <c r="AV128" s="748"/>
      <c r="AW128" s="752"/>
      <c r="AX128" s="186"/>
      <c r="AY128" s="752"/>
      <c r="AZ128" s="752"/>
      <c r="BA128" s="752"/>
      <c r="BB128" s="752"/>
      <c r="BC128" s="752"/>
      <c r="BD128" s="752"/>
      <c r="BE128" s="186"/>
      <c r="BF128" s="752"/>
      <c r="BG128" s="752"/>
      <c r="BH128" s="752"/>
      <c r="BI128" s="752"/>
      <c r="BJ128" s="752"/>
      <c r="BK128" s="752"/>
      <c r="BL128" s="186"/>
      <c r="BM128" s="186"/>
      <c r="BN128" s="186"/>
      <c r="BO128" s="186"/>
      <c r="BP128" s="186"/>
      <c r="BQ128" s="186"/>
      <c r="BR128" s="186"/>
      <c r="BS128" s="186"/>
      <c r="BT128" s="186"/>
      <c r="BU128" s="186"/>
      <c r="BV128" s="186"/>
      <c r="BW128" s="186"/>
      <c r="BX128" s="186"/>
    </row>
    <row r="129" ht="15.75" customHeight="1">
      <c r="A129" s="812"/>
      <c r="B129" s="813" t="s">
        <v>4071</v>
      </c>
      <c r="C129" s="741" t="s">
        <v>4072</v>
      </c>
      <c r="D129" s="219"/>
      <c r="E129" s="752"/>
      <c r="F129" s="752"/>
      <c r="G129" s="752"/>
      <c r="H129" s="132" t="s">
        <v>4072</v>
      </c>
      <c r="I129" s="748"/>
      <c r="J129" s="752"/>
      <c r="K129" s="752"/>
      <c r="L129" s="752"/>
      <c r="M129" s="814"/>
      <c r="N129" s="752"/>
      <c r="O129" s="752"/>
      <c r="P129" s="752"/>
      <c r="Q129" s="752"/>
      <c r="R129" s="753"/>
      <c r="S129" s="752"/>
      <c r="T129" s="752"/>
      <c r="U129" s="752"/>
      <c r="V129" s="752"/>
      <c r="W129" s="752"/>
      <c r="X129" s="752"/>
      <c r="Y129" s="809"/>
      <c r="Z129" s="752"/>
      <c r="AA129" s="752"/>
      <c r="AB129" s="752"/>
      <c r="AC129" s="752"/>
      <c r="AD129" s="132" t="s">
        <v>4075</v>
      </c>
      <c r="AE129" s="809"/>
      <c r="AF129" s="752"/>
      <c r="AG129" s="752"/>
      <c r="AH129" s="752"/>
      <c r="AI129" s="752"/>
      <c r="AJ129" s="752"/>
      <c r="AK129" s="752"/>
      <c r="AL129" s="752"/>
      <c r="AM129" s="752"/>
      <c r="AN129" s="752"/>
      <c r="AO129" s="748"/>
      <c r="AP129" s="752"/>
      <c r="AQ129" s="752"/>
      <c r="AR129" s="809"/>
      <c r="AS129" s="752"/>
      <c r="AT129" s="752"/>
      <c r="AU129" s="752"/>
      <c r="AV129" s="748"/>
      <c r="AW129" s="752"/>
      <c r="AX129" s="809"/>
      <c r="AY129" s="752"/>
      <c r="AZ129" s="752"/>
      <c r="BA129" s="752"/>
      <c r="BB129" s="752"/>
      <c r="BC129" s="752"/>
      <c r="BD129" s="752"/>
      <c r="BE129" s="809"/>
      <c r="BF129" s="752"/>
      <c r="BG129" s="752"/>
      <c r="BH129" s="752"/>
      <c r="BI129" s="752"/>
      <c r="BJ129" s="752"/>
      <c r="BK129" s="752"/>
      <c r="BL129" s="809"/>
      <c r="BM129" s="809"/>
      <c r="BN129" s="809"/>
      <c r="BO129" s="809"/>
      <c r="BP129" s="809"/>
      <c r="BQ129" s="809"/>
      <c r="BR129" s="809"/>
      <c r="BS129" s="809"/>
      <c r="BT129" s="809"/>
      <c r="BU129" s="809"/>
      <c r="BV129" s="809"/>
      <c r="BW129" s="809"/>
      <c r="BX129" s="809"/>
    </row>
    <row r="130" ht="15.75" customHeight="1">
      <c r="A130" s="816"/>
      <c r="B130" s="817" t="s">
        <v>4077</v>
      </c>
      <c r="C130" s="279" t="s">
        <v>4078</v>
      </c>
      <c r="D130" s="182" t="s">
        <v>4078</v>
      </c>
      <c r="E130" s="174" t="s">
        <v>569</v>
      </c>
      <c r="F130" s="752"/>
      <c r="G130" s="752"/>
      <c r="H130" s="132" t="s">
        <v>390</v>
      </c>
      <c r="I130" s="748"/>
      <c r="J130" s="752"/>
      <c r="K130" s="752" t="s">
        <v>4080</v>
      </c>
      <c r="L130" s="752" t="s">
        <v>4082</v>
      </c>
      <c r="M130" s="219"/>
      <c r="N130" s="752"/>
      <c r="O130" s="752"/>
      <c r="P130" s="752"/>
      <c r="Q130" s="752"/>
      <c r="R130" s="753" t="s">
        <v>4084</v>
      </c>
      <c r="S130" s="752"/>
      <c r="T130" s="752"/>
      <c r="U130" s="752"/>
      <c r="V130" s="752"/>
      <c r="W130" s="752"/>
      <c r="X130" s="752"/>
      <c r="Y130" s="186"/>
      <c r="Z130" s="752"/>
      <c r="AA130" s="752"/>
      <c r="AB130" s="752"/>
      <c r="AC130" s="752"/>
      <c r="AD130" s="752"/>
      <c r="AE130" s="186"/>
      <c r="AF130" s="752"/>
      <c r="AG130" s="752"/>
      <c r="AH130" s="752"/>
      <c r="AI130" s="752"/>
      <c r="AJ130" s="752"/>
      <c r="AK130" s="752"/>
      <c r="AL130" s="752"/>
      <c r="AM130" s="752"/>
      <c r="AN130" s="752"/>
      <c r="AO130" s="748"/>
      <c r="AP130" s="752"/>
      <c r="AQ130" s="752"/>
      <c r="AR130" s="186"/>
      <c r="AS130" s="752"/>
      <c r="AT130" s="752"/>
      <c r="AU130" s="752"/>
      <c r="AV130" s="748"/>
      <c r="AW130" s="752"/>
      <c r="AX130" s="186"/>
      <c r="AY130" s="752"/>
      <c r="AZ130" s="752"/>
      <c r="BA130" s="752"/>
      <c r="BB130" s="752"/>
      <c r="BC130" s="752"/>
      <c r="BD130" s="752"/>
      <c r="BE130" s="186"/>
      <c r="BF130" s="752"/>
      <c r="BG130" s="752"/>
      <c r="BH130" s="752"/>
      <c r="BI130" s="752"/>
      <c r="BJ130" s="752"/>
      <c r="BK130" s="752"/>
      <c r="BL130" s="186"/>
      <c r="BM130" s="186"/>
      <c r="BN130" s="186"/>
      <c r="BO130" s="186"/>
      <c r="BP130" s="186"/>
      <c r="BQ130" s="186"/>
      <c r="BR130" s="186"/>
      <c r="BS130" s="186"/>
      <c r="BT130" s="186"/>
      <c r="BU130" s="186"/>
      <c r="BV130" s="186"/>
      <c r="BW130" s="186"/>
      <c r="BX130" s="186"/>
    </row>
    <row r="131" ht="15.75" customHeight="1">
      <c r="A131" s="812"/>
      <c r="B131" s="813" t="s">
        <v>4086</v>
      </c>
      <c r="C131" s="119" t="s">
        <v>4087</v>
      </c>
      <c r="D131" s="124" t="s">
        <v>3781</v>
      </c>
      <c r="E131" s="752"/>
      <c r="F131" s="752"/>
      <c r="G131" s="385" t="s">
        <v>4087</v>
      </c>
      <c r="H131" s="132" t="s">
        <v>4090</v>
      </c>
      <c r="I131" s="748"/>
      <c r="J131" s="752"/>
      <c r="K131" s="752"/>
      <c r="L131" s="752"/>
      <c r="M131" s="808"/>
      <c r="N131" s="752"/>
      <c r="O131" s="752"/>
      <c r="P131" s="752"/>
      <c r="Q131" s="385" t="s">
        <v>4093</v>
      </c>
      <c r="R131" s="753"/>
      <c r="S131" s="752"/>
      <c r="T131" s="752"/>
      <c r="U131" s="752"/>
      <c r="V131" s="752" t="s">
        <v>4095</v>
      </c>
      <c r="W131" s="752"/>
      <c r="X131" s="752"/>
      <c r="Y131" s="809"/>
      <c r="Z131" s="752"/>
      <c r="AA131" s="752"/>
      <c r="AB131" s="752"/>
      <c r="AC131" s="752"/>
      <c r="AD131" s="752"/>
      <c r="AE131" s="809"/>
      <c r="AF131" s="752"/>
      <c r="AG131" s="752"/>
      <c r="AH131" s="752"/>
      <c r="AI131" s="752" t="s">
        <v>2440</v>
      </c>
      <c r="AJ131" s="752"/>
      <c r="AK131" s="752"/>
      <c r="AL131" s="752"/>
      <c r="AM131" s="752"/>
      <c r="AN131" s="752"/>
      <c r="AO131" s="748"/>
      <c r="AP131" s="752"/>
      <c r="AQ131" s="752"/>
      <c r="AR131" s="809"/>
      <c r="AS131" s="752"/>
      <c r="AT131" s="752"/>
      <c r="AU131" s="752"/>
      <c r="AV131" s="748"/>
      <c r="AW131" s="752"/>
      <c r="AX131" s="809"/>
      <c r="AY131" s="752"/>
      <c r="AZ131" s="752"/>
      <c r="BA131" s="752"/>
      <c r="BB131" s="752"/>
      <c r="BC131" s="752"/>
      <c r="BD131" s="752"/>
      <c r="BE131" s="809"/>
      <c r="BF131" s="752"/>
      <c r="BG131" s="752"/>
      <c r="BH131" s="752"/>
      <c r="BI131" s="752"/>
      <c r="BJ131" s="752"/>
      <c r="BK131" s="752"/>
      <c r="BL131" s="809"/>
      <c r="BM131" s="809"/>
      <c r="BN131" s="809"/>
      <c r="BO131" s="809"/>
      <c r="BP131" s="809"/>
      <c r="BQ131" s="809"/>
      <c r="BR131" s="809"/>
      <c r="BS131" s="809"/>
      <c r="BT131" s="809"/>
      <c r="BU131" s="809"/>
      <c r="BV131" s="809"/>
      <c r="BW131" s="809"/>
      <c r="BX131" s="809"/>
    </row>
    <row r="132" ht="15.75" customHeight="1">
      <c r="A132" s="826" t="s">
        <v>469</v>
      </c>
      <c r="B132" s="827" t="s">
        <v>187</v>
      </c>
      <c r="C132" s="741" t="s">
        <v>4103</v>
      </c>
      <c r="D132" s="829" t="s">
        <v>1499</v>
      </c>
      <c r="E132" s="748"/>
      <c r="F132" s="748"/>
      <c r="G132" s="385" t="s">
        <v>4103</v>
      </c>
      <c r="H132" s="222"/>
      <c r="I132" s="748"/>
      <c r="J132" s="748"/>
      <c r="K132" s="748"/>
      <c r="L132" s="748"/>
      <c r="M132" s="219"/>
      <c r="N132" s="748"/>
      <c r="O132" s="748"/>
      <c r="P132" s="748"/>
      <c r="Q132" s="748"/>
      <c r="R132" s="830"/>
      <c r="S132" s="748"/>
      <c r="T132" s="748"/>
      <c r="U132" s="748"/>
      <c r="V132" s="748"/>
      <c r="W132" s="748"/>
      <c r="X132" s="748"/>
      <c r="Y132" s="186"/>
      <c r="Z132" s="748"/>
      <c r="AA132" s="748"/>
      <c r="AB132" s="748"/>
      <c r="AC132" s="748"/>
      <c r="AD132" s="748"/>
      <c r="AE132" s="186"/>
      <c r="AF132" s="748"/>
      <c r="AG132" s="748"/>
      <c r="AH132" s="748"/>
      <c r="AI132" s="748"/>
      <c r="AJ132" s="748"/>
      <c r="AK132" s="748"/>
      <c r="AL132" s="748"/>
      <c r="AM132" s="748"/>
      <c r="AN132" s="748"/>
      <c r="AO132" s="748"/>
      <c r="AP132" s="748"/>
      <c r="AQ132" s="748"/>
      <c r="AR132" s="186"/>
      <c r="AS132" s="748"/>
      <c r="AT132" s="748"/>
      <c r="AU132" s="748"/>
      <c r="AV132" s="748"/>
      <c r="AW132" s="748"/>
      <c r="AX132" s="186"/>
      <c r="AY132" s="748"/>
      <c r="AZ132" s="748"/>
      <c r="BA132" s="748"/>
      <c r="BB132" s="748"/>
      <c r="BC132" s="748"/>
      <c r="BD132" s="748"/>
      <c r="BE132" s="186"/>
      <c r="BF132" s="748"/>
      <c r="BG132" s="748"/>
      <c r="BH132" s="748"/>
      <c r="BI132" s="748"/>
      <c r="BJ132" s="748"/>
      <c r="BK132" s="748"/>
      <c r="BL132" s="186"/>
      <c r="BM132" s="186"/>
      <c r="BN132" s="186"/>
      <c r="BO132" s="186"/>
      <c r="BP132" s="186"/>
      <c r="BQ132" s="186"/>
      <c r="BR132" s="186"/>
      <c r="BS132" s="186"/>
      <c r="BT132" s="186"/>
      <c r="BU132" s="186"/>
      <c r="BV132" s="186"/>
      <c r="BW132" s="186"/>
      <c r="BX132" s="186"/>
    </row>
    <row r="133" ht="15.75" customHeight="1">
      <c r="A133" s="831" t="s">
        <v>577</v>
      </c>
      <c r="B133" s="832" t="s">
        <v>187</v>
      </c>
      <c r="C133" s="741" t="s">
        <v>4106</v>
      </c>
      <c r="D133" s="182" t="s">
        <v>4107</v>
      </c>
      <c r="E133" s="752"/>
      <c r="F133" s="752"/>
      <c r="G133" s="132" t="s">
        <v>4106</v>
      </c>
      <c r="H133" s="132" t="s">
        <v>4107</v>
      </c>
      <c r="I133" s="748"/>
      <c r="J133" s="752"/>
      <c r="K133" s="752"/>
      <c r="L133" s="752"/>
      <c r="M133" s="808"/>
      <c r="N133" s="752"/>
      <c r="O133" s="752"/>
      <c r="P133" s="752"/>
      <c r="Q133" s="752"/>
      <c r="R133" s="753"/>
      <c r="S133" s="752"/>
      <c r="T133" s="752"/>
      <c r="U133" s="752"/>
      <c r="V133" s="752" t="s">
        <v>4106</v>
      </c>
      <c r="W133" s="752"/>
      <c r="X133" s="752"/>
      <c r="Y133" s="833" t="s">
        <v>4108</v>
      </c>
      <c r="Z133" s="752"/>
      <c r="AA133" s="752"/>
      <c r="AB133" s="752"/>
      <c r="AC133" s="752"/>
      <c r="AD133" s="752"/>
      <c r="AE133" s="809"/>
      <c r="AF133" s="752"/>
      <c r="AG133" s="752"/>
      <c r="AH133" s="752"/>
      <c r="AI133" s="752"/>
      <c r="AJ133" s="752"/>
      <c r="AK133" s="752"/>
      <c r="AL133" s="752"/>
      <c r="AM133" s="752"/>
      <c r="AN133" s="752"/>
      <c r="AO133" s="748"/>
      <c r="AP133" s="752"/>
      <c r="AQ133" s="752"/>
      <c r="AR133" s="809"/>
      <c r="AS133" s="752"/>
      <c r="AT133" s="752"/>
      <c r="AU133" s="752"/>
      <c r="AV133" s="748"/>
      <c r="AW133" s="752"/>
      <c r="AX133" s="809"/>
      <c r="AY133" s="752"/>
      <c r="AZ133" s="752"/>
      <c r="BA133" s="752"/>
      <c r="BB133" s="752"/>
      <c r="BC133" s="752"/>
      <c r="BD133" s="752"/>
      <c r="BE133" s="809"/>
      <c r="BF133" s="752"/>
      <c r="BG133" s="752"/>
      <c r="BH133" s="752"/>
      <c r="BI133" s="752"/>
      <c r="BJ133" s="752"/>
      <c r="BK133" s="752"/>
      <c r="BL133" s="809"/>
      <c r="BM133" s="809"/>
      <c r="BN133" s="809"/>
      <c r="BO133" s="809"/>
      <c r="BP133" s="809"/>
      <c r="BQ133" s="809"/>
      <c r="BR133" s="809"/>
      <c r="BS133" s="809"/>
      <c r="BT133" s="809"/>
      <c r="BU133" s="809"/>
      <c r="BV133" s="809"/>
      <c r="BW133" s="809"/>
      <c r="BX133" s="809"/>
    </row>
    <row r="134" ht="15.75" customHeight="1">
      <c r="A134" s="805" t="s">
        <v>285</v>
      </c>
      <c r="B134" s="806"/>
      <c r="C134" s="741" t="s">
        <v>1869</v>
      </c>
      <c r="D134" s="124" t="s">
        <v>1869</v>
      </c>
      <c r="E134" s="174" t="s">
        <v>4026</v>
      </c>
      <c r="F134" s="752"/>
      <c r="G134" s="752"/>
      <c r="H134" s="132" t="s">
        <v>4114</v>
      </c>
      <c r="I134" s="744" t="s">
        <v>501</v>
      </c>
      <c r="J134" s="385" t="str">
        <f>HYPERLINK("https://youtu.be/6f5dBhAmU1g","42.10")</f>
        <v>42.10</v>
      </c>
      <c r="K134" s="752" t="s">
        <v>1870</v>
      </c>
      <c r="L134" s="752" t="s">
        <v>2888</v>
      </c>
      <c r="M134" s="182" t="s">
        <v>4116</v>
      </c>
      <c r="N134" s="385" t="s">
        <v>4008</v>
      </c>
      <c r="O134" s="385" t="s">
        <v>1869</v>
      </c>
      <c r="P134" s="752" t="s">
        <v>4117</v>
      </c>
      <c r="Q134" s="752"/>
      <c r="R134" s="753" t="s">
        <v>4118</v>
      </c>
      <c r="S134" s="752"/>
      <c r="T134" s="752"/>
      <c r="U134" s="752"/>
      <c r="V134" s="752"/>
      <c r="W134" s="752"/>
      <c r="X134" s="752"/>
      <c r="Y134" s="186"/>
      <c r="Z134" s="752"/>
      <c r="AA134" s="752"/>
      <c r="AB134" s="752"/>
      <c r="AC134" s="752"/>
      <c r="AD134" s="752"/>
      <c r="AE134" s="186"/>
      <c r="AF134" s="752"/>
      <c r="AG134" s="752"/>
      <c r="AH134" s="752"/>
      <c r="AI134" s="752"/>
      <c r="AJ134" s="752"/>
      <c r="AK134" s="752"/>
      <c r="AL134" s="752"/>
      <c r="AM134" s="752"/>
      <c r="AN134" s="752"/>
      <c r="AO134" s="748"/>
      <c r="AP134" s="752"/>
      <c r="AQ134" s="752"/>
      <c r="AR134" s="186"/>
      <c r="AS134" s="752"/>
      <c r="AT134" s="752"/>
      <c r="AU134" s="752"/>
      <c r="AV134" s="748"/>
      <c r="AW134" s="752"/>
      <c r="AX134" s="186"/>
      <c r="AY134" s="752"/>
      <c r="AZ134" s="752"/>
      <c r="BA134" s="752"/>
      <c r="BB134" s="752"/>
      <c r="BC134" s="752"/>
      <c r="BD134" s="752" t="s">
        <v>3769</v>
      </c>
      <c r="BE134" s="186"/>
      <c r="BF134" s="752"/>
      <c r="BG134" s="752"/>
      <c r="BH134" s="752"/>
      <c r="BI134" s="752"/>
      <c r="BJ134" s="752"/>
      <c r="BK134" s="752"/>
      <c r="BL134" s="186"/>
      <c r="BM134" s="186"/>
      <c r="BN134" s="186"/>
      <c r="BO134" s="186"/>
      <c r="BP134" s="186"/>
      <c r="BQ134" s="186"/>
      <c r="BR134" s="186"/>
      <c r="BS134" s="186"/>
      <c r="BT134" s="186"/>
      <c r="BU134" s="186"/>
      <c r="BV134" s="186"/>
      <c r="BW134" s="186"/>
      <c r="BX134" s="186"/>
    </row>
    <row r="135" ht="15.75" customHeight="1">
      <c r="A135" s="831" t="s">
        <v>469</v>
      </c>
      <c r="B135" s="832" t="s">
        <v>187</v>
      </c>
      <c r="C135" s="741" t="str">
        <f>HYPERLINK("https://youtu.be/sDPkawvhuRo","28.54")</f>
        <v>28.54</v>
      </c>
      <c r="D135" s="292" t="s">
        <v>3950</v>
      </c>
      <c r="E135" s="174" t="s">
        <v>4121</v>
      </c>
      <c r="F135" s="752"/>
      <c r="G135" s="385" t="s">
        <v>4122</v>
      </c>
      <c r="H135" s="132" t="s">
        <v>1274</v>
      </c>
      <c r="I135" s="744" t="s">
        <v>4124</v>
      </c>
      <c r="J135" s="752" t="s">
        <v>4125</v>
      </c>
      <c r="K135" s="752" t="s">
        <v>2456</v>
      </c>
      <c r="L135" s="752" t="s">
        <v>1426</v>
      </c>
      <c r="M135" s="808"/>
      <c r="N135" s="385" t="s">
        <v>430</v>
      </c>
      <c r="O135" s="385" t="s">
        <v>1274</v>
      </c>
      <c r="P135" s="752" t="s">
        <v>4132</v>
      </c>
      <c r="Q135" s="385" t="s">
        <v>672</v>
      </c>
      <c r="R135" s="753" t="s">
        <v>826</v>
      </c>
      <c r="S135" s="752"/>
      <c r="T135" s="752"/>
      <c r="U135" s="752"/>
      <c r="V135" s="752" t="s">
        <v>1585</v>
      </c>
      <c r="W135" s="752"/>
      <c r="X135" s="752" t="s">
        <v>1831</v>
      </c>
      <c r="Y135" s="809"/>
      <c r="Z135" s="752"/>
      <c r="AA135" s="752"/>
      <c r="AB135" s="752"/>
      <c r="AC135" s="752"/>
      <c r="AD135" s="752"/>
      <c r="AE135" s="809"/>
      <c r="AF135" s="752"/>
      <c r="AG135" s="752"/>
      <c r="AH135" s="752"/>
      <c r="AI135" s="752"/>
      <c r="AJ135" s="752"/>
      <c r="AK135" s="752"/>
      <c r="AL135" s="752"/>
      <c r="AM135" s="752"/>
      <c r="AN135" s="752"/>
      <c r="AO135" s="748"/>
      <c r="AP135" s="752"/>
      <c r="AQ135" s="752"/>
      <c r="AR135" s="809"/>
      <c r="AS135" s="752"/>
      <c r="AT135" s="752"/>
      <c r="AU135" s="752"/>
      <c r="AV135" s="748"/>
      <c r="AW135" s="752"/>
      <c r="AX135" s="809"/>
      <c r="AY135" s="752"/>
      <c r="AZ135" s="752"/>
      <c r="BA135" s="752"/>
      <c r="BB135" s="752"/>
      <c r="BC135" s="752"/>
      <c r="BD135" s="752"/>
      <c r="BE135" s="809"/>
      <c r="BF135" s="752"/>
      <c r="BG135" s="752"/>
      <c r="BH135" s="752"/>
      <c r="BI135" s="752"/>
      <c r="BJ135" s="752"/>
      <c r="BK135" s="752"/>
      <c r="BL135" s="809"/>
      <c r="BM135" s="809"/>
      <c r="BN135" s="809"/>
      <c r="BO135" s="809"/>
      <c r="BP135" s="809"/>
      <c r="BQ135" s="809"/>
      <c r="BR135" s="809"/>
      <c r="BS135" s="809"/>
      <c r="BT135" s="809"/>
      <c r="BU135" s="809"/>
      <c r="BV135" s="809"/>
      <c r="BW135" s="809"/>
      <c r="BX135" s="809"/>
    </row>
    <row r="136" ht="15.75" customHeight="1">
      <c r="A136" s="831" t="s">
        <v>577</v>
      </c>
      <c r="B136" s="832" t="s">
        <v>187</v>
      </c>
      <c r="C136" s="119" t="s">
        <v>4136</v>
      </c>
      <c r="D136" s="829" t="s">
        <v>4137</v>
      </c>
      <c r="E136" s="742"/>
      <c r="F136" s="742" t="s">
        <v>4138</v>
      </c>
      <c r="G136" s="132" t="s">
        <v>4136</v>
      </c>
      <c r="H136" s="132" t="s">
        <v>4142</v>
      </c>
      <c r="I136" s="744" t="s">
        <v>4143</v>
      </c>
      <c r="J136" s="742"/>
      <c r="K136" s="742"/>
      <c r="L136" s="742"/>
      <c r="M136" s="219"/>
      <c r="N136" s="742" t="s">
        <v>2989</v>
      </c>
      <c r="O136" s="742" t="s">
        <v>4142</v>
      </c>
      <c r="P136" s="742"/>
      <c r="Q136" s="742"/>
      <c r="R136" s="746" t="s">
        <v>4138</v>
      </c>
      <c r="S136" s="742" t="s">
        <v>1736</v>
      </c>
      <c r="T136" s="742"/>
      <c r="U136" s="742"/>
      <c r="V136" s="742"/>
      <c r="W136" s="742"/>
      <c r="X136" s="742"/>
      <c r="Y136" s="186"/>
      <c r="Z136" s="742"/>
      <c r="AA136" s="742"/>
      <c r="AB136" s="742" t="s">
        <v>4145</v>
      </c>
      <c r="AC136" s="742"/>
      <c r="AD136" s="742"/>
      <c r="AE136" s="186"/>
      <c r="AF136" s="742"/>
      <c r="AG136" s="742"/>
      <c r="AH136" s="742"/>
      <c r="AI136" s="742"/>
      <c r="AJ136" s="742"/>
      <c r="AK136" s="742"/>
      <c r="AL136" s="742"/>
      <c r="AM136" s="742"/>
      <c r="AN136" s="742"/>
      <c r="AO136" s="748"/>
      <c r="AP136" s="742"/>
      <c r="AQ136" s="742"/>
      <c r="AR136" s="186"/>
      <c r="AS136" s="742"/>
      <c r="AT136" s="742"/>
      <c r="AU136" s="742"/>
      <c r="AV136" s="748"/>
      <c r="AW136" s="742"/>
      <c r="AX136" s="186"/>
      <c r="AY136" s="742"/>
      <c r="AZ136" s="742"/>
      <c r="BA136" s="742"/>
      <c r="BB136" s="742"/>
      <c r="BC136" s="742"/>
      <c r="BD136" s="742"/>
      <c r="BE136" s="186"/>
      <c r="BF136" s="742"/>
      <c r="BG136" s="742"/>
      <c r="BH136" s="742"/>
      <c r="BI136" s="742"/>
      <c r="BJ136" s="742"/>
      <c r="BK136" s="742"/>
      <c r="BL136" s="186"/>
      <c r="BM136" s="186"/>
      <c r="BN136" s="186"/>
      <c r="BO136" s="186"/>
      <c r="BP136" s="186"/>
      <c r="BQ136" s="186"/>
      <c r="BR136" s="186"/>
      <c r="BS136" s="186"/>
      <c r="BT136" s="186"/>
      <c r="BU136" s="186"/>
      <c r="BV136" s="186"/>
      <c r="BW136" s="186"/>
      <c r="BX136" s="186"/>
    </row>
    <row r="137" ht="15.75" customHeight="1">
      <c r="A137" s="805" t="s">
        <v>2333</v>
      </c>
      <c r="B137" s="810" t="s">
        <v>4149</v>
      </c>
      <c r="C137" s="119" t="s">
        <v>2174</v>
      </c>
      <c r="D137" s="219"/>
      <c r="E137" s="752"/>
      <c r="F137" s="752"/>
      <c r="G137" s="752"/>
      <c r="H137" s="132" t="s">
        <v>723</v>
      </c>
      <c r="I137" s="748"/>
      <c r="J137" s="752"/>
      <c r="K137" s="752"/>
      <c r="L137" s="752" t="s">
        <v>847</v>
      </c>
      <c r="M137" s="829" t="s">
        <v>4151</v>
      </c>
      <c r="N137" s="752"/>
      <c r="O137" s="752"/>
      <c r="P137" s="752"/>
      <c r="Q137" s="752"/>
      <c r="R137" s="753"/>
      <c r="S137" s="752"/>
      <c r="T137" s="132" t="s">
        <v>2174</v>
      </c>
      <c r="U137" s="752"/>
      <c r="V137" s="752"/>
      <c r="W137" s="752"/>
      <c r="X137" s="752"/>
      <c r="Y137" s="809"/>
      <c r="Z137" s="752"/>
      <c r="AA137" s="752" t="s">
        <v>3644</v>
      </c>
      <c r="AB137" s="752"/>
      <c r="AC137" s="752"/>
      <c r="AD137" s="752"/>
      <c r="AE137" s="809"/>
      <c r="AF137" s="752"/>
      <c r="AG137" s="752"/>
      <c r="AH137" s="752"/>
      <c r="AI137" s="752"/>
      <c r="AJ137" s="752"/>
      <c r="AK137" s="752"/>
      <c r="AL137" s="752"/>
      <c r="AM137" s="752"/>
      <c r="AN137" s="752"/>
      <c r="AO137" s="748"/>
      <c r="AP137" s="752"/>
      <c r="AQ137" s="752"/>
      <c r="AR137" s="809"/>
      <c r="AS137" s="752"/>
      <c r="AT137" s="752"/>
      <c r="AU137" s="752"/>
      <c r="AV137" s="748"/>
      <c r="AW137" s="752"/>
      <c r="AX137" s="809"/>
      <c r="AY137" s="752"/>
      <c r="AZ137" s="752"/>
      <c r="BA137" s="752"/>
      <c r="BB137" s="752"/>
      <c r="BC137" s="752"/>
      <c r="BD137" s="752"/>
      <c r="BE137" s="809"/>
      <c r="BF137" s="752"/>
      <c r="BG137" s="752"/>
      <c r="BH137" s="752"/>
      <c r="BI137" s="752"/>
      <c r="BJ137" s="752"/>
      <c r="BK137" s="752"/>
      <c r="BL137" s="809"/>
      <c r="BM137" s="809"/>
      <c r="BN137" s="809"/>
      <c r="BO137" s="809"/>
      <c r="BP137" s="809"/>
      <c r="BQ137" s="809"/>
      <c r="BR137" s="809"/>
      <c r="BS137" s="809"/>
      <c r="BT137" s="809"/>
      <c r="BU137" s="809"/>
      <c r="BV137" s="809"/>
      <c r="BW137" s="809"/>
      <c r="BX137" s="809"/>
    </row>
    <row r="138" ht="15.75" customHeight="1">
      <c r="A138" s="812"/>
      <c r="B138" s="813" t="s">
        <v>4153</v>
      </c>
      <c r="C138" s="741" t="s">
        <v>4154</v>
      </c>
      <c r="D138" s="808"/>
      <c r="E138" s="752" t="s">
        <v>4155</v>
      </c>
      <c r="F138" s="752"/>
      <c r="G138" s="752"/>
      <c r="H138" s="222"/>
      <c r="I138" s="748"/>
      <c r="J138" s="752"/>
      <c r="K138" s="752"/>
      <c r="L138" s="752" t="s">
        <v>1281</v>
      </c>
      <c r="M138" s="219"/>
      <c r="N138" s="752"/>
      <c r="O138" s="752"/>
      <c r="P138" s="752"/>
      <c r="Q138" s="752"/>
      <c r="R138" s="753"/>
      <c r="S138" s="752"/>
      <c r="T138" s="752"/>
      <c r="U138" s="752" t="s">
        <v>4157</v>
      </c>
      <c r="V138" s="752"/>
      <c r="W138" s="752"/>
      <c r="X138" s="752"/>
      <c r="Y138" s="186"/>
      <c r="Z138" s="752"/>
      <c r="AA138" s="752" t="s">
        <v>2131</v>
      </c>
      <c r="AB138" s="752"/>
      <c r="AC138" s="752" t="s">
        <v>1466</v>
      </c>
      <c r="AD138" s="752"/>
      <c r="AE138" s="186"/>
      <c r="AF138" s="752"/>
      <c r="AG138" s="752"/>
      <c r="AH138" s="752"/>
      <c r="AI138" s="752"/>
      <c r="AJ138" s="752"/>
      <c r="AK138" s="752"/>
      <c r="AL138" s="752"/>
      <c r="AM138" s="752"/>
      <c r="AN138" s="752"/>
      <c r="AO138" s="748"/>
      <c r="AP138" s="752"/>
      <c r="AQ138" s="752"/>
      <c r="AR138" s="186"/>
      <c r="AS138" s="752"/>
      <c r="AT138" s="752"/>
      <c r="AU138" s="752"/>
      <c r="AV138" s="748"/>
      <c r="AW138" s="752"/>
      <c r="AX138" s="186"/>
      <c r="AY138" s="752"/>
      <c r="AZ138" s="752"/>
      <c r="BA138" s="752"/>
      <c r="BB138" s="752"/>
      <c r="BC138" s="752"/>
      <c r="BD138" s="752"/>
      <c r="BE138" s="186"/>
      <c r="BF138" s="752"/>
      <c r="BG138" s="752"/>
      <c r="BH138" s="752"/>
      <c r="BI138" s="752"/>
      <c r="BJ138" s="752"/>
      <c r="BK138" s="752"/>
      <c r="BL138" s="186"/>
      <c r="BM138" s="186"/>
      <c r="BN138" s="186"/>
      <c r="BO138" s="186"/>
      <c r="BP138" s="186"/>
      <c r="BQ138" s="186"/>
      <c r="BR138" s="186"/>
      <c r="BS138" s="186"/>
      <c r="BT138" s="186"/>
      <c r="BU138" s="186"/>
      <c r="BV138" s="186"/>
      <c r="BW138" s="186"/>
      <c r="BX138" s="186"/>
    </row>
    <row r="139" ht="15.75" customHeight="1">
      <c r="A139" s="816"/>
      <c r="B139" s="817" t="s">
        <v>4161</v>
      </c>
      <c r="C139" s="741" t="s">
        <v>4162</v>
      </c>
      <c r="D139" s="219"/>
      <c r="E139" s="752"/>
      <c r="F139" s="752"/>
      <c r="G139" s="752"/>
      <c r="H139" s="222"/>
      <c r="I139" s="748"/>
      <c r="J139" s="752"/>
      <c r="K139" s="752"/>
      <c r="L139" s="752"/>
      <c r="M139" s="808"/>
      <c r="N139" s="752"/>
      <c r="O139" s="752"/>
      <c r="P139" s="752"/>
      <c r="Q139" s="752"/>
      <c r="R139" s="753"/>
      <c r="S139" s="752"/>
      <c r="T139" s="752"/>
      <c r="U139" s="752"/>
      <c r="V139" s="752"/>
      <c r="W139" s="752"/>
      <c r="X139" s="752"/>
      <c r="Y139" s="809"/>
      <c r="Z139" s="752"/>
      <c r="AA139" s="752"/>
      <c r="AB139" s="752"/>
      <c r="AC139" s="752"/>
      <c r="AD139" s="752"/>
      <c r="AE139" s="809"/>
      <c r="AF139" s="752"/>
      <c r="AG139" s="752"/>
      <c r="AH139" s="752"/>
      <c r="AI139" s="752"/>
      <c r="AJ139" s="752" t="s">
        <v>4162</v>
      </c>
      <c r="AK139" s="752"/>
      <c r="AL139" s="752"/>
      <c r="AM139" s="752"/>
      <c r="AN139" s="752"/>
      <c r="AO139" s="748"/>
      <c r="AP139" s="752"/>
      <c r="AQ139" s="752"/>
      <c r="AR139" s="809"/>
      <c r="AS139" s="752"/>
      <c r="AT139" s="752"/>
      <c r="AU139" s="752"/>
      <c r="AV139" s="748"/>
      <c r="AW139" s="752"/>
      <c r="AX139" s="809"/>
      <c r="AY139" s="752"/>
      <c r="AZ139" s="752" t="s">
        <v>4164</v>
      </c>
      <c r="BA139" s="752"/>
      <c r="BB139" s="752"/>
      <c r="BC139" s="752"/>
      <c r="BD139" s="752"/>
      <c r="BE139" s="809"/>
      <c r="BF139" s="752"/>
      <c r="BG139" s="752"/>
      <c r="BH139" s="752"/>
      <c r="BI139" s="752"/>
      <c r="BJ139" s="752"/>
      <c r="BK139" s="752"/>
      <c r="BL139" s="809"/>
      <c r="BM139" s="809"/>
      <c r="BN139" s="809"/>
      <c r="BO139" s="809"/>
      <c r="BP139" s="809"/>
      <c r="BQ139" s="809"/>
      <c r="BR139" s="809"/>
      <c r="BS139" s="809"/>
      <c r="BT139" s="809"/>
      <c r="BU139" s="809"/>
      <c r="BV139" s="809"/>
      <c r="BW139" s="809"/>
      <c r="BX139" s="809"/>
    </row>
    <row r="140" ht="15.75" customHeight="1">
      <c r="A140" s="812"/>
      <c r="B140" s="813" t="s">
        <v>4165</v>
      </c>
      <c r="C140" s="119" t="s">
        <v>4166</v>
      </c>
      <c r="D140" s="124" t="s">
        <v>4167</v>
      </c>
      <c r="E140" s="174" t="s">
        <v>3215</v>
      </c>
      <c r="F140" s="132" t="s">
        <v>1279</v>
      </c>
      <c r="G140" s="132" t="s">
        <v>4166</v>
      </c>
      <c r="H140" s="132" t="s">
        <v>4169</v>
      </c>
      <c r="I140" s="744" t="s">
        <v>2550</v>
      </c>
      <c r="J140" s="132" t="s">
        <v>2895</v>
      </c>
      <c r="K140" s="222"/>
      <c r="L140" s="222"/>
      <c r="M140" s="219"/>
      <c r="N140" s="132" t="s">
        <v>4011</v>
      </c>
      <c r="O140" s="132" t="s">
        <v>4170</v>
      </c>
      <c r="P140" s="222"/>
      <c r="Q140" s="132" t="s">
        <v>3623</v>
      </c>
      <c r="R140" s="746" t="s">
        <v>4172</v>
      </c>
      <c r="S140" s="222"/>
      <c r="T140" s="132" t="s">
        <v>982</v>
      </c>
      <c r="U140" s="132" t="s">
        <v>431</v>
      </c>
      <c r="V140" s="222"/>
      <c r="W140" s="222"/>
      <c r="X140" s="222"/>
      <c r="Y140" s="186"/>
      <c r="Z140" s="222"/>
      <c r="AA140" s="222"/>
      <c r="AB140" s="222"/>
      <c r="AC140" s="132" t="s">
        <v>4174</v>
      </c>
      <c r="AD140" s="222"/>
      <c r="AE140" s="186"/>
      <c r="AF140" s="222"/>
      <c r="AG140" s="222"/>
      <c r="AH140" s="222"/>
      <c r="AI140" s="222"/>
      <c r="AJ140" s="222"/>
      <c r="AK140" s="222"/>
      <c r="AL140" s="222"/>
      <c r="AM140" s="222"/>
      <c r="AN140" s="222"/>
      <c r="AO140" s="748"/>
      <c r="AP140" s="222"/>
      <c r="AQ140" s="222"/>
      <c r="AR140" s="186"/>
      <c r="AS140" s="222"/>
      <c r="AT140" s="222"/>
      <c r="AU140" s="222"/>
      <c r="AV140" s="748"/>
      <c r="AW140" s="222"/>
      <c r="AX140" s="186"/>
      <c r="AY140" s="222"/>
      <c r="AZ140" s="222" t="s">
        <v>4176</v>
      </c>
      <c r="BA140" s="222"/>
      <c r="BB140" s="222"/>
      <c r="BC140" s="222"/>
      <c r="BD140" s="222"/>
      <c r="BE140" s="186"/>
      <c r="BF140" s="222"/>
      <c r="BG140" s="222"/>
      <c r="BH140" s="222"/>
      <c r="BI140" s="222"/>
      <c r="BJ140" s="222"/>
      <c r="BK140" s="222"/>
      <c r="BL140" s="186"/>
      <c r="BM140" s="186"/>
      <c r="BN140" s="186"/>
      <c r="BO140" s="186"/>
      <c r="BP140" s="186"/>
      <c r="BQ140" s="186"/>
      <c r="BR140" s="186"/>
      <c r="BS140" s="186"/>
      <c r="BT140" s="186"/>
      <c r="BU140" s="186"/>
      <c r="BV140" s="186"/>
      <c r="BW140" s="186"/>
      <c r="BX140" s="186"/>
    </row>
    <row r="141" ht="15.75" customHeight="1">
      <c r="A141" s="805" t="s">
        <v>838</v>
      </c>
      <c r="B141" s="810" t="s">
        <v>4177</v>
      </c>
      <c r="C141" s="741" t="s">
        <v>2006</v>
      </c>
      <c r="D141" s="219"/>
      <c r="E141" s="752" t="s">
        <v>4178</v>
      </c>
      <c r="F141" s="752"/>
      <c r="G141" s="752"/>
      <c r="H141" s="222"/>
      <c r="I141" s="744" t="s">
        <v>4179</v>
      </c>
      <c r="J141" s="752"/>
      <c r="K141" s="132" t="s">
        <v>4180</v>
      </c>
      <c r="L141" s="752" t="s">
        <v>4181</v>
      </c>
      <c r="M141" s="814" t="s">
        <v>4182</v>
      </c>
      <c r="N141" s="752"/>
      <c r="O141" s="752"/>
      <c r="P141" s="752" t="str">
        <f>HYPERLINK("https://youtu.be/wzsts4r5VHY","56.24")</f>
        <v>56.24</v>
      </c>
      <c r="Q141" s="132" t="s">
        <v>4183</v>
      </c>
      <c r="R141" s="753"/>
      <c r="S141" s="752"/>
      <c r="T141" s="752"/>
      <c r="U141" s="752"/>
      <c r="V141" s="752" t="s">
        <v>2006</v>
      </c>
      <c r="W141" s="752"/>
      <c r="X141" s="752"/>
      <c r="Y141" s="809"/>
      <c r="Z141" s="752"/>
      <c r="AA141" s="752"/>
      <c r="AB141" s="752"/>
      <c r="AC141" s="752"/>
      <c r="AD141" s="752"/>
      <c r="AE141" s="809"/>
      <c r="AF141" s="752"/>
      <c r="AG141" s="752"/>
      <c r="AH141" s="752" t="s">
        <v>1823</v>
      </c>
      <c r="AI141" s="752"/>
      <c r="AJ141" s="752"/>
      <c r="AK141" s="752"/>
      <c r="AL141" s="752"/>
      <c r="AM141" s="752"/>
      <c r="AN141" s="752"/>
      <c r="AO141" s="748"/>
      <c r="AP141" s="752"/>
      <c r="AQ141" s="752"/>
      <c r="AR141" s="809"/>
      <c r="AS141" s="752"/>
      <c r="AT141" s="752"/>
      <c r="AU141" s="752"/>
      <c r="AV141" s="748"/>
      <c r="AW141" s="752"/>
      <c r="AX141" s="809"/>
      <c r="AY141" s="752"/>
      <c r="AZ141" s="752"/>
      <c r="BA141" s="752"/>
      <c r="BB141" s="752"/>
      <c r="BC141" s="752"/>
      <c r="BD141" s="752"/>
      <c r="BE141" s="809"/>
      <c r="BF141" s="752"/>
      <c r="BG141" s="752"/>
      <c r="BH141" s="752"/>
      <c r="BI141" s="752"/>
      <c r="BJ141" s="752"/>
      <c r="BK141" s="752"/>
      <c r="BL141" s="809"/>
      <c r="BM141" s="809"/>
      <c r="BN141" s="809"/>
      <c r="BO141" s="809"/>
      <c r="BP141" s="809"/>
      <c r="BQ141" s="809"/>
      <c r="BR141" s="809"/>
      <c r="BS141" s="809"/>
      <c r="BT141" s="809"/>
      <c r="BU141" s="809"/>
      <c r="BV141" s="809"/>
      <c r="BW141" s="809"/>
      <c r="BX141" s="809"/>
    </row>
    <row r="142" ht="15.75" customHeight="1">
      <c r="A142" s="812"/>
      <c r="B142" s="813" t="s">
        <v>4186</v>
      </c>
      <c r="C142" s="741" t="s">
        <v>3784</v>
      </c>
      <c r="D142" s="808"/>
      <c r="E142" s="839"/>
      <c r="F142" s="839"/>
      <c r="G142" s="839"/>
      <c r="H142" s="222"/>
      <c r="I142" s="748"/>
      <c r="J142" s="839"/>
      <c r="K142" s="132" t="s">
        <v>4188</v>
      </c>
      <c r="L142" s="839"/>
      <c r="M142" s="219"/>
      <c r="N142" s="839"/>
      <c r="O142" s="839"/>
      <c r="P142" s="839"/>
      <c r="Q142" s="839"/>
      <c r="R142" s="746"/>
      <c r="S142" s="839"/>
      <c r="T142" s="839"/>
      <c r="U142" s="839" t="s">
        <v>3784</v>
      </c>
      <c r="V142" s="839"/>
      <c r="W142" s="839"/>
      <c r="X142" s="839"/>
      <c r="Y142" s="186"/>
      <c r="Z142" s="839"/>
      <c r="AA142" s="839"/>
      <c r="AB142" s="839"/>
      <c r="AC142" s="839"/>
      <c r="AD142" s="839"/>
      <c r="AE142" s="186"/>
      <c r="AF142" s="839"/>
      <c r="AG142" s="839"/>
      <c r="AH142" s="839"/>
      <c r="AI142" s="839"/>
      <c r="AJ142" s="839"/>
      <c r="AK142" s="839"/>
      <c r="AL142" s="839"/>
      <c r="AM142" s="839"/>
      <c r="AN142" s="839"/>
      <c r="AO142" s="748"/>
      <c r="AP142" s="839"/>
      <c r="AQ142" s="839"/>
      <c r="AR142" s="186"/>
      <c r="AS142" s="839"/>
      <c r="AT142" s="839"/>
      <c r="AU142" s="839"/>
      <c r="AV142" s="748"/>
      <c r="AW142" s="839"/>
      <c r="AX142" s="186"/>
      <c r="AY142" s="839"/>
      <c r="AZ142" s="839"/>
      <c r="BA142" s="839"/>
      <c r="BB142" s="839"/>
      <c r="BC142" s="839"/>
      <c r="BD142" s="839"/>
      <c r="BE142" s="186"/>
      <c r="BF142" s="839"/>
      <c r="BG142" s="839"/>
      <c r="BH142" s="839"/>
      <c r="BI142" s="839"/>
      <c r="BJ142" s="839"/>
      <c r="BK142" s="839"/>
      <c r="BL142" s="186"/>
      <c r="BM142" s="186"/>
      <c r="BN142" s="186"/>
      <c r="BO142" s="186"/>
      <c r="BP142" s="186"/>
      <c r="BQ142" s="186"/>
      <c r="BR142" s="186"/>
      <c r="BS142" s="186"/>
      <c r="BT142" s="186"/>
      <c r="BU142" s="186"/>
      <c r="BV142" s="186"/>
      <c r="BW142" s="186"/>
      <c r="BX142" s="186"/>
    </row>
    <row r="143" ht="15.75" customHeight="1">
      <c r="A143" s="816"/>
      <c r="B143" s="817" t="s">
        <v>4189</v>
      </c>
      <c r="C143" s="741" t="s">
        <v>4190</v>
      </c>
      <c r="D143" s="443" t="s">
        <v>4192</v>
      </c>
      <c r="E143" s="174" t="s">
        <v>896</v>
      </c>
      <c r="F143" s="840" t="s">
        <v>3221</v>
      </c>
      <c r="G143" s="742" t="s">
        <v>3221</v>
      </c>
      <c r="H143" s="132" t="s">
        <v>3789</v>
      </c>
      <c r="I143" s="748"/>
      <c r="J143" s="742" t="s">
        <v>759</v>
      </c>
      <c r="K143" s="742"/>
      <c r="L143" s="742"/>
      <c r="M143" s="808"/>
      <c r="N143" s="742" t="s">
        <v>4015</v>
      </c>
      <c r="O143" s="742" t="s">
        <v>4195</v>
      </c>
      <c r="P143" s="742"/>
      <c r="Q143" s="742" t="s">
        <v>4197</v>
      </c>
      <c r="R143" s="746"/>
      <c r="S143" s="742"/>
      <c r="T143" s="742"/>
      <c r="U143" s="742"/>
      <c r="V143" s="742"/>
      <c r="W143" s="742"/>
      <c r="X143" s="742"/>
      <c r="Y143" s="809"/>
      <c r="Z143" s="742"/>
      <c r="AA143" s="742"/>
      <c r="AB143" s="742"/>
      <c r="AC143" s="742"/>
      <c r="AD143" s="742"/>
      <c r="AE143" s="809"/>
      <c r="AF143" s="742"/>
      <c r="AG143" s="742"/>
      <c r="AH143" s="742"/>
      <c r="AI143" s="742"/>
      <c r="AJ143" s="742"/>
      <c r="AK143" s="742"/>
      <c r="AL143" s="742"/>
      <c r="AM143" s="742"/>
      <c r="AN143" s="742"/>
      <c r="AO143" s="748"/>
      <c r="AP143" s="742"/>
      <c r="AQ143" s="742"/>
      <c r="AR143" s="809"/>
      <c r="AS143" s="742"/>
      <c r="AT143" s="742"/>
      <c r="AU143" s="742"/>
      <c r="AV143" s="748"/>
      <c r="AW143" s="742"/>
      <c r="AX143" s="809"/>
      <c r="AY143" s="742" t="s">
        <v>4199</v>
      </c>
      <c r="AZ143" s="742"/>
      <c r="BA143" s="742"/>
      <c r="BB143" s="742"/>
      <c r="BC143" s="742"/>
      <c r="BD143" s="742"/>
      <c r="BE143" s="809"/>
      <c r="BF143" s="742"/>
      <c r="BG143" s="742"/>
      <c r="BH143" s="742"/>
      <c r="BI143" s="742"/>
      <c r="BJ143" s="742"/>
      <c r="BK143" s="742"/>
      <c r="BL143" s="809"/>
      <c r="BM143" s="809"/>
      <c r="BN143" s="809"/>
      <c r="BO143" s="809"/>
      <c r="BP143" s="809"/>
      <c r="BQ143" s="809"/>
      <c r="BR143" s="809"/>
      <c r="BS143" s="809"/>
      <c r="BT143" s="809"/>
      <c r="BU143" s="809"/>
      <c r="BV143" s="809"/>
      <c r="BW143" s="809"/>
      <c r="BX143" s="809"/>
    </row>
    <row r="144" ht="15.75" customHeight="1">
      <c r="A144" s="805" t="s">
        <v>936</v>
      </c>
      <c r="B144" s="810" t="s">
        <v>4200</v>
      </c>
      <c r="C144" s="741" t="s">
        <v>4201</v>
      </c>
      <c r="D144" s="808"/>
      <c r="E144" s="752"/>
      <c r="F144" s="752"/>
      <c r="G144" s="752"/>
      <c r="H144" s="222"/>
      <c r="I144" s="748"/>
      <c r="J144" s="752"/>
      <c r="K144" s="752"/>
      <c r="L144" s="752" t="s">
        <v>4202</v>
      </c>
      <c r="M144" s="219"/>
      <c r="N144" s="752"/>
      <c r="O144" s="752"/>
      <c r="P144" s="752"/>
      <c r="Q144" s="752"/>
      <c r="R144" s="753"/>
      <c r="S144" s="752"/>
      <c r="T144" s="752"/>
      <c r="U144" s="752"/>
      <c r="V144" s="752"/>
      <c r="W144" s="752"/>
      <c r="X144" s="752"/>
      <c r="Y144" s="186"/>
      <c r="Z144" s="752"/>
      <c r="AA144" s="752"/>
      <c r="AB144" s="752"/>
      <c r="AC144" s="752"/>
      <c r="AD144" s="752"/>
      <c r="AE144" s="186"/>
      <c r="AF144" s="752"/>
      <c r="AG144" s="752"/>
      <c r="AH144" s="752"/>
      <c r="AI144" s="752"/>
      <c r="AJ144" s="752"/>
      <c r="AK144" s="752"/>
      <c r="AL144" s="752"/>
      <c r="AM144" s="752"/>
      <c r="AN144" s="752"/>
      <c r="AO144" s="748"/>
      <c r="AP144" s="752"/>
      <c r="AQ144" s="752"/>
      <c r="AR144" s="186"/>
      <c r="AS144" s="752"/>
      <c r="AT144" s="752"/>
      <c r="AU144" s="752"/>
      <c r="AV144" s="748"/>
      <c r="AW144" s="752"/>
      <c r="AX144" s="186"/>
      <c r="AY144" s="752"/>
      <c r="AZ144" s="752"/>
      <c r="BA144" s="752"/>
      <c r="BB144" s="752"/>
      <c r="BC144" s="752"/>
      <c r="BD144" s="752"/>
      <c r="BE144" s="186"/>
      <c r="BF144" s="752"/>
      <c r="BG144" s="752"/>
      <c r="BH144" s="752"/>
      <c r="BI144" s="752"/>
      <c r="BJ144" s="752"/>
      <c r="BK144" s="752"/>
      <c r="BL144" s="186"/>
      <c r="BM144" s="186"/>
      <c r="BN144" s="186"/>
      <c r="BO144" s="186"/>
      <c r="BP144" s="186"/>
      <c r="BQ144" s="186"/>
      <c r="BR144" s="186"/>
      <c r="BS144" s="186"/>
      <c r="BT144" s="186"/>
      <c r="BU144" s="186"/>
      <c r="BV144" s="186"/>
      <c r="BW144" s="186"/>
      <c r="BX144" s="186"/>
    </row>
    <row r="145" ht="15.75" customHeight="1">
      <c r="A145" s="812"/>
      <c r="B145" s="813" t="s">
        <v>4203</v>
      </c>
      <c r="C145" s="741" t="s">
        <v>4204</v>
      </c>
      <c r="D145" s="219"/>
      <c r="F145" s="752"/>
      <c r="G145" s="752"/>
      <c r="H145" s="132" t="s">
        <v>4206</v>
      </c>
      <c r="I145" s="748"/>
      <c r="J145" s="752"/>
      <c r="K145" s="132" t="s">
        <v>4207</v>
      </c>
      <c r="L145" s="752"/>
      <c r="M145" s="808"/>
      <c r="N145" s="752" t="s">
        <v>4018</v>
      </c>
      <c r="O145" s="752"/>
      <c r="P145" s="752"/>
      <c r="Q145" s="132" t="s">
        <v>909</v>
      </c>
      <c r="R145" s="753" t="s">
        <v>3608</v>
      </c>
      <c r="S145" s="752"/>
      <c r="T145" s="752"/>
      <c r="U145" s="752"/>
      <c r="V145" s="752"/>
      <c r="W145" s="752"/>
      <c r="X145" s="752"/>
      <c r="Y145" s="809"/>
      <c r="Z145" s="752"/>
      <c r="AA145" s="752"/>
      <c r="AB145" s="752"/>
      <c r="AC145" s="752"/>
      <c r="AD145" s="752"/>
      <c r="AE145" s="809"/>
      <c r="AF145" s="752"/>
      <c r="AG145" s="752"/>
      <c r="AH145" s="752"/>
      <c r="AI145" s="752"/>
      <c r="AJ145" s="752"/>
      <c r="AK145" s="752"/>
      <c r="AL145" s="752"/>
      <c r="AM145" s="752"/>
      <c r="AN145" s="752"/>
      <c r="AO145" s="748"/>
      <c r="AP145" s="752"/>
      <c r="AQ145" s="752"/>
      <c r="AR145" s="809"/>
      <c r="AS145" s="752"/>
      <c r="AT145" s="752"/>
      <c r="AU145" s="752"/>
      <c r="AV145" s="748"/>
      <c r="AW145" s="752"/>
      <c r="AX145" s="809"/>
      <c r="AY145" s="752"/>
      <c r="AZ145" s="752"/>
      <c r="BA145" s="752"/>
      <c r="BB145" s="752"/>
      <c r="BC145" s="752"/>
      <c r="BD145" s="752"/>
      <c r="BE145" s="809"/>
      <c r="BF145" s="752"/>
      <c r="BG145" s="752"/>
      <c r="BH145" s="752"/>
      <c r="BI145" s="752"/>
      <c r="BJ145" s="752"/>
      <c r="BK145" s="752"/>
      <c r="BL145" s="809"/>
      <c r="BM145" s="809"/>
      <c r="BN145" s="809"/>
      <c r="BO145" s="809"/>
      <c r="BP145" s="809"/>
      <c r="BQ145" s="809"/>
      <c r="BR145" s="809"/>
      <c r="BS145" s="809"/>
      <c r="BT145" s="809"/>
      <c r="BU145" s="809"/>
      <c r="BV145" s="809"/>
      <c r="BW145" s="809"/>
      <c r="BX145" s="809"/>
    </row>
    <row r="146" ht="15.75" customHeight="1">
      <c r="A146" s="816"/>
      <c r="B146" s="817" t="s">
        <v>4208</v>
      </c>
      <c r="C146" s="119" t="s">
        <v>1832</v>
      </c>
      <c r="D146" s="219"/>
      <c r="F146" s="752"/>
      <c r="G146" s="752"/>
      <c r="H146" s="222"/>
      <c r="I146" s="385" t="s">
        <v>4209</v>
      </c>
      <c r="J146" s="752"/>
      <c r="K146" s="222"/>
      <c r="L146" s="752"/>
      <c r="M146" s="808"/>
      <c r="N146" s="752"/>
      <c r="O146" s="752"/>
      <c r="P146" s="752"/>
      <c r="Q146" s="222"/>
      <c r="R146" s="753"/>
      <c r="S146" s="752"/>
      <c r="T146" s="752"/>
      <c r="U146" s="752"/>
      <c r="V146" s="752"/>
      <c r="W146" s="752"/>
      <c r="X146" s="752"/>
      <c r="Y146" s="809"/>
      <c r="Z146" s="752"/>
      <c r="AA146" s="752"/>
      <c r="AB146" s="752"/>
      <c r="AC146" s="752"/>
      <c r="AD146" s="752"/>
      <c r="AE146" s="809"/>
      <c r="AF146" s="752"/>
      <c r="AG146" s="752"/>
      <c r="AH146" s="752"/>
      <c r="AI146" s="752"/>
      <c r="AJ146" s="752"/>
      <c r="AK146" s="752"/>
      <c r="AL146" s="752"/>
      <c r="AM146" s="752"/>
      <c r="AN146" s="752"/>
      <c r="AO146" s="748"/>
      <c r="AP146" s="752"/>
      <c r="AQ146" s="752"/>
      <c r="AR146" s="809"/>
      <c r="AS146" s="752"/>
      <c r="AT146" s="752"/>
      <c r="AU146" s="752"/>
      <c r="AV146" s="748"/>
      <c r="AW146" s="752"/>
      <c r="AX146" s="809"/>
      <c r="AY146" s="752"/>
      <c r="AZ146" s="752"/>
      <c r="BA146" s="752"/>
      <c r="BB146" s="752"/>
      <c r="BC146" s="752"/>
      <c r="BD146" s="752"/>
      <c r="BE146" s="809"/>
      <c r="BF146" s="752"/>
      <c r="BG146" s="752"/>
      <c r="BH146" s="752"/>
      <c r="BI146" s="752"/>
      <c r="BJ146" s="752"/>
      <c r="BK146" s="752"/>
      <c r="BL146" s="809"/>
      <c r="BM146" s="809"/>
      <c r="BN146" s="809"/>
      <c r="BO146" s="809"/>
      <c r="BP146" s="809"/>
      <c r="BQ146" s="809"/>
      <c r="BR146" s="809"/>
      <c r="BS146" s="809"/>
      <c r="BT146" s="809"/>
      <c r="BU146" s="809"/>
      <c r="BV146" s="809"/>
      <c r="BW146" s="809"/>
      <c r="BX146" s="809"/>
    </row>
    <row r="147" ht="15.75" customHeight="1">
      <c r="A147" s="812"/>
      <c r="B147" s="813" t="s">
        <v>4212</v>
      </c>
      <c r="C147" s="279" t="s">
        <v>4213</v>
      </c>
      <c r="D147" s="124" t="s">
        <v>4213</v>
      </c>
      <c r="E147" s="174" t="s">
        <v>2084</v>
      </c>
      <c r="F147" s="752"/>
      <c r="G147" s="752"/>
      <c r="H147" s="222"/>
      <c r="I147" s="385" t="s">
        <v>4214</v>
      </c>
      <c r="J147" s="752"/>
      <c r="K147" s="222"/>
      <c r="L147" s="752"/>
      <c r="M147" s="808"/>
      <c r="N147" s="752"/>
      <c r="O147" s="752"/>
      <c r="P147" s="752"/>
      <c r="Q147" s="222"/>
      <c r="R147" s="753"/>
      <c r="S147" s="752"/>
      <c r="T147" s="752"/>
      <c r="U147" s="752"/>
      <c r="V147" s="752"/>
      <c r="W147" s="752"/>
      <c r="X147" s="752"/>
      <c r="Y147" s="809"/>
      <c r="Z147" s="752"/>
      <c r="AA147" s="752"/>
      <c r="AB147" s="752"/>
      <c r="AC147" s="752"/>
      <c r="AD147" s="752"/>
      <c r="AE147" s="809"/>
      <c r="AF147" s="752"/>
      <c r="AG147" s="752"/>
      <c r="AH147" s="752"/>
      <c r="AI147" s="752"/>
      <c r="AJ147" s="752"/>
      <c r="AK147" s="752"/>
      <c r="AL147" s="752"/>
      <c r="AM147" s="752"/>
      <c r="AN147" s="752"/>
      <c r="AO147" s="748"/>
      <c r="AP147" s="752"/>
      <c r="AQ147" s="752"/>
      <c r="AR147" s="809"/>
      <c r="AS147" s="752"/>
      <c r="AT147" s="752"/>
      <c r="AU147" s="752"/>
      <c r="AV147" s="748"/>
      <c r="AW147" s="752"/>
      <c r="AX147" s="809"/>
      <c r="AY147" s="752"/>
      <c r="AZ147" s="752"/>
      <c r="BA147" s="752"/>
      <c r="BB147" s="752"/>
      <c r="BC147" s="752"/>
      <c r="BD147" s="752"/>
      <c r="BE147" s="809"/>
      <c r="BF147" s="752"/>
      <c r="BG147" s="752"/>
      <c r="BH147" s="752"/>
      <c r="BI147" s="752"/>
      <c r="BJ147" s="752"/>
      <c r="BK147" s="752"/>
      <c r="BL147" s="809"/>
      <c r="BM147" s="809"/>
      <c r="BN147" s="809"/>
      <c r="BO147" s="809"/>
      <c r="BP147" s="809"/>
      <c r="BQ147" s="809"/>
      <c r="BR147" s="809"/>
      <c r="BS147" s="809"/>
      <c r="BT147" s="809"/>
      <c r="BU147" s="809"/>
      <c r="BV147" s="809"/>
      <c r="BW147" s="809"/>
      <c r="BX147" s="809"/>
    </row>
    <row r="148" ht="15.75" customHeight="1">
      <c r="A148" s="805" t="s">
        <v>1122</v>
      </c>
      <c r="B148" s="810" t="s">
        <v>4215</v>
      </c>
      <c r="C148" s="741" t="str">
        <f>HYPERLINK("https://youtu.be/KomZysL4CgE","1:10.59")</f>
        <v>1:10.59</v>
      </c>
      <c r="D148" s="808"/>
      <c r="E148" s="752"/>
      <c r="F148" s="752"/>
      <c r="G148" s="752"/>
      <c r="H148" s="222"/>
      <c r="I148" s="748"/>
      <c r="J148" s="752"/>
      <c r="K148" s="752"/>
      <c r="L148" s="752"/>
      <c r="M148" s="219"/>
      <c r="N148" s="752"/>
      <c r="O148" s="752"/>
      <c r="P148" s="752" t="str">
        <f>HYPERLINK("https://youtu.be/KomZysL4CgE","1:10.59")</f>
        <v>1:10.59</v>
      </c>
      <c r="Q148" s="752"/>
      <c r="R148" s="753"/>
      <c r="S148" s="752"/>
      <c r="T148" s="752"/>
      <c r="U148" s="752"/>
      <c r="V148" s="752"/>
      <c r="W148" s="752"/>
      <c r="X148" s="752"/>
      <c r="Y148" s="186"/>
      <c r="Z148" s="752"/>
      <c r="AA148" s="752"/>
      <c r="AB148" s="752"/>
      <c r="AC148" s="752"/>
      <c r="AD148" s="752"/>
      <c r="AE148" s="186"/>
      <c r="AF148" s="752"/>
      <c r="AG148" s="752"/>
      <c r="AH148" s="752"/>
      <c r="AI148" s="752"/>
      <c r="AJ148" s="752"/>
      <c r="AK148" s="752"/>
      <c r="AL148" s="752"/>
      <c r="AM148" s="752"/>
      <c r="AN148" s="752"/>
      <c r="AO148" s="748"/>
      <c r="AP148" s="752"/>
      <c r="AQ148" s="752"/>
      <c r="AR148" s="186"/>
      <c r="AS148" s="752"/>
      <c r="AT148" s="752"/>
      <c r="AU148" s="752"/>
      <c r="AV148" s="748"/>
      <c r="AW148" s="752"/>
      <c r="AX148" s="186"/>
      <c r="AY148" s="752"/>
      <c r="AZ148" s="752"/>
      <c r="BA148" s="752"/>
      <c r="BB148" s="752"/>
      <c r="BC148" s="752"/>
      <c r="BD148" s="752"/>
      <c r="BE148" s="186"/>
      <c r="BF148" s="752"/>
      <c r="BG148" s="752"/>
      <c r="BH148" s="752"/>
      <c r="BI148" s="752"/>
      <c r="BJ148" s="752"/>
      <c r="BK148" s="752"/>
      <c r="BL148" s="186"/>
      <c r="BM148" s="186"/>
      <c r="BN148" s="186"/>
      <c r="BO148" s="186"/>
      <c r="BP148" s="186"/>
      <c r="BQ148" s="186"/>
      <c r="BR148" s="186"/>
      <c r="BS148" s="186"/>
      <c r="BT148" s="186"/>
      <c r="BU148" s="186"/>
      <c r="BV148" s="186"/>
      <c r="BW148" s="186"/>
      <c r="BX148" s="186"/>
    </row>
    <row r="149" ht="15.75" customHeight="1">
      <c r="A149" s="812"/>
      <c r="B149" s="813" t="s">
        <v>4218</v>
      </c>
      <c r="C149" s="741" t="s">
        <v>4219</v>
      </c>
      <c r="D149" s="124" t="s">
        <v>4221</v>
      </c>
      <c r="E149" s="174" t="s">
        <v>4219</v>
      </c>
      <c r="F149" s="752"/>
      <c r="G149" s="752"/>
      <c r="H149" s="132" t="s">
        <v>2069</v>
      </c>
      <c r="I149" s="748"/>
      <c r="J149" s="752"/>
      <c r="K149" s="752"/>
      <c r="L149" s="752"/>
      <c r="M149" s="808"/>
      <c r="N149" s="752"/>
      <c r="O149" s="752"/>
      <c r="P149" s="752"/>
      <c r="Q149" s="752"/>
      <c r="R149" s="753"/>
      <c r="S149" s="752"/>
      <c r="T149" s="752"/>
      <c r="U149" s="752"/>
      <c r="V149" s="752"/>
      <c r="W149" s="752"/>
      <c r="X149" s="752"/>
      <c r="Y149" s="809"/>
      <c r="Z149" s="752"/>
      <c r="AA149" s="752"/>
      <c r="AB149" s="752"/>
      <c r="AC149" s="752"/>
      <c r="AD149" s="752"/>
      <c r="AE149" s="809"/>
      <c r="AF149" s="752"/>
      <c r="AG149" s="752"/>
      <c r="AH149" s="752"/>
      <c r="AI149" s="752"/>
      <c r="AJ149" s="752"/>
      <c r="AK149" s="752"/>
      <c r="AL149" s="752"/>
      <c r="AM149" s="752"/>
      <c r="AN149" s="752"/>
      <c r="AO149" s="748"/>
      <c r="AP149" s="752"/>
      <c r="AQ149" s="752"/>
      <c r="AR149" s="809"/>
      <c r="AS149" s="752"/>
      <c r="AT149" s="752"/>
      <c r="AU149" s="752"/>
      <c r="AV149" s="748"/>
      <c r="AW149" s="752"/>
      <c r="AX149" s="809"/>
      <c r="AY149" s="752"/>
      <c r="AZ149" s="752"/>
      <c r="BA149" s="752"/>
      <c r="BB149" s="752"/>
      <c r="BC149" s="752"/>
      <c r="BD149" s="752"/>
      <c r="BE149" s="809"/>
      <c r="BF149" s="752"/>
      <c r="BG149" s="752"/>
      <c r="BH149" s="752"/>
      <c r="BI149" s="752"/>
      <c r="BJ149" s="752"/>
      <c r="BK149" s="752"/>
      <c r="BL149" s="809"/>
      <c r="BM149" s="809"/>
      <c r="BN149" s="809"/>
      <c r="BO149" s="809"/>
      <c r="BP149" s="809"/>
      <c r="BQ149" s="809"/>
      <c r="BR149" s="809"/>
      <c r="BS149" s="809"/>
      <c r="BT149" s="809"/>
      <c r="BU149" s="809"/>
      <c r="BV149" s="809"/>
      <c r="BW149" s="809"/>
      <c r="BX149" s="809"/>
    </row>
    <row r="150" ht="15.75" customHeight="1">
      <c r="A150" s="831" t="s">
        <v>469</v>
      </c>
      <c r="B150" s="827" t="s">
        <v>4215</v>
      </c>
      <c r="C150" s="741" t="s">
        <v>4224</v>
      </c>
      <c r="D150" s="808"/>
      <c r="E150" s="742" t="s">
        <v>4225</v>
      </c>
      <c r="F150" s="742" t="s">
        <v>4224</v>
      </c>
      <c r="G150" s="742"/>
      <c r="H150" s="132" t="s">
        <v>4226</v>
      </c>
      <c r="I150" s="748"/>
      <c r="J150" s="742"/>
      <c r="K150" s="742"/>
      <c r="L150" s="742" t="s">
        <v>1689</v>
      </c>
      <c r="M150" s="182" t="s">
        <v>4229</v>
      </c>
      <c r="N150" s="742"/>
      <c r="O150" s="742" t="s">
        <v>2579</v>
      </c>
      <c r="P150" s="742" t="s">
        <v>2987</v>
      </c>
      <c r="Q150" s="742"/>
      <c r="R150" s="746"/>
      <c r="S150" s="742"/>
      <c r="T150" s="742"/>
      <c r="U150" s="742"/>
      <c r="V150" s="742"/>
      <c r="W150" s="742"/>
      <c r="X150" s="742"/>
      <c r="Y150" s="186"/>
      <c r="Z150" s="742"/>
      <c r="AA150" s="742" t="s">
        <v>4231</v>
      </c>
      <c r="AB150" s="742"/>
      <c r="AC150" s="742"/>
      <c r="AD150" s="742"/>
      <c r="AE150" s="186"/>
      <c r="AF150" s="742"/>
      <c r="AG150" s="742"/>
      <c r="AH150" s="742"/>
      <c r="AI150" s="742" t="s">
        <v>802</v>
      </c>
      <c r="AJ150" s="742"/>
      <c r="AK150" s="742"/>
      <c r="AL150" s="742"/>
      <c r="AM150" s="742"/>
      <c r="AN150" s="742"/>
      <c r="AO150" s="748"/>
      <c r="AP150" s="742"/>
      <c r="AQ150" s="742"/>
      <c r="AR150" s="186"/>
      <c r="AS150" s="742"/>
      <c r="AT150" s="742"/>
      <c r="AU150" s="742"/>
      <c r="AV150" s="748"/>
      <c r="AW150" s="742"/>
      <c r="AX150" s="186"/>
      <c r="AY150" s="742" t="s">
        <v>4233</v>
      </c>
      <c r="AZ150" s="742"/>
      <c r="BA150" s="742"/>
      <c r="BB150" s="742"/>
      <c r="BC150" s="742"/>
      <c r="BD150" s="742"/>
      <c r="BE150" s="186"/>
      <c r="BF150" s="742"/>
      <c r="BG150" s="742"/>
      <c r="BH150" s="742"/>
      <c r="BI150" s="742"/>
      <c r="BJ150" s="742"/>
      <c r="BK150" s="742"/>
      <c r="BL150" s="186"/>
      <c r="BM150" s="186"/>
      <c r="BN150" s="186"/>
      <c r="BO150" s="186"/>
      <c r="BP150" s="186"/>
      <c r="BQ150" s="186"/>
      <c r="BR150" s="186"/>
      <c r="BS150" s="186"/>
      <c r="BT150" s="186"/>
      <c r="BU150" s="186"/>
      <c r="BV150" s="186"/>
      <c r="BW150" s="186"/>
      <c r="BX150" s="186"/>
    </row>
    <row r="151" ht="15.75" customHeight="1">
      <c r="A151" s="812"/>
      <c r="B151" s="813" t="s">
        <v>4218</v>
      </c>
      <c r="C151" s="741" t="s">
        <v>4234</v>
      </c>
      <c r="D151" s="292" t="s">
        <v>4235</v>
      </c>
      <c r="E151" s="70" t="s">
        <v>2349</v>
      </c>
      <c r="F151" s="742" t="s">
        <v>4237</v>
      </c>
      <c r="G151" s="757" t="s">
        <v>4238</v>
      </c>
      <c r="H151" s="132" t="s">
        <v>3978</v>
      </c>
      <c r="I151" s="744" t="s">
        <v>4240</v>
      </c>
      <c r="J151" s="742" t="str">
        <f>HYPERLINK("https://youtu.be/NPrbRwZDn1I","27.54")</f>
        <v>27.54</v>
      </c>
      <c r="K151" s="742" t="s">
        <v>1810</v>
      </c>
      <c r="L151" s="742" t="s">
        <v>3976</v>
      </c>
      <c r="M151" s="829" t="s">
        <v>4241</v>
      </c>
      <c r="N151" s="742"/>
      <c r="O151" s="742" t="s">
        <v>4237</v>
      </c>
      <c r="P151" s="742" t="str">
        <f>HYPERLINK("https://youtu.be/gwRV1gD1ndo","27.79")</f>
        <v>27.79</v>
      </c>
      <c r="Q151" s="742" t="s">
        <v>4243</v>
      </c>
      <c r="R151" s="746" t="s">
        <v>1534</v>
      </c>
      <c r="S151" s="742" t="s">
        <v>1446</v>
      </c>
      <c r="T151" s="742"/>
      <c r="U151" s="742"/>
      <c r="V151" s="132" t="s">
        <v>1393</v>
      </c>
      <c r="W151" s="742"/>
      <c r="X151" s="742" t="s">
        <v>4244</v>
      </c>
      <c r="Y151" s="809"/>
      <c r="Z151" s="742"/>
      <c r="AA151" s="742" t="s">
        <v>1585</v>
      </c>
      <c r="AB151" s="742"/>
      <c r="AC151" s="742"/>
      <c r="AD151" s="742"/>
      <c r="AE151" s="842" t="s">
        <v>4245</v>
      </c>
      <c r="AF151" s="742"/>
      <c r="AG151" s="742"/>
      <c r="AH151" s="742"/>
      <c r="AI151" s="742"/>
      <c r="AJ151" s="742"/>
      <c r="AK151" s="742"/>
      <c r="AL151" s="742" t="s">
        <v>2628</v>
      </c>
      <c r="AM151" s="742"/>
      <c r="AN151" s="742"/>
      <c r="AO151" s="748"/>
      <c r="AP151" s="742"/>
      <c r="AQ151" s="742"/>
      <c r="AR151" s="809"/>
      <c r="AS151" s="742"/>
      <c r="AT151" s="742"/>
      <c r="AU151" s="742"/>
      <c r="AV151" s="748"/>
      <c r="AW151" s="742"/>
      <c r="AX151" s="809"/>
      <c r="AY151" s="742"/>
      <c r="AZ151" s="742"/>
      <c r="BA151" s="742"/>
      <c r="BB151" s="742"/>
      <c r="BC151" s="742"/>
      <c r="BD151" s="742"/>
      <c r="BE151" s="809"/>
      <c r="BF151" s="742"/>
      <c r="BG151" s="742"/>
      <c r="BH151" s="742"/>
      <c r="BI151" s="742"/>
      <c r="BJ151" s="742"/>
      <c r="BK151" s="742"/>
      <c r="BL151" s="809"/>
      <c r="BM151" s="809"/>
      <c r="BN151" s="809"/>
      <c r="BO151" s="809"/>
      <c r="BP151" s="809"/>
      <c r="BQ151" s="809"/>
      <c r="BR151" s="809"/>
      <c r="BS151" s="809"/>
      <c r="BT151" s="809"/>
      <c r="BU151" s="809"/>
      <c r="BV151" s="809"/>
      <c r="BW151" s="809"/>
      <c r="BX151" s="809"/>
    </row>
    <row r="152" ht="15.75" customHeight="1">
      <c r="A152" s="831" t="s">
        <v>577</v>
      </c>
      <c r="B152" s="827" t="s">
        <v>187</v>
      </c>
      <c r="C152" s="741" t="s">
        <v>4248</v>
      </c>
      <c r="D152" s="829" t="s">
        <v>4249</v>
      </c>
      <c r="E152" s="839"/>
      <c r="F152" s="839"/>
      <c r="G152" s="839"/>
      <c r="H152" s="132" t="s">
        <v>4250</v>
      </c>
      <c r="I152" s="744" t="s">
        <v>4252</v>
      </c>
      <c r="J152" s="839"/>
      <c r="K152" s="839"/>
      <c r="L152" s="839"/>
      <c r="M152" s="219"/>
      <c r="N152" s="839"/>
      <c r="O152" s="839"/>
      <c r="P152" s="839"/>
      <c r="Q152" s="385" t="s">
        <v>4248</v>
      </c>
      <c r="R152" s="746"/>
      <c r="S152" s="839"/>
      <c r="T152" s="839"/>
      <c r="U152" s="839"/>
      <c r="V152" s="839"/>
      <c r="W152" s="839"/>
      <c r="X152" s="839"/>
      <c r="Y152" s="186"/>
      <c r="Z152" s="839"/>
      <c r="AA152" s="839"/>
      <c r="AB152" s="839"/>
      <c r="AC152" s="839"/>
      <c r="AD152" s="839"/>
      <c r="AE152" s="186"/>
      <c r="AF152" s="839"/>
      <c r="AG152" s="839"/>
      <c r="AH152" s="839"/>
      <c r="AI152" s="839"/>
      <c r="AJ152" s="839"/>
      <c r="AK152" s="839" t="s">
        <v>4244</v>
      </c>
      <c r="AL152" s="839"/>
      <c r="AM152" s="839"/>
      <c r="AN152" s="839"/>
      <c r="AO152" s="748"/>
      <c r="AP152" s="839"/>
      <c r="AQ152" s="839"/>
      <c r="AR152" s="186"/>
      <c r="AS152" s="839"/>
      <c r="AT152" s="839"/>
      <c r="AU152" s="839"/>
      <c r="AV152" s="748"/>
      <c r="AW152" s="839"/>
      <c r="AX152" s="186"/>
      <c r="AY152" s="839"/>
      <c r="AZ152" s="839"/>
      <c r="BA152" s="839"/>
      <c r="BB152" s="839"/>
      <c r="BC152" s="839"/>
      <c r="BD152" s="839"/>
      <c r="BE152" s="186"/>
      <c r="BF152" s="839"/>
      <c r="BG152" s="839"/>
      <c r="BH152" s="839"/>
      <c r="BI152" s="839"/>
      <c r="BJ152" s="839"/>
      <c r="BK152" s="839"/>
      <c r="BL152" s="186"/>
      <c r="BM152" s="186"/>
      <c r="BN152" s="186"/>
      <c r="BO152" s="186"/>
      <c r="BP152" s="186"/>
      <c r="BQ152" s="186"/>
      <c r="BR152" s="186"/>
      <c r="BS152" s="186"/>
      <c r="BT152" s="186"/>
      <c r="BU152" s="186"/>
      <c r="BV152" s="186"/>
      <c r="BW152" s="186"/>
      <c r="BX152" s="186"/>
    </row>
    <row r="153" ht="15.75" customHeight="1">
      <c r="A153" s="831" t="s">
        <v>4254</v>
      </c>
      <c r="B153" s="832" t="s">
        <v>4255</v>
      </c>
      <c r="C153" s="741" t="s">
        <v>4256</v>
      </c>
      <c r="D153" s="219"/>
      <c r="E153" s="742" t="s">
        <v>4257</v>
      </c>
      <c r="F153" s="742" t="s">
        <v>4256</v>
      </c>
      <c r="G153" s="742"/>
      <c r="H153" s="222"/>
      <c r="I153" s="748"/>
      <c r="J153" s="742" t="s">
        <v>4258</v>
      </c>
      <c r="K153" s="742" t="s">
        <v>4259</v>
      </c>
      <c r="L153" s="742"/>
      <c r="M153" s="808"/>
      <c r="N153" s="742" t="s">
        <v>4023</v>
      </c>
      <c r="O153" s="742"/>
      <c r="P153" s="742" t="s">
        <v>3696</v>
      </c>
      <c r="Q153" s="742"/>
      <c r="R153" s="746"/>
      <c r="S153" s="742"/>
      <c r="T153" s="742"/>
      <c r="U153" s="742"/>
      <c r="V153" s="742"/>
      <c r="W153" s="742" t="s">
        <v>3283</v>
      </c>
      <c r="X153" s="742" t="s">
        <v>4262</v>
      </c>
      <c r="Y153" s="809"/>
      <c r="Z153" s="742"/>
      <c r="AA153" s="742"/>
      <c r="AB153" s="742"/>
      <c r="AC153" s="742"/>
      <c r="AD153" s="742"/>
      <c r="AE153" s="809"/>
      <c r="AF153" s="742"/>
      <c r="AG153" s="742"/>
      <c r="AH153" s="742"/>
      <c r="AI153" s="742"/>
      <c r="AJ153" s="742"/>
      <c r="AK153" s="742"/>
      <c r="AL153" s="742"/>
      <c r="AM153" s="742" t="s">
        <v>1533</v>
      </c>
      <c r="AN153" s="742"/>
      <c r="AO153" s="748"/>
      <c r="AP153" s="742"/>
      <c r="AQ153" s="742"/>
      <c r="AR153" s="809"/>
      <c r="AS153" s="742"/>
      <c r="AT153" s="742"/>
      <c r="AU153" s="742"/>
      <c r="AV153" s="748"/>
      <c r="AW153" s="742"/>
      <c r="AX153" s="809"/>
      <c r="AY153" s="742"/>
      <c r="AZ153" s="742"/>
      <c r="BA153" s="742"/>
      <c r="BB153" s="742"/>
      <c r="BC153" s="742"/>
      <c r="BD153" s="742"/>
      <c r="BE153" s="809"/>
      <c r="BF153" s="742"/>
      <c r="BG153" s="742"/>
      <c r="BH153" s="742" t="s">
        <v>4264</v>
      </c>
      <c r="BI153" s="742"/>
      <c r="BJ153" s="742"/>
      <c r="BK153" s="742"/>
      <c r="BL153" s="809"/>
      <c r="BM153" s="809"/>
      <c r="BN153" s="809"/>
      <c r="BO153" s="809"/>
      <c r="BP153" s="809"/>
      <c r="BQ153" s="809"/>
      <c r="BR153" s="809"/>
      <c r="BS153" s="809"/>
      <c r="BT153" s="809"/>
      <c r="BU153" s="809"/>
      <c r="BV153" s="809"/>
      <c r="BW153" s="809"/>
      <c r="BX153" s="809"/>
    </row>
    <row r="154" ht="15.75" customHeight="1">
      <c r="A154" s="812"/>
      <c r="B154" s="813" t="s">
        <v>4265</v>
      </c>
      <c r="C154" s="741" t="s">
        <v>4267</v>
      </c>
      <c r="D154" s="808"/>
      <c r="E154" s="752"/>
      <c r="F154" s="752"/>
      <c r="G154" s="752"/>
      <c r="H154" s="222"/>
      <c r="I154" s="748"/>
      <c r="J154" s="752"/>
      <c r="K154" s="752"/>
      <c r="L154" s="752" t="s">
        <v>4268</v>
      </c>
      <c r="M154" s="219"/>
      <c r="N154" s="752"/>
      <c r="O154" s="752"/>
      <c r="P154" s="752"/>
      <c r="Q154" s="752" t="s">
        <v>4267</v>
      </c>
      <c r="R154" s="753"/>
      <c r="S154" s="752"/>
      <c r="T154" s="752"/>
      <c r="U154" s="752"/>
      <c r="V154" s="752"/>
      <c r="W154" s="752"/>
      <c r="X154" s="752"/>
      <c r="Y154" s="186"/>
      <c r="Z154" s="752"/>
      <c r="AA154" s="752"/>
      <c r="AB154" s="752"/>
      <c r="AC154" s="752"/>
      <c r="AD154" s="752"/>
      <c r="AE154" s="186"/>
      <c r="AF154" s="752"/>
      <c r="AG154" s="752"/>
      <c r="AH154" s="752"/>
      <c r="AI154" s="752"/>
      <c r="AJ154" s="752"/>
      <c r="AK154" s="752"/>
      <c r="AL154" s="752"/>
      <c r="AM154" s="752"/>
      <c r="AN154" s="752"/>
      <c r="AO154" s="748"/>
      <c r="AP154" s="752"/>
      <c r="AQ154" s="752"/>
      <c r="AR154" s="186"/>
      <c r="AS154" s="752"/>
      <c r="AT154" s="752"/>
      <c r="AU154" s="752"/>
      <c r="AV154" s="748"/>
      <c r="AW154" s="752"/>
      <c r="AX154" s="186"/>
      <c r="AY154" s="752"/>
      <c r="AZ154" s="752"/>
      <c r="BA154" s="752"/>
      <c r="BB154" s="752"/>
      <c r="BC154" s="752"/>
      <c r="BD154" s="752"/>
      <c r="BE154" s="186"/>
      <c r="BF154" s="752"/>
      <c r="BG154" s="752"/>
      <c r="BH154" s="752"/>
      <c r="BI154" s="752"/>
      <c r="BJ154" s="752"/>
      <c r="BK154" s="752"/>
      <c r="BL154" s="186"/>
      <c r="BM154" s="186"/>
      <c r="BN154" s="186"/>
      <c r="BO154" s="186"/>
      <c r="BP154" s="186"/>
      <c r="BQ154" s="186"/>
      <c r="BR154" s="186"/>
      <c r="BS154" s="186"/>
      <c r="BT154" s="186"/>
      <c r="BU154" s="186"/>
      <c r="BV154" s="186"/>
      <c r="BW154" s="186"/>
      <c r="BX154" s="186"/>
    </row>
    <row r="155" ht="15.75" customHeight="1">
      <c r="A155" s="816"/>
      <c r="B155" s="817" t="s">
        <v>4269</v>
      </c>
      <c r="C155" s="279" t="s">
        <v>4270</v>
      </c>
      <c r="D155" s="124" t="s">
        <v>4270</v>
      </c>
      <c r="E155" s="434" t="s">
        <v>4271</v>
      </c>
      <c r="F155" s="132" t="s">
        <v>1301</v>
      </c>
      <c r="G155" s="132" t="s">
        <v>4272</v>
      </c>
      <c r="H155" s="222"/>
      <c r="I155" s="748"/>
      <c r="J155" s="132" t="s">
        <v>2160</v>
      </c>
      <c r="K155" s="132" t="s">
        <v>4274</v>
      </c>
      <c r="L155" s="222" t="s">
        <v>4277</v>
      </c>
      <c r="M155" s="808"/>
      <c r="N155" s="222"/>
      <c r="O155" s="222"/>
      <c r="P155" s="222"/>
      <c r="Q155" s="222"/>
      <c r="R155" s="746"/>
      <c r="S155" s="222"/>
      <c r="T155" s="132" t="s">
        <v>2724</v>
      </c>
      <c r="U155" s="222"/>
      <c r="V155" s="222"/>
      <c r="W155" s="222"/>
      <c r="X155" s="222"/>
      <c r="Y155" s="809"/>
      <c r="Z155" s="222"/>
      <c r="AA155" s="222"/>
      <c r="AB155" s="222"/>
      <c r="AC155" s="222"/>
      <c r="AD155" s="222"/>
      <c r="AE155" s="809"/>
      <c r="AF155" s="222"/>
      <c r="AG155" s="222"/>
      <c r="AH155" s="222"/>
      <c r="AI155" s="222"/>
      <c r="AJ155" s="222"/>
      <c r="AK155" s="222"/>
      <c r="AL155" s="222"/>
      <c r="AM155" s="222"/>
      <c r="AN155" s="222"/>
      <c r="AO155" s="748"/>
      <c r="AP155" s="222"/>
      <c r="AQ155" s="222"/>
      <c r="AR155" s="809"/>
      <c r="AS155" s="222"/>
      <c r="AT155" s="132" t="str">
        <f>HYPERLINK("https://youtu.be/_0JbK5D6GCQ","1:25.92")</f>
        <v>1:25.92</v>
      </c>
      <c r="AU155" s="222"/>
      <c r="AV155" s="748"/>
      <c r="AW155" s="222"/>
      <c r="AX155" s="809"/>
      <c r="AY155" s="222"/>
      <c r="AZ155" s="222"/>
      <c r="BA155" s="844" t="s">
        <v>4279</v>
      </c>
      <c r="BB155" s="222"/>
      <c r="BC155" s="222"/>
      <c r="BD155" s="222"/>
      <c r="BE155" s="809"/>
      <c r="BF155" s="222"/>
      <c r="BG155" s="222"/>
      <c r="BH155" s="222"/>
      <c r="BI155" s="222"/>
      <c r="BJ155" s="222"/>
      <c r="BK155" s="222"/>
      <c r="BL155" s="809"/>
      <c r="BM155" s="809"/>
      <c r="BN155" s="809"/>
      <c r="BO155" s="809"/>
      <c r="BP155" s="809"/>
      <c r="BQ155" s="809"/>
      <c r="BR155" s="809"/>
      <c r="BS155" s="809"/>
      <c r="BT155" s="809"/>
      <c r="BU155" s="809"/>
      <c r="BV155" s="809"/>
      <c r="BW155" s="809"/>
      <c r="BX155" s="809"/>
    </row>
    <row r="156" ht="15.75" customHeight="1">
      <c r="A156" s="812"/>
      <c r="B156" s="813" t="s">
        <v>4281</v>
      </c>
      <c r="C156" s="119" t="s">
        <v>4282</v>
      </c>
      <c r="D156" s="808"/>
      <c r="E156" s="70" t="s">
        <v>4285</v>
      </c>
      <c r="F156" s="752"/>
      <c r="G156" s="752"/>
      <c r="H156" s="132" t="s">
        <v>4286</v>
      </c>
      <c r="I156" s="748"/>
      <c r="J156" s="752"/>
      <c r="K156" s="752"/>
      <c r="L156" s="757" t="s">
        <v>314</v>
      </c>
      <c r="M156" s="219"/>
      <c r="N156" s="752"/>
      <c r="O156" s="752" t="s">
        <v>4288</v>
      </c>
      <c r="P156" s="752"/>
      <c r="Q156" s="752" t="s">
        <v>707</v>
      </c>
      <c r="R156" s="753"/>
      <c r="S156" s="752"/>
      <c r="T156" s="752"/>
      <c r="U156" s="752"/>
      <c r="V156" s="132" t="s">
        <v>4282</v>
      </c>
      <c r="W156" s="752"/>
      <c r="X156" s="752"/>
      <c r="Y156" s="186"/>
      <c r="Z156" s="752"/>
      <c r="AA156" s="752"/>
      <c r="AB156" s="752"/>
      <c r="AC156" s="752"/>
      <c r="AD156" s="752"/>
      <c r="AE156" s="186"/>
      <c r="AF156" s="752"/>
      <c r="AG156" s="752"/>
      <c r="AH156" s="752"/>
      <c r="AI156" s="752"/>
      <c r="AJ156" s="752"/>
      <c r="AK156" s="752"/>
      <c r="AL156" s="752"/>
      <c r="AM156" s="752"/>
      <c r="AN156" s="752"/>
      <c r="AO156" s="748"/>
      <c r="AP156" s="752"/>
      <c r="AQ156" s="752"/>
      <c r="AR156" s="186"/>
      <c r="AS156" s="752"/>
      <c r="AT156" s="752"/>
      <c r="AU156" s="752"/>
      <c r="AV156" s="748"/>
      <c r="AW156" s="752"/>
      <c r="AX156" s="186"/>
      <c r="AY156" s="752"/>
      <c r="AZ156" s="752"/>
      <c r="BA156" s="752"/>
      <c r="BB156" s="752"/>
      <c r="BC156" s="752"/>
      <c r="BD156" s="752"/>
      <c r="BE156" s="186"/>
      <c r="BF156" s="752"/>
      <c r="BG156" s="752"/>
      <c r="BH156" s="752"/>
      <c r="BI156" s="752"/>
      <c r="BJ156" s="752"/>
      <c r="BK156" s="752"/>
      <c r="BL156" s="186"/>
      <c r="BM156" s="186"/>
      <c r="BN156" s="186"/>
      <c r="BO156" s="186"/>
      <c r="BP156" s="186"/>
      <c r="BQ156" s="186"/>
      <c r="BR156" s="186"/>
      <c r="BS156" s="186"/>
      <c r="BT156" s="186"/>
      <c r="BU156" s="186"/>
      <c r="BV156" s="186"/>
      <c r="BW156" s="186"/>
      <c r="BX156" s="186"/>
    </row>
    <row r="157" ht="15.75" customHeight="1">
      <c r="A157" s="831" t="s">
        <v>4292</v>
      </c>
      <c r="B157" s="832" t="s">
        <v>4255</v>
      </c>
      <c r="C157" s="741" t="s">
        <v>3221</v>
      </c>
      <c r="D157" s="219"/>
      <c r="E157" s="847" t="s">
        <v>4294</v>
      </c>
      <c r="F157" s="847" t="s">
        <v>4296</v>
      </c>
      <c r="G157" s="847"/>
      <c r="H157" s="222"/>
      <c r="I157" s="748"/>
      <c r="J157" s="847" t="s">
        <v>3221</v>
      </c>
      <c r="K157" s="847"/>
      <c r="L157" s="847"/>
      <c r="M157" s="808"/>
      <c r="N157" s="847"/>
      <c r="O157" s="847"/>
      <c r="P157" s="847"/>
      <c r="Q157" s="847"/>
      <c r="R157" s="746"/>
      <c r="S157" s="847"/>
      <c r="T157" s="847"/>
      <c r="U157" s="847"/>
      <c r="V157" s="847"/>
      <c r="W157" s="847"/>
      <c r="X157" s="847"/>
      <c r="Y157" s="809"/>
      <c r="Z157" s="847"/>
      <c r="AA157" s="847"/>
      <c r="AB157" s="847"/>
      <c r="AC157" s="847"/>
      <c r="AD157" s="847"/>
      <c r="AE157" s="809"/>
      <c r="AF157" s="847"/>
      <c r="AG157" s="847"/>
      <c r="AH157" s="847"/>
      <c r="AI157" s="847"/>
      <c r="AJ157" s="847"/>
      <c r="AK157" s="847"/>
      <c r="AL157" s="847"/>
      <c r="AM157" s="847"/>
      <c r="AN157" s="847"/>
      <c r="AO157" s="748"/>
      <c r="AP157" s="847"/>
      <c r="AQ157" s="847"/>
      <c r="AR157" s="809"/>
      <c r="AS157" s="847"/>
      <c r="AT157" s="847"/>
      <c r="AU157" s="847"/>
      <c r="AV157" s="748"/>
      <c r="AW157" s="847"/>
      <c r="AX157" s="809"/>
      <c r="AY157" s="847"/>
      <c r="AZ157" s="847"/>
      <c r="BA157" s="847"/>
      <c r="BB157" s="847"/>
      <c r="BC157" s="847"/>
      <c r="BD157" s="847"/>
      <c r="BE157" s="809"/>
      <c r="BF157" s="847"/>
      <c r="BG157" s="847"/>
      <c r="BH157" s="847"/>
      <c r="BI157" s="847"/>
      <c r="BJ157" s="847"/>
      <c r="BK157" s="847"/>
      <c r="BL157" s="809"/>
      <c r="BM157" s="809"/>
      <c r="BN157" s="809"/>
      <c r="BO157" s="809"/>
      <c r="BP157" s="809"/>
      <c r="BQ157" s="809"/>
      <c r="BR157" s="809"/>
      <c r="BS157" s="809"/>
      <c r="BT157" s="809"/>
      <c r="BU157" s="809"/>
      <c r="BV157" s="809"/>
      <c r="BW157" s="809"/>
      <c r="BX157" s="809"/>
    </row>
    <row r="158" ht="15.75" customHeight="1">
      <c r="A158" s="812"/>
      <c r="B158" s="813" t="s">
        <v>4298</v>
      </c>
      <c r="C158" s="119" t="s">
        <v>1152</v>
      </c>
      <c r="D158" s="443"/>
      <c r="E158" s="847"/>
      <c r="F158" s="847"/>
      <c r="G158" s="222"/>
      <c r="H158" s="222"/>
      <c r="I158" s="748"/>
      <c r="J158" s="847"/>
      <c r="K158" s="847"/>
      <c r="L158" s="847"/>
      <c r="M158" s="808"/>
      <c r="N158" s="847"/>
      <c r="O158" s="847"/>
      <c r="P158" s="847"/>
      <c r="Q158" s="847"/>
      <c r="R158" s="746"/>
      <c r="S158" s="847"/>
      <c r="T158" s="132" t="s">
        <v>1152</v>
      </c>
      <c r="U158" s="847"/>
      <c r="V158" s="847"/>
      <c r="W158" s="847"/>
      <c r="X158" s="847"/>
      <c r="Y158" s="809"/>
      <c r="Z158" s="847"/>
      <c r="AA158" s="847"/>
      <c r="AB158" s="847"/>
      <c r="AC158" s="847"/>
      <c r="AD158" s="847"/>
      <c r="AE158" s="809"/>
      <c r="AF158" s="847"/>
      <c r="AG158" s="847"/>
      <c r="AH158" s="847"/>
      <c r="AI158" s="847"/>
      <c r="AJ158" s="847"/>
      <c r="AK158" s="847"/>
      <c r="AL158" s="847"/>
      <c r="AM158" s="847"/>
      <c r="AN158" s="847"/>
      <c r="AO158" s="748"/>
      <c r="AP158" s="847"/>
      <c r="AQ158" s="847"/>
      <c r="AR158" s="809"/>
      <c r="AS158" s="847"/>
      <c r="AT158" s="847"/>
      <c r="AU158" s="847"/>
      <c r="AV158" s="748"/>
      <c r="AW158" s="847"/>
      <c r="AX158" s="809"/>
      <c r="AY158" s="847"/>
      <c r="AZ158" s="847"/>
      <c r="BA158" s="847"/>
      <c r="BB158" s="847"/>
      <c r="BC158" s="847"/>
      <c r="BD158" s="847"/>
      <c r="BE158" s="809"/>
      <c r="BF158" s="847"/>
      <c r="BG158" s="847"/>
      <c r="BH158" s="847"/>
      <c r="BI158" s="847"/>
      <c r="BJ158" s="847"/>
      <c r="BK158" s="847"/>
      <c r="BL158" s="809"/>
      <c r="BM158" s="809"/>
      <c r="BN158" s="809"/>
      <c r="BO158" s="809"/>
      <c r="BP158" s="809"/>
      <c r="BQ158" s="809"/>
      <c r="BR158" s="809"/>
      <c r="BS158" s="809"/>
      <c r="BT158" s="809"/>
      <c r="BU158" s="809"/>
      <c r="BV158" s="809"/>
      <c r="BW158" s="809"/>
      <c r="BX158" s="809"/>
    </row>
    <row r="159" ht="15.75" customHeight="1">
      <c r="A159" s="816"/>
      <c r="B159" s="817" t="s">
        <v>4303</v>
      </c>
      <c r="C159" s="851" t="s">
        <v>555</v>
      </c>
      <c r="D159" s="443" t="s">
        <v>555</v>
      </c>
      <c r="E159" s="847" t="s">
        <v>4304</v>
      </c>
      <c r="F159" s="847"/>
      <c r="H159" s="222"/>
      <c r="I159" s="748"/>
      <c r="J159" s="847"/>
      <c r="K159" s="847"/>
      <c r="L159" s="847"/>
      <c r="M159" s="808"/>
      <c r="N159" s="847"/>
      <c r="O159" s="847"/>
      <c r="P159" s="847"/>
      <c r="Q159" s="847"/>
      <c r="R159" s="746"/>
      <c r="S159" s="847"/>
      <c r="U159" s="847"/>
      <c r="V159" s="847"/>
      <c r="W159" s="847"/>
      <c r="X159" s="847"/>
      <c r="Y159" s="809"/>
      <c r="Z159" s="847" t="s">
        <v>4088</v>
      </c>
      <c r="AA159" s="847"/>
      <c r="AB159" s="847"/>
      <c r="AC159" s="847"/>
      <c r="AD159" s="847"/>
      <c r="AE159" s="809"/>
      <c r="AF159" s="847"/>
      <c r="AG159" s="847"/>
      <c r="AH159" s="847"/>
      <c r="AI159" s="847"/>
      <c r="AJ159" s="847"/>
      <c r="AK159" s="847"/>
      <c r="AL159" s="847"/>
      <c r="AM159" s="847"/>
      <c r="AN159" s="847"/>
      <c r="AO159" s="748"/>
      <c r="AP159" s="847"/>
      <c r="AQ159" s="847"/>
      <c r="AR159" s="809"/>
      <c r="AS159" s="847"/>
      <c r="AT159" s="847"/>
      <c r="AU159" s="847"/>
      <c r="AV159" s="748"/>
      <c r="AW159" s="847"/>
      <c r="AX159" s="809"/>
      <c r="AY159" s="847"/>
      <c r="AZ159" s="847"/>
      <c r="BA159" s="847"/>
      <c r="BB159" s="847"/>
      <c r="BC159" s="847"/>
      <c r="BD159" s="847"/>
      <c r="BE159" s="809"/>
      <c r="BF159" s="847"/>
      <c r="BG159" s="847"/>
      <c r="BH159" s="847"/>
      <c r="BI159" s="847"/>
      <c r="BJ159" s="847"/>
      <c r="BK159" s="847"/>
      <c r="BL159" s="809"/>
      <c r="BM159" s="809"/>
      <c r="BN159" s="809"/>
      <c r="BO159" s="809"/>
      <c r="BP159" s="809"/>
      <c r="BQ159" s="809"/>
      <c r="BR159" s="809"/>
      <c r="BS159" s="809"/>
      <c r="BT159" s="809"/>
      <c r="BU159" s="809"/>
      <c r="BV159" s="809"/>
      <c r="BW159" s="809"/>
      <c r="BX159" s="809"/>
    </row>
    <row r="160" ht="15.75" customHeight="1">
      <c r="A160" s="853"/>
      <c r="B160" s="854" t="s">
        <v>4308</v>
      </c>
      <c r="C160" s="119" t="s">
        <v>4309</v>
      </c>
      <c r="D160" s="182" t="s">
        <v>4311</v>
      </c>
      <c r="E160" s="847"/>
      <c r="F160" s="847"/>
      <c r="G160" s="132" t="s">
        <v>4309</v>
      </c>
      <c r="H160" s="222"/>
      <c r="I160" s="748"/>
      <c r="J160" s="847"/>
      <c r="K160" s="847"/>
      <c r="L160" s="847"/>
      <c r="M160" s="808"/>
      <c r="N160" s="847"/>
      <c r="O160" s="847"/>
      <c r="P160" s="847"/>
      <c r="Q160" s="847"/>
      <c r="R160" s="746"/>
      <c r="S160" s="847"/>
      <c r="U160" s="847"/>
      <c r="V160" s="847"/>
      <c r="W160" s="847"/>
      <c r="X160" s="847"/>
      <c r="Y160" s="809"/>
      <c r="Z160" s="847"/>
      <c r="AA160" s="847"/>
      <c r="AB160" s="847"/>
      <c r="AC160" s="847"/>
      <c r="AD160" s="847"/>
      <c r="AE160" s="809"/>
      <c r="AF160" s="847"/>
      <c r="AG160" s="847"/>
      <c r="AH160" s="847"/>
      <c r="AI160" s="847"/>
      <c r="AJ160" s="847"/>
      <c r="AK160" s="847"/>
      <c r="AL160" s="847"/>
      <c r="AM160" s="847"/>
      <c r="AN160" s="847"/>
      <c r="AO160" s="748"/>
      <c r="AP160" s="847"/>
      <c r="AQ160" s="847"/>
      <c r="AR160" s="809"/>
      <c r="AS160" s="847"/>
      <c r="AT160" s="847"/>
      <c r="AU160" s="847"/>
      <c r="AV160" s="748"/>
      <c r="AW160" s="847"/>
      <c r="AX160" s="809"/>
      <c r="AY160" s="847"/>
      <c r="AZ160" s="847"/>
      <c r="BA160" s="847"/>
      <c r="BB160" s="847"/>
      <c r="BC160" s="847"/>
      <c r="BD160" s="847"/>
      <c r="BE160" s="809"/>
      <c r="BF160" s="847"/>
      <c r="BG160" s="847"/>
      <c r="BH160" s="847"/>
      <c r="BI160" s="847"/>
      <c r="BJ160" s="847"/>
      <c r="BK160" s="847"/>
      <c r="BL160" s="809"/>
      <c r="BM160" s="809"/>
      <c r="BN160" s="809"/>
      <c r="BO160" s="809"/>
      <c r="BP160" s="809"/>
      <c r="BQ160" s="809"/>
      <c r="BR160" s="809"/>
      <c r="BS160" s="809"/>
      <c r="BT160" s="809"/>
      <c r="BU160" s="809"/>
      <c r="BV160" s="809"/>
      <c r="BW160" s="809"/>
      <c r="BX160" s="809"/>
    </row>
    <row r="161" ht="15.75" customHeight="1">
      <c r="A161" s="816"/>
      <c r="B161" s="817" t="s">
        <v>4313</v>
      </c>
      <c r="C161" s="741"/>
      <c r="D161" s="808"/>
      <c r="E161" s="847"/>
      <c r="F161" s="847"/>
      <c r="G161" s="847"/>
      <c r="H161" s="222"/>
      <c r="I161" s="748"/>
      <c r="J161" s="847"/>
      <c r="K161" s="847"/>
      <c r="L161" s="847"/>
      <c r="M161" s="219"/>
      <c r="N161" s="847"/>
      <c r="O161" s="847"/>
      <c r="P161" s="847"/>
      <c r="Q161" s="847"/>
      <c r="R161" s="746"/>
      <c r="S161" s="847"/>
      <c r="T161" s="847"/>
      <c r="U161" s="847"/>
      <c r="V161" s="847"/>
      <c r="W161" s="847"/>
      <c r="X161" s="847"/>
      <c r="Y161" s="186"/>
      <c r="Z161" s="847"/>
      <c r="AA161" s="847"/>
      <c r="AB161" s="847"/>
      <c r="AC161" s="847"/>
      <c r="AD161" s="847"/>
      <c r="AE161" s="186"/>
      <c r="AF161" s="847"/>
      <c r="AG161" s="847"/>
      <c r="AH161" s="847"/>
      <c r="AI161" s="847"/>
      <c r="AJ161" s="847"/>
      <c r="AK161" s="847"/>
      <c r="AL161" s="847"/>
      <c r="AM161" s="847"/>
      <c r="AN161" s="847"/>
      <c r="AO161" s="748"/>
      <c r="AP161" s="847"/>
      <c r="AQ161" s="847"/>
      <c r="AR161" s="186"/>
      <c r="AS161" s="847"/>
      <c r="AT161" s="847"/>
      <c r="AU161" s="847"/>
      <c r="AV161" s="748"/>
      <c r="AW161" s="847"/>
      <c r="AX161" s="186"/>
      <c r="AY161" s="847"/>
      <c r="AZ161" s="847"/>
      <c r="BA161" s="847"/>
      <c r="BB161" s="847"/>
      <c r="BC161" s="847"/>
      <c r="BD161" s="847"/>
      <c r="BE161" s="186"/>
      <c r="BF161" s="847"/>
      <c r="BG161" s="847"/>
      <c r="BH161" s="847"/>
      <c r="BI161" s="847"/>
      <c r="BJ161" s="847"/>
      <c r="BK161" s="847"/>
      <c r="BL161" s="186"/>
      <c r="BM161" s="186"/>
      <c r="BN161" s="186"/>
      <c r="BO161" s="186"/>
      <c r="BP161" s="186"/>
      <c r="BQ161" s="186"/>
      <c r="BR161" s="186"/>
      <c r="BS161" s="186"/>
      <c r="BT161" s="186"/>
      <c r="BU161" s="186"/>
      <c r="BV161" s="186"/>
      <c r="BW161" s="186"/>
      <c r="BX161" s="186"/>
    </row>
    <row r="162" ht="15.75" customHeight="1">
      <c r="A162" s="853"/>
      <c r="B162" s="854" t="s">
        <v>4281</v>
      </c>
      <c r="C162" s="119" t="s">
        <v>2652</v>
      </c>
      <c r="D162" s="808"/>
      <c r="E162" s="847"/>
      <c r="F162" s="847"/>
      <c r="G162" s="847" t="s">
        <v>4317</v>
      </c>
      <c r="H162" s="132" t="s">
        <v>2433</v>
      </c>
      <c r="I162" s="748"/>
      <c r="J162" s="847" t="s">
        <v>775</v>
      </c>
      <c r="K162" s="847"/>
      <c r="L162" s="847"/>
      <c r="M162" s="219"/>
      <c r="N162" s="847"/>
      <c r="O162" s="742" t="s">
        <v>4319</v>
      </c>
      <c r="P162" s="847"/>
      <c r="Q162" s="847"/>
      <c r="R162" s="746"/>
      <c r="S162" s="847"/>
      <c r="T162" s="847"/>
      <c r="U162" s="847"/>
      <c r="V162" s="132" t="s">
        <v>4321</v>
      </c>
      <c r="W162" s="847"/>
      <c r="X162" s="847"/>
      <c r="Y162" s="186"/>
      <c r="Z162" s="847"/>
      <c r="AA162" s="847"/>
      <c r="AB162" s="847"/>
      <c r="AC162" s="847"/>
      <c r="AD162" s="847"/>
      <c r="AE162" s="186"/>
      <c r="AF162" s="847"/>
      <c r="AG162" s="847"/>
      <c r="AH162" s="847"/>
      <c r="AI162" s="847"/>
      <c r="AJ162" s="847"/>
      <c r="AK162" s="847"/>
      <c r="AL162" s="847"/>
      <c r="AM162" s="847"/>
      <c r="AN162" s="847"/>
      <c r="AO162" s="748"/>
      <c r="AP162" s="847"/>
      <c r="AQ162" s="847"/>
      <c r="AR162" s="186"/>
      <c r="AS162" s="847"/>
      <c r="AT162" s="847"/>
      <c r="AU162" s="847"/>
      <c r="AV162" s="748"/>
      <c r="AW162" s="847"/>
      <c r="AX162" s="186"/>
      <c r="AY162" s="847"/>
      <c r="AZ162" s="847"/>
      <c r="BA162" s="847"/>
      <c r="BB162" s="847"/>
      <c r="BC162" s="847"/>
      <c r="BD162" s="847"/>
      <c r="BE162" s="186"/>
      <c r="BF162" s="847"/>
      <c r="BG162" s="847"/>
      <c r="BH162" s="847"/>
      <c r="BI162" s="847"/>
      <c r="BJ162" s="847"/>
      <c r="BK162" s="847"/>
      <c r="BL162" s="186"/>
      <c r="BM162" s="186"/>
      <c r="BN162" s="186"/>
      <c r="BO162" s="186"/>
      <c r="BP162" s="186"/>
      <c r="BQ162" s="186"/>
      <c r="BR162" s="186"/>
      <c r="BS162" s="186"/>
      <c r="BT162" s="186"/>
      <c r="BU162" s="186"/>
      <c r="BV162" s="186"/>
      <c r="BW162" s="186"/>
      <c r="BX162" s="186"/>
    </row>
    <row r="163" ht="15.75" customHeight="1">
      <c r="A163" s="831" t="s">
        <v>4322</v>
      </c>
      <c r="B163" s="832" t="s">
        <v>4323</v>
      </c>
      <c r="C163" s="741" t="s">
        <v>4324</v>
      </c>
      <c r="D163" s="219"/>
      <c r="E163" s="847" t="s">
        <v>3838</v>
      </c>
      <c r="F163" s="847"/>
      <c r="G163" s="847"/>
      <c r="H163" s="222"/>
      <c r="I163" s="748"/>
      <c r="J163" s="847"/>
      <c r="K163" s="847"/>
      <c r="L163" s="847"/>
      <c r="M163" s="808"/>
      <c r="N163" s="847"/>
      <c r="O163" s="847"/>
      <c r="P163" s="847"/>
      <c r="Q163" s="847"/>
      <c r="R163" s="746"/>
      <c r="S163" s="847"/>
      <c r="T163" s="847"/>
      <c r="U163" s="847"/>
      <c r="V163" s="847"/>
      <c r="W163" s="847"/>
      <c r="X163" s="847"/>
      <c r="Y163" s="809"/>
      <c r="Z163" s="847"/>
      <c r="AA163" s="847"/>
      <c r="AB163" s="847"/>
      <c r="AC163" s="847"/>
      <c r="AD163" s="847"/>
      <c r="AE163" s="809"/>
      <c r="AF163" s="847"/>
      <c r="AG163" s="847"/>
      <c r="AH163" s="847"/>
      <c r="AI163" s="847"/>
      <c r="AJ163" s="847"/>
      <c r="AK163" s="847"/>
      <c r="AL163" s="847"/>
      <c r="AM163" s="847"/>
      <c r="AN163" s="847"/>
      <c r="AO163" s="748"/>
      <c r="AP163" s="847"/>
      <c r="AQ163" s="847"/>
      <c r="AR163" s="809"/>
      <c r="AS163" s="847"/>
      <c r="AT163" s="847"/>
      <c r="AU163" s="847"/>
      <c r="AV163" s="748"/>
      <c r="AW163" s="847"/>
      <c r="AX163" s="809"/>
      <c r="AY163" s="847"/>
      <c r="AZ163" s="847"/>
      <c r="BA163" s="847"/>
      <c r="BB163" s="847"/>
      <c r="BC163" s="847"/>
      <c r="BD163" s="847"/>
      <c r="BE163" s="809"/>
      <c r="BF163" s="847"/>
      <c r="BG163" s="847"/>
      <c r="BH163" s="847"/>
      <c r="BI163" s="847"/>
      <c r="BJ163" s="847"/>
      <c r="BK163" s="847"/>
      <c r="BL163" s="809"/>
      <c r="BM163" s="809"/>
      <c r="BN163" s="809"/>
      <c r="BO163" s="809"/>
      <c r="BP163" s="809"/>
      <c r="BQ163" s="809"/>
      <c r="BR163" s="809"/>
      <c r="BS163" s="809"/>
      <c r="BT163" s="809"/>
      <c r="BU163" s="809"/>
      <c r="BV163" s="809"/>
      <c r="BW163" s="809"/>
      <c r="BX163" s="809"/>
    </row>
    <row r="164" ht="15.75" customHeight="1">
      <c r="A164" s="812"/>
      <c r="B164" s="813" t="s">
        <v>4326</v>
      </c>
      <c r="C164" s="741"/>
      <c r="D164" s="808"/>
      <c r="E164" s="847"/>
      <c r="F164" s="847"/>
      <c r="G164" s="847"/>
      <c r="H164" s="222"/>
      <c r="I164" s="748"/>
      <c r="J164" s="847"/>
      <c r="K164" s="847"/>
      <c r="L164" s="847"/>
      <c r="M164" s="219"/>
      <c r="N164" s="847"/>
      <c r="O164" s="847"/>
      <c r="P164" s="847"/>
      <c r="Q164" s="847"/>
      <c r="R164" s="746"/>
      <c r="S164" s="847"/>
      <c r="T164" s="847"/>
      <c r="U164" s="847"/>
      <c r="V164" s="847"/>
      <c r="W164" s="847"/>
      <c r="X164" s="847"/>
      <c r="Y164" s="186"/>
      <c r="Z164" s="847"/>
      <c r="AA164" s="847"/>
      <c r="AB164" s="847"/>
      <c r="AC164" s="847"/>
      <c r="AD164" s="847"/>
      <c r="AE164" s="186"/>
      <c r="AF164" s="847"/>
      <c r="AG164" s="847"/>
      <c r="AH164" s="847"/>
      <c r="AI164" s="847"/>
      <c r="AJ164" s="847"/>
      <c r="AK164" s="847"/>
      <c r="AL164" s="847"/>
      <c r="AM164" s="847"/>
      <c r="AN164" s="847"/>
      <c r="AO164" s="748"/>
      <c r="AP164" s="847"/>
      <c r="AQ164" s="847"/>
      <c r="AR164" s="186"/>
      <c r="AS164" s="847"/>
      <c r="AT164" s="847"/>
      <c r="AU164" s="847"/>
      <c r="AV164" s="748"/>
      <c r="AW164" s="847"/>
      <c r="AX164" s="186"/>
      <c r="AY164" s="847"/>
      <c r="AZ164" s="847"/>
      <c r="BA164" s="847"/>
      <c r="BB164" s="847"/>
      <c r="BC164" s="847"/>
      <c r="BD164" s="847"/>
      <c r="BE164" s="186"/>
      <c r="BF164" s="847"/>
      <c r="BG164" s="847"/>
      <c r="BH164" s="847"/>
      <c r="BI164" s="847"/>
      <c r="BJ164" s="847"/>
      <c r="BK164" s="847"/>
      <c r="BL164" s="186"/>
      <c r="BM164" s="186"/>
      <c r="BN164" s="186"/>
      <c r="BO164" s="186"/>
      <c r="BP164" s="186"/>
      <c r="BQ164" s="186"/>
      <c r="BR164" s="186"/>
      <c r="BS164" s="186"/>
      <c r="BT164" s="186"/>
      <c r="BU164" s="186"/>
      <c r="BV164" s="186"/>
      <c r="BW164" s="186"/>
      <c r="BX164" s="186"/>
    </row>
    <row r="165" ht="15.75" customHeight="1">
      <c r="A165" s="831" t="s">
        <v>4329</v>
      </c>
      <c r="B165" s="832" t="s">
        <v>4330</v>
      </c>
      <c r="C165" s="119" t="s">
        <v>4331</v>
      </c>
      <c r="D165" s="182" t="s">
        <v>4332</v>
      </c>
      <c r="E165" s="847"/>
      <c r="F165" s="847"/>
      <c r="G165" s="742" t="s">
        <v>4334</v>
      </c>
      <c r="H165" s="132" t="s">
        <v>4336</v>
      </c>
      <c r="I165" s="748"/>
      <c r="J165" s="847" t="s">
        <v>4337</v>
      </c>
      <c r="K165" s="847"/>
      <c r="L165" s="847"/>
      <c r="M165" s="808"/>
      <c r="N165" s="847"/>
      <c r="O165" s="742" t="s">
        <v>4339</v>
      </c>
      <c r="P165" s="847"/>
      <c r="Q165" s="847"/>
      <c r="R165" s="746"/>
      <c r="S165" s="847"/>
      <c r="T165" s="132" t="s">
        <v>4340</v>
      </c>
      <c r="U165" s="847"/>
      <c r="V165" s="132" t="s">
        <v>4331</v>
      </c>
      <c r="W165" s="847"/>
      <c r="X165" s="847"/>
      <c r="Y165" s="809"/>
      <c r="Z165" s="847"/>
      <c r="AA165" s="847"/>
      <c r="AB165" s="847"/>
      <c r="AC165" s="847"/>
      <c r="AD165" s="847"/>
      <c r="AE165" s="809"/>
      <c r="AF165" s="847"/>
      <c r="AG165" s="847"/>
      <c r="AH165" s="847"/>
      <c r="AI165" s="847"/>
      <c r="AJ165" s="847"/>
      <c r="AK165" s="847"/>
      <c r="AL165" s="847"/>
      <c r="AM165" s="847"/>
      <c r="AN165" s="847"/>
      <c r="AO165" s="748"/>
      <c r="AP165" s="847"/>
      <c r="AQ165" s="847"/>
      <c r="AR165" s="809"/>
      <c r="AS165" s="847"/>
      <c r="AT165" s="847"/>
      <c r="AU165" s="847"/>
      <c r="AV165" s="748"/>
      <c r="AW165" s="847"/>
      <c r="AX165" s="809"/>
      <c r="AY165" s="847"/>
      <c r="AZ165" s="847"/>
      <c r="BA165" s="847"/>
      <c r="BB165" s="847"/>
      <c r="BC165" s="847"/>
      <c r="BD165" s="847"/>
      <c r="BE165" s="809"/>
      <c r="BF165" s="847"/>
      <c r="BG165" s="847"/>
      <c r="BH165" s="847"/>
      <c r="BI165" s="847"/>
      <c r="BJ165" s="847"/>
      <c r="BK165" s="847"/>
      <c r="BL165" s="809"/>
      <c r="BM165" s="809"/>
      <c r="BN165" s="809"/>
      <c r="BO165" s="809"/>
      <c r="BP165" s="809"/>
      <c r="BQ165" s="809"/>
      <c r="BR165" s="809"/>
      <c r="BS165" s="809"/>
      <c r="BT165" s="809"/>
      <c r="BU165" s="809"/>
      <c r="BV165" s="809"/>
      <c r="BW165" s="809"/>
      <c r="BX165" s="809"/>
    </row>
    <row r="166" ht="15.75" customHeight="1">
      <c r="A166" s="812"/>
      <c r="B166" s="813" t="s">
        <v>4345</v>
      </c>
      <c r="C166" s="741" t="s">
        <v>4346</v>
      </c>
      <c r="D166" s="829" t="s">
        <v>4347</v>
      </c>
      <c r="E166" s="847"/>
      <c r="F166" s="847"/>
      <c r="G166" s="742" t="s">
        <v>4349</v>
      </c>
      <c r="H166" s="222"/>
      <c r="I166" s="748"/>
      <c r="J166" s="847"/>
      <c r="K166" s="847"/>
      <c r="L166" s="847"/>
      <c r="M166" s="219"/>
      <c r="N166" s="847"/>
      <c r="O166" s="847"/>
      <c r="P166" s="847"/>
      <c r="Q166" s="847"/>
      <c r="R166" s="746"/>
      <c r="S166" s="847"/>
      <c r="T166" s="847"/>
      <c r="U166" s="847"/>
      <c r="V166" s="847"/>
      <c r="W166" s="847"/>
      <c r="X166" s="847"/>
      <c r="Y166" s="186"/>
      <c r="Z166" s="847"/>
      <c r="AA166" s="847"/>
      <c r="AB166" s="847"/>
      <c r="AC166" s="847"/>
      <c r="AD166" s="847"/>
      <c r="AE166" s="186"/>
      <c r="AF166" s="847"/>
      <c r="AG166" s="847"/>
      <c r="AH166" s="847"/>
      <c r="AI166" s="847"/>
      <c r="AJ166" s="847"/>
      <c r="AK166" s="847"/>
      <c r="AL166" s="847"/>
      <c r="AM166" s="847"/>
      <c r="AN166" s="847"/>
      <c r="AO166" s="748"/>
      <c r="AP166" s="847"/>
      <c r="AQ166" s="847"/>
      <c r="AR166" s="186"/>
      <c r="AS166" s="847"/>
      <c r="AT166" s="847"/>
      <c r="AU166" s="847"/>
      <c r="AV166" s="748"/>
      <c r="AW166" s="847"/>
      <c r="AX166" s="186"/>
      <c r="AY166" s="847"/>
      <c r="AZ166" s="847"/>
      <c r="BA166" s="847"/>
      <c r="BB166" s="847"/>
      <c r="BC166" s="847"/>
      <c r="BD166" s="847"/>
      <c r="BE166" s="186"/>
      <c r="BF166" s="847"/>
      <c r="BG166" s="847"/>
      <c r="BH166" s="847"/>
      <c r="BI166" s="847"/>
      <c r="BJ166" s="847"/>
      <c r="BK166" s="847"/>
      <c r="BL166" s="186"/>
      <c r="BM166" s="186"/>
      <c r="BN166" s="186"/>
      <c r="BO166" s="186"/>
      <c r="BP166" s="186"/>
      <c r="BQ166" s="186"/>
      <c r="BR166" s="186"/>
      <c r="BS166" s="186"/>
      <c r="BT166" s="186"/>
      <c r="BU166" s="186"/>
      <c r="BV166" s="186"/>
      <c r="BW166" s="186"/>
      <c r="BX166" s="186"/>
    </row>
    <row r="167" ht="15.75" customHeight="1">
      <c r="A167" s="816"/>
      <c r="B167" s="817" t="s">
        <v>4353</v>
      </c>
      <c r="C167" s="741" t="s">
        <v>4354</v>
      </c>
      <c r="D167" s="182" t="s">
        <v>4355</v>
      </c>
      <c r="E167" s="847"/>
      <c r="F167" s="847"/>
      <c r="G167" s="742" t="s">
        <v>4354</v>
      </c>
      <c r="H167" s="222"/>
      <c r="I167" s="748"/>
      <c r="J167" s="847" t="s">
        <v>239</v>
      </c>
      <c r="K167" s="847"/>
      <c r="L167" s="847"/>
      <c r="M167" s="808"/>
      <c r="N167" s="847"/>
      <c r="O167" s="847"/>
      <c r="P167" s="847"/>
      <c r="Q167" s="847"/>
      <c r="R167" s="746"/>
      <c r="S167" s="847"/>
      <c r="T167" s="847"/>
      <c r="U167" s="847"/>
      <c r="V167" s="847"/>
      <c r="W167" s="847"/>
      <c r="X167" s="847"/>
      <c r="Y167" s="809"/>
      <c r="Z167" s="847"/>
      <c r="AA167" s="847"/>
      <c r="AB167" s="847" t="s">
        <v>517</v>
      </c>
      <c r="AC167" s="847"/>
      <c r="AD167" s="847"/>
      <c r="AE167" s="809"/>
      <c r="AF167" s="847"/>
      <c r="AG167" s="847"/>
      <c r="AH167" s="847"/>
      <c r="AI167" s="847"/>
      <c r="AJ167" s="847"/>
      <c r="AK167" s="847"/>
      <c r="AL167" s="847"/>
      <c r="AM167" s="847"/>
      <c r="AN167" s="847"/>
      <c r="AO167" s="748"/>
      <c r="AP167" s="847"/>
      <c r="AQ167" s="847"/>
      <c r="AR167" s="809"/>
      <c r="AS167" s="847"/>
      <c r="AT167" s="847"/>
      <c r="AU167" s="847"/>
      <c r="AV167" s="748"/>
      <c r="AW167" s="847"/>
      <c r="AX167" s="809"/>
      <c r="AY167" s="847"/>
      <c r="AZ167" s="847"/>
      <c r="BA167" s="847"/>
      <c r="BB167" s="847"/>
      <c r="BC167" s="847"/>
      <c r="BD167" s="847"/>
      <c r="BE167" s="809"/>
      <c r="BF167" s="847"/>
      <c r="BG167" s="847"/>
      <c r="BH167" s="847"/>
      <c r="BI167" s="847"/>
      <c r="BJ167" s="847"/>
      <c r="BK167" s="847"/>
      <c r="BL167" s="809"/>
      <c r="BM167" s="809"/>
      <c r="BN167" s="809"/>
      <c r="BO167" s="809"/>
      <c r="BP167" s="809"/>
      <c r="BQ167" s="809"/>
      <c r="BR167" s="809"/>
      <c r="BS167" s="809"/>
      <c r="BT167" s="809"/>
      <c r="BU167" s="809"/>
      <c r="BV167" s="809"/>
      <c r="BW167" s="809"/>
      <c r="BX167" s="809"/>
    </row>
    <row r="168" ht="15.75" customHeight="1">
      <c r="A168" s="812"/>
      <c r="B168" s="813" t="s">
        <v>4356</v>
      </c>
      <c r="C168" s="741" t="s">
        <v>3084</v>
      </c>
      <c r="D168" s="829" t="s">
        <v>4358</v>
      </c>
      <c r="E168" s="847"/>
      <c r="F168" s="847"/>
      <c r="G168" s="742" t="s">
        <v>3084</v>
      </c>
      <c r="H168" s="222"/>
      <c r="I168" s="742"/>
      <c r="J168" s="847"/>
      <c r="K168" s="847"/>
      <c r="L168" s="847"/>
      <c r="M168" s="219"/>
      <c r="N168" s="847"/>
      <c r="O168" s="742" t="s">
        <v>4360</v>
      </c>
      <c r="P168" s="847"/>
      <c r="Q168" s="847"/>
      <c r="R168" s="746"/>
      <c r="S168" s="847"/>
      <c r="T168" s="847"/>
      <c r="U168" s="847"/>
      <c r="V168" s="847"/>
      <c r="W168" s="847"/>
      <c r="X168" s="847"/>
      <c r="Y168" s="186"/>
      <c r="Z168" s="847" t="s">
        <v>4362</v>
      </c>
      <c r="AA168" s="847"/>
      <c r="AB168" s="847"/>
      <c r="AC168" s="847"/>
      <c r="AD168" s="847"/>
      <c r="AE168" s="186"/>
      <c r="AF168" s="847"/>
      <c r="AG168" s="847"/>
      <c r="AH168" s="847"/>
      <c r="AI168" s="847"/>
      <c r="AJ168" s="847"/>
      <c r="AK168" s="847"/>
      <c r="AL168" s="847"/>
      <c r="AM168" s="847"/>
      <c r="AN168" s="847"/>
      <c r="AO168" s="742"/>
      <c r="AP168" s="847"/>
      <c r="AQ168" s="847"/>
      <c r="AR168" s="186"/>
      <c r="AS168" s="847"/>
      <c r="AT168" s="847"/>
      <c r="AU168" s="847"/>
      <c r="AV168" s="742"/>
      <c r="AW168" s="847"/>
      <c r="AX168" s="186"/>
      <c r="AY168" s="847"/>
      <c r="AZ168" s="847"/>
      <c r="BA168" s="847"/>
      <c r="BB168" s="847"/>
      <c r="BC168" s="847"/>
      <c r="BD168" s="847"/>
      <c r="BE168" s="186"/>
      <c r="BF168" s="847"/>
      <c r="BG168" s="847"/>
      <c r="BH168" s="847"/>
      <c r="BI168" s="847"/>
      <c r="BJ168" s="847"/>
      <c r="BK168" s="847"/>
      <c r="BL168" s="186"/>
      <c r="BM168" s="186"/>
      <c r="BN168" s="186"/>
      <c r="BO168" s="186"/>
      <c r="BP168" s="186"/>
      <c r="BQ168" s="186"/>
      <c r="BR168" s="186"/>
      <c r="BS168" s="186"/>
      <c r="BT168" s="186"/>
      <c r="BU168" s="186"/>
      <c r="BV168" s="186"/>
      <c r="BW168" s="186"/>
      <c r="BX168" s="186"/>
    </row>
    <row r="169" ht="15.75" customHeight="1">
      <c r="A169" s="805" t="s">
        <v>1598</v>
      </c>
      <c r="B169" s="862" t="s">
        <v>4364</v>
      </c>
      <c r="C169" s="741" t="s">
        <v>4366</v>
      </c>
      <c r="D169" s="829" t="s">
        <v>4367</v>
      </c>
      <c r="E169" s="752" t="s">
        <v>4366</v>
      </c>
      <c r="F169" s="752"/>
      <c r="G169" s="742" t="s">
        <v>4366</v>
      </c>
      <c r="H169" s="132" t="s">
        <v>4368</v>
      </c>
      <c r="I169" s="744" t="s">
        <v>4369</v>
      </c>
      <c r="J169" s="752"/>
      <c r="K169" s="752"/>
      <c r="L169" s="752" t="s">
        <v>4371</v>
      </c>
      <c r="M169" s="182" t="s">
        <v>4372</v>
      </c>
      <c r="N169" s="752"/>
      <c r="O169" s="752"/>
      <c r="P169" s="752"/>
      <c r="Q169" s="752" t="s">
        <v>4366</v>
      </c>
      <c r="R169" s="753" t="s">
        <v>4367</v>
      </c>
      <c r="S169" s="752"/>
      <c r="T169" s="752"/>
      <c r="U169" s="752" t="s">
        <v>4366</v>
      </c>
      <c r="V169" s="752" t="s">
        <v>4366</v>
      </c>
      <c r="W169" s="752"/>
      <c r="X169" s="752"/>
      <c r="Y169" s="186"/>
      <c r="Z169" s="752"/>
      <c r="AA169" s="752"/>
      <c r="AB169" s="752"/>
      <c r="AC169" s="752"/>
      <c r="AD169" s="132" t="s">
        <v>4376</v>
      </c>
      <c r="AE169" s="186"/>
      <c r="AF169" s="752"/>
      <c r="AG169" s="752"/>
      <c r="AH169" s="752"/>
      <c r="AI169" s="752" t="s">
        <v>4366</v>
      </c>
      <c r="AJ169" s="752"/>
      <c r="AK169" s="752"/>
      <c r="AL169" s="752"/>
      <c r="AM169" s="752"/>
      <c r="AN169" s="752"/>
      <c r="AO169" s="748"/>
      <c r="AP169" s="752"/>
      <c r="AQ169" s="752"/>
      <c r="AR169" s="186"/>
      <c r="AS169" s="752" t="s">
        <v>4380</v>
      </c>
      <c r="AT169" s="752"/>
      <c r="AU169" s="752"/>
      <c r="AV169" s="748"/>
      <c r="AW169" s="752"/>
      <c r="AX169" s="186"/>
      <c r="AY169" s="752"/>
      <c r="AZ169" s="752"/>
      <c r="BA169" s="752"/>
      <c r="BB169" s="752"/>
      <c r="BC169" s="752"/>
      <c r="BD169" s="752"/>
      <c r="BE169" s="186"/>
      <c r="BF169" s="752"/>
      <c r="BG169" s="752"/>
      <c r="BH169" s="752"/>
      <c r="BI169" s="752"/>
      <c r="BJ169" s="752"/>
      <c r="BK169" s="752"/>
      <c r="BL169" s="186"/>
      <c r="BM169" s="186"/>
      <c r="BN169" s="186"/>
      <c r="BO169" s="186"/>
      <c r="BP169" s="186"/>
      <c r="BQ169" s="186"/>
      <c r="BR169" s="186"/>
      <c r="BS169" s="186"/>
      <c r="BT169" s="186"/>
      <c r="BU169" s="186"/>
      <c r="BV169" s="186"/>
      <c r="BW169" s="186"/>
      <c r="BX169" s="186"/>
    </row>
    <row r="170" ht="15.75" customHeight="1">
      <c r="A170" s="812"/>
      <c r="B170" s="813" t="s">
        <v>4383</v>
      </c>
      <c r="C170" s="741" t="s">
        <v>4384</v>
      </c>
      <c r="D170" s="182" t="s">
        <v>4386</v>
      </c>
      <c r="E170" s="174" t="s">
        <v>4387</v>
      </c>
      <c r="F170" s="742" t="s">
        <v>4388</v>
      </c>
      <c r="G170" s="742" t="s">
        <v>4390</v>
      </c>
      <c r="H170" s="222"/>
      <c r="I170" s="748"/>
      <c r="J170" s="742"/>
      <c r="K170" s="742" t="s">
        <v>1840</v>
      </c>
      <c r="L170" s="742" t="s">
        <v>4392</v>
      </c>
      <c r="M170" s="808"/>
      <c r="N170" s="742"/>
      <c r="O170" s="742"/>
      <c r="P170" s="742"/>
      <c r="Q170" s="742" t="s">
        <v>3763</v>
      </c>
      <c r="R170" s="746" t="s">
        <v>3394</v>
      </c>
      <c r="S170" s="742"/>
      <c r="T170" s="132" t="s">
        <v>2934</v>
      </c>
      <c r="U170" s="742"/>
      <c r="V170" s="742"/>
      <c r="W170" s="742"/>
      <c r="X170" s="742"/>
      <c r="Y170" s="809"/>
      <c r="Z170" s="742"/>
      <c r="AA170" s="742"/>
      <c r="AB170" s="742"/>
      <c r="AC170" s="742"/>
      <c r="AD170" s="742"/>
      <c r="AE170" s="809"/>
      <c r="AF170" s="742"/>
      <c r="AG170" s="742"/>
      <c r="AH170" s="742"/>
      <c r="AI170" s="742"/>
      <c r="AJ170" s="742"/>
      <c r="AK170" s="742"/>
      <c r="AL170" s="742"/>
      <c r="AM170" s="742"/>
      <c r="AN170" s="742"/>
      <c r="AO170" s="748"/>
      <c r="AP170" s="742"/>
      <c r="AQ170" s="742"/>
      <c r="AR170" s="809"/>
      <c r="AS170" s="742"/>
      <c r="AT170" s="742"/>
      <c r="AU170" s="742"/>
      <c r="AV170" s="748"/>
      <c r="AW170" s="742"/>
      <c r="AX170" s="809"/>
      <c r="AY170" s="742"/>
      <c r="AZ170" s="742"/>
      <c r="BA170" s="742"/>
      <c r="BB170" s="742"/>
      <c r="BC170" s="742"/>
      <c r="BD170" s="742"/>
      <c r="BE170" s="809"/>
      <c r="BF170" s="742"/>
      <c r="BG170" s="742"/>
      <c r="BH170" s="742"/>
      <c r="BI170" s="742"/>
      <c r="BJ170" s="742"/>
      <c r="BK170" s="742"/>
      <c r="BL170" s="809"/>
      <c r="BM170" s="809"/>
      <c r="BN170" s="809"/>
      <c r="BO170" s="809"/>
      <c r="BP170" s="809"/>
      <c r="BQ170" s="809"/>
      <c r="BR170" s="809"/>
      <c r="BS170" s="809"/>
      <c r="BT170" s="809"/>
      <c r="BU170" s="809"/>
      <c r="BV170" s="809"/>
      <c r="BW170" s="809"/>
      <c r="BX170" s="809"/>
    </row>
    <row r="171" ht="15.75" customHeight="1">
      <c r="A171" s="805" t="s">
        <v>1681</v>
      </c>
      <c r="B171" s="862" t="s">
        <v>4397</v>
      </c>
      <c r="C171" s="741" t="s">
        <v>2635</v>
      </c>
      <c r="D171" s="868" t="s">
        <v>4398</v>
      </c>
      <c r="E171" s="70" t="s">
        <v>4399</v>
      </c>
      <c r="F171" s="752"/>
      <c r="G171" s="752"/>
      <c r="H171" s="132" t="s">
        <v>4400</v>
      </c>
      <c r="I171" s="744" t="s">
        <v>4401</v>
      </c>
      <c r="J171" s="752"/>
      <c r="K171" s="752" t="s">
        <v>2635</v>
      </c>
      <c r="L171" s="752"/>
      <c r="M171" s="219"/>
      <c r="N171" s="752" t="s">
        <v>471</v>
      </c>
      <c r="O171" s="752"/>
      <c r="P171" s="752"/>
      <c r="Q171" s="752"/>
      <c r="R171" s="753"/>
      <c r="S171" s="752"/>
      <c r="T171" s="752"/>
      <c r="U171" s="752"/>
      <c r="V171" s="752"/>
      <c r="W171" s="752"/>
      <c r="X171" s="752"/>
      <c r="Y171" s="186"/>
      <c r="Z171" s="752"/>
      <c r="AA171" s="752"/>
      <c r="AB171" s="752"/>
      <c r="AC171" s="752"/>
      <c r="AD171" s="752"/>
      <c r="AE171" s="186"/>
      <c r="AF171" s="752"/>
      <c r="AG171" s="752"/>
      <c r="AH171" s="752"/>
      <c r="AI171" s="752"/>
      <c r="AJ171" s="752"/>
      <c r="AK171" s="752"/>
      <c r="AL171" s="752"/>
      <c r="AM171" s="752"/>
      <c r="AN171" s="752"/>
      <c r="AO171" s="748"/>
      <c r="AP171" s="752"/>
      <c r="AQ171" s="752"/>
      <c r="AR171" s="186"/>
      <c r="AS171" s="752"/>
      <c r="AT171" s="752"/>
      <c r="AU171" s="752"/>
      <c r="AV171" s="748"/>
      <c r="AW171" s="752"/>
      <c r="AX171" s="186"/>
      <c r="AY171" s="752"/>
      <c r="AZ171" s="752"/>
      <c r="BA171" s="752"/>
      <c r="BB171" s="752"/>
      <c r="BC171" s="752"/>
      <c r="BD171" s="752"/>
      <c r="BE171" s="186"/>
      <c r="BF171" s="752"/>
      <c r="BG171" s="752"/>
      <c r="BH171" s="752"/>
      <c r="BI171" s="752"/>
      <c r="BJ171" s="752"/>
      <c r="BK171" s="752"/>
      <c r="BL171" s="186"/>
      <c r="BM171" s="186"/>
      <c r="BN171" s="186"/>
      <c r="BO171" s="186"/>
      <c r="BP171" s="186"/>
      <c r="BQ171" s="186"/>
      <c r="BR171" s="186"/>
      <c r="BS171" s="186"/>
      <c r="BT171" s="186"/>
      <c r="BU171" s="186"/>
      <c r="BV171" s="186"/>
      <c r="BW171" s="186"/>
      <c r="BX171" s="186"/>
    </row>
    <row r="172" ht="15.75" customHeight="1">
      <c r="A172" s="831" t="s">
        <v>577</v>
      </c>
      <c r="B172" s="832" t="s">
        <v>187</v>
      </c>
      <c r="C172" s="741" t="s">
        <v>4405</v>
      </c>
      <c r="D172" s="124" t="s">
        <v>2464</v>
      </c>
      <c r="E172" s="752"/>
      <c r="F172" s="752"/>
      <c r="G172" s="752"/>
      <c r="H172" s="132" t="s">
        <v>2825</v>
      </c>
      <c r="I172" s="744" t="s">
        <v>4408</v>
      </c>
      <c r="J172" s="752"/>
      <c r="K172" s="752"/>
      <c r="L172" s="752"/>
      <c r="M172" s="808"/>
      <c r="N172" s="752"/>
      <c r="O172" s="752"/>
      <c r="P172" s="752"/>
      <c r="Q172" s="752"/>
      <c r="R172" s="753"/>
      <c r="S172" s="752"/>
      <c r="T172" s="222"/>
      <c r="U172" s="752"/>
      <c r="V172" s="752"/>
      <c r="W172" s="752"/>
      <c r="X172" s="752"/>
      <c r="Y172" s="809"/>
      <c r="Z172" s="752"/>
      <c r="AA172" s="752"/>
      <c r="AB172" s="752"/>
      <c r="AC172" s="752"/>
      <c r="AD172" s="752"/>
      <c r="AE172" s="809"/>
      <c r="AF172" s="752"/>
      <c r="AG172" s="752"/>
      <c r="AH172" s="752"/>
      <c r="AI172" s="752"/>
      <c r="AJ172" s="752"/>
      <c r="AK172" s="752"/>
      <c r="AL172" s="752"/>
      <c r="AM172" s="752"/>
      <c r="AN172" s="752"/>
      <c r="AO172" s="748"/>
      <c r="AP172" s="752"/>
      <c r="AQ172" s="752"/>
      <c r="AR172" s="809"/>
      <c r="AS172" s="752"/>
      <c r="AT172" s="752"/>
      <c r="AU172" s="752"/>
      <c r="AV172" s="748"/>
      <c r="AW172" s="752"/>
      <c r="AX172" s="809"/>
      <c r="AY172" s="752"/>
      <c r="AZ172" s="752"/>
      <c r="BA172" s="752"/>
      <c r="BB172" s="752"/>
      <c r="BC172" s="752"/>
      <c r="BD172" s="752"/>
      <c r="BE172" s="809"/>
      <c r="BF172" s="752"/>
      <c r="BG172" s="752"/>
      <c r="BH172" s="752"/>
      <c r="BI172" s="752"/>
      <c r="BJ172" s="752"/>
      <c r="BK172" s="752"/>
      <c r="BL172" s="809"/>
      <c r="BM172" s="809"/>
      <c r="BN172" s="809"/>
      <c r="BO172" s="809"/>
      <c r="BP172" s="809"/>
      <c r="BQ172" s="809"/>
      <c r="BR172" s="809"/>
      <c r="BS172" s="809"/>
      <c r="BT172" s="809"/>
      <c r="BU172" s="809"/>
      <c r="BV172" s="809"/>
      <c r="BW172" s="809"/>
      <c r="BX172" s="809"/>
    </row>
    <row r="173" ht="15.75" customHeight="1">
      <c r="A173" s="805" t="s">
        <v>4411</v>
      </c>
      <c r="B173" s="862" t="s">
        <v>4412</v>
      </c>
      <c r="C173" s="741" t="s">
        <v>4413</v>
      </c>
      <c r="D173" s="182" t="s">
        <v>4415</v>
      </c>
      <c r="E173" s="752" t="s">
        <v>2969</v>
      </c>
      <c r="F173" s="752"/>
      <c r="G173" s="752"/>
      <c r="H173" s="222"/>
      <c r="I173" s="748"/>
      <c r="J173" s="752"/>
      <c r="K173" s="752"/>
      <c r="L173" s="752" t="s">
        <v>4416</v>
      </c>
      <c r="M173" s="808"/>
      <c r="N173" s="752"/>
      <c r="O173" s="752"/>
      <c r="P173" s="752" t="str">
        <f>HYPERLINK("https://youtu.be/tXG5xCfHZ2E","35.72")</f>
        <v>35.72</v>
      </c>
      <c r="Q173" s="752"/>
      <c r="R173" s="753"/>
      <c r="S173" s="752"/>
      <c r="T173" s="752"/>
      <c r="U173" s="752"/>
      <c r="V173" s="752"/>
      <c r="W173" s="752"/>
      <c r="X173" s="752"/>
      <c r="Y173" s="809"/>
      <c r="Z173" s="752"/>
      <c r="AA173" s="752"/>
      <c r="AB173" s="752"/>
      <c r="AC173" s="752"/>
      <c r="AD173" s="752"/>
      <c r="AE173" s="809"/>
      <c r="AF173" s="752"/>
      <c r="AG173" s="752"/>
      <c r="AH173" s="752"/>
      <c r="AI173" s="752"/>
      <c r="AJ173" s="752"/>
      <c r="AK173" s="752"/>
      <c r="AL173" s="752"/>
      <c r="AM173" s="752"/>
      <c r="AN173" s="752"/>
      <c r="AO173" s="748"/>
      <c r="AP173" s="752"/>
      <c r="AQ173" s="752"/>
      <c r="AR173" s="809"/>
      <c r="AS173" s="752"/>
      <c r="AT173" s="752"/>
      <c r="AU173" s="752"/>
      <c r="AV173" s="748"/>
      <c r="AW173" s="752"/>
      <c r="AX173" s="809"/>
      <c r="AY173" s="752"/>
      <c r="AZ173" s="752"/>
      <c r="BA173" s="752"/>
      <c r="BB173" s="752"/>
      <c r="BC173" s="752"/>
      <c r="BD173" s="752"/>
      <c r="BE173" s="809"/>
      <c r="BF173" s="752"/>
      <c r="BG173" s="752"/>
      <c r="BH173" s="752"/>
      <c r="BI173" s="752"/>
      <c r="BJ173" s="752"/>
      <c r="BK173" s="752"/>
      <c r="BL173" s="809"/>
      <c r="BM173" s="809"/>
      <c r="BN173" s="809"/>
      <c r="BO173" s="809"/>
      <c r="BP173" s="809"/>
      <c r="BQ173" s="809"/>
      <c r="BR173" s="809"/>
      <c r="BS173" s="809"/>
      <c r="BT173" s="809"/>
      <c r="BU173" s="809"/>
      <c r="BV173" s="809"/>
      <c r="BW173" s="809"/>
      <c r="BX173" s="809"/>
    </row>
    <row r="174" ht="15.75" customHeight="1">
      <c r="A174" s="812"/>
      <c r="B174" s="813" t="s">
        <v>4417</v>
      </c>
      <c r="C174" s="741" t="s">
        <v>4026</v>
      </c>
      <c r="D174" s="124" t="s">
        <v>1071</v>
      </c>
      <c r="E174" s="70" t="s">
        <v>4026</v>
      </c>
      <c r="F174" s="752"/>
      <c r="G174" s="752"/>
      <c r="H174" s="222"/>
      <c r="I174" s="385" t="s">
        <v>904</v>
      </c>
      <c r="J174" s="752"/>
      <c r="K174" s="752"/>
      <c r="L174" s="752"/>
      <c r="M174" s="219"/>
      <c r="N174" s="132" t="s">
        <v>4026</v>
      </c>
      <c r="O174" s="752"/>
      <c r="P174" s="752"/>
      <c r="Q174" s="752"/>
      <c r="R174" s="753"/>
      <c r="S174" s="752"/>
      <c r="T174" s="752"/>
      <c r="U174" s="752"/>
      <c r="V174" s="752"/>
      <c r="W174" s="752"/>
      <c r="X174" s="752"/>
      <c r="Y174" s="186"/>
      <c r="Z174" s="752"/>
      <c r="AA174" s="752"/>
      <c r="AB174" s="752"/>
      <c r="AC174" s="752"/>
      <c r="AD174" s="752"/>
      <c r="AE174" s="186"/>
      <c r="AF174" s="752"/>
      <c r="AG174" s="752"/>
      <c r="AH174" s="752"/>
      <c r="AI174" s="752"/>
      <c r="AJ174" s="752"/>
      <c r="AK174" s="752"/>
      <c r="AL174" s="752"/>
      <c r="AM174" s="752"/>
      <c r="AN174" s="752"/>
      <c r="AO174" s="748"/>
      <c r="AP174" s="752"/>
      <c r="AQ174" s="752"/>
      <c r="AR174" s="186"/>
      <c r="AS174" s="752"/>
      <c r="AT174" s="752"/>
      <c r="AU174" s="752"/>
      <c r="AV174" s="748"/>
      <c r="AW174" s="752"/>
      <c r="AX174" s="186"/>
      <c r="AY174" s="752"/>
      <c r="AZ174" s="752"/>
      <c r="BA174" s="752"/>
      <c r="BB174" s="752"/>
      <c r="BC174" s="752"/>
      <c r="BD174" s="752"/>
      <c r="BE174" s="186"/>
      <c r="BF174" s="752"/>
      <c r="BG174" s="752"/>
      <c r="BH174" s="752"/>
      <c r="BI174" s="752"/>
      <c r="BJ174" s="752"/>
      <c r="BK174" s="752"/>
      <c r="BL174" s="186"/>
      <c r="BM174" s="186"/>
      <c r="BN174" s="186"/>
      <c r="BO174" s="186"/>
      <c r="BP174" s="186"/>
      <c r="BQ174" s="186"/>
      <c r="BR174" s="186"/>
      <c r="BS174" s="186"/>
      <c r="BT174" s="186"/>
      <c r="BU174" s="186"/>
      <c r="BV174" s="186"/>
      <c r="BW174" s="186"/>
      <c r="BX174" s="186"/>
    </row>
    <row r="175" ht="15.75" customHeight="1">
      <c r="A175" s="831" t="s">
        <v>1740</v>
      </c>
      <c r="B175" s="832" t="s">
        <v>4412</v>
      </c>
      <c r="C175" s="279" t="s">
        <v>4424</v>
      </c>
      <c r="D175" s="182" t="s">
        <v>4424</v>
      </c>
      <c r="E175" s="752"/>
      <c r="F175" s="752"/>
      <c r="G175" s="752"/>
      <c r="H175" s="222"/>
      <c r="I175" s="748"/>
      <c r="J175" s="752"/>
      <c r="K175" s="752"/>
      <c r="L175" s="752"/>
      <c r="M175" s="808"/>
      <c r="N175" s="752"/>
      <c r="O175" s="752"/>
      <c r="P175" s="752"/>
      <c r="Q175" s="752"/>
      <c r="R175" s="753"/>
      <c r="S175" s="752"/>
      <c r="T175" s="752"/>
      <c r="U175" s="752"/>
      <c r="V175" s="752"/>
      <c r="W175" s="752"/>
      <c r="X175" s="752"/>
      <c r="Y175" s="809"/>
      <c r="Z175" s="752"/>
      <c r="AA175" s="752"/>
      <c r="AB175" s="752"/>
      <c r="AC175" s="752"/>
      <c r="AD175" s="752"/>
      <c r="AE175" s="809"/>
      <c r="AF175" s="752"/>
      <c r="AG175" s="752"/>
      <c r="AH175" s="752"/>
      <c r="AI175" s="752"/>
      <c r="AJ175" s="752"/>
      <c r="AK175" s="752"/>
      <c r="AL175" s="752"/>
      <c r="AM175" s="752"/>
      <c r="AN175" s="752"/>
      <c r="AO175" s="748"/>
      <c r="AP175" s="752"/>
      <c r="AQ175" s="752"/>
      <c r="AR175" s="809"/>
      <c r="AS175" s="752"/>
      <c r="AT175" s="752"/>
      <c r="AU175" s="752"/>
      <c r="AV175" s="748"/>
      <c r="AW175" s="752"/>
      <c r="AX175" s="809"/>
      <c r="AY175" s="752"/>
      <c r="AZ175" s="752"/>
      <c r="BA175" s="752"/>
      <c r="BB175" s="752"/>
      <c r="BC175" s="752"/>
      <c r="BD175" s="752"/>
      <c r="BE175" s="809"/>
      <c r="BF175" s="752"/>
      <c r="BG175" s="752"/>
      <c r="BH175" s="752"/>
      <c r="BI175" s="752"/>
      <c r="BJ175" s="752"/>
      <c r="BK175" s="752"/>
      <c r="BL175" s="809"/>
      <c r="BM175" s="809"/>
      <c r="BN175" s="809"/>
      <c r="BO175" s="809"/>
      <c r="BP175" s="809"/>
      <c r="BQ175" s="809"/>
      <c r="BR175" s="809"/>
      <c r="BS175" s="809"/>
      <c r="BT175" s="809"/>
      <c r="BU175" s="809"/>
      <c r="BV175" s="809"/>
      <c r="BW175" s="809"/>
      <c r="BX175" s="809"/>
    </row>
    <row r="176" ht="15.75" customHeight="1">
      <c r="A176" s="812"/>
      <c r="B176" s="813" t="s">
        <v>4417</v>
      </c>
      <c r="C176" s="870" t="s">
        <v>4427</v>
      </c>
      <c r="D176" s="829" t="s">
        <v>1725</v>
      </c>
      <c r="E176" s="613" t="s">
        <v>4124</v>
      </c>
      <c r="F176" s="752"/>
      <c r="G176" s="871"/>
      <c r="H176" s="222"/>
      <c r="I176" s="744" t="s">
        <v>4124</v>
      </c>
      <c r="J176" s="752"/>
      <c r="K176" s="752"/>
      <c r="L176" s="752"/>
      <c r="M176" s="219"/>
      <c r="N176" s="222"/>
      <c r="O176" s="752"/>
      <c r="P176" s="752"/>
      <c r="Q176" s="752"/>
      <c r="R176" s="753"/>
      <c r="S176" s="752"/>
      <c r="T176" s="752"/>
      <c r="U176" s="752"/>
      <c r="V176" s="752"/>
      <c r="W176" s="752"/>
      <c r="X176" s="752"/>
      <c r="Y176" s="186"/>
      <c r="Z176" s="752"/>
      <c r="AA176" s="752"/>
      <c r="AB176" s="752"/>
      <c r="AC176" s="752"/>
      <c r="AD176" s="752"/>
      <c r="AE176" s="186"/>
      <c r="AF176" s="752"/>
      <c r="AG176" s="752"/>
      <c r="AH176" s="752"/>
      <c r="AI176" s="752"/>
      <c r="AJ176" s="752"/>
      <c r="AK176" s="752"/>
      <c r="AL176" s="752"/>
      <c r="AM176" s="752"/>
      <c r="AN176" s="752"/>
      <c r="AO176" s="748"/>
      <c r="AP176" s="752"/>
      <c r="AQ176" s="752"/>
      <c r="AR176" s="186"/>
      <c r="AS176" s="752"/>
      <c r="AT176" s="752"/>
      <c r="AU176" s="752"/>
      <c r="AV176" s="748"/>
      <c r="AW176" s="752"/>
      <c r="AX176" s="186"/>
      <c r="AY176" s="752"/>
      <c r="AZ176" s="752"/>
      <c r="BA176" s="752"/>
      <c r="BB176" s="752"/>
      <c r="BC176" s="752"/>
      <c r="BD176" s="752"/>
      <c r="BE176" s="186"/>
      <c r="BF176" s="752"/>
      <c r="BG176" s="752"/>
      <c r="BH176" s="752"/>
      <c r="BI176" s="752"/>
      <c r="BJ176" s="752"/>
      <c r="BK176" s="752"/>
      <c r="BL176" s="186"/>
      <c r="BM176" s="186"/>
      <c r="BN176" s="186"/>
      <c r="BO176" s="186"/>
      <c r="BP176" s="186"/>
      <c r="BQ176" s="186"/>
      <c r="BR176" s="186"/>
      <c r="BS176" s="186"/>
      <c r="BT176" s="186"/>
      <c r="BU176" s="186"/>
      <c r="BV176" s="186"/>
      <c r="BW176" s="186"/>
      <c r="BX176" s="186"/>
    </row>
    <row r="177" ht="15.75" customHeight="1">
      <c r="A177" s="805" t="s">
        <v>1760</v>
      </c>
      <c r="B177" s="862" t="s">
        <v>187</v>
      </c>
      <c r="C177" s="741" t="s">
        <v>4432</v>
      </c>
      <c r="D177" s="124" t="s">
        <v>4434</v>
      </c>
      <c r="E177" s="63" t="s">
        <v>3934</v>
      </c>
      <c r="F177" s="742" t="s">
        <v>4435</v>
      </c>
      <c r="G177" s="742"/>
      <c r="H177" s="222"/>
      <c r="I177" s="744" t="s">
        <v>4436</v>
      </c>
      <c r="J177" s="742"/>
      <c r="K177" s="742"/>
      <c r="L177" s="742" t="s">
        <v>4437</v>
      </c>
      <c r="M177" s="808"/>
      <c r="N177" s="742"/>
      <c r="O177" s="742"/>
      <c r="P177" s="742"/>
      <c r="Q177" s="742"/>
      <c r="R177" s="746"/>
      <c r="S177" s="742"/>
      <c r="T177" s="132" t="s">
        <v>4438</v>
      </c>
      <c r="U177" s="742"/>
      <c r="V177" s="742"/>
      <c r="W177" s="742"/>
      <c r="X177" s="742"/>
      <c r="Y177" s="809"/>
      <c r="Z177" s="742"/>
      <c r="AA177" s="742"/>
      <c r="AB177" s="742"/>
      <c r="AC177" s="742" t="s">
        <v>4432</v>
      </c>
      <c r="AD177" s="742"/>
      <c r="AE177" s="809"/>
      <c r="AF177" s="742"/>
      <c r="AG177" s="742"/>
      <c r="AH177" s="742"/>
      <c r="AI177" s="742"/>
      <c r="AJ177" s="742"/>
      <c r="AK177" s="742"/>
      <c r="AL177" s="742"/>
      <c r="AM177" s="742"/>
      <c r="AN177" s="742"/>
      <c r="AO177" s="748"/>
      <c r="AP177" s="742"/>
      <c r="AQ177" s="742"/>
      <c r="AR177" s="809"/>
      <c r="AS177" s="742"/>
      <c r="AT177" s="742"/>
      <c r="AU177" s="742"/>
      <c r="AV177" s="748"/>
      <c r="AW177" s="742"/>
      <c r="AX177" s="809"/>
      <c r="AY177" s="742"/>
      <c r="AZ177" s="742"/>
      <c r="BA177" s="742"/>
      <c r="BB177" s="742"/>
      <c r="BC177" s="742"/>
      <c r="BD177" s="742"/>
      <c r="BE177" s="809"/>
      <c r="BF177" s="742"/>
      <c r="BG177" s="742"/>
      <c r="BH177" s="742"/>
      <c r="BI177" s="742"/>
      <c r="BJ177" s="742"/>
      <c r="BK177" s="742"/>
      <c r="BL177" s="809"/>
      <c r="BM177" s="809"/>
      <c r="BN177" s="809"/>
      <c r="BO177" s="809"/>
      <c r="BP177" s="809"/>
      <c r="BQ177" s="809"/>
      <c r="BR177" s="809"/>
      <c r="BS177" s="809"/>
      <c r="BT177" s="809"/>
      <c r="BU177" s="809"/>
      <c r="BV177" s="809"/>
      <c r="BW177" s="809"/>
      <c r="BX177" s="809"/>
    </row>
    <row r="178" ht="15.75" customHeight="1">
      <c r="A178" s="831" t="s">
        <v>1740</v>
      </c>
      <c r="B178" s="827" t="s">
        <v>187</v>
      </c>
      <c r="C178" s="279" t="s">
        <v>1967</v>
      </c>
      <c r="D178" s="182" t="s">
        <v>1967</v>
      </c>
      <c r="E178" s="521" t="s">
        <v>4439</v>
      </c>
      <c r="F178" s="742"/>
      <c r="G178" s="742"/>
      <c r="H178" s="222"/>
      <c r="I178" s="744" t="s">
        <v>1147</v>
      </c>
      <c r="J178" s="742"/>
      <c r="K178" s="742"/>
      <c r="L178" s="742"/>
      <c r="M178" s="808"/>
      <c r="N178" s="742"/>
      <c r="O178" s="742"/>
      <c r="P178" s="742"/>
      <c r="Q178" s="742"/>
      <c r="R178" s="746"/>
      <c r="S178" s="742"/>
      <c r="T178" s="132" t="s">
        <v>4440</v>
      </c>
      <c r="U178" s="742"/>
      <c r="V178" s="742"/>
      <c r="W178" s="742"/>
      <c r="X178" s="742"/>
      <c r="Y178" s="809"/>
      <c r="Z178" s="742"/>
      <c r="AA178" s="742"/>
      <c r="AB178" s="742"/>
      <c r="AC178" s="742"/>
      <c r="AD178" s="742"/>
      <c r="AE178" s="809"/>
      <c r="AF178" s="742"/>
      <c r="AG178" s="742"/>
      <c r="AH178" s="742"/>
      <c r="AI178" s="742"/>
      <c r="AJ178" s="742"/>
      <c r="AK178" s="742"/>
      <c r="AL178" s="742"/>
      <c r="AM178" s="742"/>
      <c r="AN178" s="132" t="s">
        <v>4441</v>
      </c>
      <c r="AO178" s="748"/>
      <c r="AP178" s="742"/>
      <c r="AQ178" s="742"/>
      <c r="AR178" s="809"/>
      <c r="AS178" s="742"/>
      <c r="AT178" s="742"/>
      <c r="AU178" s="742"/>
      <c r="AV178" s="748"/>
      <c r="AW178" s="742"/>
      <c r="AX178" s="809"/>
      <c r="AY178" s="742"/>
      <c r="AZ178" s="742"/>
      <c r="BA178" s="742"/>
      <c r="BB178" s="742"/>
      <c r="BC178" s="742"/>
      <c r="BD178" s="742"/>
      <c r="BE178" s="809"/>
      <c r="BF178" s="742"/>
      <c r="BG178" s="742"/>
      <c r="BH178" s="742"/>
      <c r="BI178" s="742"/>
      <c r="BJ178" s="742"/>
      <c r="BK178" s="742"/>
      <c r="BL178" s="809"/>
      <c r="BM178" s="809"/>
      <c r="BN178" s="809"/>
      <c r="BO178" s="809"/>
      <c r="BP178" s="809"/>
      <c r="BQ178" s="809"/>
      <c r="BR178" s="809"/>
      <c r="BS178" s="809"/>
      <c r="BT178" s="809"/>
      <c r="BU178" s="809"/>
      <c r="BV178" s="809"/>
      <c r="BW178" s="809"/>
      <c r="BX178" s="809"/>
    </row>
    <row r="179" ht="15.75" customHeight="1">
      <c r="A179" s="805" t="s">
        <v>171</v>
      </c>
      <c r="B179" s="810" t="s">
        <v>187</v>
      </c>
      <c r="C179" s="741" t="s">
        <v>4444</v>
      </c>
      <c r="D179" s="868" t="s">
        <v>4446</v>
      </c>
      <c r="E179" s="70" t="s">
        <v>3239</v>
      </c>
      <c r="F179" s="752"/>
      <c r="G179" s="752"/>
      <c r="H179" s="132" t="s">
        <v>4448</v>
      </c>
      <c r="I179" s="744" t="s">
        <v>4449</v>
      </c>
      <c r="J179" s="752" t="s">
        <v>4444</v>
      </c>
      <c r="K179" s="752"/>
      <c r="L179" s="752"/>
      <c r="M179" s="219"/>
      <c r="N179" s="752" t="s">
        <v>4030</v>
      </c>
      <c r="O179" s="752"/>
      <c r="P179" s="752"/>
      <c r="Q179" s="752"/>
      <c r="R179" s="753"/>
      <c r="S179" s="752"/>
      <c r="T179" s="752"/>
      <c r="U179" s="752"/>
      <c r="V179" s="752"/>
      <c r="W179" s="752"/>
      <c r="X179" s="752"/>
      <c r="Y179" s="186"/>
      <c r="Z179" s="752"/>
      <c r="AA179" s="752"/>
      <c r="AB179" s="752"/>
      <c r="AC179" s="752"/>
      <c r="AD179" s="752"/>
      <c r="AE179" s="186"/>
      <c r="AF179" s="752"/>
      <c r="AG179" s="752"/>
      <c r="AH179" s="752"/>
      <c r="AI179" s="752"/>
      <c r="AJ179" s="752"/>
      <c r="AK179" s="752"/>
      <c r="AL179" s="752"/>
      <c r="AM179" s="752"/>
      <c r="AN179" s="752"/>
      <c r="AO179" s="748"/>
      <c r="AP179" s="752"/>
      <c r="AQ179" s="752"/>
      <c r="AR179" s="186"/>
      <c r="AS179" s="752"/>
      <c r="AT179" s="752"/>
      <c r="AU179" s="752"/>
      <c r="AV179" s="748"/>
      <c r="AW179" s="752"/>
      <c r="AX179" s="186"/>
      <c r="AY179" s="752"/>
      <c r="AZ179" s="752"/>
      <c r="BA179" s="752"/>
      <c r="BB179" s="752"/>
      <c r="BC179" s="752"/>
      <c r="BD179" s="752"/>
      <c r="BE179" s="186"/>
      <c r="BF179" s="752"/>
      <c r="BG179" s="752"/>
      <c r="BH179" s="752"/>
      <c r="BI179" s="752"/>
      <c r="BJ179" s="752"/>
      <c r="BK179" s="752"/>
      <c r="BL179" s="186"/>
      <c r="BM179" s="186"/>
      <c r="BN179" s="186"/>
      <c r="BO179" s="186"/>
      <c r="BP179" s="186"/>
      <c r="BQ179" s="186"/>
      <c r="BR179" s="186"/>
      <c r="BS179" s="186"/>
      <c r="BT179" s="186"/>
      <c r="BU179" s="186"/>
      <c r="BV179" s="186"/>
      <c r="BW179" s="186"/>
      <c r="BX179" s="186"/>
    </row>
    <row r="180">
      <c r="A180" s="872" t="s">
        <v>39</v>
      </c>
      <c r="D180" s="873"/>
      <c r="E180" s="874"/>
      <c r="F180" s="874"/>
      <c r="G180" s="874"/>
      <c r="H180" s="875"/>
      <c r="I180" s="874"/>
      <c r="J180" s="874"/>
      <c r="K180" s="874"/>
      <c r="L180" s="874"/>
      <c r="M180" s="873"/>
      <c r="N180" s="874"/>
      <c r="O180" s="874"/>
      <c r="P180" s="874"/>
      <c r="Q180" s="874"/>
      <c r="R180" s="876"/>
      <c r="S180" s="874"/>
      <c r="T180" s="874"/>
      <c r="U180" s="874"/>
      <c r="V180" s="874"/>
      <c r="W180" s="874"/>
      <c r="X180" s="874"/>
      <c r="Y180" s="877"/>
      <c r="Z180" s="874"/>
      <c r="AA180" s="874"/>
      <c r="AB180" s="874"/>
      <c r="AC180" s="874"/>
      <c r="AD180" s="874"/>
      <c r="AE180" s="877"/>
      <c r="AF180" s="874"/>
      <c r="AG180" s="874"/>
      <c r="AH180" s="874"/>
      <c r="AI180" s="874"/>
      <c r="AJ180" s="874"/>
      <c r="AK180" s="874"/>
      <c r="AL180" s="874"/>
      <c r="AM180" s="874"/>
      <c r="AN180" s="874"/>
      <c r="AO180" s="874"/>
      <c r="AP180" s="874"/>
      <c r="AQ180" s="874"/>
      <c r="AR180" s="877"/>
      <c r="AS180" s="874"/>
      <c r="AT180" s="874"/>
      <c r="AU180" s="874"/>
      <c r="AV180" s="874"/>
      <c r="AW180" s="874"/>
      <c r="AX180" s="877"/>
      <c r="AY180" s="874"/>
      <c r="AZ180" s="874"/>
      <c r="BA180" s="874"/>
      <c r="BB180" s="874"/>
      <c r="BC180" s="874"/>
      <c r="BD180" s="874"/>
      <c r="BE180" s="877"/>
      <c r="BF180" s="874"/>
      <c r="BG180" s="874"/>
      <c r="BH180" s="874"/>
      <c r="BI180" s="874"/>
      <c r="BJ180" s="874"/>
      <c r="BK180" s="874"/>
      <c r="BL180" s="877"/>
      <c r="BM180" s="877"/>
      <c r="BN180" s="877"/>
      <c r="BO180" s="877"/>
      <c r="BP180" s="877"/>
      <c r="BQ180" s="877"/>
      <c r="BR180" s="877"/>
      <c r="BS180" s="877"/>
      <c r="BT180" s="877"/>
      <c r="BU180" s="877"/>
      <c r="BV180" s="877"/>
      <c r="BW180" s="877"/>
      <c r="BX180" s="877"/>
    </row>
    <row r="181" ht="15.75" customHeight="1">
      <c r="A181" s="878" t="s">
        <v>4452</v>
      </c>
      <c r="B181" s="879" t="s">
        <v>4453</v>
      </c>
      <c r="C181" s="741" t="s">
        <v>4454</v>
      </c>
      <c r="D181" s="182" t="s">
        <v>4455</v>
      </c>
      <c r="E181" s="139" t="s">
        <v>4456</v>
      </c>
      <c r="F181" s="174" t="s">
        <v>4457</v>
      </c>
      <c r="G181" s="139" t="s">
        <v>4457</v>
      </c>
      <c r="H181" s="132" t="s">
        <v>4459</v>
      </c>
      <c r="I181" s="546"/>
      <c r="J181" s="174"/>
      <c r="K181" s="174" t="s">
        <v>4461</v>
      </c>
      <c r="L181" s="174" t="s">
        <v>4462</v>
      </c>
      <c r="M181" s="880"/>
      <c r="N181" s="174" t="s">
        <v>4464</v>
      </c>
      <c r="O181" s="174" t="s">
        <v>4464</v>
      </c>
      <c r="P181" s="174"/>
      <c r="Q181" s="174"/>
      <c r="R181" s="133" t="s">
        <v>4457</v>
      </c>
      <c r="S181" s="174"/>
      <c r="T181" s="174"/>
      <c r="U181" s="174" t="s">
        <v>4466</v>
      </c>
      <c r="V181" s="174" t="s">
        <v>4467</v>
      </c>
      <c r="W181" s="174"/>
      <c r="X181" s="174"/>
      <c r="Y181" s="881" t="s">
        <v>4469</v>
      </c>
      <c r="Z181" s="174"/>
      <c r="AA181" s="174"/>
      <c r="AB181" s="174"/>
      <c r="AC181" s="174"/>
      <c r="AD181" s="174"/>
      <c r="AE181" s="882"/>
      <c r="AF181" s="174" t="s">
        <v>4334</v>
      </c>
      <c r="AG181" s="174" t="s">
        <v>4459</v>
      </c>
      <c r="AH181" s="174"/>
      <c r="AI181" s="174"/>
      <c r="AJ181" s="174" t="s">
        <v>4454</v>
      </c>
      <c r="AK181" s="174"/>
      <c r="AL181" s="174"/>
      <c r="AM181" s="174"/>
      <c r="AN181" s="174"/>
      <c r="AO181" s="546"/>
      <c r="AP181" s="174"/>
      <c r="AQ181" s="174" t="s">
        <v>4462</v>
      </c>
      <c r="AR181" s="882"/>
      <c r="AS181" s="174"/>
      <c r="AT181" s="174"/>
      <c r="AU181" s="174"/>
      <c r="AV181" s="546"/>
      <c r="AW181" s="174"/>
      <c r="AX181" s="882"/>
      <c r="AY181" s="174"/>
      <c r="AZ181" s="174"/>
      <c r="BA181" s="174"/>
      <c r="BB181" s="174"/>
      <c r="BC181" s="174"/>
      <c r="BD181" s="174"/>
      <c r="BE181" s="882"/>
      <c r="BF181" s="174"/>
      <c r="BG181" s="174"/>
      <c r="BH181" s="174"/>
      <c r="BI181" s="174"/>
      <c r="BJ181" s="174"/>
      <c r="BK181" s="174"/>
      <c r="BL181" s="882"/>
      <c r="BM181" s="882"/>
      <c r="BN181" s="882"/>
      <c r="BO181" s="882"/>
      <c r="BP181" s="882"/>
      <c r="BQ181" s="882"/>
      <c r="BR181" s="882"/>
      <c r="BS181" s="882"/>
      <c r="BT181" s="882"/>
      <c r="BU181" s="882"/>
      <c r="BV181" s="882"/>
      <c r="BW181" s="882"/>
      <c r="BX181" s="882"/>
    </row>
    <row r="182" ht="15.75" customHeight="1">
      <c r="A182" s="883"/>
      <c r="B182" s="884" t="s">
        <v>4472</v>
      </c>
      <c r="C182" s="741" t="s">
        <v>4474</v>
      </c>
      <c r="D182" s="880"/>
      <c r="E182" s="174"/>
      <c r="F182" s="174" t="s">
        <v>4461</v>
      </c>
      <c r="G182" s="174" t="s">
        <v>4474</v>
      </c>
      <c r="H182" s="222"/>
      <c r="I182" s="546"/>
      <c r="J182" s="174"/>
      <c r="K182" s="174"/>
      <c r="L182" s="174"/>
      <c r="M182" s="219"/>
      <c r="N182" s="174"/>
      <c r="O182" s="174"/>
      <c r="P182" s="174"/>
      <c r="Q182" s="174"/>
      <c r="R182" s="133" t="s">
        <v>4477</v>
      </c>
      <c r="S182" s="174"/>
      <c r="T182" s="174"/>
      <c r="U182" s="174"/>
      <c r="V182" s="174"/>
      <c r="W182" s="174" t="s">
        <v>4461</v>
      </c>
      <c r="X182" s="174"/>
      <c r="Y182" s="186"/>
      <c r="Z182" s="174"/>
      <c r="AA182" s="174"/>
      <c r="AB182" s="174"/>
      <c r="AC182" s="174" t="s">
        <v>4457</v>
      </c>
      <c r="AD182" s="174"/>
      <c r="AE182" s="186"/>
      <c r="AF182" s="174"/>
      <c r="AG182" s="174"/>
      <c r="AH182" s="174"/>
      <c r="AI182" s="174"/>
      <c r="AJ182" s="174"/>
      <c r="AK182" s="174"/>
      <c r="AL182" s="174"/>
      <c r="AM182" s="174"/>
      <c r="AN182" s="174"/>
      <c r="AO182" s="546"/>
      <c r="AP182" s="174"/>
      <c r="AQ182" s="174"/>
      <c r="AR182" s="186"/>
      <c r="AS182" s="174"/>
      <c r="AT182" s="174"/>
      <c r="AU182" s="174"/>
      <c r="AV182" s="546"/>
      <c r="AW182" s="174"/>
      <c r="AX182" s="186"/>
      <c r="AY182" s="174"/>
      <c r="AZ182" s="174"/>
      <c r="BA182" s="174"/>
      <c r="BB182" s="174"/>
      <c r="BC182" s="174"/>
      <c r="BD182" s="174"/>
      <c r="BE182" s="186"/>
      <c r="BF182" s="174"/>
      <c r="BG182" s="174"/>
      <c r="BH182" s="174"/>
      <c r="BI182" s="174"/>
      <c r="BJ182" s="174"/>
      <c r="BK182" s="174"/>
      <c r="BL182" s="186"/>
      <c r="BM182" s="186"/>
      <c r="BN182" s="186"/>
      <c r="BO182" s="186"/>
      <c r="BP182" s="186"/>
      <c r="BQ182" s="186"/>
      <c r="BR182" s="186"/>
      <c r="BS182" s="186"/>
      <c r="BT182" s="186"/>
      <c r="BU182" s="186"/>
      <c r="BV182" s="186"/>
      <c r="BW182" s="186"/>
      <c r="BX182" s="186"/>
    </row>
    <row r="183" ht="15.75" customHeight="1">
      <c r="A183" s="878" t="s">
        <v>4480</v>
      </c>
      <c r="B183" s="879" t="s">
        <v>187</v>
      </c>
      <c r="C183" s="741" t="s">
        <v>4481</v>
      </c>
      <c r="D183" s="182" t="s">
        <v>4482</v>
      </c>
      <c r="E183" s="139" t="s">
        <v>4483</v>
      </c>
      <c r="F183" s="174" t="s">
        <v>4484</v>
      </c>
      <c r="G183" s="174" t="s">
        <v>4482</v>
      </c>
      <c r="H183" s="132" t="s">
        <v>4485</v>
      </c>
      <c r="I183" s="546"/>
      <c r="J183" s="174"/>
      <c r="K183" s="174"/>
      <c r="L183" s="174"/>
      <c r="M183" s="880"/>
      <c r="N183" s="174" t="s">
        <v>4487</v>
      </c>
      <c r="O183" s="174"/>
      <c r="P183" s="174"/>
      <c r="Q183" s="174"/>
      <c r="R183" s="133"/>
      <c r="S183" s="174"/>
      <c r="T183" s="174"/>
      <c r="U183" s="174"/>
      <c r="V183" s="174" t="s">
        <v>4488</v>
      </c>
      <c r="W183" s="174" t="s">
        <v>4489</v>
      </c>
      <c r="X183" s="174"/>
      <c r="Y183" s="881" t="s">
        <v>4490</v>
      </c>
      <c r="Z183" s="174"/>
      <c r="AA183" s="174"/>
      <c r="AB183" s="174"/>
      <c r="AC183" s="174"/>
      <c r="AD183" s="174"/>
      <c r="AE183" s="882"/>
      <c r="AF183" s="174" t="s">
        <v>4481</v>
      </c>
      <c r="AG183" s="174"/>
      <c r="AH183" s="174"/>
      <c r="AI183" s="174"/>
      <c r="AJ183" s="174"/>
      <c r="AK183" s="174"/>
      <c r="AL183" s="174"/>
      <c r="AM183" s="174"/>
      <c r="AN183" s="174"/>
      <c r="AO183" s="546"/>
      <c r="AP183" s="174"/>
      <c r="AQ183" s="174"/>
      <c r="AR183" s="882"/>
      <c r="AS183" s="174"/>
      <c r="AT183" s="174"/>
      <c r="AU183" s="174"/>
      <c r="AV183" s="546"/>
      <c r="AW183" s="174"/>
      <c r="AX183" s="882"/>
      <c r="AY183" s="174"/>
      <c r="AZ183" s="174"/>
      <c r="BA183" s="174"/>
      <c r="BB183" s="174"/>
      <c r="BC183" s="174"/>
      <c r="BD183" s="174"/>
      <c r="BE183" s="882"/>
      <c r="BF183" s="174"/>
      <c r="BG183" s="174"/>
      <c r="BH183" s="174"/>
      <c r="BI183" s="174"/>
      <c r="BJ183" s="174"/>
      <c r="BK183" s="174"/>
      <c r="BL183" s="882"/>
      <c r="BM183" s="882"/>
      <c r="BN183" s="882"/>
      <c r="BO183" s="882"/>
      <c r="BP183" s="882"/>
      <c r="BQ183" s="882"/>
      <c r="BR183" s="882"/>
      <c r="BS183" s="882"/>
      <c r="BT183" s="882"/>
      <c r="BU183" s="882"/>
      <c r="BV183" s="882"/>
      <c r="BW183" s="882"/>
      <c r="BX183" s="882"/>
    </row>
    <row r="184" ht="15.75" customHeight="1">
      <c r="A184" s="886" t="s">
        <v>469</v>
      </c>
      <c r="B184" s="887" t="s">
        <v>187</v>
      </c>
      <c r="C184" s="741" t="s">
        <v>4492</v>
      </c>
      <c r="D184" s="888" t="s">
        <v>4494</v>
      </c>
      <c r="E184" s="611"/>
      <c r="F184" s="611" t="s">
        <v>311</v>
      </c>
      <c r="G184" s="174" t="s">
        <v>4492</v>
      </c>
      <c r="H184" s="222"/>
      <c r="I184" s="546"/>
      <c r="J184" s="611"/>
      <c r="K184" s="611"/>
      <c r="L184" s="611"/>
      <c r="M184" s="219"/>
      <c r="N184" s="611"/>
      <c r="O184" s="611"/>
      <c r="P184" s="611"/>
      <c r="Q184" s="611"/>
      <c r="R184" s="221"/>
      <c r="S184" s="611"/>
      <c r="T184" s="611"/>
      <c r="U184" s="611"/>
      <c r="V184" s="611"/>
      <c r="W184" s="611"/>
      <c r="X184" s="611"/>
      <c r="Y184" s="245" t="s">
        <v>4497</v>
      </c>
      <c r="Z184" s="611"/>
      <c r="AA184" s="611"/>
      <c r="AB184" s="611"/>
      <c r="AC184" s="611"/>
      <c r="AD184" s="611"/>
      <c r="AE184" s="186"/>
      <c r="AF184" s="611"/>
      <c r="AG184" s="611"/>
      <c r="AH184" s="611"/>
      <c r="AI184" s="611"/>
      <c r="AJ184" s="611"/>
      <c r="AK184" s="611"/>
      <c r="AL184" s="611"/>
      <c r="AM184" s="611"/>
      <c r="AN184" s="611"/>
      <c r="AO184" s="546"/>
      <c r="AP184" s="611"/>
      <c r="AQ184" s="611"/>
      <c r="AR184" s="186"/>
      <c r="AS184" s="611"/>
      <c r="AT184" s="611"/>
      <c r="AU184" s="611"/>
      <c r="AV184" s="546"/>
      <c r="AW184" s="611"/>
      <c r="AX184" s="186"/>
      <c r="AY184" s="611"/>
      <c r="AZ184" s="611"/>
      <c r="BA184" s="611"/>
      <c r="BB184" s="611"/>
      <c r="BC184" s="611"/>
      <c r="BD184" s="611"/>
      <c r="BE184" s="186"/>
      <c r="BF184" s="611"/>
      <c r="BG184" s="611"/>
      <c r="BH184" s="611"/>
      <c r="BI184" s="611"/>
      <c r="BJ184" s="611"/>
      <c r="BK184" s="611"/>
      <c r="BL184" s="186"/>
      <c r="BM184" s="186"/>
      <c r="BN184" s="186"/>
      <c r="BO184" s="186"/>
      <c r="BP184" s="186"/>
      <c r="BQ184" s="186"/>
      <c r="BR184" s="186"/>
      <c r="BS184" s="186"/>
      <c r="BT184" s="186"/>
      <c r="BU184" s="186"/>
      <c r="BV184" s="186"/>
      <c r="BW184" s="186"/>
      <c r="BX184" s="186"/>
    </row>
    <row r="185" ht="15.75" customHeight="1">
      <c r="A185" s="878" t="s">
        <v>285</v>
      </c>
      <c r="B185" s="889" t="s">
        <v>4500</v>
      </c>
      <c r="C185" s="741" t="s">
        <v>4501</v>
      </c>
      <c r="D185" s="219"/>
      <c r="E185" s="890"/>
      <c r="F185" s="890"/>
      <c r="G185" s="890"/>
      <c r="H185" s="222"/>
      <c r="I185" s="546"/>
      <c r="J185" s="890"/>
      <c r="K185" s="890" t="s">
        <v>4501</v>
      </c>
      <c r="L185" s="890"/>
      <c r="M185" s="880"/>
      <c r="N185" s="890"/>
      <c r="O185" s="890"/>
      <c r="P185" s="890"/>
      <c r="Q185" s="890"/>
      <c r="R185" s="320"/>
      <c r="S185" s="890"/>
      <c r="T185" s="890"/>
      <c r="U185" s="890"/>
      <c r="V185" s="890"/>
      <c r="W185" s="890"/>
      <c r="X185" s="890"/>
      <c r="Y185" s="882"/>
      <c r="Z185" s="890"/>
      <c r="AA185" s="890"/>
      <c r="AB185" s="890"/>
      <c r="AC185" s="890"/>
      <c r="AD185" s="890"/>
      <c r="AE185" s="882"/>
      <c r="AF185" s="890"/>
      <c r="AG185" s="890"/>
      <c r="AH185" s="890"/>
      <c r="AI185" s="890"/>
      <c r="AJ185" s="890"/>
      <c r="AK185" s="890"/>
      <c r="AL185" s="890"/>
      <c r="AM185" s="890"/>
      <c r="AN185" s="890"/>
      <c r="AO185" s="546"/>
      <c r="AP185" s="890"/>
      <c r="AQ185" s="890"/>
      <c r="AR185" s="882"/>
      <c r="AS185" s="890"/>
      <c r="AT185" s="890"/>
      <c r="AU185" s="890"/>
      <c r="AV185" s="546"/>
      <c r="AW185" s="890"/>
      <c r="AX185" s="882"/>
      <c r="AY185" s="890"/>
      <c r="AZ185" s="890"/>
      <c r="BA185" s="890"/>
      <c r="BB185" s="890"/>
      <c r="BC185" s="890"/>
      <c r="BD185" s="890"/>
      <c r="BE185" s="882"/>
      <c r="BF185" s="890"/>
      <c r="BG185" s="890"/>
      <c r="BH185" s="890"/>
      <c r="BI185" s="890"/>
      <c r="BJ185" s="890"/>
      <c r="BK185" s="890"/>
      <c r="BL185" s="882"/>
      <c r="BM185" s="882"/>
      <c r="BN185" s="882"/>
      <c r="BO185" s="882"/>
      <c r="BP185" s="882"/>
      <c r="BQ185" s="882"/>
      <c r="BR185" s="882"/>
      <c r="BS185" s="882"/>
      <c r="BT185" s="882"/>
      <c r="BU185" s="882"/>
      <c r="BV185" s="882"/>
      <c r="BW185" s="882"/>
      <c r="BX185" s="882"/>
    </row>
    <row r="186" ht="15.75" customHeight="1">
      <c r="A186" s="883"/>
      <c r="B186" s="884" t="s">
        <v>4504</v>
      </c>
      <c r="C186" s="741" t="s">
        <v>4505</v>
      </c>
      <c r="D186" s="292" t="s">
        <v>208</v>
      </c>
      <c r="E186" s="174" t="s">
        <v>4507</v>
      </c>
      <c r="F186" s="174" t="s">
        <v>4505</v>
      </c>
      <c r="G186" s="174" t="s">
        <v>3532</v>
      </c>
      <c r="H186" s="132" t="s">
        <v>256</v>
      </c>
      <c r="I186" s="562" t="s">
        <v>4510</v>
      </c>
      <c r="J186" s="174"/>
      <c r="K186" s="174" t="s">
        <v>2272</v>
      </c>
      <c r="L186" s="174" t="s">
        <v>1152</v>
      </c>
      <c r="M186" s="219"/>
      <c r="N186" s="174"/>
      <c r="O186" s="174"/>
      <c r="P186" s="174" t="s">
        <v>433</v>
      </c>
      <c r="Q186" s="174" t="s">
        <v>4513</v>
      </c>
      <c r="R186" s="133"/>
      <c r="S186" s="174"/>
      <c r="T186" s="174"/>
      <c r="U186" s="174"/>
      <c r="V186" s="174" t="s">
        <v>2836</v>
      </c>
      <c r="W186" s="174"/>
      <c r="X186" s="174"/>
      <c r="Y186" s="186"/>
      <c r="Z186" s="174"/>
      <c r="AA186" s="174"/>
      <c r="AB186" s="174"/>
      <c r="AC186" s="174"/>
      <c r="AD186" s="174"/>
      <c r="AE186" s="186"/>
      <c r="AF186" s="174"/>
      <c r="AG186" s="174"/>
      <c r="AH186" s="174"/>
      <c r="AI186" s="174"/>
      <c r="AJ186" s="174"/>
      <c r="AK186" s="174"/>
      <c r="AL186" s="174"/>
      <c r="AM186" s="174"/>
      <c r="AN186" s="174"/>
      <c r="AO186" s="546"/>
      <c r="AP186" s="174"/>
      <c r="AQ186" s="174"/>
      <c r="AR186" s="245" t="s">
        <v>4505</v>
      </c>
      <c r="AS186" s="174"/>
      <c r="AT186" s="174"/>
      <c r="AU186" s="174"/>
      <c r="AV186" s="546"/>
      <c r="AW186" s="174"/>
      <c r="AX186" s="186"/>
      <c r="AY186" s="174"/>
      <c r="AZ186" s="174"/>
      <c r="BA186" s="174"/>
      <c r="BB186" s="174"/>
      <c r="BC186" s="174"/>
      <c r="BD186" s="174"/>
      <c r="BE186" s="186"/>
      <c r="BF186" s="174"/>
      <c r="BG186" s="174"/>
      <c r="BH186" s="174"/>
      <c r="BI186" s="174"/>
      <c r="BJ186" s="174"/>
      <c r="BK186" s="174"/>
      <c r="BL186" s="186"/>
      <c r="BM186" s="186"/>
      <c r="BN186" s="186"/>
      <c r="BO186" s="186"/>
      <c r="BP186" s="186"/>
      <c r="BQ186" s="186"/>
      <c r="BR186" s="186"/>
      <c r="BS186" s="186"/>
      <c r="BT186" s="186"/>
      <c r="BU186" s="186"/>
      <c r="BV186" s="186"/>
      <c r="BW186" s="186"/>
      <c r="BX186" s="186"/>
    </row>
    <row r="187" ht="15.75" customHeight="1">
      <c r="A187" s="886" t="s">
        <v>469</v>
      </c>
      <c r="B187" s="891" t="s">
        <v>4520</v>
      </c>
      <c r="C187" s="741" t="s">
        <v>4521</v>
      </c>
      <c r="D187" s="219"/>
      <c r="E187" s="434"/>
      <c r="F187" s="434"/>
      <c r="G187" s="434"/>
      <c r="H187" s="222"/>
      <c r="I187" s="546"/>
      <c r="J187" s="434"/>
      <c r="K187" s="434" t="s">
        <v>3776</v>
      </c>
      <c r="L187" s="434"/>
      <c r="M187" s="888" t="s">
        <v>501</v>
      </c>
      <c r="N187" s="434"/>
      <c r="O187" s="434"/>
      <c r="P187" s="434"/>
      <c r="Q187" s="434"/>
      <c r="R187" s="133"/>
      <c r="S187" s="434"/>
      <c r="T187" s="434"/>
      <c r="U187" s="434"/>
      <c r="V187" s="434"/>
      <c r="W187" s="434"/>
      <c r="X187" s="434"/>
      <c r="Y187" s="882"/>
      <c r="Z187" s="434"/>
      <c r="AA187" s="434" t="s">
        <v>4522</v>
      </c>
      <c r="AB187" s="434"/>
      <c r="AC187" s="434"/>
      <c r="AD187" s="434"/>
      <c r="AE187" s="882"/>
      <c r="AF187" s="434"/>
      <c r="AG187" s="434"/>
      <c r="AH187" s="434"/>
      <c r="AI187" s="434"/>
      <c r="AJ187" s="434"/>
      <c r="AK187" s="434"/>
      <c r="AL187" s="434"/>
      <c r="AM187" s="434"/>
      <c r="AN187" s="434"/>
      <c r="AO187" s="546"/>
      <c r="AP187" s="434"/>
      <c r="AQ187" s="434"/>
      <c r="AR187" s="882"/>
      <c r="AS187" s="434"/>
      <c r="AT187" s="434"/>
      <c r="AU187" s="434"/>
      <c r="AV187" s="546"/>
      <c r="AW187" s="434"/>
      <c r="AX187" s="882"/>
      <c r="AY187" s="434"/>
      <c r="AZ187" s="434"/>
      <c r="BA187" s="434"/>
      <c r="BB187" s="434"/>
      <c r="BC187" s="434"/>
      <c r="BD187" s="434"/>
      <c r="BE187" s="882"/>
      <c r="BF187" s="434"/>
      <c r="BG187" s="434"/>
      <c r="BH187" s="434"/>
      <c r="BI187" s="434"/>
      <c r="BJ187" s="434"/>
      <c r="BK187" s="434"/>
      <c r="BL187" s="882"/>
      <c r="BM187" s="882"/>
      <c r="BN187" s="882"/>
      <c r="BO187" s="882"/>
      <c r="BP187" s="882"/>
      <c r="BQ187" s="882"/>
      <c r="BR187" s="882"/>
      <c r="BS187" s="882"/>
      <c r="BT187" s="882"/>
      <c r="BU187" s="882"/>
      <c r="BV187" s="882"/>
      <c r="BW187" s="882"/>
      <c r="BX187" s="882"/>
    </row>
    <row r="188" ht="15.75" customHeight="1">
      <c r="A188" s="883"/>
      <c r="B188" s="884" t="s">
        <v>4524</v>
      </c>
      <c r="C188" s="741" t="s">
        <v>4525</v>
      </c>
      <c r="D188" s="292" t="s">
        <v>4526</v>
      </c>
      <c r="E188" s="174" t="s">
        <v>4528</v>
      </c>
      <c r="F188" s="174" t="s">
        <v>4525</v>
      </c>
      <c r="G188" s="174" t="s">
        <v>4529</v>
      </c>
      <c r="H188" s="132" t="s">
        <v>1164</v>
      </c>
      <c r="I188" s="562" t="s">
        <v>4531</v>
      </c>
      <c r="J188" s="174" t="s">
        <v>449</v>
      </c>
      <c r="K188" s="174" t="s">
        <v>4532</v>
      </c>
      <c r="L188" s="174" t="s">
        <v>4012</v>
      </c>
      <c r="M188" s="182" t="s">
        <v>4533</v>
      </c>
      <c r="N188" s="174" t="s">
        <v>4036</v>
      </c>
      <c r="O188" s="174" t="s">
        <v>4535</v>
      </c>
      <c r="P188" s="174" t="s">
        <v>4536</v>
      </c>
      <c r="Q188" s="174" t="s">
        <v>4537</v>
      </c>
      <c r="R188" s="133" t="s">
        <v>4536</v>
      </c>
      <c r="S188" s="174"/>
      <c r="T188" s="174"/>
      <c r="U188" s="174"/>
      <c r="V188" s="174"/>
      <c r="W188" s="174"/>
      <c r="X188" s="174" t="s">
        <v>4539</v>
      </c>
      <c r="Y188" s="186"/>
      <c r="Z188" s="174"/>
      <c r="AA188" s="174"/>
      <c r="AB188" s="174"/>
      <c r="AC188" s="174"/>
      <c r="AD188" s="174"/>
      <c r="AE188" s="186"/>
      <c r="AF188" s="174"/>
      <c r="AG188" s="174"/>
      <c r="AH188" s="174"/>
      <c r="AI188" s="174"/>
      <c r="AJ188" s="174"/>
      <c r="AK188" s="174"/>
      <c r="AL188" s="174"/>
      <c r="AM188" s="174"/>
      <c r="AN188" s="174"/>
      <c r="AO188" s="546"/>
      <c r="AP188" s="174"/>
      <c r="AQ188" s="174"/>
      <c r="AR188" s="186"/>
      <c r="AS188" s="174"/>
      <c r="AT188" s="174"/>
      <c r="AU188" s="174"/>
      <c r="AV188" s="546"/>
      <c r="AW188" s="174"/>
      <c r="AX188" s="186"/>
      <c r="AY188" s="174"/>
      <c r="AZ188" s="174"/>
      <c r="BA188" s="174"/>
      <c r="BB188" s="174"/>
      <c r="BC188" s="174"/>
      <c r="BD188" s="174"/>
      <c r="BE188" s="186"/>
      <c r="BF188" s="174"/>
      <c r="BG188" s="174"/>
      <c r="BH188" s="174"/>
      <c r="BI188" s="174"/>
      <c r="BJ188" s="174"/>
      <c r="BK188" s="174"/>
      <c r="BL188" s="186"/>
      <c r="BM188" s="186"/>
      <c r="BN188" s="186"/>
      <c r="BO188" s="186"/>
      <c r="BP188" s="186"/>
      <c r="BQ188" s="186"/>
      <c r="BR188" s="186"/>
      <c r="BS188" s="186"/>
      <c r="BT188" s="186"/>
      <c r="BU188" s="186"/>
      <c r="BV188" s="186"/>
      <c r="BW188" s="186"/>
      <c r="BX188" s="186"/>
    </row>
    <row r="189" ht="15.75" customHeight="1">
      <c r="A189" s="893"/>
      <c r="B189" s="894" t="s">
        <v>4540</v>
      </c>
      <c r="C189" s="741" t="s">
        <v>4541</v>
      </c>
      <c r="D189" s="219"/>
      <c r="E189" s="174"/>
      <c r="F189" s="174" t="s">
        <v>4541</v>
      </c>
      <c r="G189" s="174"/>
      <c r="H189" s="222"/>
      <c r="I189" s="546"/>
      <c r="J189" s="174" t="s">
        <v>4543</v>
      </c>
      <c r="K189" s="174"/>
      <c r="L189" s="174"/>
      <c r="M189" s="880"/>
      <c r="N189" s="174"/>
      <c r="O189" s="174" t="s">
        <v>4342</v>
      </c>
      <c r="P189" s="174" t="s">
        <v>3777</v>
      </c>
      <c r="Q189" s="174" t="s">
        <v>4342</v>
      </c>
      <c r="R189" s="133"/>
      <c r="S189" s="174"/>
      <c r="T189" s="174"/>
      <c r="U189" s="174"/>
      <c r="V189" s="174"/>
      <c r="W189" s="174"/>
      <c r="X189" s="174"/>
      <c r="Y189" s="882"/>
      <c r="Z189" s="174"/>
      <c r="AA189" s="174"/>
      <c r="AB189" s="174"/>
      <c r="AC189" s="174"/>
      <c r="AD189" s="174"/>
      <c r="AE189" s="882"/>
      <c r="AF189" s="174"/>
      <c r="AG189" s="174"/>
      <c r="AH189" s="174"/>
      <c r="AI189" s="174"/>
      <c r="AJ189" s="174"/>
      <c r="AK189" s="174"/>
      <c r="AL189" s="174"/>
      <c r="AM189" s="174"/>
      <c r="AN189" s="174"/>
      <c r="AO189" s="546"/>
      <c r="AP189" s="174"/>
      <c r="AQ189" s="174"/>
      <c r="AR189" s="882"/>
      <c r="AS189" s="174"/>
      <c r="AT189" s="174"/>
      <c r="AU189" s="174"/>
      <c r="AV189" s="546"/>
      <c r="AW189" s="174"/>
      <c r="AX189" s="882"/>
      <c r="AY189" s="174"/>
      <c r="AZ189" s="174"/>
      <c r="BA189" s="174"/>
      <c r="BB189" s="174"/>
      <c r="BC189" s="174"/>
      <c r="BD189" s="174"/>
      <c r="BE189" s="882"/>
      <c r="BF189" s="174"/>
      <c r="BG189" s="174"/>
      <c r="BH189" s="174"/>
      <c r="BI189" s="174"/>
      <c r="BJ189" s="174"/>
      <c r="BK189" s="174"/>
      <c r="BL189" s="882"/>
      <c r="BM189" s="882"/>
      <c r="BN189" s="882"/>
      <c r="BO189" s="882"/>
      <c r="BP189" s="882"/>
      <c r="BQ189" s="882"/>
      <c r="BR189" s="882"/>
      <c r="BS189" s="882"/>
      <c r="BT189" s="882"/>
      <c r="BU189" s="882"/>
      <c r="BV189" s="882"/>
      <c r="BW189" s="882"/>
      <c r="BX189" s="882"/>
    </row>
    <row r="190" ht="15.75" customHeight="1">
      <c r="A190" s="886" t="s">
        <v>4546</v>
      </c>
      <c r="B190" s="891" t="s">
        <v>2334</v>
      </c>
      <c r="C190" s="741" t="s">
        <v>4547</v>
      </c>
      <c r="D190" s="888" t="s">
        <v>4548</v>
      </c>
      <c r="E190" s="890"/>
      <c r="F190" s="890"/>
      <c r="G190" s="890"/>
      <c r="H190" s="222"/>
      <c r="I190" s="562" t="s">
        <v>4550</v>
      </c>
      <c r="J190" s="890"/>
      <c r="K190" s="890"/>
      <c r="L190" s="890"/>
      <c r="M190" s="219"/>
      <c r="N190" s="890" t="s">
        <v>4551</v>
      </c>
      <c r="O190" s="890"/>
      <c r="P190" s="890"/>
      <c r="Q190" s="890"/>
      <c r="R190" s="320"/>
      <c r="S190" s="890"/>
      <c r="T190" s="890"/>
      <c r="U190" s="890"/>
      <c r="V190" s="890"/>
      <c r="W190" s="890"/>
      <c r="X190" s="890"/>
      <c r="Y190" s="245" t="s">
        <v>4552</v>
      </c>
      <c r="Z190" s="890"/>
      <c r="AA190" s="890"/>
      <c r="AB190" s="890"/>
      <c r="AC190" s="890"/>
      <c r="AD190" s="890" t="s">
        <v>4550</v>
      </c>
      <c r="AE190" s="186"/>
      <c r="AF190" s="890"/>
      <c r="AG190" s="890"/>
      <c r="AH190" s="890"/>
      <c r="AI190" s="890"/>
      <c r="AJ190" s="890"/>
      <c r="AK190" s="890"/>
      <c r="AL190" s="890"/>
      <c r="AM190" s="890"/>
      <c r="AN190" s="890"/>
      <c r="AO190" s="546"/>
      <c r="AP190" s="890"/>
      <c r="AQ190" s="890"/>
      <c r="AR190" s="186"/>
      <c r="AS190" s="890"/>
      <c r="AT190" s="890"/>
      <c r="AU190" s="890"/>
      <c r="AV190" s="546"/>
      <c r="AW190" s="890"/>
      <c r="AX190" s="186"/>
      <c r="AY190" s="890"/>
      <c r="AZ190" s="890"/>
      <c r="BA190" s="890"/>
      <c r="BB190" s="890"/>
      <c r="BC190" s="890"/>
      <c r="BD190" s="890"/>
      <c r="BE190" s="186"/>
      <c r="BF190" s="890"/>
      <c r="BG190" s="890"/>
      <c r="BH190" s="890"/>
      <c r="BI190" s="890"/>
      <c r="BJ190" s="890"/>
      <c r="BK190" s="890"/>
      <c r="BL190" s="186"/>
      <c r="BM190" s="186"/>
      <c r="BN190" s="186"/>
      <c r="BO190" s="186"/>
      <c r="BP190" s="186"/>
      <c r="BQ190" s="186"/>
      <c r="BR190" s="186"/>
      <c r="BS190" s="186"/>
      <c r="BT190" s="186"/>
      <c r="BU190" s="186"/>
      <c r="BV190" s="186"/>
      <c r="BW190" s="186"/>
      <c r="BX190" s="186"/>
    </row>
    <row r="191" ht="15.75" customHeight="1">
      <c r="A191" s="883"/>
      <c r="B191" s="884" t="s">
        <v>4555</v>
      </c>
      <c r="C191" s="895" t="s">
        <v>3448</v>
      </c>
      <c r="D191" s="219"/>
      <c r="E191" s="896" t="s">
        <v>477</v>
      </c>
      <c r="F191" s="174" t="s">
        <v>4556</v>
      </c>
      <c r="G191" s="174"/>
      <c r="H191" s="132" t="s">
        <v>477</v>
      </c>
      <c r="I191" s="562"/>
      <c r="J191" s="174"/>
      <c r="K191" s="174"/>
      <c r="L191" s="129" t="s">
        <v>4550</v>
      </c>
      <c r="M191" s="880"/>
      <c r="N191" s="174"/>
      <c r="O191" s="174"/>
      <c r="P191" s="174"/>
      <c r="Q191" s="174"/>
      <c r="R191" s="133"/>
      <c r="S191" s="174"/>
      <c r="T191" s="174"/>
      <c r="U191" s="174"/>
      <c r="V191" s="174" t="s">
        <v>4559</v>
      </c>
      <c r="W191" s="174"/>
      <c r="X191" s="174"/>
      <c r="Y191" s="882"/>
      <c r="Z191" s="174"/>
      <c r="AA191" s="174"/>
      <c r="AB191" s="174" t="s">
        <v>160</v>
      </c>
      <c r="AC191" s="174" t="s">
        <v>4230</v>
      </c>
      <c r="AD191" s="174"/>
      <c r="AE191" s="882"/>
      <c r="AF191" s="174"/>
      <c r="AG191" s="174"/>
      <c r="AH191" s="174"/>
      <c r="AI191" s="174"/>
      <c r="AJ191" s="174"/>
      <c r="AK191" s="174"/>
      <c r="AL191" s="174"/>
      <c r="AM191" s="174"/>
      <c r="AN191" s="174"/>
      <c r="AO191" s="546"/>
      <c r="AP191" s="174"/>
      <c r="AQ191" s="174"/>
      <c r="AR191" s="881" t="s">
        <v>3448</v>
      </c>
      <c r="AS191" s="174"/>
      <c r="AT191" s="174"/>
      <c r="AU191" s="174"/>
      <c r="AV191" s="546"/>
      <c r="AW191" s="174"/>
      <c r="AX191" s="882"/>
      <c r="AY191" s="174"/>
      <c r="AZ191" s="174"/>
      <c r="BA191" s="174"/>
      <c r="BB191" s="174"/>
      <c r="BC191" s="174"/>
      <c r="BD191" s="174"/>
      <c r="BE191" s="882"/>
      <c r="BF191" s="174"/>
      <c r="BG191" s="174"/>
      <c r="BH191" s="174"/>
      <c r="BI191" s="174"/>
      <c r="BJ191" s="174"/>
      <c r="BK191" s="174"/>
      <c r="BL191" s="882"/>
      <c r="BM191" s="898"/>
      <c r="BN191" s="882"/>
      <c r="BO191" s="882"/>
      <c r="BP191" s="882"/>
      <c r="BQ191" s="882"/>
      <c r="BR191" s="882"/>
      <c r="BS191" s="882"/>
      <c r="BT191" s="882"/>
      <c r="BU191" s="882"/>
      <c r="BV191" s="882"/>
      <c r="BW191" s="882"/>
      <c r="BX191" s="882"/>
    </row>
    <row r="192" ht="15.75" customHeight="1">
      <c r="A192" s="886" t="s">
        <v>4564</v>
      </c>
      <c r="B192" s="891" t="s">
        <v>2334</v>
      </c>
      <c r="C192" s="741" t="s">
        <v>4565</v>
      </c>
      <c r="D192" s="888" t="s">
        <v>4566</v>
      </c>
      <c r="E192" s="890"/>
      <c r="F192" s="890"/>
      <c r="G192" s="890" t="s">
        <v>4565</v>
      </c>
      <c r="H192" s="222"/>
      <c r="I192" s="562" t="s">
        <v>4568</v>
      </c>
      <c r="J192" s="890"/>
      <c r="K192" s="890" t="s">
        <v>4569</v>
      </c>
      <c r="L192" s="890"/>
      <c r="M192" s="219"/>
      <c r="N192" s="890"/>
      <c r="O192" s="890"/>
      <c r="P192" s="890"/>
      <c r="Q192" s="890"/>
      <c r="R192" s="320"/>
      <c r="S192" s="890"/>
      <c r="T192" s="890"/>
      <c r="U192" s="890"/>
      <c r="V192" s="890"/>
      <c r="W192" s="890"/>
      <c r="X192" s="890"/>
      <c r="Y192" s="245" t="s">
        <v>4572</v>
      </c>
      <c r="Z192" s="890"/>
      <c r="AA192" s="890" t="s">
        <v>4574</v>
      </c>
      <c r="AB192" s="890"/>
      <c r="AC192" s="890"/>
      <c r="AD192" s="890"/>
      <c r="AE192" s="186"/>
      <c r="AF192" s="890"/>
      <c r="AG192" s="890"/>
      <c r="AH192" s="890"/>
      <c r="AI192" s="890"/>
      <c r="AJ192" s="890"/>
      <c r="AK192" s="890"/>
      <c r="AL192" s="890"/>
      <c r="AM192" s="890"/>
      <c r="AN192" s="890"/>
      <c r="AO192" s="546"/>
      <c r="AP192" s="890"/>
      <c r="AQ192" s="890"/>
      <c r="AR192" s="186"/>
      <c r="AS192" s="890"/>
      <c r="AT192" s="890"/>
      <c r="AU192" s="890"/>
      <c r="AV192" s="546"/>
      <c r="AW192" s="890"/>
      <c r="AX192" s="186"/>
      <c r="AY192" s="890"/>
      <c r="AZ192" s="890"/>
      <c r="BA192" s="890"/>
      <c r="BB192" s="890"/>
      <c r="BC192" s="890"/>
      <c r="BD192" s="890"/>
      <c r="BE192" s="186"/>
      <c r="BF192" s="890"/>
      <c r="BG192" s="890"/>
      <c r="BH192" s="890"/>
      <c r="BI192" s="890"/>
      <c r="BJ192" s="890"/>
      <c r="BK192" s="890"/>
      <c r="BL192" s="186"/>
      <c r="BM192" s="186"/>
      <c r="BN192" s="186"/>
      <c r="BO192" s="186"/>
      <c r="BP192" s="186"/>
      <c r="BQ192" s="186"/>
      <c r="BR192" s="186"/>
      <c r="BS192" s="186"/>
      <c r="BT192" s="186"/>
      <c r="BU192" s="186"/>
      <c r="BV192" s="186"/>
      <c r="BW192" s="186"/>
      <c r="BX192" s="186"/>
    </row>
    <row r="193" ht="15.75" customHeight="1">
      <c r="A193" s="899"/>
      <c r="B193" s="900" t="s">
        <v>4555</v>
      </c>
      <c r="C193" s="741" t="s">
        <v>4576</v>
      </c>
      <c r="D193" s="219"/>
      <c r="E193" s="139" t="s">
        <v>4577</v>
      </c>
      <c r="F193" s="129" t="s">
        <v>4576</v>
      </c>
      <c r="G193" s="139" t="s">
        <v>4576</v>
      </c>
      <c r="H193" s="222"/>
      <c r="I193" s="599"/>
      <c r="J193" s="139"/>
      <c r="K193" s="139"/>
      <c r="L193" s="139"/>
      <c r="M193" s="880"/>
      <c r="N193" s="139"/>
      <c r="O193" s="139"/>
      <c r="P193" s="139"/>
      <c r="Q193" s="139"/>
      <c r="R193" s="133"/>
      <c r="S193" s="139"/>
      <c r="T193" s="139"/>
      <c r="U193" s="139"/>
      <c r="V193" s="139"/>
      <c r="W193" s="139"/>
      <c r="X193" s="139"/>
      <c r="Y193" s="882"/>
      <c r="Z193" s="139"/>
      <c r="AA193" s="139"/>
      <c r="AB193" s="129" t="s">
        <v>4576</v>
      </c>
      <c r="AC193" s="139"/>
      <c r="AD193" s="139"/>
      <c r="AE193" s="882"/>
      <c r="AF193" s="139"/>
      <c r="AG193" s="139"/>
      <c r="AH193" s="139"/>
      <c r="AI193" s="139"/>
      <c r="AJ193" s="139"/>
      <c r="AK193" s="139" t="s">
        <v>4580</v>
      </c>
      <c r="AL193" s="139"/>
      <c r="AM193" s="139"/>
      <c r="AN193" s="139"/>
      <c r="AO193" s="599"/>
      <c r="AP193" s="139"/>
      <c r="AQ193" s="139"/>
      <c r="AR193" s="882"/>
      <c r="AS193" s="139"/>
      <c r="AT193" s="139"/>
      <c r="AU193" s="139"/>
      <c r="AV193" s="599"/>
      <c r="AW193" s="139"/>
      <c r="AX193" s="882"/>
      <c r="AY193" s="139"/>
      <c r="AZ193" s="139"/>
      <c r="BA193" s="139"/>
      <c r="BB193" s="139"/>
      <c r="BC193" s="139"/>
      <c r="BD193" s="139"/>
      <c r="BE193" s="882"/>
      <c r="BF193" s="139"/>
      <c r="BG193" s="139"/>
      <c r="BH193" s="139"/>
      <c r="BI193" s="139"/>
      <c r="BJ193" s="139"/>
      <c r="BK193" s="139"/>
      <c r="BL193" s="882"/>
      <c r="BM193" s="882"/>
      <c r="BN193" s="882"/>
      <c r="BO193" s="882"/>
      <c r="BP193" s="882"/>
      <c r="BQ193" s="882"/>
      <c r="BR193" s="882"/>
      <c r="BS193" s="882"/>
      <c r="BT193" s="882"/>
      <c r="BU193" s="882"/>
      <c r="BV193" s="882"/>
      <c r="BW193" s="882"/>
      <c r="BX193" s="882"/>
    </row>
    <row r="194" ht="15.75" customHeight="1">
      <c r="A194" s="901"/>
      <c r="B194" s="902" t="s">
        <v>4582</v>
      </c>
      <c r="C194" s="217" t="s">
        <v>4583</v>
      </c>
      <c r="D194" s="219"/>
      <c r="E194" s="139"/>
      <c r="F194" s="139"/>
      <c r="G194" s="129" t="s">
        <v>4583</v>
      </c>
      <c r="H194" s="222"/>
      <c r="I194" s="599"/>
      <c r="J194" s="139"/>
      <c r="K194" s="139"/>
      <c r="L194" s="139"/>
      <c r="M194" s="880"/>
      <c r="N194" s="139"/>
      <c r="O194" s="139"/>
      <c r="P194" s="139"/>
      <c r="Q194" s="139"/>
      <c r="R194" s="133"/>
      <c r="S194" s="139"/>
      <c r="T194" s="139"/>
      <c r="U194" s="139"/>
      <c r="V194" s="139"/>
      <c r="W194" s="139"/>
      <c r="X194" s="139"/>
      <c r="Y194" s="882"/>
      <c r="Z194" s="139"/>
      <c r="AA194" s="139"/>
      <c r="AB194" s="139"/>
      <c r="AC194" s="139"/>
      <c r="AD194" s="139"/>
      <c r="AE194" s="882"/>
      <c r="AF194" s="139"/>
      <c r="AG194" s="139"/>
      <c r="AH194" s="139"/>
      <c r="AI194" s="139"/>
      <c r="AJ194" s="139"/>
      <c r="AK194" s="139"/>
      <c r="AL194" s="139"/>
      <c r="AM194" s="139"/>
      <c r="AN194" s="139"/>
      <c r="AO194" s="599"/>
      <c r="AP194" s="139"/>
      <c r="AQ194" s="139"/>
      <c r="AR194" s="882"/>
      <c r="AS194" s="139"/>
      <c r="AT194" s="139"/>
      <c r="AU194" s="139"/>
      <c r="AV194" s="599"/>
      <c r="AW194" s="139"/>
      <c r="AX194" s="882"/>
      <c r="AY194" s="139"/>
      <c r="AZ194" s="139"/>
      <c r="BA194" s="139"/>
      <c r="BB194" s="139"/>
      <c r="BC194" s="139"/>
      <c r="BD194" s="139"/>
      <c r="BE194" s="882"/>
      <c r="BF194" s="139"/>
      <c r="BG194" s="139"/>
      <c r="BH194" s="139"/>
      <c r="BI194" s="139"/>
      <c r="BJ194" s="139"/>
      <c r="BK194" s="139"/>
      <c r="BL194" s="882"/>
      <c r="BM194" s="882"/>
      <c r="BN194" s="882"/>
      <c r="BO194" s="882"/>
      <c r="BP194" s="882"/>
      <c r="BQ194" s="882"/>
      <c r="BR194" s="882"/>
      <c r="BS194" s="882"/>
      <c r="BT194" s="882"/>
      <c r="BU194" s="882"/>
      <c r="BV194" s="882"/>
      <c r="BW194" s="882"/>
      <c r="BX194" s="882"/>
    </row>
    <row r="195" ht="15.75" customHeight="1">
      <c r="A195" s="878" t="s">
        <v>633</v>
      </c>
      <c r="B195" s="889" t="s">
        <v>4588</v>
      </c>
      <c r="C195" s="119" t="s">
        <v>4589</v>
      </c>
      <c r="D195" s="880"/>
      <c r="E195" s="890"/>
      <c r="F195" s="890"/>
      <c r="G195" s="890"/>
      <c r="H195" s="132" t="s">
        <v>4591</v>
      </c>
      <c r="I195" s="546"/>
      <c r="J195" s="890"/>
      <c r="K195" s="890"/>
      <c r="L195" s="890"/>
      <c r="M195" s="880"/>
      <c r="N195" s="890"/>
      <c r="O195" s="890"/>
      <c r="P195" s="890" t="s">
        <v>4593</v>
      </c>
      <c r="Q195" s="890"/>
      <c r="R195" s="320"/>
      <c r="S195" s="890"/>
      <c r="T195" s="129" t="s">
        <v>2514</v>
      </c>
      <c r="U195" s="890"/>
      <c r="V195" s="890"/>
      <c r="W195" s="890"/>
      <c r="X195" s="890" t="s">
        <v>672</v>
      </c>
      <c r="Y195" s="882"/>
      <c r="Z195" s="890"/>
      <c r="AA195" s="890"/>
      <c r="AB195" s="890"/>
      <c r="AC195" s="890"/>
      <c r="AD195" s="890"/>
      <c r="AE195" s="882"/>
      <c r="AF195" s="890"/>
      <c r="AG195" s="890"/>
      <c r="AH195" s="890"/>
      <c r="AI195" s="890"/>
      <c r="AJ195" s="890"/>
      <c r="AK195" s="890"/>
      <c r="AL195" s="890"/>
      <c r="AM195" s="890"/>
      <c r="AN195" s="890"/>
      <c r="AO195" s="546"/>
      <c r="AP195" s="890"/>
      <c r="AQ195" s="890"/>
      <c r="AR195" s="882"/>
      <c r="AS195" s="890"/>
      <c r="AT195" s="890"/>
      <c r="AU195" s="890"/>
      <c r="AV195" s="546"/>
      <c r="AW195" s="890"/>
      <c r="AX195" s="882"/>
      <c r="AY195" s="890"/>
      <c r="AZ195" s="890"/>
      <c r="BA195" s="890"/>
      <c r="BB195" s="890"/>
      <c r="BC195" s="890"/>
      <c r="BD195" s="890"/>
      <c r="BE195" s="882"/>
      <c r="BF195" s="890"/>
      <c r="BG195" s="890"/>
      <c r="BH195" s="890"/>
      <c r="BI195" s="890"/>
      <c r="BJ195" s="890"/>
      <c r="BK195" s="890"/>
      <c r="BL195" s="882"/>
      <c r="BM195" s="882"/>
      <c r="BN195" s="882"/>
      <c r="BO195" s="882"/>
      <c r="BP195" s="882"/>
      <c r="BQ195" s="882"/>
      <c r="BR195" s="882"/>
      <c r="BS195" s="882"/>
      <c r="BT195" s="882"/>
      <c r="BU195" s="882"/>
      <c r="BV195" s="882"/>
      <c r="BW195" s="882"/>
      <c r="BX195" s="882"/>
    </row>
    <row r="196" ht="15.75" customHeight="1">
      <c r="A196" s="883"/>
      <c r="B196" s="884" t="s">
        <v>4594</v>
      </c>
      <c r="C196" s="741" t="s">
        <v>3484</v>
      </c>
      <c r="D196" s="182" t="s">
        <v>4596</v>
      </c>
      <c r="E196" s="890" t="s">
        <v>4598</v>
      </c>
      <c r="F196" s="890"/>
      <c r="G196" s="890"/>
      <c r="H196" s="222"/>
      <c r="I196" s="562" t="s">
        <v>4599</v>
      </c>
      <c r="J196" s="890" t="s">
        <v>1430</v>
      </c>
      <c r="K196" s="890"/>
      <c r="L196" s="890" t="s">
        <v>4600</v>
      </c>
      <c r="M196" s="219"/>
      <c r="N196" s="890"/>
      <c r="O196" s="890"/>
      <c r="P196" s="890" t="s">
        <v>4602</v>
      </c>
      <c r="Q196" s="890"/>
      <c r="R196" s="320"/>
      <c r="S196" s="890"/>
      <c r="T196" s="890"/>
      <c r="U196" s="890"/>
      <c r="V196" s="890"/>
      <c r="W196" s="890"/>
      <c r="X196" s="890"/>
      <c r="Y196" s="186"/>
      <c r="Z196" s="890"/>
      <c r="AA196" s="890"/>
      <c r="AB196" s="890"/>
      <c r="AC196" s="890"/>
      <c r="AD196" s="890"/>
      <c r="AE196" s="186"/>
      <c r="AF196" s="890"/>
      <c r="AG196" s="890"/>
      <c r="AH196" s="890"/>
      <c r="AI196" s="890"/>
      <c r="AJ196" s="890"/>
      <c r="AK196" s="890" t="s">
        <v>4603</v>
      </c>
      <c r="AL196" s="890"/>
      <c r="AM196" s="890"/>
      <c r="AN196" s="890"/>
      <c r="AO196" s="546"/>
      <c r="AP196" s="890"/>
      <c r="AQ196" s="890"/>
      <c r="AR196" s="186"/>
      <c r="AS196" s="890"/>
      <c r="AT196" s="890"/>
      <c r="AU196" s="890"/>
      <c r="AV196" s="546"/>
      <c r="AW196" s="890"/>
      <c r="AX196" s="186"/>
      <c r="AY196" s="890"/>
      <c r="AZ196" s="890"/>
      <c r="BA196" s="890"/>
      <c r="BB196" s="890"/>
      <c r="BC196" s="890" t="s">
        <v>83</v>
      </c>
      <c r="BD196" s="890"/>
      <c r="BE196" s="186"/>
      <c r="BF196" s="890"/>
      <c r="BG196" s="890"/>
      <c r="BH196" s="890"/>
      <c r="BI196" s="890"/>
      <c r="BJ196" s="890"/>
      <c r="BK196" s="890"/>
      <c r="BL196" s="186"/>
      <c r="BM196" s="186"/>
      <c r="BN196" s="186"/>
      <c r="BO196" s="186"/>
      <c r="BP196" s="186"/>
      <c r="BQ196" s="186"/>
      <c r="BR196" s="186"/>
      <c r="BS196" s="186"/>
      <c r="BT196" s="186"/>
      <c r="BU196" s="186"/>
      <c r="BV196" s="186"/>
      <c r="BW196" s="186"/>
      <c r="BX196" s="186"/>
    </row>
    <row r="197" ht="15.75" customHeight="1">
      <c r="A197" s="893"/>
      <c r="B197" s="894" t="s">
        <v>4606</v>
      </c>
      <c r="C197" s="217" t="s">
        <v>3711</v>
      </c>
      <c r="D197" s="292" t="s">
        <v>4607</v>
      </c>
      <c r="E197" s="174" t="s">
        <v>4608</v>
      </c>
      <c r="F197" s="890"/>
      <c r="G197" s="139"/>
      <c r="H197" s="132" t="s">
        <v>2372</v>
      </c>
      <c r="I197" s="546"/>
      <c r="J197" s="890"/>
      <c r="K197" s="890" t="s">
        <v>4609</v>
      </c>
      <c r="L197" s="890"/>
      <c r="M197" s="880"/>
      <c r="N197" s="890" t="s">
        <v>4041</v>
      </c>
      <c r="O197" s="890"/>
      <c r="P197" s="890"/>
      <c r="Q197" s="890" t="s">
        <v>4343</v>
      </c>
      <c r="R197" s="320"/>
      <c r="S197" s="890" t="s">
        <v>4610</v>
      </c>
      <c r="T197" s="129" t="s">
        <v>2276</v>
      </c>
      <c r="U197" s="890"/>
      <c r="V197" s="890"/>
      <c r="W197" s="890"/>
      <c r="X197" s="890" t="s">
        <v>2156</v>
      </c>
      <c r="Y197" s="882"/>
      <c r="Z197" s="890"/>
      <c r="AA197" s="890"/>
      <c r="AB197" s="890"/>
      <c r="AC197" s="890" t="s">
        <v>4612</v>
      </c>
      <c r="AD197" s="890"/>
      <c r="AE197" s="882"/>
      <c r="AF197" s="890"/>
      <c r="AG197" s="890"/>
      <c r="AH197" s="890"/>
      <c r="AI197" s="890"/>
      <c r="AJ197" s="890"/>
      <c r="AK197" s="890"/>
      <c r="AL197" s="890"/>
      <c r="AM197" s="890"/>
      <c r="AN197" s="890"/>
      <c r="AO197" s="546"/>
      <c r="AP197" s="890"/>
      <c r="AQ197" s="890"/>
      <c r="AR197" s="882"/>
      <c r="AS197" s="890"/>
      <c r="AT197" s="890"/>
      <c r="AU197" s="890"/>
      <c r="AV197" s="546"/>
      <c r="AW197" s="890"/>
      <c r="AX197" s="882"/>
      <c r="AY197" s="890"/>
      <c r="AZ197" s="890"/>
      <c r="BA197" s="129" t="s">
        <v>3711</v>
      </c>
      <c r="BB197" s="890"/>
      <c r="BC197" s="890"/>
      <c r="BD197" s="890"/>
      <c r="BE197" s="882"/>
      <c r="BF197" s="890"/>
      <c r="BG197" s="890"/>
      <c r="BH197" s="890"/>
      <c r="BI197" s="890"/>
      <c r="BJ197" s="890"/>
      <c r="BK197" s="890"/>
      <c r="BL197" s="882"/>
      <c r="BM197" s="882"/>
      <c r="BN197" s="882"/>
      <c r="BO197" s="882"/>
      <c r="BP197" s="882"/>
      <c r="BQ197" s="882"/>
      <c r="BR197" s="882"/>
      <c r="BS197" s="882"/>
      <c r="BT197" s="882"/>
      <c r="BU197" s="882"/>
      <c r="BV197" s="882"/>
      <c r="BW197" s="882"/>
      <c r="BX197" s="882"/>
    </row>
    <row r="198" ht="15.75" customHeight="1">
      <c r="A198" s="886" t="s">
        <v>469</v>
      </c>
      <c r="B198" s="891" t="s">
        <v>4613</v>
      </c>
      <c r="C198" s="741"/>
      <c r="D198" s="219"/>
      <c r="E198" s="890"/>
      <c r="F198" s="890"/>
      <c r="G198" s="890"/>
      <c r="H198" s="222"/>
      <c r="I198" s="546"/>
      <c r="J198" s="890"/>
      <c r="K198" s="890"/>
      <c r="L198" s="890"/>
      <c r="M198" s="219"/>
      <c r="N198" s="890"/>
      <c r="O198" s="890"/>
      <c r="P198" s="890"/>
      <c r="Q198" s="890"/>
      <c r="R198" s="320"/>
      <c r="S198" s="890"/>
      <c r="T198" s="890"/>
      <c r="U198" s="890"/>
      <c r="V198" s="890"/>
      <c r="W198" s="890"/>
      <c r="X198" s="890"/>
      <c r="Y198" s="186"/>
      <c r="Z198" s="890"/>
      <c r="AA198" s="890"/>
      <c r="AB198" s="890"/>
      <c r="AC198" s="890"/>
      <c r="AD198" s="890"/>
      <c r="AE198" s="186"/>
      <c r="AF198" s="890"/>
      <c r="AG198" s="890"/>
      <c r="AH198" s="890"/>
      <c r="AI198" s="890"/>
      <c r="AJ198" s="890"/>
      <c r="AK198" s="890"/>
      <c r="AL198" s="890"/>
      <c r="AM198" s="890"/>
      <c r="AN198" s="890"/>
      <c r="AO198" s="546"/>
      <c r="AP198" s="890"/>
      <c r="AQ198" s="890"/>
      <c r="AR198" s="186"/>
      <c r="AS198" s="890"/>
      <c r="AT198" s="890"/>
      <c r="AU198" s="890"/>
      <c r="AV198" s="546"/>
      <c r="AW198" s="890"/>
      <c r="AX198" s="186"/>
      <c r="AY198" s="890"/>
      <c r="AZ198" s="890"/>
      <c r="BA198" s="890"/>
      <c r="BB198" s="890"/>
      <c r="BC198" s="890"/>
      <c r="BD198" s="890"/>
      <c r="BE198" s="186"/>
      <c r="BF198" s="890"/>
      <c r="BG198" s="890"/>
      <c r="BH198" s="890"/>
      <c r="BI198" s="890"/>
      <c r="BJ198" s="890"/>
      <c r="BK198" s="890"/>
      <c r="BL198" s="186"/>
      <c r="BM198" s="186"/>
      <c r="BN198" s="186"/>
      <c r="BO198" s="186"/>
      <c r="BP198" s="186"/>
      <c r="BQ198" s="186"/>
      <c r="BR198" s="186"/>
      <c r="BS198" s="186"/>
      <c r="BT198" s="186"/>
      <c r="BU198" s="186"/>
      <c r="BV198" s="186"/>
      <c r="BW198" s="186"/>
      <c r="BX198" s="186"/>
    </row>
    <row r="199" ht="15.75" customHeight="1">
      <c r="A199" s="883"/>
      <c r="B199" s="884" t="s">
        <v>4614</v>
      </c>
      <c r="C199" s="741" t="s">
        <v>4355</v>
      </c>
      <c r="D199" s="880"/>
      <c r="E199" s="890"/>
      <c r="F199" s="890"/>
      <c r="G199" s="890"/>
      <c r="H199" s="222"/>
      <c r="I199" s="546"/>
      <c r="J199" s="890"/>
      <c r="K199" s="890"/>
      <c r="L199" s="890"/>
      <c r="M199" s="880"/>
      <c r="N199" s="890"/>
      <c r="O199" s="890"/>
      <c r="P199" s="890"/>
      <c r="Q199" s="890"/>
      <c r="R199" s="320"/>
      <c r="S199" s="890"/>
      <c r="T199" s="890"/>
      <c r="U199" s="890"/>
      <c r="V199" s="890"/>
      <c r="W199" s="890"/>
      <c r="X199" s="890"/>
      <c r="Y199" s="882"/>
      <c r="Z199" s="890"/>
      <c r="AA199" s="890"/>
      <c r="AB199" s="890"/>
      <c r="AC199" s="890"/>
      <c r="AD199" s="890"/>
      <c r="AE199" s="882"/>
      <c r="AF199" s="890"/>
      <c r="AG199" s="890"/>
      <c r="AH199" s="890"/>
      <c r="AI199" s="890"/>
      <c r="AJ199" s="890"/>
      <c r="AK199" s="890"/>
      <c r="AL199" s="890"/>
      <c r="AM199" s="890"/>
      <c r="AN199" s="890"/>
      <c r="AO199" s="546"/>
      <c r="AP199" s="890"/>
      <c r="AQ199" s="890"/>
      <c r="AR199" s="882"/>
      <c r="AS199" s="890"/>
      <c r="AT199" s="890"/>
      <c r="AU199" s="890"/>
      <c r="AV199" s="546"/>
      <c r="AW199" s="890"/>
      <c r="AX199" s="882"/>
      <c r="AY199" s="890"/>
      <c r="AZ199" s="890"/>
      <c r="BA199" s="890"/>
      <c r="BB199" s="890"/>
      <c r="BC199" s="890"/>
      <c r="BD199" s="890"/>
      <c r="BE199" s="882"/>
      <c r="BF199" s="890"/>
      <c r="BG199" s="890"/>
      <c r="BH199" s="890"/>
      <c r="BI199" s="890"/>
      <c r="BJ199" s="890"/>
      <c r="BK199" s="890"/>
      <c r="BL199" s="882"/>
      <c r="BM199" s="882"/>
      <c r="BN199" s="882"/>
      <c r="BO199" s="882"/>
      <c r="BP199" s="882"/>
      <c r="BQ199" s="882"/>
      <c r="BR199" s="882"/>
      <c r="BS199" s="882"/>
      <c r="BT199" s="882"/>
      <c r="BU199" s="882"/>
      <c r="BV199" s="882"/>
      <c r="BW199" s="882"/>
      <c r="BX199" s="882"/>
    </row>
    <row r="200" ht="15.75" customHeight="1">
      <c r="A200" s="893"/>
      <c r="B200" s="894" t="s">
        <v>4616</v>
      </c>
      <c r="C200" s="741" t="s">
        <v>4617</v>
      </c>
      <c r="D200" s="443" t="s">
        <v>4619</v>
      </c>
      <c r="E200" s="890" t="s">
        <v>4620</v>
      </c>
      <c r="F200" s="890"/>
      <c r="G200" s="890"/>
      <c r="H200" s="222"/>
      <c r="I200" s="562" t="s">
        <v>4621</v>
      </c>
      <c r="J200" s="890"/>
      <c r="K200" s="890"/>
      <c r="L200" s="890"/>
      <c r="M200" s="219"/>
      <c r="N200" s="890"/>
      <c r="O200" s="890"/>
      <c r="P200" s="890"/>
      <c r="Q200" s="890"/>
      <c r="R200" s="320"/>
      <c r="S200" s="890"/>
      <c r="T200" s="890"/>
      <c r="U200" s="890"/>
      <c r="V200" s="890"/>
      <c r="W200" s="890"/>
      <c r="X200" s="890"/>
      <c r="Y200" s="186"/>
      <c r="Z200" s="890"/>
      <c r="AA200" s="890" t="s">
        <v>4620</v>
      </c>
      <c r="AB200" s="890"/>
      <c r="AC200" s="890"/>
      <c r="AD200" s="890"/>
      <c r="AE200" s="188" t="s">
        <v>1840</v>
      </c>
      <c r="AF200" s="890"/>
      <c r="AG200" s="890" t="s">
        <v>3014</v>
      </c>
      <c r="AH200" s="890"/>
      <c r="AI200" s="890"/>
      <c r="AJ200" s="890"/>
      <c r="AK200" s="890"/>
      <c r="AL200" s="890"/>
      <c r="AM200" s="890"/>
      <c r="AN200" s="890"/>
      <c r="AO200" s="546"/>
      <c r="AP200" s="890"/>
      <c r="AQ200" s="890"/>
      <c r="AR200" s="186"/>
      <c r="AS200" s="890"/>
      <c r="AT200" s="890"/>
      <c r="AU200" s="890"/>
      <c r="AV200" s="546"/>
      <c r="AW200" s="890"/>
      <c r="AX200" s="186"/>
      <c r="AY200" s="890"/>
      <c r="AZ200" s="890"/>
      <c r="BA200" s="890"/>
      <c r="BB200" s="890"/>
      <c r="BC200" s="890"/>
      <c r="BD200" s="890"/>
      <c r="BE200" s="186"/>
      <c r="BF200" s="890"/>
      <c r="BG200" s="890"/>
      <c r="BH200" s="890"/>
      <c r="BI200" s="890"/>
      <c r="BJ200" s="890"/>
      <c r="BK200" s="890"/>
      <c r="BL200" s="186"/>
      <c r="BM200" s="186"/>
      <c r="BN200" s="186"/>
      <c r="BO200" s="186"/>
      <c r="BP200" s="186"/>
      <c r="BQ200" s="186"/>
      <c r="BR200" s="186"/>
      <c r="BS200" s="186"/>
      <c r="BT200" s="186"/>
      <c r="BU200" s="186"/>
      <c r="BV200" s="186"/>
      <c r="BW200" s="186"/>
      <c r="BX200" s="186"/>
    </row>
    <row r="201" ht="15.75" customHeight="1">
      <c r="A201" s="883"/>
      <c r="B201" s="884" t="s">
        <v>4623</v>
      </c>
      <c r="C201" s="741" t="s">
        <v>4466</v>
      </c>
      <c r="D201" s="888" t="s">
        <v>4625</v>
      </c>
      <c r="E201" s="516" t="s">
        <v>4627</v>
      </c>
      <c r="F201" s="890"/>
      <c r="G201" s="890" t="s">
        <v>4628</v>
      </c>
      <c r="H201" s="222"/>
      <c r="I201" s="546"/>
      <c r="J201" s="890"/>
      <c r="K201" s="890"/>
      <c r="L201" s="890"/>
      <c r="M201" s="880"/>
      <c r="N201" s="890"/>
      <c r="O201" s="890"/>
      <c r="P201" s="890"/>
      <c r="Q201" s="890"/>
      <c r="R201" s="320"/>
      <c r="S201" s="890"/>
      <c r="T201" s="890"/>
      <c r="U201" s="890"/>
      <c r="V201" s="890"/>
      <c r="W201" s="890" t="s">
        <v>4466</v>
      </c>
      <c r="X201" s="890"/>
      <c r="Y201" s="881" t="s">
        <v>4617</v>
      </c>
      <c r="Z201" s="890"/>
      <c r="AA201" s="890"/>
      <c r="AB201" s="890"/>
      <c r="AC201" s="890" t="s">
        <v>2825</v>
      </c>
      <c r="AD201" s="890"/>
      <c r="AE201" s="882"/>
      <c r="AF201" s="742" t="s">
        <v>4466</v>
      </c>
      <c r="AG201" s="890"/>
      <c r="AH201" s="890" t="s">
        <v>4629</v>
      </c>
      <c r="AI201" s="890"/>
      <c r="AJ201" s="890"/>
      <c r="AK201" s="890"/>
      <c r="AL201" s="890"/>
      <c r="AM201" s="890"/>
      <c r="AN201" s="890"/>
      <c r="AO201" s="546"/>
      <c r="AP201" s="890"/>
      <c r="AQ201" s="890"/>
      <c r="AR201" s="882"/>
      <c r="AS201" s="890"/>
      <c r="AT201" s="890"/>
      <c r="AU201" s="890"/>
      <c r="AV201" s="546"/>
      <c r="AW201" s="890"/>
      <c r="AX201" s="882"/>
      <c r="AY201" s="890"/>
      <c r="AZ201" s="890"/>
      <c r="BA201" s="890"/>
      <c r="BB201" s="890"/>
      <c r="BC201" s="890"/>
      <c r="BD201" s="890"/>
      <c r="BE201" s="882"/>
      <c r="BF201" s="890"/>
      <c r="BG201" s="890"/>
      <c r="BH201" s="890"/>
      <c r="BI201" s="890"/>
      <c r="BJ201" s="890"/>
      <c r="BK201" s="890"/>
      <c r="BL201" s="882"/>
      <c r="BM201" s="882"/>
      <c r="BN201" s="882"/>
      <c r="BO201" s="882"/>
      <c r="BP201" s="882"/>
      <c r="BQ201" s="882"/>
      <c r="BR201" s="882"/>
      <c r="BS201" s="882"/>
      <c r="BT201" s="882"/>
      <c r="BU201" s="882"/>
      <c r="BV201" s="882"/>
      <c r="BW201" s="882"/>
      <c r="BX201" s="882"/>
    </row>
    <row r="202" ht="15.75" customHeight="1">
      <c r="A202" s="878" t="s">
        <v>2544</v>
      </c>
      <c r="B202" s="907" t="s">
        <v>4630</v>
      </c>
      <c r="C202" s="741" t="s">
        <v>4632</v>
      </c>
      <c r="D202" s="219"/>
      <c r="E202" s="890"/>
      <c r="F202" s="890"/>
      <c r="G202" s="890"/>
      <c r="H202" s="132" t="s">
        <v>4634</v>
      </c>
      <c r="I202" s="546"/>
      <c r="J202" s="890"/>
      <c r="K202" s="890"/>
      <c r="L202" s="890"/>
      <c r="M202" s="219"/>
      <c r="N202" s="890"/>
      <c r="O202" s="890"/>
      <c r="P202" s="890"/>
      <c r="Q202" s="890"/>
      <c r="R202" s="320"/>
      <c r="S202" s="890"/>
      <c r="T202" s="890"/>
      <c r="U202" s="890"/>
      <c r="V202" s="890"/>
      <c r="W202" s="890"/>
      <c r="X202" s="890"/>
      <c r="Y202" s="186"/>
      <c r="Z202" s="890"/>
      <c r="AA202" s="890"/>
      <c r="AB202" s="890"/>
      <c r="AC202" s="890"/>
      <c r="AD202" s="890"/>
      <c r="AE202" s="186"/>
      <c r="AF202" s="890"/>
      <c r="AG202" s="890"/>
      <c r="AH202" s="890"/>
      <c r="AI202" s="890"/>
      <c r="AJ202" s="890"/>
      <c r="AK202" s="890"/>
      <c r="AL202" s="890"/>
      <c r="AM202" s="890"/>
      <c r="AN202" s="890"/>
      <c r="AO202" s="546"/>
      <c r="AP202" s="890"/>
      <c r="AQ202" s="890"/>
      <c r="AR202" s="186"/>
      <c r="AS202" s="890"/>
      <c r="AT202" s="890"/>
      <c r="AU202" s="890"/>
      <c r="AV202" s="546"/>
      <c r="AW202" s="890"/>
      <c r="AX202" s="186"/>
      <c r="AY202" s="890"/>
      <c r="AZ202" s="890"/>
      <c r="BA202" s="890"/>
      <c r="BB202" s="890"/>
      <c r="BC202" s="890"/>
      <c r="BD202" s="890"/>
      <c r="BE202" s="186"/>
      <c r="BF202" s="890"/>
      <c r="BG202" s="890"/>
      <c r="BH202" s="890"/>
      <c r="BI202" s="890"/>
      <c r="BJ202" s="890"/>
      <c r="BK202" s="890"/>
      <c r="BL202" s="186"/>
      <c r="BM202" s="186"/>
      <c r="BN202" s="186"/>
      <c r="BO202" s="186"/>
      <c r="BP202" s="186"/>
      <c r="BQ202" s="186"/>
      <c r="BR202" s="186"/>
      <c r="BS202" s="186"/>
      <c r="BT202" s="186"/>
      <c r="BU202" s="186"/>
      <c r="BV202" s="186"/>
      <c r="BW202" s="186"/>
      <c r="BX202" s="186"/>
    </row>
    <row r="203" ht="15.75" customHeight="1">
      <c r="A203" s="883"/>
      <c r="B203" s="884" t="s">
        <v>4636</v>
      </c>
      <c r="C203" s="741" t="s">
        <v>4637</v>
      </c>
      <c r="D203" s="909" t="s">
        <v>1596</v>
      </c>
      <c r="E203" s="890" t="s">
        <v>2004</v>
      </c>
      <c r="F203" s="890"/>
      <c r="G203" s="890"/>
      <c r="H203" s="132" t="s">
        <v>4638</v>
      </c>
      <c r="I203" s="546"/>
      <c r="J203" s="890"/>
      <c r="K203" s="890"/>
      <c r="L203" s="890" t="s">
        <v>4639</v>
      </c>
      <c r="M203" s="910"/>
      <c r="N203" s="890" t="s">
        <v>4641</v>
      </c>
      <c r="O203" s="890"/>
      <c r="P203" s="890" t="s">
        <v>4642</v>
      </c>
      <c r="Q203" s="890"/>
      <c r="R203" s="320"/>
      <c r="S203" s="890"/>
      <c r="T203" s="890"/>
      <c r="U203" s="890"/>
      <c r="V203" s="890"/>
      <c r="W203" s="890" t="s">
        <v>4643</v>
      </c>
      <c r="X203" s="890" t="s">
        <v>4644</v>
      </c>
      <c r="Y203" s="882"/>
      <c r="Z203" s="890"/>
      <c r="AA203" s="890"/>
      <c r="AB203" s="890"/>
      <c r="AC203" s="890"/>
      <c r="AD203" s="890"/>
      <c r="AE203" s="882"/>
      <c r="AF203" s="890"/>
      <c r="AG203" s="890"/>
      <c r="AH203" s="890"/>
      <c r="AI203" s="890"/>
      <c r="AJ203" s="890"/>
      <c r="AK203" s="890"/>
      <c r="AL203" s="890"/>
      <c r="AM203" s="890"/>
      <c r="AN203" s="890"/>
      <c r="AO203" s="546"/>
      <c r="AP203" s="890"/>
      <c r="AQ203" s="890"/>
      <c r="AR203" s="882"/>
      <c r="AS203" s="890"/>
      <c r="AT203" s="890"/>
      <c r="AU203" s="890"/>
      <c r="AV203" s="546"/>
      <c r="AW203" s="890"/>
      <c r="AX203" s="882"/>
      <c r="AY203" s="890"/>
      <c r="AZ203" s="890"/>
      <c r="BA203" s="890"/>
      <c r="BB203" s="890"/>
      <c r="BC203" s="890"/>
      <c r="BD203" s="890"/>
      <c r="BE203" s="882"/>
      <c r="BF203" s="890"/>
      <c r="BG203" s="890"/>
      <c r="BH203" s="890"/>
      <c r="BI203" s="890"/>
      <c r="BJ203" s="890"/>
      <c r="BK203" s="890"/>
      <c r="BL203" s="882"/>
      <c r="BM203" s="882"/>
      <c r="BN203" s="882"/>
      <c r="BO203" s="882"/>
      <c r="BP203" s="882"/>
      <c r="BQ203" s="882"/>
      <c r="BR203" s="882"/>
      <c r="BS203" s="882"/>
      <c r="BT203" s="882"/>
      <c r="BU203" s="882"/>
      <c r="BV203" s="882"/>
      <c r="BW203" s="882"/>
      <c r="BX203" s="882"/>
    </row>
    <row r="204" ht="15.75" customHeight="1">
      <c r="A204" s="893"/>
      <c r="B204" s="894" t="s">
        <v>4645</v>
      </c>
      <c r="C204" s="741" t="s">
        <v>448</v>
      </c>
      <c r="D204" s="219"/>
      <c r="E204" s="890"/>
      <c r="F204" s="890"/>
      <c r="G204" s="890"/>
      <c r="H204" s="222"/>
      <c r="I204" s="546"/>
      <c r="J204" s="890" t="s">
        <v>448</v>
      </c>
      <c r="K204" s="890"/>
      <c r="L204" s="890"/>
      <c r="M204" s="219"/>
      <c r="N204" s="890"/>
      <c r="O204" s="890"/>
      <c r="P204" s="890"/>
      <c r="Q204" s="890"/>
      <c r="R204" s="320"/>
      <c r="S204" s="890"/>
      <c r="T204" s="890"/>
      <c r="U204" s="890"/>
      <c r="V204" s="890"/>
      <c r="W204" s="890"/>
      <c r="X204" s="890"/>
      <c r="Y204" s="186"/>
      <c r="Z204" s="890"/>
      <c r="AA204" s="890"/>
      <c r="AB204" s="890"/>
      <c r="AC204" s="890"/>
      <c r="AD204" s="890"/>
      <c r="AE204" s="186"/>
      <c r="AF204" s="890"/>
      <c r="AG204" s="890"/>
      <c r="AH204" s="890"/>
      <c r="AI204" s="890"/>
      <c r="AJ204" s="890"/>
      <c r="AK204" s="890"/>
      <c r="AL204" s="890"/>
      <c r="AM204" s="890"/>
      <c r="AN204" s="890"/>
      <c r="AO204" s="546"/>
      <c r="AP204" s="890"/>
      <c r="AQ204" s="890"/>
      <c r="AR204" s="186"/>
      <c r="AS204" s="890"/>
      <c r="AT204" s="890"/>
      <c r="AU204" s="890"/>
      <c r="AV204" s="546"/>
      <c r="AW204" s="890"/>
      <c r="AX204" s="186"/>
      <c r="AY204" s="890"/>
      <c r="AZ204" s="890"/>
      <c r="BA204" s="890"/>
      <c r="BB204" s="890"/>
      <c r="BC204" s="890"/>
      <c r="BD204" s="890"/>
      <c r="BE204" s="186"/>
      <c r="BF204" s="890"/>
      <c r="BG204" s="890"/>
      <c r="BH204" s="890"/>
      <c r="BI204" s="890"/>
      <c r="BJ204" s="890"/>
      <c r="BK204" s="890"/>
      <c r="BL204" s="186"/>
      <c r="BM204" s="186"/>
      <c r="BN204" s="186"/>
      <c r="BO204" s="186"/>
      <c r="BP204" s="186"/>
      <c r="BQ204" s="186"/>
      <c r="BR204" s="186"/>
      <c r="BS204" s="186"/>
      <c r="BT204" s="186"/>
      <c r="BU204" s="186"/>
      <c r="BV204" s="186"/>
      <c r="BW204" s="186"/>
      <c r="BX204" s="186"/>
    </row>
    <row r="205" ht="15.75" customHeight="1">
      <c r="A205" s="883"/>
      <c r="B205" s="884" t="s">
        <v>4647</v>
      </c>
      <c r="C205" s="741" t="s">
        <v>562</v>
      </c>
      <c r="D205" s="888" t="s">
        <v>4648</v>
      </c>
      <c r="E205" s="139" t="s">
        <v>4649</v>
      </c>
      <c r="F205" s="129" t="s">
        <v>562</v>
      </c>
      <c r="G205" s="139"/>
      <c r="H205" s="222"/>
      <c r="I205" s="562" t="s">
        <v>4650</v>
      </c>
      <c r="J205" s="139"/>
      <c r="K205" s="129" t="s">
        <v>4641</v>
      </c>
      <c r="L205" s="139"/>
      <c r="M205" s="880"/>
      <c r="N205" s="139"/>
      <c r="O205" s="139"/>
      <c r="P205" s="139"/>
      <c r="Q205" s="139"/>
      <c r="R205" s="133"/>
      <c r="S205" s="139"/>
      <c r="T205" s="139"/>
      <c r="U205" s="139"/>
      <c r="V205" s="139"/>
      <c r="W205" s="139"/>
      <c r="X205" s="139"/>
      <c r="Y205" s="882"/>
      <c r="Z205" s="139"/>
      <c r="AA205" s="139"/>
      <c r="AB205" s="139"/>
      <c r="AC205" s="139"/>
      <c r="AD205" s="139"/>
      <c r="AE205" s="882"/>
      <c r="AF205" s="139"/>
      <c r="AG205" s="139"/>
      <c r="AH205" s="139"/>
      <c r="AI205" s="139"/>
      <c r="AJ205" s="139"/>
      <c r="AK205" s="139"/>
      <c r="AL205" s="139"/>
      <c r="AM205" s="139"/>
      <c r="AN205" s="139"/>
      <c r="AO205" s="546"/>
      <c r="AP205" s="139"/>
      <c r="AQ205" s="139"/>
      <c r="AR205" s="882"/>
      <c r="AS205" s="139"/>
      <c r="AT205" s="139"/>
      <c r="AU205" s="139"/>
      <c r="AV205" s="546"/>
      <c r="AW205" s="139"/>
      <c r="AX205" s="882"/>
      <c r="AY205" s="139"/>
      <c r="AZ205" s="139"/>
      <c r="BA205" s="139"/>
      <c r="BB205" s="139"/>
      <c r="BC205" s="139"/>
      <c r="BD205" s="139"/>
      <c r="BE205" s="882"/>
      <c r="BF205" s="139"/>
      <c r="BG205" s="139"/>
      <c r="BH205" s="139"/>
      <c r="BI205" s="139"/>
      <c r="BJ205" s="139"/>
      <c r="BK205" s="139"/>
      <c r="BL205" s="882"/>
      <c r="BM205" s="882"/>
      <c r="BN205" s="882"/>
      <c r="BO205" s="882"/>
      <c r="BP205" s="882"/>
      <c r="BQ205" s="882"/>
      <c r="BR205" s="882"/>
      <c r="BS205" s="882"/>
      <c r="BT205" s="882"/>
      <c r="BU205" s="882"/>
      <c r="BV205" s="882"/>
      <c r="BW205" s="882"/>
      <c r="BX205" s="882"/>
    </row>
    <row r="206" ht="15.75" customHeight="1">
      <c r="A206" s="893"/>
      <c r="B206" s="894" t="s">
        <v>4651</v>
      </c>
      <c r="C206" s="741" t="s">
        <v>4043</v>
      </c>
      <c r="D206" s="292" t="s">
        <v>2203</v>
      </c>
      <c r="E206" s="174" t="s">
        <v>4653</v>
      </c>
      <c r="F206" s="516"/>
      <c r="G206" s="742" t="s">
        <v>4655</v>
      </c>
      <c r="H206" s="132" t="s">
        <v>4656</v>
      </c>
      <c r="I206" s="546"/>
      <c r="J206" s="516"/>
      <c r="K206" s="516"/>
      <c r="L206" s="516"/>
      <c r="M206" s="219"/>
      <c r="N206" s="742" t="s">
        <v>4043</v>
      </c>
      <c r="O206" s="516" t="s">
        <v>3252</v>
      </c>
      <c r="P206" s="516"/>
      <c r="Q206" s="516"/>
      <c r="R206" s="311"/>
      <c r="S206" s="516"/>
      <c r="T206" s="516"/>
      <c r="U206" s="516"/>
      <c r="V206" s="516"/>
      <c r="W206" s="516"/>
      <c r="X206" s="516"/>
      <c r="Y206" s="186"/>
      <c r="Z206" s="516"/>
      <c r="AA206" s="516"/>
      <c r="AB206" s="516"/>
      <c r="AC206" s="516"/>
      <c r="AD206" s="516"/>
      <c r="AE206" s="186"/>
      <c r="AF206" s="516"/>
      <c r="AG206" s="516"/>
      <c r="AH206" s="516"/>
      <c r="AI206" s="516"/>
      <c r="AJ206" s="516"/>
      <c r="AK206" s="516"/>
      <c r="AL206" s="516"/>
      <c r="AM206" s="516"/>
      <c r="AN206" s="516"/>
      <c r="AO206" s="546"/>
      <c r="AP206" s="516"/>
      <c r="AQ206" s="516"/>
      <c r="AR206" s="186"/>
      <c r="AS206" s="516"/>
      <c r="AT206" s="516"/>
      <c r="AU206" s="516"/>
      <c r="AV206" s="546"/>
      <c r="AW206" s="516"/>
      <c r="AX206" s="186"/>
      <c r="AY206" s="516"/>
      <c r="AZ206" s="516"/>
      <c r="BA206" s="516"/>
      <c r="BB206" s="516"/>
      <c r="BC206" s="516"/>
      <c r="BD206" s="516"/>
      <c r="BE206" s="186"/>
      <c r="BF206" s="516"/>
      <c r="BG206" s="516"/>
      <c r="BH206" s="516"/>
      <c r="BI206" s="516"/>
      <c r="BJ206" s="516"/>
      <c r="BK206" s="516"/>
      <c r="BL206" s="186"/>
      <c r="BM206" s="186"/>
      <c r="BN206" s="186"/>
      <c r="BO206" s="186"/>
      <c r="BP206" s="186"/>
      <c r="BQ206" s="186"/>
      <c r="BR206" s="186"/>
      <c r="BS206" s="186"/>
      <c r="BT206" s="186"/>
      <c r="BU206" s="186"/>
      <c r="BV206" s="186"/>
      <c r="BW206" s="186"/>
      <c r="BX206" s="186"/>
    </row>
    <row r="207" ht="15.75" customHeight="1">
      <c r="A207" s="886" t="s">
        <v>469</v>
      </c>
      <c r="B207" s="891" t="s">
        <v>4630</v>
      </c>
      <c r="C207" s="741" t="s">
        <v>4659</v>
      </c>
      <c r="D207" s="880"/>
      <c r="E207" s="516"/>
      <c r="F207" s="516"/>
      <c r="G207" s="516"/>
      <c r="H207" s="222"/>
      <c r="I207" s="546"/>
      <c r="J207" s="516"/>
      <c r="K207" s="516" t="s">
        <v>836</v>
      </c>
      <c r="L207" s="516"/>
      <c r="M207" s="880"/>
      <c r="N207" s="516"/>
      <c r="O207" s="516"/>
      <c r="P207" s="516"/>
      <c r="Q207" s="516"/>
      <c r="R207" s="311"/>
      <c r="S207" s="516"/>
      <c r="T207" s="516"/>
      <c r="U207" s="516"/>
      <c r="V207" s="516"/>
      <c r="W207" s="516"/>
      <c r="X207" s="516"/>
      <c r="Y207" s="882"/>
      <c r="Z207" s="516"/>
      <c r="AA207" s="742" t="s">
        <v>3641</v>
      </c>
      <c r="AB207" s="516"/>
      <c r="AC207" s="516"/>
      <c r="AD207" s="516"/>
      <c r="AE207" s="882"/>
      <c r="AF207" s="516"/>
      <c r="AG207" s="742" t="s">
        <v>4661</v>
      </c>
      <c r="AH207" s="516"/>
      <c r="AI207" s="516"/>
      <c r="AJ207" s="516"/>
      <c r="AK207" s="516"/>
      <c r="AL207" s="516"/>
      <c r="AM207" s="516"/>
      <c r="AN207" s="516"/>
      <c r="AO207" s="546"/>
      <c r="AP207" s="516"/>
      <c r="AQ207" s="516"/>
      <c r="AR207" s="882"/>
      <c r="AS207" s="516"/>
      <c r="AT207" s="516"/>
      <c r="AU207" s="516"/>
      <c r="AV207" s="546"/>
      <c r="AW207" s="516"/>
      <c r="AX207" s="882"/>
      <c r="AY207" s="516"/>
      <c r="AZ207" s="516"/>
      <c r="BA207" s="516"/>
      <c r="BB207" s="516"/>
      <c r="BC207" s="516"/>
      <c r="BD207" s="516"/>
      <c r="BE207" s="882"/>
      <c r="BF207" s="516"/>
      <c r="BG207" s="516"/>
      <c r="BH207" s="516"/>
      <c r="BI207" s="516"/>
      <c r="BJ207" s="516" t="s">
        <v>4662</v>
      </c>
      <c r="BK207" s="516"/>
      <c r="BL207" s="882"/>
      <c r="BM207" s="882"/>
      <c r="BN207" s="882"/>
      <c r="BO207" s="882"/>
      <c r="BP207" s="882"/>
      <c r="BQ207" s="882"/>
      <c r="BR207" s="882"/>
      <c r="BS207" s="882"/>
      <c r="BT207" s="882"/>
      <c r="BU207" s="882"/>
      <c r="BV207" s="882"/>
      <c r="BW207" s="882"/>
      <c r="BX207" s="882"/>
    </row>
    <row r="208" ht="15.75" customHeight="1">
      <c r="A208" s="883"/>
      <c r="B208" s="884" t="s">
        <v>4636</v>
      </c>
      <c r="C208" s="741" t="s">
        <v>4663</v>
      </c>
      <c r="D208" s="909" t="s">
        <v>4664</v>
      </c>
      <c r="E208" s="516" t="s">
        <v>959</v>
      </c>
      <c r="F208" s="516" t="s">
        <v>4665</v>
      </c>
      <c r="G208" s="516"/>
      <c r="H208" s="132" t="s">
        <v>4666</v>
      </c>
      <c r="I208" s="546"/>
      <c r="J208" s="516" t="s">
        <v>4667</v>
      </c>
      <c r="K208" s="516"/>
      <c r="L208" s="516"/>
      <c r="M208" s="182" t="s">
        <v>4668</v>
      </c>
      <c r="N208" s="516" t="s">
        <v>4665</v>
      </c>
      <c r="O208" s="516"/>
      <c r="P208" s="516" t="s">
        <v>4669</v>
      </c>
      <c r="Q208" s="516"/>
      <c r="R208" s="311" t="s">
        <v>4670</v>
      </c>
      <c r="S208" s="516"/>
      <c r="T208" s="516"/>
      <c r="U208" s="434" t="s">
        <v>4671</v>
      </c>
      <c r="V208" s="516"/>
      <c r="W208" s="516"/>
      <c r="X208" s="516" t="s">
        <v>4672</v>
      </c>
      <c r="Y208" s="186"/>
      <c r="Z208" s="516"/>
      <c r="AA208" s="516" t="s">
        <v>4673</v>
      </c>
      <c r="AB208" s="516"/>
      <c r="AC208" s="516"/>
      <c r="AD208" s="516"/>
      <c r="AE208" s="186"/>
      <c r="AF208" s="516"/>
      <c r="AG208" s="516"/>
      <c r="AH208" s="516"/>
      <c r="AI208" s="516"/>
      <c r="AJ208" s="516"/>
      <c r="AK208" s="516"/>
      <c r="AL208" s="516"/>
      <c r="AM208" s="516"/>
      <c r="AN208" s="516"/>
      <c r="AO208" s="546"/>
      <c r="AP208" s="516"/>
      <c r="AQ208" s="516"/>
      <c r="AR208" s="186"/>
      <c r="AS208" s="516"/>
      <c r="AT208" s="516"/>
      <c r="AU208" s="516"/>
      <c r="AV208" s="546"/>
      <c r="AW208" s="516"/>
      <c r="AX208" s="186"/>
      <c r="AY208" s="516"/>
      <c r="AZ208" s="516"/>
      <c r="BA208" s="516"/>
      <c r="BB208" s="516"/>
      <c r="BC208" s="516"/>
      <c r="BD208" s="516"/>
      <c r="BE208" s="186"/>
      <c r="BF208" s="516"/>
      <c r="BG208" s="516"/>
      <c r="BH208" s="516"/>
      <c r="BI208" s="516"/>
      <c r="BJ208" s="516"/>
      <c r="BK208" s="516"/>
      <c r="BL208" s="186"/>
      <c r="BM208" s="186"/>
      <c r="BN208" s="186"/>
      <c r="BO208" s="186"/>
      <c r="BP208" s="186"/>
      <c r="BQ208" s="186"/>
      <c r="BR208" s="186"/>
      <c r="BS208" s="186"/>
      <c r="BT208" s="186"/>
      <c r="BU208" s="186"/>
      <c r="BV208" s="186"/>
      <c r="BW208" s="186"/>
      <c r="BX208" s="186"/>
    </row>
    <row r="209" ht="15.75" customHeight="1">
      <c r="A209" s="893"/>
      <c r="B209" s="894" t="s">
        <v>4645</v>
      </c>
      <c r="C209" s="741" t="s">
        <v>4674</v>
      </c>
      <c r="D209" s="909"/>
      <c r="E209" s="890"/>
      <c r="F209" s="890"/>
      <c r="G209" s="890"/>
      <c r="H209" s="222"/>
      <c r="I209" s="546"/>
      <c r="J209" s="890" t="str">
        <f>HYPERLINK("https://youtu.be/hsc9lXHQpts","23.75")</f>
        <v>23.75</v>
      </c>
      <c r="K209" s="890"/>
      <c r="L209" s="890"/>
      <c r="M209" s="880"/>
      <c r="N209" s="890"/>
      <c r="O209" s="890"/>
      <c r="P209" s="890"/>
      <c r="Q209" s="890"/>
      <c r="R209" s="320"/>
      <c r="S209" s="890"/>
      <c r="T209" s="890"/>
      <c r="U209" s="890"/>
      <c r="V209" s="890"/>
      <c r="W209" s="890"/>
      <c r="X209" s="890"/>
      <c r="Y209" s="882"/>
      <c r="Z209" s="890"/>
      <c r="AA209" s="890" t="s">
        <v>4675</v>
      </c>
      <c r="AB209" s="890"/>
      <c r="AC209" s="890"/>
      <c r="AD209" s="890"/>
      <c r="AE209" s="882"/>
      <c r="AF209" s="890"/>
      <c r="AG209" s="890" t="s">
        <v>1924</v>
      </c>
      <c r="AH209" s="890"/>
      <c r="AI209" s="890"/>
      <c r="AJ209" s="890"/>
      <c r="AK209" s="890"/>
      <c r="AL209" s="890"/>
      <c r="AM209" s="890"/>
      <c r="AN209" s="890"/>
      <c r="AO209" s="546"/>
      <c r="AP209" s="890"/>
      <c r="AQ209" s="890"/>
      <c r="AR209" s="882"/>
      <c r="AS209" s="890"/>
      <c r="AT209" s="890"/>
      <c r="AU209" s="890"/>
      <c r="AV209" s="546"/>
      <c r="AW209" s="890"/>
      <c r="AX209" s="882"/>
      <c r="AY209" s="890"/>
      <c r="AZ209" s="890"/>
      <c r="BA209" s="890"/>
      <c r="BB209" s="890"/>
      <c r="BC209" s="890"/>
      <c r="BD209" s="890"/>
      <c r="BE209" s="882"/>
      <c r="BF209" s="890"/>
      <c r="BG209" s="890"/>
      <c r="BH209" s="890"/>
      <c r="BI209" s="890"/>
      <c r="BJ209" s="890"/>
      <c r="BK209" s="890"/>
      <c r="BL209" s="882"/>
      <c r="BM209" s="882"/>
      <c r="BN209" s="882"/>
      <c r="BO209" s="882"/>
      <c r="BP209" s="882"/>
      <c r="BQ209" s="882"/>
      <c r="BR209" s="882"/>
      <c r="BS209" s="882"/>
      <c r="BT209" s="882"/>
      <c r="BU209" s="882"/>
      <c r="BV209" s="882"/>
      <c r="BW209" s="882"/>
      <c r="BX209" s="882"/>
    </row>
    <row r="210" ht="15.75" customHeight="1">
      <c r="A210" s="883"/>
      <c r="B210" s="884" t="s">
        <v>4647</v>
      </c>
      <c r="C210" s="741" t="s">
        <v>4676</v>
      </c>
      <c r="D210" s="182" t="s">
        <v>4677</v>
      </c>
      <c r="E210" s="174" t="s">
        <v>1924</v>
      </c>
      <c r="F210" s="174" t="s">
        <v>4676</v>
      </c>
      <c r="G210" s="174"/>
      <c r="H210" s="222"/>
      <c r="I210" s="562" t="s">
        <v>4678</v>
      </c>
      <c r="J210" s="174" t="s">
        <v>4679</v>
      </c>
      <c r="K210" s="174" t="s">
        <v>4680</v>
      </c>
      <c r="L210" s="174" t="s">
        <v>4681</v>
      </c>
      <c r="M210" s="219"/>
      <c r="N210" s="174"/>
      <c r="O210" s="174" t="s">
        <v>4684</v>
      </c>
      <c r="P210" s="174" t="s">
        <v>4686</v>
      </c>
      <c r="Q210" s="174" t="s">
        <v>4687</v>
      </c>
      <c r="R210" s="129" t="s">
        <v>4688</v>
      </c>
      <c r="S210" s="174"/>
      <c r="T210" s="174"/>
      <c r="U210" s="129" t="s">
        <v>4690</v>
      </c>
      <c r="V210" s="174"/>
      <c r="W210" s="174"/>
      <c r="X210" s="174"/>
      <c r="Y210" s="186"/>
      <c r="Z210" s="174" t="s">
        <v>4692</v>
      </c>
      <c r="AA210" s="174" t="s">
        <v>4693</v>
      </c>
      <c r="AB210" s="174"/>
      <c r="AC210" s="174"/>
      <c r="AD210" s="174"/>
      <c r="AE210" s="186"/>
      <c r="AF210" s="174"/>
      <c r="AG210" s="174"/>
      <c r="AH210" s="174"/>
      <c r="AI210" s="174"/>
      <c r="AJ210" s="174"/>
      <c r="AK210" s="174"/>
      <c r="AL210" s="174"/>
      <c r="AM210" s="174"/>
      <c r="AN210" s="174"/>
      <c r="AO210" s="546"/>
      <c r="AP210" s="174" t="s">
        <v>4687</v>
      </c>
      <c r="AQ210" s="174"/>
      <c r="AR210" s="186"/>
      <c r="AS210" s="174"/>
      <c r="AT210" s="174"/>
      <c r="AU210" s="174"/>
      <c r="AV210" s="546"/>
      <c r="AW210" s="174"/>
      <c r="AX210" s="186"/>
      <c r="AY210" s="174"/>
      <c r="AZ210" s="174"/>
      <c r="BA210" s="174"/>
      <c r="BB210" s="174"/>
      <c r="BC210" s="174"/>
      <c r="BD210" s="174"/>
      <c r="BE210" s="186"/>
      <c r="BF210" s="174"/>
      <c r="BG210" s="174"/>
      <c r="BH210" s="174"/>
      <c r="BI210" s="174"/>
      <c r="BJ210" s="174"/>
      <c r="BK210" s="174"/>
      <c r="BL210" s="186"/>
      <c r="BM210" s="186"/>
      <c r="BN210" s="186"/>
      <c r="BO210" s="186"/>
      <c r="BP210" s="186"/>
      <c r="BQ210" s="186"/>
      <c r="BR210" s="186"/>
      <c r="BS210" s="186"/>
      <c r="BT210" s="186"/>
      <c r="BU210" s="186"/>
      <c r="BV210" s="186"/>
      <c r="BW210" s="186"/>
      <c r="BX210" s="186"/>
    </row>
    <row r="211" ht="15.75" customHeight="1">
      <c r="A211" s="913"/>
      <c r="B211" s="914" t="s">
        <v>4651</v>
      </c>
      <c r="C211" s="741" t="s">
        <v>3857</v>
      </c>
      <c r="D211" s="124" t="s">
        <v>4696</v>
      </c>
      <c r="E211" s="174" t="s">
        <v>4698</v>
      </c>
      <c r="F211" s="139"/>
      <c r="G211" s="129" t="s">
        <v>3857</v>
      </c>
      <c r="H211" s="222"/>
      <c r="I211" s="562" t="s">
        <v>1770</v>
      </c>
      <c r="J211" s="139"/>
      <c r="K211" s="139"/>
      <c r="L211" s="139"/>
      <c r="M211" s="880"/>
      <c r="N211" s="139"/>
      <c r="O211" s="139"/>
      <c r="P211" s="139"/>
      <c r="Q211" s="139"/>
      <c r="R211" s="133"/>
      <c r="S211" s="139"/>
      <c r="T211" s="139"/>
      <c r="U211" s="139"/>
      <c r="V211" s="139"/>
      <c r="W211" s="129" t="s">
        <v>1770</v>
      </c>
      <c r="X211" s="139"/>
      <c r="Y211" s="882"/>
      <c r="Z211" s="139"/>
      <c r="AA211" s="139"/>
      <c r="AB211" s="139"/>
      <c r="AC211" s="129" t="s">
        <v>3857</v>
      </c>
      <c r="AD211" s="139"/>
      <c r="AE211" s="882"/>
      <c r="AF211" s="139" t="s">
        <v>3857</v>
      </c>
      <c r="AG211" s="139"/>
      <c r="AH211" s="139"/>
      <c r="AI211" s="139"/>
      <c r="AJ211" s="139"/>
      <c r="AK211" s="139"/>
      <c r="AL211" s="139"/>
      <c r="AM211" s="139"/>
      <c r="AN211" s="139"/>
      <c r="AO211" s="546"/>
      <c r="AP211" s="139"/>
      <c r="AQ211" s="139"/>
      <c r="AR211" s="882"/>
      <c r="AS211" s="139"/>
      <c r="AT211" s="139"/>
      <c r="AU211" s="139"/>
      <c r="AV211" s="546"/>
      <c r="AW211" s="139"/>
      <c r="AX211" s="882"/>
      <c r="AY211" s="139"/>
      <c r="AZ211" s="139"/>
      <c r="BA211" s="139"/>
      <c r="BB211" s="139"/>
      <c r="BC211" s="139"/>
      <c r="BD211" s="139"/>
      <c r="BE211" s="882"/>
      <c r="BF211" s="139"/>
      <c r="BG211" s="139"/>
      <c r="BH211" s="139"/>
      <c r="BI211" s="139"/>
      <c r="BJ211" s="139"/>
      <c r="BK211" s="139"/>
      <c r="BL211" s="882"/>
      <c r="BM211" s="882"/>
      <c r="BN211" s="882"/>
      <c r="BO211" s="882"/>
      <c r="BP211" s="882"/>
      <c r="BQ211" s="882"/>
      <c r="BR211" s="882"/>
      <c r="BS211" s="882"/>
      <c r="BT211" s="882"/>
      <c r="BU211" s="882"/>
      <c r="BV211" s="882"/>
      <c r="BW211" s="882"/>
      <c r="BX211" s="882"/>
    </row>
    <row r="212" ht="15.75" customHeight="1">
      <c r="A212" s="886" t="s">
        <v>577</v>
      </c>
      <c r="B212" s="891" t="s">
        <v>187</v>
      </c>
      <c r="C212" s="741" t="s">
        <v>3862</v>
      </c>
      <c r="D212" s="182" t="s">
        <v>4318</v>
      </c>
      <c r="E212" s="139" t="s">
        <v>4703</v>
      </c>
      <c r="F212" s="129" t="s">
        <v>1292</v>
      </c>
      <c r="G212" s="139" t="s">
        <v>4704</v>
      </c>
      <c r="H212" s="132" t="s">
        <v>4705</v>
      </c>
      <c r="I212" s="546"/>
      <c r="J212" s="139"/>
      <c r="K212" s="139"/>
      <c r="L212" s="139"/>
      <c r="M212" s="219"/>
      <c r="N212" s="139" t="s">
        <v>4707</v>
      </c>
      <c r="O212" s="139"/>
      <c r="P212" s="139"/>
      <c r="Q212" s="139"/>
      <c r="R212" s="133"/>
      <c r="S212" s="139"/>
      <c r="T212" s="139"/>
      <c r="U212" s="139"/>
      <c r="V212" s="139"/>
      <c r="W212" s="139"/>
      <c r="X212" s="139"/>
      <c r="Y212" s="245" t="s">
        <v>4708</v>
      </c>
      <c r="Z212" s="139" t="s">
        <v>4710</v>
      </c>
      <c r="AA212" s="139"/>
      <c r="AB212" s="139"/>
      <c r="AC212" s="129" t="s">
        <v>4710</v>
      </c>
      <c r="AD212" s="139"/>
      <c r="AE212" s="186"/>
      <c r="AF212" s="129" t="s">
        <v>3862</v>
      </c>
      <c r="AG212" s="139"/>
      <c r="AH212" s="139"/>
      <c r="AI212" s="139"/>
      <c r="AJ212" s="139"/>
      <c r="AK212" s="139"/>
      <c r="AL212" s="139"/>
      <c r="AM212" s="139"/>
      <c r="AN212" s="139"/>
      <c r="AO212" s="546"/>
      <c r="AP212" s="139"/>
      <c r="AQ212" s="139"/>
      <c r="AR212" s="186"/>
      <c r="AS212" s="139"/>
      <c r="AT212" s="139"/>
      <c r="AU212" s="139"/>
      <c r="AV212" s="546"/>
      <c r="AW212" s="139"/>
      <c r="AX212" s="186"/>
      <c r="AY212" s="139"/>
      <c r="AZ212" s="139"/>
      <c r="BA212" s="139"/>
      <c r="BB212" s="139"/>
      <c r="BC212" s="139"/>
      <c r="BD212" s="139"/>
      <c r="BE212" s="186"/>
      <c r="BF212" s="139"/>
      <c r="BG212" s="139"/>
      <c r="BH212" s="139"/>
      <c r="BI212" s="139"/>
      <c r="BJ212" s="139"/>
      <c r="BK212" s="139"/>
      <c r="BL212" s="186"/>
      <c r="BM212" s="186"/>
      <c r="BN212" s="186"/>
      <c r="BO212" s="186"/>
      <c r="BP212" s="186"/>
      <c r="BQ212" s="186"/>
      <c r="BR212" s="186"/>
      <c r="BS212" s="186"/>
      <c r="BT212" s="186"/>
      <c r="BU212" s="186"/>
      <c r="BV212" s="186"/>
      <c r="BW212" s="186"/>
      <c r="BX212" s="186"/>
    </row>
    <row r="213" ht="15.75" customHeight="1">
      <c r="A213" s="886" t="s">
        <v>4713</v>
      </c>
      <c r="B213" s="891" t="s">
        <v>187</v>
      </c>
      <c r="C213" s="741" t="s">
        <v>4714</v>
      </c>
      <c r="D213" s="888" t="s">
        <v>4715</v>
      </c>
      <c r="E213" s="139"/>
      <c r="F213" s="129" t="s">
        <v>4714</v>
      </c>
      <c r="G213" s="139" t="s">
        <v>4717</v>
      </c>
      <c r="H213" s="222"/>
      <c r="I213" s="599"/>
      <c r="J213" s="139"/>
      <c r="K213" s="139" t="s">
        <v>4718</v>
      </c>
      <c r="L213" s="139"/>
      <c r="M213" s="880"/>
      <c r="N213" s="139"/>
      <c r="O213" s="139"/>
      <c r="P213" s="139"/>
      <c r="Q213" s="129" t="s">
        <v>4714</v>
      </c>
      <c r="R213" s="133"/>
      <c r="S213" s="139"/>
      <c r="T213" s="139"/>
      <c r="U213" s="139"/>
      <c r="V213" s="139"/>
      <c r="W213" s="139"/>
      <c r="X213" s="139"/>
      <c r="Y213" s="881" t="s">
        <v>4720</v>
      </c>
      <c r="Z213" s="139"/>
      <c r="AA213" s="139"/>
      <c r="AB213" s="139"/>
      <c r="AC213" s="139"/>
      <c r="AD213" s="139"/>
      <c r="AE213" s="882"/>
      <c r="AF213" s="139"/>
      <c r="AG213" s="139"/>
      <c r="AH213" s="139"/>
      <c r="AI213" s="139"/>
      <c r="AJ213" s="139"/>
      <c r="AK213" s="139"/>
      <c r="AL213" s="139"/>
      <c r="AM213" s="139"/>
      <c r="AN213" s="139"/>
      <c r="AO213" s="599"/>
      <c r="AP213" s="139"/>
      <c r="AQ213" s="139"/>
      <c r="AR213" s="882"/>
      <c r="AS213" s="139"/>
      <c r="AT213" s="139"/>
      <c r="AU213" s="139"/>
      <c r="AV213" s="599"/>
      <c r="AW213" s="139"/>
      <c r="AX213" s="882"/>
      <c r="AY213" s="139"/>
      <c r="AZ213" s="139"/>
      <c r="BA213" s="139"/>
      <c r="BB213" s="139"/>
      <c r="BC213" s="139"/>
      <c r="BD213" s="139"/>
      <c r="BE213" s="882"/>
      <c r="BF213" s="139"/>
      <c r="BG213" s="139"/>
      <c r="BH213" s="139"/>
      <c r="BI213" s="139"/>
      <c r="BJ213" s="139"/>
      <c r="BK213" s="139"/>
      <c r="BL213" s="882"/>
      <c r="BM213" s="882"/>
      <c r="BN213" s="882"/>
      <c r="BO213" s="882"/>
      <c r="BP213" s="882"/>
      <c r="BQ213" s="882"/>
      <c r="BR213" s="882"/>
      <c r="BS213" s="882"/>
      <c r="BT213" s="882"/>
      <c r="BU213" s="882"/>
      <c r="BV213" s="882"/>
      <c r="BW213" s="882"/>
      <c r="BX213" s="882"/>
    </row>
    <row r="214" ht="15.75" customHeight="1">
      <c r="A214" s="878" t="s">
        <v>3823</v>
      </c>
      <c r="B214" s="889" t="s">
        <v>4723</v>
      </c>
      <c r="C214" s="279" t="s">
        <v>2316</v>
      </c>
      <c r="D214" s="124" t="s">
        <v>2316</v>
      </c>
      <c r="E214" s="174" t="s">
        <v>4725</v>
      </c>
      <c r="F214" s="174" t="s">
        <v>4727</v>
      </c>
      <c r="G214" s="174" t="s">
        <v>4210</v>
      </c>
      <c r="H214" s="132" t="s">
        <v>4683</v>
      </c>
      <c r="I214" s="562" t="s">
        <v>4728</v>
      </c>
      <c r="J214" s="174"/>
      <c r="K214" s="174"/>
      <c r="L214" s="174"/>
      <c r="M214" s="880"/>
      <c r="N214" s="174"/>
      <c r="O214" s="174"/>
      <c r="P214" s="174"/>
      <c r="Q214" s="174"/>
      <c r="R214" s="133"/>
      <c r="S214" s="174"/>
      <c r="T214" s="174"/>
      <c r="U214" s="174"/>
      <c r="V214" s="174"/>
      <c r="W214" s="174"/>
      <c r="X214" s="174"/>
      <c r="Y214" s="882"/>
      <c r="Z214" s="174"/>
      <c r="AA214" s="174"/>
      <c r="AB214" s="174"/>
      <c r="AC214" s="174"/>
      <c r="AD214" s="174"/>
      <c r="AE214" s="882"/>
      <c r="AF214" s="174"/>
      <c r="AG214" s="174"/>
      <c r="AH214" s="174"/>
      <c r="AI214" s="174"/>
      <c r="AJ214" s="174"/>
      <c r="AK214" s="174"/>
      <c r="AL214" s="174"/>
      <c r="AM214" s="174"/>
      <c r="AN214" s="174"/>
      <c r="AO214" s="546"/>
      <c r="AP214" s="174"/>
      <c r="AQ214" s="174"/>
      <c r="AR214" s="882"/>
      <c r="AS214" s="174"/>
      <c r="AT214" s="174"/>
      <c r="AU214" s="174"/>
      <c r="AV214" s="546"/>
      <c r="AW214" s="174"/>
      <c r="AX214" s="882"/>
      <c r="AY214" s="174"/>
      <c r="AZ214" s="174"/>
      <c r="BA214" s="174"/>
      <c r="BB214" s="174"/>
      <c r="BC214" s="174"/>
      <c r="BD214" s="174"/>
      <c r="BE214" s="882"/>
      <c r="BF214" s="174"/>
      <c r="BG214" s="174"/>
      <c r="BH214" s="174"/>
      <c r="BI214" s="174"/>
      <c r="BJ214" s="174"/>
      <c r="BK214" s="174"/>
      <c r="BL214" s="882"/>
      <c r="BM214" s="882"/>
      <c r="BN214" s="882"/>
      <c r="BO214" s="882"/>
      <c r="BP214" s="882"/>
      <c r="BQ214" s="882"/>
      <c r="BR214" s="882"/>
      <c r="BS214" s="882"/>
      <c r="BT214" s="882"/>
      <c r="BU214" s="882"/>
      <c r="BV214" s="882"/>
      <c r="BW214" s="882"/>
      <c r="BX214" s="882"/>
    </row>
    <row r="215" ht="15.75" customHeight="1">
      <c r="A215" s="886" t="s">
        <v>577</v>
      </c>
      <c r="B215" s="891" t="s">
        <v>187</v>
      </c>
      <c r="C215" s="217" t="s">
        <v>4729</v>
      </c>
      <c r="D215" s="182" t="s">
        <v>4732</v>
      </c>
      <c r="E215" s="174" t="s">
        <v>4733</v>
      </c>
      <c r="F215" s="174" t="s">
        <v>4734</v>
      </c>
      <c r="G215" s="129" t="s">
        <v>4729</v>
      </c>
      <c r="H215" s="132" t="s">
        <v>4110</v>
      </c>
      <c r="I215" s="562" t="s">
        <v>4736</v>
      </c>
      <c r="J215" s="174"/>
      <c r="K215" s="174"/>
      <c r="L215" s="174"/>
      <c r="M215" s="219"/>
      <c r="N215" s="174" t="s">
        <v>878</v>
      </c>
      <c r="O215" s="174"/>
      <c r="P215" s="174"/>
      <c r="Q215" s="174"/>
      <c r="R215" s="133"/>
      <c r="S215" s="174"/>
      <c r="T215" s="174"/>
      <c r="U215" s="174"/>
      <c r="V215" s="174" t="s">
        <v>4737</v>
      </c>
      <c r="W215" s="174"/>
      <c r="X215" s="174"/>
      <c r="Y215" s="245" t="s">
        <v>3246</v>
      </c>
      <c r="Z215" s="174" t="s">
        <v>4739</v>
      </c>
      <c r="AA215" s="174"/>
      <c r="AB215" s="174"/>
      <c r="AC215" s="174"/>
      <c r="AD215" s="174"/>
      <c r="AE215" s="186"/>
      <c r="AF215" s="174"/>
      <c r="AG215" s="174"/>
      <c r="AH215" s="174"/>
      <c r="AI215" s="174" t="s">
        <v>3826</v>
      </c>
      <c r="AJ215" s="174"/>
      <c r="AK215" s="174"/>
      <c r="AL215" s="174"/>
      <c r="AM215" s="174"/>
      <c r="AN215" s="174"/>
      <c r="AO215" s="546"/>
      <c r="AP215" s="174"/>
      <c r="AQ215" s="174"/>
      <c r="AR215" s="186"/>
      <c r="AS215" s="174"/>
      <c r="AT215" s="174"/>
      <c r="AU215" s="174"/>
      <c r="AV215" s="546"/>
      <c r="AW215" s="174"/>
      <c r="AX215" s="186"/>
      <c r="AY215" s="174"/>
      <c r="AZ215" s="174"/>
      <c r="BA215" s="174"/>
      <c r="BB215" s="174"/>
      <c r="BC215" s="174"/>
      <c r="BD215" s="174"/>
      <c r="BE215" s="186"/>
      <c r="BF215" s="174"/>
      <c r="BG215" s="174"/>
      <c r="BH215" s="174"/>
      <c r="BI215" s="174"/>
      <c r="BJ215" s="174"/>
      <c r="BK215" s="174"/>
      <c r="BL215" s="186"/>
      <c r="BM215" s="186"/>
      <c r="BN215" s="186"/>
      <c r="BO215" s="186"/>
      <c r="BP215" s="186"/>
      <c r="BQ215" s="186"/>
      <c r="BR215" s="186"/>
      <c r="BS215" s="186"/>
      <c r="BT215" s="186"/>
      <c r="BU215" s="186"/>
      <c r="BV215" s="186"/>
      <c r="BW215" s="186"/>
      <c r="BX215" s="186"/>
    </row>
    <row r="216" ht="15.75" customHeight="1">
      <c r="A216" s="878" t="s">
        <v>1122</v>
      </c>
      <c r="B216" s="889" t="s">
        <v>4742</v>
      </c>
      <c r="C216" s="915" t="s">
        <v>1604</v>
      </c>
      <c r="D216" s="888" t="s">
        <v>4745</v>
      </c>
      <c r="E216" s="890"/>
      <c r="F216" s="890"/>
      <c r="G216" s="221" t="s">
        <v>4747</v>
      </c>
      <c r="H216" s="222"/>
      <c r="I216" s="562" t="s">
        <v>4748</v>
      </c>
      <c r="J216" s="890"/>
      <c r="K216" s="890"/>
      <c r="L216" s="890"/>
      <c r="M216" s="880"/>
      <c r="N216" s="890"/>
      <c r="O216" s="890"/>
      <c r="P216" s="890"/>
      <c r="Q216" s="890"/>
      <c r="R216" s="320"/>
      <c r="S216" s="890"/>
      <c r="T216" s="890"/>
      <c r="U216" s="890"/>
      <c r="V216" s="890"/>
      <c r="W216" s="890"/>
      <c r="X216" s="890"/>
      <c r="Y216" s="881" t="s">
        <v>4749</v>
      </c>
      <c r="Z216" s="890"/>
      <c r="AA216" s="890"/>
      <c r="AB216" s="890"/>
      <c r="AC216" s="890"/>
      <c r="AD216" s="890"/>
      <c r="AE216" s="882"/>
      <c r="AF216" s="890"/>
      <c r="AG216" s="890"/>
      <c r="AH216" s="890"/>
      <c r="AI216" s="890"/>
      <c r="AJ216" s="890"/>
      <c r="AK216" s="890"/>
      <c r="AL216" s="890"/>
      <c r="AM216" s="890"/>
      <c r="AN216" s="890"/>
      <c r="AO216" s="546"/>
      <c r="AP216" s="890"/>
      <c r="AQ216" s="890"/>
      <c r="AR216" s="882"/>
      <c r="AS216" s="890"/>
      <c r="AT216" s="890"/>
      <c r="AU216" s="890"/>
      <c r="AV216" s="546"/>
      <c r="AW216" s="890"/>
      <c r="AX216" s="882"/>
      <c r="AY216" s="890"/>
      <c r="AZ216" s="890"/>
      <c r="BA216" s="890"/>
      <c r="BB216" s="890"/>
      <c r="BC216" s="890"/>
      <c r="BD216" s="890"/>
      <c r="BE216" s="882"/>
      <c r="BF216" s="890"/>
      <c r="BG216" s="890"/>
      <c r="BH216" s="890"/>
      <c r="BI216" s="890"/>
      <c r="BJ216" s="890"/>
      <c r="BK216" s="890"/>
      <c r="BL216" s="882"/>
      <c r="BM216" s="882"/>
      <c r="BN216" s="882"/>
      <c r="BO216" s="882"/>
      <c r="BP216" s="882"/>
      <c r="BQ216" s="882"/>
      <c r="BR216" s="882"/>
      <c r="BS216" s="882"/>
      <c r="BT216" s="882"/>
      <c r="BU216" s="882"/>
      <c r="BV216" s="882"/>
      <c r="BW216" s="882"/>
      <c r="BX216" s="882"/>
    </row>
    <row r="217" ht="15.75" customHeight="1">
      <c r="A217" s="883"/>
      <c r="B217" s="917" t="s">
        <v>4753</v>
      </c>
      <c r="C217" s="741" t="s">
        <v>1870</v>
      </c>
      <c r="D217" s="219"/>
      <c r="E217" s="890"/>
      <c r="F217" s="890"/>
      <c r="G217" s="890" t="s">
        <v>1870</v>
      </c>
      <c r="H217" s="222"/>
      <c r="I217" s="546"/>
      <c r="J217" s="890"/>
      <c r="K217" s="890"/>
      <c r="L217" s="890"/>
      <c r="M217" s="880"/>
      <c r="N217" s="890"/>
      <c r="O217" s="890"/>
      <c r="P217" s="890"/>
      <c r="Q217" s="890"/>
      <c r="R217" s="320"/>
      <c r="S217" s="890"/>
      <c r="T217" s="890"/>
      <c r="U217" s="890"/>
      <c r="V217" s="890"/>
      <c r="W217" s="890"/>
      <c r="X217" s="890"/>
      <c r="Y217" s="882"/>
      <c r="Z217" s="890"/>
      <c r="AA217" s="890"/>
      <c r="AB217" s="890"/>
      <c r="AC217" s="890"/>
      <c r="AD217" s="890"/>
      <c r="AE217" s="918" t="s">
        <v>4754</v>
      </c>
      <c r="AF217" s="890"/>
      <c r="AG217" s="890"/>
      <c r="AH217" s="890"/>
      <c r="AI217" s="890"/>
      <c r="AJ217" s="890"/>
      <c r="AK217" s="890"/>
      <c r="AL217" s="890"/>
      <c r="AM217" s="890"/>
      <c r="AN217" s="890"/>
      <c r="AO217" s="546"/>
      <c r="AP217" s="890"/>
      <c r="AQ217" s="890"/>
      <c r="AR217" s="882"/>
      <c r="AS217" s="890"/>
      <c r="AT217" s="890"/>
      <c r="AU217" s="890"/>
      <c r="AV217" s="546"/>
      <c r="AW217" s="890"/>
      <c r="AX217" s="882"/>
      <c r="AY217" s="890"/>
      <c r="AZ217" s="890"/>
      <c r="BA217" s="890"/>
      <c r="BB217" s="890"/>
      <c r="BC217" s="890"/>
      <c r="BD217" s="890"/>
      <c r="BE217" s="882"/>
      <c r="BF217" s="890"/>
      <c r="BG217" s="890"/>
      <c r="BH217" s="890"/>
      <c r="BI217" s="890"/>
      <c r="BJ217" s="890"/>
      <c r="BK217" s="890"/>
      <c r="BL217" s="882"/>
      <c r="BM217" s="882"/>
      <c r="BN217" s="882"/>
      <c r="BO217" s="882"/>
      <c r="BP217" s="882"/>
      <c r="BQ217" s="882"/>
      <c r="BR217" s="882"/>
      <c r="BS217" s="882"/>
      <c r="BT217" s="882"/>
      <c r="BU217" s="882"/>
      <c r="BV217" s="882"/>
      <c r="BW217" s="882"/>
      <c r="BX217" s="882"/>
    </row>
    <row r="218" ht="15.75" customHeight="1">
      <c r="A218" s="878" t="s">
        <v>1598</v>
      </c>
      <c r="B218" s="889" t="s">
        <v>4756</v>
      </c>
      <c r="C218" s="741" t="s">
        <v>4757</v>
      </c>
      <c r="D218" s="888" t="s">
        <v>3839</v>
      </c>
      <c r="E218" s="890" t="s">
        <v>1083</v>
      </c>
      <c r="F218" s="890"/>
      <c r="G218" s="890"/>
      <c r="H218" s="132" t="s">
        <v>4758</v>
      </c>
      <c r="I218" s="562" t="s">
        <v>4759</v>
      </c>
      <c r="J218" s="890"/>
      <c r="K218" s="890"/>
      <c r="L218" s="890" t="s">
        <v>4276</v>
      </c>
      <c r="M218" s="888" t="s">
        <v>4760</v>
      </c>
      <c r="N218" s="890"/>
      <c r="O218" s="890"/>
      <c r="P218" s="890" t="s">
        <v>4762</v>
      </c>
      <c r="Q218" s="742" t="s">
        <v>293</v>
      </c>
      <c r="R218" s="320" t="s">
        <v>4763</v>
      </c>
      <c r="S218" s="890"/>
      <c r="T218" s="890"/>
      <c r="U218" s="890" t="s">
        <v>3839</v>
      </c>
      <c r="V218" s="890" t="s">
        <v>4763</v>
      </c>
      <c r="W218" s="890"/>
      <c r="X218" s="890"/>
      <c r="Y218" s="882"/>
      <c r="Z218" s="890"/>
      <c r="AA218" s="890"/>
      <c r="AB218" s="890"/>
      <c r="AC218" s="890"/>
      <c r="AD218" s="890"/>
      <c r="AE218" s="882"/>
      <c r="AF218" s="890"/>
      <c r="AG218" s="890"/>
      <c r="AH218" s="890"/>
      <c r="AI218" s="890"/>
      <c r="AJ218" s="890"/>
      <c r="AK218" s="890"/>
      <c r="AL218" s="890"/>
      <c r="AM218" s="890"/>
      <c r="AN218" s="890"/>
      <c r="AO218" s="546"/>
      <c r="AP218" s="890"/>
      <c r="AQ218" s="890"/>
      <c r="AR218" s="882"/>
      <c r="AS218" s="890"/>
      <c r="AT218" s="890"/>
      <c r="AU218" s="890"/>
      <c r="AV218" s="546"/>
      <c r="AW218" s="890"/>
      <c r="AX218" s="882"/>
      <c r="AY218" s="890"/>
      <c r="AZ218" s="890"/>
      <c r="BA218" s="890"/>
      <c r="BB218" s="890"/>
      <c r="BC218" s="890"/>
      <c r="BD218" s="890"/>
      <c r="BE218" s="882"/>
      <c r="BF218" s="890"/>
      <c r="BG218" s="890"/>
      <c r="BH218" s="890"/>
      <c r="BI218" s="890"/>
      <c r="BJ218" s="890"/>
      <c r="BK218" s="890"/>
      <c r="BL218" s="882"/>
      <c r="BM218" s="882"/>
      <c r="BN218" s="882"/>
      <c r="BO218" s="882"/>
      <c r="BP218" s="882"/>
      <c r="BQ218" s="882"/>
      <c r="BR218" s="882"/>
      <c r="BS218" s="882"/>
      <c r="BT218" s="882"/>
      <c r="BU218" s="882"/>
      <c r="BV218" s="882"/>
      <c r="BW218" s="882"/>
      <c r="BX218" s="882"/>
    </row>
    <row r="219" ht="15.75" customHeight="1">
      <c r="A219" s="883"/>
      <c r="B219" s="884" t="s">
        <v>4764</v>
      </c>
      <c r="C219" s="741" t="s">
        <v>1374</v>
      </c>
      <c r="D219" s="124" t="s">
        <v>4765</v>
      </c>
      <c r="E219" s="174" t="s">
        <v>4612</v>
      </c>
      <c r="F219" s="890"/>
      <c r="G219" s="890"/>
      <c r="H219" s="132" t="s">
        <v>4689</v>
      </c>
      <c r="I219" s="546"/>
      <c r="J219" s="890"/>
      <c r="K219" s="890"/>
      <c r="L219" s="890"/>
      <c r="M219" s="219"/>
      <c r="N219" s="742" t="s">
        <v>816</v>
      </c>
      <c r="O219" s="742" t="s">
        <v>3267</v>
      </c>
      <c r="P219" s="890"/>
      <c r="Q219" s="742" t="s">
        <v>4768</v>
      </c>
      <c r="R219" s="320" t="s">
        <v>4769</v>
      </c>
      <c r="S219" s="890"/>
      <c r="T219" s="890"/>
      <c r="U219" s="890" t="s">
        <v>4770</v>
      </c>
      <c r="V219" s="890"/>
      <c r="W219" s="890" t="s">
        <v>818</v>
      </c>
      <c r="X219" s="890"/>
      <c r="Y219" s="186"/>
      <c r="Z219" s="890"/>
      <c r="AA219" s="890"/>
      <c r="AB219" s="890"/>
      <c r="AC219" s="890"/>
      <c r="AD219" s="890"/>
      <c r="AE219" s="186"/>
      <c r="AF219" s="890"/>
      <c r="AG219" s="890"/>
      <c r="AH219" s="890"/>
      <c r="AI219" s="890"/>
      <c r="AJ219" s="890"/>
      <c r="AK219" s="890"/>
      <c r="AL219" s="890"/>
      <c r="AM219" s="890"/>
      <c r="AN219" s="890"/>
      <c r="AO219" s="546"/>
      <c r="AP219" s="890"/>
      <c r="AQ219" s="890"/>
      <c r="AR219" s="186"/>
      <c r="AS219" s="890"/>
      <c r="AT219" s="890"/>
      <c r="AU219" s="890"/>
      <c r="AV219" s="546"/>
      <c r="AW219" s="890"/>
      <c r="AX219" s="186"/>
      <c r="AY219" s="890"/>
      <c r="AZ219" s="890"/>
      <c r="BA219" s="890"/>
      <c r="BB219" s="890"/>
      <c r="BC219" s="890"/>
      <c r="BD219" s="890"/>
      <c r="BE219" s="186"/>
      <c r="BF219" s="890"/>
      <c r="BG219" s="890"/>
      <c r="BH219" s="890"/>
      <c r="BI219" s="890"/>
      <c r="BJ219" s="890"/>
      <c r="BK219" s="890"/>
      <c r="BL219" s="186"/>
      <c r="BM219" s="186"/>
      <c r="BN219" s="186"/>
      <c r="BO219" s="186"/>
      <c r="BP219" s="186"/>
      <c r="BQ219" s="186"/>
      <c r="BR219" s="186"/>
      <c r="BS219" s="186"/>
      <c r="BT219" s="186"/>
      <c r="BU219" s="186"/>
      <c r="BV219" s="186"/>
      <c r="BW219" s="186"/>
      <c r="BX219" s="186"/>
    </row>
    <row r="220" ht="15.75" customHeight="1">
      <c r="A220" s="878" t="s">
        <v>1681</v>
      </c>
      <c r="B220" s="889" t="s">
        <v>4771</v>
      </c>
      <c r="C220" s="741" t="s">
        <v>4772</v>
      </c>
      <c r="D220" s="124" t="s">
        <v>4773</v>
      </c>
      <c r="E220" s="524" t="s">
        <v>4775</v>
      </c>
      <c r="F220" s="890"/>
      <c r="G220" s="516" t="s">
        <v>4776</v>
      </c>
      <c r="H220" s="222"/>
      <c r="I220" s="562" t="s">
        <v>4777</v>
      </c>
      <c r="J220" s="890" t="s">
        <v>4772</v>
      </c>
      <c r="K220" s="890" t="s">
        <v>4779</v>
      </c>
      <c r="L220" s="890" t="s">
        <v>4780</v>
      </c>
      <c r="M220" s="880"/>
      <c r="N220" s="890"/>
      <c r="O220" s="890"/>
      <c r="P220" s="890"/>
      <c r="Q220" s="890"/>
      <c r="R220" s="320"/>
      <c r="S220" s="890"/>
      <c r="T220" s="890"/>
      <c r="U220" s="890"/>
      <c r="V220" s="890"/>
      <c r="W220" s="890"/>
      <c r="X220" s="890"/>
      <c r="Y220" s="882"/>
      <c r="Z220" s="890"/>
      <c r="AA220" s="890"/>
      <c r="AB220" s="890"/>
      <c r="AC220" s="890"/>
      <c r="AD220" s="890"/>
      <c r="AE220" s="882"/>
      <c r="AF220" s="890"/>
      <c r="AG220" s="890"/>
      <c r="AH220" s="890"/>
      <c r="AI220" s="890"/>
      <c r="AJ220" s="890"/>
      <c r="AK220" s="890"/>
      <c r="AL220" s="890"/>
      <c r="AM220" s="890"/>
      <c r="AN220" s="890"/>
      <c r="AO220" s="546"/>
      <c r="AP220" s="890"/>
      <c r="AQ220" s="890"/>
      <c r="AR220" s="882"/>
      <c r="AS220" s="890"/>
      <c r="AT220" s="890"/>
      <c r="AU220" s="890"/>
      <c r="AV220" s="546"/>
      <c r="AW220" s="890"/>
      <c r="AX220" s="882"/>
      <c r="AY220" s="890"/>
      <c r="AZ220" s="890"/>
      <c r="BA220" s="890"/>
      <c r="BB220" s="890"/>
      <c r="BC220" s="890"/>
      <c r="BD220" s="890"/>
      <c r="BE220" s="882"/>
      <c r="BF220" s="890"/>
      <c r="BG220" s="890"/>
      <c r="BH220" s="890"/>
      <c r="BI220" s="890"/>
      <c r="BJ220" s="890"/>
      <c r="BK220" s="516" t="s">
        <v>4781</v>
      </c>
      <c r="BL220" s="882"/>
      <c r="BM220" s="882"/>
      <c r="BN220" s="882"/>
      <c r="BO220" s="882"/>
      <c r="BP220" s="882"/>
      <c r="BQ220" s="882"/>
      <c r="BR220" s="882"/>
      <c r="BS220" s="882"/>
      <c r="BT220" s="882"/>
      <c r="BU220" s="882"/>
      <c r="BV220" s="882"/>
      <c r="BW220" s="882"/>
      <c r="BX220" s="882"/>
    </row>
    <row r="221" ht="15.75" customHeight="1">
      <c r="A221" s="878" t="s">
        <v>4411</v>
      </c>
      <c r="B221" s="889" t="s">
        <v>187</v>
      </c>
      <c r="C221" s="741" t="str">
        <f>HYPERLINK("https://www.youtube.com/watch?v=_HQgQjbTLjM","1:11.32")</f>
        <v>1:11.32</v>
      </c>
      <c r="D221" s="124" t="s">
        <v>4031</v>
      </c>
      <c r="E221" s="70" t="s">
        <v>4784</v>
      </c>
      <c r="F221" s="890"/>
      <c r="G221" s="516" t="s">
        <v>4785</v>
      </c>
      <c r="H221" s="132" t="s">
        <v>4694</v>
      </c>
      <c r="I221" s="562" t="s">
        <v>4787</v>
      </c>
      <c r="J221" s="890" t="s">
        <v>4788</v>
      </c>
      <c r="K221" s="890" t="s">
        <v>4787</v>
      </c>
      <c r="L221" s="890" t="s">
        <v>4790</v>
      </c>
      <c r="M221" s="219"/>
      <c r="N221" s="890" t="s">
        <v>4050</v>
      </c>
      <c r="O221" s="890" t="s">
        <v>3734</v>
      </c>
      <c r="P221" s="890"/>
      <c r="Q221" s="890"/>
      <c r="R221" s="320"/>
      <c r="S221" s="890"/>
      <c r="T221" s="890"/>
      <c r="U221" s="890"/>
      <c r="V221" s="890"/>
      <c r="W221" s="890"/>
      <c r="X221" s="890"/>
      <c r="Y221" s="186"/>
      <c r="Z221" s="890"/>
      <c r="AA221" s="890"/>
      <c r="AB221" s="890"/>
      <c r="AC221" s="890"/>
      <c r="AD221" s="890"/>
      <c r="AE221" s="186"/>
      <c r="AF221" s="890"/>
      <c r="AG221" s="890"/>
      <c r="AH221" s="890"/>
      <c r="AI221" s="890"/>
      <c r="AJ221" s="890"/>
      <c r="AK221" s="890"/>
      <c r="AL221" s="890"/>
      <c r="AM221" s="890"/>
      <c r="AN221" s="890"/>
      <c r="AO221" s="546"/>
      <c r="AP221" s="890"/>
      <c r="AQ221" s="890"/>
      <c r="AR221" s="186"/>
      <c r="AS221" s="890"/>
      <c r="AT221" s="890"/>
      <c r="AU221" s="890"/>
      <c r="AV221" s="546"/>
      <c r="AW221" s="890"/>
      <c r="AX221" s="186"/>
      <c r="AY221" s="890"/>
      <c r="AZ221" s="890"/>
      <c r="BA221" s="890"/>
      <c r="BB221" s="890"/>
      <c r="BC221" s="890"/>
      <c r="BD221" s="890"/>
      <c r="BE221" s="186"/>
      <c r="BF221" s="890"/>
      <c r="BG221" s="890"/>
      <c r="BH221" s="890"/>
      <c r="BI221" s="890"/>
      <c r="BJ221" s="890"/>
      <c r="BK221" s="890"/>
      <c r="BL221" s="186"/>
      <c r="BM221" s="186"/>
      <c r="BN221" s="186"/>
      <c r="BO221" s="186"/>
      <c r="BP221" s="186"/>
      <c r="BQ221" s="186"/>
      <c r="BR221" s="186"/>
      <c r="BS221" s="186"/>
      <c r="BT221" s="186"/>
      <c r="BU221" s="186"/>
      <c r="BV221" s="186"/>
      <c r="BW221" s="186"/>
      <c r="BX221" s="186"/>
    </row>
    <row r="222" ht="15.75" customHeight="1">
      <c r="A222" s="886" t="s">
        <v>1740</v>
      </c>
      <c r="B222" s="891" t="s">
        <v>187</v>
      </c>
      <c r="C222" s="217" t="s">
        <v>4793</v>
      </c>
      <c r="D222" s="124" t="s">
        <v>2653</v>
      </c>
      <c r="E222" s="129" t="s">
        <v>4794</v>
      </c>
      <c r="F222" s="890"/>
      <c r="G222" s="516" t="s">
        <v>4795</v>
      </c>
      <c r="H222" s="222"/>
      <c r="I222" s="562" t="s">
        <v>4796</v>
      </c>
      <c r="J222" s="890"/>
      <c r="K222" s="890" t="s">
        <v>910</v>
      </c>
      <c r="L222" s="890"/>
      <c r="M222" s="880"/>
      <c r="N222" s="890"/>
      <c r="O222" s="890"/>
      <c r="P222" s="890"/>
      <c r="Q222" s="890"/>
      <c r="R222" s="320"/>
      <c r="S222" s="890"/>
      <c r="T222" s="890"/>
      <c r="U222" s="890"/>
      <c r="V222" s="890"/>
      <c r="W222" s="890"/>
      <c r="X222" s="890"/>
      <c r="Y222" s="882"/>
      <c r="Z222" s="890"/>
      <c r="AA222" s="890"/>
      <c r="AB222" s="890"/>
      <c r="AC222" s="890"/>
      <c r="AD222" s="890"/>
      <c r="AE222" s="882"/>
      <c r="AF222" s="890"/>
      <c r="AG222" s="890"/>
      <c r="AH222" s="890"/>
      <c r="AI222" s="890"/>
      <c r="AJ222" s="890"/>
      <c r="AK222" s="890"/>
      <c r="AL222" s="890"/>
      <c r="AM222" s="890"/>
      <c r="AN222" s="890"/>
      <c r="AO222" s="546"/>
      <c r="AP222" s="890"/>
      <c r="AQ222" s="890"/>
      <c r="AR222" s="882"/>
      <c r="AS222" s="890"/>
      <c r="AT222" s="890"/>
      <c r="AU222" s="890"/>
      <c r="AV222" s="546"/>
      <c r="AW222" s="890"/>
      <c r="AX222" s="882"/>
      <c r="AY222" s="890"/>
      <c r="AZ222" s="890"/>
      <c r="BA222" s="890"/>
      <c r="BB222" s="890"/>
      <c r="BC222" s="890"/>
      <c r="BD222" s="890"/>
      <c r="BE222" s="882"/>
      <c r="BF222" s="890"/>
      <c r="BG222" s="890"/>
      <c r="BH222" s="890"/>
      <c r="BI222" s="890"/>
      <c r="BJ222" s="890"/>
      <c r="BK222" s="890"/>
      <c r="BL222" s="882"/>
      <c r="BM222" s="882"/>
      <c r="BN222" s="882"/>
      <c r="BO222" s="882"/>
      <c r="BP222" s="882"/>
      <c r="BQ222" s="882"/>
      <c r="BR222" s="882"/>
      <c r="BS222" s="882"/>
      <c r="BT222" s="882"/>
      <c r="BU222" s="882"/>
      <c r="BV222" s="882"/>
      <c r="BW222" s="882"/>
      <c r="BX222" s="882"/>
    </row>
    <row r="223" ht="15.75" customHeight="1">
      <c r="A223" s="886" t="s">
        <v>4797</v>
      </c>
      <c r="B223" s="891" t="s">
        <v>4798</v>
      </c>
      <c r="C223" s="741" t="s">
        <v>142</v>
      </c>
      <c r="D223" s="569"/>
      <c r="E223" s="890"/>
      <c r="F223" s="890"/>
      <c r="G223" s="890"/>
      <c r="H223" s="222"/>
      <c r="I223" s="546"/>
      <c r="J223" s="890"/>
      <c r="K223" s="890" t="s">
        <v>142</v>
      </c>
      <c r="L223" s="890"/>
      <c r="M223" s="219"/>
      <c r="N223" s="890"/>
      <c r="O223" s="890"/>
      <c r="P223" s="890"/>
      <c r="Q223" s="890"/>
      <c r="R223" s="320"/>
      <c r="S223" s="890"/>
      <c r="T223" s="890"/>
      <c r="U223" s="890"/>
      <c r="V223" s="890"/>
      <c r="W223" s="890"/>
      <c r="X223" s="890"/>
      <c r="Y223" s="186"/>
      <c r="Z223" s="890"/>
      <c r="AA223" s="890"/>
      <c r="AB223" s="890"/>
      <c r="AC223" s="890"/>
      <c r="AD223" s="890"/>
      <c r="AE223" s="186"/>
      <c r="AF223" s="890"/>
      <c r="AG223" s="890"/>
      <c r="AH223" s="890"/>
      <c r="AI223" s="890"/>
      <c r="AJ223" s="890"/>
      <c r="AK223" s="890"/>
      <c r="AL223" s="890"/>
      <c r="AM223" s="890"/>
      <c r="AN223" s="890"/>
      <c r="AO223" s="546"/>
      <c r="AP223" s="890"/>
      <c r="AQ223" s="890"/>
      <c r="AR223" s="186"/>
      <c r="AS223" s="890"/>
      <c r="AT223" s="890"/>
      <c r="AU223" s="890"/>
      <c r="AV223" s="546"/>
      <c r="AW223" s="890"/>
      <c r="AX223" s="186"/>
      <c r="AY223" s="890"/>
      <c r="AZ223" s="890"/>
      <c r="BA223" s="890"/>
      <c r="BB223" s="890"/>
      <c r="BC223" s="890"/>
      <c r="BD223" s="890"/>
      <c r="BE223" s="186"/>
      <c r="BF223" s="890"/>
      <c r="BG223" s="890"/>
      <c r="BH223" s="890"/>
      <c r="BI223" s="890"/>
      <c r="BJ223" s="890"/>
      <c r="BK223" s="890"/>
      <c r="BL223" s="186"/>
      <c r="BM223" s="186"/>
      <c r="BN223" s="186"/>
      <c r="BO223" s="186"/>
      <c r="BP223" s="186"/>
      <c r="BQ223" s="186"/>
      <c r="BR223" s="186"/>
      <c r="BS223" s="186"/>
      <c r="BT223" s="186"/>
      <c r="BU223" s="186"/>
      <c r="BV223" s="186"/>
      <c r="BW223" s="186"/>
      <c r="BX223" s="186"/>
    </row>
    <row r="224" ht="15.75" customHeight="1">
      <c r="A224" s="899"/>
      <c r="B224" s="900" t="s">
        <v>4800</v>
      </c>
      <c r="C224" s="217" t="s">
        <v>4801</v>
      </c>
      <c r="D224" s="124" t="s">
        <v>4802</v>
      </c>
      <c r="E224" s="890"/>
      <c r="F224" s="890"/>
      <c r="G224" s="129" t="s">
        <v>4801</v>
      </c>
      <c r="H224" s="222"/>
      <c r="I224" s="562" t="s">
        <v>4803</v>
      </c>
      <c r="J224" s="890"/>
      <c r="K224" s="890" t="s">
        <v>4804</v>
      </c>
      <c r="L224" s="890"/>
      <c r="M224" s="880"/>
      <c r="N224" s="890"/>
      <c r="O224" s="890"/>
      <c r="P224" s="890"/>
      <c r="Q224" s="890"/>
      <c r="R224" s="320"/>
      <c r="S224" s="890"/>
      <c r="T224" s="890"/>
      <c r="U224" s="890"/>
      <c r="V224" s="890"/>
      <c r="W224" s="890"/>
      <c r="X224" s="890"/>
      <c r="Y224" s="882"/>
      <c r="Z224" s="890"/>
      <c r="AA224" s="890"/>
      <c r="AB224" s="890"/>
      <c r="AC224" s="890"/>
      <c r="AD224" s="890"/>
      <c r="AE224" s="882"/>
      <c r="AF224" s="890"/>
      <c r="AG224" s="890"/>
      <c r="AH224" s="890"/>
      <c r="AI224" s="890"/>
      <c r="AJ224" s="890"/>
      <c r="AK224" s="890"/>
      <c r="AL224" s="890"/>
      <c r="AM224" s="890"/>
      <c r="AN224" s="890"/>
      <c r="AO224" s="546"/>
      <c r="AP224" s="890"/>
      <c r="AQ224" s="890"/>
      <c r="AR224" s="882"/>
      <c r="AS224" s="890"/>
      <c r="AT224" s="890"/>
      <c r="AU224" s="890"/>
      <c r="AV224" s="546"/>
      <c r="AW224" s="890"/>
      <c r="AX224" s="882"/>
      <c r="AY224" s="890"/>
      <c r="AZ224" s="890"/>
      <c r="BA224" s="890"/>
      <c r="BB224" s="890"/>
      <c r="BC224" s="890"/>
      <c r="BD224" s="890"/>
      <c r="BE224" s="882"/>
      <c r="BF224" s="890"/>
      <c r="BG224" s="890"/>
      <c r="BH224" s="890"/>
      <c r="BI224" s="890"/>
      <c r="BJ224" s="890"/>
      <c r="BK224" s="890"/>
      <c r="BL224" s="882"/>
      <c r="BM224" s="882"/>
      <c r="BN224" s="882"/>
      <c r="BO224" s="882"/>
      <c r="BP224" s="882"/>
      <c r="BQ224" s="882"/>
      <c r="BR224" s="882"/>
      <c r="BS224" s="882"/>
      <c r="BT224" s="882"/>
      <c r="BU224" s="882"/>
      <c r="BV224" s="882"/>
      <c r="BW224" s="882"/>
      <c r="BX224" s="882"/>
    </row>
    <row r="225" ht="15.75" customHeight="1">
      <c r="A225" s="878" t="s">
        <v>3558</v>
      </c>
      <c r="B225" s="889" t="s">
        <v>187</v>
      </c>
      <c r="C225" s="217" t="s">
        <v>589</v>
      </c>
      <c r="D225" s="124" t="s">
        <v>4118</v>
      </c>
      <c r="E225" s="174" t="s">
        <v>421</v>
      </c>
      <c r="F225" s="174" t="s">
        <v>866</v>
      </c>
      <c r="G225" s="129" t="s">
        <v>589</v>
      </c>
      <c r="H225" s="222"/>
      <c r="I225" s="126" t="s">
        <v>2084</v>
      </c>
      <c r="J225" s="174"/>
      <c r="K225" s="174" t="s">
        <v>2148</v>
      </c>
      <c r="L225" s="174" t="s">
        <v>4006</v>
      </c>
      <c r="M225" s="219"/>
      <c r="N225" s="174" t="s">
        <v>4812</v>
      </c>
      <c r="O225" s="174"/>
      <c r="P225" s="174" t="str">
        <f>HYPERLINK("https://youtu.be/YAmVWTPAJZs","42.49")</f>
        <v>42.49</v>
      </c>
      <c r="Q225" s="174"/>
      <c r="R225" s="133"/>
      <c r="S225" s="174"/>
      <c r="T225" s="174"/>
      <c r="U225" s="174"/>
      <c r="V225" s="174"/>
      <c r="W225" s="174"/>
      <c r="X225" s="174"/>
      <c r="Y225" s="186"/>
      <c r="Z225" s="174"/>
      <c r="AA225" s="174"/>
      <c r="AB225" s="174"/>
      <c r="AC225" s="174"/>
      <c r="AD225" s="174"/>
      <c r="AE225" s="186"/>
      <c r="AF225" s="174"/>
      <c r="AG225" s="174"/>
      <c r="AH225" s="174"/>
      <c r="AI225" s="174"/>
      <c r="AJ225" s="174"/>
      <c r="AK225" s="174"/>
      <c r="AL225" s="174"/>
      <c r="AM225" s="174"/>
      <c r="AN225" s="129" t="s">
        <v>583</v>
      </c>
      <c r="AO225" s="546"/>
      <c r="AP225" s="174"/>
      <c r="AQ225" s="174" t="s">
        <v>4409</v>
      </c>
      <c r="AR225" s="186"/>
      <c r="AS225" s="174"/>
      <c r="AT225" s="174"/>
      <c r="AU225" s="174"/>
      <c r="AV225" s="546"/>
      <c r="AW225" s="174"/>
      <c r="AX225" s="186"/>
      <c r="AY225" s="174"/>
      <c r="AZ225" s="174"/>
      <c r="BA225" s="174"/>
      <c r="BB225" s="174"/>
      <c r="BC225" s="174"/>
      <c r="BD225" s="174"/>
      <c r="BE225" s="186"/>
      <c r="BF225" s="174"/>
      <c r="BG225" s="174"/>
      <c r="BH225" s="174"/>
      <c r="BI225" s="174"/>
      <c r="BJ225" s="174"/>
      <c r="BK225" s="174"/>
      <c r="BL225" s="186"/>
      <c r="BM225" s="186"/>
      <c r="BN225" s="186"/>
      <c r="BO225" s="186"/>
      <c r="BP225" s="186"/>
      <c r="BQ225" s="186"/>
      <c r="BR225" s="186"/>
      <c r="BS225" s="186"/>
      <c r="BT225" s="186"/>
      <c r="BU225" s="186"/>
      <c r="BV225" s="186"/>
      <c r="BW225" s="186"/>
      <c r="BX225" s="186"/>
    </row>
    <row r="226" ht="15.75" customHeight="1">
      <c r="A226" s="886" t="s">
        <v>1740</v>
      </c>
      <c r="B226" s="891" t="s">
        <v>187</v>
      </c>
      <c r="C226" s="217" t="s">
        <v>4815</v>
      </c>
      <c r="D226" s="124" t="s">
        <v>4817</v>
      </c>
      <c r="E226" s="221" t="s">
        <v>4819</v>
      </c>
      <c r="F226" s="174"/>
      <c r="G226" s="129" t="s">
        <v>4815</v>
      </c>
      <c r="H226" s="222"/>
      <c r="I226" s="516" t="s">
        <v>4820</v>
      </c>
      <c r="J226" s="174"/>
      <c r="K226" s="174"/>
      <c r="L226" s="174"/>
      <c r="M226" s="219"/>
      <c r="N226" s="174"/>
      <c r="O226" s="174"/>
      <c r="P226" s="174"/>
      <c r="Q226" s="174"/>
      <c r="R226" s="133"/>
      <c r="S226" s="174"/>
      <c r="T226" s="174"/>
      <c r="U226" s="174"/>
      <c r="V226" s="174"/>
      <c r="W226" s="174"/>
      <c r="X226" s="174"/>
      <c r="Y226" s="186"/>
      <c r="Z226" s="174"/>
      <c r="AA226" s="174"/>
      <c r="AB226" s="174"/>
      <c r="AC226" s="174"/>
      <c r="AD226" s="174"/>
      <c r="AE226" s="186"/>
      <c r="AF226" s="174"/>
      <c r="AG226" s="174"/>
      <c r="AH226" s="174"/>
      <c r="AI226" s="174"/>
      <c r="AJ226" s="174"/>
      <c r="AK226" s="174"/>
      <c r="AL226" s="174"/>
      <c r="AM226" s="174"/>
      <c r="AN226" s="129" t="s">
        <v>4822</v>
      </c>
      <c r="AO226" s="546"/>
      <c r="AP226" s="174"/>
      <c r="AQ226" s="174"/>
      <c r="AR226" s="186"/>
      <c r="AS226" s="174"/>
      <c r="AT226" s="174"/>
      <c r="AU226" s="174"/>
      <c r="AV226" s="546"/>
      <c r="AW226" s="174"/>
      <c r="AX226" s="920"/>
      <c r="AY226" s="174"/>
      <c r="AZ226" s="174"/>
      <c r="BA226" s="174"/>
      <c r="BB226" s="174"/>
      <c r="BC226" s="174"/>
      <c r="BD226" s="174"/>
      <c r="BE226" s="186"/>
      <c r="BF226" s="174"/>
      <c r="BG226" s="174"/>
      <c r="BH226" s="174"/>
      <c r="BI226" s="174"/>
      <c r="BJ226" s="174"/>
      <c r="BK226" s="174"/>
      <c r="BL226" s="186"/>
      <c r="BM226" s="186"/>
      <c r="BN226" s="186"/>
      <c r="BO226" s="186"/>
      <c r="BP226" s="186"/>
      <c r="BQ226" s="186"/>
      <c r="BR226" s="186"/>
      <c r="BS226" s="186"/>
      <c r="BT226" s="186"/>
      <c r="BU226" s="186"/>
      <c r="BV226" s="186"/>
      <c r="BW226" s="186"/>
      <c r="BX226" s="186"/>
    </row>
    <row r="227" ht="15.75" customHeight="1">
      <c r="A227" s="878" t="s">
        <v>171</v>
      </c>
      <c r="B227" s="889" t="s">
        <v>4825</v>
      </c>
      <c r="C227" s="741" t="s">
        <v>453</v>
      </c>
      <c r="D227" s="292" t="s">
        <v>4826</v>
      </c>
      <c r="E227" s="70" t="s">
        <v>4827</v>
      </c>
      <c r="F227" s="890"/>
      <c r="G227" s="890"/>
      <c r="H227" s="132" t="s">
        <v>4695</v>
      </c>
      <c r="I227" s="920" t="s">
        <v>4828</v>
      </c>
      <c r="J227" s="890" t="s">
        <v>453</v>
      </c>
      <c r="K227" s="890"/>
      <c r="L227" s="890"/>
      <c r="M227" s="219"/>
      <c r="N227" s="742" t="s">
        <v>462</v>
      </c>
      <c r="O227" s="890"/>
      <c r="P227" s="890"/>
      <c r="Q227" s="890"/>
      <c r="R227" s="320"/>
      <c r="S227" s="890"/>
      <c r="T227" s="890"/>
      <c r="U227" s="890"/>
      <c r="V227" s="890"/>
      <c r="W227" s="890"/>
      <c r="X227" s="890"/>
      <c r="Y227" s="186"/>
      <c r="Z227" s="890"/>
      <c r="AA227" s="890"/>
      <c r="AB227" s="890"/>
      <c r="AC227" s="890"/>
      <c r="AD227" s="890"/>
      <c r="AE227" s="186"/>
      <c r="AF227" s="890"/>
      <c r="AG227" s="890"/>
      <c r="AH227" s="890"/>
      <c r="AI227" s="890"/>
      <c r="AJ227" s="890"/>
      <c r="AK227" s="890"/>
      <c r="AL227" s="890"/>
      <c r="AM227" s="890"/>
      <c r="AN227" s="890"/>
      <c r="AO227" s="546"/>
      <c r="AP227" s="890"/>
      <c r="AQ227" s="890"/>
      <c r="AR227" s="186"/>
      <c r="AS227" s="890"/>
      <c r="AT227" s="742" t="str">
        <f>HYPERLINK("https://youtu.be/fYWiIA5i7cs","2:29.99")</f>
        <v>2:29.99</v>
      </c>
      <c r="AU227" s="890"/>
      <c r="AV227" s="546"/>
      <c r="AW227" s="890"/>
      <c r="AX227" s="186"/>
      <c r="AY227" s="890"/>
      <c r="AZ227" s="890"/>
      <c r="BA227" s="890"/>
      <c r="BB227" s="890"/>
      <c r="BC227" s="890"/>
      <c r="BD227" s="890"/>
      <c r="BE227" s="186"/>
      <c r="BF227" s="890"/>
      <c r="BG227" s="890"/>
      <c r="BH227" s="890"/>
      <c r="BI227" s="890"/>
      <c r="BJ227" s="890"/>
      <c r="BK227" s="890"/>
      <c r="BL227" s="186"/>
      <c r="BM227" s="186"/>
      <c r="BN227" s="186"/>
      <c r="BO227" s="186"/>
      <c r="BP227" s="186"/>
      <c r="BQ227" s="186"/>
      <c r="BR227" s="186"/>
      <c r="BS227" s="186"/>
      <c r="BT227" s="186"/>
      <c r="BU227" s="186"/>
      <c r="BV227" s="186"/>
      <c r="BW227" s="186"/>
      <c r="BX227" s="186"/>
    </row>
    <row r="228">
      <c r="A228" s="921" t="s">
        <v>40</v>
      </c>
      <c r="D228" s="922"/>
      <c r="E228" s="923"/>
      <c r="F228" s="923"/>
      <c r="G228" s="923"/>
      <c r="H228" s="924"/>
      <c r="I228" s="923"/>
      <c r="J228" s="923"/>
      <c r="K228" s="923"/>
      <c r="L228" s="923"/>
      <c r="M228" s="922"/>
      <c r="N228" s="923"/>
      <c r="O228" s="923"/>
      <c r="P228" s="923"/>
      <c r="Q228" s="923"/>
      <c r="R228" s="925"/>
      <c r="S228" s="923"/>
      <c r="T228" s="923"/>
      <c r="U228" s="923"/>
      <c r="V228" s="923"/>
      <c r="W228" s="923"/>
      <c r="X228" s="923"/>
      <c r="Y228" s="926"/>
      <c r="Z228" s="923"/>
      <c r="AA228" s="923"/>
      <c r="AB228" s="923"/>
      <c r="AC228" s="923"/>
      <c r="AD228" s="923"/>
      <c r="AE228" s="926"/>
      <c r="AF228" s="923"/>
      <c r="AG228" s="923"/>
      <c r="AH228" s="923"/>
      <c r="AI228" s="923"/>
      <c r="AJ228" s="923"/>
      <c r="AK228" s="923"/>
      <c r="AL228" s="923"/>
      <c r="AM228" s="923"/>
      <c r="AN228" s="923"/>
      <c r="AO228" s="923"/>
      <c r="AP228" s="923"/>
      <c r="AQ228" s="923"/>
      <c r="AR228" s="926"/>
      <c r="AS228" s="923"/>
      <c r="AT228" s="923"/>
      <c r="AU228" s="923"/>
      <c r="AV228" s="923"/>
      <c r="AW228" s="923"/>
      <c r="AX228" s="926"/>
      <c r="AY228" s="923"/>
      <c r="AZ228" s="923"/>
      <c r="BA228" s="923"/>
      <c r="BB228" s="923"/>
      <c r="BC228" s="923"/>
      <c r="BD228" s="923"/>
      <c r="BE228" s="926"/>
      <c r="BF228" s="923"/>
      <c r="BG228" s="923"/>
      <c r="BH228" s="923"/>
      <c r="BI228" s="923"/>
      <c r="BJ228" s="923"/>
      <c r="BK228" s="923"/>
      <c r="BL228" s="926"/>
      <c r="BM228" s="926"/>
      <c r="BN228" s="926"/>
      <c r="BO228" s="926"/>
      <c r="BP228" s="926"/>
      <c r="BQ228" s="926"/>
      <c r="BR228" s="926"/>
      <c r="BS228" s="926"/>
      <c r="BT228" s="926"/>
      <c r="BU228" s="926"/>
      <c r="BV228" s="926"/>
      <c r="BW228" s="926"/>
      <c r="BX228" s="926"/>
    </row>
    <row r="229" ht="15.75" customHeight="1">
      <c r="A229" s="928" t="s">
        <v>186</v>
      </c>
      <c r="B229" s="929" t="s">
        <v>187</v>
      </c>
      <c r="C229" s="741" t="s">
        <v>3739</v>
      </c>
      <c r="D229" s="124" t="s">
        <v>4832</v>
      </c>
      <c r="E229" s="174" t="s">
        <v>4833</v>
      </c>
      <c r="F229" s="752"/>
      <c r="G229" s="742" t="s">
        <v>4216</v>
      </c>
      <c r="H229" s="132" t="s">
        <v>2607</v>
      </c>
      <c r="I229" s="744" t="s">
        <v>4835</v>
      </c>
      <c r="J229" s="752" t="s">
        <v>4836</v>
      </c>
      <c r="K229" s="742" t="s">
        <v>4837</v>
      </c>
      <c r="L229" s="742" t="s">
        <v>4838</v>
      </c>
      <c r="M229" s="930" t="s">
        <v>4839</v>
      </c>
      <c r="N229" s="742" t="s">
        <v>2967</v>
      </c>
      <c r="O229" s="742" t="s">
        <v>661</v>
      </c>
      <c r="P229" s="752" t="s">
        <v>3071</v>
      </c>
      <c r="Q229" s="742" t="s">
        <v>4475</v>
      </c>
      <c r="R229" s="753" t="s">
        <v>1152</v>
      </c>
      <c r="S229" s="752"/>
      <c r="T229" s="752"/>
      <c r="U229" s="752"/>
      <c r="V229" s="752"/>
      <c r="W229" s="752"/>
      <c r="X229" s="752" t="s">
        <v>3001</v>
      </c>
      <c r="Y229" s="931"/>
      <c r="Z229" s="752"/>
      <c r="AA229" s="752"/>
      <c r="AB229" s="752"/>
      <c r="AC229" s="742" t="s">
        <v>759</v>
      </c>
      <c r="AD229" s="752"/>
      <c r="AE229" s="932" t="s">
        <v>4842</v>
      </c>
      <c r="AF229" s="752"/>
      <c r="AG229" s="752"/>
      <c r="AH229" s="752"/>
      <c r="AI229" s="752"/>
      <c r="AJ229" s="752"/>
      <c r="AK229" s="752"/>
      <c r="AL229" s="752"/>
      <c r="AM229" s="752"/>
      <c r="AN229" s="752"/>
      <c r="AO229" s="748"/>
      <c r="AP229" s="752"/>
      <c r="AQ229" s="752"/>
      <c r="AR229" s="931"/>
      <c r="AS229" s="752"/>
      <c r="AT229" s="752"/>
      <c r="AU229" s="752"/>
      <c r="AV229" s="748"/>
      <c r="AW229" s="752"/>
      <c r="AX229" s="931"/>
      <c r="AY229" s="752"/>
      <c r="AZ229" s="752"/>
      <c r="BA229" s="752"/>
      <c r="BB229" s="752"/>
      <c r="BC229" s="752"/>
      <c r="BD229" s="752"/>
      <c r="BE229" s="931"/>
      <c r="BF229" s="752"/>
      <c r="BG229" s="752"/>
      <c r="BH229" s="752"/>
      <c r="BI229" s="752"/>
      <c r="BJ229" s="752"/>
      <c r="BK229" s="752"/>
      <c r="BL229" s="931"/>
      <c r="BM229" s="931"/>
      <c r="BN229" s="931"/>
      <c r="BO229" s="931"/>
      <c r="BP229" s="931"/>
      <c r="BQ229" s="931"/>
      <c r="BR229" s="931"/>
      <c r="BS229" s="931"/>
      <c r="BT229" s="931"/>
      <c r="BU229" s="931"/>
      <c r="BV229" s="931"/>
      <c r="BW229" s="931"/>
      <c r="BX229" s="931"/>
    </row>
    <row r="230" ht="15.75" customHeight="1">
      <c r="A230" s="928" t="s">
        <v>3720</v>
      </c>
      <c r="B230" s="929" t="s">
        <v>4846</v>
      </c>
      <c r="C230" s="279" t="s">
        <v>1088</v>
      </c>
      <c r="M230" s="182" t="s">
        <v>4847</v>
      </c>
      <c r="AE230" s="186"/>
      <c r="BR230" s="186"/>
      <c r="BS230" s="186"/>
      <c r="BT230" s="186"/>
      <c r="BU230" s="186"/>
      <c r="BV230" s="186"/>
      <c r="BW230" s="186"/>
      <c r="BX230" s="186"/>
    </row>
    <row r="231" ht="15.75" customHeight="1">
      <c r="A231" s="934"/>
      <c r="B231" s="935" t="s">
        <v>4849</v>
      </c>
      <c r="C231" s="741" t="s">
        <v>1015</v>
      </c>
      <c r="D231" s="292" t="s">
        <v>465</v>
      </c>
      <c r="E231" s="174" t="s">
        <v>4850</v>
      </c>
      <c r="F231" s="742" t="s">
        <v>1015</v>
      </c>
      <c r="G231" s="742" t="s">
        <v>711</v>
      </c>
      <c r="H231" s="132" t="s">
        <v>4851</v>
      </c>
      <c r="I231" s="744" t="s">
        <v>4853</v>
      </c>
      <c r="J231" s="742" t="s">
        <v>4850</v>
      </c>
      <c r="K231" s="742" t="s">
        <v>4244</v>
      </c>
      <c r="L231" s="742" t="s">
        <v>711</v>
      </c>
      <c r="M231" s="569"/>
      <c r="N231" s="742" t="s">
        <v>4060</v>
      </c>
      <c r="O231" s="742" t="s">
        <v>616</v>
      </c>
      <c r="P231" s="742" t="s">
        <v>1274</v>
      </c>
      <c r="Q231" s="742" t="s">
        <v>4856</v>
      </c>
      <c r="R231" s="746" t="s">
        <v>4857</v>
      </c>
      <c r="S231" s="742" t="s">
        <v>2358</v>
      </c>
      <c r="T231" s="742"/>
      <c r="U231" s="742"/>
      <c r="V231" s="742"/>
      <c r="W231" s="742"/>
      <c r="X231" s="742" t="s">
        <v>2579</v>
      </c>
      <c r="Y231" s="186"/>
      <c r="Z231" s="742"/>
      <c r="AA231" s="742"/>
      <c r="AB231" s="742"/>
      <c r="AC231" s="742"/>
      <c r="AD231" s="742"/>
      <c r="AE231" s="936" t="s">
        <v>544</v>
      </c>
      <c r="AF231" s="742"/>
      <c r="AG231" s="742"/>
      <c r="AH231" s="742"/>
      <c r="AI231" s="742"/>
      <c r="AJ231" s="742"/>
      <c r="AK231" s="742"/>
      <c r="AL231" s="742"/>
      <c r="AM231" s="742"/>
      <c r="AN231" s="742"/>
      <c r="AO231" s="748"/>
      <c r="AP231" s="742"/>
      <c r="AQ231" s="742"/>
      <c r="AR231" s="186"/>
      <c r="AS231" s="742"/>
      <c r="AT231" s="742"/>
      <c r="AU231" s="742"/>
      <c r="AV231" s="748"/>
      <c r="AW231" s="742"/>
      <c r="AX231" s="186"/>
      <c r="AY231" s="742"/>
      <c r="AZ231" s="742"/>
      <c r="BA231" s="742"/>
      <c r="BB231" s="742"/>
      <c r="BC231" s="742"/>
      <c r="BD231" s="742"/>
      <c r="BE231" s="186"/>
      <c r="BF231" s="742"/>
      <c r="BG231" s="742"/>
      <c r="BH231" s="742"/>
      <c r="BI231" s="742"/>
      <c r="BJ231" s="742"/>
      <c r="BK231" s="742"/>
      <c r="BL231" s="186"/>
      <c r="BM231" s="186"/>
      <c r="BN231" s="186"/>
      <c r="BO231" s="186"/>
      <c r="BP231" s="186"/>
      <c r="BQ231" s="186"/>
      <c r="BR231" s="931"/>
      <c r="BS231" s="931"/>
      <c r="BT231" s="931"/>
      <c r="BU231" s="931"/>
      <c r="BV231" s="931"/>
      <c r="BW231" s="931"/>
      <c r="BX231" s="931"/>
    </row>
    <row r="232" ht="15.75" customHeight="1">
      <c r="A232" s="928" t="s">
        <v>633</v>
      </c>
      <c r="B232" s="929" t="s">
        <v>187</v>
      </c>
      <c r="C232" s="741" t="str">
        <f>HYPERLINK("https://www.youtube.com/watch?v=aWzlUqH0LaM","41.87")</f>
        <v>41.87</v>
      </c>
      <c r="D232" s="219"/>
      <c r="E232" s="757"/>
      <c r="F232" s="752"/>
      <c r="G232" s="742" t="s">
        <v>866</v>
      </c>
      <c r="H232" s="132" t="s">
        <v>4860</v>
      </c>
      <c r="I232" s="748"/>
      <c r="J232" s="742" t="s">
        <v>4861</v>
      </c>
      <c r="K232" s="752"/>
      <c r="L232" s="742" t="s">
        <v>4862</v>
      </c>
      <c r="M232" s="937" t="s">
        <v>1596</v>
      </c>
      <c r="N232" s="742" t="s">
        <v>4863</v>
      </c>
      <c r="O232" s="742" t="str">
        <f>HYPERLINK("https://www.youtube.com/watch?v=aWzlUqH0LaM","41.87")</f>
        <v>41.87</v>
      </c>
      <c r="P232" s="752" t="s">
        <v>4864</v>
      </c>
      <c r="Q232" s="742" t="s">
        <v>4866</v>
      </c>
      <c r="R232" s="753" t="s">
        <v>908</v>
      </c>
      <c r="S232" s="752"/>
      <c r="T232" s="752"/>
      <c r="U232" s="752"/>
      <c r="V232" s="752"/>
      <c r="W232" s="752"/>
      <c r="X232" s="752" t="s">
        <v>4867</v>
      </c>
      <c r="Y232" s="931"/>
      <c r="Z232" s="752"/>
      <c r="AA232" s="752"/>
      <c r="AB232" s="752"/>
      <c r="AC232" s="752"/>
      <c r="AD232" s="752"/>
      <c r="AE232" s="931"/>
      <c r="AF232" s="752"/>
      <c r="AG232" s="752"/>
      <c r="AH232" s="752"/>
      <c r="AI232" s="752"/>
      <c r="AJ232" s="752"/>
      <c r="AK232" s="752"/>
      <c r="AL232" s="752"/>
      <c r="AM232" s="752"/>
      <c r="AN232" s="752"/>
      <c r="AO232" s="748"/>
      <c r="AP232" s="752"/>
      <c r="AQ232" s="752"/>
      <c r="AR232" s="931"/>
      <c r="AS232" s="752"/>
      <c r="AT232" s="752"/>
      <c r="AU232" s="752"/>
      <c r="AV232" s="748"/>
      <c r="AW232" s="752"/>
      <c r="AX232" s="931"/>
      <c r="AY232" s="752"/>
      <c r="AZ232" s="752"/>
      <c r="BA232" s="752"/>
      <c r="BB232" s="752"/>
      <c r="BC232" s="752"/>
      <c r="BD232" s="752"/>
      <c r="BE232" s="931"/>
      <c r="BF232" s="752"/>
      <c r="BG232" s="752"/>
      <c r="BH232" s="752"/>
      <c r="BI232" s="752"/>
      <c r="BJ232" s="752"/>
      <c r="BK232" s="752"/>
      <c r="BL232" s="931"/>
      <c r="BM232" s="931"/>
      <c r="BN232" s="931"/>
      <c r="BO232" s="931"/>
      <c r="BP232" s="931"/>
      <c r="BQ232" s="931"/>
      <c r="BR232" s="931"/>
      <c r="BS232" s="931"/>
      <c r="BT232" s="931"/>
      <c r="BU232" s="931"/>
      <c r="BV232" s="931"/>
      <c r="BW232" s="931"/>
      <c r="BX232" s="931"/>
    </row>
    <row r="233" ht="15.75" customHeight="1">
      <c r="A233" s="928" t="s">
        <v>2544</v>
      </c>
      <c r="B233" s="929" t="s">
        <v>4869</v>
      </c>
      <c r="C233" s="119" t="s">
        <v>4870</v>
      </c>
      <c r="D233" s="938"/>
      <c r="E233" s="752" t="s">
        <v>4073</v>
      </c>
      <c r="F233" s="752"/>
      <c r="G233" s="752"/>
      <c r="H233" s="132" t="s">
        <v>4872</v>
      </c>
      <c r="I233" s="748"/>
      <c r="J233" s="752"/>
      <c r="K233" s="752"/>
      <c r="L233" s="752"/>
      <c r="M233" s="355" t="s">
        <v>4875</v>
      </c>
      <c r="N233" s="752"/>
      <c r="O233" s="752"/>
      <c r="P233" s="752"/>
      <c r="Q233" s="752"/>
      <c r="R233" s="753"/>
      <c r="S233" s="752"/>
      <c r="T233" s="385" t="s">
        <v>4870</v>
      </c>
      <c r="U233" s="752"/>
      <c r="V233" s="752"/>
      <c r="W233" s="752"/>
      <c r="X233" s="752"/>
      <c r="Y233" s="186"/>
      <c r="Z233" s="752"/>
      <c r="AA233" s="752"/>
      <c r="AB233" s="752"/>
      <c r="AC233" s="752"/>
      <c r="AD233" s="752"/>
      <c r="AE233" s="186"/>
      <c r="AF233" s="752"/>
      <c r="AG233" s="752"/>
      <c r="AH233" s="752"/>
      <c r="AI233" s="752"/>
      <c r="AJ233" s="752"/>
      <c r="AK233" s="752"/>
      <c r="AL233" s="752"/>
      <c r="AM233" s="752"/>
      <c r="AN233" s="752"/>
      <c r="AO233" s="748"/>
      <c r="AP233" s="752"/>
      <c r="AQ233" s="752"/>
      <c r="AR233" s="186"/>
      <c r="AS233" s="752"/>
      <c r="AT233" s="752"/>
      <c r="AU233" s="752"/>
      <c r="AV233" s="748"/>
      <c r="AW233" s="752"/>
      <c r="AX233" s="186"/>
      <c r="AY233" s="752"/>
      <c r="AZ233" s="752"/>
      <c r="BA233" s="752"/>
      <c r="BB233" s="752"/>
      <c r="BC233" s="752"/>
      <c r="BD233" s="752"/>
      <c r="BE233" s="186"/>
      <c r="BF233" s="752"/>
      <c r="BG233" s="752"/>
      <c r="BH233" s="752"/>
      <c r="BI233" s="752"/>
      <c r="BJ233" s="752"/>
      <c r="BK233" s="752"/>
      <c r="BL233" s="186"/>
      <c r="BM233" s="186"/>
      <c r="BN233" s="186"/>
      <c r="BO233" s="186"/>
      <c r="BP233" s="186"/>
      <c r="BQ233" s="186"/>
      <c r="BR233" s="186"/>
      <c r="BS233" s="186"/>
      <c r="BT233" s="186"/>
      <c r="BU233" s="186"/>
      <c r="BV233" s="186"/>
      <c r="BW233" s="186"/>
      <c r="BX233" s="186"/>
    </row>
    <row r="234" ht="15.75" customHeight="1">
      <c r="A234" s="934"/>
      <c r="B234" s="935" t="s">
        <v>4877</v>
      </c>
      <c r="C234" s="741" t="s">
        <v>1814</v>
      </c>
      <c r="D234" s="443" t="s">
        <v>4878</v>
      </c>
      <c r="E234" s="174" t="s">
        <v>4879</v>
      </c>
      <c r="F234" s="752"/>
      <c r="G234" s="752" t="s">
        <v>4881</v>
      </c>
      <c r="H234" s="132" t="s">
        <v>4700</v>
      </c>
      <c r="I234" s="744" t="s">
        <v>4883</v>
      </c>
      <c r="J234" s="752"/>
      <c r="K234" s="742" t="s">
        <v>4884</v>
      </c>
      <c r="L234" s="752"/>
      <c r="M234" s="938"/>
      <c r="N234" s="752" t="s">
        <v>4068</v>
      </c>
      <c r="O234" s="742" t="s">
        <v>3317</v>
      </c>
      <c r="P234" s="752"/>
      <c r="Q234" s="752"/>
      <c r="R234" s="753" t="s">
        <v>4885</v>
      </c>
      <c r="S234" s="752"/>
      <c r="T234" s="752"/>
      <c r="U234" s="752"/>
      <c r="V234" s="752"/>
      <c r="W234" s="742" t="s">
        <v>1814</v>
      </c>
      <c r="X234" s="752" t="s">
        <v>4886</v>
      </c>
      <c r="Y234" s="931"/>
      <c r="Z234" s="752"/>
      <c r="AA234" s="752"/>
      <c r="AB234" s="752"/>
      <c r="AC234" s="752"/>
      <c r="AD234" s="752"/>
      <c r="AE234" s="931"/>
      <c r="AF234" s="752" t="s">
        <v>4887</v>
      </c>
      <c r="AG234" s="752" t="s">
        <v>4888</v>
      </c>
      <c r="AH234" s="752"/>
      <c r="AI234" s="752"/>
      <c r="AJ234" s="752"/>
      <c r="AK234" s="752"/>
      <c r="AL234" s="752"/>
      <c r="AM234" s="752"/>
      <c r="AN234" s="752"/>
      <c r="AO234" s="748"/>
      <c r="AP234" s="752"/>
      <c r="AQ234" s="752"/>
      <c r="AR234" s="931"/>
      <c r="AS234" s="752"/>
      <c r="AT234" s="752"/>
      <c r="AU234" s="752"/>
      <c r="AV234" s="748"/>
      <c r="AW234" s="752"/>
      <c r="AX234" s="931"/>
      <c r="AY234" s="752"/>
      <c r="AZ234" s="752"/>
      <c r="BA234" s="752"/>
      <c r="BB234" s="752"/>
      <c r="BC234" s="752"/>
      <c r="BD234" s="752"/>
      <c r="BE234" s="931"/>
      <c r="BF234" s="752"/>
      <c r="BG234" s="752"/>
      <c r="BH234" s="752"/>
      <c r="BI234" s="752"/>
      <c r="BJ234" s="752"/>
      <c r="BK234" s="752"/>
      <c r="BL234" s="931"/>
      <c r="BM234" s="931"/>
      <c r="BN234" s="931"/>
      <c r="BO234" s="931"/>
      <c r="BP234" s="931"/>
      <c r="BQ234" s="931"/>
      <c r="BR234" s="931"/>
      <c r="BS234" s="931"/>
      <c r="BT234" s="931"/>
      <c r="BU234" s="931"/>
      <c r="BV234" s="931"/>
      <c r="BW234" s="931"/>
      <c r="BX234" s="931"/>
    </row>
    <row r="235" ht="15.75" customHeight="1">
      <c r="A235" s="939"/>
      <c r="B235" s="940" t="s">
        <v>4890</v>
      </c>
      <c r="C235" s="741" t="s">
        <v>4891</v>
      </c>
      <c r="D235" s="938"/>
      <c r="E235" s="752"/>
      <c r="F235" s="752"/>
      <c r="G235" s="752"/>
      <c r="H235" s="222"/>
      <c r="I235" s="748"/>
      <c r="J235" s="752"/>
      <c r="K235" s="752"/>
      <c r="L235" s="752"/>
      <c r="M235" s="219"/>
      <c r="N235" s="752"/>
      <c r="O235" s="752"/>
      <c r="P235" s="752"/>
      <c r="Q235" s="752"/>
      <c r="R235" s="753"/>
      <c r="S235" s="752"/>
      <c r="T235" s="752"/>
      <c r="U235" s="752"/>
      <c r="V235" s="752"/>
      <c r="W235" s="752"/>
      <c r="X235" s="752"/>
      <c r="Y235" s="186"/>
      <c r="Z235" s="752"/>
      <c r="AA235" s="752"/>
      <c r="AB235" s="752"/>
      <c r="AC235" s="752"/>
      <c r="AD235" s="752"/>
      <c r="AE235" s="186"/>
      <c r="AF235" s="742" t="s">
        <v>4891</v>
      </c>
      <c r="AG235" s="752"/>
      <c r="AH235" s="752"/>
      <c r="AI235" s="752"/>
      <c r="AJ235" s="752"/>
      <c r="AK235" s="752"/>
      <c r="AL235" s="752"/>
      <c r="AM235" s="752"/>
      <c r="AN235" s="752"/>
      <c r="AO235" s="748"/>
      <c r="AP235" s="752"/>
      <c r="AQ235" s="752"/>
      <c r="AR235" s="186"/>
      <c r="AS235" s="752"/>
      <c r="AT235" s="742" t="s">
        <v>4895</v>
      </c>
      <c r="AU235" s="752"/>
      <c r="AV235" s="748"/>
      <c r="AW235" s="752"/>
      <c r="AX235" s="186"/>
      <c r="AY235" s="752"/>
      <c r="AZ235" s="752"/>
      <c r="BA235" s="752"/>
      <c r="BB235" s="752"/>
      <c r="BC235" s="752"/>
      <c r="BD235" s="752"/>
      <c r="BE235" s="186"/>
      <c r="BF235" s="752"/>
      <c r="BG235" s="752"/>
      <c r="BH235" s="752"/>
      <c r="BI235" s="752"/>
      <c r="BJ235" s="752"/>
      <c r="BK235" s="752"/>
      <c r="BL235" s="186"/>
      <c r="BM235" s="186"/>
      <c r="BN235" s="186"/>
      <c r="BO235" s="186"/>
      <c r="BP235" s="186"/>
      <c r="BQ235" s="186"/>
      <c r="BR235" s="186"/>
      <c r="BS235" s="186"/>
      <c r="BT235" s="186"/>
      <c r="BU235" s="186"/>
      <c r="BV235" s="186"/>
      <c r="BW235" s="186"/>
      <c r="BX235" s="186"/>
    </row>
    <row r="236" ht="15.75" customHeight="1">
      <c r="A236" s="934"/>
      <c r="B236" s="941" t="s">
        <v>4897</v>
      </c>
      <c r="C236" s="741" t="s">
        <v>2640</v>
      </c>
      <c r="D236" s="292" t="s">
        <v>4898</v>
      </c>
      <c r="E236" s="757"/>
      <c r="F236" s="752"/>
      <c r="G236" s="742" t="s">
        <v>4900</v>
      </c>
      <c r="H236" s="222"/>
      <c r="I236" s="748"/>
      <c r="J236" s="752"/>
      <c r="K236" s="752"/>
      <c r="L236" s="752"/>
      <c r="M236" s="938"/>
      <c r="N236" s="752"/>
      <c r="O236" s="752"/>
      <c r="P236" s="752"/>
      <c r="Q236" s="752"/>
      <c r="R236" s="753"/>
      <c r="S236" s="752"/>
      <c r="T236" s="752"/>
      <c r="U236" s="752"/>
      <c r="V236" s="752"/>
      <c r="W236" s="752"/>
      <c r="X236" s="752"/>
      <c r="Y236" s="931"/>
      <c r="Z236" s="752"/>
      <c r="AA236" s="752"/>
      <c r="AB236" s="752"/>
      <c r="AC236" s="752"/>
      <c r="AD236" s="752"/>
      <c r="AE236" s="931"/>
      <c r="AF236" s="742" t="s">
        <v>4902</v>
      </c>
      <c r="AG236" s="752"/>
      <c r="AH236" s="752"/>
      <c r="AI236" s="752"/>
      <c r="AJ236" s="752"/>
      <c r="AK236" s="752"/>
      <c r="AL236" s="752"/>
      <c r="AM236" s="752"/>
      <c r="AN236" s="752"/>
      <c r="AO236" s="748"/>
      <c r="AP236" s="752"/>
      <c r="AQ236" s="752"/>
      <c r="AR236" s="931"/>
      <c r="AS236" s="752"/>
      <c r="AT236" s="752"/>
      <c r="AU236" s="752"/>
      <c r="AV236" s="748"/>
      <c r="AW236" s="752"/>
      <c r="AX236" s="931"/>
      <c r="AY236" s="752"/>
      <c r="AZ236" s="752"/>
      <c r="BA236" s="752"/>
      <c r="BB236" s="752"/>
      <c r="BC236" s="752"/>
      <c r="BD236" s="752"/>
      <c r="BE236" s="931"/>
      <c r="BF236" s="752"/>
      <c r="BG236" s="752"/>
      <c r="BH236" s="752"/>
      <c r="BI236" s="752"/>
      <c r="BJ236" s="752"/>
      <c r="BK236" s="752"/>
      <c r="BL236" s="931"/>
      <c r="BM236" s="931"/>
      <c r="BN236" s="931"/>
      <c r="BO236" s="931"/>
      <c r="BP236" s="931"/>
      <c r="BQ236" s="931"/>
      <c r="BR236" s="931"/>
      <c r="BS236" s="931"/>
      <c r="BT236" s="931"/>
      <c r="BU236" s="931"/>
      <c r="BV236" s="931"/>
      <c r="BW236" s="931"/>
      <c r="BX236" s="931"/>
    </row>
    <row r="237" ht="15.75" customHeight="1">
      <c r="A237" s="942" t="s">
        <v>469</v>
      </c>
      <c r="B237" s="943" t="s">
        <v>4869</v>
      </c>
      <c r="C237" s="261" t="s">
        <v>4906</v>
      </c>
      <c r="D237" s="938"/>
      <c r="E237" s="945"/>
      <c r="F237" s="945"/>
      <c r="G237" s="945"/>
      <c r="H237" s="222"/>
      <c r="I237" s="748"/>
      <c r="J237" s="945"/>
      <c r="K237" s="945"/>
      <c r="L237" s="945"/>
      <c r="M237" s="182" t="s">
        <v>4906</v>
      </c>
      <c r="N237" s="945"/>
      <c r="O237" s="945"/>
      <c r="P237" s="945"/>
      <c r="Q237" s="945"/>
      <c r="R237" s="946"/>
      <c r="S237" s="945"/>
      <c r="T237" s="945"/>
      <c r="U237" s="945"/>
      <c r="V237" s="945"/>
      <c r="W237" s="945"/>
      <c r="X237" s="945"/>
      <c r="Y237" s="186"/>
      <c r="Z237" s="945"/>
      <c r="AA237" s="945"/>
      <c r="AB237" s="945"/>
      <c r="AC237" s="945"/>
      <c r="AD237" s="945"/>
      <c r="AE237" s="186"/>
      <c r="AF237" s="945"/>
      <c r="AG237" s="945"/>
      <c r="AH237" s="945"/>
      <c r="AI237" s="945"/>
      <c r="AJ237" s="945"/>
      <c r="AK237" s="945"/>
      <c r="AL237" s="945"/>
      <c r="AM237" s="945"/>
      <c r="AN237" s="945"/>
      <c r="AO237" s="748"/>
      <c r="AP237" s="945"/>
      <c r="AQ237" s="945"/>
      <c r="AR237" s="186"/>
      <c r="AS237" s="945"/>
      <c r="AT237" s="945"/>
      <c r="AU237" s="945"/>
      <c r="AV237" s="748"/>
      <c r="AW237" s="945"/>
      <c r="AX237" s="186"/>
      <c r="AY237" s="945"/>
      <c r="AZ237" s="945"/>
      <c r="BA237" s="945"/>
      <c r="BB237" s="945"/>
      <c r="BC237" s="945"/>
      <c r="BD237" s="945"/>
      <c r="BE237" s="186"/>
      <c r="BF237" s="945"/>
      <c r="BG237" s="945"/>
      <c r="BH237" s="945"/>
      <c r="BI237" s="945"/>
      <c r="BJ237" s="945"/>
      <c r="BK237" s="945"/>
      <c r="BL237" s="186"/>
      <c r="BM237" s="186"/>
      <c r="BN237" s="186"/>
      <c r="BO237" s="186"/>
      <c r="BP237" s="186"/>
      <c r="BQ237" s="186"/>
      <c r="BR237" s="186"/>
      <c r="BS237" s="186"/>
      <c r="BT237" s="186"/>
      <c r="BU237" s="186"/>
      <c r="BV237" s="186"/>
      <c r="BW237" s="186"/>
      <c r="BX237" s="186"/>
    </row>
    <row r="238" ht="15.75" customHeight="1">
      <c r="A238" s="934"/>
      <c r="B238" s="935" t="s">
        <v>4877</v>
      </c>
      <c r="C238" s="947" t="s">
        <v>4911</v>
      </c>
      <c r="D238" s="219"/>
      <c r="E238" s="948" t="s">
        <v>4911</v>
      </c>
      <c r="F238" s="945"/>
      <c r="G238" s="945"/>
      <c r="H238" s="222"/>
      <c r="I238" s="748"/>
      <c r="J238" s="945"/>
      <c r="K238" s="945"/>
      <c r="L238" s="945"/>
      <c r="M238" s="219"/>
      <c r="N238" s="945"/>
      <c r="O238" s="945"/>
      <c r="P238" s="945"/>
      <c r="Q238" s="945"/>
      <c r="R238" s="946"/>
      <c r="S238" s="945"/>
      <c r="T238" s="945"/>
      <c r="U238" s="945"/>
      <c r="V238" s="945"/>
      <c r="W238" s="945"/>
      <c r="X238" s="945"/>
      <c r="Y238" s="186"/>
      <c r="Z238" s="945"/>
      <c r="AA238" s="945"/>
      <c r="AB238" s="945"/>
      <c r="AC238" s="945"/>
      <c r="AD238" s="945"/>
      <c r="AE238" s="186"/>
      <c r="AF238" s="945"/>
      <c r="AG238" s="945"/>
      <c r="AH238" s="945"/>
      <c r="AI238" s="945"/>
      <c r="AJ238" s="945"/>
      <c r="AK238" s="945"/>
      <c r="AL238" s="945"/>
      <c r="AM238" s="945"/>
      <c r="AN238" s="945"/>
      <c r="AO238" s="748"/>
      <c r="AP238" s="945"/>
      <c r="AQ238" s="945"/>
      <c r="AR238" s="186"/>
      <c r="AS238" s="945"/>
      <c r="AT238" s="945"/>
      <c r="AU238" s="945"/>
      <c r="AV238" s="748"/>
      <c r="AW238" s="945"/>
      <c r="AX238" s="186"/>
      <c r="AY238" s="945"/>
      <c r="AZ238" s="945"/>
      <c r="BA238" s="945"/>
      <c r="BB238" s="945"/>
      <c r="BC238" s="945"/>
      <c r="BD238" s="945"/>
      <c r="BE238" s="186"/>
      <c r="BF238" s="945"/>
      <c r="BG238" s="945"/>
      <c r="BH238" s="945"/>
      <c r="BI238" s="945"/>
      <c r="BJ238" s="945"/>
      <c r="BK238" s="945"/>
      <c r="BL238" s="186"/>
      <c r="BM238" s="186"/>
      <c r="BN238" s="186"/>
      <c r="BO238" s="186"/>
      <c r="BP238" s="186"/>
      <c r="BQ238" s="186"/>
      <c r="BR238" s="186"/>
      <c r="BS238" s="186"/>
      <c r="BT238" s="186"/>
      <c r="BU238" s="186"/>
      <c r="BV238" s="186"/>
      <c r="BW238" s="186"/>
      <c r="BX238" s="186"/>
    </row>
    <row r="239" ht="15.75" customHeight="1">
      <c r="A239" s="939"/>
      <c r="B239" s="940" t="s">
        <v>4890</v>
      </c>
      <c r="C239" s="741"/>
      <c r="D239" s="938"/>
      <c r="E239" s="945"/>
      <c r="F239" s="945"/>
      <c r="G239" s="945"/>
      <c r="H239" s="222"/>
      <c r="I239" s="748"/>
      <c r="J239" s="945"/>
      <c r="K239" s="945"/>
      <c r="L239" s="945"/>
      <c r="M239" s="219"/>
      <c r="N239" s="945"/>
      <c r="O239" s="945"/>
      <c r="P239" s="945"/>
      <c r="Q239" s="945"/>
      <c r="R239" s="946"/>
      <c r="S239" s="945"/>
      <c r="T239" s="945"/>
      <c r="U239" s="945"/>
      <c r="V239" s="945"/>
      <c r="W239" s="945"/>
      <c r="X239" s="945"/>
      <c r="Y239" s="186"/>
      <c r="Z239" s="945"/>
      <c r="AA239" s="945"/>
      <c r="AB239" s="945"/>
      <c r="AC239" s="945"/>
      <c r="AD239" s="945"/>
      <c r="AE239" s="186"/>
      <c r="AF239" s="945"/>
      <c r="AG239" s="945"/>
      <c r="AH239" s="945"/>
      <c r="AI239" s="945"/>
      <c r="AJ239" s="945"/>
      <c r="AK239" s="945"/>
      <c r="AL239" s="945"/>
      <c r="AM239" s="945"/>
      <c r="AN239" s="945"/>
      <c r="AO239" s="748"/>
      <c r="AP239" s="945"/>
      <c r="AQ239" s="945"/>
      <c r="AR239" s="186"/>
      <c r="AS239" s="945"/>
      <c r="AT239" s="945"/>
      <c r="AU239" s="945"/>
      <c r="AV239" s="748"/>
      <c r="AW239" s="945"/>
      <c r="AX239" s="186"/>
      <c r="AY239" s="945"/>
      <c r="AZ239" s="945"/>
      <c r="BA239" s="945"/>
      <c r="BB239" s="945"/>
      <c r="BC239" s="945"/>
      <c r="BD239" s="945"/>
      <c r="BE239" s="186"/>
      <c r="BF239" s="945"/>
      <c r="BG239" s="945"/>
      <c r="BH239" s="945"/>
      <c r="BI239" s="945"/>
      <c r="BJ239" s="945"/>
      <c r="BK239" s="945"/>
      <c r="BL239" s="186"/>
      <c r="BM239" s="186"/>
      <c r="BN239" s="186"/>
      <c r="BO239" s="186"/>
      <c r="BP239" s="186"/>
      <c r="BQ239" s="186"/>
      <c r="BR239" s="186"/>
      <c r="BS239" s="186"/>
      <c r="BT239" s="186"/>
      <c r="BU239" s="186"/>
      <c r="BV239" s="186"/>
      <c r="BW239" s="186"/>
      <c r="BX239" s="186"/>
    </row>
    <row r="240" ht="15.75" customHeight="1">
      <c r="A240" s="934"/>
      <c r="B240" s="941" t="s">
        <v>4897</v>
      </c>
      <c r="C240" s="119" t="s">
        <v>3169</v>
      </c>
      <c r="D240" s="182" t="s">
        <v>4917</v>
      </c>
      <c r="E240" s="945"/>
      <c r="F240" s="945"/>
      <c r="G240" s="385" t="s">
        <v>3169</v>
      </c>
      <c r="H240" s="222"/>
      <c r="I240" s="748"/>
      <c r="J240" s="945"/>
      <c r="K240" s="945"/>
      <c r="L240" s="945"/>
      <c r="M240" s="219"/>
      <c r="N240" s="945"/>
      <c r="O240" s="945"/>
      <c r="P240" s="945"/>
      <c r="Q240" s="945"/>
      <c r="R240" s="946"/>
      <c r="S240" s="945"/>
      <c r="T240" s="945"/>
      <c r="U240" s="945"/>
      <c r="V240" s="945"/>
      <c r="W240" s="945"/>
      <c r="X240" s="945"/>
      <c r="Y240" s="186"/>
      <c r="Z240" s="945"/>
      <c r="AA240" s="945"/>
      <c r="AB240" s="945"/>
      <c r="AC240" s="945"/>
      <c r="AD240" s="945"/>
      <c r="AE240" s="186"/>
      <c r="AF240" s="945"/>
      <c r="AG240" s="945"/>
      <c r="AH240" s="945"/>
      <c r="AI240" s="945"/>
      <c r="AJ240" s="945"/>
      <c r="AK240" s="945"/>
      <c r="AL240" s="945"/>
      <c r="AM240" s="945"/>
      <c r="AN240" s="945"/>
      <c r="AO240" s="748"/>
      <c r="AP240" s="945"/>
      <c r="AQ240" s="945"/>
      <c r="AR240" s="186"/>
      <c r="AS240" s="945"/>
      <c r="AT240" s="945"/>
      <c r="AU240" s="945"/>
      <c r="AV240" s="748"/>
      <c r="AW240" s="945"/>
      <c r="AX240" s="186"/>
      <c r="AY240" s="945"/>
      <c r="AZ240" s="945"/>
      <c r="BA240" s="945"/>
      <c r="BB240" s="945"/>
      <c r="BC240" s="945"/>
      <c r="BD240" s="945"/>
      <c r="BE240" s="186"/>
      <c r="BF240" s="945"/>
      <c r="BG240" s="945"/>
      <c r="BH240" s="945"/>
      <c r="BI240" s="945"/>
      <c r="BJ240" s="945"/>
      <c r="BK240" s="945"/>
      <c r="BL240" s="186"/>
      <c r="BM240" s="186"/>
      <c r="BN240" s="186"/>
      <c r="BO240" s="186"/>
      <c r="BP240" s="186"/>
      <c r="BQ240" s="186"/>
      <c r="BR240" s="186"/>
      <c r="BS240" s="186"/>
      <c r="BT240" s="186"/>
      <c r="BU240" s="186"/>
      <c r="BV240" s="186"/>
      <c r="BW240" s="186"/>
      <c r="BX240" s="186"/>
    </row>
    <row r="241" ht="15.75" customHeight="1">
      <c r="A241" s="942" t="s">
        <v>577</v>
      </c>
      <c r="B241" s="943" t="s">
        <v>4919</v>
      </c>
      <c r="C241" s="741" t="s">
        <v>4920</v>
      </c>
      <c r="D241" s="937" t="s">
        <v>4922</v>
      </c>
      <c r="E241" s="949">
        <v>13.23</v>
      </c>
      <c r="F241" s="945"/>
      <c r="G241" s="945"/>
      <c r="H241" s="132" t="s">
        <v>4924</v>
      </c>
      <c r="I241" s="950" t="s">
        <v>4925</v>
      </c>
      <c r="J241" s="945"/>
      <c r="K241" s="951" t="s">
        <v>4376</v>
      </c>
      <c r="L241" s="945"/>
      <c r="M241" s="938"/>
      <c r="N241" s="945"/>
      <c r="O241" s="945"/>
      <c r="P241" s="945"/>
      <c r="Q241" s="945"/>
      <c r="R241" s="946"/>
      <c r="S241" s="945"/>
      <c r="T241" s="945"/>
      <c r="U241" s="951" t="s">
        <v>4336</v>
      </c>
      <c r="V241" s="945"/>
      <c r="W241" s="945"/>
      <c r="X241" s="945"/>
      <c r="Y241" s="936" t="s">
        <v>4367</v>
      </c>
      <c r="Z241" s="951" t="s">
        <v>4366</v>
      </c>
      <c r="AA241" s="945"/>
      <c r="AB241" s="945"/>
      <c r="AC241" s="945"/>
      <c r="AD241" s="945"/>
      <c r="AE241" s="931"/>
      <c r="AF241" s="951" t="s">
        <v>4920</v>
      </c>
      <c r="AG241" s="945"/>
      <c r="AH241" s="945"/>
      <c r="AI241" s="945"/>
      <c r="AJ241" s="945"/>
      <c r="AK241" s="945"/>
      <c r="AL241" s="945"/>
      <c r="AM241" s="945"/>
      <c r="AN241" s="945"/>
      <c r="AO241" s="748"/>
      <c r="AP241" s="945"/>
      <c r="AQ241" s="945" t="s">
        <v>4369</v>
      </c>
      <c r="AR241" s="931"/>
      <c r="AS241" s="945"/>
      <c r="AT241" s="945"/>
      <c r="AU241" s="945"/>
      <c r="AV241" s="748"/>
      <c r="AW241" s="945"/>
      <c r="AX241" s="931"/>
      <c r="AY241" s="945"/>
      <c r="AZ241" s="945"/>
      <c r="BA241" s="945"/>
      <c r="BB241" s="945"/>
      <c r="BC241" s="945"/>
      <c r="BD241" s="945"/>
      <c r="BE241" s="931"/>
      <c r="BF241" s="945"/>
      <c r="BG241" s="945"/>
      <c r="BH241" s="945"/>
      <c r="BI241" s="945"/>
      <c r="BJ241" s="945"/>
      <c r="BK241" s="945"/>
      <c r="BL241" s="931"/>
      <c r="BM241" s="931"/>
      <c r="BN241" s="931"/>
      <c r="BO241" s="931"/>
      <c r="BP241" s="931"/>
      <c r="BQ241" s="931"/>
      <c r="BR241" s="931"/>
      <c r="BS241" s="931"/>
      <c r="BT241" s="931"/>
      <c r="BU241" s="931"/>
      <c r="BV241" s="931"/>
      <c r="BW241" s="931"/>
      <c r="BX241" s="931"/>
    </row>
    <row r="242" ht="15.75" customHeight="1">
      <c r="A242" s="934"/>
      <c r="B242" s="941" t="s">
        <v>4930</v>
      </c>
      <c r="C242" s="741" t="s">
        <v>1736</v>
      </c>
      <c r="D242" s="182" t="s">
        <v>4931</v>
      </c>
      <c r="E242" s="742"/>
      <c r="F242" s="742" t="s">
        <v>3394</v>
      </c>
      <c r="G242" s="742" t="s">
        <v>1736</v>
      </c>
      <c r="H242" s="132" t="s">
        <v>4933</v>
      </c>
      <c r="I242" s="748"/>
      <c r="J242" s="742"/>
      <c r="K242" s="742"/>
      <c r="L242" s="742"/>
      <c r="M242" s="219"/>
      <c r="N242" s="742" t="s">
        <v>4920</v>
      </c>
      <c r="O242" s="742"/>
      <c r="P242" s="742"/>
      <c r="Q242" s="742"/>
      <c r="R242" s="746"/>
      <c r="S242" s="742"/>
      <c r="T242" s="742"/>
      <c r="U242" s="742"/>
      <c r="V242" s="742" t="s">
        <v>4936</v>
      </c>
      <c r="W242" s="742"/>
      <c r="X242" s="742"/>
      <c r="Y242" s="186"/>
      <c r="Z242" s="742"/>
      <c r="AA242" s="742"/>
      <c r="AB242" s="742" t="s">
        <v>4336</v>
      </c>
      <c r="AC242" s="742"/>
      <c r="AD242" s="742"/>
      <c r="AE242" s="186"/>
      <c r="AF242" s="742" t="s">
        <v>1736</v>
      </c>
      <c r="AG242" s="742"/>
      <c r="AH242" s="742"/>
      <c r="AI242" s="742"/>
      <c r="AJ242" s="742"/>
      <c r="AK242" s="742"/>
      <c r="AL242" s="742"/>
      <c r="AM242" s="742"/>
      <c r="AN242" s="742"/>
      <c r="AO242" s="748"/>
      <c r="AP242" s="742"/>
      <c r="AQ242" s="742"/>
      <c r="AR242" s="186"/>
      <c r="AS242" s="742"/>
      <c r="AT242" s="742"/>
      <c r="AU242" s="742"/>
      <c r="AV242" s="748"/>
      <c r="AW242" s="742"/>
      <c r="AX242" s="186"/>
      <c r="AY242" s="742"/>
      <c r="AZ242" s="742"/>
      <c r="BA242" s="742"/>
      <c r="BB242" s="742"/>
      <c r="BC242" s="742"/>
      <c r="BD242" s="742"/>
      <c r="BE242" s="186"/>
      <c r="BF242" s="742"/>
      <c r="BG242" s="742"/>
      <c r="BH242" s="742"/>
      <c r="BI242" s="742"/>
      <c r="BJ242" s="742"/>
      <c r="BK242" s="742"/>
      <c r="BL242" s="186"/>
      <c r="BM242" s="186"/>
      <c r="BN242" s="186"/>
      <c r="BO242" s="186"/>
      <c r="BP242" s="186"/>
      <c r="BQ242" s="186"/>
      <c r="BR242" s="186"/>
      <c r="BS242" s="186"/>
      <c r="BT242" s="186"/>
      <c r="BU242" s="186"/>
      <c r="BV242" s="186"/>
      <c r="BW242" s="186"/>
      <c r="BX242" s="186"/>
    </row>
    <row r="243" ht="15.75" customHeight="1">
      <c r="A243" s="928" t="s">
        <v>3823</v>
      </c>
      <c r="B243" s="929" t="s">
        <v>187</v>
      </c>
      <c r="C243" s="953" t="s">
        <v>4098</v>
      </c>
      <c r="D243" s="937" t="s">
        <v>4098</v>
      </c>
      <c r="E243" s="752"/>
      <c r="F243" s="752"/>
      <c r="G243" s="752"/>
      <c r="H243" s="222"/>
      <c r="I243" s="744" t="s">
        <v>4939</v>
      </c>
      <c r="J243" s="752"/>
      <c r="K243" s="752"/>
      <c r="L243" s="752"/>
      <c r="M243" s="938"/>
      <c r="N243" s="752"/>
      <c r="O243" s="752"/>
      <c r="P243" s="752"/>
      <c r="Q243" s="752"/>
      <c r="R243" s="753"/>
      <c r="S243" s="752"/>
      <c r="T243" s="752"/>
      <c r="U243" s="752"/>
      <c r="V243" s="752"/>
      <c r="W243" s="752"/>
      <c r="X243" s="752"/>
      <c r="Y243" s="931"/>
      <c r="Z243" s="752"/>
      <c r="AA243" s="752"/>
      <c r="AB243" s="752"/>
      <c r="AC243" s="752"/>
      <c r="AD243" s="752"/>
      <c r="AE243" s="931"/>
      <c r="AF243" s="752"/>
      <c r="AG243" s="752"/>
      <c r="AH243" s="752"/>
      <c r="AI243" s="752"/>
      <c r="AJ243" s="752"/>
      <c r="AK243" s="752"/>
      <c r="AL243" s="752"/>
      <c r="AM243" s="752"/>
      <c r="AN243" s="752"/>
      <c r="AO243" s="748"/>
      <c r="AP243" s="752"/>
      <c r="AQ243" s="752"/>
      <c r="AR243" s="936" t="s">
        <v>4941</v>
      </c>
      <c r="AS243" s="752"/>
      <c r="AT243" s="752"/>
      <c r="AU243" s="752"/>
      <c r="AV243" s="748"/>
      <c r="AW243" s="752"/>
      <c r="AX243" s="931"/>
      <c r="AY243" s="752"/>
      <c r="AZ243" s="752"/>
      <c r="BA243" s="752"/>
      <c r="BB243" s="752"/>
      <c r="BC243" s="752"/>
      <c r="BD243" s="752"/>
      <c r="BE243" s="931"/>
      <c r="BF243" s="752"/>
      <c r="BG243" s="752"/>
      <c r="BH243" s="752"/>
      <c r="BI243" s="752"/>
      <c r="BJ243" s="752"/>
      <c r="BK243" s="752"/>
      <c r="BL243" s="931"/>
      <c r="BM243" s="931"/>
      <c r="BN243" s="931"/>
      <c r="BO243" s="931"/>
      <c r="BP243" s="931"/>
      <c r="BQ243" s="931"/>
      <c r="BR243" s="931"/>
      <c r="BS243" s="931"/>
      <c r="BT243" s="931"/>
      <c r="BU243" s="931"/>
      <c r="BV243" s="931"/>
      <c r="BW243" s="931"/>
      <c r="BX243" s="931"/>
    </row>
    <row r="244" ht="15.75" customHeight="1">
      <c r="A244" s="954" t="s">
        <v>4942</v>
      </c>
      <c r="B244" s="955" t="s">
        <v>187</v>
      </c>
      <c r="C244" s="279" t="s">
        <v>4943</v>
      </c>
      <c r="D244" s="182" t="s">
        <v>4944</v>
      </c>
      <c r="E244" s="132" t="s">
        <v>4945</v>
      </c>
      <c r="F244" s="752"/>
      <c r="G244" s="757" t="s">
        <v>1507</v>
      </c>
      <c r="H244" s="222"/>
      <c r="I244" s="748"/>
      <c r="J244" s="752"/>
      <c r="K244" s="752"/>
      <c r="L244" s="752"/>
      <c r="M244" s="219"/>
      <c r="N244" s="752"/>
      <c r="O244" s="752"/>
      <c r="P244" s="752"/>
      <c r="Q244" s="752"/>
      <c r="R244" s="753"/>
      <c r="S244" s="752"/>
      <c r="T244" s="752"/>
      <c r="U244" s="752"/>
      <c r="V244" s="752"/>
      <c r="W244" s="752"/>
      <c r="X244" s="752"/>
      <c r="Y244" s="186"/>
      <c r="Z244" s="752"/>
      <c r="AA244" s="752"/>
      <c r="AB244" s="752"/>
      <c r="AC244" s="752"/>
      <c r="AD244" s="752"/>
      <c r="AE244" s="186"/>
      <c r="AF244" s="752"/>
      <c r="AG244" s="752"/>
      <c r="AH244" s="752"/>
      <c r="AI244" s="752"/>
      <c r="AJ244" s="752"/>
      <c r="AK244" s="752"/>
      <c r="AL244" s="752"/>
      <c r="AM244" s="752"/>
      <c r="AN244" s="752"/>
      <c r="AO244" s="748"/>
      <c r="AP244" s="752"/>
      <c r="AQ244" s="752"/>
      <c r="AR244" s="186"/>
      <c r="AS244" s="752"/>
      <c r="AT244" s="752"/>
      <c r="AU244" s="752"/>
      <c r="AV244" s="748"/>
      <c r="AW244" s="752"/>
      <c r="AX244" s="186"/>
      <c r="AY244" s="752"/>
      <c r="AZ244" s="752"/>
      <c r="BA244" s="752"/>
      <c r="BB244" s="752"/>
      <c r="BC244" s="752"/>
      <c r="BD244" s="752"/>
      <c r="BE244" s="186"/>
      <c r="BF244" s="752"/>
      <c r="BG244" s="752"/>
      <c r="BH244" s="752"/>
      <c r="BI244" s="752"/>
      <c r="BJ244" s="752"/>
      <c r="BK244" s="752"/>
      <c r="BL244" s="186"/>
      <c r="BM244" s="186"/>
      <c r="BN244" s="186"/>
      <c r="BO244" s="186"/>
      <c r="BP244" s="186"/>
      <c r="BQ244" s="186"/>
      <c r="BR244" s="186"/>
      <c r="BS244" s="186"/>
      <c r="BT244" s="186"/>
      <c r="BU244" s="186"/>
      <c r="BV244" s="186"/>
      <c r="BW244" s="186"/>
      <c r="BX244" s="186"/>
    </row>
    <row r="245" ht="15.75" customHeight="1">
      <c r="A245" s="928" t="s">
        <v>1122</v>
      </c>
      <c r="B245" s="929" t="s">
        <v>4946</v>
      </c>
      <c r="C245" s="741" t="s">
        <v>4947</v>
      </c>
      <c r="D245" s="938"/>
      <c r="E245" s="752" t="s">
        <v>4948</v>
      </c>
      <c r="F245" s="752"/>
      <c r="G245" s="752"/>
      <c r="H245" s="222"/>
      <c r="I245" s="748"/>
      <c r="J245" s="752"/>
      <c r="K245" s="752"/>
      <c r="L245" s="742" t="s">
        <v>4949</v>
      </c>
      <c r="M245" s="219"/>
      <c r="N245" s="752"/>
      <c r="O245" s="752"/>
      <c r="P245" s="752"/>
      <c r="Q245" s="752"/>
      <c r="R245" s="753"/>
      <c r="S245" s="752"/>
      <c r="T245" s="752"/>
      <c r="U245" s="752"/>
      <c r="V245" s="742" t="s">
        <v>4950</v>
      </c>
      <c r="W245" s="752"/>
      <c r="X245" s="752"/>
      <c r="Y245" s="186"/>
      <c r="Z245" s="752"/>
      <c r="AA245" s="752"/>
      <c r="AB245" s="752"/>
      <c r="AC245" s="752"/>
      <c r="AD245" s="752"/>
      <c r="AE245" s="186"/>
      <c r="AF245" s="752"/>
      <c r="AG245" s="752"/>
      <c r="AH245" s="752"/>
      <c r="AI245" s="752"/>
      <c r="AJ245" s="752"/>
      <c r="AK245" s="752"/>
      <c r="AL245" s="752"/>
      <c r="AM245" s="752"/>
      <c r="AN245" s="752"/>
      <c r="AO245" s="748"/>
      <c r="AP245" s="752"/>
      <c r="AQ245" s="752"/>
      <c r="AR245" s="186"/>
      <c r="AS245" s="752"/>
      <c r="AT245" s="752"/>
      <c r="AU245" s="752"/>
      <c r="AV245" s="748"/>
      <c r="AW245" s="752"/>
      <c r="AX245" s="186"/>
      <c r="AY245" s="752"/>
      <c r="AZ245" s="752"/>
      <c r="BA245" s="752"/>
      <c r="BB245" s="752"/>
      <c r="BC245" s="752"/>
      <c r="BD245" s="752"/>
      <c r="BE245" s="186"/>
      <c r="BF245" s="752"/>
      <c r="BG245" s="752"/>
      <c r="BH245" s="752"/>
      <c r="BI245" s="752"/>
      <c r="BJ245" s="752"/>
      <c r="BK245" s="752"/>
      <c r="BL245" s="186"/>
      <c r="BM245" s="186"/>
      <c r="BN245" s="186"/>
      <c r="BO245" s="186"/>
      <c r="BP245" s="186"/>
      <c r="BQ245" s="186"/>
      <c r="BR245" s="186"/>
      <c r="BS245" s="186"/>
      <c r="BT245" s="186"/>
      <c r="BU245" s="186"/>
      <c r="BV245" s="186"/>
      <c r="BW245" s="186"/>
      <c r="BX245" s="186"/>
    </row>
    <row r="246" ht="15.75" customHeight="1">
      <c r="A246" s="956"/>
      <c r="B246" s="935" t="s">
        <v>4951</v>
      </c>
      <c r="C246" s="957" t="s">
        <v>4952</v>
      </c>
      <c r="D246" s="292" t="s">
        <v>4952</v>
      </c>
      <c r="E246" s="174" t="s">
        <v>1986</v>
      </c>
      <c r="F246" s="752"/>
      <c r="G246" s="752"/>
      <c r="H246" s="132" t="s">
        <v>4701</v>
      </c>
      <c r="I246" s="385" t="s">
        <v>4954</v>
      </c>
      <c r="J246" s="752" t="s">
        <v>1280</v>
      </c>
      <c r="K246" s="742" t="s">
        <v>4957</v>
      </c>
      <c r="L246" s="742" t="s">
        <v>1953</v>
      </c>
      <c r="M246" s="938"/>
      <c r="N246" s="752"/>
      <c r="O246" s="752"/>
      <c r="P246" s="752" t="s">
        <v>3270</v>
      </c>
      <c r="Q246" s="742" t="s">
        <v>4701</v>
      </c>
      <c r="R246" s="753" t="s">
        <v>4959</v>
      </c>
      <c r="S246" s="752" t="s">
        <v>1986</v>
      </c>
      <c r="T246" s="752"/>
      <c r="U246" s="132" t="s">
        <v>4641</v>
      </c>
      <c r="V246" s="132" t="s">
        <v>1726</v>
      </c>
      <c r="W246" s="742" t="s">
        <v>4960</v>
      </c>
      <c r="X246" s="752" t="s">
        <v>4962</v>
      </c>
      <c r="Y246" s="936" t="s">
        <v>4963</v>
      </c>
      <c r="Z246" s="752"/>
      <c r="AA246" s="752"/>
      <c r="AB246" s="752"/>
      <c r="AC246" s="752"/>
      <c r="AD246" s="752"/>
      <c r="AE246" s="931"/>
      <c r="AF246" s="752"/>
      <c r="AG246" s="752"/>
      <c r="AH246" s="752"/>
      <c r="AI246" s="752"/>
      <c r="AJ246" s="752"/>
      <c r="AK246" s="752" t="s">
        <v>4964</v>
      </c>
      <c r="AL246" s="752"/>
      <c r="AM246" s="752"/>
      <c r="AN246" s="752"/>
      <c r="AO246" s="748"/>
      <c r="AP246" s="752"/>
      <c r="AQ246" s="752"/>
      <c r="AR246" s="931"/>
      <c r="AS246" s="752"/>
      <c r="AT246" s="752"/>
      <c r="AU246" s="752"/>
      <c r="AV246" s="748"/>
      <c r="AW246" s="752"/>
      <c r="AX246" s="931"/>
      <c r="AY246" s="752"/>
      <c r="AZ246" s="752"/>
      <c r="BA246" s="752"/>
      <c r="BB246" s="752"/>
      <c r="BC246" s="752"/>
      <c r="BD246" s="752"/>
      <c r="BE246" s="931"/>
      <c r="BF246" s="752"/>
      <c r="BG246" s="752"/>
      <c r="BH246" s="752"/>
      <c r="BI246" s="752"/>
      <c r="BJ246" s="752"/>
      <c r="BK246" s="752"/>
      <c r="BL246" s="931"/>
      <c r="BM246" s="931"/>
      <c r="BN246" s="931"/>
      <c r="BO246" s="931"/>
      <c r="BP246" s="931"/>
      <c r="BQ246" s="931"/>
      <c r="BR246" s="931"/>
      <c r="BS246" s="931"/>
      <c r="BT246" s="931"/>
      <c r="BU246" s="931"/>
      <c r="BV246" s="931"/>
      <c r="BW246" s="931"/>
      <c r="BX246" s="931"/>
    </row>
    <row r="247" ht="15.75" customHeight="1">
      <c r="A247" s="939"/>
      <c r="B247" s="940" t="s">
        <v>4966</v>
      </c>
      <c r="C247" s="279" t="s">
        <v>208</v>
      </c>
      <c r="D247" s="124" t="s">
        <v>208</v>
      </c>
      <c r="E247" s="742"/>
      <c r="F247" s="742" t="s">
        <v>1411</v>
      </c>
      <c r="G247" s="757" t="s">
        <v>4970</v>
      </c>
      <c r="H247" s="222"/>
      <c r="I247" s="748"/>
      <c r="J247" s="742"/>
      <c r="K247" s="742"/>
      <c r="L247" s="742"/>
      <c r="M247" s="219"/>
      <c r="N247" s="742" t="s">
        <v>475</v>
      </c>
      <c r="O247" s="742" t="str">
        <f>HYPERLINK("https://youtu.be/gxCMrXIu1MU","52.20")</f>
        <v>52.20</v>
      </c>
      <c r="P247" s="742"/>
      <c r="Q247" s="742"/>
      <c r="R247" s="746"/>
      <c r="S247" s="742"/>
      <c r="T247" s="742"/>
      <c r="U247" s="742"/>
      <c r="V247" s="742"/>
      <c r="W247" s="742"/>
      <c r="X247" s="742"/>
      <c r="Y247" s="186"/>
      <c r="Z247" s="742"/>
      <c r="AA247" s="742"/>
      <c r="AB247" s="742"/>
      <c r="AC247" s="742"/>
      <c r="AD247" s="742"/>
      <c r="AE247" s="186"/>
      <c r="AF247" s="742"/>
      <c r="AG247" s="742"/>
      <c r="AH247" s="742"/>
      <c r="AI247" s="742"/>
      <c r="AJ247" s="742"/>
      <c r="AK247" s="742"/>
      <c r="AL247" s="742"/>
      <c r="AM247" s="742"/>
      <c r="AN247" s="742"/>
      <c r="AO247" s="748"/>
      <c r="AP247" s="742"/>
      <c r="AQ247" s="742"/>
      <c r="AR247" s="186"/>
      <c r="AS247" s="742"/>
      <c r="AT247" s="742"/>
      <c r="AU247" s="742"/>
      <c r="AV247" s="748"/>
      <c r="AW247" s="742"/>
      <c r="AX247" s="186"/>
      <c r="AY247" s="742"/>
      <c r="AZ247" s="742"/>
      <c r="BA247" s="385" t="s">
        <v>4972</v>
      </c>
      <c r="BB247" s="742"/>
      <c r="BC247" s="742"/>
      <c r="BD247" s="742"/>
      <c r="BE247" s="186"/>
      <c r="BF247" s="742"/>
      <c r="BG247" s="742"/>
      <c r="BH247" s="742"/>
      <c r="BI247" s="742"/>
      <c r="BJ247" s="742"/>
      <c r="BK247" s="742"/>
      <c r="BL247" s="186"/>
      <c r="BM247" s="186"/>
      <c r="BN247" s="186"/>
      <c r="BO247" s="186"/>
      <c r="BP247" s="186"/>
      <c r="BQ247" s="186"/>
      <c r="BR247" s="186"/>
      <c r="BS247" s="186"/>
      <c r="BT247" s="186"/>
      <c r="BU247" s="186"/>
      <c r="BV247" s="186"/>
      <c r="BW247" s="186"/>
      <c r="BX247" s="186"/>
    </row>
    <row r="248" ht="15.75" customHeight="1">
      <c r="A248" s="942" t="s">
        <v>469</v>
      </c>
      <c r="B248" s="958" t="s">
        <v>4974</v>
      </c>
      <c r="C248" s="741" t="s">
        <v>4975</v>
      </c>
      <c r="D248" s="219"/>
      <c r="E248" s="752" t="s">
        <v>1347</v>
      </c>
      <c r="F248" s="752"/>
      <c r="G248" s="752"/>
      <c r="H248" s="222"/>
      <c r="I248" s="748"/>
      <c r="J248" s="752"/>
      <c r="K248" s="752"/>
      <c r="L248" s="132" t="s">
        <v>4977</v>
      </c>
      <c r="M248" s="937" t="s">
        <v>4978</v>
      </c>
      <c r="N248" s="752"/>
      <c r="O248" s="752"/>
      <c r="P248" s="752"/>
      <c r="Q248" s="752"/>
      <c r="R248" s="753"/>
      <c r="S248" s="752"/>
      <c r="T248" s="752"/>
      <c r="U248" s="752"/>
      <c r="V248" s="752"/>
      <c r="W248" s="752"/>
      <c r="X248" s="752"/>
      <c r="Y248" s="931"/>
      <c r="Z248" s="752"/>
      <c r="AA248" s="752"/>
      <c r="AB248" s="752"/>
      <c r="AC248" s="752"/>
      <c r="AD248" s="752"/>
      <c r="AE248" s="931"/>
      <c r="AF248" s="752"/>
      <c r="AG248" s="752"/>
      <c r="AH248" s="752"/>
      <c r="AI248" s="752"/>
      <c r="AJ248" s="752"/>
      <c r="AK248" s="752"/>
      <c r="AL248" s="752"/>
      <c r="AM248" s="752"/>
      <c r="AN248" s="752"/>
      <c r="AO248" s="748"/>
      <c r="AP248" s="752"/>
      <c r="AQ248" s="752"/>
      <c r="AR248" s="931"/>
      <c r="AS248" s="752"/>
      <c r="AT248" s="752"/>
      <c r="AU248" s="752"/>
      <c r="AV248" s="748"/>
      <c r="AW248" s="752"/>
      <c r="AX248" s="931"/>
      <c r="AY248" s="752"/>
      <c r="AZ248" s="752"/>
      <c r="BA248" s="752"/>
      <c r="BB248" s="752"/>
      <c r="BC248" s="752"/>
      <c r="BD248" s="752"/>
      <c r="BE248" s="931"/>
      <c r="BF248" s="752"/>
      <c r="BG248" s="752"/>
      <c r="BH248" s="752"/>
      <c r="BI248" s="752"/>
      <c r="BJ248" s="752"/>
      <c r="BK248" s="752"/>
      <c r="BL248" s="931"/>
      <c r="BM248" s="931"/>
      <c r="BN248" s="931"/>
      <c r="BO248" s="931"/>
      <c r="BP248" s="931"/>
      <c r="BQ248" s="931"/>
      <c r="BR248" s="931"/>
      <c r="BS248" s="931"/>
      <c r="BT248" s="931"/>
      <c r="BU248" s="931"/>
      <c r="BV248" s="931"/>
      <c r="BW248" s="931"/>
      <c r="BX248" s="931"/>
    </row>
    <row r="249" ht="15.75" customHeight="1">
      <c r="A249" s="956"/>
      <c r="B249" s="935" t="s">
        <v>4982</v>
      </c>
      <c r="C249" s="261" t="s">
        <v>3553</v>
      </c>
      <c r="D249" s="937" t="s">
        <v>4983</v>
      </c>
      <c r="E249" s="742"/>
      <c r="F249" s="742" t="s">
        <v>4984</v>
      </c>
      <c r="G249" s="742"/>
      <c r="H249" s="222"/>
      <c r="I249" s="748"/>
      <c r="J249" s="742"/>
      <c r="K249" s="742"/>
      <c r="L249" s="742"/>
      <c r="M249" s="960" t="s">
        <v>4987</v>
      </c>
      <c r="N249" s="742"/>
      <c r="O249" s="742"/>
      <c r="P249" s="742"/>
      <c r="Q249" s="742"/>
      <c r="R249" s="746"/>
      <c r="S249" s="742"/>
      <c r="T249" s="742"/>
      <c r="U249" s="742" t="s">
        <v>4989</v>
      </c>
      <c r="V249" s="742"/>
      <c r="W249" s="742"/>
      <c r="X249" s="742"/>
      <c r="Y249" s="186"/>
      <c r="Z249" s="742"/>
      <c r="AA249" s="742" t="s">
        <v>4977</v>
      </c>
      <c r="AB249" s="742"/>
      <c r="AC249" s="742"/>
      <c r="AD249" s="742"/>
      <c r="AE249" s="186"/>
      <c r="AF249" s="742"/>
      <c r="AG249" s="742"/>
      <c r="AH249" s="742"/>
      <c r="AI249" s="742"/>
      <c r="AJ249" s="742"/>
      <c r="AK249" s="742"/>
      <c r="AL249" s="742"/>
      <c r="AM249" s="742"/>
      <c r="AN249" s="742"/>
      <c r="AO249" s="748"/>
      <c r="AP249" s="742"/>
      <c r="AQ249" s="742"/>
      <c r="AR249" s="186"/>
      <c r="AS249" s="742"/>
      <c r="AT249" s="742"/>
      <c r="AU249" s="742"/>
      <c r="AV249" s="748"/>
      <c r="AW249" s="742"/>
      <c r="AX249" s="186"/>
      <c r="AY249" s="742"/>
      <c r="AZ249" s="742"/>
      <c r="BA249" s="742"/>
      <c r="BB249" s="742"/>
      <c r="BC249" s="742"/>
      <c r="BD249" s="742"/>
      <c r="BE249" s="245" t="s">
        <v>3553</v>
      </c>
      <c r="BF249" s="742"/>
      <c r="BG249" s="742"/>
      <c r="BH249" s="742"/>
      <c r="BI249" s="742"/>
      <c r="BJ249" s="742"/>
      <c r="BK249" s="742"/>
      <c r="BL249" s="186"/>
      <c r="BM249" s="186"/>
      <c r="BN249" s="186"/>
      <c r="BO249" s="186"/>
      <c r="BP249" s="186"/>
      <c r="BQ249" s="186"/>
      <c r="BR249" s="186"/>
      <c r="BS249" s="186"/>
      <c r="BT249" s="186"/>
      <c r="BU249" s="186"/>
      <c r="BV249" s="186"/>
      <c r="BW249" s="186"/>
      <c r="BX249" s="186"/>
    </row>
    <row r="250" ht="15.75" customHeight="1">
      <c r="A250" s="961"/>
      <c r="B250" s="940" t="s">
        <v>4992</v>
      </c>
      <c r="C250" s="741" t="s">
        <v>4993</v>
      </c>
      <c r="E250" s="752" t="s">
        <v>4996</v>
      </c>
      <c r="F250" s="752"/>
      <c r="G250" s="752"/>
      <c r="I250" s="744" t="s">
        <v>602</v>
      </c>
      <c r="J250" s="752" t="s">
        <v>4997</v>
      </c>
      <c r="K250" s="752"/>
      <c r="M250" s="938"/>
      <c r="N250" s="752"/>
      <c r="O250" s="752"/>
      <c r="P250" s="752" t="s">
        <v>4998</v>
      </c>
      <c r="Q250" s="752"/>
      <c r="R250" s="753" t="s">
        <v>4999</v>
      </c>
      <c r="S250" s="752"/>
      <c r="T250" s="132" t="s">
        <v>2051</v>
      </c>
      <c r="U250" s="752" t="s">
        <v>4993</v>
      </c>
      <c r="V250" s="752"/>
      <c r="W250" s="752"/>
      <c r="X250" s="752" t="s">
        <v>5000</v>
      </c>
      <c r="Y250" s="931"/>
      <c r="Z250" s="752"/>
      <c r="AA250" s="752"/>
      <c r="AB250" s="752"/>
      <c r="AC250" s="752"/>
      <c r="AD250" s="752"/>
      <c r="AE250" s="931"/>
      <c r="AF250" s="752"/>
      <c r="AG250" s="752"/>
      <c r="AH250" s="752"/>
      <c r="AK250" s="752" t="s">
        <v>5001</v>
      </c>
      <c r="AL250" s="752"/>
      <c r="AM250" s="752"/>
      <c r="AN250" s="752"/>
      <c r="AO250" s="748"/>
      <c r="AP250" s="752"/>
      <c r="AR250" s="931"/>
      <c r="AS250" s="752"/>
      <c r="AT250" s="132" t="str">
        <f>HYPERLINK("https://youtu.be/7lF7UZKburw","31.51")</f>
        <v>31.51</v>
      </c>
      <c r="AU250" s="752"/>
      <c r="AV250" s="748"/>
      <c r="AW250" s="752"/>
      <c r="AX250" s="931"/>
      <c r="AY250" s="752"/>
      <c r="AZ250" s="752"/>
      <c r="BA250" s="752"/>
      <c r="BB250" s="752"/>
      <c r="BC250" s="752"/>
      <c r="BD250" s="752"/>
      <c r="BE250" s="931"/>
      <c r="BF250" s="752"/>
      <c r="BG250" s="752"/>
      <c r="BH250" s="752"/>
      <c r="BI250" s="752"/>
      <c r="BJ250" s="752"/>
      <c r="BK250" s="752"/>
      <c r="BL250" s="931"/>
      <c r="BM250" s="931"/>
      <c r="BN250" s="931"/>
      <c r="BO250" s="931"/>
      <c r="BP250" s="931"/>
      <c r="BQ250" s="931"/>
      <c r="BR250" s="931"/>
      <c r="BS250" s="931"/>
      <c r="BT250" s="931"/>
      <c r="BU250" s="931"/>
      <c r="BV250" s="931"/>
      <c r="BW250" s="931"/>
      <c r="BX250" s="931"/>
    </row>
    <row r="251" ht="15.75" customHeight="1">
      <c r="A251" s="956"/>
      <c r="B251" s="935" t="s">
        <v>5005</v>
      </c>
      <c r="C251" s="119" t="s">
        <v>4233</v>
      </c>
      <c r="D251" s="182" t="s">
        <v>579</v>
      </c>
      <c r="E251" s="672"/>
      <c r="F251" s="752"/>
      <c r="G251" s="742"/>
      <c r="H251" s="132" t="s">
        <v>5007</v>
      </c>
      <c r="I251" s="748"/>
      <c r="J251" s="752"/>
      <c r="K251" s="742"/>
      <c r="L251" s="132" t="s">
        <v>4855</v>
      </c>
      <c r="M251" s="219"/>
      <c r="N251" s="742"/>
      <c r="O251" s="742"/>
      <c r="P251" s="752"/>
      <c r="Q251" s="742"/>
      <c r="R251" s="753"/>
      <c r="S251" s="752"/>
      <c r="T251" s="752"/>
      <c r="U251" s="222"/>
      <c r="V251" s="752"/>
      <c r="W251" s="752"/>
      <c r="X251" s="752"/>
      <c r="Y251" s="186"/>
      <c r="Z251" s="752"/>
      <c r="AA251" s="752"/>
      <c r="AB251" s="752"/>
      <c r="AC251" s="752"/>
      <c r="AD251" s="752"/>
      <c r="AE251" s="186"/>
      <c r="AF251" s="752"/>
      <c r="AG251" s="752"/>
      <c r="AH251" s="752"/>
      <c r="AI251" s="742" t="s">
        <v>1503</v>
      </c>
      <c r="AJ251" s="742" t="s">
        <v>1503</v>
      </c>
      <c r="AK251" s="752"/>
      <c r="AL251" s="222"/>
      <c r="AM251" s="752"/>
      <c r="AN251" s="752"/>
      <c r="AO251" s="748"/>
      <c r="AP251" s="752"/>
      <c r="AQ251" s="742" t="s">
        <v>5010</v>
      </c>
      <c r="AR251" s="186"/>
      <c r="AS251" s="752"/>
      <c r="AT251" s="752"/>
      <c r="AU251" s="752"/>
      <c r="AV251" s="748"/>
      <c r="AW251" s="752"/>
      <c r="AX251" s="186"/>
      <c r="AY251" s="752"/>
      <c r="AZ251" s="752"/>
      <c r="BA251" s="752"/>
      <c r="BB251" s="752"/>
      <c r="BC251" s="752"/>
      <c r="BD251" s="752"/>
      <c r="BE251" s="186"/>
      <c r="BF251" s="752"/>
      <c r="BG251" s="752"/>
      <c r="BH251" s="752"/>
      <c r="BI251" s="752"/>
      <c r="BJ251" s="752"/>
      <c r="BK251" s="752"/>
      <c r="BL251" s="186"/>
      <c r="BM251" s="186"/>
      <c r="BN251" s="186"/>
      <c r="BO251" s="186"/>
      <c r="BP251" s="186"/>
      <c r="BQ251" s="186"/>
      <c r="BR251" s="186"/>
      <c r="BS251" s="186"/>
      <c r="BT251" s="186"/>
      <c r="BU251" s="186"/>
      <c r="BV251" s="186"/>
      <c r="BW251" s="186"/>
      <c r="BX251" s="186"/>
    </row>
    <row r="252" ht="15.75" customHeight="1">
      <c r="A252" s="961"/>
      <c r="B252" s="940" t="s">
        <v>5012</v>
      </c>
      <c r="C252" s="741" t="s">
        <v>5013</v>
      </c>
      <c r="D252" s="292" t="s">
        <v>5014</v>
      </c>
      <c r="E252" s="174" t="s">
        <v>1646</v>
      </c>
      <c r="F252" s="752"/>
      <c r="G252" s="742" t="s">
        <v>5016</v>
      </c>
      <c r="H252" s="222"/>
      <c r="I252" s="748"/>
      <c r="J252" s="752"/>
      <c r="K252" s="742" t="s">
        <v>4168</v>
      </c>
      <c r="L252" s="752"/>
      <c r="M252" s="219"/>
      <c r="N252" s="742" t="s">
        <v>4070</v>
      </c>
      <c r="O252" s="742" t="s">
        <v>613</v>
      </c>
      <c r="P252" s="752"/>
      <c r="Q252" s="742" t="s">
        <v>1522</v>
      </c>
      <c r="R252" s="753"/>
      <c r="S252" s="752" t="s">
        <v>5018</v>
      </c>
      <c r="T252" s="752"/>
      <c r="U252" s="132" t="s">
        <v>5019</v>
      </c>
      <c r="V252" s="752"/>
      <c r="W252" s="752"/>
      <c r="X252" s="752"/>
      <c r="Y252" s="186"/>
      <c r="Z252" s="752"/>
      <c r="AA252" s="752"/>
      <c r="AB252" s="752"/>
      <c r="AC252" s="752"/>
      <c r="AD252" s="752"/>
      <c r="AE252" s="186"/>
      <c r="AF252" s="752"/>
      <c r="AG252" s="752"/>
      <c r="AH252" s="752"/>
      <c r="AI252" s="752"/>
      <c r="AJ252" s="752"/>
      <c r="AK252" s="752"/>
      <c r="AL252" s="132" t="s">
        <v>5013</v>
      </c>
      <c r="AM252" s="752"/>
      <c r="AN252" s="752"/>
      <c r="AO252" s="748"/>
      <c r="AP252" s="752"/>
      <c r="AQ252" s="752"/>
      <c r="AR252" s="186"/>
      <c r="AS252" s="752"/>
      <c r="AT252" s="752"/>
      <c r="AU252" s="752"/>
      <c r="AV252" s="748"/>
      <c r="AW252" s="752"/>
      <c r="AX252" s="186"/>
      <c r="AY252" s="752"/>
      <c r="AZ252" s="752"/>
      <c r="BA252" s="752"/>
      <c r="BB252" s="752"/>
      <c r="BC252" s="752"/>
      <c r="BD252" s="752"/>
      <c r="BE252" s="186"/>
      <c r="BF252" s="752"/>
      <c r="BG252" s="752"/>
      <c r="BH252" s="752"/>
      <c r="BI252" s="752"/>
      <c r="BJ252" s="752"/>
      <c r="BK252" s="752"/>
      <c r="BL252" s="186"/>
      <c r="BM252" s="186"/>
      <c r="BN252" s="186"/>
      <c r="BO252" s="186"/>
      <c r="BP252" s="186"/>
      <c r="BQ252" s="186"/>
      <c r="BR252" s="186"/>
      <c r="BS252" s="186"/>
      <c r="BT252" s="186"/>
      <c r="BU252" s="186"/>
      <c r="BV252" s="186"/>
      <c r="BW252" s="186"/>
      <c r="BX252" s="186"/>
    </row>
    <row r="253" ht="15.75" customHeight="1">
      <c r="A253" s="942" t="s">
        <v>577</v>
      </c>
      <c r="B253" s="958" t="s">
        <v>5021</v>
      </c>
      <c r="C253" s="741" t="s">
        <v>5022</v>
      </c>
      <c r="D253" s="219"/>
      <c r="E253" s="967"/>
      <c r="F253" s="742" t="s">
        <v>5023</v>
      </c>
      <c r="G253" s="967"/>
      <c r="H253" s="222"/>
      <c r="I253" s="748"/>
      <c r="J253" s="967"/>
      <c r="K253" s="967"/>
      <c r="L253" s="967"/>
      <c r="M253" s="937" t="s">
        <v>1187</v>
      </c>
      <c r="N253" s="967"/>
      <c r="O253" s="967"/>
      <c r="P253" s="967"/>
      <c r="Q253" s="967"/>
      <c r="R253" s="746"/>
      <c r="S253" s="967"/>
      <c r="T253" s="967"/>
      <c r="U253" s="967"/>
      <c r="V253" s="967"/>
      <c r="W253" s="967"/>
      <c r="X253" s="967"/>
      <c r="Y253" s="931"/>
      <c r="Z253" s="967"/>
      <c r="AA253" s="742" t="s">
        <v>3508</v>
      </c>
      <c r="AB253" s="967"/>
      <c r="AC253" s="967"/>
      <c r="AD253" s="967"/>
      <c r="AE253" s="931"/>
      <c r="AF253" s="967"/>
      <c r="AG253" s="967" t="s">
        <v>5026</v>
      </c>
      <c r="AH253" s="967"/>
      <c r="AI253" s="967"/>
      <c r="AJ253" s="967"/>
      <c r="AK253" s="967"/>
      <c r="AL253" s="967"/>
      <c r="AM253" s="967"/>
      <c r="AN253" s="967"/>
      <c r="AO253" s="748"/>
      <c r="AP253" s="967"/>
      <c r="AQ253" s="967"/>
      <c r="AR253" s="931"/>
      <c r="AS253" s="967"/>
      <c r="AT253" s="967"/>
      <c r="AU253" s="967"/>
      <c r="AV253" s="748"/>
      <c r="AW253" s="967"/>
      <c r="AX253" s="931"/>
      <c r="AY253" s="967"/>
      <c r="AZ253" s="967"/>
      <c r="BA253" s="967"/>
      <c r="BB253" s="967"/>
      <c r="BC253" s="967"/>
      <c r="BD253" s="967"/>
      <c r="BE253" s="931"/>
      <c r="BF253" s="967"/>
      <c r="BG253" s="967"/>
      <c r="BH253" s="967"/>
      <c r="BI253" s="967"/>
      <c r="BJ253" s="967"/>
      <c r="BK253" s="967"/>
      <c r="BL253" s="931"/>
      <c r="BM253" s="931"/>
      <c r="BN253" s="931"/>
      <c r="BO253" s="931"/>
      <c r="BP253" s="931"/>
      <c r="BQ253" s="931"/>
      <c r="BR253" s="931"/>
      <c r="BS253" s="931"/>
      <c r="BT253" s="931"/>
      <c r="BU253" s="931"/>
      <c r="BV253" s="931"/>
      <c r="BW253" s="931"/>
      <c r="BX253" s="931"/>
    </row>
    <row r="254" ht="15.75" customHeight="1">
      <c r="A254" s="934"/>
      <c r="B254" s="935" t="s">
        <v>5028</v>
      </c>
      <c r="C254" s="741" t="s">
        <v>4744</v>
      </c>
      <c r="D254" s="938"/>
      <c r="E254" s="742" t="s">
        <v>4682</v>
      </c>
      <c r="F254" s="742" t="s">
        <v>4744</v>
      </c>
      <c r="G254" s="132" t="s">
        <v>5029</v>
      </c>
      <c r="H254" s="132" t="s">
        <v>5030</v>
      </c>
      <c r="I254" s="744" t="s">
        <v>5031</v>
      </c>
      <c r="J254" s="742"/>
      <c r="K254" s="742" t="s">
        <v>5032</v>
      </c>
      <c r="L254" s="742" t="s">
        <v>3066</v>
      </c>
      <c r="M254" s="219"/>
      <c r="N254" s="742" t="s">
        <v>1885</v>
      </c>
      <c r="O254" s="742"/>
      <c r="P254" s="742"/>
      <c r="Q254" s="742"/>
      <c r="R254" s="746"/>
      <c r="S254" s="742"/>
      <c r="T254" s="742"/>
      <c r="U254" s="132" t="s">
        <v>3454</v>
      </c>
      <c r="V254" s="742" t="s">
        <v>4741</v>
      </c>
      <c r="W254" s="742"/>
      <c r="X254" s="742"/>
      <c r="Y254" s="186"/>
      <c r="Z254" s="742" t="s">
        <v>4734</v>
      </c>
      <c r="AA254" s="742"/>
      <c r="AB254" s="742"/>
      <c r="AC254" s="742"/>
      <c r="AD254" s="742"/>
      <c r="AE254" s="186"/>
      <c r="AF254" s="742"/>
      <c r="AG254" s="742"/>
      <c r="AH254" s="742"/>
      <c r="AI254" s="742"/>
      <c r="AJ254" s="742" t="s">
        <v>5037</v>
      </c>
      <c r="AK254" s="742"/>
      <c r="AL254" s="742"/>
      <c r="AM254" s="742"/>
      <c r="AN254" s="742"/>
      <c r="AO254" s="748"/>
      <c r="AP254" s="742"/>
      <c r="AQ254" s="742"/>
      <c r="AR254" s="186"/>
      <c r="AS254" s="742"/>
      <c r="AT254" s="742"/>
      <c r="AU254" s="742"/>
      <c r="AV254" s="748"/>
      <c r="AW254" s="742"/>
      <c r="AX254" s="186"/>
      <c r="AY254" s="742"/>
      <c r="AZ254" s="742"/>
      <c r="BA254" s="742"/>
      <c r="BB254" s="742"/>
      <c r="BC254" s="742"/>
      <c r="BD254" s="742"/>
      <c r="BE254" s="186"/>
      <c r="BF254" s="742"/>
      <c r="BG254" s="742"/>
      <c r="BH254" s="742"/>
      <c r="BI254" s="742"/>
      <c r="BJ254" s="742"/>
      <c r="BK254" s="742"/>
      <c r="BL254" s="186"/>
      <c r="BM254" s="186"/>
      <c r="BN254" s="186"/>
      <c r="BO254" s="186"/>
      <c r="BP254" s="186"/>
      <c r="BQ254" s="186"/>
      <c r="BR254" s="186"/>
      <c r="BS254" s="186"/>
      <c r="BT254" s="186"/>
      <c r="BU254" s="186"/>
      <c r="BV254" s="186"/>
      <c r="BW254" s="186"/>
      <c r="BX254" s="186"/>
    </row>
    <row r="255" ht="15.75" customHeight="1">
      <c r="A255" s="939"/>
      <c r="B255" s="940" t="s">
        <v>5042</v>
      </c>
      <c r="C255" s="279" t="s">
        <v>3709</v>
      </c>
      <c r="D255" s="182" t="s">
        <v>3709</v>
      </c>
      <c r="E255" s="744" t="s">
        <v>2393</v>
      </c>
      <c r="F255" s="742"/>
      <c r="G255" s="744" t="s">
        <v>5044</v>
      </c>
      <c r="H255" s="222"/>
      <c r="I255" s="748"/>
      <c r="J255" s="742"/>
      <c r="K255" s="742"/>
      <c r="L255" s="742"/>
      <c r="M255" s="938"/>
      <c r="N255" s="742"/>
      <c r="O255" s="742"/>
      <c r="P255" s="742"/>
      <c r="Q255" s="742"/>
      <c r="R255" s="746"/>
      <c r="S255" s="742"/>
      <c r="T255" s="132" t="s">
        <v>5046</v>
      </c>
      <c r="U255" s="742"/>
      <c r="V255" s="742"/>
      <c r="W255" s="742"/>
      <c r="X255" s="742"/>
      <c r="Y255" s="936" t="s">
        <v>5047</v>
      </c>
      <c r="Z255" s="742"/>
      <c r="AA255" s="742"/>
      <c r="AB255" s="742"/>
      <c r="AC255" s="742"/>
      <c r="AD255" s="742"/>
      <c r="AE255" s="931"/>
      <c r="AF255" s="742"/>
      <c r="AG255" s="742"/>
      <c r="AH255" s="742"/>
      <c r="AI255" s="742"/>
      <c r="AJ255" s="742"/>
      <c r="AK255" s="742"/>
      <c r="AL255" s="742"/>
      <c r="AM255" s="742"/>
      <c r="AN255" s="742"/>
      <c r="AO255" s="748"/>
      <c r="AP255" s="742"/>
      <c r="AQ255" s="742"/>
      <c r="AR255" s="931"/>
      <c r="AS255" s="742"/>
      <c r="AT255" s="742"/>
      <c r="AU255" s="742"/>
      <c r="AV255" s="748"/>
      <c r="AW255" s="742"/>
      <c r="AX255" s="931"/>
      <c r="AY255" s="742"/>
      <c r="AZ255" s="742"/>
      <c r="BA255" s="742"/>
      <c r="BB255" s="742"/>
      <c r="BC255" s="742"/>
      <c r="BD255" s="742"/>
      <c r="BE255" s="931"/>
      <c r="BF255" s="742"/>
      <c r="BG255" s="742"/>
      <c r="BH255" s="742"/>
      <c r="BI255" s="742"/>
      <c r="BJ255" s="742"/>
      <c r="BK255" s="742"/>
      <c r="BL255" s="931"/>
      <c r="BM255" s="931"/>
      <c r="BN255" s="931"/>
      <c r="BO255" s="931"/>
      <c r="BP255" s="931"/>
      <c r="BQ255" s="931"/>
      <c r="BR255" s="931"/>
      <c r="BS255" s="931"/>
      <c r="BT255" s="931"/>
      <c r="BU255" s="931"/>
      <c r="BV255" s="931"/>
      <c r="BW255" s="931"/>
      <c r="BX255" s="931"/>
    </row>
    <row r="256" ht="15.75" customHeight="1">
      <c r="A256" s="928" t="s">
        <v>1598</v>
      </c>
      <c r="B256" s="929" t="s">
        <v>4756</v>
      </c>
      <c r="C256" s="741" t="s">
        <v>3865</v>
      </c>
      <c r="D256" s="443" t="s">
        <v>5055</v>
      </c>
      <c r="E256" s="742" t="s">
        <v>4865</v>
      </c>
      <c r="F256" s="742" t="s">
        <v>3867</v>
      </c>
      <c r="G256" s="742" t="s">
        <v>3865</v>
      </c>
      <c r="H256" s="222"/>
      <c r="I256" s="748"/>
      <c r="J256" s="742"/>
      <c r="K256" s="742"/>
      <c r="L256" s="742" t="s">
        <v>2313</v>
      </c>
      <c r="M256" s="937" t="s">
        <v>5059</v>
      </c>
      <c r="N256" s="742"/>
      <c r="O256" s="742"/>
      <c r="P256" s="742" t="s">
        <v>5061</v>
      </c>
      <c r="Q256" s="742" t="s">
        <v>5055</v>
      </c>
      <c r="R256" s="746" t="s">
        <v>5062</v>
      </c>
      <c r="S256" s="742"/>
      <c r="T256" s="742"/>
      <c r="U256" s="742" t="s">
        <v>3865</v>
      </c>
      <c r="V256" s="742"/>
      <c r="W256" s="742"/>
      <c r="X256" s="742" t="s">
        <v>5063</v>
      </c>
      <c r="Y256" s="931"/>
      <c r="Z256" s="742"/>
      <c r="AA256" s="742"/>
      <c r="AB256" s="742"/>
      <c r="AC256" s="742"/>
      <c r="AD256" s="742"/>
      <c r="AE256" s="931"/>
      <c r="AF256" s="742"/>
      <c r="AG256" s="742"/>
      <c r="AH256" s="742"/>
      <c r="AI256" s="742"/>
      <c r="AJ256" s="742"/>
      <c r="AK256" s="742"/>
      <c r="AL256" s="742"/>
      <c r="AM256" s="742"/>
      <c r="AN256" s="742"/>
      <c r="AO256" s="748"/>
      <c r="AP256" s="742"/>
      <c r="AQ256" s="742"/>
      <c r="AR256" s="931"/>
      <c r="AS256" s="742" t="s">
        <v>3874</v>
      </c>
      <c r="AT256" s="742"/>
      <c r="AU256" s="742"/>
      <c r="AV256" s="748"/>
      <c r="AW256" s="742"/>
      <c r="AX256" s="931"/>
      <c r="AY256" s="742"/>
      <c r="AZ256" s="742"/>
      <c r="BA256" s="742"/>
      <c r="BB256" s="742"/>
      <c r="BC256" s="742"/>
      <c r="BD256" s="742"/>
      <c r="BE256" s="931"/>
      <c r="BF256" s="742"/>
      <c r="BG256" s="742"/>
      <c r="BH256" s="742"/>
      <c r="BI256" s="742"/>
      <c r="BJ256" s="742"/>
      <c r="BK256" s="742"/>
      <c r="BL256" s="931"/>
      <c r="BM256" s="931"/>
      <c r="BN256" s="931"/>
      <c r="BO256" s="931"/>
      <c r="BP256" s="931"/>
      <c r="BQ256" s="931"/>
      <c r="BR256" s="931"/>
      <c r="BS256" s="931"/>
      <c r="BT256" s="931"/>
      <c r="BU256" s="931"/>
      <c r="BV256" s="931"/>
      <c r="BW256" s="931"/>
      <c r="BX256" s="931"/>
    </row>
    <row r="257" ht="15.75" customHeight="1">
      <c r="A257" s="956"/>
      <c r="B257" s="935" t="s">
        <v>3355</v>
      </c>
      <c r="C257" s="741" t="s">
        <v>5064</v>
      </c>
      <c r="D257" s="937" t="s">
        <v>5068</v>
      </c>
      <c r="E257" s="742"/>
      <c r="F257" s="742" t="s">
        <v>607</v>
      </c>
      <c r="G257" s="742" t="s">
        <v>5064</v>
      </c>
      <c r="H257" s="222"/>
      <c r="I257" s="748"/>
      <c r="J257" s="742" t="str">
        <f>HYPERLINK("https://youtu.be/yGR2akJEjQQ","19.18")</f>
        <v>19.18</v>
      </c>
      <c r="K257" s="742"/>
      <c r="L257" s="742"/>
      <c r="M257" s="132" t="s">
        <v>5070</v>
      </c>
      <c r="N257" s="742"/>
      <c r="O257" s="742"/>
      <c r="P257" s="742"/>
      <c r="Q257" s="742"/>
      <c r="R257" s="746"/>
      <c r="S257" s="742"/>
      <c r="T257" s="742"/>
      <c r="U257" s="132" t="s">
        <v>5072</v>
      </c>
      <c r="V257" s="742"/>
      <c r="W257" s="742" t="s">
        <v>1571</v>
      </c>
      <c r="X257" s="742"/>
      <c r="Y257" s="186"/>
      <c r="Z257" s="742" t="s">
        <v>5073</v>
      </c>
      <c r="AA257" s="742"/>
      <c r="AB257" s="742"/>
      <c r="AC257" s="742"/>
      <c r="AD257" s="742"/>
      <c r="AE257" s="186"/>
      <c r="AF257" s="742"/>
      <c r="AG257" s="742"/>
      <c r="AH257" s="742"/>
      <c r="AI257" s="742"/>
      <c r="AJ257" s="742"/>
      <c r="AK257" s="742"/>
      <c r="AL257" s="742"/>
      <c r="AM257" s="742"/>
      <c r="AN257" s="742"/>
      <c r="AO257" s="748"/>
      <c r="AP257" s="742"/>
      <c r="AQ257" s="742"/>
      <c r="AR257" s="186"/>
      <c r="AS257" s="742"/>
      <c r="AT257" s="742"/>
      <c r="AU257" s="742"/>
      <c r="AV257" s="748"/>
      <c r="AW257" s="742"/>
      <c r="AX257" s="186"/>
      <c r="AY257" s="742"/>
      <c r="AZ257" s="742"/>
      <c r="BA257" s="742"/>
      <c r="BB257" s="742"/>
      <c r="BC257" s="742"/>
      <c r="BD257" s="742"/>
      <c r="BE257" s="186"/>
      <c r="BF257" s="742"/>
      <c r="BG257" s="742"/>
      <c r="BH257" s="742"/>
      <c r="BI257" s="742"/>
      <c r="BJ257" s="742"/>
      <c r="BK257" s="742"/>
      <c r="BL257" s="186"/>
      <c r="BM257" s="186"/>
      <c r="BN257" s="186"/>
      <c r="BO257" s="186"/>
      <c r="BP257" s="186"/>
      <c r="BQ257" s="186"/>
      <c r="BR257" s="186"/>
      <c r="BS257" s="186"/>
      <c r="BT257" s="186"/>
      <c r="BU257" s="186"/>
      <c r="BV257" s="186"/>
      <c r="BW257" s="186"/>
      <c r="BX257" s="186"/>
    </row>
    <row r="258" ht="15.75" customHeight="1">
      <c r="A258" s="961"/>
      <c r="B258" s="940" t="s">
        <v>5074</v>
      </c>
      <c r="C258" s="741" t="s">
        <v>5075</v>
      </c>
      <c r="D258" s="219"/>
      <c r="E258" s="742"/>
      <c r="F258" s="742" t="s">
        <v>3687</v>
      </c>
      <c r="G258" s="742" t="s">
        <v>5075</v>
      </c>
      <c r="H258" s="222"/>
      <c r="I258" s="744" t="s">
        <v>5077</v>
      </c>
      <c r="J258" s="742"/>
      <c r="K258" s="742"/>
      <c r="L258" s="742"/>
      <c r="M258" s="182" t="s">
        <v>5078</v>
      </c>
      <c r="N258" s="742"/>
      <c r="O258" s="742"/>
      <c r="P258" s="742"/>
      <c r="Q258" s="742"/>
      <c r="R258" s="746"/>
      <c r="S258" s="742"/>
      <c r="T258" s="742"/>
      <c r="U258" s="742"/>
      <c r="V258" s="742"/>
      <c r="W258" s="742" t="s">
        <v>3687</v>
      </c>
      <c r="X258" s="742"/>
      <c r="Y258" s="931"/>
      <c r="Z258" s="742"/>
      <c r="AA258" s="742"/>
      <c r="AB258" s="742"/>
      <c r="AC258" s="742"/>
      <c r="AD258" s="742"/>
      <c r="AE258" s="931"/>
      <c r="AF258" s="742"/>
      <c r="AG258" s="742"/>
      <c r="AH258" s="742"/>
      <c r="AI258" s="742"/>
      <c r="AJ258" s="742"/>
      <c r="AK258" s="742"/>
      <c r="AL258" s="742"/>
      <c r="AM258" s="742"/>
      <c r="AN258" s="742"/>
      <c r="AO258" s="748"/>
      <c r="AP258" s="742"/>
      <c r="AQ258" s="742"/>
      <c r="AR258" s="931"/>
      <c r="AS258" s="742"/>
      <c r="AT258" s="742"/>
      <c r="AU258" s="742"/>
      <c r="AV258" s="748"/>
      <c r="AW258" s="742"/>
      <c r="AX258" s="931"/>
      <c r="AY258" s="742"/>
      <c r="AZ258" s="742"/>
      <c r="BA258" s="742"/>
      <c r="BB258" s="742"/>
      <c r="BC258" s="742"/>
      <c r="BD258" s="742"/>
      <c r="BE258" s="931"/>
      <c r="BF258" s="742"/>
      <c r="BG258" s="742"/>
      <c r="BH258" s="742"/>
      <c r="BI258" s="742"/>
      <c r="BJ258" s="742"/>
      <c r="BK258" s="742"/>
      <c r="BL258" s="931"/>
      <c r="BM258" s="931"/>
      <c r="BN258" s="931"/>
      <c r="BO258" s="931"/>
      <c r="BP258" s="931"/>
      <c r="BQ258" s="931"/>
      <c r="BR258" s="931"/>
      <c r="BS258" s="931"/>
      <c r="BT258" s="931"/>
      <c r="BU258" s="931"/>
      <c r="BV258" s="931"/>
      <c r="BW258" s="931"/>
      <c r="BX258" s="931"/>
    </row>
    <row r="259" ht="15.75" customHeight="1">
      <c r="A259" s="956"/>
      <c r="B259" s="935" t="s">
        <v>5080</v>
      </c>
      <c r="C259" s="741" t="s">
        <v>160</v>
      </c>
      <c r="D259" s="124" t="s">
        <v>4481</v>
      </c>
      <c r="E259" s="174" t="s">
        <v>2516</v>
      </c>
      <c r="F259" s="132" t="s">
        <v>1421</v>
      </c>
      <c r="G259" s="132" t="s">
        <v>160</v>
      </c>
      <c r="H259" s="132" t="s">
        <v>4604</v>
      </c>
      <c r="I259" s="748"/>
      <c r="J259" s="132" t="s">
        <v>1421</v>
      </c>
      <c r="K259" s="222"/>
      <c r="L259" s="132" t="s">
        <v>5083</v>
      </c>
      <c r="M259" s="182" t="s">
        <v>5085</v>
      </c>
      <c r="N259" s="132" t="s">
        <v>1824</v>
      </c>
      <c r="O259" s="222"/>
      <c r="P259" s="222"/>
      <c r="Q259" s="132" t="s">
        <v>4481</v>
      </c>
      <c r="R259" s="746" t="s">
        <v>1421</v>
      </c>
      <c r="S259" s="222"/>
      <c r="T259" s="222"/>
      <c r="U259" s="222"/>
      <c r="V259" s="222"/>
      <c r="W259" s="222"/>
      <c r="X259" s="222"/>
      <c r="Y259" s="186"/>
      <c r="Z259" s="222"/>
      <c r="AA259" s="222"/>
      <c r="AB259" s="222"/>
      <c r="AC259" s="222"/>
      <c r="AD259" s="222"/>
      <c r="AE259" s="186"/>
      <c r="AF259" s="222"/>
      <c r="AG259" s="222"/>
      <c r="AH259" s="222"/>
      <c r="AI259" s="222"/>
      <c r="AJ259" s="222"/>
      <c r="AK259" s="222"/>
      <c r="AL259" s="222"/>
      <c r="AM259" s="222"/>
      <c r="AN259" s="222"/>
      <c r="AO259" s="748"/>
      <c r="AP259" s="222"/>
      <c r="AQ259" s="222"/>
      <c r="AR259" s="186"/>
      <c r="AS259" s="222"/>
      <c r="AT259" s="222"/>
      <c r="AU259" s="222"/>
      <c r="AV259" s="748"/>
      <c r="AW259" s="222"/>
      <c r="AX259" s="186"/>
      <c r="AY259" s="222"/>
      <c r="AZ259" s="222"/>
      <c r="BA259" s="222"/>
      <c r="BB259" s="222"/>
      <c r="BC259" s="222"/>
      <c r="BD259" s="222"/>
      <c r="BE259" s="186"/>
      <c r="BF259" s="222"/>
      <c r="BG259" s="222"/>
      <c r="BH259" s="222"/>
      <c r="BI259" s="222"/>
      <c r="BJ259" s="222"/>
      <c r="BK259" s="222"/>
      <c r="BL259" s="186"/>
      <c r="BM259" s="186"/>
      <c r="BN259" s="186"/>
      <c r="BO259" s="186"/>
      <c r="BP259" s="186"/>
      <c r="BQ259" s="186"/>
      <c r="BR259" s="186"/>
      <c r="BS259" s="186"/>
      <c r="BT259" s="186"/>
      <c r="BU259" s="186"/>
      <c r="BV259" s="186"/>
      <c r="BW259" s="186"/>
      <c r="BX259" s="186"/>
    </row>
    <row r="260" ht="15.75" customHeight="1">
      <c r="A260" s="961"/>
      <c r="B260" s="940" t="s">
        <v>5086</v>
      </c>
      <c r="C260" s="119" t="s">
        <v>1139</v>
      </c>
      <c r="D260" s="182" t="s">
        <v>4559</v>
      </c>
      <c r="E260" s="752"/>
      <c r="F260" s="752"/>
      <c r="G260" s="132" t="s">
        <v>1139</v>
      </c>
      <c r="H260" s="222"/>
      <c r="I260" s="748"/>
      <c r="J260" s="752"/>
      <c r="K260" s="752"/>
      <c r="L260" s="752"/>
      <c r="M260" s="937" t="s">
        <v>5088</v>
      </c>
      <c r="N260" s="752"/>
      <c r="O260" s="752"/>
      <c r="P260" s="752"/>
      <c r="Q260" s="752"/>
      <c r="R260" s="753"/>
      <c r="S260" s="752"/>
      <c r="T260" s="752"/>
      <c r="U260" s="752"/>
      <c r="V260" s="752"/>
      <c r="W260" s="752"/>
      <c r="X260" s="752"/>
      <c r="Y260" s="931"/>
      <c r="Z260" s="752"/>
      <c r="AA260" s="752"/>
      <c r="AB260" s="752"/>
      <c r="AC260" s="752"/>
      <c r="AD260" s="752"/>
      <c r="AE260" s="931"/>
      <c r="AF260" s="752"/>
      <c r="AG260" s="752"/>
      <c r="AH260" s="752"/>
      <c r="AI260" s="752"/>
      <c r="AJ260" s="752"/>
      <c r="AK260" s="752"/>
      <c r="AL260" s="752"/>
      <c r="AM260" s="752"/>
      <c r="AN260" s="752"/>
      <c r="AO260" s="748"/>
      <c r="AP260" s="752"/>
      <c r="AQ260" s="752"/>
      <c r="AR260" s="931"/>
      <c r="AS260" s="752"/>
      <c r="AT260" s="752"/>
      <c r="AU260" s="752"/>
      <c r="AV260" s="748"/>
      <c r="AW260" s="752"/>
      <c r="AX260" s="931"/>
      <c r="AY260" s="752"/>
      <c r="AZ260" s="752"/>
      <c r="BA260" s="752"/>
      <c r="BB260" s="752"/>
      <c r="BC260" s="752"/>
      <c r="BD260" s="752"/>
      <c r="BE260" s="931"/>
      <c r="BF260" s="752"/>
      <c r="BG260" s="752"/>
      <c r="BH260" s="752"/>
      <c r="BI260" s="752"/>
      <c r="BJ260" s="752"/>
      <c r="BK260" s="752"/>
      <c r="BL260" s="931"/>
      <c r="BM260" s="931"/>
      <c r="BN260" s="931"/>
      <c r="BO260" s="931"/>
      <c r="BP260" s="931"/>
      <c r="BQ260" s="931"/>
      <c r="BR260" s="931"/>
      <c r="BS260" s="931"/>
      <c r="BT260" s="931"/>
      <c r="BU260" s="931"/>
      <c r="BV260" s="931"/>
      <c r="BW260" s="931"/>
      <c r="BX260" s="931"/>
    </row>
    <row r="261" ht="15.75" customHeight="1">
      <c r="A261" s="928" t="s">
        <v>5089</v>
      </c>
      <c r="B261" s="929" t="s">
        <v>187</v>
      </c>
      <c r="C261" s="119" t="s">
        <v>5090</v>
      </c>
      <c r="D261" s="124" t="s">
        <v>5091</v>
      </c>
      <c r="E261" s="70" t="s">
        <v>5092</v>
      </c>
      <c r="F261" s="752"/>
      <c r="G261" s="752"/>
      <c r="H261" s="132" t="s">
        <v>1112</v>
      </c>
      <c r="I261" s="385" t="s">
        <v>5093</v>
      </c>
      <c r="J261" s="752"/>
      <c r="K261" s="752"/>
      <c r="L261" s="752"/>
      <c r="M261" s="938"/>
      <c r="N261" s="742" t="s">
        <v>478</v>
      </c>
      <c r="O261" s="742" t="s">
        <v>3354</v>
      </c>
      <c r="P261" s="752"/>
      <c r="Q261" s="752"/>
      <c r="R261" s="753"/>
      <c r="S261" s="752"/>
      <c r="T261" s="752"/>
      <c r="U261" s="752"/>
      <c r="V261" s="752"/>
      <c r="W261" s="752"/>
      <c r="X261" s="752"/>
      <c r="Y261" s="931"/>
      <c r="Z261" s="752"/>
      <c r="AA261" s="752"/>
      <c r="AB261" s="752"/>
      <c r="AC261" s="752"/>
      <c r="AD261" s="752"/>
      <c r="AE261" s="931"/>
      <c r="AF261" s="752"/>
      <c r="AG261" s="752"/>
      <c r="AH261" s="752"/>
      <c r="AI261" s="752"/>
      <c r="AJ261" s="752"/>
      <c r="AK261" s="752"/>
      <c r="AL261" s="752"/>
      <c r="AM261" s="752"/>
      <c r="AN261" s="752"/>
      <c r="AO261" s="748"/>
      <c r="AP261" s="752"/>
      <c r="AQ261" s="752"/>
      <c r="AR261" s="931"/>
      <c r="AS261" s="752"/>
      <c r="AT261" s="752"/>
      <c r="AU261" s="752"/>
      <c r="AV261" s="748"/>
      <c r="AW261" s="752"/>
      <c r="AX261" s="931"/>
      <c r="AY261" s="752"/>
      <c r="AZ261" s="752"/>
      <c r="BA261" s="752"/>
      <c r="BB261" s="752"/>
      <c r="BC261" s="752"/>
      <c r="BD261" s="752"/>
      <c r="BE261" s="931"/>
      <c r="BF261" s="752"/>
      <c r="BG261" s="752"/>
      <c r="BH261" s="752"/>
      <c r="BI261" s="752"/>
      <c r="BJ261" s="752"/>
      <c r="BK261" s="752"/>
      <c r="BL261" s="931"/>
      <c r="BM261" s="931"/>
      <c r="BN261" s="931"/>
      <c r="BO261" s="931"/>
      <c r="BP261" s="931"/>
      <c r="BQ261" s="931"/>
      <c r="BR261" s="931"/>
      <c r="BS261" s="931"/>
      <c r="BT261" s="931"/>
      <c r="BU261" s="931"/>
      <c r="BV261" s="931"/>
      <c r="BW261" s="931"/>
      <c r="BX261" s="931"/>
    </row>
    <row r="262" ht="15.75" customHeight="1">
      <c r="A262" s="928" t="s">
        <v>1760</v>
      </c>
      <c r="B262" s="929" t="s">
        <v>1704</v>
      </c>
      <c r="C262" s="741" t="s">
        <v>5095</v>
      </c>
      <c r="D262" s="979" t="s">
        <v>5096</v>
      </c>
      <c r="E262" s="70" t="s">
        <v>5097</v>
      </c>
      <c r="F262" s="752"/>
      <c r="G262" s="70" t="s">
        <v>4236</v>
      </c>
      <c r="H262" s="222"/>
      <c r="I262" s="744" t="s">
        <v>5098</v>
      </c>
      <c r="J262" s="752" t="s">
        <v>5099</v>
      </c>
      <c r="K262" s="742" t="s">
        <v>3208</v>
      </c>
      <c r="L262" s="752" t="s">
        <v>5100</v>
      </c>
      <c r="M262" s="219"/>
      <c r="N262" s="752" t="s">
        <v>5101</v>
      </c>
      <c r="O262" s="752"/>
      <c r="P262" s="752"/>
      <c r="Q262" s="752"/>
      <c r="R262" s="753"/>
      <c r="S262" s="752"/>
      <c r="T262" s="752"/>
      <c r="U262" s="752"/>
      <c r="V262" s="752"/>
      <c r="W262" s="752"/>
      <c r="X262" s="752"/>
      <c r="Y262" s="186"/>
      <c r="Z262" s="752"/>
      <c r="AA262" s="752"/>
      <c r="AB262" s="752"/>
      <c r="AC262" s="752"/>
      <c r="AD262" s="752"/>
      <c r="AE262" s="186"/>
      <c r="AF262" s="752"/>
      <c r="AG262" s="752"/>
      <c r="AH262" s="752"/>
      <c r="AI262" s="752"/>
      <c r="AJ262" s="752"/>
      <c r="AK262" s="752"/>
      <c r="AL262" s="752"/>
      <c r="AM262" s="752"/>
      <c r="AN262" s="752"/>
      <c r="AO262" s="748"/>
      <c r="AP262" s="752"/>
      <c r="AQ262" s="752"/>
      <c r="AR262" s="186"/>
      <c r="AS262" s="752"/>
      <c r="AT262" s="752"/>
      <c r="AU262" s="752"/>
      <c r="AV262" s="748"/>
      <c r="AW262" s="752"/>
      <c r="AX262" s="186"/>
      <c r="AY262" s="752"/>
      <c r="AZ262" s="752"/>
      <c r="BA262" s="752"/>
      <c r="BB262" s="752"/>
      <c r="BC262" s="752"/>
      <c r="BD262" s="752"/>
      <c r="BE262" s="186"/>
      <c r="BF262" s="752"/>
      <c r="BG262" s="752"/>
      <c r="BH262" s="752"/>
      <c r="BI262" s="752"/>
      <c r="BJ262" s="752"/>
      <c r="BK262" s="752"/>
      <c r="BL262" s="186"/>
      <c r="BM262" s="186"/>
      <c r="BN262" s="186"/>
      <c r="BO262" s="186"/>
      <c r="BP262" s="186"/>
      <c r="BQ262" s="186"/>
      <c r="BR262" s="186"/>
      <c r="BS262" s="186"/>
      <c r="BT262" s="186"/>
      <c r="BU262" s="186"/>
      <c r="BV262" s="186"/>
      <c r="BW262" s="186"/>
      <c r="BX262" s="186"/>
    </row>
    <row r="263" ht="15.75" customHeight="1">
      <c r="A263" s="942" t="s">
        <v>1740</v>
      </c>
      <c r="B263" s="980" t="s">
        <v>1704</v>
      </c>
      <c r="C263" s="119" t="s">
        <v>5104</v>
      </c>
      <c r="D263" s="937" t="s">
        <v>5105</v>
      </c>
      <c r="E263" s="521" t="s">
        <v>5106</v>
      </c>
      <c r="F263" s="752"/>
      <c r="G263" s="132" t="s">
        <v>5104</v>
      </c>
      <c r="H263" s="222"/>
      <c r="I263" s="744" t="s">
        <v>5107</v>
      </c>
      <c r="J263" s="752"/>
      <c r="K263" s="742"/>
      <c r="L263" s="752"/>
      <c r="M263" s="219"/>
      <c r="N263" s="752"/>
      <c r="O263" s="752"/>
      <c r="P263" s="752"/>
      <c r="Q263" s="752"/>
      <c r="R263" s="753"/>
      <c r="S263" s="752"/>
      <c r="T263" s="752"/>
      <c r="U263" s="752"/>
      <c r="V263" s="752"/>
      <c r="W263" s="752"/>
      <c r="X263" s="752"/>
      <c r="Y263" s="186"/>
      <c r="Z263" s="752"/>
      <c r="AA263" s="752"/>
      <c r="AB263" s="752"/>
      <c r="AC263" s="752"/>
      <c r="AD263" s="752"/>
      <c r="AE263" s="186"/>
      <c r="AF263" s="752"/>
      <c r="AG263" s="752"/>
      <c r="AH263" s="752"/>
      <c r="AI263" s="752"/>
      <c r="AJ263" s="752"/>
      <c r="AK263" s="752"/>
      <c r="AL263" s="752"/>
      <c r="AM263" s="752"/>
      <c r="AN263" s="752"/>
      <c r="AO263" s="748"/>
      <c r="AP263" s="752"/>
      <c r="AQ263" s="752"/>
      <c r="AR263" s="186"/>
      <c r="AS263" s="752"/>
      <c r="AT263" s="752"/>
      <c r="AU263" s="752"/>
      <c r="AV263" s="748"/>
      <c r="AW263" s="752"/>
      <c r="AX263" s="188" t="s">
        <v>3609</v>
      </c>
      <c r="AY263" s="752"/>
      <c r="AZ263" s="752"/>
      <c r="BA263" s="752"/>
      <c r="BB263" s="752"/>
      <c r="BC263" s="752"/>
      <c r="BD263" s="752"/>
      <c r="BE263" s="186"/>
      <c r="BF263" s="752"/>
      <c r="BG263" s="752"/>
      <c r="BH263" s="752"/>
      <c r="BI263" s="752"/>
      <c r="BJ263" s="752"/>
      <c r="BK263" s="752"/>
      <c r="BL263" s="186"/>
      <c r="BM263" s="186"/>
      <c r="BN263" s="186"/>
      <c r="BO263" s="186"/>
      <c r="BP263" s="186"/>
      <c r="BQ263" s="186"/>
      <c r="BR263" s="186"/>
      <c r="BS263" s="186"/>
      <c r="BT263" s="186"/>
      <c r="BU263" s="186"/>
      <c r="BV263" s="186"/>
      <c r="BW263" s="186"/>
      <c r="BX263" s="186"/>
    </row>
    <row r="264" ht="15.75" customHeight="1">
      <c r="A264" s="928" t="s">
        <v>193</v>
      </c>
      <c r="B264" s="929" t="s">
        <v>5109</v>
      </c>
      <c r="C264" s="741" t="s">
        <v>1499</v>
      </c>
      <c r="D264" s="219"/>
      <c r="E264" s="742"/>
      <c r="F264" s="742" t="s">
        <v>1499</v>
      </c>
      <c r="G264" s="742"/>
      <c r="H264" s="222"/>
      <c r="I264" s="748"/>
      <c r="J264" s="742"/>
      <c r="K264" s="742"/>
      <c r="L264" s="742"/>
      <c r="M264" s="219"/>
      <c r="N264" s="742"/>
      <c r="O264" s="742"/>
      <c r="P264" s="742"/>
      <c r="Q264" s="742"/>
      <c r="R264" s="746"/>
      <c r="S264" s="742"/>
      <c r="T264" s="742"/>
      <c r="U264" s="742"/>
      <c r="V264" s="742"/>
      <c r="W264" s="742"/>
      <c r="X264" s="742"/>
      <c r="Y264" s="186"/>
      <c r="Z264" s="742"/>
      <c r="AA264" s="742"/>
      <c r="AB264" s="742"/>
      <c r="AC264" s="742"/>
      <c r="AD264" s="742"/>
      <c r="AE264" s="186"/>
      <c r="AF264" s="742"/>
      <c r="AG264" s="742"/>
      <c r="AH264" s="742"/>
      <c r="AI264" s="742"/>
      <c r="AJ264" s="742"/>
      <c r="AK264" s="742"/>
      <c r="AL264" s="742"/>
      <c r="AM264" s="742"/>
      <c r="AN264" s="742"/>
      <c r="AO264" s="748"/>
      <c r="AP264" s="742"/>
      <c r="AQ264" s="742"/>
      <c r="AR264" s="186"/>
      <c r="AS264" s="742"/>
      <c r="AT264" s="742"/>
      <c r="AU264" s="742"/>
      <c r="AV264" s="748"/>
      <c r="AW264" s="742"/>
      <c r="AX264" s="186"/>
      <c r="AY264" s="742"/>
      <c r="AZ264" s="742"/>
      <c r="BA264" s="742"/>
      <c r="BB264" s="742"/>
      <c r="BC264" s="742"/>
      <c r="BD264" s="742"/>
      <c r="BE264" s="186"/>
      <c r="BF264" s="742"/>
      <c r="BG264" s="742"/>
      <c r="BH264" s="742"/>
      <c r="BI264" s="742"/>
      <c r="BJ264" s="742"/>
      <c r="BK264" s="742"/>
      <c r="BL264" s="186"/>
      <c r="BM264" s="186"/>
      <c r="BN264" s="186"/>
      <c r="BO264" s="186"/>
      <c r="BP264" s="186"/>
      <c r="BQ264" s="186"/>
      <c r="BR264" s="186"/>
      <c r="BS264" s="186"/>
      <c r="BT264" s="186"/>
      <c r="BU264" s="186"/>
      <c r="BV264" s="186"/>
      <c r="BW264" s="186"/>
      <c r="BX264" s="186"/>
    </row>
    <row r="265" ht="15.75" customHeight="1">
      <c r="A265" s="956"/>
      <c r="B265" s="935" t="s">
        <v>5110</v>
      </c>
      <c r="C265" s="741" t="s">
        <v>802</v>
      </c>
      <c r="D265" s="124" t="s">
        <v>4427</v>
      </c>
      <c r="E265" s="70" t="s">
        <v>2838</v>
      </c>
      <c r="F265" s="132" t="s">
        <v>1426</v>
      </c>
      <c r="G265" s="132" t="s">
        <v>3361</v>
      </c>
      <c r="H265" s="132" t="s">
        <v>2987</v>
      </c>
      <c r="I265" s="748"/>
      <c r="J265" s="222"/>
      <c r="K265" s="132" t="s">
        <v>1148</v>
      </c>
      <c r="L265" s="222"/>
      <c r="M265" s="938"/>
      <c r="N265" s="222" t="s">
        <v>5114</v>
      </c>
      <c r="O265" s="132" t="s">
        <v>3361</v>
      </c>
      <c r="P265" s="222"/>
      <c r="Q265" s="132" t="s">
        <v>4370</v>
      </c>
      <c r="R265" s="746"/>
      <c r="S265" s="222"/>
      <c r="T265" s="222"/>
      <c r="U265" s="222"/>
      <c r="V265" s="222"/>
      <c r="W265" s="222" t="s">
        <v>1842</v>
      </c>
      <c r="X265" s="222"/>
      <c r="Y265" s="931"/>
      <c r="Z265" s="222"/>
      <c r="AA265" s="222"/>
      <c r="AB265" s="222"/>
      <c r="AC265" s="222"/>
      <c r="AD265" s="222"/>
      <c r="AE265" s="931"/>
      <c r="AF265" s="222"/>
      <c r="AG265" s="222"/>
      <c r="AH265" s="222"/>
      <c r="AI265" s="222"/>
      <c r="AJ265" s="222"/>
      <c r="AK265" s="222"/>
      <c r="AL265" s="222"/>
      <c r="AM265" s="222"/>
      <c r="AN265" s="222"/>
      <c r="AO265" s="748"/>
      <c r="AP265" s="222"/>
      <c r="AQ265" s="222"/>
      <c r="AR265" s="931"/>
      <c r="AS265" s="222"/>
      <c r="AT265" s="222"/>
      <c r="AU265" s="222"/>
      <c r="AV265" s="748"/>
      <c r="AW265" s="222"/>
      <c r="AX265" s="932" t="s">
        <v>5116</v>
      </c>
      <c r="AY265" s="222"/>
      <c r="AZ265" s="222"/>
      <c r="BA265" s="222"/>
      <c r="BB265" s="222"/>
      <c r="BC265" s="222"/>
      <c r="BD265" s="222"/>
      <c r="BE265" s="931"/>
      <c r="BF265" s="222"/>
      <c r="BG265" s="222"/>
      <c r="BH265" s="222"/>
      <c r="BI265" s="222"/>
      <c r="BJ265" s="222"/>
      <c r="BK265" s="222"/>
      <c r="BL265" s="931"/>
      <c r="BM265" s="931"/>
      <c r="BN265" s="931"/>
      <c r="BO265" s="931"/>
      <c r="BP265" s="931"/>
      <c r="BQ265" s="931"/>
      <c r="BR265" s="931"/>
      <c r="BS265" s="931"/>
      <c r="BT265" s="931"/>
      <c r="BU265" s="931"/>
      <c r="BV265" s="931"/>
      <c r="BW265" s="931"/>
      <c r="BX265" s="931"/>
    </row>
    <row r="266" ht="15.75" customHeight="1">
      <c r="A266" s="928" t="s">
        <v>171</v>
      </c>
      <c r="B266" s="929" t="s">
        <v>5117</v>
      </c>
      <c r="C266" s="119" t="s">
        <v>2291</v>
      </c>
      <c r="D266" s="124" t="s">
        <v>5119</v>
      </c>
      <c r="E266" s="70" t="s">
        <v>5115</v>
      </c>
      <c r="H266" s="132" t="s">
        <v>4706</v>
      </c>
      <c r="M266" s="495"/>
      <c r="N266" s="742" t="s">
        <v>4083</v>
      </c>
      <c r="W266" s="132" t="s">
        <v>1834</v>
      </c>
      <c r="Y266" s="186"/>
      <c r="Z266" s="132" t="s">
        <v>2291</v>
      </c>
      <c r="AE266" s="186"/>
      <c r="BN266" s="186"/>
      <c r="BO266" s="186"/>
      <c r="BP266" s="186"/>
      <c r="BQ266" s="186"/>
      <c r="BR266" s="186"/>
      <c r="BS266" s="186"/>
      <c r="BT266" s="186"/>
      <c r="BU266" s="186"/>
      <c r="BV266" s="186"/>
      <c r="BW266" s="186"/>
      <c r="BX266" s="186"/>
    </row>
    <row r="267" ht="15.75" customHeight="1">
      <c r="A267" s="956"/>
      <c r="B267" s="935" t="s">
        <v>5121</v>
      </c>
      <c r="C267" s="119" t="s">
        <v>5122</v>
      </c>
      <c r="D267" s="987"/>
      <c r="F267" s="752"/>
      <c r="G267" s="752"/>
      <c r="I267" s="748"/>
      <c r="J267" s="752"/>
      <c r="K267" s="752"/>
      <c r="L267" s="752"/>
      <c r="M267" s="219"/>
      <c r="O267" s="752"/>
      <c r="P267" s="752"/>
      <c r="Q267" s="752"/>
      <c r="R267" s="753"/>
      <c r="S267" s="752"/>
      <c r="T267" s="752"/>
      <c r="U267" s="752"/>
      <c r="V267" s="752"/>
      <c r="X267" s="752"/>
      <c r="Y267" s="186"/>
      <c r="Z267" s="752"/>
      <c r="AA267" s="752"/>
      <c r="AB267" s="752"/>
      <c r="AC267" s="752"/>
      <c r="AD267" s="752"/>
      <c r="AE267" s="186"/>
      <c r="AF267" s="752"/>
      <c r="AG267" s="752"/>
      <c r="AH267" s="752"/>
      <c r="AI267" s="752"/>
      <c r="AJ267" s="752"/>
      <c r="AK267" s="752"/>
      <c r="AL267" s="752"/>
      <c r="AM267" s="752"/>
      <c r="AN267" s="132" t="s">
        <v>5122</v>
      </c>
      <c r="AO267" s="748"/>
      <c r="AP267" s="752"/>
      <c r="AQ267" s="752"/>
      <c r="AR267" s="186"/>
      <c r="AS267" s="752"/>
      <c r="AT267" s="752"/>
      <c r="AU267" s="752"/>
      <c r="AV267" s="748"/>
      <c r="AW267" s="752"/>
      <c r="AX267" s="186"/>
      <c r="AY267" s="752"/>
      <c r="AZ267" s="752"/>
      <c r="BA267" s="752"/>
      <c r="BB267" s="752"/>
      <c r="BC267" s="752"/>
      <c r="BD267" s="752"/>
      <c r="BE267" s="186"/>
      <c r="BF267" s="752"/>
      <c r="BG267" s="752"/>
      <c r="BH267" s="752"/>
      <c r="BI267" s="752"/>
      <c r="BJ267" s="752"/>
      <c r="BK267" s="752"/>
      <c r="BL267" s="186"/>
      <c r="BM267" s="186"/>
      <c r="BN267" s="186"/>
      <c r="BO267" s="186"/>
      <c r="BP267" s="186"/>
      <c r="BQ267" s="186"/>
      <c r="BR267" s="186"/>
      <c r="BS267" s="186"/>
      <c r="BT267" s="186"/>
      <c r="BU267" s="186"/>
      <c r="BV267" s="186"/>
      <c r="BW267" s="186"/>
      <c r="BX267" s="186"/>
    </row>
    <row r="268">
      <c r="A268" s="988" t="s">
        <v>41</v>
      </c>
      <c r="D268" s="989"/>
      <c r="E268" s="990"/>
      <c r="F268" s="990"/>
      <c r="G268" s="990"/>
      <c r="H268" s="991"/>
      <c r="I268" s="990"/>
      <c r="J268" s="990"/>
      <c r="K268" s="990"/>
      <c r="L268" s="990"/>
      <c r="M268" s="989"/>
      <c r="N268" s="990"/>
      <c r="O268" s="990"/>
      <c r="P268" s="990"/>
      <c r="Q268" s="990"/>
      <c r="R268" s="992"/>
      <c r="S268" s="990"/>
      <c r="T268" s="990"/>
      <c r="U268" s="990"/>
      <c r="V268" s="990"/>
      <c r="W268" s="990"/>
      <c r="X268" s="990"/>
      <c r="Y268" s="993"/>
      <c r="Z268" s="990"/>
      <c r="AA268" s="990"/>
      <c r="AB268" s="990"/>
      <c r="AC268" s="990"/>
      <c r="AD268" s="990"/>
      <c r="AE268" s="993"/>
      <c r="AF268" s="990"/>
      <c r="AG268" s="990"/>
      <c r="AH268" s="990"/>
      <c r="AI268" s="990"/>
      <c r="AJ268" s="990"/>
      <c r="AK268" s="990"/>
      <c r="AL268" s="990"/>
      <c r="AM268" s="990"/>
      <c r="AN268" s="990"/>
      <c r="AO268" s="990"/>
      <c r="AP268" s="990"/>
      <c r="AQ268" s="990"/>
      <c r="AR268" s="993"/>
      <c r="AS268" s="990"/>
      <c r="AT268" s="990"/>
      <c r="AU268" s="990"/>
      <c r="AV268" s="990"/>
      <c r="AW268" s="990"/>
      <c r="AX268" s="993"/>
      <c r="AY268" s="990"/>
      <c r="AZ268" s="990"/>
      <c r="BA268" s="990"/>
      <c r="BB268" s="990"/>
      <c r="BC268" s="990"/>
      <c r="BD268" s="990"/>
      <c r="BE268" s="993"/>
      <c r="BF268" s="990"/>
      <c r="BG268" s="990"/>
      <c r="BH268" s="990"/>
      <c r="BI268" s="990"/>
      <c r="BJ268" s="990"/>
      <c r="BK268" s="990"/>
      <c r="BL268" s="993"/>
      <c r="BM268" s="993"/>
      <c r="BN268" s="993"/>
      <c r="BO268" s="993"/>
      <c r="BP268" s="993"/>
      <c r="BQ268" s="993"/>
      <c r="BR268" s="993"/>
      <c r="BS268" s="993"/>
      <c r="BT268" s="993"/>
      <c r="BU268" s="993"/>
      <c r="BV268" s="993"/>
      <c r="BW268" s="993"/>
      <c r="BX268" s="993"/>
    </row>
    <row r="269" ht="15.75" customHeight="1">
      <c r="A269" s="994" t="s">
        <v>186</v>
      </c>
      <c r="B269" s="995" t="s">
        <v>5128</v>
      </c>
      <c r="C269" s="741" t="s">
        <v>5129</v>
      </c>
      <c r="D269" s="219"/>
      <c r="E269" s="752" t="s">
        <v>5131</v>
      </c>
      <c r="F269" s="752"/>
      <c r="G269" s="752"/>
      <c r="H269" s="222"/>
      <c r="I269" s="748"/>
      <c r="J269" s="752"/>
      <c r="K269" s="742" t="s">
        <v>5132</v>
      </c>
      <c r="L269" s="752"/>
      <c r="M269" s="996" t="s">
        <v>5133</v>
      </c>
      <c r="N269" s="752"/>
      <c r="O269" s="752"/>
      <c r="P269" s="752"/>
      <c r="Q269" s="752"/>
      <c r="R269" s="753"/>
      <c r="S269" s="752"/>
      <c r="T269" s="752"/>
      <c r="U269" s="752"/>
      <c r="V269" s="752"/>
      <c r="W269" s="752"/>
      <c r="X269" s="752"/>
      <c r="Y269" s="997"/>
      <c r="Z269" s="752"/>
      <c r="AA269" s="752" t="s">
        <v>1213</v>
      </c>
      <c r="AB269" s="752"/>
      <c r="AC269" s="752"/>
      <c r="AD269" s="752"/>
      <c r="AE269" s="997"/>
      <c r="AF269" s="752"/>
      <c r="AG269" s="752"/>
      <c r="AH269" s="752"/>
      <c r="AI269" s="752"/>
      <c r="AJ269" s="752"/>
      <c r="AK269" s="752"/>
      <c r="AL269" s="752"/>
      <c r="AM269" s="752"/>
      <c r="AN269" s="752"/>
      <c r="AO269" s="748"/>
      <c r="AP269" s="752"/>
      <c r="AQ269" s="752"/>
      <c r="AR269" s="997"/>
      <c r="AS269" s="752"/>
      <c r="AT269" s="752"/>
      <c r="AU269" s="752"/>
      <c r="AV269" s="748"/>
      <c r="AW269" s="752"/>
      <c r="AX269" s="997"/>
      <c r="AY269" s="752"/>
      <c r="AZ269" s="752"/>
      <c r="BA269" s="752"/>
      <c r="BB269" s="752"/>
      <c r="BC269" s="752"/>
      <c r="BD269" s="752"/>
      <c r="BE269" s="997"/>
      <c r="BF269" s="752"/>
      <c r="BG269" s="752"/>
      <c r="BH269" s="752"/>
      <c r="BI269" s="752"/>
      <c r="BJ269" s="752"/>
      <c r="BK269" s="752"/>
      <c r="BL269" s="997"/>
      <c r="BM269" s="997"/>
      <c r="BN269" s="997"/>
      <c r="BO269" s="997"/>
      <c r="BP269" s="997"/>
      <c r="BQ269" s="997"/>
      <c r="BR269" s="997"/>
      <c r="BS269" s="997"/>
      <c r="BT269" s="997"/>
      <c r="BU269" s="997"/>
      <c r="BV269" s="997"/>
      <c r="BW269" s="997"/>
      <c r="BX269" s="997"/>
    </row>
    <row r="270" ht="15.75" customHeight="1">
      <c r="A270" s="998"/>
      <c r="B270" s="999" t="s">
        <v>5139</v>
      </c>
      <c r="C270" s="261" t="s">
        <v>5140</v>
      </c>
      <c r="D270" s="996" t="s">
        <v>3941</v>
      </c>
      <c r="E270" s="752"/>
      <c r="F270" s="752"/>
      <c r="G270" s="752"/>
      <c r="H270" s="222"/>
      <c r="I270" s="744" t="s">
        <v>5142</v>
      </c>
      <c r="J270" s="742" t="str">
        <f>HYPERLINK("https://youtu.be/K8Egs0-qumI","48.41")</f>
        <v>48.41</v>
      </c>
      <c r="K270" s="752"/>
      <c r="L270" s="752"/>
      <c r="M270" s="219"/>
      <c r="N270" s="752"/>
      <c r="O270" s="752"/>
      <c r="P270" s="752"/>
      <c r="Q270" s="752"/>
      <c r="R270" s="753"/>
      <c r="S270" s="752"/>
      <c r="T270" s="752"/>
      <c r="U270" s="132" t="s">
        <v>5144</v>
      </c>
      <c r="V270" s="752"/>
      <c r="W270" s="742" t="s">
        <v>5146</v>
      </c>
      <c r="X270" s="752"/>
      <c r="Y270" s="245" t="s">
        <v>5140</v>
      </c>
      <c r="Z270" s="752"/>
      <c r="AA270" s="752"/>
      <c r="AB270" s="752"/>
      <c r="AC270" s="752"/>
      <c r="AD270" s="752"/>
      <c r="AE270" s="186"/>
      <c r="AF270" s="752"/>
      <c r="AG270" s="752"/>
      <c r="AH270" s="752"/>
      <c r="AI270" s="752"/>
      <c r="AJ270" s="752"/>
      <c r="AK270" s="752"/>
      <c r="AL270" s="752"/>
      <c r="AM270" s="752"/>
      <c r="AN270" s="752"/>
      <c r="AO270" s="748"/>
      <c r="AP270" s="752"/>
      <c r="AQ270" s="752"/>
      <c r="AR270" s="186"/>
      <c r="AS270" s="752"/>
      <c r="AT270" s="752"/>
      <c r="AU270" s="752"/>
      <c r="AV270" s="748"/>
      <c r="AW270" s="752"/>
      <c r="AX270" s="186"/>
      <c r="AY270" s="752"/>
      <c r="AZ270" s="752"/>
      <c r="BA270" s="752"/>
      <c r="BB270" s="752"/>
      <c r="BC270" s="752"/>
      <c r="BD270" s="752"/>
      <c r="BE270" s="186"/>
      <c r="BF270" s="752"/>
      <c r="BG270" s="752"/>
      <c r="BH270" s="752"/>
      <c r="BI270" s="752"/>
      <c r="BJ270" s="752"/>
      <c r="BK270" s="752"/>
      <c r="BL270" s="186"/>
      <c r="BM270" s="186"/>
      <c r="BN270" s="186"/>
      <c r="BO270" s="186"/>
      <c r="BP270" s="186"/>
      <c r="BQ270" s="186"/>
      <c r="BR270" s="186"/>
      <c r="BS270" s="186"/>
      <c r="BT270" s="186"/>
      <c r="BU270" s="186"/>
      <c r="BV270" s="186"/>
      <c r="BW270" s="186"/>
      <c r="BX270" s="186"/>
    </row>
    <row r="271" ht="15.75" customHeight="1">
      <c r="A271" s="1001"/>
      <c r="B271" s="1002" t="s">
        <v>5149</v>
      </c>
      <c r="C271" s="741" t="s">
        <v>1519</v>
      </c>
      <c r="D271" s="219"/>
      <c r="E271" s="752" t="s">
        <v>5146</v>
      </c>
      <c r="F271" s="752"/>
      <c r="G271" s="752"/>
      <c r="H271" s="222"/>
      <c r="I271" s="748"/>
      <c r="J271" s="752" t="s">
        <v>5150</v>
      </c>
      <c r="K271" s="742" t="s">
        <v>5151</v>
      </c>
      <c r="L271" s="752"/>
      <c r="M271" s="996" t="s">
        <v>5152</v>
      </c>
      <c r="N271" s="752"/>
      <c r="O271" s="752"/>
      <c r="P271" s="752"/>
      <c r="Q271" s="752"/>
      <c r="R271" s="753"/>
      <c r="S271" s="752"/>
      <c r="T271" s="752"/>
      <c r="U271" s="752"/>
      <c r="V271" s="752"/>
      <c r="W271" s="752"/>
      <c r="X271" s="752"/>
      <c r="Y271" s="997"/>
      <c r="Z271" s="752"/>
      <c r="AA271" s="752"/>
      <c r="AB271" s="752"/>
      <c r="AC271" s="752"/>
      <c r="AD271" s="752"/>
      <c r="AE271" s="997"/>
      <c r="AF271" s="752"/>
      <c r="AG271" s="752"/>
      <c r="AH271" s="752"/>
      <c r="AI271" s="752"/>
      <c r="AJ271" s="752"/>
      <c r="AK271" s="752"/>
      <c r="AL271" s="752"/>
      <c r="AM271" s="752"/>
      <c r="AN271" s="752"/>
      <c r="AO271" s="748"/>
      <c r="AP271" s="752"/>
      <c r="AQ271" s="752"/>
      <c r="AR271" s="997"/>
      <c r="AS271" s="752"/>
      <c r="AT271" s="752"/>
      <c r="AU271" s="752"/>
      <c r="AV271" s="748"/>
      <c r="AW271" s="752"/>
      <c r="AX271" s="997"/>
      <c r="AY271" s="752"/>
      <c r="AZ271" s="752"/>
      <c r="BA271" s="752"/>
      <c r="BB271" s="752"/>
      <c r="BC271" s="752"/>
      <c r="BD271" s="752"/>
      <c r="BE271" s="997"/>
      <c r="BF271" s="752"/>
      <c r="BG271" s="752"/>
      <c r="BH271" s="752"/>
      <c r="BI271" s="752"/>
      <c r="BJ271" s="752"/>
      <c r="BK271" s="752"/>
      <c r="BL271" s="997"/>
      <c r="BM271" s="997"/>
      <c r="BN271" s="997"/>
      <c r="BO271" s="997"/>
      <c r="BP271" s="997"/>
      <c r="BQ271" s="997"/>
      <c r="BR271" s="997"/>
      <c r="BS271" s="997"/>
      <c r="BT271" s="997"/>
      <c r="BU271" s="997"/>
      <c r="BV271" s="997"/>
      <c r="BW271" s="997"/>
      <c r="BX271" s="997"/>
    </row>
    <row r="272" ht="15.75" customHeight="1">
      <c r="A272" s="998"/>
      <c r="B272" s="999" t="s">
        <v>5155</v>
      </c>
      <c r="C272" s="741" t="s">
        <v>2684</v>
      </c>
      <c r="D272" s="1005"/>
      <c r="E272" s="752"/>
      <c r="F272" s="752"/>
      <c r="G272" s="752"/>
      <c r="H272" s="132" t="s">
        <v>5156</v>
      </c>
      <c r="I272" s="748"/>
      <c r="J272" s="742" t="s">
        <v>5158</v>
      </c>
      <c r="K272" s="752"/>
      <c r="L272" s="752"/>
      <c r="M272" s="219"/>
      <c r="N272" s="752"/>
      <c r="O272" s="752"/>
      <c r="P272" s="752"/>
      <c r="Q272" s="752"/>
      <c r="R272" s="753"/>
      <c r="S272" s="752" t="s">
        <v>2022</v>
      </c>
      <c r="T272" s="752"/>
      <c r="U272" s="752"/>
      <c r="V272" s="752"/>
      <c r="W272" s="752"/>
      <c r="X272" s="752"/>
      <c r="Y272" s="186"/>
      <c r="Z272" s="752"/>
      <c r="AA272" s="752"/>
      <c r="AB272" s="752"/>
      <c r="AC272" s="752"/>
      <c r="AD272" s="752"/>
      <c r="AE272" s="186"/>
      <c r="AF272" s="752" t="s">
        <v>2736</v>
      </c>
      <c r="AG272" s="752"/>
      <c r="AH272" s="752"/>
      <c r="AI272" s="752"/>
      <c r="AJ272" s="752"/>
      <c r="AK272" s="752"/>
      <c r="AL272" s="752"/>
      <c r="AM272" s="752"/>
      <c r="AN272" s="752"/>
      <c r="AO272" s="748"/>
      <c r="AP272" s="752"/>
      <c r="AQ272" s="752"/>
      <c r="AR272" s="186"/>
      <c r="AS272" s="752"/>
      <c r="AT272" s="752"/>
      <c r="AU272" s="752"/>
      <c r="AV272" s="748"/>
      <c r="AW272" s="752"/>
      <c r="AX272" s="186"/>
      <c r="AY272" s="752"/>
      <c r="AZ272" s="752"/>
      <c r="BA272" s="752"/>
      <c r="BB272" s="752"/>
      <c r="BC272" s="752"/>
      <c r="BD272" s="752"/>
      <c r="BE272" s="186"/>
      <c r="BF272" s="752"/>
      <c r="BG272" s="752"/>
      <c r="BH272" s="752"/>
      <c r="BI272" s="752"/>
      <c r="BJ272" s="752"/>
      <c r="BK272" s="752"/>
      <c r="BL272" s="186"/>
      <c r="BM272" s="186"/>
      <c r="BN272" s="186"/>
      <c r="BO272" s="186"/>
      <c r="BP272" s="186"/>
      <c r="BQ272" s="186"/>
      <c r="BR272" s="186"/>
      <c r="BS272" s="186"/>
      <c r="BT272" s="186"/>
      <c r="BU272" s="186"/>
      <c r="BV272" s="186"/>
      <c r="BW272" s="186"/>
      <c r="BX272" s="186"/>
    </row>
    <row r="273" ht="15.75" customHeight="1">
      <c r="A273" s="1001"/>
      <c r="B273" s="1002" t="s">
        <v>5162</v>
      </c>
      <c r="C273" s="279" t="s">
        <v>5163</v>
      </c>
      <c r="D273" s="182" t="s">
        <v>5163</v>
      </c>
      <c r="E273" s="742"/>
      <c r="F273" s="742" t="s">
        <v>4866</v>
      </c>
      <c r="G273" s="742" t="s">
        <v>5165</v>
      </c>
      <c r="H273" s="222"/>
      <c r="I273" s="744" t="s">
        <v>5166</v>
      </c>
      <c r="J273" s="742"/>
      <c r="K273" s="742" t="s">
        <v>5167</v>
      </c>
      <c r="L273" s="742"/>
      <c r="M273" s="1005"/>
      <c r="N273" s="746" t="s">
        <v>5170</v>
      </c>
      <c r="O273" s="742"/>
      <c r="P273" s="742"/>
      <c r="Q273" s="742" t="s">
        <v>4840</v>
      </c>
      <c r="R273" s="746" t="s">
        <v>5172</v>
      </c>
      <c r="S273" s="742"/>
      <c r="T273" s="742"/>
      <c r="U273" s="742"/>
      <c r="V273" s="742"/>
      <c r="W273" s="742" t="s">
        <v>5173</v>
      </c>
      <c r="X273" s="742"/>
      <c r="Y273" s="1008" t="s">
        <v>5173</v>
      </c>
      <c r="Z273" s="742"/>
      <c r="AA273" s="742"/>
      <c r="AB273" s="742" t="s">
        <v>5178</v>
      </c>
      <c r="AC273" s="742"/>
      <c r="AD273" s="742"/>
      <c r="AE273" s="997"/>
      <c r="AF273" s="742"/>
      <c r="AG273" s="742"/>
      <c r="AH273" s="742"/>
      <c r="AI273" s="742"/>
      <c r="AJ273" s="742"/>
      <c r="AK273" s="742"/>
      <c r="AL273" s="742"/>
      <c r="AM273" s="742"/>
      <c r="AN273" s="742"/>
      <c r="AO273" s="748"/>
      <c r="AP273" s="742"/>
      <c r="AQ273" s="742"/>
      <c r="AR273" s="1008" t="s">
        <v>5182</v>
      </c>
      <c r="AS273" s="742"/>
      <c r="AT273" s="742"/>
      <c r="AU273" s="742"/>
      <c r="AV273" s="748"/>
      <c r="AW273" s="742"/>
      <c r="AX273" s="997"/>
      <c r="AY273" s="742"/>
      <c r="AZ273" s="742"/>
      <c r="BA273" s="742"/>
      <c r="BB273" s="742"/>
      <c r="BC273" s="742"/>
      <c r="BD273" s="742"/>
      <c r="BE273" s="997"/>
      <c r="BF273" s="742"/>
      <c r="BG273" s="742"/>
      <c r="BH273" s="742"/>
      <c r="BI273" s="742"/>
      <c r="BJ273" s="742"/>
      <c r="BK273" s="742"/>
      <c r="BL273" s="997"/>
      <c r="BM273" s="997"/>
      <c r="BN273" s="997"/>
      <c r="BO273" s="997"/>
      <c r="BP273" s="997"/>
      <c r="BQ273" s="997"/>
      <c r="BR273" s="997"/>
      <c r="BS273" s="997"/>
      <c r="BT273" s="997"/>
      <c r="BU273" s="997"/>
      <c r="BV273" s="997"/>
      <c r="BW273" s="997"/>
      <c r="BX273" s="997"/>
    </row>
    <row r="274" ht="15.75" customHeight="1">
      <c r="A274" s="998"/>
      <c r="B274" s="999" t="s">
        <v>5186</v>
      </c>
      <c r="C274" s="741" t="s">
        <v>5167</v>
      </c>
      <c r="D274" s="996" t="s">
        <v>5187</v>
      </c>
      <c r="E274" s="742"/>
      <c r="F274" s="742" t="s">
        <v>5167</v>
      </c>
      <c r="G274" s="746" t="s">
        <v>5188</v>
      </c>
      <c r="H274" s="222"/>
      <c r="I274" s="748"/>
      <c r="J274" s="742"/>
      <c r="K274" s="742"/>
      <c r="L274" s="742"/>
      <c r="M274" s="182" t="s">
        <v>5189</v>
      </c>
      <c r="N274" s="742"/>
      <c r="O274" s="742"/>
      <c r="P274" s="742"/>
      <c r="Q274" s="742"/>
      <c r="R274" s="746"/>
      <c r="S274" s="132" t="s">
        <v>908</v>
      </c>
      <c r="T274" s="742"/>
      <c r="U274" s="742"/>
      <c r="V274" s="742"/>
      <c r="W274" s="742"/>
      <c r="X274" s="742"/>
      <c r="Y274" s="186"/>
      <c r="Z274" s="746" t="s">
        <v>2631</v>
      </c>
      <c r="AA274" s="742"/>
      <c r="AB274" s="742"/>
      <c r="AC274" s="742"/>
      <c r="AD274" s="742"/>
      <c r="AE274" s="186"/>
      <c r="AF274" s="742"/>
      <c r="AG274" s="742"/>
      <c r="AH274" s="742"/>
      <c r="AI274" s="742"/>
      <c r="AJ274" s="742"/>
      <c r="AK274" s="742"/>
      <c r="AL274" s="742"/>
      <c r="AM274" s="742"/>
      <c r="AN274" s="742"/>
      <c r="AO274" s="748"/>
      <c r="AP274" s="742"/>
      <c r="AQ274" s="742"/>
      <c r="AR274" s="186"/>
      <c r="AS274" s="742"/>
      <c r="AT274" s="742"/>
      <c r="AU274" s="742"/>
      <c r="AV274" s="748"/>
      <c r="AW274" s="742"/>
      <c r="AX274" s="186"/>
      <c r="AY274" s="742"/>
      <c r="AZ274" s="742"/>
      <c r="BA274" s="742"/>
      <c r="BB274" s="742"/>
      <c r="BC274" s="742"/>
      <c r="BD274" s="742"/>
      <c r="BE274" s="186"/>
      <c r="BF274" s="742"/>
      <c r="BG274" s="742"/>
      <c r="BH274" s="742"/>
      <c r="BI274" s="742"/>
      <c r="BJ274" s="742"/>
      <c r="BK274" s="742"/>
      <c r="BL274" s="186"/>
      <c r="BM274" s="186"/>
      <c r="BN274" s="186"/>
      <c r="BO274" s="186"/>
      <c r="BP274" s="186"/>
      <c r="BQ274" s="186"/>
      <c r="BR274" s="186"/>
      <c r="BS274" s="186"/>
      <c r="BT274" s="186"/>
      <c r="BU274" s="186"/>
      <c r="BV274" s="186"/>
      <c r="BW274" s="186"/>
      <c r="BX274" s="186"/>
    </row>
    <row r="275" ht="15.75" customHeight="1">
      <c r="A275" s="1001"/>
      <c r="B275" s="1002" t="s">
        <v>5195</v>
      </c>
      <c r="C275" s="279" t="s">
        <v>5196</v>
      </c>
      <c r="D275" s="182" t="s">
        <v>5196</v>
      </c>
      <c r="E275" s="742"/>
      <c r="F275" s="742" t="s">
        <v>3411</v>
      </c>
      <c r="G275" s="746" t="s">
        <v>5199</v>
      </c>
      <c r="H275" s="222"/>
      <c r="I275" s="748"/>
      <c r="J275" s="742"/>
      <c r="K275" s="742"/>
      <c r="L275" s="742"/>
      <c r="M275" s="996" t="s">
        <v>5200</v>
      </c>
      <c r="N275" s="742"/>
      <c r="O275" s="742"/>
      <c r="P275" s="742"/>
      <c r="Q275" s="742" t="s">
        <v>5201</v>
      </c>
      <c r="R275" s="746"/>
      <c r="S275" s="742"/>
      <c r="T275" s="742"/>
      <c r="U275" s="742"/>
      <c r="V275" s="742"/>
      <c r="W275" s="742"/>
      <c r="X275" s="742"/>
      <c r="Y275" s="1008" t="s">
        <v>4317</v>
      </c>
      <c r="Z275" s="746" t="s">
        <v>5204</v>
      </c>
      <c r="AA275" s="742"/>
      <c r="AB275" s="742"/>
      <c r="AC275" s="742"/>
      <c r="AD275" s="742"/>
      <c r="AE275" s="997"/>
      <c r="AF275" s="742"/>
      <c r="AG275" s="742"/>
      <c r="AH275" s="742"/>
      <c r="AI275" s="742"/>
      <c r="AJ275" s="742"/>
      <c r="AK275" s="742"/>
      <c r="AL275" s="742"/>
      <c r="AM275" s="742"/>
      <c r="AN275" s="742"/>
      <c r="AO275" s="748"/>
      <c r="AP275" s="742"/>
      <c r="AQ275" s="742"/>
      <c r="AR275" s="1008" t="s">
        <v>909</v>
      </c>
      <c r="AS275" s="742"/>
      <c r="AT275" s="742"/>
      <c r="AU275" s="742"/>
      <c r="AV275" s="748"/>
      <c r="AW275" s="742"/>
      <c r="AX275" s="997"/>
      <c r="AY275" s="742"/>
      <c r="AZ275" s="742"/>
      <c r="BA275" s="742"/>
      <c r="BB275" s="742"/>
      <c r="BC275" s="742"/>
      <c r="BD275" s="742"/>
      <c r="BE275" s="997"/>
      <c r="BF275" s="742"/>
      <c r="BG275" s="742"/>
      <c r="BH275" s="742"/>
      <c r="BI275" s="742"/>
      <c r="BJ275" s="742"/>
      <c r="BK275" s="742"/>
      <c r="BL275" s="997"/>
      <c r="BM275" s="997"/>
      <c r="BN275" s="997"/>
      <c r="BO275" s="997"/>
      <c r="BP275" s="997"/>
      <c r="BQ275" s="997"/>
      <c r="BR275" s="997"/>
      <c r="BS275" s="997"/>
      <c r="BT275" s="997"/>
      <c r="BU275" s="997"/>
      <c r="BV275" s="997"/>
      <c r="BW275" s="997"/>
      <c r="BX275" s="997"/>
    </row>
    <row r="276" ht="15.75" customHeight="1">
      <c r="A276" s="998"/>
      <c r="B276" s="999" t="s">
        <v>5211</v>
      </c>
      <c r="C276" s="279" t="s">
        <v>5212</v>
      </c>
      <c r="D276" s="182" t="s">
        <v>5212</v>
      </c>
      <c r="E276" s="742" t="s">
        <v>3645</v>
      </c>
      <c r="F276" s="742" t="s">
        <v>5214</v>
      </c>
      <c r="G276" s="742"/>
      <c r="H276" s="132" t="s">
        <v>5215</v>
      </c>
      <c r="I276" s="748"/>
      <c r="J276" s="742"/>
      <c r="K276" s="742"/>
      <c r="L276" s="742"/>
      <c r="M276" s="182" t="s">
        <v>3607</v>
      </c>
      <c r="N276" s="742"/>
      <c r="O276" s="742"/>
      <c r="P276" s="742"/>
      <c r="Q276" s="742" t="s">
        <v>5217</v>
      </c>
      <c r="R276" s="746"/>
      <c r="S276" s="742"/>
      <c r="T276" s="132" t="s">
        <v>2578</v>
      </c>
      <c r="U276" s="742"/>
      <c r="V276" s="742"/>
      <c r="W276" s="742"/>
      <c r="X276" s="742"/>
      <c r="Y276" s="186"/>
      <c r="Z276" s="742"/>
      <c r="AA276" s="742"/>
      <c r="AB276" s="742"/>
      <c r="AC276" s="742"/>
      <c r="AD276" s="742"/>
      <c r="AE276" s="186"/>
      <c r="AF276" s="742"/>
      <c r="AG276" s="742"/>
      <c r="AH276" s="742"/>
      <c r="AI276" s="742"/>
      <c r="AJ276" s="742"/>
      <c r="AK276" s="742"/>
      <c r="AL276" s="742"/>
      <c r="AM276" s="742"/>
      <c r="AN276" s="742"/>
      <c r="AO276" s="748"/>
      <c r="AP276" s="742"/>
      <c r="AQ276" s="742"/>
      <c r="AR276" s="186"/>
      <c r="AS276" s="742"/>
      <c r="AT276" s="742"/>
      <c r="AU276" s="742"/>
      <c r="AV276" s="748"/>
      <c r="AW276" s="742"/>
      <c r="AX276" s="186"/>
      <c r="AY276" s="742"/>
      <c r="AZ276" s="742"/>
      <c r="BA276" s="742"/>
      <c r="BB276" s="742"/>
      <c r="BC276" s="742"/>
      <c r="BD276" s="742"/>
      <c r="BE276" s="186"/>
      <c r="BF276" s="742"/>
      <c r="BG276" s="742"/>
      <c r="BH276" s="742"/>
      <c r="BI276" s="742"/>
      <c r="BJ276" s="742"/>
      <c r="BK276" s="742"/>
      <c r="BL276" s="186"/>
      <c r="BM276" s="186"/>
      <c r="BN276" s="186"/>
      <c r="BO276" s="186"/>
      <c r="BP276" s="186"/>
      <c r="BQ276" s="186"/>
      <c r="BR276" s="186"/>
      <c r="BS276" s="186"/>
      <c r="BT276" s="186"/>
      <c r="BU276" s="186"/>
      <c r="BV276" s="186"/>
      <c r="BW276" s="186"/>
      <c r="BX276" s="186"/>
    </row>
    <row r="277" ht="15.75" customHeight="1">
      <c r="A277" s="994" t="s">
        <v>285</v>
      </c>
      <c r="B277" s="995" t="s">
        <v>187</v>
      </c>
      <c r="C277" s="279" t="s">
        <v>5222</v>
      </c>
      <c r="D277" s="182" t="s">
        <v>5222</v>
      </c>
      <c r="E277" s="752"/>
      <c r="F277" s="752"/>
      <c r="G277" s="752"/>
      <c r="H277" s="222"/>
      <c r="I277" s="748"/>
      <c r="J277" s="752"/>
      <c r="K277" s="752"/>
      <c r="L277" s="752"/>
      <c r="M277" s="1005"/>
      <c r="N277" s="752"/>
      <c r="O277" s="752"/>
      <c r="P277" s="752"/>
      <c r="Q277" s="752"/>
      <c r="R277" s="753"/>
      <c r="S277" s="752"/>
      <c r="T277" s="752"/>
      <c r="U277" s="752"/>
      <c r="V277" s="752"/>
      <c r="W277" s="752"/>
      <c r="X277" s="752"/>
      <c r="Y277" s="997"/>
      <c r="Z277" s="752"/>
      <c r="AA277" s="752"/>
      <c r="AB277" s="752"/>
      <c r="AC277" s="752"/>
      <c r="AD277" s="752"/>
      <c r="AE277" s="997"/>
      <c r="AF277" s="752"/>
      <c r="AG277" s="752"/>
      <c r="AH277" s="752"/>
      <c r="AI277" s="752"/>
      <c r="AJ277" s="752"/>
      <c r="AK277" s="752"/>
      <c r="AL277" s="752"/>
      <c r="AM277" s="752"/>
      <c r="AN277" s="752"/>
      <c r="AO277" s="748"/>
      <c r="AP277" s="752"/>
      <c r="AQ277" s="752"/>
      <c r="AR277" s="997"/>
      <c r="AS277" s="752"/>
      <c r="AT277" s="752"/>
      <c r="AU277" s="752"/>
      <c r="AV277" s="748"/>
      <c r="AW277" s="752"/>
      <c r="AX277" s="997"/>
      <c r="AY277" s="752"/>
      <c r="AZ277" s="752"/>
      <c r="BA277" s="752"/>
      <c r="BB277" s="752"/>
      <c r="BC277" s="752"/>
      <c r="BD277" s="752"/>
      <c r="BE277" s="997"/>
      <c r="BF277" s="752"/>
      <c r="BG277" s="752"/>
      <c r="BH277" s="752"/>
      <c r="BI277" s="752"/>
      <c r="BJ277" s="752"/>
      <c r="BK277" s="752"/>
      <c r="BL277" s="997"/>
      <c r="BM277" s="997"/>
      <c r="BN277" s="997"/>
      <c r="BO277" s="997"/>
      <c r="BP277" s="997"/>
      <c r="BQ277" s="997"/>
      <c r="BR277" s="997"/>
      <c r="BS277" s="997"/>
      <c r="BT277" s="997"/>
      <c r="BU277" s="997"/>
      <c r="BV277" s="997"/>
      <c r="BW277" s="997"/>
      <c r="BX277" s="997"/>
    </row>
    <row r="278" ht="15.75" customHeight="1">
      <c r="A278" s="994" t="s">
        <v>2333</v>
      </c>
      <c r="B278" s="995" t="s">
        <v>5230</v>
      </c>
      <c r="C278" s="741" t="s">
        <v>4996</v>
      </c>
      <c r="D278" s="1005"/>
      <c r="E278" s="752" t="s">
        <v>431</v>
      </c>
      <c r="F278" s="752"/>
      <c r="G278" s="752"/>
      <c r="H278" s="132" t="s">
        <v>5231</v>
      </c>
      <c r="I278" s="748"/>
      <c r="J278" s="742" t="str">
        <f>HYPERLINK("https://youtu.be/_GZXmZdCc5s","31.80")</f>
        <v>31.80</v>
      </c>
      <c r="K278" s="752"/>
      <c r="L278" s="742" t="s">
        <v>5235</v>
      </c>
      <c r="M278" s="1014" t="s">
        <v>3708</v>
      </c>
      <c r="N278" s="752"/>
      <c r="O278" s="742" t="s">
        <v>4996</v>
      </c>
      <c r="P278" s="742" t="str">
        <f>HYPERLINK("https://youtu.be/kUsh0nBBuMY","32.45")</f>
        <v>32.45</v>
      </c>
      <c r="Q278" s="752"/>
      <c r="R278" s="753" t="s">
        <v>2359</v>
      </c>
      <c r="S278" s="752"/>
      <c r="T278" s="847" t="s">
        <v>2815</v>
      </c>
      <c r="U278" s="752" t="s">
        <v>4187</v>
      </c>
      <c r="V278" s="752"/>
      <c r="W278" s="752"/>
      <c r="X278" s="752" t="s">
        <v>807</v>
      </c>
      <c r="Y278" s="997"/>
      <c r="Z278" s="752"/>
      <c r="AA278" s="752"/>
      <c r="AB278" s="752"/>
      <c r="AC278" s="752"/>
      <c r="AD278" s="752"/>
      <c r="AE278" s="997"/>
      <c r="AF278" s="752"/>
      <c r="AG278" s="752"/>
      <c r="AH278" s="752"/>
      <c r="AI278" s="752"/>
      <c r="AJ278" s="752"/>
      <c r="AK278" s="752"/>
      <c r="AL278" s="752"/>
      <c r="AM278" s="752"/>
      <c r="AN278" s="752"/>
      <c r="AO278" s="748"/>
      <c r="AP278" s="752"/>
      <c r="AQ278" s="752"/>
      <c r="AR278" s="997"/>
      <c r="AS278" s="752"/>
      <c r="AT278" s="752"/>
      <c r="AU278" s="752"/>
      <c r="AV278" s="748"/>
      <c r="AW278" s="752"/>
      <c r="AX278" s="997"/>
      <c r="AY278" s="752"/>
      <c r="AZ278" s="752"/>
      <c r="BA278" s="752"/>
      <c r="BB278" s="752"/>
      <c r="BC278" s="752" t="s">
        <v>4251</v>
      </c>
      <c r="BD278" s="752"/>
      <c r="BE278" s="997"/>
      <c r="BF278" s="752"/>
      <c r="BG278" s="752"/>
      <c r="BH278" s="752"/>
      <c r="BI278" s="752"/>
      <c r="BJ278" s="752"/>
      <c r="BK278" s="752"/>
      <c r="BL278" s="997"/>
      <c r="BM278" s="997"/>
      <c r="BN278" s="997"/>
      <c r="BO278" s="997"/>
      <c r="BP278" s="997"/>
      <c r="BQ278" s="997"/>
      <c r="BR278" s="997"/>
      <c r="BS278" s="997"/>
      <c r="BT278" s="997"/>
      <c r="BU278" s="997"/>
      <c r="BV278" s="997"/>
      <c r="BW278" s="997"/>
      <c r="BX278" s="997"/>
    </row>
    <row r="279" ht="15.75" customHeight="1">
      <c r="A279" s="998"/>
      <c r="B279" s="999" t="s">
        <v>5244</v>
      </c>
      <c r="C279" s="741" t="s">
        <v>1635</v>
      </c>
      <c r="D279" s="219"/>
      <c r="E279" s="752"/>
      <c r="F279" s="752"/>
      <c r="G279" s="752"/>
      <c r="H279" s="222"/>
      <c r="I279" s="744" t="s">
        <v>5245</v>
      </c>
      <c r="J279" s="752"/>
      <c r="K279" s="752"/>
      <c r="L279" s="132" t="s">
        <v>5246</v>
      </c>
      <c r="M279" s="219"/>
      <c r="N279" s="752"/>
      <c r="O279" s="752"/>
      <c r="P279" s="752"/>
      <c r="Q279" s="752"/>
      <c r="R279" s="753"/>
      <c r="S279" s="752"/>
      <c r="T279" s="752"/>
      <c r="U279" s="752"/>
      <c r="V279" s="752"/>
      <c r="W279" s="742" t="s">
        <v>1635</v>
      </c>
      <c r="X279" s="752" t="s">
        <v>5247</v>
      </c>
      <c r="Y279" s="186"/>
      <c r="Z279" s="752"/>
      <c r="AA279" s="752"/>
      <c r="AB279" s="752"/>
      <c r="AC279" s="752"/>
      <c r="AD279" s="752"/>
      <c r="AE279" s="186"/>
      <c r="AF279" s="752"/>
      <c r="AG279" s="752"/>
      <c r="AH279" s="752"/>
      <c r="AI279" s="752"/>
      <c r="AJ279" s="752"/>
      <c r="AK279" s="752" t="s">
        <v>3237</v>
      </c>
      <c r="AL279" s="752"/>
      <c r="AM279" s="752"/>
      <c r="AN279" s="752"/>
      <c r="AO279" s="748"/>
      <c r="AP279" s="752"/>
      <c r="AQ279" s="752"/>
      <c r="AR279" s="186"/>
      <c r="AS279" s="752"/>
      <c r="AT279" s="752"/>
      <c r="AU279" s="752"/>
      <c r="AV279" s="748"/>
      <c r="AW279" s="752"/>
      <c r="AX279" s="186"/>
      <c r="AY279" s="752"/>
      <c r="AZ279" s="752"/>
      <c r="BA279" s="752"/>
      <c r="BB279" s="752"/>
      <c r="BC279" s="752"/>
      <c r="BD279" s="752"/>
      <c r="BE279" s="186"/>
      <c r="BF279" s="752"/>
      <c r="BG279" s="752"/>
      <c r="BH279" s="752"/>
      <c r="BI279" s="752"/>
      <c r="BJ279" s="752"/>
      <c r="BK279" s="752"/>
      <c r="BL279" s="186"/>
      <c r="BM279" s="186"/>
      <c r="BN279" s="186"/>
      <c r="BO279" s="186"/>
      <c r="BP279" s="186"/>
      <c r="BQ279" s="186"/>
      <c r="BR279" s="186"/>
      <c r="BS279" s="186"/>
      <c r="BT279" s="186"/>
      <c r="BU279" s="186"/>
      <c r="BV279" s="186"/>
      <c r="BW279" s="186"/>
      <c r="BX279" s="186"/>
    </row>
    <row r="280" ht="15.75" customHeight="1">
      <c r="A280" s="1001"/>
      <c r="B280" s="1002" t="s">
        <v>5249</v>
      </c>
      <c r="C280" s="741" t="s">
        <v>2832</v>
      </c>
      <c r="D280" s="1005"/>
      <c r="E280" s="752" t="s">
        <v>5114</v>
      </c>
      <c r="F280" s="752"/>
      <c r="G280" s="752"/>
      <c r="H280" s="222"/>
      <c r="I280" s="748"/>
      <c r="J280" s="752"/>
      <c r="K280" s="752"/>
      <c r="L280" s="132" t="s">
        <v>2835</v>
      </c>
      <c r="M280" s="1005"/>
      <c r="N280" s="752"/>
      <c r="O280" s="752"/>
      <c r="P280" s="752"/>
      <c r="Q280" s="752"/>
      <c r="R280" s="753"/>
      <c r="S280" s="752"/>
      <c r="T280" s="752"/>
      <c r="U280" s="752"/>
      <c r="V280" s="752"/>
      <c r="W280" s="752"/>
      <c r="X280" s="752"/>
      <c r="Y280" s="997"/>
      <c r="Z280" s="752"/>
      <c r="AA280" s="752"/>
      <c r="AB280" s="752"/>
      <c r="AC280" s="752"/>
      <c r="AD280" s="752"/>
      <c r="AE280" s="997"/>
      <c r="AF280" s="752"/>
      <c r="AG280" s="752"/>
      <c r="AH280" s="752"/>
      <c r="AI280" s="752"/>
      <c r="AJ280" s="752"/>
      <c r="AK280" s="752"/>
      <c r="AL280" s="752"/>
      <c r="AM280" s="752"/>
      <c r="AN280" s="752"/>
      <c r="AO280" s="748"/>
      <c r="AP280" s="752"/>
      <c r="AQ280" s="752"/>
      <c r="AR280" s="997"/>
      <c r="AS280" s="752"/>
      <c r="AT280" s="752"/>
      <c r="AU280" s="752"/>
      <c r="AV280" s="748"/>
      <c r="AW280" s="752"/>
      <c r="AX280" s="997"/>
      <c r="AY280" s="752"/>
      <c r="AZ280" s="752"/>
      <c r="BA280" s="752"/>
      <c r="BB280" s="752"/>
      <c r="BC280" s="752"/>
      <c r="BD280" s="752"/>
      <c r="BE280" s="997"/>
      <c r="BF280" s="752"/>
      <c r="BG280" s="752"/>
      <c r="BH280" s="752"/>
      <c r="BI280" s="752"/>
      <c r="BJ280" s="752"/>
      <c r="BK280" s="752"/>
      <c r="BL280" s="997"/>
      <c r="BM280" s="997"/>
      <c r="BN280" s="997"/>
      <c r="BO280" s="997"/>
      <c r="BP280" s="997"/>
      <c r="BQ280" s="997"/>
      <c r="BR280" s="997"/>
      <c r="BS280" s="997"/>
      <c r="BT280" s="997"/>
      <c r="BU280" s="997"/>
      <c r="BV280" s="997"/>
      <c r="BW280" s="997"/>
      <c r="BX280" s="997"/>
    </row>
    <row r="281" ht="15.75" customHeight="1">
      <c r="A281" s="998"/>
      <c r="B281" s="999" t="s">
        <v>5250</v>
      </c>
      <c r="C281" s="741" t="s">
        <v>4132</v>
      </c>
      <c r="D281" s="292" t="s">
        <v>3949</v>
      </c>
      <c r="E281" s="742" t="s">
        <v>613</v>
      </c>
      <c r="F281" s="742" t="s">
        <v>4132</v>
      </c>
      <c r="G281" s="742" t="s">
        <v>5049</v>
      </c>
      <c r="H281" s="132" t="s">
        <v>4711</v>
      </c>
      <c r="I281" s="748"/>
      <c r="J281" s="742" t="s">
        <v>5252</v>
      </c>
      <c r="K281" s="742" t="s">
        <v>5019</v>
      </c>
      <c r="L281" s="742" t="s">
        <v>5253</v>
      </c>
      <c r="M281" s="219"/>
      <c r="N281" s="742" t="s">
        <v>3944</v>
      </c>
      <c r="O281" s="742" t="s">
        <v>742</v>
      </c>
      <c r="P281" s="742" t="s">
        <v>5254</v>
      </c>
      <c r="Q281" s="742" t="s">
        <v>2995</v>
      </c>
      <c r="R281" s="746" t="s">
        <v>1503</v>
      </c>
      <c r="S281" s="742" t="s">
        <v>5247</v>
      </c>
      <c r="T281" s="1020" t="s">
        <v>2773</v>
      </c>
      <c r="U281" s="742"/>
      <c r="V281" s="742"/>
      <c r="W281" s="742"/>
      <c r="X281" s="742" t="s">
        <v>5255</v>
      </c>
      <c r="Y281" s="186"/>
      <c r="Z281" s="742"/>
      <c r="AA281" s="742"/>
      <c r="AB281" s="742"/>
      <c r="AC281" s="742"/>
      <c r="AD281" s="742"/>
      <c r="AE281" s="186"/>
      <c r="AF281" s="742"/>
      <c r="AG281" s="742"/>
      <c r="AH281" s="742"/>
      <c r="AI281" s="742"/>
      <c r="AJ281" s="742"/>
      <c r="AK281" s="742" t="s">
        <v>1419</v>
      </c>
      <c r="AL281" s="742"/>
      <c r="AM281" s="742"/>
      <c r="AN281" s="742"/>
      <c r="AO281" s="748"/>
      <c r="AP281" s="742"/>
      <c r="AQ281" s="742"/>
      <c r="AR281" s="186"/>
      <c r="AS281" s="742"/>
      <c r="AT281" s="742"/>
      <c r="AU281" s="742"/>
      <c r="AV281" s="748"/>
      <c r="AW281" s="742"/>
      <c r="AX281" s="186"/>
      <c r="AY281" s="742"/>
      <c r="AZ281" s="742"/>
      <c r="BA281" s="742"/>
      <c r="BB281" s="742"/>
      <c r="BC281" s="742"/>
      <c r="BD281" s="742"/>
      <c r="BE281" s="186"/>
      <c r="BF281" s="742"/>
      <c r="BG281" s="742"/>
      <c r="BH281" s="742"/>
      <c r="BI281" s="742"/>
      <c r="BJ281" s="742"/>
      <c r="BK281" s="742"/>
      <c r="BL281" s="186"/>
      <c r="BM281" s="186"/>
      <c r="BN281" s="186"/>
      <c r="BO281" s="186"/>
      <c r="BP281" s="186"/>
      <c r="BQ281" s="186"/>
      <c r="BR281" s="186"/>
      <c r="BS281" s="186"/>
      <c r="BT281" s="186"/>
      <c r="BU281" s="186"/>
      <c r="BV281" s="186"/>
      <c r="BW281" s="186"/>
      <c r="BX281" s="186"/>
    </row>
    <row r="282" ht="15.75" customHeight="1">
      <c r="A282" s="994" t="s">
        <v>838</v>
      </c>
      <c r="B282" s="995" t="s">
        <v>5256</v>
      </c>
      <c r="C282" s="741" t="s">
        <v>5257</v>
      </c>
      <c r="D282" s="996" t="s">
        <v>5258</v>
      </c>
      <c r="E282" s="742" t="s">
        <v>2685</v>
      </c>
      <c r="F282" s="742" t="s">
        <v>5259</v>
      </c>
      <c r="G282" s="742"/>
      <c r="H282" s="132" t="s">
        <v>5260</v>
      </c>
      <c r="I282" s="748"/>
      <c r="J282" s="742" t="str">
        <f>HYPERLINK("https://youtu.be/fNmQmNF7N9I","46.93")</f>
        <v>46.93</v>
      </c>
      <c r="K282" s="742" t="s">
        <v>5257</v>
      </c>
      <c r="L282" s="742" t="s">
        <v>1906</v>
      </c>
      <c r="M282" s="1005"/>
      <c r="N282" s="742" t="s">
        <v>5261</v>
      </c>
      <c r="O282" s="742" t="s">
        <v>3522</v>
      </c>
      <c r="P282" s="742"/>
      <c r="Q282" s="742"/>
      <c r="R282" s="746"/>
      <c r="S282" s="742"/>
      <c r="T282" s="742"/>
      <c r="U282" s="742"/>
      <c r="V282" s="742" t="s">
        <v>5262</v>
      </c>
      <c r="W282" s="742" t="s">
        <v>5150</v>
      </c>
      <c r="X282" s="742" t="s">
        <v>875</v>
      </c>
      <c r="Y282" s="997"/>
      <c r="Z282" s="742" t="s">
        <v>3187</v>
      </c>
      <c r="AA282" s="742" t="s">
        <v>5263</v>
      </c>
      <c r="AB282" s="742"/>
      <c r="AC282" s="742"/>
      <c r="AD282" s="742" t="s">
        <v>5264</v>
      </c>
      <c r="AE282" s="997"/>
      <c r="AF282" s="742" t="s">
        <v>5265</v>
      </c>
      <c r="AG282" s="742"/>
      <c r="AH282" s="742"/>
      <c r="AI282" s="742"/>
      <c r="AJ282" s="742"/>
      <c r="AK282" s="742"/>
      <c r="AL282" s="742"/>
      <c r="AM282" s="742"/>
      <c r="AN282" s="742"/>
      <c r="AO282" s="748"/>
      <c r="AP282" s="742"/>
      <c r="AQ282" s="742"/>
      <c r="AR282" s="997"/>
      <c r="AS282" s="742"/>
      <c r="AT282" s="742"/>
      <c r="AU282" s="742"/>
      <c r="AV282" s="748"/>
      <c r="AW282" s="742" t="s">
        <v>5266</v>
      </c>
      <c r="AX282" s="997"/>
      <c r="AY282" s="742"/>
      <c r="AZ282" s="742"/>
      <c r="BA282" s="742"/>
      <c r="BB282" s="742"/>
      <c r="BC282" s="742"/>
      <c r="BD282" s="742"/>
      <c r="BE282" s="997"/>
      <c r="BF282" s="742"/>
      <c r="BG282" s="742"/>
      <c r="BH282" s="742"/>
      <c r="BI282" s="742"/>
      <c r="BJ282" s="742"/>
      <c r="BK282" s="742"/>
      <c r="BL282" s="997"/>
      <c r="BM282" s="997"/>
      <c r="BN282" s="997"/>
      <c r="BO282" s="997"/>
      <c r="BP282" s="997"/>
      <c r="BQ282" s="997"/>
      <c r="BR282" s="997"/>
      <c r="BS282" s="997"/>
      <c r="BT282" s="997"/>
      <c r="BU282" s="997"/>
      <c r="BV282" s="997"/>
      <c r="BW282" s="997"/>
      <c r="BX282" s="997"/>
    </row>
    <row r="283" ht="15.75" customHeight="1">
      <c r="A283" s="998"/>
      <c r="B283" s="999" t="s">
        <v>5267</v>
      </c>
      <c r="C283" s="741" t="s">
        <v>2114</v>
      </c>
      <c r="D283" s="443" t="s">
        <v>5268</v>
      </c>
      <c r="E283" s="742" t="s">
        <v>917</v>
      </c>
      <c r="F283" s="742" t="s">
        <v>5269</v>
      </c>
      <c r="G283" s="742"/>
      <c r="H283" s="132" t="s">
        <v>5270</v>
      </c>
      <c r="I283" s="748"/>
      <c r="J283" s="742" t="str">
        <f>HYPERLINK(" https://youtu.be/dsDcBzsPA5s","45.74")</f>
        <v>45.74</v>
      </c>
      <c r="K283" s="742" t="s">
        <v>2114</v>
      </c>
      <c r="L283" s="742" t="s">
        <v>5272</v>
      </c>
      <c r="M283" s="219"/>
      <c r="N283" s="742" t="s">
        <v>5273</v>
      </c>
      <c r="O283" s="742" t="s">
        <v>3245</v>
      </c>
      <c r="P283" s="742" t="s">
        <v>5274</v>
      </c>
      <c r="Q283" s="742" t="s">
        <v>876</v>
      </c>
      <c r="R283" s="746" t="s">
        <v>2736</v>
      </c>
      <c r="S283" s="742" t="s">
        <v>5275</v>
      </c>
      <c r="T283" s="742"/>
      <c r="U283" s="742"/>
      <c r="V283" s="742" t="s">
        <v>2016</v>
      </c>
      <c r="W283" s="742" t="s">
        <v>775</v>
      </c>
      <c r="X283" s="742" t="s">
        <v>5204</v>
      </c>
      <c r="Y283" s="186"/>
      <c r="Z283" s="742" t="s">
        <v>2911</v>
      </c>
      <c r="AA283" s="742" t="s">
        <v>5276</v>
      </c>
      <c r="AB283" s="742"/>
      <c r="AC283" s="742"/>
      <c r="AD283" s="742"/>
      <c r="AE283" s="186"/>
      <c r="AF283" s="742" t="s">
        <v>3779</v>
      </c>
      <c r="AG283" s="742"/>
      <c r="AH283" s="742"/>
      <c r="AI283" s="742"/>
      <c r="AJ283" s="742"/>
      <c r="AK283" s="742"/>
      <c r="AL283" s="742"/>
      <c r="AM283" s="742"/>
      <c r="AN283" s="742"/>
      <c r="AO283" s="748"/>
      <c r="AP283" s="742"/>
      <c r="AQ283" s="742"/>
      <c r="AR283" s="186"/>
      <c r="AS283" s="742"/>
      <c r="AT283" s="742"/>
      <c r="AU283" s="742"/>
      <c r="AV283" s="748"/>
      <c r="AW283" s="742" t="s">
        <v>2022</v>
      </c>
      <c r="AX283" s="186"/>
      <c r="AY283" s="742"/>
      <c r="AZ283" s="742"/>
      <c r="BA283" s="742"/>
      <c r="BB283" s="742"/>
      <c r="BC283" s="742"/>
      <c r="BD283" s="742"/>
      <c r="BE283" s="186"/>
      <c r="BF283" s="742"/>
      <c r="BG283" s="742"/>
      <c r="BH283" s="742"/>
      <c r="BI283" s="742"/>
      <c r="BJ283" s="742"/>
      <c r="BK283" s="742"/>
      <c r="BL283" s="186"/>
      <c r="BM283" s="186"/>
      <c r="BN283" s="186"/>
      <c r="BO283" s="186"/>
      <c r="BP283" s="186"/>
      <c r="BQ283" s="186"/>
      <c r="BR283" s="186"/>
      <c r="BS283" s="186"/>
      <c r="BT283" s="186"/>
      <c r="BU283" s="186"/>
      <c r="BV283" s="186"/>
      <c r="BW283" s="186"/>
      <c r="BX283" s="186"/>
    </row>
    <row r="284" ht="15.75" customHeight="1">
      <c r="A284" s="1001"/>
      <c r="B284" s="1002" t="s">
        <v>5278</v>
      </c>
      <c r="C284" s="741" t="s">
        <v>4374</v>
      </c>
      <c r="D284" s="292" t="s">
        <v>2698</v>
      </c>
      <c r="E284" s="742" t="s">
        <v>5279</v>
      </c>
      <c r="F284" s="742" t="s">
        <v>1449</v>
      </c>
      <c r="G284" s="742" t="s">
        <v>5280</v>
      </c>
      <c r="H284" s="132" t="s">
        <v>4712</v>
      </c>
      <c r="I284" s="748"/>
      <c r="J284" s="742" t="str">
        <f>HYPERLINK("https://youtu.be/9O9oqhlyCxY","45.20")</f>
        <v>45.20</v>
      </c>
      <c r="K284" s="742" t="s">
        <v>5281</v>
      </c>
      <c r="L284" s="132" t="s">
        <v>5283</v>
      </c>
      <c r="M284" s="1005"/>
      <c r="N284" s="742" t="s">
        <v>910</v>
      </c>
      <c r="O284" s="742" t="s">
        <v>1055</v>
      </c>
      <c r="P284" s="742" t="s">
        <v>5158</v>
      </c>
      <c r="Q284" s="742" t="s">
        <v>4374</v>
      </c>
      <c r="R284" s="746"/>
      <c r="S284" s="742" t="s">
        <v>5284</v>
      </c>
      <c r="T284" s="742"/>
      <c r="U284" s="742"/>
      <c r="V284" s="742" t="s">
        <v>1519</v>
      </c>
      <c r="W284" s="742" t="s">
        <v>1846</v>
      </c>
      <c r="X284" s="742"/>
      <c r="Y284" s="997"/>
      <c r="Z284" s="742" t="s">
        <v>2310</v>
      </c>
      <c r="AA284" s="742"/>
      <c r="AB284" s="742"/>
      <c r="AC284" s="742"/>
      <c r="AD284" s="742" t="s">
        <v>2398</v>
      </c>
      <c r="AE284" s="997"/>
      <c r="AF284" s="742" t="s">
        <v>1055</v>
      </c>
      <c r="AG284" s="742"/>
      <c r="AH284" s="742"/>
      <c r="AI284" s="742"/>
      <c r="AJ284" s="742"/>
      <c r="AK284" s="742"/>
      <c r="AL284" s="742"/>
      <c r="AM284" s="742"/>
      <c r="AN284" s="742"/>
      <c r="AO284" s="748"/>
      <c r="AP284" s="742"/>
      <c r="AQ284" s="742"/>
      <c r="AR284" s="997"/>
      <c r="AS284" s="742"/>
      <c r="AT284" s="742"/>
      <c r="AU284" s="742"/>
      <c r="AV284" s="748"/>
      <c r="AW284" s="742"/>
      <c r="AX284" s="997"/>
      <c r="AY284" s="742"/>
      <c r="AZ284" s="742"/>
      <c r="BA284" s="742"/>
      <c r="BB284" s="742"/>
      <c r="BC284" s="742"/>
      <c r="BD284" s="742"/>
      <c r="BE284" s="997"/>
      <c r="BF284" s="742"/>
      <c r="BG284" s="742"/>
      <c r="BH284" s="742"/>
      <c r="BI284" s="742"/>
      <c r="BJ284" s="742"/>
      <c r="BK284" s="742"/>
      <c r="BL284" s="997"/>
      <c r="BM284" s="997"/>
      <c r="BN284" s="997"/>
      <c r="BO284" s="997"/>
      <c r="BP284" s="997"/>
      <c r="BQ284" s="997"/>
      <c r="BR284" s="997"/>
      <c r="BS284" s="997"/>
      <c r="BT284" s="997"/>
      <c r="BU284" s="997"/>
      <c r="BV284" s="997"/>
      <c r="BW284" s="997"/>
      <c r="BX284" s="997"/>
    </row>
    <row r="285" ht="15.75" customHeight="1">
      <c r="A285" s="1024" t="s">
        <v>3823</v>
      </c>
      <c r="B285" s="1025" t="s">
        <v>5285</v>
      </c>
      <c r="C285" s="741" t="s">
        <v>3772</v>
      </c>
      <c r="D285" s="182" t="s">
        <v>4344</v>
      </c>
      <c r="E285" s="70" t="s">
        <v>5120</v>
      </c>
      <c r="F285" s="1026" t="s">
        <v>1451</v>
      </c>
      <c r="G285" s="1026" t="s">
        <v>5286</v>
      </c>
      <c r="H285" s="132" t="s">
        <v>4199</v>
      </c>
      <c r="I285" s="744" t="s">
        <v>5288</v>
      </c>
      <c r="J285" s="1026"/>
      <c r="K285" s="1026"/>
      <c r="L285" s="1026"/>
      <c r="M285" s="219"/>
      <c r="N285" s="1026"/>
      <c r="O285" s="1026"/>
      <c r="P285" s="1026"/>
      <c r="Q285" s="1026" t="s">
        <v>4375</v>
      </c>
      <c r="R285" s="1027"/>
      <c r="S285" s="1026"/>
      <c r="T285" s="1026"/>
      <c r="U285" s="1026"/>
      <c r="V285" s="1026"/>
      <c r="W285" s="1026"/>
      <c r="X285" s="1026"/>
      <c r="Y285" s="186"/>
      <c r="Z285" s="1026"/>
      <c r="AA285" s="1026"/>
      <c r="AB285" s="1026"/>
      <c r="AC285" s="1026"/>
      <c r="AD285" s="1026"/>
      <c r="AE285" s="186"/>
      <c r="AF285" s="1026"/>
      <c r="AG285" s="1026"/>
      <c r="AH285" s="1026"/>
      <c r="AI285" s="1026"/>
      <c r="AJ285" s="1026"/>
      <c r="AK285" s="1026"/>
      <c r="AL285" s="1026"/>
      <c r="AM285" s="1026"/>
      <c r="AN285" s="1026"/>
      <c r="AO285" s="748"/>
      <c r="AP285" s="1026"/>
      <c r="AQ285" s="1026"/>
      <c r="AR285" s="186"/>
      <c r="AS285" s="1026"/>
      <c r="AT285" s="1026"/>
      <c r="AU285" s="1026"/>
      <c r="AV285" s="748"/>
      <c r="AW285" s="1026"/>
      <c r="AX285" s="186"/>
      <c r="AY285" s="1026"/>
      <c r="AZ285" s="1026"/>
      <c r="BA285" s="1026"/>
      <c r="BB285" s="1026"/>
      <c r="BC285" s="1026"/>
      <c r="BD285" s="1026"/>
      <c r="BE285" s="186"/>
      <c r="BF285" s="1026"/>
      <c r="BG285" s="1026"/>
      <c r="BH285" s="1026"/>
      <c r="BI285" s="1026"/>
      <c r="BJ285" s="1026"/>
      <c r="BK285" s="1026"/>
      <c r="BL285" s="186"/>
      <c r="BM285" s="186"/>
      <c r="BN285" s="186"/>
      <c r="BO285" s="186"/>
      <c r="BP285" s="186"/>
      <c r="BQ285" s="186"/>
      <c r="BR285" s="186"/>
      <c r="BS285" s="186"/>
      <c r="BT285" s="186"/>
      <c r="BU285" s="186"/>
      <c r="BV285" s="186"/>
      <c r="BW285" s="186"/>
      <c r="BX285" s="186"/>
    </row>
    <row r="286" ht="15.75" customHeight="1">
      <c r="A286" s="1028" t="s">
        <v>469</v>
      </c>
      <c r="B286" s="1029" t="s">
        <v>5285</v>
      </c>
      <c r="C286" s="741" t="s">
        <v>5289</v>
      </c>
      <c r="D286" s="292" t="s">
        <v>5290</v>
      </c>
      <c r="E286" s="1026" t="s">
        <v>1015</v>
      </c>
      <c r="F286" s="1026" t="s">
        <v>1455</v>
      </c>
      <c r="G286" s="1026" t="s">
        <v>5289</v>
      </c>
      <c r="H286" s="222"/>
      <c r="I286" s="744" t="s">
        <v>5291</v>
      </c>
      <c r="J286" s="1026"/>
      <c r="K286" s="1026"/>
      <c r="L286" s="1026"/>
      <c r="M286" s="1005"/>
      <c r="N286" s="1026" t="s">
        <v>4089</v>
      </c>
      <c r="O286" s="1026" t="s">
        <v>492</v>
      </c>
      <c r="P286" s="1026"/>
      <c r="Q286" s="1026" t="s">
        <v>4377</v>
      </c>
      <c r="R286" s="1027"/>
      <c r="S286" s="1026"/>
      <c r="T286" s="1026"/>
      <c r="U286" s="1026"/>
      <c r="V286" s="1026"/>
      <c r="W286" s="1026" t="s">
        <v>5292</v>
      </c>
      <c r="X286" s="1026"/>
      <c r="Y286" s="997"/>
      <c r="Z286" s="1026"/>
      <c r="AA286" s="1026"/>
      <c r="AB286" s="1026"/>
      <c r="AC286" s="1026"/>
      <c r="AD286" s="1026"/>
      <c r="AE286" s="997"/>
      <c r="AF286" s="1026"/>
      <c r="AG286" s="1026"/>
      <c r="AH286" s="1026"/>
      <c r="AI286" s="1026"/>
      <c r="AJ286" s="1026"/>
      <c r="AK286" s="1026"/>
      <c r="AL286" s="1026"/>
      <c r="AM286" s="1026"/>
      <c r="AN286" s="1026"/>
      <c r="AO286" s="748"/>
      <c r="AP286" s="1026"/>
      <c r="AQ286" s="1026"/>
      <c r="AR286" s="997"/>
      <c r="AS286" s="1026"/>
      <c r="AT286" s="1026"/>
      <c r="AU286" s="1026"/>
      <c r="AV286" s="748"/>
      <c r="AW286" s="1026"/>
      <c r="AX286" s="997"/>
      <c r="AY286" s="1026"/>
      <c r="AZ286" s="1026"/>
      <c r="BA286" s="1026"/>
      <c r="BB286" s="1026"/>
      <c r="BC286" s="1026"/>
      <c r="BD286" s="1026"/>
      <c r="BE286" s="997"/>
      <c r="BF286" s="1026"/>
      <c r="BG286" s="1026"/>
      <c r="BH286" s="1026"/>
      <c r="BI286" s="1026"/>
      <c r="BJ286" s="1026"/>
      <c r="BK286" s="1026"/>
      <c r="BL286" s="997"/>
      <c r="BM286" s="997"/>
      <c r="BN286" s="997"/>
      <c r="BO286" s="997"/>
      <c r="BP286" s="997"/>
      <c r="BQ286" s="997"/>
      <c r="BR286" s="997"/>
      <c r="BS286" s="997"/>
      <c r="BT286" s="997"/>
      <c r="BU286" s="997"/>
      <c r="BV286" s="997"/>
      <c r="BW286" s="997"/>
      <c r="BX286" s="997"/>
    </row>
    <row r="287" ht="15.75" customHeight="1">
      <c r="A287" s="1030" t="s">
        <v>577</v>
      </c>
      <c r="B287" s="1031" t="s">
        <v>187</v>
      </c>
      <c r="C287" s="741" t="s">
        <v>2431</v>
      </c>
      <c r="D287" s="182" t="s">
        <v>1541</v>
      </c>
      <c r="E287" s="742" t="s">
        <v>5296</v>
      </c>
      <c r="F287" s="742" t="s">
        <v>5297</v>
      </c>
      <c r="G287" s="742" t="s">
        <v>2431</v>
      </c>
      <c r="H287" s="132" t="s">
        <v>5299</v>
      </c>
      <c r="I287" s="744" t="s">
        <v>1527</v>
      </c>
      <c r="J287" s="742"/>
      <c r="K287" s="742" t="s">
        <v>5061</v>
      </c>
      <c r="L287" s="742"/>
      <c r="M287" s="569" t="s">
        <v>5300</v>
      </c>
      <c r="N287" s="742" t="s">
        <v>5301</v>
      </c>
      <c r="O287" s="742"/>
      <c r="P287" s="742"/>
      <c r="Q287" s="742" t="s">
        <v>2431</v>
      </c>
      <c r="R287" s="746"/>
      <c r="S287" s="742"/>
      <c r="T287" s="742"/>
      <c r="U287" s="132" t="s">
        <v>5302</v>
      </c>
      <c r="V287" s="742"/>
      <c r="W287" s="742" t="s">
        <v>2431</v>
      </c>
      <c r="X287" s="742"/>
      <c r="Y287" s="186"/>
      <c r="Z287" s="742" t="s">
        <v>5055</v>
      </c>
      <c r="AA287" s="742" t="s">
        <v>1430</v>
      </c>
      <c r="AB287" s="742" t="s">
        <v>5304</v>
      </c>
      <c r="AC287" s="742" t="s">
        <v>5305</v>
      </c>
      <c r="AD287" s="742"/>
      <c r="AE287" s="186"/>
      <c r="AF287" s="742"/>
      <c r="AG287" s="742"/>
      <c r="AH287" s="742"/>
      <c r="AI287" s="742" t="s">
        <v>5306</v>
      </c>
      <c r="AJ287" s="742"/>
      <c r="AK287" s="742"/>
      <c r="AL287" s="742"/>
      <c r="AM287" s="742"/>
      <c r="AN287" s="742"/>
      <c r="AO287" s="748"/>
      <c r="AP287" s="742"/>
      <c r="AQ287" s="742"/>
      <c r="AR287" s="186"/>
      <c r="AS287" s="742"/>
      <c r="AT287" s="742"/>
      <c r="AU287" s="742"/>
      <c r="AV287" s="748"/>
      <c r="AW287" s="742"/>
      <c r="AX287" s="186"/>
      <c r="AY287" s="742"/>
      <c r="AZ287" s="742"/>
      <c r="BA287" s="742"/>
      <c r="BB287" s="742"/>
      <c r="BC287" s="742"/>
      <c r="BD287" s="742"/>
      <c r="BE287" s="186"/>
      <c r="BF287" s="742"/>
      <c r="BG287" s="742"/>
      <c r="BH287" s="742"/>
      <c r="BI287" s="742"/>
      <c r="BJ287" s="742"/>
      <c r="BK287" s="742"/>
      <c r="BL287" s="186"/>
      <c r="BM287" s="186"/>
      <c r="BN287" s="186"/>
      <c r="BO287" s="186"/>
      <c r="BP287" s="186"/>
      <c r="BQ287" s="186"/>
      <c r="BR287" s="186"/>
      <c r="BS287" s="186"/>
      <c r="BT287" s="186"/>
      <c r="BU287" s="186"/>
      <c r="BV287" s="186"/>
      <c r="BW287" s="186"/>
      <c r="BX287" s="186"/>
    </row>
    <row r="288" ht="15.75" customHeight="1">
      <c r="A288" s="994" t="s">
        <v>3096</v>
      </c>
      <c r="B288" s="1032" t="s">
        <v>5310</v>
      </c>
      <c r="C288" s="741" t="s">
        <v>5311</v>
      </c>
      <c r="D288" s="124" t="s">
        <v>3016</v>
      </c>
      <c r="E288" s="174" t="s">
        <v>4953</v>
      </c>
      <c r="F288" s="742" t="s">
        <v>5312</v>
      </c>
      <c r="G288" s="742" t="s">
        <v>5311</v>
      </c>
      <c r="H288" s="132" t="s">
        <v>4719</v>
      </c>
      <c r="I288" s="950" t="s">
        <v>5314</v>
      </c>
      <c r="J288" s="742" t="s">
        <v>4953</v>
      </c>
      <c r="K288" s="742" t="s">
        <v>5316</v>
      </c>
      <c r="L288" s="742"/>
      <c r="M288" s="1005"/>
      <c r="N288" s="742" t="s">
        <v>4092</v>
      </c>
      <c r="O288" s="742"/>
      <c r="P288" s="742"/>
      <c r="Q288" s="742" t="s">
        <v>5319</v>
      </c>
      <c r="R288" s="746"/>
      <c r="S288" s="742" t="s">
        <v>495</v>
      </c>
      <c r="T288" s="742"/>
      <c r="U288" s="742"/>
      <c r="V288" s="742"/>
      <c r="W288" s="742" t="s">
        <v>1852</v>
      </c>
      <c r="X288" s="742"/>
      <c r="Y288" s="997"/>
      <c r="Z288" s="742" t="s">
        <v>5321</v>
      </c>
      <c r="AA288" s="742"/>
      <c r="AB288" s="742"/>
      <c r="AC288" s="742"/>
      <c r="AD288" s="742"/>
      <c r="AE288" s="997"/>
      <c r="AF288" s="742"/>
      <c r="AG288" s="742"/>
      <c r="AH288" s="742"/>
      <c r="AI288" s="742"/>
      <c r="AJ288" s="742" t="s">
        <v>5323</v>
      </c>
      <c r="AK288" s="742"/>
      <c r="AL288" s="742"/>
      <c r="AM288" s="742"/>
      <c r="AN288" s="742"/>
      <c r="AO288" s="748"/>
      <c r="AP288" s="742"/>
      <c r="AQ288" s="742"/>
      <c r="AR288" s="997"/>
      <c r="AS288" s="742"/>
      <c r="AT288" s="742"/>
      <c r="AU288" s="742"/>
      <c r="AV288" s="748"/>
      <c r="AW288" s="742"/>
      <c r="AX288" s="997"/>
      <c r="AY288" s="742"/>
      <c r="AZ288" s="742"/>
      <c r="BA288" s="742"/>
      <c r="BB288" s="742"/>
      <c r="BC288" s="742"/>
      <c r="BD288" s="742"/>
      <c r="BE288" s="997"/>
      <c r="BF288" s="742"/>
      <c r="BG288" s="742"/>
      <c r="BH288" s="742"/>
      <c r="BI288" s="742"/>
      <c r="BJ288" s="742"/>
      <c r="BK288" s="742"/>
      <c r="BL288" s="997"/>
      <c r="BM288" s="997"/>
      <c r="BN288" s="997"/>
      <c r="BO288" s="997"/>
      <c r="BP288" s="997"/>
      <c r="BQ288" s="997"/>
      <c r="BR288" s="997"/>
      <c r="BS288" s="997"/>
      <c r="BT288" s="997"/>
      <c r="BU288" s="997"/>
      <c r="BV288" s="997"/>
      <c r="BW288" s="997"/>
      <c r="BX288" s="997"/>
    </row>
    <row r="289" ht="15.75" customHeight="1">
      <c r="A289" s="1033" t="s">
        <v>3235</v>
      </c>
      <c r="B289" s="1031" t="s">
        <v>5310</v>
      </c>
      <c r="C289" s="279" t="s">
        <v>5325</v>
      </c>
      <c r="D289" s="124" t="s">
        <v>5325</v>
      </c>
      <c r="E289" s="742" t="s">
        <v>3674</v>
      </c>
      <c r="F289" s="742"/>
      <c r="G289" s="1034" t="s">
        <v>4431</v>
      </c>
      <c r="H289" s="222"/>
      <c r="I289" s="744" t="s">
        <v>5327</v>
      </c>
      <c r="J289" s="742"/>
      <c r="K289" s="742"/>
      <c r="L289" s="742"/>
      <c r="M289" s="1005"/>
      <c r="N289" s="742"/>
      <c r="O289" s="742"/>
      <c r="P289" s="742"/>
      <c r="Q289" s="742"/>
      <c r="R289" s="746"/>
      <c r="S289" s="742"/>
      <c r="T289" s="742"/>
      <c r="U289" s="742"/>
      <c r="V289" s="742"/>
      <c r="W289" s="742"/>
      <c r="X289" s="742"/>
      <c r="Y289" s="997"/>
      <c r="Z289" s="742"/>
      <c r="AA289" s="742"/>
      <c r="AB289" s="742"/>
      <c r="AC289" s="742"/>
      <c r="AD289" s="742"/>
      <c r="AE289" s="997"/>
      <c r="AF289" s="742"/>
      <c r="AG289" s="742"/>
      <c r="AH289" s="742"/>
      <c r="AI289" s="742"/>
      <c r="AJ289" s="742"/>
      <c r="AK289" s="742"/>
      <c r="AL289" s="742"/>
      <c r="AM289" s="742"/>
      <c r="AN289" s="742"/>
      <c r="AO289" s="748"/>
      <c r="AP289" s="742"/>
      <c r="AQ289" s="742"/>
      <c r="AR289" s="1035" t="s">
        <v>5331</v>
      </c>
      <c r="AS289" s="742"/>
      <c r="AT289" s="742"/>
      <c r="AU289" s="742"/>
      <c r="AV289" s="748"/>
      <c r="AW289" s="742"/>
      <c r="AX289" s="997"/>
      <c r="AY289" s="742"/>
      <c r="AZ289" s="742"/>
      <c r="BA289" s="742"/>
      <c r="BB289" s="742"/>
      <c r="BC289" s="742"/>
      <c r="BD289" s="742"/>
      <c r="BE289" s="997"/>
      <c r="BF289" s="742"/>
      <c r="BG289" s="742"/>
      <c r="BH289" s="742"/>
      <c r="BI289" s="742"/>
      <c r="BJ289" s="742"/>
      <c r="BK289" s="742"/>
      <c r="BL289" s="997"/>
      <c r="BM289" s="997"/>
      <c r="BN289" s="997"/>
      <c r="BO289" s="997"/>
      <c r="BP289" s="997"/>
      <c r="BQ289" s="997"/>
      <c r="BR289" s="997"/>
      <c r="BS289" s="997"/>
      <c r="BT289" s="997"/>
      <c r="BU289" s="997"/>
      <c r="BV289" s="997"/>
      <c r="BW289" s="997"/>
      <c r="BX289" s="997"/>
    </row>
    <row r="290" ht="15.75" customHeight="1">
      <c r="A290" s="994" t="s">
        <v>1598</v>
      </c>
      <c r="B290" s="995" t="s">
        <v>5334</v>
      </c>
      <c r="C290" s="741" t="s">
        <v>5335</v>
      </c>
      <c r="D290" s="1005"/>
      <c r="E290" s="222"/>
      <c r="F290" s="132" t="s">
        <v>5336</v>
      </c>
      <c r="G290" s="132" t="s">
        <v>5335</v>
      </c>
      <c r="H290" s="132" t="s">
        <v>5339</v>
      </c>
      <c r="I290" s="748"/>
      <c r="J290" s="222"/>
      <c r="K290" s="222"/>
      <c r="L290" s="222"/>
      <c r="M290" s="219"/>
      <c r="N290" s="222"/>
      <c r="O290" s="222"/>
      <c r="P290" s="222" t="s">
        <v>5344</v>
      </c>
      <c r="Q290" s="222"/>
      <c r="R290" s="746" t="s">
        <v>5345</v>
      </c>
      <c r="S290" s="222"/>
      <c r="T290" s="132" t="s">
        <v>5068</v>
      </c>
      <c r="U290" s="222"/>
      <c r="V290" s="222"/>
      <c r="W290" s="222"/>
      <c r="X290" s="222"/>
      <c r="Y290" s="186"/>
      <c r="Z290" s="222"/>
      <c r="AA290" s="222"/>
      <c r="AB290" s="222"/>
      <c r="AC290" s="222"/>
      <c r="AD290" s="222"/>
      <c r="AE290" s="186"/>
      <c r="AF290" s="222"/>
      <c r="AG290" s="222"/>
      <c r="AH290" s="222"/>
      <c r="AI290" s="222"/>
      <c r="AJ290" s="222"/>
      <c r="AK290" s="222"/>
      <c r="AL290" s="222"/>
      <c r="AM290" s="222"/>
      <c r="AN290" s="222"/>
      <c r="AO290" s="748"/>
      <c r="AP290" s="222"/>
      <c r="AQ290" s="222"/>
      <c r="AR290" s="186"/>
      <c r="AS290" s="222"/>
      <c r="AT290" s="222"/>
      <c r="AU290" s="222"/>
      <c r="AV290" s="748"/>
      <c r="AW290" s="222"/>
      <c r="AX290" s="186"/>
      <c r="AY290" s="222"/>
      <c r="AZ290" s="222"/>
      <c r="BA290" s="222"/>
      <c r="BB290" s="222"/>
      <c r="BC290" s="222"/>
      <c r="BD290" s="222"/>
      <c r="BE290" s="186"/>
      <c r="BF290" s="222"/>
      <c r="BG290" s="222"/>
      <c r="BH290" s="222"/>
      <c r="BI290" s="222"/>
      <c r="BJ290" s="222"/>
      <c r="BK290" s="222"/>
      <c r="BL290" s="186"/>
      <c r="BM290" s="186"/>
      <c r="BN290" s="186"/>
      <c r="BO290" s="186"/>
      <c r="BP290" s="186"/>
      <c r="BQ290" s="186"/>
      <c r="BR290" s="186"/>
      <c r="BS290" s="186"/>
      <c r="BT290" s="186"/>
      <c r="BU290" s="186"/>
      <c r="BV290" s="186"/>
      <c r="BW290" s="186"/>
      <c r="BX290" s="186"/>
    </row>
    <row r="291" ht="15.75" customHeight="1">
      <c r="A291" s="998"/>
      <c r="B291" s="999" t="s">
        <v>5359</v>
      </c>
      <c r="C291" s="741" t="s">
        <v>3126</v>
      </c>
      <c r="D291" s="182" t="s">
        <v>5075</v>
      </c>
      <c r="E291" s="742" t="s">
        <v>3205</v>
      </c>
      <c r="F291" s="742" t="s">
        <v>5371</v>
      </c>
      <c r="G291" s="746" t="s">
        <v>2058</v>
      </c>
      <c r="H291" s="222"/>
      <c r="I291" s="748"/>
      <c r="J291" s="742"/>
      <c r="K291" s="742"/>
      <c r="L291" s="742"/>
      <c r="M291" s="996" t="s">
        <v>5382</v>
      </c>
      <c r="N291" s="742"/>
      <c r="O291" s="742"/>
      <c r="P291" s="742"/>
      <c r="Q291" s="742"/>
      <c r="R291" s="746" t="s">
        <v>5390</v>
      </c>
      <c r="S291" s="742" t="s">
        <v>5391</v>
      </c>
      <c r="T291" s="742"/>
      <c r="U291" s="742" t="s">
        <v>3205</v>
      </c>
      <c r="V291" s="742"/>
      <c r="W291" s="742" t="s">
        <v>3126</v>
      </c>
      <c r="X291" s="742"/>
      <c r="Y291" s="997"/>
      <c r="Z291" s="742"/>
      <c r="AA291" s="742"/>
      <c r="AB291" s="742"/>
      <c r="AC291" s="742"/>
      <c r="AD291" s="742" t="s">
        <v>5176</v>
      </c>
      <c r="AE291" s="1035" t="s">
        <v>5410</v>
      </c>
      <c r="AF291" s="742"/>
      <c r="AG291" s="742"/>
      <c r="AH291" s="742"/>
      <c r="AI291" s="742"/>
      <c r="AJ291" s="742"/>
      <c r="AK291" s="742"/>
      <c r="AL291" s="742"/>
      <c r="AM291" s="742"/>
      <c r="AN291" s="742"/>
      <c r="AO291" s="748"/>
      <c r="AP291" s="742"/>
      <c r="AQ291" s="742"/>
      <c r="AR291" s="997"/>
      <c r="AS291" s="742"/>
      <c r="AT291" s="742"/>
      <c r="AU291" s="742"/>
      <c r="AV291" s="748"/>
      <c r="AW291" s="742"/>
      <c r="AX291" s="997"/>
      <c r="AY291" s="742"/>
      <c r="AZ291" s="742"/>
      <c r="BA291" s="742"/>
      <c r="BB291" s="742"/>
      <c r="BC291" s="742"/>
      <c r="BD291" s="742"/>
      <c r="BE291" s="997"/>
      <c r="BF291" s="742"/>
      <c r="BG291" s="742"/>
      <c r="BH291" s="742"/>
      <c r="BI291" s="742"/>
      <c r="BJ291" s="742"/>
      <c r="BK291" s="742"/>
      <c r="BL291" s="997"/>
      <c r="BM291" s="997"/>
      <c r="BN291" s="997"/>
      <c r="BO291" s="997"/>
      <c r="BP291" s="997"/>
      <c r="BQ291" s="997"/>
      <c r="BR291" s="997"/>
      <c r="BS291" s="997"/>
      <c r="BT291" s="997"/>
      <c r="BU291" s="997"/>
      <c r="BV291" s="997"/>
      <c r="BW291" s="997"/>
      <c r="BX291" s="997"/>
    </row>
    <row r="292" ht="15.75" customHeight="1">
      <c r="A292" s="1001"/>
      <c r="B292" s="1002" t="s">
        <v>5422</v>
      </c>
      <c r="C292" s="741" t="s">
        <v>2085</v>
      </c>
      <c r="D292" s="124" t="s">
        <v>3910</v>
      </c>
      <c r="E292" s="742"/>
      <c r="F292" s="742" t="s">
        <v>1235</v>
      </c>
      <c r="G292" s="746" t="s">
        <v>2073</v>
      </c>
      <c r="H292" s="132" t="s">
        <v>5440</v>
      </c>
      <c r="I292" s="744" t="s">
        <v>5441</v>
      </c>
      <c r="J292" s="742"/>
      <c r="K292" s="742" t="s">
        <v>3205</v>
      </c>
      <c r="L292" s="742"/>
      <c r="M292" s="219"/>
      <c r="N292" s="742"/>
      <c r="O292" s="742" t="s">
        <v>4496</v>
      </c>
      <c r="P292" s="742"/>
      <c r="Q292" s="742" t="s">
        <v>5440</v>
      </c>
      <c r="R292" s="746" t="s">
        <v>5052</v>
      </c>
      <c r="S292" s="742"/>
      <c r="T292" s="742"/>
      <c r="U292" s="742"/>
      <c r="V292" s="742"/>
      <c r="W292" s="742" t="s">
        <v>1235</v>
      </c>
      <c r="X292" s="742"/>
      <c r="Y292" s="186"/>
      <c r="Z292" s="742" t="s">
        <v>2085</v>
      </c>
      <c r="AA292" s="742"/>
      <c r="AB292" s="742"/>
      <c r="AC292" s="742"/>
      <c r="AD292" s="742"/>
      <c r="AE292" s="188" t="s">
        <v>5460</v>
      </c>
      <c r="AF292" s="742"/>
      <c r="AG292" s="742"/>
      <c r="AH292" s="742"/>
      <c r="AI292" s="742"/>
      <c r="AJ292" s="742"/>
      <c r="AK292" s="742"/>
      <c r="AL292" s="742"/>
      <c r="AM292" s="742"/>
      <c r="AN292" s="742"/>
      <c r="AO292" s="748"/>
      <c r="AP292" s="742"/>
      <c r="AQ292" s="742"/>
      <c r="AR292" s="186"/>
      <c r="AS292" s="742"/>
      <c r="AT292" s="742"/>
      <c r="AU292" s="742"/>
      <c r="AV292" s="748"/>
      <c r="AW292" s="742"/>
      <c r="AX292" s="186"/>
      <c r="AY292" s="742"/>
      <c r="AZ292" s="742"/>
      <c r="BA292" s="742"/>
      <c r="BB292" s="742"/>
      <c r="BC292" s="742"/>
      <c r="BD292" s="742"/>
      <c r="BE292" s="186"/>
      <c r="BF292" s="742"/>
      <c r="BG292" s="742"/>
      <c r="BH292" s="742"/>
      <c r="BI292" s="742"/>
      <c r="BJ292" s="742"/>
      <c r="BK292" s="742"/>
      <c r="BL292" s="186"/>
      <c r="BM292" s="186"/>
      <c r="BN292" s="186"/>
      <c r="BO292" s="186"/>
      <c r="BP292" s="186"/>
      <c r="BQ292" s="186"/>
      <c r="BR292" s="186"/>
      <c r="BS292" s="186"/>
      <c r="BT292" s="186"/>
      <c r="BU292" s="186"/>
      <c r="BV292" s="186"/>
      <c r="BW292" s="186"/>
      <c r="BX292" s="186"/>
    </row>
    <row r="293" ht="15.75" customHeight="1">
      <c r="A293" s="994" t="s">
        <v>1681</v>
      </c>
      <c r="B293" s="995" t="s">
        <v>187</v>
      </c>
      <c r="C293" s="741" t="s">
        <v>5478</v>
      </c>
      <c r="D293" s="292" t="s">
        <v>5294</v>
      </c>
      <c r="E293" s="70" t="s">
        <v>496</v>
      </c>
      <c r="F293" s="752"/>
      <c r="G293" s="752"/>
      <c r="H293" s="132" t="s">
        <v>4721</v>
      </c>
      <c r="I293" s="744" t="s">
        <v>5522</v>
      </c>
      <c r="J293" s="752"/>
      <c r="K293" s="752"/>
      <c r="L293" s="752"/>
      <c r="M293" s="1005"/>
      <c r="N293" s="752" t="s">
        <v>4096</v>
      </c>
      <c r="O293" s="752"/>
      <c r="P293" s="742" t="str">
        <f>HYPERLINK("https://youtu.be/4iaM52WYNRU","1:30.81")</f>
        <v>1:30.81</v>
      </c>
      <c r="Q293" s="752"/>
      <c r="R293" s="753"/>
      <c r="S293" s="752"/>
      <c r="T293" s="752"/>
      <c r="U293" s="752"/>
      <c r="V293" s="752"/>
      <c r="W293" s="752"/>
      <c r="X293" s="752"/>
      <c r="Y293" s="997"/>
      <c r="Z293" s="752"/>
      <c r="AA293" s="752"/>
      <c r="AB293" s="752"/>
      <c r="AC293" s="752"/>
      <c r="AD293" s="752"/>
      <c r="AE293" s="997"/>
      <c r="AF293" s="752"/>
      <c r="AG293" s="752"/>
      <c r="AH293" s="752"/>
      <c r="AI293" s="752"/>
      <c r="AJ293" s="752"/>
      <c r="AK293" s="752"/>
      <c r="AL293" s="752"/>
      <c r="AM293" s="752"/>
      <c r="AN293" s="752"/>
      <c r="AO293" s="748"/>
      <c r="AP293" s="752"/>
      <c r="AQ293" s="752"/>
      <c r="AR293" s="997"/>
      <c r="AS293" s="752"/>
      <c r="AT293" s="752"/>
      <c r="AU293" s="752"/>
      <c r="AV293" s="748"/>
      <c r="AW293" s="752"/>
      <c r="AX293" s="997"/>
      <c r="AY293" s="752"/>
      <c r="AZ293" s="752"/>
      <c r="BA293" s="752"/>
      <c r="BB293" s="752"/>
      <c r="BC293" s="752"/>
      <c r="BD293" s="752"/>
      <c r="BE293" s="997"/>
      <c r="BF293" s="752"/>
      <c r="BG293" s="752"/>
      <c r="BH293" s="752"/>
      <c r="BI293" s="752"/>
      <c r="BJ293" s="752"/>
      <c r="BK293" s="752"/>
      <c r="BL293" s="997"/>
      <c r="BM293" s="997"/>
      <c r="BN293" s="997"/>
      <c r="BO293" s="997"/>
      <c r="BP293" s="997"/>
      <c r="BQ293" s="997"/>
      <c r="BR293" s="997"/>
      <c r="BS293" s="997"/>
      <c r="BT293" s="997"/>
      <c r="BU293" s="997"/>
      <c r="BV293" s="997"/>
      <c r="BW293" s="997"/>
      <c r="BX293" s="997"/>
    </row>
    <row r="294" ht="15.75" customHeight="1">
      <c r="A294" s="994" t="s">
        <v>5530</v>
      </c>
      <c r="B294" s="995" t="s">
        <v>187</v>
      </c>
      <c r="C294" s="279" t="s">
        <v>5295</v>
      </c>
      <c r="D294" s="124" t="s">
        <v>5295</v>
      </c>
      <c r="F294" s="742"/>
      <c r="G294" s="742"/>
      <c r="H294" s="222"/>
      <c r="I294" s="748"/>
      <c r="J294" s="742"/>
      <c r="K294" s="742"/>
      <c r="L294" s="742"/>
      <c r="M294" s="219"/>
      <c r="N294" s="742"/>
      <c r="O294" s="742"/>
      <c r="P294" s="742"/>
      <c r="Q294" s="742"/>
      <c r="R294" s="746"/>
      <c r="S294" s="742"/>
      <c r="T294" s="742"/>
      <c r="U294" s="222"/>
      <c r="V294" s="742"/>
      <c r="W294" s="742"/>
      <c r="X294" s="742"/>
      <c r="Y294" s="186"/>
      <c r="Z294" s="742"/>
      <c r="AA294" s="742"/>
      <c r="AB294" s="742"/>
      <c r="AC294" s="742"/>
      <c r="AD294" s="742"/>
      <c r="AE294" s="186"/>
      <c r="AF294" s="742"/>
      <c r="AG294" s="742"/>
      <c r="AH294" s="742"/>
      <c r="AI294" s="742"/>
      <c r="AJ294" s="742"/>
      <c r="AK294" s="742"/>
      <c r="AL294" s="742"/>
      <c r="AM294" s="742"/>
      <c r="AN294" s="742"/>
      <c r="AO294" s="748"/>
      <c r="AP294" s="742"/>
      <c r="AQ294" s="742"/>
      <c r="AR294" s="186"/>
      <c r="AS294" s="742"/>
      <c r="AT294" s="742"/>
      <c r="AU294" s="742"/>
      <c r="AV294" s="748"/>
      <c r="AW294" s="742"/>
      <c r="AX294" s="186"/>
      <c r="AY294" s="742"/>
      <c r="AZ294" s="742"/>
      <c r="BA294" s="742"/>
      <c r="BB294" s="742"/>
      <c r="BC294" s="742"/>
      <c r="BD294" s="742"/>
      <c r="BE294" s="186"/>
      <c r="BF294" s="742"/>
      <c r="BG294" s="742"/>
      <c r="BH294" s="742"/>
      <c r="BI294" s="742"/>
      <c r="BJ294" s="742"/>
      <c r="BK294" s="742"/>
      <c r="BL294" s="186"/>
      <c r="BM294" s="186"/>
      <c r="BN294" s="186"/>
      <c r="BO294" s="186"/>
      <c r="BP294" s="186"/>
      <c r="BQ294" s="186"/>
      <c r="BR294" s="186"/>
      <c r="BS294" s="186"/>
      <c r="BT294" s="186"/>
      <c r="BU294" s="186"/>
      <c r="BV294" s="186"/>
      <c r="BW294" s="186"/>
      <c r="BX294" s="186"/>
    </row>
    <row r="295" ht="15.75" customHeight="1">
      <c r="A295" s="1030" t="s">
        <v>1740</v>
      </c>
      <c r="B295" s="1031" t="s">
        <v>187</v>
      </c>
      <c r="C295" s="119" t="s">
        <v>5532</v>
      </c>
      <c r="D295" s="182" t="s">
        <v>5534</v>
      </c>
      <c r="E295" s="132" t="s">
        <v>5532</v>
      </c>
      <c r="F295" s="742"/>
      <c r="G295" s="742"/>
      <c r="H295" s="222"/>
      <c r="I295" s="748"/>
      <c r="J295" s="742"/>
      <c r="K295" s="742"/>
      <c r="L295" s="742"/>
      <c r="M295" s="219"/>
      <c r="N295" s="742"/>
      <c r="O295" s="742"/>
      <c r="P295" s="742"/>
      <c r="Q295" s="742"/>
      <c r="R295" s="746"/>
      <c r="S295" s="742"/>
      <c r="T295" s="742"/>
      <c r="U295" s="222"/>
      <c r="V295" s="742"/>
      <c r="W295" s="742"/>
      <c r="X295" s="742"/>
      <c r="Y295" s="186"/>
      <c r="Z295" s="742"/>
      <c r="AA295" s="742"/>
      <c r="AB295" s="742"/>
      <c r="AC295" s="742"/>
      <c r="AD295" s="742"/>
      <c r="AE295" s="186"/>
      <c r="AF295" s="742"/>
      <c r="AG295" s="742"/>
      <c r="AH295" s="742"/>
      <c r="AI295" s="742"/>
      <c r="AJ295" s="742"/>
      <c r="AK295" s="742"/>
      <c r="AL295" s="742"/>
      <c r="AM295" s="742"/>
      <c r="AN295" s="742"/>
      <c r="AO295" s="748"/>
      <c r="AP295" s="742"/>
      <c r="AQ295" s="742"/>
      <c r="AR295" s="186"/>
      <c r="AS295" s="742"/>
      <c r="AT295" s="742"/>
      <c r="AU295" s="742"/>
      <c r="AV295" s="748"/>
      <c r="AW295" s="742"/>
      <c r="AX295" s="186"/>
      <c r="AY295" s="742"/>
      <c r="AZ295" s="742"/>
      <c r="BA295" s="742"/>
      <c r="BB295" s="742"/>
      <c r="BC295" s="742"/>
      <c r="BD295" s="742"/>
      <c r="BE295" s="186"/>
      <c r="BF295" s="742"/>
      <c r="BG295" s="742"/>
      <c r="BH295" s="742"/>
      <c r="BI295" s="742"/>
      <c r="BJ295" s="742"/>
      <c r="BK295" s="742"/>
      <c r="BL295" s="186"/>
      <c r="BM295" s="186"/>
      <c r="BN295" s="186"/>
      <c r="BO295" s="186"/>
      <c r="BP295" s="186"/>
      <c r="BQ295" s="186"/>
      <c r="BR295" s="186"/>
      <c r="BS295" s="186"/>
      <c r="BT295" s="186"/>
      <c r="BU295" s="186"/>
      <c r="BV295" s="186"/>
      <c r="BW295" s="186"/>
      <c r="BX295" s="186"/>
    </row>
    <row r="296" ht="15.75" customHeight="1">
      <c r="A296" s="994" t="s">
        <v>180</v>
      </c>
      <c r="B296" s="995" t="s">
        <v>3721</v>
      </c>
      <c r="C296" s="119" t="s">
        <v>5539</v>
      </c>
      <c r="D296" s="124" t="s">
        <v>3642</v>
      </c>
      <c r="E296" s="63" t="s">
        <v>5123</v>
      </c>
      <c r="F296" s="752"/>
      <c r="G296" s="132" t="s">
        <v>5539</v>
      </c>
      <c r="H296" s="132" t="s">
        <v>2131</v>
      </c>
      <c r="I296" s="744" t="s">
        <v>5542</v>
      </c>
      <c r="J296" s="752" t="s">
        <v>5543</v>
      </c>
      <c r="K296" s="752"/>
      <c r="L296" s="752"/>
      <c r="M296" s="219"/>
      <c r="N296" s="752"/>
      <c r="O296" s="752"/>
      <c r="P296" s="742" t="str">
        <f>HYPERLINK("https://youtu.be/iPAXLOnqzFM","41.13")</f>
        <v>41.13</v>
      </c>
      <c r="Q296" s="752"/>
      <c r="R296" s="753"/>
      <c r="S296" s="752"/>
      <c r="T296" s="752"/>
      <c r="U296" s="752"/>
      <c r="V296" s="752"/>
      <c r="W296" s="752"/>
      <c r="X296" s="752"/>
      <c r="Y296" s="186"/>
      <c r="Z296" s="752"/>
      <c r="AA296" s="752"/>
      <c r="AB296" s="752"/>
      <c r="AC296" s="752"/>
      <c r="AD296" s="752"/>
      <c r="AE296" s="186"/>
      <c r="AF296" s="752"/>
      <c r="AG296" s="752"/>
      <c r="AH296" s="752"/>
      <c r="AI296" s="752"/>
      <c r="AJ296" s="752"/>
      <c r="AK296" s="752"/>
      <c r="AL296" s="752"/>
      <c r="AM296" s="752"/>
      <c r="AN296" s="752"/>
      <c r="AO296" s="748"/>
      <c r="AP296" s="752"/>
      <c r="AQ296" s="752"/>
      <c r="AR296" s="186"/>
      <c r="AS296" s="752"/>
      <c r="AT296" s="752"/>
      <c r="AU296" s="752"/>
      <c r="AV296" s="748"/>
      <c r="AW296" s="752"/>
      <c r="AX296" s="186"/>
      <c r="AY296" s="752"/>
      <c r="AZ296" s="752"/>
      <c r="BA296" s="752"/>
      <c r="BB296" s="752"/>
      <c r="BC296" s="752"/>
      <c r="BD296" s="752"/>
      <c r="BE296" s="186"/>
      <c r="BF296" s="752"/>
      <c r="BG296" s="752"/>
      <c r="BH296" s="752"/>
      <c r="BI296" s="752"/>
      <c r="BJ296" s="752"/>
      <c r="BK296" s="752"/>
      <c r="BL296" s="186"/>
      <c r="BM296" s="186"/>
      <c r="BN296" s="186"/>
      <c r="BO296" s="186"/>
      <c r="BP296" s="186"/>
      <c r="BQ296" s="186"/>
      <c r="BR296" s="186"/>
      <c r="BS296" s="186"/>
      <c r="BT296" s="186"/>
      <c r="BU296" s="186"/>
      <c r="BV296" s="186"/>
      <c r="BW296" s="186"/>
      <c r="BX296" s="186"/>
    </row>
    <row r="297" ht="15.75" customHeight="1">
      <c r="A297" s="998"/>
      <c r="B297" s="999" t="s">
        <v>3742</v>
      </c>
      <c r="C297" s="741" t="s">
        <v>5548</v>
      </c>
      <c r="D297" s="219"/>
      <c r="E297" s="752"/>
      <c r="F297" s="752"/>
      <c r="G297" s="752"/>
      <c r="H297" s="132" t="s">
        <v>3999</v>
      </c>
      <c r="I297" s="748"/>
      <c r="J297" s="752"/>
      <c r="K297" s="752"/>
      <c r="L297" s="752"/>
      <c r="M297" s="1005"/>
      <c r="N297" s="752"/>
      <c r="O297" s="752"/>
      <c r="P297" s="752"/>
      <c r="Q297" s="752"/>
      <c r="R297" s="753"/>
      <c r="S297" s="752"/>
      <c r="T297" s="752"/>
      <c r="U297" s="752"/>
      <c r="V297" s="132" t="s">
        <v>5549</v>
      </c>
      <c r="W297" s="752"/>
      <c r="X297" s="752"/>
      <c r="Y297" s="997"/>
      <c r="Z297" s="752"/>
      <c r="AA297" s="752"/>
      <c r="AB297" s="752"/>
      <c r="AC297" s="752"/>
      <c r="AD297" s="752"/>
      <c r="AE297" s="997"/>
      <c r="AF297" s="752"/>
      <c r="AG297" s="752"/>
      <c r="AH297" s="752"/>
      <c r="AI297" s="752"/>
      <c r="AJ297" s="752"/>
      <c r="AK297" s="752"/>
      <c r="AL297" s="752"/>
      <c r="AM297" s="752"/>
      <c r="AN297" s="752"/>
      <c r="AO297" s="748"/>
      <c r="AP297" s="752"/>
      <c r="AQ297" s="752"/>
      <c r="AR297" s="997"/>
      <c r="AS297" s="752"/>
      <c r="AT297" s="752"/>
      <c r="AU297" s="752"/>
      <c r="AV297" s="748"/>
      <c r="AW297" s="752"/>
      <c r="AX297" s="997"/>
      <c r="AY297" s="752"/>
      <c r="AZ297" s="752"/>
      <c r="BA297" s="752"/>
      <c r="BB297" s="752"/>
      <c r="BC297" s="752"/>
      <c r="BD297" s="752"/>
      <c r="BE297" s="997"/>
      <c r="BF297" s="752"/>
      <c r="BG297" s="752"/>
      <c r="BH297" s="752"/>
      <c r="BI297" s="752"/>
      <c r="BJ297" s="752"/>
      <c r="BK297" s="752"/>
      <c r="BL297" s="997"/>
      <c r="BM297" s="997"/>
      <c r="BN297" s="997"/>
      <c r="BO297" s="997"/>
      <c r="BP297" s="997"/>
      <c r="BQ297" s="997"/>
      <c r="BR297" s="997"/>
      <c r="BS297" s="997"/>
      <c r="BT297" s="997"/>
      <c r="BU297" s="997"/>
      <c r="BV297" s="997"/>
      <c r="BW297" s="997"/>
      <c r="BX297" s="997"/>
    </row>
    <row r="298" ht="15.75" customHeight="1">
      <c r="A298" s="994" t="s">
        <v>171</v>
      </c>
      <c r="B298" s="1117" t="s">
        <v>187</v>
      </c>
      <c r="C298" s="741" t="s">
        <v>5552</v>
      </c>
      <c r="D298" s="292" t="s">
        <v>5298</v>
      </c>
      <c r="E298" s="752" t="s">
        <v>5554</v>
      </c>
      <c r="F298" s="752"/>
      <c r="G298" s="752"/>
      <c r="H298" s="132" t="s">
        <v>4724</v>
      </c>
      <c r="I298" s="744" t="s">
        <v>5556</v>
      </c>
      <c r="J298" s="752"/>
      <c r="K298" s="752"/>
      <c r="L298" s="752"/>
      <c r="M298" s="219"/>
      <c r="N298" s="752" t="s">
        <v>4101</v>
      </c>
      <c r="O298" s="752"/>
      <c r="P298" s="752"/>
      <c r="Q298" s="752"/>
      <c r="R298" s="753"/>
      <c r="S298" s="752"/>
      <c r="T298" s="752"/>
      <c r="U298" s="752"/>
      <c r="V298" s="752"/>
      <c r="W298" s="752"/>
      <c r="X298" s="752"/>
      <c r="Y298" s="186"/>
      <c r="Z298" s="752"/>
      <c r="AA298" s="752"/>
      <c r="AB298" s="752"/>
      <c r="AC298" s="752"/>
      <c r="AD298" s="752"/>
      <c r="AE298" s="186"/>
      <c r="AF298" s="752"/>
      <c r="AG298" s="752"/>
      <c r="AH298" s="752"/>
      <c r="AI298" s="752"/>
      <c r="AJ298" s="752"/>
      <c r="AK298" s="752"/>
      <c r="AL298" s="752"/>
      <c r="AM298" s="752"/>
      <c r="AN298" s="752"/>
      <c r="AO298" s="748"/>
      <c r="AP298" s="752"/>
      <c r="AQ298" s="752"/>
      <c r="AR298" s="186"/>
      <c r="AS298" s="752"/>
      <c r="AT298" s="752"/>
      <c r="AU298" s="752"/>
      <c r="AV298" s="748"/>
      <c r="AW298" s="752"/>
      <c r="AX298" s="186"/>
      <c r="AY298" s="752"/>
      <c r="AZ298" s="752"/>
      <c r="BA298" s="752"/>
      <c r="BB298" s="752"/>
      <c r="BC298" s="752"/>
      <c r="BD298" s="752"/>
      <c r="BE298" s="186"/>
      <c r="BF298" s="752"/>
      <c r="BG298" s="752"/>
      <c r="BH298" s="752"/>
      <c r="BI298" s="752"/>
      <c r="BJ298" s="752"/>
      <c r="BK298" s="752"/>
      <c r="BL298" s="186"/>
      <c r="BM298" s="186"/>
      <c r="BN298" s="186"/>
      <c r="BO298" s="186"/>
      <c r="BP298" s="186"/>
      <c r="BQ298" s="186"/>
      <c r="BR298" s="186"/>
      <c r="BS298" s="186"/>
      <c r="BT298" s="186"/>
      <c r="BU298" s="186"/>
      <c r="BV298" s="186"/>
      <c r="BW298" s="186"/>
      <c r="BX298" s="186"/>
    </row>
    <row r="299">
      <c r="A299" s="1119" t="s">
        <v>5560</v>
      </c>
      <c r="D299" s="1120"/>
      <c r="E299" s="1121"/>
      <c r="F299" s="1121"/>
      <c r="G299" s="1121"/>
      <c r="H299" s="1122"/>
      <c r="I299" s="1121"/>
      <c r="J299" s="1121"/>
      <c r="K299" s="1121"/>
      <c r="L299" s="1121"/>
      <c r="M299" s="1120"/>
      <c r="N299" s="1121"/>
      <c r="O299" s="1121"/>
      <c r="P299" s="1121"/>
      <c r="Q299" s="1121"/>
      <c r="R299" s="1123"/>
      <c r="S299" s="1121"/>
      <c r="T299" s="1121"/>
      <c r="U299" s="1121"/>
      <c r="V299" s="1121"/>
      <c r="W299" s="1121"/>
      <c r="X299" s="1121"/>
      <c r="Y299" s="1124"/>
      <c r="Z299" s="1121"/>
      <c r="AA299" s="1121"/>
      <c r="AB299" s="1121"/>
      <c r="AC299" s="1121"/>
      <c r="AD299" s="1121"/>
      <c r="AE299" s="1124"/>
      <c r="AF299" s="1121"/>
      <c r="AG299" s="1121"/>
      <c r="AH299" s="1121"/>
      <c r="AI299" s="1121"/>
      <c r="AJ299" s="1121"/>
      <c r="AK299" s="1121"/>
      <c r="AL299" s="1121"/>
      <c r="AM299" s="1121"/>
      <c r="AN299" s="1121"/>
      <c r="AO299" s="1121"/>
      <c r="AP299" s="1121"/>
      <c r="AQ299" s="1121"/>
      <c r="AR299" s="1124"/>
      <c r="AS299" s="1121"/>
      <c r="AT299" s="1121"/>
      <c r="AU299" s="1121"/>
      <c r="AV299" s="1121"/>
      <c r="AW299" s="1121"/>
      <c r="AX299" s="1124"/>
      <c r="AY299" s="1121"/>
      <c r="AZ299" s="1121"/>
      <c r="BA299" s="1121"/>
      <c r="BB299" s="1121"/>
      <c r="BC299" s="1121"/>
      <c r="BD299" s="1121"/>
      <c r="BE299" s="1124"/>
      <c r="BF299" s="1121"/>
      <c r="BG299" s="1121"/>
      <c r="BH299" s="1121"/>
      <c r="BI299" s="1121"/>
      <c r="BJ299" s="1121"/>
      <c r="BK299" s="1121"/>
      <c r="BL299" s="1124"/>
      <c r="BM299" s="1124"/>
      <c r="BN299" s="1124"/>
      <c r="BO299" s="1124"/>
      <c r="BP299" s="1124"/>
      <c r="BQ299" s="1124"/>
      <c r="BR299" s="1124"/>
      <c r="BS299" s="1124"/>
      <c r="BT299" s="1124"/>
      <c r="BU299" s="1124"/>
      <c r="BV299" s="1124"/>
      <c r="BW299" s="1124"/>
      <c r="BX299" s="1124"/>
    </row>
    <row r="300" ht="15.75" customHeight="1">
      <c r="A300" s="1125" t="s">
        <v>5564</v>
      </c>
      <c r="B300" s="1126" t="s">
        <v>5565</v>
      </c>
      <c r="C300" s="119" t="s">
        <v>5566</v>
      </c>
      <c r="D300" s="987"/>
      <c r="E300" s="672"/>
      <c r="F300" s="222"/>
      <c r="G300" s="222"/>
      <c r="H300" s="132" t="s">
        <v>5568</v>
      </c>
      <c r="I300" s="748"/>
      <c r="J300" s="222"/>
      <c r="K300" s="222"/>
      <c r="L300" s="222"/>
      <c r="M300" s="219"/>
      <c r="N300" s="222"/>
      <c r="O300" s="222"/>
      <c r="P300" s="222"/>
      <c r="Q300" s="222"/>
      <c r="R300" s="746"/>
      <c r="S300" s="222"/>
      <c r="T300" s="132" t="s">
        <v>5566</v>
      </c>
      <c r="U300" s="222"/>
      <c r="V300" s="222"/>
      <c r="W300" s="222"/>
      <c r="X300" s="222"/>
      <c r="Y300" s="186"/>
      <c r="Z300" s="222"/>
      <c r="AA300" s="222"/>
      <c r="AB300" s="222"/>
      <c r="AC300" s="222"/>
      <c r="AD300" s="222"/>
      <c r="AE300" s="186"/>
      <c r="AF300" s="222"/>
      <c r="AG300" s="222"/>
      <c r="AH300" s="222"/>
      <c r="AI300" s="222"/>
      <c r="AJ300" s="222"/>
      <c r="AK300" s="222"/>
      <c r="AL300" s="222"/>
      <c r="AM300" s="222"/>
      <c r="AN300" s="222"/>
      <c r="AO300" s="748"/>
      <c r="AP300" s="222"/>
      <c r="AQ300" s="222"/>
      <c r="AR300" s="186"/>
      <c r="AS300" s="222"/>
      <c r="AT300" s="222"/>
      <c r="AU300" s="222"/>
      <c r="AV300" s="748"/>
      <c r="AW300" s="222"/>
      <c r="AX300" s="186"/>
      <c r="AY300" s="222"/>
      <c r="AZ300" s="222"/>
      <c r="BA300" s="222"/>
      <c r="BB300" s="222"/>
      <c r="BC300" s="222"/>
      <c r="BD300" s="222"/>
      <c r="BE300" s="186"/>
      <c r="BF300" s="222"/>
      <c r="BG300" s="222"/>
      <c r="BH300" s="222"/>
      <c r="BI300" s="222"/>
      <c r="BJ300" s="222"/>
      <c r="BK300" s="222"/>
      <c r="BL300" s="186"/>
      <c r="BM300" s="186"/>
      <c r="BN300" s="186"/>
      <c r="BO300" s="186"/>
      <c r="BP300" s="186"/>
      <c r="BQ300" s="186"/>
      <c r="BR300" s="186"/>
      <c r="BS300" s="186"/>
      <c r="BT300" s="186"/>
      <c r="BU300" s="186"/>
      <c r="BV300" s="186"/>
      <c r="BW300" s="186"/>
      <c r="BX300" s="186"/>
    </row>
    <row r="301" ht="15.75" customHeight="1">
      <c r="A301" s="550"/>
      <c r="B301" s="551" t="s">
        <v>5572</v>
      </c>
      <c r="C301" s="741" t="s">
        <v>2675</v>
      </c>
      <c r="D301" s="219"/>
      <c r="E301" s="742" t="s">
        <v>5573</v>
      </c>
      <c r="F301" s="742" t="s">
        <v>2675</v>
      </c>
      <c r="G301" s="742"/>
      <c r="I301" s="748"/>
      <c r="J301" s="742"/>
      <c r="K301" s="742"/>
      <c r="L301" s="746" t="s">
        <v>5574</v>
      </c>
      <c r="M301" s="1127"/>
      <c r="N301" s="742"/>
      <c r="O301" s="742"/>
      <c r="P301" s="742"/>
      <c r="Q301" s="742"/>
      <c r="R301" s="746" t="s">
        <v>5576</v>
      </c>
      <c r="S301" s="742"/>
      <c r="T301" s="222"/>
      <c r="U301" s="742"/>
      <c r="V301" s="742"/>
      <c r="W301" s="742"/>
      <c r="X301" s="742"/>
      <c r="Y301" s="1129"/>
      <c r="Z301" s="742"/>
      <c r="AA301" s="742"/>
      <c r="AB301" s="742"/>
      <c r="AC301" s="742"/>
      <c r="AD301" s="742"/>
      <c r="AE301" s="1129"/>
      <c r="AF301" s="742"/>
      <c r="AG301" s="742"/>
      <c r="AH301" s="742"/>
      <c r="AI301" s="742"/>
      <c r="AJ301" s="742"/>
      <c r="AK301" s="742"/>
      <c r="AL301" s="742"/>
      <c r="AM301" s="742"/>
      <c r="AN301" s="742"/>
      <c r="AO301" s="748"/>
      <c r="AP301" s="742"/>
      <c r="AQ301" s="742"/>
      <c r="AR301" s="1129"/>
      <c r="AS301" s="742"/>
      <c r="AT301" s="742"/>
      <c r="AU301" s="742"/>
      <c r="AV301" s="748"/>
      <c r="AW301" s="742"/>
      <c r="AX301" s="1129"/>
      <c r="AY301" s="742"/>
      <c r="AZ301" s="742"/>
      <c r="BA301" s="742"/>
      <c r="BB301" s="742"/>
      <c r="BC301" s="742"/>
      <c r="BD301" s="742"/>
      <c r="BE301" s="1129"/>
      <c r="BF301" s="742"/>
      <c r="BG301" s="742"/>
      <c r="BH301" s="742"/>
      <c r="BI301" s="742"/>
      <c r="BJ301" s="742"/>
      <c r="BK301" s="742"/>
      <c r="BL301" s="1129"/>
      <c r="BM301" s="1129"/>
      <c r="BN301" s="1129"/>
      <c r="BO301" s="1129"/>
      <c r="BP301" s="1129"/>
      <c r="BQ301" s="1129"/>
      <c r="BR301" s="1129"/>
      <c r="BS301" s="1129"/>
      <c r="BT301" s="1129"/>
      <c r="BU301" s="1129"/>
      <c r="BV301" s="1129"/>
      <c r="BW301" s="1129"/>
      <c r="BX301" s="1129"/>
    </row>
    <row r="302" ht="15.75" customHeight="1">
      <c r="A302" s="554"/>
      <c r="B302" s="555" t="s">
        <v>5580</v>
      </c>
      <c r="C302" s="741" t="s">
        <v>1500</v>
      </c>
      <c r="D302" s="182" t="s">
        <v>5303</v>
      </c>
      <c r="E302" s="174" t="s">
        <v>5130</v>
      </c>
      <c r="F302" s="132" t="s">
        <v>1500</v>
      </c>
      <c r="G302" s="132" t="s">
        <v>5585</v>
      </c>
      <c r="H302" s="132" t="s">
        <v>857</v>
      </c>
      <c r="I302" s="748"/>
      <c r="J302" s="132" t="str">
        <f>HYPERLINK("https://youtu.be/ZpzmhXUsVhA","1:19.38")</f>
        <v>1:19.38</v>
      </c>
      <c r="K302" s="222"/>
      <c r="L302" s="132" t="s">
        <v>5590</v>
      </c>
      <c r="M302" s="219"/>
      <c r="N302" s="222" t="s">
        <v>4113</v>
      </c>
      <c r="O302" s="222" t="s">
        <v>5592</v>
      </c>
      <c r="P302" s="222" t="s">
        <v>5593</v>
      </c>
      <c r="Q302" s="132" t="s">
        <v>5594</v>
      </c>
      <c r="R302" s="746" t="s">
        <v>5596</v>
      </c>
      <c r="S302" s="222"/>
      <c r="T302" s="1020" t="s">
        <v>5597</v>
      </c>
      <c r="U302" s="222"/>
      <c r="V302" s="222"/>
      <c r="W302" s="222"/>
      <c r="X302" s="222"/>
      <c r="Y302" s="186"/>
      <c r="Z302" s="222"/>
      <c r="AA302" s="222"/>
      <c r="AB302" s="222"/>
      <c r="AC302" s="222"/>
      <c r="AD302" s="222"/>
      <c r="AE302" s="186"/>
      <c r="AF302" s="222"/>
      <c r="AG302" s="222"/>
      <c r="AH302" s="222"/>
      <c r="AI302" s="222"/>
      <c r="AJ302" s="222"/>
      <c r="AK302" s="222"/>
      <c r="AL302" s="222"/>
      <c r="AM302" s="222"/>
      <c r="AN302" s="222"/>
      <c r="AO302" s="748"/>
      <c r="AP302" s="222"/>
      <c r="AQ302" s="222"/>
      <c r="AR302" s="186"/>
      <c r="AS302" s="222"/>
      <c r="AT302" s="222"/>
      <c r="AU302" s="222"/>
      <c r="AV302" s="748"/>
      <c r="AW302" s="222"/>
      <c r="AX302" s="186"/>
      <c r="AY302" s="222"/>
      <c r="AZ302" s="222"/>
      <c r="BA302" s="222"/>
      <c r="BB302" s="222"/>
      <c r="BC302" s="222"/>
      <c r="BD302" s="222"/>
      <c r="BE302" s="186"/>
      <c r="BF302" s="222"/>
      <c r="BG302" s="222"/>
      <c r="BH302" s="222"/>
      <c r="BI302" s="222"/>
      <c r="BJ302" s="222"/>
      <c r="BK302" s="222"/>
      <c r="BL302" s="186"/>
      <c r="BM302" s="186"/>
      <c r="BN302" s="186"/>
      <c r="BO302" s="186"/>
      <c r="BP302" s="186"/>
      <c r="BQ302" s="186"/>
      <c r="BR302" s="186"/>
      <c r="BS302" s="186"/>
      <c r="BT302" s="186"/>
      <c r="BU302" s="186"/>
      <c r="BV302" s="186"/>
      <c r="BW302" s="186"/>
      <c r="BX302" s="186"/>
    </row>
    <row r="303" ht="15.75" customHeight="1">
      <c r="A303" s="1144" t="s">
        <v>5602</v>
      </c>
      <c r="B303" s="1145" t="s">
        <v>5565</v>
      </c>
      <c r="C303" s="119" t="s">
        <v>5603</v>
      </c>
      <c r="D303" s="219"/>
      <c r="E303" s="742"/>
      <c r="F303" s="742"/>
      <c r="G303" s="742"/>
      <c r="H303" s="222"/>
      <c r="I303" s="748"/>
      <c r="J303" s="742"/>
      <c r="K303" s="742"/>
      <c r="L303" s="742"/>
      <c r="M303" s="1127"/>
      <c r="N303" s="742"/>
      <c r="O303" s="742"/>
      <c r="P303" s="742"/>
      <c r="Q303" s="742"/>
      <c r="R303" s="746"/>
      <c r="S303" s="742"/>
      <c r="T303" s="385" t="s">
        <v>4095</v>
      </c>
      <c r="U303" s="742"/>
      <c r="V303" s="742"/>
      <c r="W303" s="742"/>
      <c r="X303" s="742"/>
      <c r="Y303" s="1129"/>
      <c r="Z303" s="742"/>
      <c r="AA303" s="742"/>
      <c r="AB303" s="742"/>
      <c r="AC303" s="742"/>
      <c r="AD303" s="742"/>
      <c r="AE303" s="1129"/>
      <c r="AF303" s="742"/>
      <c r="AG303" s="742"/>
      <c r="AH303" s="742"/>
      <c r="AI303" s="742"/>
      <c r="AJ303" s="742"/>
      <c r="AK303" s="742"/>
      <c r="AL303" s="742"/>
      <c r="AM303" s="742"/>
      <c r="AN303" s="742"/>
      <c r="AO303" s="748"/>
      <c r="AP303" s="742"/>
      <c r="AQ303" s="742"/>
      <c r="AR303" s="1129"/>
      <c r="AS303" s="742"/>
      <c r="AT303" s="742"/>
      <c r="AU303" s="742"/>
      <c r="AV303" s="748"/>
      <c r="AW303" s="742"/>
      <c r="AX303" s="1129"/>
      <c r="AY303" s="742"/>
      <c r="AZ303" s="742"/>
      <c r="BA303" s="742"/>
      <c r="BB303" s="742"/>
      <c r="BC303" s="742"/>
      <c r="BD303" s="742"/>
      <c r="BE303" s="1129"/>
      <c r="BF303" s="742"/>
      <c r="BG303" s="742"/>
      <c r="BH303" s="742"/>
      <c r="BI303" s="742"/>
      <c r="BJ303" s="742"/>
      <c r="BK303" s="742"/>
      <c r="BL303" s="1129"/>
      <c r="BM303" s="1129"/>
      <c r="BN303" s="1129"/>
      <c r="BO303" s="1129"/>
      <c r="BP303" s="1129"/>
      <c r="BQ303" s="1129"/>
      <c r="BR303" s="1129"/>
      <c r="BS303" s="1129"/>
      <c r="BT303" s="1129"/>
      <c r="BU303" s="1129"/>
      <c r="BV303" s="1129"/>
      <c r="BW303" s="1129"/>
      <c r="BX303" s="1129"/>
    </row>
    <row r="304" ht="15.75" customHeight="1">
      <c r="A304" s="550"/>
      <c r="B304" s="1149" t="s">
        <v>5572</v>
      </c>
      <c r="C304" s="741" t="s">
        <v>5611</v>
      </c>
      <c r="D304" s="219"/>
      <c r="E304" s="742" t="s">
        <v>4093</v>
      </c>
      <c r="F304" s="742" t="s">
        <v>5615</v>
      </c>
      <c r="G304" s="742"/>
      <c r="H304" s="222"/>
      <c r="I304" s="748"/>
      <c r="J304" s="742"/>
      <c r="K304" s="742"/>
      <c r="L304" s="742"/>
      <c r="M304" s="1127"/>
      <c r="N304" s="742"/>
      <c r="O304" s="742"/>
      <c r="P304" s="742"/>
      <c r="Q304" s="742"/>
      <c r="R304" s="746"/>
      <c r="S304" s="742"/>
      <c r="T304" s="742"/>
      <c r="U304" s="742"/>
      <c r="V304" s="742"/>
      <c r="W304" s="742"/>
      <c r="X304" s="742"/>
      <c r="Y304" s="1129"/>
      <c r="Z304" s="742"/>
      <c r="AA304" s="742"/>
      <c r="AB304" s="742"/>
      <c r="AC304" s="742"/>
      <c r="AD304" s="742"/>
      <c r="AE304" s="1129"/>
      <c r="AF304" s="742"/>
      <c r="AG304" s="742"/>
      <c r="AH304" s="742"/>
      <c r="AI304" s="742"/>
      <c r="AJ304" s="742"/>
      <c r="AK304" s="742"/>
      <c r="AL304" s="742"/>
      <c r="AM304" s="742"/>
      <c r="AN304" s="742"/>
      <c r="AO304" s="748"/>
      <c r="AP304" s="742"/>
      <c r="AQ304" s="742"/>
      <c r="AR304" s="1129"/>
      <c r="AS304" s="742"/>
      <c r="AT304" s="742"/>
      <c r="AU304" s="742"/>
      <c r="AV304" s="748"/>
      <c r="AW304" s="742"/>
      <c r="AX304" s="1129"/>
      <c r="AY304" s="742"/>
      <c r="AZ304" s="742"/>
      <c r="BA304" s="742"/>
      <c r="BB304" s="742"/>
      <c r="BC304" s="742"/>
      <c r="BD304" s="742"/>
      <c r="BE304" s="1129"/>
      <c r="BF304" s="742"/>
      <c r="BG304" s="742"/>
      <c r="BH304" s="742"/>
      <c r="BI304" s="742"/>
      <c r="BJ304" s="742"/>
      <c r="BK304" s="742"/>
      <c r="BL304" s="1129"/>
      <c r="BM304" s="1129"/>
      <c r="BN304" s="1129"/>
      <c r="BO304" s="1129"/>
      <c r="BP304" s="1129"/>
      <c r="BQ304" s="1129"/>
      <c r="BR304" s="1129"/>
      <c r="BS304" s="1129"/>
      <c r="BT304" s="1129"/>
      <c r="BU304" s="1129"/>
      <c r="BV304" s="1129"/>
      <c r="BW304" s="1129"/>
      <c r="BX304" s="1129"/>
    </row>
    <row r="305" ht="15.75" customHeight="1">
      <c r="A305" s="554"/>
      <c r="B305" s="555" t="s">
        <v>5580</v>
      </c>
      <c r="C305" s="119" t="s">
        <v>5619</v>
      </c>
      <c r="D305" s="548" t="s">
        <v>2798</v>
      </c>
      <c r="E305" s="1152" t="s">
        <v>5621</v>
      </c>
      <c r="F305" s="742" t="s">
        <v>5622</v>
      </c>
      <c r="G305" s="132" t="s">
        <v>5619</v>
      </c>
      <c r="H305" s="132" t="s">
        <v>5624</v>
      </c>
      <c r="I305" s="748"/>
      <c r="J305" s="742"/>
      <c r="K305" s="742"/>
      <c r="L305" s="742"/>
      <c r="M305" s="219"/>
      <c r="N305" s="742"/>
      <c r="O305" s="742"/>
      <c r="P305" s="742"/>
      <c r="Q305" s="742" t="s">
        <v>5626</v>
      </c>
      <c r="R305" s="746"/>
      <c r="S305" s="742"/>
      <c r="T305" s="132" t="s">
        <v>2642</v>
      </c>
      <c r="U305" s="742"/>
      <c r="V305" s="742"/>
      <c r="W305" s="742"/>
      <c r="X305" s="742"/>
      <c r="Y305" s="245" t="s">
        <v>4116</v>
      </c>
      <c r="Z305" s="742"/>
      <c r="AA305" s="742"/>
      <c r="AB305" s="742"/>
      <c r="AC305" s="742"/>
      <c r="AD305" s="742"/>
      <c r="AE305" s="186"/>
      <c r="AF305" s="742"/>
      <c r="AG305" s="742"/>
      <c r="AH305" s="742"/>
      <c r="AI305" s="742"/>
      <c r="AJ305" s="742"/>
      <c r="AK305" s="742"/>
      <c r="AL305" s="742"/>
      <c r="AM305" s="742"/>
      <c r="AN305" s="742"/>
      <c r="AO305" s="748"/>
      <c r="AP305" s="742"/>
      <c r="AQ305" s="742"/>
      <c r="AR305" s="186"/>
      <c r="AS305" s="742"/>
      <c r="AT305" s="742"/>
      <c r="AU305" s="742"/>
      <c r="AV305" s="748"/>
      <c r="AW305" s="742"/>
      <c r="AX305" s="186"/>
      <c r="AY305" s="742"/>
      <c r="AZ305" s="742"/>
      <c r="BA305" s="742"/>
      <c r="BB305" s="742"/>
      <c r="BC305" s="742"/>
      <c r="BD305" s="742"/>
      <c r="BE305" s="186"/>
      <c r="BF305" s="742"/>
      <c r="BG305" s="742"/>
      <c r="BH305" s="742"/>
      <c r="BI305" s="742"/>
      <c r="BJ305" s="742"/>
      <c r="BK305" s="742"/>
      <c r="BL305" s="186"/>
      <c r="BM305" s="186"/>
      <c r="BN305" s="186"/>
      <c r="BO305" s="186"/>
      <c r="BP305" s="186"/>
      <c r="BQ305" s="186"/>
      <c r="BR305" s="186"/>
      <c r="BS305" s="186"/>
      <c r="BT305" s="186"/>
      <c r="BU305" s="186"/>
      <c r="BV305" s="186"/>
      <c r="BW305" s="186"/>
      <c r="BX305" s="186"/>
    </row>
    <row r="306" ht="15.75" customHeight="1">
      <c r="A306" s="1144" t="s">
        <v>5633</v>
      </c>
      <c r="B306" s="1157" t="s">
        <v>5634</v>
      </c>
      <c r="C306" s="741" t="s">
        <v>5635</v>
      </c>
      <c r="D306" s="219"/>
      <c r="E306" s="1159" t="s">
        <v>5234</v>
      </c>
      <c r="F306" s="742" t="s">
        <v>5635</v>
      </c>
      <c r="G306" s="742"/>
      <c r="H306" s="222"/>
      <c r="I306" s="748"/>
      <c r="J306" s="742"/>
      <c r="K306" s="742"/>
      <c r="L306" s="742" t="s">
        <v>5638</v>
      </c>
      <c r="M306" s="1127"/>
      <c r="N306" s="742"/>
      <c r="O306" s="742"/>
      <c r="P306" s="742"/>
      <c r="Q306" s="742"/>
      <c r="R306" s="746" t="s">
        <v>5640</v>
      </c>
      <c r="S306" s="742"/>
      <c r="T306" s="742"/>
      <c r="U306" s="742"/>
      <c r="V306" s="742" t="s">
        <v>5549</v>
      </c>
      <c r="W306" s="742"/>
      <c r="X306" s="742"/>
      <c r="Y306" s="1129"/>
      <c r="Z306" s="742"/>
      <c r="AA306" s="742"/>
      <c r="AB306" s="742"/>
      <c r="AC306" s="742"/>
      <c r="AD306" s="742"/>
      <c r="AE306" s="1129"/>
      <c r="AF306" s="742"/>
      <c r="AG306" s="742"/>
      <c r="AH306" s="742"/>
      <c r="AI306" s="742"/>
      <c r="AJ306" s="742"/>
      <c r="AK306" s="742"/>
      <c r="AL306" s="742"/>
      <c r="AM306" s="742"/>
      <c r="AN306" s="742"/>
      <c r="AO306" s="748"/>
      <c r="AP306" s="742"/>
      <c r="AQ306" s="742"/>
      <c r="AR306" s="1129"/>
      <c r="AS306" s="742"/>
      <c r="AT306" s="742"/>
      <c r="AU306" s="742"/>
      <c r="AV306" s="748"/>
      <c r="AW306" s="742"/>
      <c r="AX306" s="1129"/>
      <c r="AY306" s="742"/>
      <c r="AZ306" s="742"/>
      <c r="BA306" s="742"/>
      <c r="BB306" s="742"/>
      <c r="BC306" s="742"/>
      <c r="BD306" s="742"/>
      <c r="BE306" s="1129"/>
      <c r="BF306" s="742"/>
      <c r="BG306" s="742"/>
      <c r="BH306" s="742"/>
      <c r="BI306" s="742"/>
      <c r="BJ306" s="742"/>
      <c r="BK306" s="742"/>
      <c r="BL306" s="1129"/>
      <c r="BM306" s="1129"/>
      <c r="BN306" s="1129"/>
      <c r="BO306" s="1129"/>
      <c r="BP306" s="1129"/>
      <c r="BQ306" s="1129"/>
      <c r="BR306" s="1129"/>
      <c r="BS306" s="1129"/>
      <c r="BT306" s="1129"/>
      <c r="BU306" s="1129"/>
      <c r="BV306" s="1129"/>
      <c r="BW306" s="1129"/>
      <c r="BX306" s="1129"/>
    </row>
    <row r="307" ht="15.75" customHeight="1">
      <c r="A307" s="550"/>
      <c r="B307" s="551" t="s">
        <v>5644</v>
      </c>
      <c r="C307" s="741" t="s">
        <v>5255</v>
      </c>
      <c r="D307" s="292" t="s">
        <v>4103</v>
      </c>
      <c r="E307" s="174" t="s">
        <v>4996</v>
      </c>
      <c r="F307" s="132" t="s">
        <v>1503</v>
      </c>
      <c r="G307" s="132" t="s">
        <v>1255</v>
      </c>
      <c r="H307" s="132" t="s">
        <v>4735</v>
      </c>
      <c r="I307" s="748"/>
      <c r="J307" s="222"/>
      <c r="K307" s="222"/>
      <c r="L307" s="222"/>
      <c r="M307" s="219"/>
      <c r="N307" s="132" t="s">
        <v>2835</v>
      </c>
      <c r="O307" s="222" t="s">
        <v>3472</v>
      </c>
      <c r="P307" s="222"/>
      <c r="Q307" s="132" t="s">
        <v>5255</v>
      </c>
      <c r="R307" s="746" t="s">
        <v>4913</v>
      </c>
      <c r="S307" s="222"/>
      <c r="T307" s="222"/>
      <c r="U307" s="222"/>
      <c r="V307" s="222"/>
      <c r="W307" s="222" t="s">
        <v>1646</v>
      </c>
      <c r="X307" s="222"/>
      <c r="Y307" s="186"/>
      <c r="Z307" s="222"/>
      <c r="AA307" s="222"/>
      <c r="AB307" s="222"/>
      <c r="AC307" s="132" t="s">
        <v>4993</v>
      </c>
      <c r="AD307" s="222"/>
      <c r="AE307" s="186"/>
      <c r="AF307" s="222"/>
      <c r="AG307" s="222"/>
      <c r="AH307" s="222"/>
      <c r="AI307" s="222"/>
      <c r="AJ307" s="222"/>
      <c r="AK307" s="222"/>
      <c r="AL307" s="222"/>
      <c r="AM307" s="222"/>
      <c r="AN307" s="222"/>
      <c r="AO307" s="748"/>
      <c r="AP307" s="222"/>
      <c r="AQ307" s="222"/>
      <c r="AR307" s="186"/>
      <c r="AS307" s="222"/>
      <c r="AT307" s="222"/>
      <c r="AU307" s="222"/>
      <c r="AV307" s="748"/>
      <c r="AW307" s="222"/>
      <c r="AX307" s="186"/>
      <c r="AY307" s="222"/>
      <c r="AZ307" s="222"/>
      <c r="BA307" s="222"/>
      <c r="BB307" s="222"/>
      <c r="BC307" s="222"/>
      <c r="BD307" s="222"/>
      <c r="BE307" s="186"/>
      <c r="BF307" s="222"/>
      <c r="BG307" s="222"/>
      <c r="BH307" s="222"/>
      <c r="BI307" s="222"/>
      <c r="BJ307" s="222"/>
      <c r="BK307" s="222"/>
      <c r="BL307" s="186"/>
      <c r="BM307" s="186"/>
      <c r="BN307" s="186"/>
      <c r="BO307" s="186"/>
      <c r="BP307" s="186"/>
      <c r="BQ307" s="186"/>
      <c r="BR307" s="186"/>
      <c r="BS307" s="186"/>
      <c r="BT307" s="186"/>
      <c r="BU307" s="186"/>
      <c r="BV307" s="186"/>
      <c r="BW307" s="186"/>
      <c r="BX307" s="186"/>
    </row>
    <row r="308" ht="15.75" customHeight="1">
      <c r="A308" s="1125" t="s">
        <v>5687</v>
      </c>
      <c r="B308" s="1126" t="s">
        <v>5688</v>
      </c>
      <c r="C308" s="741" t="s">
        <v>5689</v>
      </c>
      <c r="D308" s="219"/>
      <c r="E308" s="742"/>
      <c r="F308" s="742" t="s">
        <v>5689</v>
      </c>
      <c r="G308" s="742"/>
      <c r="H308" s="222"/>
      <c r="I308" s="748"/>
      <c r="J308" s="742" t="s">
        <v>4920</v>
      </c>
      <c r="K308" s="742"/>
      <c r="L308" s="742"/>
      <c r="M308" s="1127"/>
      <c r="N308" s="742"/>
      <c r="O308" s="742"/>
      <c r="P308" s="742"/>
      <c r="Q308" s="742"/>
      <c r="R308" s="746"/>
      <c r="S308" s="742"/>
      <c r="T308" s="742"/>
      <c r="U308" s="742"/>
      <c r="V308" s="742"/>
      <c r="W308" s="742"/>
      <c r="X308" s="742"/>
      <c r="Y308" s="1129"/>
      <c r="Z308" s="742"/>
      <c r="AA308" s="742"/>
      <c r="AB308" s="742"/>
      <c r="AC308" s="742"/>
      <c r="AD308" s="742"/>
      <c r="AE308" s="1129"/>
      <c r="AF308" s="742"/>
      <c r="AG308" s="742"/>
      <c r="AH308" s="742"/>
      <c r="AI308" s="742"/>
      <c r="AJ308" s="742"/>
      <c r="AK308" s="742"/>
      <c r="AL308" s="742"/>
      <c r="AM308" s="742"/>
      <c r="AN308" s="742"/>
      <c r="AO308" s="748"/>
      <c r="AP308" s="742"/>
      <c r="AQ308" s="742"/>
      <c r="AR308" s="1129"/>
      <c r="AS308" s="742"/>
      <c r="AT308" s="742"/>
      <c r="AU308" s="742"/>
      <c r="AV308" s="748"/>
      <c r="AW308" s="742"/>
      <c r="AX308" s="1129"/>
      <c r="AY308" s="742"/>
      <c r="AZ308" s="742"/>
      <c r="BA308" s="742"/>
      <c r="BB308" s="742"/>
      <c r="BC308" s="742"/>
      <c r="BD308" s="742"/>
      <c r="BE308" s="1129"/>
      <c r="BF308" s="742"/>
      <c r="BG308" s="742"/>
      <c r="BH308" s="742"/>
      <c r="BI308" s="742"/>
      <c r="BJ308" s="742"/>
      <c r="BK308" s="742"/>
      <c r="BL308" s="1129"/>
      <c r="BM308" s="1129"/>
      <c r="BN308" s="1129"/>
      <c r="BO308" s="1129"/>
      <c r="BP308" s="1129"/>
      <c r="BQ308" s="1129"/>
      <c r="BR308" s="1129"/>
      <c r="BS308" s="1129"/>
      <c r="BT308" s="1129"/>
      <c r="BU308" s="1129"/>
      <c r="BV308" s="1129"/>
      <c r="BW308" s="1129"/>
      <c r="BX308" s="1129"/>
    </row>
    <row r="309" ht="15.75" customHeight="1">
      <c r="A309" s="596"/>
      <c r="B309" s="1149" t="s">
        <v>5700</v>
      </c>
      <c r="C309" s="741" t="s">
        <v>4617</v>
      </c>
      <c r="D309" s="552"/>
      <c r="E309" s="742"/>
      <c r="F309" s="742" t="s">
        <v>4629</v>
      </c>
      <c r="G309" s="742"/>
      <c r="H309" s="222"/>
      <c r="I309" s="748"/>
      <c r="J309" s="742" t="s">
        <v>4617</v>
      </c>
      <c r="K309" s="742"/>
      <c r="L309" s="742"/>
      <c r="M309" s="219"/>
      <c r="N309" s="742"/>
      <c r="O309" s="742"/>
      <c r="P309" s="742"/>
      <c r="Q309" s="742"/>
      <c r="R309" s="746"/>
      <c r="S309" s="742"/>
      <c r="T309" s="742"/>
      <c r="U309" s="742"/>
      <c r="V309" s="742"/>
      <c r="W309" s="742"/>
      <c r="X309" s="742"/>
      <c r="Y309" s="186"/>
      <c r="Z309" s="742"/>
      <c r="AA309" s="742"/>
      <c r="AB309" s="742"/>
      <c r="AC309" s="742"/>
      <c r="AD309" s="742"/>
      <c r="AE309" s="186"/>
      <c r="AF309" s="742"/>
      <c r="AG309" s="742"/>
      <c r="AH309" s="742"/>
      <c r="AI309" s="742"/>
      <c r="AJ309" s="742"/>
      <c r="AK309" s="742"/>
      <c r="AL309" s="742"/>
      <c r="AM309" s="742"/>
      <c r="AN309" s="742"/>
      <c r="AO309" s="748"/>
      <c r="AP309" s="742"/>
      <c r="AQ309" s="742"/>
      <c r="AR309" s="186"/>
      <c r="AS309" s="742"/>
      <c r="AT309" s="742"/>
      <c r="AU309" s="742"/>
      <c r="AV309" s="748"/>
      <c r="AW309" s="742"/>
      <c r="AX309" s="186"/>
      <c r="AY309" s="742"/>
      <c r="AZ309" s="742"/>
      <c r="BA309" s="742"/>
      <c r="BB309" s="742"/>
      <c r="BC309" s="742"/>
      <c r="BD309" s="742"/>
      <c r="BE309" s="186"/>
      <c r="BF309" s="742"/>
      <c r="BG309" s="742"/>
      <c r="BH309" s="742"/>
      <c r="BI309" s="742"/>
      <c r="BJ309" s="742"/>
      <c r="BK309" s="742"/>
      <c r="BL309" s="186"/>
      <c r="BM309" s="186"/>
      <c r="BN309" s="186"/>
      <c r="BO309" s="186"/>
      <c r="BP309" s="186"/>
      <c r="BQ309" s="186"/>
      <c r="BR309" s="186"/>
      <c r="BS309" s="186"/>
      <c r="BT309" s="186"/>
      <c r="BU309" s="186"/>
      <c r="BV309" s="186"/>
      <c r="BW309" s="186"/>
      <c r="BX309" s="186"/>
    </row>
    <row r="310" ht="15.75" customHeight="1">
      <c r="A310" s="1125" t="s">
        <v>272</v>
      </c>
      <c r="B310" s="1179" t="s">
        <v>5710</v>
      </c>
      <c r="C310" s="741"/>
      <c r="D310" s="219"/>
      <c r="E310" s="752"/>
      <c r="F310" s="752"/>
      <c r="G310" s="752"/>
      <c r="H310" s="222"/>
      <c r="I310" s="748"/>
      <c r="J310" s="752"/>
      <c r="K310" s="752"/>
      <c r="L310" s="752"/>
      <c r="M310" s="1127"/>
      <c r="N310" s="752"/>
      <c r="O310" s="752"/>
      <c r="P310" s="752"/>
      <c r="Q310" s="752"/>
      <c r="R310" s="753"/>
      <c r="S310" s="752"/>
      <c r="T310" s="752"/>
      <c r="U310" s="752"/>
      <c r="V310" s="752"/>
      <c r="W310" s="752"/>
      <c r="X310" s="752"/>
      <c r="Y310" s="1129"/>
      <c r="Z310" s="752"/>
      <c r="AA310" s="752"/>
      <c r="AB310" s="752"/>
      <c r="AC310" s="752"/>
      <c r="AD310" s="752"/>
      <c r="AE310" s="1129"/>
      <c r="AF310" s="752"/>
      <c r="AG310" s="752"/>
      <c r="AH310" s="752"/>
      <c r="AI310" s="752"/>
      <c r="AJ310" s="752"/>
      <c r="AK310" s="752"/>
      <c r="AL310" s="752"/>
      <c r="AM310" s="752"/>
      <c r="AN310" s="752"/>
      <c r="AO310" s="748"/>
      <c r="AP310" s="752"/>
      <c r="AQ310" s="752"/>
      <c r="AR310" s="1129"/>
      <c r="AS310" s="752"/>
      <c r="AT310" s="752"/>
      <c r="AU310" s="752"/>
      <c r="AV310" s="748"/>
      <c r="AW310" s="752"/>
      <c r="AX310" s="1129"/>
      <c r="AY310" s="752"/>
      <c r="AZ310" s="752"/>
      <c r="BA310" s="752"/>
      <c r="BB310" s="752"/>
      <c r="BC310" s="752"/>
      <c r="BD310" s="752"/>
      <c r="BE310" s="1129"/>
      <c r="BF310" s="752"/>
      <c r="BG310" s="752"/>
      <c r="BH310" s="752"/>
      <c r="BI310" s="752"/>
      <c r="BJ310" s="752"/>
      <c r="BK310" s="752"/>
      <c r="BL310" s="1129"/>
      <c r="BM310" s="1129"/>
      <c r="BN310" s="1129"/>
      <c r="BO310" s="1129"/>
      <c r="BP310" s="1129"/>
      <c r="BQ310" s="1129"/>
      <c r="BR310" s="1129"/>
      <c r="BS310" s="1129"/>
      <c r="BT310" s="1129"/>
      <c r="BU310" s="1129"/>
      <c r="BV310" s="1129"/>
      <c r="BW310" s="1129"/>
      <c r="BX310" s="1129"/>
    </row>
    <row r="311" ht="15.75" customHeight="1">
      <c r="A311" s="550"/>
      <c r="B311" s="551" t="s">
        <v>5718</v>
      </c>
      <c r="C311" s="119" t="s">
        <v>4620</v>
      </c>
      <c r="D311" s="552"/>
      <c r="E311" s="385" t="s">
        <v>4620</v>
      </c>
      <c r="F311" s="847"/>
      <c r="G311" s="847"/>
      <c r="H311" s="222"/>
      <c r="I311" s="748"/>
      <c r="J311" s="847" t="s">
        <v>4366</v>
      </c>
      <c r="K311" s="847"/>
      <c r="L311" s="847"/>
      <c r="M311" s="219"/>
      <c r="N311" s="847"/>
      <c r="O311" s="847"/>
      <c r="P311" s="847"/>
      <c r="Q311" s="847"/>
      <c r="R311" s="746"/>
      <c r="S311" s="847"/>
      <c r="T311" s="847"/>
      <c r="U311" s="847"/>
      <c r="V311" s="847"/>
      <c r="W311" s="847"/>
      <c r="X311" s="847"/>
      <c r="Y311" s="186"/>
      <c r="Z311" s="847"/>
      <c r="AA311" s="847"/>
      <c r="AB311" s="847"/>
      <c r="AC311" s="847"/>
      <c r="AD311" s="847"/>
      <c r="AE311" s="186"/>
      <c r="AF311" s="847"/>
      <c r="AG311" s="847"/>
      <c r="AH311" s="847"/>
      <c r="AI311" s="847"/>
      <c r="AJ311" s="847"/>
      <c r="AK311" s="847"/>
      <c r="AL311" s="847"/>
      <c r="AM311" s="847"/>
      <c r="AN311" s="847"/>
      <c r="AO311" s="748"/>
      <c r="AP311" s="847"/>
      <c r="AQ311" s="847"/>
      <c r="AR311" s="186"/>
      <c r="AS311" s="847"/>
      <c r="AT311" s="847"/>
      <c r="AU311" s="847"/>
      <c r="AV311" s="748"/>
      <c r="AW311" s="847"/>
      <c r="AX311" s="186"/>
      <c r="AY311" s="847"/>
      <c r="AZ311" s="847"/>
      <c r="BA311" s="847"/>
      <c r="BB311" s="847"/>
      <c r="BC311" s="847"/>
      <c r="BD311" s="847"/>
      <c r="BE311" s="186"/>
      <c r="BF311" s="847"/>
      <c r="BG311" s="847"/>
      <c r="BH311" s="847"/>
      <c r="BI311" s="847"/>
      <c r="BJ311" s="847"/>
      <c r="BK311" s="847"/>
      <c r="BL311" s="186"/>
      <c r="BM311" s="186"/>
      <c r="BN311" s="186"/>
      <c r="BO311" s="186"/>
      <c r="BP311" s="186"/>
      <c r="BQ311" s="186"/>
      <c r="BR311" s="186"/>
      <c r="BS311" s="186"/>
      <c r="BT311" s="186"/>
      <c r="BU311" s="186"/>
      <c r="BV311" s="186"/>
      <c r="BW311" s="186"/>
      <c r="BX311" s="186"/>
    </row>
    <row r="312" ht="15.75" customHeight="1">
      <c r="A312" s="554"/>
      <c r="B312" s="555" t="s">
        <v>5724</v>
      </c>
      <c r="C312" s="741" t="s">
        <v>4971</v>
      </c>
      <c r="D312" s="219"/>
      <c r="E312" s="752"/>
      <c r="F312" s="752"/>
      <c r="G312" s="752"/>
      <c r="H312" s="222"/>
      <c r="I312" s="748"/>
      <c r="J312" s="132" t="s">
        <v>4971</v>
      </c>
      <c r="K312" s="752"/>
      <c r="L312" s="752"/>
      <c r="M312" s="1127"/>
      <c r="N312" s="752"/>
      <c r="O312" s="752"/>
      <c r="P312" s="752"/>
      <c r="Q312" s="752"/>
      <c r="R312" s="753"/>
      <c r="S312" s="752"/>
      <c r="T312" s="752"/>
      <c r="U312" s="752"/>
      <c r="V312" s="752"/>
      <c r="W312" s="752"/>
      <c r="X312" s="752"/>
      <c r="Y312" s="1129"/>
      <c r="Z312" s="752"/>
      <c r="AA312" s="752"/>
      <c r="AB312" s="752"/>
      <c r="AC312" s="752"/>
      <c r="AD312" s="752"/>
      <c r="AE312" s="1129"/>
      <c r="AF312" s="752"/>
      <c r="AG312" s="752"/>
      <c r="AH312" s="752"/>
      <c r="AI312" s="752"/>
      <c r="AJ312" s="132" t="s">
        <v>792</v>
      </c>
      <c r="AK312" s="752"/>
      <c r="AL312" s="752"/>
      <c r="AM312" s="752"/>
      <c r="AN312" s="752"/>
      <c r="AO312" s="748"/>
      <c r="AP312" s="752"/>
      <c r="AQ312" s="752"/>
      <c r="AR312" s="1129"/>
      <c r="AS312" s="752"/>
      <c r="AT312" s="752"/>
      <c r="AU312" s="752"/>
      <c r="AV312" s="748"/>
      <c r="AW312" s="752"/>
      <c r="AX312" s="1129"/>
      <c r="AY312" s="752"/>
      <c r="AZ312" s="752"/>
      <c r="BA312" s="752"/>
      <c r="BB312" s="752"/>
      <c r="BC312" s="752"/>
      <c r="BD312" s="752"/>
      <c r="BE312" s="1129"/>
      <c r="BF312" s="752"/>
      <c r="BG312" s="752"/>
      <c r="BH312" s="752"/>
      <c r="BI312" s="752"/>
      <c r="BJ312" s="752"/>
      <c r="BK312" s="752"/>
      <c r="BL312" s="1129"/>
      <c r="BM312" s="1129"/>
      <c r="BN312" s="1129"/>
      <c r="BO312" s="1129"/>
      <c r="BP312" s="1129"/>
      <c r="BQ312" s="1129"/>
      <c r="BR312" s="1129"/>
      <c r="BS312" s="1129"/>
      <c r="BT312" s="1129"/>
      <c r="BU312" s="1129"/>
      <c r="BV312" s="1129"/>
      <c r="BW312" s="1129"/>
      <c r="BX312" s="1129"/>
    </row>
    <row r="313" ht="15.75" customHeight="1">
      <c r="A313" s="1125" t="s">
        <v>5736</v>
      </c>
      <c r="B313" s="1179"/>
      <c r="C313" s="741"/>
      <c r="D313" s="552"/>
      <c r="E313" s="752"/>
      <c r="F313" s="752"/>
      <c r="G313" s="752"/>
      <c r="H313" s="222"/>
      <c r="I313" s="748"/>
      <c r="J313" s="752"/>
      <c r="K313" s="752"/>
      <c r="L313" s="752"/>
      <c r="M313" s="1127"/>
      <c r="N313" s="752"/>
      <c r="O313" s="752"/>
      <c r="P313" s="752"/>
      <c r="Q313" s="752"/>
      <c r="R313" s="753"/>
      <c r="S313" s="752"/>
      <c r="T313" s="752"/>
      <c r="U313" s="752"/>
      <c r="V313" s="752"/>
      <c r="W313" s="752"/>
      <c r="X313" s="752"/>
      <c r="Y313" s="1129"/>
      <c r="Z313" s="752"/>
      <c r="AA313" s="752"/>
      <c r="AB313" s="752"/>
      <c r="AC313" s="752"/>
      <c r="AD313" s="752"/>
      <c r="AE313" s="1129"/>
      <c r="AF313" s="752"/>
      <c r="AG313" s="752"/>
      <c r="AH313" s="752"/>
      <c r="AI313" s="752"/>
      <c r="AJ313" s="752"/>
      <c r="AK313" s="752"/>
      <c r="AL313" s="752"/>
      <c r="AM313" s="752"/>
      <c r="AN313" s="752"/>
      <c r="AO313" s="748"/>
      <c r="AP313" s="752"/>
      <c r="AQ313" s="752"/>
      <c r="AR313" s="1129"/>
      <c r="AS313" s="752"/>
      <c r="AT313" s="752"/>
      <c r="AU313" s="752"/>
      <c r="AV313" s="748"/>
      <c r="AW313" s="752"/>
      <c r="AX313" s="1129"/>
      <c r="AY313" s="752"/>
      <c r="AZ313" s="752"/>
      <c r="BA313" s="752"/>
      <c r="BB313" s="752"/>
      <c r="BC313" s="752"/>
      <c r="BD313" s="752"/>
      <c r="BE313" s="1129"/>
      <c r="BF313" s="752"/>
      <c r="BG313" s="752"/>
      <c r="BH313" s="752"/>
      <c r="BI313" s="752"/>
      <c r="BJ313" s="752"/>
      <c r="BK313" s="752"/>
      <c r="BL313" s="1129"/>
      <c r="BM313" s="1129"/>
      <c r="BN313" s="1129"/>
      <c r="BO313" s="1129"/>
      <c r="BP313" s="1129"/>
      <c r="BQ313" s="1129"/>
      <c r="BR313" s="1129"/>
      <c r="BS313" s="1129"/>
      <c r="BT313" s="1129"/>
      <c r="BU313" s="1129"/>
      <c r="BV313" s="1129"/>
      <c r="BW313" s="1129"/>
      <c r="BX313" s="1129"/>
    </row>
    <row r="314" ht="15.75" customHeight="1">
      <c r="A314" s="1144" t="s">
        <v>469</v>
      </c>
      <c r="B314" s="1157" t="s">
        <v>1704</v>
      </c>
      <c r="C314" s="119" t="s">
        <v>5741</v>
      </c>
      <c r="D314" s="219"/>
      <c r="E314" s="742"/>
      <c r="F314" s="742" t="s">
        <v>5000</v>
      </c>
      <c r="G314" s="132" t="s">
        <v>5741</v>
      </c>
      <c r="H314" s="222"/>
      <c r="I314" s="748"/>
      <c r="J314" s="742" t="s">
        <v>1766</v>
      </c>
      <c r="K314" s="742"/>
      <c r="L314" s="742"/>
      <c r="M314" s="1127"/>
      <c r="N314" s="742"/>
      <c r="O314" s="742"/>
      <c r="P314" s="742"/>
      <c r="Q314" s="742"/>
      <c r="R314" s="746"/>
      <c r="S314" s="742"/>
      <c r="T314" s="742"/>
      <c r="U314" s="742"/>
      <c r="V314" s="132" t="s">
        <v>5751</v>
      </c>
      <c r="W314" s="742"/>
      <c r="X314" s="742"/>
      <c r="Y314" s="1129"/>
      <c r="Z314" s="742"/>
      <c r="AA314" s="742"/>
      <c r="AB314" s="742"/>
      <c r="AC314" s="742"/>
      <c r="AD314" s="742"/>
      <c r="AE314" s="1129"/>
      <c r="AF314" s="742"/>
      <c r="AG314" s="742"/>
      <c r="AH314" s="742"/>
      <c r="AI314" s="742"/>
      <c r="AJ314" s="742"/>
      <c r="AK314" s="742"/>
      <c r="AL314" s="742"/>
      <c r="AM314" s="742"/>
      <c r="AN314" s="132" t="s">
        <v>5007</v>
      </c>
      <c r="AO314" s="748"/>
      <c r="AP314" s="742"/>
      <c r="AQ314" s="742"/>
      <c r="AR314" s="1129"/>
      <c r="AS314" s="742"/>
      <c r="AT314" s="742"/>
      <c r="AU314" s="742"/>
      <c r="AV314" s="748"/>
      <c r="AW314" s="742"/>
      <c r="AX314" s="1129"/>
      <c r="AY314" s="742"/>
      <c r="AZ314" s="742"/>
      <c r="BA314" s="742"/>
      <c r="BB314" s="742"/>
      <c r="BC314" s="742"/>
      <c r="BD314" s="742"/>
      <c r="BE314" s="1129"/>
      <c r="BF314" s="742"/>
      <c r="BG314" s="742"/>
      <c r="BH314" s="742"/>
      <c r="BI314" s="742"/>
      <c r="BJ314" s="742"/>
      <c r="BK314" s="742"/>
      <c r="BL314" s="1129"/>
      <c r="BM314" s="1129"/>
      <c r="BN314" s="1129"/>
      <c r="BO314" s="1129"/>
      <c r="BP314" s="1129"/>
      <c r="BQ314" s="1129"/>
      <c r="BR314" s="1129"/>
      <c r="BS314" s="1129"/>
      <c r="BT314" s="1129"/>
      <c r="BU314" s="1129"/>
      <c r="BV314" s="1129"/>
      <c r="BW314" s="1129"/>
      <c r="BX314" s="1129"/>
    </row>
    <row r="315" ht="15.75" customHeight="1">
      <c r="A315" s="1125" t="s">
        <v>5762</v>
      </c>
      <c r="B315" s="1190"/>
      <c r="C315" s="119" t="s">
        <v>5766</v>
      </c>
      <c r="D315" s="552"/>
      <c r="E315" s="752"/>
      <c r="F315" s="752"/>
      <c r="G315" s="132" t="s">
        <v>5766</v>
      </c>
      <c r="H315" s="222"/>
      <c r="I315" s="748"/>
      <c r="J315" s="752"/>
      <c r="K315" s="752"/>
      <c r="L315" s="752"/>
      <c r="M315" s="219"/>
      <c r="N315" s="752"/>
      <c r="O315" s="752"/>
      <c r="P315" s="752"/>
      <c r="Q315" s="752"/>
      <c r="R315" s="753"/>
      <c r="S315" s="752"/>
      <c r="T315" s="752"/>
      <c r="U315" s="752"/>
      <c r="V315" s="752"/>
      <c r="W315" s="752"/>
      <c r="X315" s="752"/>
      <c r="Y315" s="186"/>
      <c r="Z315" s="752"/>
      <c r="AA315" s="752"/>
      <c r="AB315" s="752"/>
      <c r="AC315" s="752"/>
      <c r="AD315" s="752"/>
      <c r="AE315" s="186"/>
      <c r="AF315" s="752"/>
      <c r="AG315" s="752"/>
      <c r="AH315" s="752"/>
      <c r="AI315" s="752"/>
      <c r="AJ315" s="752"/>
      <c r="AK315" s="752"/>
      <c r="AL315" s="752"/>
      <c r="AM315" s="752"/>
      <c r="AN315" s="752"/>
      <c r="AO315" s="748"/>
      <c r="AP315" s="752"/>
      <c r="AQ315" s="752"/>
      <c r="AR315" s="186"/>
      <c r="AS315" s="752"/>
      <c r="AT315" s="752"/>
      <c r="AU315" s="752"/>
      <c r="AV315" s="748"/>
      <c r="AW315" s="752"/>
      <c r="AX315" s="186"/>
      <c r="AY315" s="752"/>
      <c r="AZ315" s="752"/>
      <c r="BA315" s="752"/>
      <c r="BB315" s="752"/>
      <c r="BC315" s="752"/>
      <c r="BD315" s="752"/>
      <c r="BE315" s="186"/>
      <c r="BF315" s="752"/>
      <c r="BG315" s="752"/>
      <c r="BH315" s="752"/>
      <c r="BI315" s="752"/>
      <c r="BJ315" s="752"/>
      <c r="BK315" s="752"/>
      <c r="BL315" s="186"/>
      <c r="BM315" s="186"/>
      <c r="BN315" s="186"/>
      <c r="BO315" s="186"/>
      <c r="BP315" s="186"/>
      <c r="BQ315" s="186"/>
      <c r="BR315" s="186"/>
      <c r="BS315" s="186"/>
      <c r="BT315" s="186"/>
      <c r="BU315" s="186"/>
      <c r="BV315" s="186"/>
      <c r="BW315" s="186"/>
      <c r="BX315" s="186"/>
    </row>
    <row r="316" ht="15.75" customHeight="1">
      <c r="A316" s="1144" t="s">
        <v>5775</v>
      </c>
      <c r="B316" s="1157" t="s">
        <v>5776</v>
      </c>
      <c r="C316" s="119" t="s">
        <v>4551</v>
      </c>
      <c r="D316" s="219"/>
      <c r="E316" s="174" t="s">
        <v>5778</v>
      </c>
      <c r="F316" s="752"/>
      <c r="G316" s="132" t="s">
        <v>4551</v>
      </c>
      <c r="H316" s="222"/>
      <c r="I316" s="748"/>
      <c r="J316" s="132" t="s">
        <v>1656</v>
      </c>
      <c r="K316" s="752"/>
      <c r="L316" s="752"/>
      <c r="M316" s="1127"/>
      <c r="N316" s="752"/>
      <c r="O316" s="752"/>
      <c r="P316" s="752"/>
      <c r="Q316" s="752"/>
      <c r="R316" s="753"/>
      <c r="S316" s="752"/>
      <c r="T316" s="752"/>
      <c r="U316" s="752"/>
      <c r="V316" s="752"/>
      <c r="W316" s="752"/>
      <c r="X316" s="752"/>
      <c r="Y316" s="1129"/>
      <c r="Z316" s="752"/>
      <c r="AA316" s="752" t="s">
        <v>222</v>
      </c>
      <c r="AB316" s="752"/>
      <c r="AC316" s="752"/>
      <c r="AD316" s="752"/>
      <c r="AE316" s="1129"/>
      <c r="AF316" s="752"/>
      <c r="AG316" s="752"/>
      <c r="AH316" s="752"/>
      <c r="AI316" s="752"/>
      <c r="AJ316" s="752"/>
      <c r="AK316" s="752"/>
      <c r="AL316" s="752"/>
      <c r="AM316" s="752"/>
      <c r="AN316" s="752"/>
      <c r="AO316" s="748"/>
      <c r="AP316" s="752"/>
      <c r="AQ316" s="752"/>
      <c r="AR316" s="1129"/>
      <c r="AS316" s="752"/>
      <c r="AT316" s="752"/>
      <c r="AU316" s="752"/>
      <c r="AV316" s="748"/>
      <c r="AW316" s="752"/>
      <c r="AX316" s="1129"/>
      <c r="AY316" s="752"/>
      <c r="AZ316" s="752"/>
      <c r="BA316" s="752"/>
      <c r="BB316" s="752"/>
      <c r="BC316" s="752"/>
      <c r="BD316" s="752"/>
      <c r="BE316" s="1129"/>
      <c r="BF316" s="752"/>
      <c r="BG316" s="752"/>
      <c r="BH316" s="752"/>
      <c r="BI316" s="752"/>
      <c r="BJ316" s="752"/>
      <c r="BK316" s="752"/>
      <c r="BL316" s="1129"/>
      <c r="BM316" s="1129"/>
      <c r="BN316" s="1129"/>
      <c r="BO316" s="1129"/>
      <c r="BP316" s="1129"/>
      <c r="BQ316" s="1129"/>
      <c r="BR316" s="1129"/>
      <c r="BS316" s="1129"/>
      <c r="BT316" s="1129"/>
      <c r="BU316" s="1129"/>
      <c r="BV316" s="1129"/>
      <c r="BW316" s="1129"/>
      <c r="BX316" s="1129"/>
    </row>
    <row r="317" ht="15.75" customHeight="1">
      <c r="A317" s="550"/>
      <c r="B317" s="1149" t="s">
        <v>5784</v>
      </c>
      <c r="C317" s="741" t="s">
        <v>2378</v>
      </c>
      <c r="D317" s="552"/>
      <c r="E317" s="840"/>
      <c r="F317" s="840" t="s">
        <v>4488</v>
      </c>
      <c r="G317" s="132" t="s">
        <v>2378</v>
      </c>
      <c r="H317" s="222"/>
      <c r="I317" s="748"/>
      <c r="J317" s="132" t="s">
        <v>2378</v>
      </c>
      <c r="K317" s="840"/>
      <c r="L317" s="840"/>
      <c r="M317" s="219"/>
      <c r="N317" s="840"/>
      <c r="O317" s="840" t="s">
        <v>871</v>
      </c>
      <c r="P317" s="840"/>
      <c r="Q317" s="840"/>
      <c r="R317" s="1034"/>
      <c r="S317" s="840"/>
      <c r="T317" s="840"/>
      <c r="U317" s="840"/>
      <c r="V317" s="840"/>
      <c r="W317" s="840"/>
      <c r="X317" s="840"/>
      <c r="Y317" s="186"/>
      <c r="Z317" s="840"/>
      <c r="AA317" s="840"/>
      <c r="AB317" s="840"/>
      <c r="AC317" s="840"/>
      <c r="AD317" s="840"/>
      <c r="AE317" s="186"/>
      <c r="AF317" s="840"/>
      <c r="AG317" s="840"/>
      <c r="AH317" s="840"/>
      <c r="AI317" s="840"/>
      <c r="AJ317" s="840"/>
      <c r="AK317" s="840"/>
      <c r="AL317" s="840"/>
      <c r="AM317" s="840"/>
      <c r="AN317" s="840"/>
      <c r="AO317" s="748"/>
      <c r="AP317" s="840"/>
      <c r="AQ317" s="840"/>
      <c r="AR317" s="186"/>
      <c r="AS317" s="840"/>
      <c r="AT317" s="840"/>
      <c r="AU317" s="840"/>
      <c r="AV317" s="748"/>
      <c r="AW317" s="840"/>
      <c r="AX317" s="186"/>
      <c r="AY317" s="840"/>
      <c r="AZ317" s="840"/>
      <c r="BA317" s="840"/>
      <c r="BB317" s="840"/>
      <c r="BC317" s="840"/>
      <c r="BD317" s="840"/>
      <c r="BE317" s="186"/>
      <c r="BF317" s="840"/>
      <c r="BG317" s="840"/>
      <c r="BH317" s="840"/>
      <c r="BI317" s="840"/>
      <c r="BJ317" s="840"/>
      <c r="BK317" s="840"/>
      <c r="BL317" s="186"/>
      <c r="BM317" s="186"/>
      <c r="BN317" s="186"/>
      <c r="BO317" s="186"/>
      <c r="BP317" s="186"/>
      <c r="BQ317" s="186"/>
      <c r="BR317" s="186"/>
      <c r="BS317" s="186"/>
      <c r="BT317" s="186"/>
      <c r="BU317" s="186"/>
      <c r="BV317" s="186"/>
      <c r="BW317" s="186"/>
      <c r="BX317" s="186"/>
    </row>
    <row r="318" ht="15.75" customHeight="1">
      <c r="A318" s="1125" t="s">
        <v>5788</v>
      </c>
      <c r="B318" s="1179" t="s">
        <v>5789</v>
      </c>
      <c r="C318" s="119" t="s">
        <v>4817</v>
      </c>
      <c r="D318" s="219"/>
      <c r="E318" s="752"/>
      <c r="F318" s="752"/>
      <c r="G318" s="752"/>
      <c r="H318" s="222"/>
      <c r="I318" s="748"/>
      <c r="J318" s="752"/>
      <c r="K318" s="752"/>
      <c r="L318" s="752"/>
      <c r="M318" s="1127"/>
      <c r="N318" s="752"/>
      <c r="O318" s="752"/>
      <c r="P318" s="752"/>
      <c r="Q318" s="752"/>
      <c r="R318" s="753"/>
      <c r="S318" s="752"/>
      <c r="T318" s="752"/>
      <c r="U318" s="385" t="s">
        <v>4817</v>
      </c>
      <c r="V318" s="752"/>
      <c r="W318" s="752"/>
      <c r="X318" s="752"/>
      <c r="Y318" s="1129"/>
      <c r="Z318" s="752"/>
      <c r="AA318" s="752"/>
      <c r="AB318" s="752"/>
      <c r="AC318" s="752"/>
      <c r="AD318" s="752"/>
      <c r="AE318" s="1129"/>
      <c r="AF318" s="752"/>
      <c r="AG318" s="752"/>
      <c r="AH318" s="752"/>
      <c r="AI318" s="752"/>
      <c r="AJ318" s="752"/>
      <c r="AK318" s="752"/>
      <c r="AL318" s="752"/>
      <c r="AM318" s="752"/>
      <c r="AN318" s="752"/>
      <c r="AO318" s="748"/>
      <c r="AP318" s="752"/>
      <c r="AQ318" s="752"/>
      <c r="AR318" s="1129"/>
      <c r="AS318" s="752"/>
      <c r="AT318" s="752"/>
      <c r="AU318" s="752"/>
      <c r="AV318" s="748"/>
      <c r="AW318" s="752"/>
      <c r="AX318" s="1129"/>
      <c r="AY318" s="752"/>
      <c r="AZ318" s="752"/>
      <c r="BA318" s="752"/>
      <c r="BB318" s="752"/>
      <c r="BC318" s="752"/>
      <c r="BD318" s="752"/>
      <c r="BE318" s="1129"/>
      <c r="BF318" s="752"/>
      <c r="BG318" s="752"/>
      <c r="BH318" s="752"/>
      <c r="BI318" s="752"/>
      <c r="BJ318" s="752"/>
      <c r="BK318" s="752"/>
      <c r="BL318" s="1129"/>
      <c r="BM318" s="1129"/>
      <c r="BN318" s="1129"/>
      <c r="BO318" s="1129"/>
      <c r="BP318" s="1129"/>
      <c r="BQ318" s="1129"/>
      <c r="BR318" s="1129"/>
      <c r="BS318" s="1129"/>
      <c r="BT318" s="1129"/>
      <c r="BU318" s="1129"/>
      <c r="BV318" s="1129"/>
      <c r="BW318" s="1129"/>
      <c r="BX318" s="1129"/>
    </row>
    <row r="319" ht="15.75" customHeight="1">
      <c r="A319" s="550"/>
      <c r="B319" s="551" t="s">
        <v>5806</v>
      </c>
      <c r="C319" s="119" t="s">
        <v>5808</v>
      </c>
      <c r="D319" s="552"/>
      <c r="E319" s="752"/>
      <c r="F319" s="752"/>
      <c r="G319" s="752"/>
      <c r="H319" s="222"/>
      <c r="I319" s="748"/>
      <c r="J319" s="752"/>
      <c r="K319" s="752"/>
      <c r="L319" s="752"/>
      <c r="M319" s="219"/>
      <c r="N319" s="752"/>
      <c r="O319" s="752"/>
      <c r="P319" s="752" t="s">
        <v>5817</v>
      </c>
      <c r="Q319" s="752"/>
      <c r="R319" s="753"/>
      <c r="S319" s="752"/>
      <c r="T319" s="752"/>
      <c r="U319" s="752"/>
      <c r="V319" s="752"/>
      <c r="W319" s="752"/>
      <c r="X319" s="752"/>
      <c r="Y319" s="186"/>
      <c r="Z319" s="752"/>
      <c r="AA319" s="752"/>
      <c r="AB319" s="752"/>
      <c r="AC319" s="752"/>
      <c r="AD319" s="752"/>
      <c r="AE319" s="186"/>
      <c r="AF319" s="752"/>
      <c r="AG319" s="752"/>
      <c r="AH319" s="752"/>
      <c r="AI319" s="752"/>
      <c r="AJ319" s="752"/>
      <c r="AK319" s="752"/>
      <c r="AL319" s="752"/>
      <c r="AM319" s="752"/>
      <c r="AN319" s="752"/>
      <c r="AO319" s="748"/>
      <c r="AP319" s="752"/>
      <c r="AQ319" s="752"/>
      <c r="AR319" s="186"/>
      <c r="AS319" s="752"/>
      <c r="AT319" s="752"/>
      <c r="AU319" s="752"/>
      <c r="AV319" s="748"/>
      <c r="AW319" s="752"/>
      <c r="AX319" s="186"/>
      <c r="AY319" s="752"/>
      <c r="AZ319" s="752"/>
      <c r="BA319" s="752"/>
      <c r="BB319" s="752"/>
      <c r="BC319" s="752"/>
      <c r="BD319" s="752"/>
      <c r="BE319" s="186"/>
      <c r="BF319" s="752"/>
      <c r="BG319" s="752"/>
      <c r="BH319" s="752"/>
      <c r="BI319" s="752"/>
      <c r="BJ319" s="752"/>
      <c r="BK319" s="752"/>
      <c r="BL319" s="186"/>
      <c r="BM319" s="186"/>
      <c r="BN319" s="186"/>
      <c r="BO319" s="385" t="s">
        <v>5808</v>
      </c>
      <c r="BP319" s="186"/>
      <c r="BQ319" s="186"/>
      <c r="BR319" s="186"/>
      <c r="BS319" s="186"/>
      <c r="BT319" s="186"/>
      <c r="BU319" s="186"/>
      <c r="BV319" s="186"/>
      <c r="BW319" s="186"/>
      <c r="BX319" s="186"/>
    </row>
    <row r="320" ht="15.75" customHeight="1">
      <c r="A320" s="1125" t="s">
        <v>5830</v>
      </c>
      <c r="B320" s="1179" t="s">
        <v>5831</v>
      </c>
      <c r="C320" s="741"/>
      <c r="D320" s="219"/>
      <c r="E320" s="752"/>
      <c r="F320" s="752"/>
      <c r="G320" s="752"/>
      <c r="H320" s="222"/>
      <c r="I320" s="748"/>
      <c r="J320" s="752"/>
      <c r="K320" s="752"/>
      <c r="L320" s="752"/>
      <c r="M320" s="219"/>
      <c r="N320" s="752"/>
      <c r="O320" s="752"/>
      <c r="P320" s="752"/>
      <c r="Q320" s="752"/>
      <c r="R320" s="753"/>
      <c r="S320" s="752"/>
      <c r="T320" s="752"/>
      <c r="U320" s="752"/>
      <c r="V320" s="752"/>
      <c r="W320" s="752"/>
      <c r="X320" s="752"/>
      <c r="Y320" s="186"/>
      <c r="Z320" s="752"/>
      <c r="AA320" s="752"/>
      <c r="AB320" s="752"/>
      <c r="AC320" s="752"/>
      <c r="AD320" s="752"/>
      <c r="AE320" s="186"/>
      <c r="AF320" s="752"/>
      <c r="AG320" s="752"/>
      <c r="AH320" s="752"/>
      <c r="AI320" s="752"/>
      <c r="AJ320" s="752"/>
      <c r="AK320" s="752"/>
      <c r="AL320" s="752"/>
      <c r="AM320" s="752"/>
      <c r="AN320" s="752"/>
      <c r="AO320" s="748"/>
      <c r="AP320" s="752"/>
      <c r="AQ320" s="752"/>
      <c r="AR320" s="186"/>
      <c r="AS320" s="752"/>
      <c r="AT320" s="752"/>
      <c r="AU320" s="752"/>
      <c r="AV320" s="748"/>
      <c r="AW320" s="752"/>
      <c r="AX320" s="186"/>
      <c r="AY320" s="752"/>
      <c r="AZ320" s="752"/>
      <c r="BA320" s="752"/>
      <c r="BB320" s="752"/>
      <c r="BC320" s="752"/>
      <c r="BD320" s="752"/>
      <c r="BE320" s="186"/>
      <c r="BF320" s="752"/>
      <c r="BG320" s="752"/>
      <c r="BH320" s="752"/>
      <c r="BI320" s="752"/>
      <c r="BJ320" s="752"/>
      <c r="BK320" s="752"/>
      <c r="BL320" s="186"/>
      <c r="BM320" s="186"/>
      <c r="BN320" s="186"/>
      <c r="BO320" s="186"/>
      <c r="BP320" s="186"/>
      <c r="BQ320" s="186"/>
      <c r="BR320" s="186"/>
      <c r="BS320" s="186"/>
      <c r="BT320" s="186"/>
      <c r="BU320" s="186"/>
      <c r="BV320" s="186"/>
      <c r="BW320" s="186"/>
      <c r="BX320" s="186"/>
    </row>
    <row r="321" ht="15.75" customHeight="1">
      <c r="A321" s="550"/>
      <c r="B321" s="1149" t="s">
        <v>5849</v>
      </c>
      <c r="C321" s="741"/>
      <c r="D321" s="552"/>
      <c r="E321" s="752"/>
      <c r="F321" s="752"/>
      <c r="G321" s="752"/>
      <c r="H321" s="222"/>
      <c r="I321" s="748"/>
      <c r="J321" s="752"/>
      <c r="K321" s="752"/>
      <c r="L321" s="752"/>
      <c r="M321" s="219"/>
      <c r="N321" s="752"/>
      <c r="O321" s="752"/>
      <c r="P321" s="752"/>
      <c r="Q321" s="752"/>
      <c r="R321" s="753"/>
      <c r="S321" s="752"/>
      <c r="T321" s="752"/>
      <c r="U321" s="752"/>
      <c r="V321" s="752"/>
      <c r="W321" s="752"/>
      <c r="X321" s="752"/>
      <c r="Y321" s="186"/>
      <c r="Z321" s="752"/>
      <c r="AA321" s="752"/>
      <c r="AB321" s="752"/>
      <c r="AC321" s="752"/>
      <c r="AD321" s="752"/>
      <c r="AE321" s="186"/>
      <c r="AF321" s="752"/>
      <c r="AG321" s="752"/>
      <c r="AH321" s="752"/>
      <c r="AI321" s="752"/>
      <c r="AJ321" s="752"/>
      <c r="AK321" s="752"/>
      <c r="AL321" s="752"/>
      <c r="AM321" s="752"/>
      <c r="AN321" s="752"/>
      <c r="AO321" s="748"/>
      <c r="AP321" s="752"/>
      <c r="AQ321" s="752"/>
      <c r="AR321" s="186"/>
      <c r="AS321" s="752"/>
      <c r="AT321" s="752"/>
      <c r="AU321" s="752"/>
      <c r="AV321" s="748"/>
      <c r="AW321" s="752"/>
      <c r="AX321" s="186"/>
      <c r="AY321" s="752"/>
      <c r="AZ321" s="752"/>
      <c r="BA321" s="752"/>
      <c r="BB321" s="752"/>
      <c r="BC321" s="752"/>
      <c r="BD321" s="752"/>
      <c r="BE321" s="186"/>
      <c r="BF321" s="752"/>
      <c r="BG321" s="752"/>
      <c r="BH321" s="752"/>
      <c r="BI321" s="752"/>
      <c r="BJ321" s="752"/>
      <c r="BK321" s="752"/>
      <c r="BL321" s="186"/>
      <c r="BM321" s="186"/>
      <c r="BN321" s="186"/>
      <c r="BO321" s="186"/>
      <c r="BP321" s="186"/>
      <c r="BQ321" s="186"/>
      <c r="BR321" s="186"/>
      <c r="BS321" s="186"/>
      <c r="BT321" s="186"/>
      <c r="BU321" s="186"/>
      <c r="BV321" s="186"/>
      <c r="BW321" s="186"/>
      <c r="BX321" s="186"/>
    </row>
    <row r="322" ht="15.75" customHeight="1">
      <c r="A322" s="554"/>
      <c r="B322" s="561" t="s">
        <v>5867</v>
      </c>
      <c r="C322" s="741"/>
      <c r="D322" s="219"/>
      <c r="E322" s="752"/>
      <c r="F322" s="752"/>
      <c r="G322" s="752"/>
      <c r="H322" s="222"/>
      <c r="I322" s="744" t="s">
        <v>5869</v>
      </c>
      <c r="J322" s="752"/>
      <c r="K322" s="752"/>
      <c r="L322" s="752"/>
      <c r="M322" s="219"/>
      <c r="N322" s="752"/>
      <c r="O322" s="752"/>
      <c r="P322" s="752"/>
      <c r="Q322" s="752"/>
      <c r="R322" s="753"/>
      <c r="S322" s="752"/>
      <c r="T322" s="752"/>
      <c r="U322" s="752"/>
      <c r="V322" s="752"/>
      <c r="W322" s="752"/>
      <c r="X322" s="752"/>
      <c r="Y322" s="186"/>
      <c r="Z322" s="752"/>
      <c r="AA322" s="752"/>
      <c r="AB322" s="752"/>
      <c r="AC322" s="752"/>
      <c r="AD322" s="752"/>
      <c r="AE322" s="186"/>
      <c r="AF322" s="752"/>
      <c r="AG322" s="752"/>
      <c r="AH322" s="752"/>
      <c r="AI322" s="752"/>
      <c r="AJ322" s="752"/>
      <c r="AK322" s="752"/>
      <c r="AL322" s="752"/>
      <c r="AM322" s="752"/>
      <c r="AN322" s="752"/>
      <c r="AO322" s="748"/>
      <c r="AP322" s="752"/>
      <c r="AQ322" s="752"/>
      <c r="AR322" s="186"/>
      <c r="AS322" s="752"/>
      <c r="AT322" s="752"/>
      <c r="AU322" s="752"/>
      <c r="AV322" s="748"/>
      <c r="AW322" s="752"/>
      <c r="AX322" s="186"/>
      <c r="AY322" s="752"/>
      <c r="AZ322" s="752"/>
      <c r="BA322" s="752"/>
      <c r="BB322" s="752"/>
      <c r="BC322" s="752"/>
      <c r="BD322" s="752"/>
      <c r="BE322" s="186"/>
      <c r="BF322" s="752"/>
      <c r="BG322" s="752"/>
      <c r="BH322" s="752"/>
      <c r="BI322" s="752"/>
      <c r="BJ322" s="752"/>
      <c r="BK322" s="752"/>
      <c r="BL322" s="186"/>
      <c r="BM322" s="186"/>
      <c r="BN322" s="186"/>
      <c r="BO322" s="186"/>
      <c r="BP322" s="186"/>
      <c r="BQ322" s="186"/>
      <c r="BR322" s="186"/>
      <c r="BS322" s="186"/>
      <c r="BT322" s="186"/>
      <c r="BU322" s="186"/>
      <c r="BV322" s="186"/>
      <c r="BW322" s="186"/>
      <c r="BX322" s="186"/>
    </row>
    <row r="323" ht="15.75" customHeight="1">
      <c r="A323" s="1125" t="s">
        <v>268</v>
      </c>
      <c r="B323" s="1179" t="s">
        <v>5872</v>
      </c>
      <c r="C323" s="119" t="s">
        <v>3484</v>
      </c>
      <c r="D323" s="552"/>
      <c r="E323" s="752"/>
      <c r="F323" s="752"/>
      <c r="G323" s="752"/>
      <c r="H323" s="222"/>
      <c r="I323" s="748"/>
      <c r="J323" s="752" t="s">
        <v>747</v>
      </c>
      <c r="K323" s="752"/>
      <c r="L323" s="752"/>
      <c r="M323" s="1127"/>
      <c r="N323" s="752"/>
      <c r="O323" s="752"/>
      <c r="P323" s="752"/>
      <c r="Q323" s="752"/>
      <c r="R323" s="753"/>
      <c r="S323" s="752"/>
      <c r="T323" s="752"/>
      <c r="U323" s="752"/>
      <c r="V323" s="752"/>
      <c r="W323" s="752"/>
      <c r="X323" s="752"/>
      <c r="Y323" s="1129"/>
      <c r="Z323" s="752"/>
      <c r="AA323" s="752"/>
      <c r="AB323" s="752"/>
      <c r="AC323" s="752"/>
      <c r="AD323" s="752"/>
      <c r="AE323" s="1129"/>
      <c r="AF323" s="752"/>
      <c r="AG323" s="752"/>
      <c r="AH323" s="752"/>
      <c r="AI323" s="752"/>
      <c r="AJ323" s="752"/>
      <c r="AK323" s="752"/>
      <c r="AL323" s="752"/>
      <c r="AM323" s="752"/>
      <c r="AN323" s="752"/>
      <c r="AO323" s="748"/>
      <c r="AP323" s="752"/>
      <c r="AQ323" s="752"/>
      <c r="AR323" s="1129"/>
      <c r="AS323" s="752"/>
      <c r="AT323" s="752"/>
      <c r="AU323" s="752"/>
      <c r="AV323" s="748"/>
      <c r="AW323" s="752"/>
      <c r="AX323" s="1129"/>
      <c r="AY323" s="752"/>
      <c r="AZ323" s="752"/>
      <c r="BA323" s="752"/>
      <c r="BB323" s="752"/>
      <c r="BC323" s="752"/>
      <c r="BD323" s="752"/>
      <c r="BE323" s="1129"/>
      <c r="BF323" s="752"/>
      <c r="BG323" s="752"/>
      <c r="BH323" s="752"/>
      <c r="BI323" s="752"/>
      <c r="BJ323" s="752"/>
      <c r="BK323" s="752"/>
      <c r="BL323" s="1129"/>
      <c r="BM323" s="1129"/>
      <c r="BN323" s="1129"/>
      <c r="BO323" s="1129"/>
      <c r="BP323" s="385" t="s">
        <v>3484</v>
      </c>
      <c r="BQ323" s="1129"/>
      <c r="BR323" s="1129"/>
      <c r="BS323" s="1129"/>
      <c r="BT323" s="1129"/>
      <c r="BU323" s="1129"/>
      <c r="BV323" s="1129"/>
      <c r="BW323" s="1129"/>
      <c r="BX323" s="1129"/>
    </row>
    <row r="324" ht="15.75" customHeight="1">
      <c r="A324" s="1125" t="s">
        <v>269</v>
      </c>
      <c r="B324" s="1179" t="s">
        <v>5872</v>
      </c>
      <c r="C324" s="741" t="s">
        <v>5878</v>
      </c>
      <c r="D324" s="219"/>
      <c r="E324" s="752"/>
      <c r="F324" s="752"/>
      <c r="G324" s="752"/>
      <c r="H324" s="222"/>
      <c r="I324" s="748"/>
      <c r="J324" s="132" t="s">
        <v>5878</v>
      </c>
      <c r="K324" s="752"/>
      <c r="L324" s="752"/>
      <c r="M324" s="219"/>
      <c r="N324" s="752"/>
      <c r="O324" s="752"/>
      <c r="P324" s="752" t="s">
        <v>5881</v>
      </c>
      <c r="Q324" s="752"/>
      <c r="R324" s="753"/>
      <c r="S324" s="752"/>
      <c r="T324" s="752"/>
      <c r="U324" s="752"/>
      <c r="V324" s="752"/>
      <c r="W324" s="752"/>
      <c r="X324" s="752"/>
      <c r="Y324" s="186"/>
      <c r="Z324" s="752"/>
      <c r="AA324" s="752"/>
      <c r="AB324" s="752"/>
      <c r="AC324" s="752"/>
      <c r="AD324" s="752"/>
      <c r="AE324" s="186"/>
      <c r="AF324" s="752"/>
      <c r="AG324" s="752"/>
      <c r="AH324" s="752"/>
      <c r="AI324" s="752"/>
      <c r="AJ324" s="752"/>
      <c r="AK324" s="752"/>
      <c r="AL324" s="752"/>
      <c r="AM324" s="752"/>
      <c r="AN324" s="752"/>
      <c r="AO324" s="748"/>
      <c r="AP324" s="752"/>
      <c r="AQ324" s="752"/>
      <c r="AR324" s="186"/>
      <c r="AS324" s="752"/>
      <c r="AT324" s="752"/>
      <c r="AU324" s="752"/>
      <c r="AV324" s="748"/>
      <c r="AW324" s="752"/>
      <c r="AX324" s="186"/>
      <c r="AY324" s="752"/>
      <c r="AZ324" s="752"/>
      <c r="BA324" s="752"/>
      <c r="BB324" s="752"/>
      <c r="BC324" s="752"/>
      <c r="BD324" s="752"/>
      <c r="BE324" s="186"/>
      <c r="BF324" s="752"/>
      <c r="BG324" s="752"/>
      <c r="BH324" s="752"/>
      <c r="BI324" s="752"/>
      <c r="BJ324" s="752"/>
      <c r="BK324" s="752"/>
      <c r="BL324" s="186"/>
      <c r="BM324" s="186"/>
      <c r="BN324" s="186"/>
      <c r="BO324" s="186"/>
      <c r="BP324" s="186"/>
      <c r="BQ324" s="186"/>
      <c r="BR324" s="186"/>
      <c r="BS324" s="186"/>
      <c r="BT324" s="186"/>
      <c r="BU324" s="186"/>
      <c r="BV324" s="186"/>
      <c r="BW324" s="186"/>
      <c r="BX324" s="186"/>
    </row>
    <row r="325" ht="26.25" customHeight="1">
      <c r="A325" s="1119" t="s">
        <v>5887</v>
      </c>
      <c r="D325" s="1120"/>
      <c r="E325" s="1124"/>
      <c r="F325" s="1124"/>
      <c r="G325" s="1124"/>
      <c r="H325" s="1122"/>
      <c r="I325" s="1124"/>
      <c r="J325" s="1124"/>
      <c r="K325" s="1124"/>
      <c r="L325" s="1124"/>
      <c r="M325" s="1120"/>
      <c r="N325" s="1124"/>
      <c r="O325" s="1124"/>
      <c r="P325" s="1124"/>
      <c r="Q325" s="1124"/>
      <c r="R325" s="1212"/>
      <c r="S325" s="1124"/>
      <c r="T325" s="1124"/>
      <c r="U325" s="1124"/>
      <c r="V325" s="1124"/>
      <c r="W325" s="1124"/>
      <c r="X325" s="1124"/>
      <c r="Y325" s="1124"/>
      <c r="Z325" s="1124"/>
      <c r="AA325" s="1124"/>
      <c r="AB325" s="1124"/>
      <c r="AC325" s="1124"/>
      <c r="AD325" s="1124"/>
      <c r="AE325" s="1124"/>
      <c r="AF325" s="1124"/>
      <c r="AG325" s="1124"/>
      <c r="AH325" s="1124"/>
      <c r="AI325" s="1124"/>
      <c r="AJ325" s="1124"/>
      <c r="AK325" s="1124"/>
      <c r="AL325" s="1124"/>
      <c r="AM325" s="1124"/>
      <c r="AN325" s="1124"/>
      <c r="AO325" s="1124"/>
      <c r="AP325" s="1124"/>
      <c r="AQ325" s="1124"/>
      <c r="AR325" s="1124"/>
      <c r="AS325" s="1124"/>
      <c r="AT325" s="1124"/>
      <c r="AU325" s="1124"/>
      <c r="AV325" s="1124"/>
      <c r="AW325" s="1124"/>
      <c r="AX325" s="1124"/>
      <c r="AY325" s="1124"/>
      <c r="AZ325" s="1124"/>
      <c r="BA325" s="1124"/>
      <c r="BB325" s="1124"/>
      <c r="BC325" s="1124"/>
      <c r="BD325" s="1124"/>
      <c r="BE325" s="1124"/>
      <c r="BF325" s="1124"/>
      <c r="BG325" s="1124"/>
      <c r="BH325" s="1124"/>
      <c r="BI325" s="1124"/>
      <c r="BJ325" s="1124"/>
      <c r="BK325" s="1124"/>
      <c r="BL325" s="1124"/>
      <c r="BM325" s="1124"/>
      <c r="BN325" s="1124"/>
      <c r="BO325" s="1124"/>
      <c r="BP325" s="1124"/>
      <c r="BQ325" s="1124"/>
      <c r="BR325" s="1124"/>
      <c r="BS325" s="1124"/>
      <c r="BT325" s="1124"/>
      <c r="BU325" s="1124"/>
      <c r="BV325" s="1124"/>
      <c r="BW325" s="1124"/>
      <c r="BX325" s="1124"/>
    </row>
    <row r="326" ht="15.75" customHeight="1">
      <c r="A326" s="542" t="s">
        <v>5892</v>
      </c>
      <c r="B326" s="1213" t="s">
        <v>5894</v>
      </c>
      <c r="C326" s="741" t="s">
        <v>1898</v>
      </c>
      <c r="D326" s="219"/>
      <c r="E326" s="757" t="s">
        <v>5114</v>
      </c>
      <c r="F326" s="757"/>
      <c r="G326" s="757"/>
      <c r="H326" s="222"/>
      <c r="I326" s="748"/>
      <c r="J326" s="757"/>
      <c r="K326" s="757"/>
      <c r="L326" s="757"/>
      <c r="M326" s="219"/>
      <c r="N326" s="757"/>
      <c r="O326" s="757"/>
      <c r="P326" s="757"/>
      <c r="Q326" s="757"/>
      <c r="R326" s="1216"/>
      <c r="S326" s="757"/>
      <c r="T326" s="757"/>
      <c r="U326" s="757"/>
      <c r="V326" s="757"/>
      <c r="W326" s="757"/>
      <c r="X326" s="757"/>
      <c r="Y326" s="186"/>
      <c r="Z326" s="757"/>
      <c r="AA326" s="757"/>
      <c r="AB326" s="757"/>
      <c r="AC326" s="757"/>
      <c r="AD326" s="757"/>
      <c r="AE326" s="186"/>
      <c r="AF326" s="757"/>
      <c r="AG326" s="757"/>
      <c r="AH326" s="757"/>
      <c r="AI326" s="757"/>
      <c r="AJ326" s="757"/>
      <c r="AK326" s="757"/>
      <c r="AL326" s="757"/>
      <c r="AM326" s="757"/>
      <c r="AN326" s="757"/>
      <c r="AO326" s="748"/>
      <c r="AP326" s="757"/>
      <c r="AQ326" s="757"/>
      <c r="AR326" s="186"/>
      <c r="AS326" s="757"/>
      <c r="AT326" s="757"/>
      <c r="AU326" s="757"/>
      <c r="AV326" s="748"/>
      <c r="AW326" s="757"/>
      <c r="AX326" s="186"/>
      <c r="AY326" s="757"/>
      <c r="AZ326" s="757"/>
      <c r="BA326" s="757"/>
      <c r="BB326" s="757"/>
      <c r="BC326" s="757"/>
      <c r="BD326" s="757"/>
      <c r="BE326" s="186"/>
      <c r="BF326" s="757"/>
      <c r="BG326" s="757"/>
      <c r="BH326" s="757"/>
      <c r="BI326" s="757"/>
      <c r="BJ326" s="757"/>
      <c r="BK326" s="757"/>
      <c r="BL326" s="186"/>
      <c r="BM326" s="186"/>
      <c r="BN326" s="186"/>
      <c r="BO326" s="186"/>
      <c r="BP326" s="186"/>
      <c r="BQ326" s="186"/>
      <c r="BR326" s="186"/>
      <c r="BS326" s="186"/>
      <c r="BT326" s="186"/>
      <c r="BU326" s="186"/>
      <c r="BV326" s="186"/>
      <c r="BW326" s="186"/>
      <c r="BX326" s="186"/>
    </row>
    <row r="327" ht="15.75" customHeight="1">
      <c r="A327" s="550"/>
      <c r="B327" s="1149" t="s">
        <v>5899</v>
      </c>
      <c r="C327" s="741" t="s">
        <v>1148</v>
      </c>
      <c r="D327" s="552"/>
      <c r="E327" s="222"/>
      <c r="F327" s="132" t="s">
        <v>1148</v>
      </c>
      <c r="G327" s="222"/>
      <c r="H327" s="222"/>
      <c r="I327" s="748"/>
      <c r="J327" s="222"/>
      <c r="K327" s="222"/>
      <c r="L327" s="222"/>
      <c r="M327" s="1127"/>
      <c r="N327" s="222"/>
      <c r="O327" s="222"/>
      <c r="P327" s="222"/>
      <c r="Q327" s="222"/>
      <c r="R327" s="746"/>
      <c r="S327" s="222"/>
      <c r="T327" s="222"/>
      <c r="U327" s="222"/>
      <c r="V327" s="222"/>
      <c r="W327" s="222"/>
      <c r="X327" s="222"/>
      <c r="Y327" s="1129"/>
      <c r="Z327" s="222"/>
      <c r="AA327" s="222"/>
      <c r="AB327" s="222"/>
      <c r="AC327" s="222"/>
      <c r="AD327" s="222"/>
      <c r="AE327" s="1129"/>
      <c r="AF327" s="222"/>
      <c r="AG327" s="222"/>
      <c r="AH327" s="222"/>
      <c r="AI327" s="222"/>
      <c r="AJ327" s="222"/>
      <c r="AK327" s="222"/>
      <c r="AL327" s="222"/>
      <c r="AM327" s="222"/>
      <c r="AN327" s="222"/>
      <c r="AO327" s="748"/>
      <c r="AP327" s="222"/>
      <c r="AQ327" s="222"/>
      <c r="AR327" s="1129"/>
      <c r="AS327" s="222"/>
      <c r="AT327" s="222"/>
      <c r="AU327" s="222"/>
      <c r="AV327" s="748"/>
      <c r="AW327" s="222"/>
      <c r="AX327" s="1129"/>
      <c r="AY327" s="222"/>
      <c r="AZ327" s="222"/>
      <c r="BA327" s="222"/>
      <c r="BB327" s="222"/>
      <c r="BC327" s="222"/>
      <c r="BD327" s="222"/>
      <c r="BE327" s="1129"/>
      <c r="BF327" s="222"/>
      <c r="BG327" s="222"/>
      <c r="BH327" s="222"/>
      <c r="BI327" s="222"/>
      <c r="BJ327" s="222"/>
      <c r="BK327" s="222"/>
      <c r="BL327" s="1129"/>
      <c r="BM327" s="1129"/>
      <c r="BN327" s="1129"/>
      <c r="BO327" s="1129"/>
      <c r="BP327" s="1129"/>
      <c r="BQ327" s="1129"/>
      <c r="BR327" s="1129"/>
      <c r="BS327" s="1129"/>
      <c r="BT327" s="1129"/>
      <c r="BU327" s="1129"/>
      <c r="BV327" s="1129"/>
      <c r="BW327" s="1129"/>
      <c r="BX327" s="1129"/>
    </row>
    <row r="328" ht="15.75" customHeight="1">
      <c r="A328" s="554"/>
      <c r="B328" s="561" t="s">
        <v>5903</v>
      </c>
      <c r="C328" s="741" t="s">
        <v>2731</v>
      </c>
      <c r="D328" s="182" t="s">
        <v>5906</v>
      </c>
      <c r="E328" s="132" t="s">
        <v>1426</v>
      </c>
      <c r="F328" s="132" t="s">
        <v>5908</v>
      </c>
      <c r="G328" s="222" t="s">
        <v>5338</v>
      </c>
      <c r="H328" s="222"/>
      <c r="I328" s="748"/>
      <c r="J328" s="222"/>
      <c r="K328" s="222"/>
      <c r="L328" s="222"/>
      <c r="M328" s="219"/>
      <c r="N328" s="222"/>
      <c r="O328" s="222"/>
      <c r="P328" s="222"/>
      <c r="Q328" s="222"/>
      <c r="R328" s="746"/>
      <c r="S328" s="222"/>
      <c r="T328" s="222"/>
      <c r="U328" s="132" t="s">
        <v>5908</v>
      </c>
      <c r="V328" s="222"/>
      <c r="W328" s="132" t="s">
        <v>2731</v>
      </c>
      <c r="X328" s="222"/>
      <c r="Y328" s="245" t="s">
        <v>476</v>
      </c>
      <c r="Z328" s="222"/>
      <c r="AA328" s="222"/>
      <c r="AB328" s="132" t="s">
        <v>1088</v>
      </c>
      <c r="AC328" s="222"/>
      <c r="AD328" s="222"/>
      <c r="AE328" s="186"/>
      <c r="AF328" s="222"/>
      <c r="AG328" s="222"/>
      <c r="AH328" s="222"/>
      <c r="AI328" s="222"/>
      <c r="AJ328" s="222"/>
      <c r="AK328" s="222"/>
      <c r="AL328" s="222"/>
      <c r="AM328" s="222"/>
      <c r="AN328" s="222"/>
      <c r="AO328" s="748"/>
      <c r="AP328" s="222"/>
      <c r="AQ328" s="222"/>
      <c r="AR328" s="186"/>
      <c r="AS328" s="222"/>
      <c r="AT328" s="222"/>
      <c r="AU328" s="222"/>
      <c r="AV328" s="748"/>
      <c r="AW328" s="132" t="s">
        <v>5019</v>
      </c>
      <c r="AX328" s="186"/>
      <c r="AY328" s="222"/>
      <c r="AZ328" s="222"/>
      <c r="BA328" s="222"/>
      <c r="BB328" s="222"/>
      <c r="BC328" s="222"/>
      <c r="BD328" s="222"/>
      <c r="BE328" s="186"/>
      <c r="BF328" s="222"/>
      <c r="BG328" s="222"/>
      <c r="BH328" s="222"/>
      <c r="BI328" s="222"/>
      <c r="BJ328" s="222"/>
      <c r="BK328" s="222"/>
      <c r="BL328" s="186"/>
      <c r="BM328" s="186"/>
      <c r="BN328" s="186"/>
      <c r="BO328" s="186"/>
      <c r="BP328" s="186"/>
      <c r="BQ328" s="186"/>
      <c r="BR328" s="186"/>
      <c r="BS328" s="186"/>
      <c r="BT328" s="186"/>
      <c r="BU328" s="186"/>
      <c r="BV328" s="186"/>
      <c r="BW328" s="186"/>
      <c r="BX328" s="186"/>
    </row>
    <row r="329" ht="15.75" customHeight="1">
      <c r="A329" s="542" t="s">
        <v>5917</v>
      </c>
      <c r="B329" s="1213" t="s">
        <v>1599</v>
      </c>
      <c r="C329" s="741" t="s">
        <v>3807</v>
      </c>
      <c r="D329" s="598"/>
      <c r="E329" s="222"/>
      <c r="F329" s="132" t="s">
        <v>3807</v>
      </c>
      <c r="G329" s="222"/>
      <c r="H329" s="222"/>
      <c r="I329" s="748"/>
      <c r="J329" s="222"/>
      <c r="K329" s="222"/>
      <c r="L329" s="222"/>
      <c r="M329" s="1127"/>
      <c r="N329" s="222"/>
      <c r="O329" s="222"/>
      <c r="P329" s="222"/>
      <c r="Q329" s="222"/>
      <c r="R329" s="746"/>
      <c r="S329" s="222"/>
      <c r="T329" s="222"/>
      <c r="U329" s="222"/>
      <c r="V329" s="222"/>
      <c r="W329" s="222"/>
      <c r="X329" s="222"/>
      <c r="Y329" s="1129"/>
      <c r="Z329" s="222"/>
      <c r="AA329" s="222"/>
      <c r="AB329" s="222"/>
      <c r="AC329" s="222"/>
      <c r="AD329" s="222"/>
      <c r="AE329" s="1129"/>
      <c r="AF329" s="222"/>
      <c r="AG329" s="222"/>
      <c r="AH329" s="222"/>
      <c r="AI329" s="222"/>
      <c r="AJ329" s="222"/>
      <c r="AK329" s="222"/>
      <c r="AL329" s="222"/>
      <c r="AM329" s="222"/>
      <c r="AN329" s="222"/>
      <c r="AO329" s="748"/>
      <c r="AP329" s="222"/>
      <c r="AQ329" s="222"/>
      <c r="AR329" s="1129"/>
      <c r="AS329" s="222"/>
      <c r="AT329" s="222"/>
      <c r="AU329" s="222"/>
      <c r="AV329" s="748"/>
      <c r="AW329" s="222"/>
      <c r="AX329" s="1129"/>
      <c r="AY329" s="222"/>
      <c r="AZ329" s="222"/>
      <c r="BA329" s="222"/>
      <c r="BB329" s="222"/>
      <c r="BC329" s="222"/>
      <c r="BD329" s="222"/>
      <c r="BE329" s="1129"/>
      <c r="BF329" s="222"/>
      <c r="BG329" s="222"/>
      <c r="BH329" s="222"/>
      <c r="BI329" s="222"/>
      <c r="BJ329" s="222"/>
      <c r="BK329" s="222"/>
      <c r="BL329" s="1129"/>
      <c r="BM329" s="1129"/>
      <c r="BN329" s="1129"/>
      <c r="BO329" s="1129"/>
      <c r="BP329" s="1129"/>
      <c r="BQ329" s="1129"/>
      <c r="BR329" s="1129"/>
      <c r="BS329" s="1129"/>
      <c r="BT329" s="1129"/>
      <c r="BU329" s="1129"/>
      <c r="BV329" s="1129"/>
      <c r="BW329" s="1129"/>
      <c r="BX329" s="1129"/>
    </row>
    <row r="330" ht="15.75" customHeight="1">
      <c r="A330" s="550"/>
      <c r="B330" s="1149" t="s">
        <v>1638</v>
      </c>
      <c r="C330" s="741" t="s">
        <v>1913</v>
      </c>
      <c r="D330" s="182" t="s">
        <v>2230</v>
      </c>
      <c r="E330" s="222" t="s">
        <v>4172</v>
      </c>
      <c r="F330" s="132" t="s">
        <v>1132</v>
      </c>
      <c r="G330" s="132" t="s">
        <v>1913</v>
      </c>
      <c r="H330" s="222"/>
      <c r="I330" s="748"/>
      <c r="J330" s="222"/>
      <c r="K330" s="222"/>
      <c r="L330" s="222"/>
      <c r="M330" s="219"/>
      <c r="N330" s="222"/>
      <c r="O330" s="222"/>
      <c r="P330" s="222"/>
      <c r="Q330" s="222"/>
      <c r="R330" s="746"/>
      <c r="S330" s="222"/>
      <c r="T330" s="222"/>
      <c r="U330" s="132" t="s">
        <v>3623</v>
      </c>
      <c r="V330" s="222"/>
      <c r="W330" s="222"/>
      <c r="X330" s="222"/>
      <c r="Y330" s="186"/>
      <c r="Z330" s="132" t="s">
        <v>5956</v>
      </c>
      <c r="AA330" s="222"/>
      <c r="AB330" s="132" t="s">
        <v>1759</v>
      </c>
      <c r="AC330" s="222"/>
      <c r="AD330" s="222"/>
      <c r="AE330" s="186"/>
      <c r="AF330" s="222"/>
      <c r="AG330" s="222"/>
      <c r="AH330" s="222"/>
      <c r="AI330" s="222"/>
      <c r="AJ330" s="222"/>
      <c r="AK330" s="222"/>
      <c r="AL330" s="222"/>
      <c r="AM330" s="222"/>
      <c r="AN330" s="222"/>
      <c r="AO330" s="748"/>
      <c r="AP330" s="222"/>
      <c r="AQ330" s="222"/>
      <c r="AR330" s="186"/>
      <c r="AS330" s="222"/>
      <c r="AT330" s="222"/>
      <c r="AU330" s="222"/>
      <c r="AV330" s="748"/>
      <c r="AW330" s="132" t="s">
        <v>3623</v>
      </c>
      <c r="AX330" s="186"/>
      <c r="AY330" s="222"/>
      <c r="AZ330" s="222"/>
      <c r="BA330" s="222"/>
      <c r="BB330" s="222"/>
      <c r="BC330" s="222"/>
      <c r="BD330" s="222"/>
      <c r="BE330" s="186"/>
      <c r="BF330" s="222"/>
      <c r="BG330" s="222"/>
      <c r="BH330" s="222"/>
      <c r="BI330" s="222"/>
      <c r="BJ330" s="222"/>
      <c r="BK330" s="222"/>
      <c r="BL330" s="186"/>
      <c r="BM330" s="186"/>
      <c r="BN330" s="186"/>
      <c r="BO330" s="186"/>
      <c r="BP330" s="186"/>
      <c r="BQ330" s="186"/>
      <c r="BR330" s="186"/>
      <c r="BS330" s="186"/>
      <c r="BT330" s="186"/>
      <c r="BU330" s="186"/>
      <c r="BV330" s="186"/>
      <c r="BW330" s="186"/>
      <c r="BX330" s="186"/>
    </row>
    <row r="331" ht="15.75" customHeight="1">
      <c r="A331" s="542" t="s">
        <v>5991</v>
      </c>
      <c r="B331" s="1213" t="s">
        <v>187</v>
      </c>
      <c r="C331" s="591" t="s">
        <v>5993</v>
      </c>
      <c r="D331" s="548" t="s">
        <v>5993</v>
      </c>
      <c r="E331" s="376"/>
      <c r="F331" s="374" t="s">
        <v>840</v>
      </c>
      <c r="G331" s="374" t="s">
        <v>922</v>
      </c>
      <c r="H331" s="222"/>
      <c r="I331" s="372"/>
      <c r="J331" s="376"/>
      <c r="K331" s="374" t="s">
        <v>840</v>
      </c>
      <c r="L331" s="376"/>
      <c r="M331" s="1127"/>
      <c r="N331" s="374" t="s">
        <v>6006</v>
      </c>
      <c r="O331" s="374" t="s">
        <v>6007</v>
      </c>
      <c r="P331" s="376"/>
      <c r="Q331" s="376"/>
      <c r="R331" s="372"/>
      <c r="S331" s="376"/>
      <c r="T331" s="376"/>
      <c r="U331" s="376"/>
      <c r="V331" s="376"/>
      <c r="W331" s="376"/>
      <c r="X331" s="376"/>
      <c r="Y331" s="1129"/>
      <c r="Z331" s="374" t="s">
        <v>5624</v>
      </c>
      <c r="AA331" s="376"/>
      <c r="AB331" s="374" t="s">
        <v>4207</v>
      </c>
      <c r="AC331" s="376"/>
      <c r="AD331" s="376"/>
      <c r="AE331" s="1129"/>
      <c r="AF331" s="376"/>
      <c r="AG331" s="376"/>
      <c r="AH331" s="376"/>
      <c r="AI331" s="376"/>
      <c r="AJ331" s="376"/>
      <c r="AK331" s="376"/>
      <c r="AL331" s="376"/>
      <c r="AM331" s="376"/>
      <c r="AN331" s="376"/>
      <c r="AO331" s="372"/>
      <c r="AP331" s="376"/>
      <c r="AQ331" s="376"/>
      <c r="AR331" s="1129"/>
      <c r="AS331" s="376"/>
      <c r="AT331" s="376"/>
      <c r="AU331" s="376"/>
      <c r="AV331" s="372"/>
      <c r="AW331" s="376"/>
      <c r="AX331" s="1129"/>
      <c r="AY331" s="376"/>
      <c r="AZ331" s="376"/>
      <c r="BA331" s="376"/>
      <c r="BB331" s="376"/>
      <c r="BC331" s="376"/>
      <c r="BD331" s="376"/>
      <c r="BE331" s="1129"/>
      <c r="BF331" s="376"/>
      <c r="BG331" s="376"/>
      <c r="BH331" s="376"/>
      <c r="BI331" s="376"/>
      <c r="BJ331" s="376"/>
      <c r="BK331" s="376"/>
      <c r="BL331" s="1129"/>
      <c r="BM331" s="1129"/>
      <c r="BN331" s="1129"/>
      <c r="BO331" s="1129"/>
      <c r="BP331" s="1129"/>
      <c r="BQ331" s="1129"/>
      <c r="BR331" s="1129"/>
      <c r="BS331" s="1129"/>
      <c r="BT331" s="1129"/>
      <c r="BU331" s="1129"/>
      <c r="BV331" s="1129"/>
      <c r="BW331" s="1129"/>
      <c r="BX331" s="1129"/>
    </row>
    <row r="332" ht="15.75" customHeight="1">
      <c r="A332" s="542" t="s">
        <v>6024</v>
      </c>
      <c r="B332" s="1213" t="s">
        <v>6025</v>
      </c>
      <c r="C332" s="741" t="s">
        <v>6026</v>
      </c>
      <c r="D332" s="219"/>
      <c r="E332" s="222"/>
      <c r="F332" s="132" t="s">
        <v>6026</v>
      </c>
      <c r="G332" s="222"/>
      <c r="H332" s="222"/>
      <c r="I332" s="748"/>
      <c r="J332" s="222"/>
      <c r="K332" s="222"/>
      <c r="L332" s="222"/>
      <c r="M332" s="219"/>
      <c r="N332" s="222"/>
      <c r="O332" s="222"/>
      <c r="P332" s="222"/>
      <c r="Q332" s="222"/>
      <c r="R332" s="746"/>
      <c r="S332" s="222"/>
      <c r="T332" s="222"/>
      <c r="U332" s="222"/>
      <c r="V332" s="222"/>
      <c r="W332" s="222"/>
      <c r="X332" s="222"/>
      <c r="Y332" s="186"/>
      <c r="Z332" s="222"/>
      <c r="AA332" s="222"/>
      <c r="AB332" s="222"/>
      <c r="AC332" s="222"/>
      <c r="AD332" s="222"/>
      <c r="AE332" s="186"/>
      <c r="AF332" s="222"/>
      <c r="AG332" s="222"/>
      <c r="AH332" s="222"/>
      <c r="AI332" s="222"/>
      <c r="AJ332" s="222"/>
      <c r="AK332" s="222"/>
      <c r="AL332" s="222"/>
      <c r="AM332" s="222"/>
      <c r="AN332" s="222"/>
      <c r="AO332" s="748"/>
      <c r="AP332" s="222"/>
      <c r="AQ332" s="222"/>
      <c r="AR332" s="186"/>
      <c r="AS332" s="222"/>
      <c r="AT332" s="222"/>
      <c r="AU332" s="222"/>
      <c r="AV332" s="748"/>
      <c r="AW332" s="222"/>
      <c r="AX332" s="186"/>
      <c r="AY332" s="222"/>
      <c r="AZ332" s="222"/>
      <c r="BA332" s="222"/>
      <c r="BB332" s="222"/>
      <c r="BC332" s="222"/>
      <c r="BD332" s="222"/>
      <c r="BE332" s="186"/>
      <c r="BF332" s="222"/>
      <c r="BG332" s="222"/>
      <c r="BH332" s="222"/>
      <c r="BI332" s="222"/>
      <c r="BJ332" s="222"/>
      <c r="BK332" s="222"/>
      <c r="BL332" s="186"/>
      <c r="BM332" s="186"/>
      <c r="BN332" s="186"/>
      <c r="BO332" s="186"/>
      <c r="BP332" s="186"/>
      <c r="BQ332" s="186"/>
      <c r="BR332" s="186"/>
      <c r="BS332" s="186"/>
      <c r="BT332" s="186"/>
      <c r="BU332" s="186"/>
      <c r="BV332" s="186"/>
      <c r="BW332" s="186"/>
      <c r="BX332" s="186"/>
    </row>
    <row r="333" ht="15.75" customHeight="1">
      <c r="A333" s="550"/>
      <c r="B333" s="646" t="s">
        <v>6034</v>
      </c>
      <c r="C333" s="591" t="s">
        <v>6035</v>
      </c>
      <c r="D333" s="548" t="s">
        <v>6035</v>
      </c>
      <c r="E333" s="222"/>
      <c r="F333" s="132" t="s">
        <v>6038</v>
      </c>
      <c r="G333" s="222" t="s">
        <v>4889</v>
      </c>
      <c r="H333" s="222"/>
      <c r="I333" s="748"/>
      <c r="J333" s="222"/>
      <c r="K333" s="222"/>
      <c r="L333" s="222"/>
      <c r="M333" s="1127"/>
      <c r="N333" s="222"/>
      <c r="O333" s="222"/>
      <c r="P333" s="222"/>
      <c r="Q333" s="222"/>
      <c r="R333" s="746"/>
      <c r="S333" s="222"/>
      <c r="T333" s="222"/>
      <c r="U333" s="222"/>
      <c r="V333" s="222"/>
      <c r="W333" s="222"/>
      <c r="X333" s="222"/>
      <c r="Y333" s="1129"/>
      <c r="Z333" s="222"/>
      <c r="AA333" s="222"/>
      <c r="AB333" s="132" t="s">
        <v>6051</v>
      </c>
      <c r="AC333" s="222"/>
      <c r="AD333" s="222"/>
      <c r="AE333" s="1129"/>
      <c r="AF333" s="222"/>
      <c r="AG333" s="222"/>
      <c r="AH333" s="222"/>
      <c r="AI333" s="222"/>
      <c r="AJ333" s="222"/>
      <c r="AK333" s="222"/>
      <c r="AL333" s="222"/>
      <c r="AM333" s="222"/>
      <c r="AN333" s="222"/>
      <c r="AO333" s="748"/>
      <c r="AP333" s="222"/>
      <c r="AQ333" s="222"/>
      <c r="AR333" s="1129"/>
      <c r="AS333" s="222"/>
      <c r="AT333" s="222"/>
      <c r="AU333" s="222"/>
      <c r="AV333" s="748"/>
      <c r="AW333" s="222"/>
      <c r="AX333" s="1129"/>
      <c r="AY333" s="222"/>
      <c r="AZ333" s="222"/>
      <c r="BA333" s="222"/>
      <c r="BB333" s="222"/>
      <c r="BC333" s="222"/>
      <c r="BD333" s="222"/>
      <c r="BE333" s="1129"/>
      <c r="BF333" s="222"/>
      <c r="BG333" s="222"/>
      <c r="BH333" s="222"/>
      <c r="BI333" s="222"/>
      <c r="BJ333" s="222"/>
      <c r="BK333" s="222"/>
      <c r="BL333" s="1129"/>
      <c r="BM333" s="1129"/>
      <c r="BN333" s="1129"/>
      <c r="BO333" s="1129"/>
      <c r="BP333" s="1129"/>
      <c r="BQ333" s="1129"/>
      <c r="BR333" s="1129"/>
      <c r="BS333" s="1129"/>
      <c r="BT333" s="1129"/>
      <c r="BU333" s="1129"/>
      <c r="BV333" s="1129"/>
      <c r="BW333" s="1129"/>
      <c r="BX333" s="1129"/>
    </row>
    <row r="334" ht="15.75" customHeight="1">
      <c r="A334" s="1125" t="s">
        <v>6067</v>
      </c>
      <c r="B334" s="1126" t="s">
        <v>6069</v>
      </c>
      <c r="C334" s="741" t="s">
        <v>6070</v>
      </c>
      <c r="D334" s="219"/>
      <c r="E334" s="222"/>
      <c r="F334" s="132" t="s">
        <v>6070</v>
      </c>
      <c r="G334" s="222"/>
      <c r="H334" s="222"/>
      <c r="I334" s="748"/>
      <c r="J334" s="222"/>
      <c r="K334" s="222"/>
      <c r="L334" s="222"/>
      <c r="M334" s="219"/>
      <c r="N334" s="222"/>
      <c r="O334" s="222"/>
      <c r="P334" s="222"/>
      <c r="Q334" s="222"/>
      <c r="R334" s="746"/>
      <c r="S334" s="222"/>
      <c r="T334" s="222"/>
      <c r="U334" s="222"/>
      <c r="V334" s="222"/>
      <c r="W334" s="222"/>
      <c r="X334" s="222"/>
      <c r="Y334" s="186"/>
      <c r="Z334" s="222"/>
      <c r="AA334" s="222"/>
      <c r="AB334" s="222"/>
      <c r="AC334" s="222"/>
      <c r="AD334" s="222"/>
      <c r="AE334" s="186"/>
      <c r="AF334" s="222"/>
      <c r="AG334" s="222"/>
      <c r="AH334" s="222"/>
      <c r="AI334" s="222"/>
      <c r="AJ334" s="222"/>
      <c r="AK334" s="222"/>
      <c r="AL334" s="222"/>
      <c r="AM334" s="222"/>
      <c r="AN334" s="222"/>
      <c r="AO334" s="748"/>
      <c r="AP334" s="222"/>
      <c r="AQ334" s="222"/>
      <c r="AR334" s="186"/>
      <c r="AS334" s="222"/>
      <c r="AT334" s="222"/>
      <c r="AU334" s="222"/>
      <c r="AV334" s="748"/>
      <c r="AW334" s="222"/>
      <c r="AX334" s="186"/>
      <c r="AY334" s="222"/>
      <c r="AZ334" s="222"/>
      <c r="BA334" s="222"/>
      <c r="BB334" s="222"/>
      <c r="BC334" s="222"/>
      <c r="BD334" s="222"/>
      <c r="BE334" s="186"/>
      <c r="BF334" s="222"/>
      <c r="BG334" s="222"/>
      <c r="BH334" s="222"/>
      <c r="BI334" s="222"/>
      <c r="BJ334" s="222"/>
      <c r="BK334" s="222"/>
      <c r="BL334" s="186"/>
      <c r="BM334" s="186"/>
      <c r="BN334" s="186"/>
      <c r="BO334" s="186"/>
      <c r="BP334" s="186"/>
      <c r="BQ334" s="186"/>
      <c r="BR334" s="186"/>
      <c r="BS334" s="186"/>
      <c r="BT334" s="186"/>
      <c r="BU334" s="186"/>
      <c r="BV334" s="186"/>
      <c r="BW334" s="186"/>
      <c r="BX334" s="186"/>
    </row>
    <row r="335" ht="15.75" customHeight="1">
      <c r="A335" s="550"/>
      <c r="B335" s="1149" t="s">
        <v>6091</v>
      </c>
      <c r="C335" s="741" t="s">
        <v>6092</v>
      </c>
      <c r="D335" s="552"/>
      <c r="E335" s="222"/>
      <c r="F335" s="132" t="s">
        <v>6092</v>
      </c>
      <c r="G335" s="222"/>
      <c r="H335" s="222"/>
      <c r="I335" s="748"/>
      <c r="J335" s="222"/>
      <c r="K335" s="222"/>
      <c r="L335" s="222"/>
      <c r="M335" s="1241" t="s">
        <v>6104</v>
      </c>
      <c r="N335" s="222"/>
      <c r="O335" s="222"/>
      <c r="P335" s="222"/>
      <c r="Q335" s="222"/>
      <c r="R335" s="746"/>
      <c r="S335" s="222"/>
      <c r="T335" s="222"/>
      <c r="U335" s="222"/>
      <c r="V335" s="222"/>
      <c r="W335" s="222"/>
      <c r="X335" s="222"/>
      <c r="Y335" s="1129"/>
      <c r="Z335" s="222"/>
      <c r="AA335" s="222"/>
      <c r="AB335" s="222"/>
      <c r="AC335" s="222"/>
      <c r="AD335" s="222"/>
      <c r="AE335" s="1129"/>
      <c r="AF335" s="222"/>
      <c r="AG335" s="222"/>
      <c r="AH335" s="222"/>
      <c r="AI335" s="222"/>
      <c r="AJ335" s="222"/>
      <c r="AK335" s="222"/>
      <c r="AL335" s="222"/>
      <c r="AM335" s="222"/>
      <c r="AN335" s="222"/>
      <c r="AO335" s="748"/>
      <c r="AP335" s="222"/>
      <c r="AQ335" s="222"/>
      <c r="AR335" s="1129"/>
      <c r="AS335" s="222"/>
      <c r="AT335" s="222"/>
      <c r="AU335" s="222"/>
      <c r="AV335" s="748"/>
      <c r="AW335" s="222"/>
      <c r="AX335" s="1129"/>
      <c r="AY335" s="222"/>
      <c r="AZ335" s="222"/>
      <c r="BA335" s="222"/>
      <c r="BB335" s="222"/>
      <c r="BC335" s="222"/>
      <c r="BD335" s="222"/>
      <c r="BE335" s="1129"/>
      <c r="BF335" s="222"/>
      <c r="BG335" s="222"/>
      <c r="BH335" s="222"/>
      <c r="BI335" s="222"/>
      <c r="BJ335" s="222"/>
      <c r="BK335" s="222"/>
      <c r="BL335" s="1129"/>
      <c r="BM335" s="1129"/>
      <c r="BN335" s="1129"/>
      <c r="BO335" s="1129"/>
      <c r="BP335" s="1129"/>
      <c r="BQ335" s="1129"/>
      <c r="BR335" s="1129"/>
      <c r="BS335" s="1129"/>
      <c r="BT335" s="1129"/>
      <c r="BU335" s="1129"/>
      <c r="BV335" s="1129"/>
      <c r="BW335" s="1129"/>
      <c r="BX335" s="1129"/>
    </row>
    <row r="336" ht="15.75" customHeight="1">
      <c r="A336" s="554"/>
      <c r="B336" s="561" t="s">
        <v>6114</v>
      </c>
      <c r="C336" s="741" t="s">
        <v>6115</v>
      </c>
      <c r="D336" s="219"/>
      <c r="E336" s="222"/>
      <c r="F336" s="132" t="s">
        <v>6115</v>
      </c>
      <c r="G336" s="222"/>
      <c r="H336" s="222"/>
      <c r="I336" s="748"/>
      <c r="J336" s="222"/>
      <c r="K336" s="222"/>
      <c r="L336" s="222"/>
      <c r="M336" s="219"/>
      <c r="N336" s="222"/>
      <c r="O336" s="222"/>
      <c r="P336" s="222"/>
      <c r="Q336" s="222"/>
      <c r="R336" s="746"/>
      <c r="S336" s="222"/>
      <c r="T336" s="222"/>
      <c r="U336" s="222"/>
      <c r="V336" s="222"/>
      <c r="W336" s="222"/>
      <c r="X336" s="222"/>
      <c r="Y336" s="186"/>
      <c r="Z336" s="222"/>
      <c r="AA336" s="222"/>
      <c r="AB336" s="222"/>
      <c r="AC336" s="222"/>
      <c r="AD336" s="222"/>
      <c r="AE336" s="186"/>
      <c r="AF336" s="222"/>
      <c r="AG336" s="222"/>
      <c r="AH336" s="222"/>
      <c r="AI336" s="222"/>
      <c r="AJ336" s="222"/>
      <c r="AK336" s="222"/>
      <c r="AL336" s="222"/>
      <c r="AM336" s="222"/>
      <c r="AN336" s="222"/>
      <c r="AO336" s="748"/>
      <c r="AP336" s="222"/>
      <c r="AQ336" s="222"/>
      <c r="AR336" s="186"/>
      <c r="AS336" s="222"/>
      <c r="AT336" s="222"/>
      <c r="AU336" s="222"/>
      <c r="AV336" s="748"/>
      <c r="AW336" s="222"/>
      <c r="AX336" s="186"/>
      <c r="AY336" s="222"/>
      <c r="AZ336" s="222"/>
      <c r="BA336" s="222"/>
      <c r="BB336" s="222"/>
      <c r="BC336" s="222"/>
      <c r="BD336" s="222"/>
      <c r="BE336" s="186"/>
      <c r="BF336" s="222"/>
      <c r="BG336" s="222"/>
      <c r="BH336" s="222"/>
      <c r="BI336" s="222"/>
      <c r="BJ336" s="222"/>
      <c r="BK336" s="222"/>
      <c r="BL336" s="186"/>
      <c r="BM336" s="186"/>
      <c r="BN336" s="186"/>
      <c r="BO336" s="186"/>
      <c r="BP336" s="186"/>
      <c r="BQ336" s="186"/>
      <c r="BR336" s="186"/>
      <c r="BS336" s="186"/>
      <c r="BT336" s="186"/>
      <c r="BU336" s="186"/>
      <c r="BV336" s="186"/>
      <c r="BW336" s="186"/>
      <c r="BX336" s="186"/>
    </row>
    <row r="337" ht="15.75" customHeight="1">
      <c r="A337" s="550"/>
      <c r="B337" s="1149" t="s">
        <v>6121</v>
      </c>
      <c r="C337" s="741" t="s">
        <v>114</v>
      </c>
      <c r="D337" s="552"/>
      <c r="E337" s="222"/>
      <c r="F337" s="132" t="s">
        <v>114</v>
      </c>
      <c r="G337" s="222"/>
      <c r="H337" s="222"/>
      <c r="I337" s="748"/>
      <c r="J337" s="222"/>
      <c r="K337" s="222"/>
      <c r="L337" s="222"/>
      <c r="M337" s="1127"/>
      <c r="N337" s="222"/>
      <c r="O337" s="222"/>
      <c r="P337" s="222"/>
      <c r="Q337" s="222"/>
      <c r="R337" s="746"/>
      <c r="S337" s="222"/>
      <c r="T337" s="222"/>
      <c r="U337" s="222"/>
      <c r="V337" s="222"/>
      <c r="W337" s="222"/>
      <c r="X337" s="222"/>
      <c r="Y337" s="1129"/>
      <c r="Z337" s="222"/>
      <c r="AA337" s="222"/>
      <c r="AB337" s="222"/>
      <c r="AC337" s="222"/>
      <c r="AD337" s="222"/>
      <c r="AE337" s="1129"/>
      <c r="AF337" s="222"/>
      <c r="AG337" s="222"/>
      <c r="AH337" s="222"/>
      <c r="AI337" s="222"/>
      <c r="AJ337" s="222"/>
      <c r="AK337" s="222"/>
      <c r="AL337" s="222"/>
      <c r="AM337" s="222"/>
      <c r="AN337" s="222"/>
      <c r="AO337" s="748"/>
      <c r="AP337" s="222"/>
      <c r="AQ337" s="222"/>
      <c r="AR337" s="1129"/>
      <c r="AS337" s="222"/>
      <c r="AT337" s="222"/>
      <c r="AU337" s="222"/>
      <c r="AV337" s="748"/>
      <c r="AW337" s="222"/>
      <c r="AX337" s="1129"/>
      <c r="AY337" s="222"/>
      <c r="AZ337" s="222"/>
      <c r="BA337" s="222"/>
      <c r="BB337" s="222"/>
      <c r="BC337" s="222"/>
      <c r="BD337" s="222"/>
      <c r="BE337" s="1129"/>
      <c r="BF337" s="222"/>
      <c r="BG337" s="222"/>
      <c r="BH337" s="222"/>
      <c r="BI337" s="222"/>
      <c r="BJ337" s="222"/>
      <c r="BK337" s="222"/>
      <c r="BL337" s="1129"/>
      <c r="BM337" s="1129"/>
      <c r="BN337" s="1129"/>
      <c r="BO337" s="1129"/>
      <c r="BP337" s="1129"/>
      <c r="BQ337" s="1129"/>
      <c r="BR337" s="1129"/>
      <c r="BS337" s="1129"/>
      <c r="BT337" s="1129"/>
      <c r="BU337" s="1129"/>
      <c r="BV337" s="1129"/>
      <c r="BW337" s="1129"/>
      <c r="BX337" s="1129"/>
    </row>
    <row r="338" ht="15.75" customHeight="1">
      <c r="A338" s="554"/>
      <c r="B338" s="561" t="s">
        <v>6125</v>
      </c>
      <c r="C338" s="741" t="s">
        <v>4478</v>
      </c>
      <c r="D338" s="219"/>
      <c r="E338" s="222"/>
      <c r="F338" s="132" t="s">
        <v>4478</v>
      </c>
      <c r="G338" s="222"/>
      <c r="H338" s="222"/>
      <c r="I338" s="748"/>
      <c r="J338" s="222"/>
      <c r="K338" s="222"/>
      <c r="L338" s="222"/>
      <c r="M338" s="219"/>
      <c r="N338" s="222"/>
      <c r="O338" s="222"/>
      <c r="P338" s="222"/>
      <c r="Q338" s="222"/>
      <c r="R338" s="746"/>
      <c r="S338" s="222"/>
      <c r="T338" s="222"/>
      <c r="U338" s="222"/>
      <c r="V338" s="222"/>
      <c r="W338" s="222"/>
      <c r="X338" s="222"/>
      <c r="Y338" s="186"/>
      <c r="Z338" s="222"/>
      <c r="AA338" s="222"/>
      <c r="AB338" s="222"/>
      <c r="AC338" s="222"/>
      <c r="AD338" s="222"/>
      <c r="AE338" s="186"/>
      <c r="AF338" s="222"/>
      <c r="AG338" s="222"/>
      <c r="AH338" s="222"/>
      <c r="AI338" s="222"/>
      <c r="AJ338" s="222"/>
      <c r="AK338" s="222"/>
      <c r="AL338" s="222"/>
      <c r="AM338" s="222"/>
      <c r="AN338" s="222"/>
      <c r="AO338" s="748"/>
      <c r="AP338" s="222"/>
      <c r="AQ338" s="222"/>
      <c r="AR338" s="186"/>
      <c r="AS338" s="222"/>
      <c r="AT338" s="222"/>
      <c r="AU338" s="222"/>
      <c r="AV338" s="748"/>
      <c r="AW338" s="222"/>
      <c r="AX338" s="186"/>
      <c r="AY338" s="222"/>
      <c r="AZ338" s="222"/>
      <c r="BA338" s="222"/>
      <c r="BB338" s="222"/>
      <c r="BC338" s="222"/>
      <c r="BD338" s="222"/>
      <c r="BE338" s="186"/>
      <c r="BF338" s="222"/>
      <c r="BG338" s="222"/>
      <c r="BH338" s="222"/>
      <c r="BI338" s="222"/>
      <c r="BJ338" s="222"/>
      <c r="BK338" s="222"/>
      <c r="BL338" s="186"/>
      <c r="BM338" s="186"/>
      <c r="BN338" s="186"/>
      <c r="BO338" s="186"/>
      <c r="BP338" s="186"/>
      <c r="BQ338" s="186"/>
      <c r="BR338" s="186"/>
      <c r="BS338" s="186"/>
      <c r="BT338" s="186"/>
      <c r="BU338" s="186"/>
      <c r="BV338" s="186"/>
      <c r="BW338" s="186"/>
      <c r="BX338" s="186"/>
    </row>
    <row r="339" ht="15.75" customHeight="1">
      <c r="A339" s="550"/>
      <c r="B339" s="1149" t="s">
        <v>6136</v>
      </c>
      <c r="C339" s="591" t="s">
        <v>6138</v>
      </c>
      <c r="D339" s="548" t="s">
        <v>6138</v>
      </c>
      <c r="E339" s="222"/>
      <c r="F339" s="132" t="s">
        <v>6144</v>
      </c>
      <c r="G339" s="132" t="s">
        <v>6145</v>
      </c>
      <c r="H339" s="222"/>
      <c r="I339" s="748"/>
      <c r="J339" s="222"/>
      <c r="K339" s="222"/>
      <c r="L339" s="222"/>
      <c r="M339" s="1127"/>
      <c r="N339" s="222"/>
      <c r="O339" s="222"/>
      <c r="P339" s="222"/>
      <c r="Q339" s="222"/>
      <c r="R339" s="746"/>
      <c r="S339" s="222"/>
      <c r="T339" s="222"/>
      <c r="U339" s="222"/>
      <c r="V339" s="222"/>
      <c r="W339" s="222"/>
      <c r="X339" s="222"/>
      <c r="Y339" s="1129"/>
      <c r="Z339" s="222"/>
      <c r="AA339" s="222"/>
      <c r="AB339" s="222"/>
      <c r="AC339" s="222"/>
      <c r="AD339" s="222"/>
      <c r="AE339" s="1129"/>
      <c r="AF339" s="222"/>
      <c r="AG339" s="222" t="s">
        <v>114</v>
      </c>
      <c r="AH339" s="222"/>
      <c r="AI339" s="222"/>
      <c r="AJ339" s="222"/>
      <c r="AK339" s="222"/>
      <c r="AL339" s="222"/>
      <c r="AM339" s="222"/>
      <c r="AN339" s="222"/>
      <c r="AO339" s="748"/>
      <c r="AP339" s="222"/>
      <c r="AQ339" s="222"/>
      <c r="AR339" s="1129"/>
      <c r="AS339" s="222"/>
      <c r="AT339" s="222"/>
      <c r="AU339" s="222"/>
      <c r="AV339" s="748"/>
      <c r="AW339" s="222"/>
      <c r="AX339" s="1129"/>
      <c r="AY339" s="222"/>
      <c r="AZ339" s="222"/>
      <c r="BA339" s="222"/>
      <c r="BB339" s="222"/>
      <c r="BC339" s="222"/>
      <c r="BD339" s="222"/>
      <c r="BE339" s="1129"/>
      <c r="BF339" s="222"/>
      <c r="BG339" s="222"/>
      <c r="BH339" s="222"/>
      <c r="BI339" s="222"/>
      <c r="BJ339" s="222"/>
      <c r="BK339" s="222"/>
      <c r="BL339" s="1129"/>
      <c r="BM339" s="1129"/>
      <c r="BN339" s="1129"/>
      <c r="BO339" s="1129"/>
      <c r="BP339" s="1129"/>
      <c r="BQ339" s="1129"/>
      <c r="BR339" s="1129"/>
      <c r="BS339" s="1129"/>
      <c r="BT339" s="1129"/>
      <c r="BU339" s="1129"/>
      <c r="BV339" s="1129"/>
      <c r="BW339" s="1129"/>
      <c r="BX339" s="1129"/>
    </row>
    <row r="340" ht="15.75" customHeight="1">
      <c r="A340" s="554"/>
      <c r="B340" s="561" t="s">
        <v>6146</v>
      </c>
      <c r="C340" s="741" t="s">
        <v>6147</v>
      </c>
      <c r="D340" s="182" t="s">
        <v>6148</v>
      </c>
      <c r="E340" s="752" t="s">
        <v>6150</v>
      </c>
      <c r="F340" s="752"/>
      <c r="G340" s="132" t="s">
        <v>6151</v>
      </c>
      <c r="H340" s="222"/>
      <c r="I340" s="748"/>
      <c r="J340" s="752"/>
      <c r="K340" s="752"/>
      <c r="L340" s="752"/>
      <c r="M340" s="219"/>
      <c r="N340" s="752"/>
      <c r="O340" s="752"/>
      <c r="P340" s="752"/>
      <c r="Q340" s="752"/>
      <c r="R340" s="753"/>
      <c r="S340" s="752"/>
      <c r="T340" s="752"/>
      <c r="U340" s="132" t="s">
        <v>6153</v>
      </c>
      <c r="V340" s="752"/>
      <c r="W340" s="132" t="s">
        <v>6138</v>
      </c>
      <c r="X340" s="752"/>
      <c r="Y340" s="186"/>
      <c r="Z340" s="752"/>
      <c r="AA340" s="752"/>
      <c r="AB340" s="132" t="s">
        <v>6147</v>
      </c>
      <c r="AC340" s="752"/>
      <c r="AD340" s="752"/>
      <c r="AE340" s="186"/>
      <c r="AF340" s="752"/>
      <c r="AG340" s="752"/>
      <c r="AH340" s="752"/>
      <c r="AI340" s="752"/>
      <c r="AJ340" s="752"/>
      <c r="AK340" s="752"/>
      <c r="AL340" s="752"/>
      <c r="AM340" s="752"/>
      <c r="AN340" s="752"/>
      <c r="AO340" s="748"/>
      <c r="AP340" s="752"/>
      <c r="AQ340" s="752"/>
      <c r="AR340" s="186"/>
      <c r="AS340" s="752"/>
      <c r="AT340" s="752"/>
      <c r="AU340" s="752"/>
      <c r="AV340" s="748"/>
      <c r="AW340" s="752"/>
      <c r="AX340" s="186"/>
      <c r="AY340" s="752"/>
      <c r="AZ340" s="752"/>
      <c r="BA340" s="752"/>
      <c r="BB340" s="752"/>
      <c r="BC340" s="752"/>
      <c r="BD340" s="752"/>
      <c r="BE340" s="186"/>
      <c r="BF340" s="752"/>
      <c r="BG340" s="752"/>
      <c r="BH340" s="752"/>
      <c r="BI340" s="752"/>
      <c r="BJ340" s="752"/>
      <c r="BK340" s="752"/>
      <c r="BL340" s="186"/>
      <c r="BM340" s="186"/>
      <c r="BN340" s="186"/>
      <c r="BO340" s="186"/>
      <c r="BP340" s="186"/>
      <c r="BQ340" s="186"/>
      <c r="BR340" s="186"/>
      <c r="BS340" s="186"/>
      <c r="BT340" s="186"/>
      <c r="BU340" s="186"/>
      <c r="BV340" s="186"/>
      <c r="BW340" s="186"/>
      <c r="BX340" s="186"/>
    </row>
    <row r="341" ht="15.75" customHeight="1">
      <c r="A341" s="1125" t="s">
        <v>6159</v>
      </c>
      <c r="B341" s="1126" t="s">
        <v>6160</v>
      </c>
      <c r="C341" s="591" t="s">
        <v>6161</v>
      </c>
      <c r="D341" s="548" t="s">
        <v>6161</v>
      </c>
      <c r="E341" s="757"/>
      <c r="F341" s="752"/>
      <c r="G341" s="222" t="s">
        <v>6161</v>
      </c>
      <c r="H341" s="222"/>
      <c r="I341" s="748"/>
      <c r="J341" s="752"/>
      <c r="K341" s="222"/>
      <c r="L341" s="752"/>
      <c r="M341" s="1127"/>
      <c r="N341" s="752"/>
      <c r="O341" s="752"/>
      <c r="P341" s="752"/>
      <c r="Q341" s="752"/>
      <c r="R341" s="753"/>
      <c r="S341" s="752"/>
      <c r="T341" s="752"/>
      <c r="U341" s="752"/>
      <c r="V341" s="752"/>
      <c r="W341" s="752"/>
      <c r="X341" s="752"/>
      <c r="Y341" s="1129"/>
      <c r="Z341" s="752"/>
      <c r="AA341" s="752"/>
      <c r="AB341" s="752"/>
      <c r="AC341" s="752"/>
      <c r="AD341" s="752"/>
      <c r="AE341" s="1129"/>
      <c r="AF341" s="752"/>
      <c r="AG341" s="222"/>
      <c r="AH341" s="752"/>
      <c r="AI341" s="752"/>
      <c r="AJ341" s="752"/>
      <c r="AK341" s="752"/>
      <c r="AL341" s="752"/>
      <c r="AM341" s="222"/>
      <c r="AN341" s="752"/>
      <c r="AO341" s="748"/>
      <c r="AP341" s="752"/>
      <c r="AQ341" s="752"/>
      <c r="AR341" s="1129"/>
      <c r="AS341" s="752"/>
      <c r="AT341" s="752"/>
      <c r="AU341" s="752"/>
      <c r="AV341" s="748"/>
      <c r="AW341" s="752"/>
      <c r="AX341" s="1129"/>
      <c r="AY341" s="752"/>
      <c r="AZ341" s="752"/>
      <c r="BA341" s="752"/>
      <c r="BB341" s="752"/>
      <c r="BC341" s="752"/>
      <c r="BD341" s="752"/>
      <c r="BE341" s="1129"/>
      <c r="BF341" s="752"/>
      <c r="BG341" s="752"/>
      <c r="BH341" s="752"/>
      <c r="BI341" s="752"/>
      <c r="BJ341" s="752"/>
      <c r="BK341" s="752"/>
      <c r="BL341" s="1129"/>
      <c r="BM341" s="1129"/>
      <c r="BN341" s="1129"/>
      <c r="BO341" s="1129"/>
      <c r="BP341" s="1129"/>
      <c r="BQ341" s="1129"/>
      <c r="BR341" s="1129"/>
      <c r="BS341" s="1129"/>
      <c r="BT341" s="1129"/>
      <c r="BU341" s="1129"/>
      <c r="BV341" s="1129"/>
      <c r="BW341" s="1129"/>
      <c r="BX341" s="1129"/>
    </row>
    <row r="342" ht="15.75" customHeight="1">
      <c r="A342" s="554"/>
      <c r="B342" s="561" t="s">
        <v>6166</v>
      </c>
      <c r="C342" s="591" t="s">
        <v>6167</v>
      </c>
      <c r="D342" s="548" t="s">
        <v>6167</v>
      </c>
      <c r="E342" s="757"/>
      <c r="F342" s="752"/>
      <c r="G342" s="222" t="s">
        <v>6167</v>
      </c>
      <c r="H342" s="222"/>
      <c r="I342" s="748"/>
      <c r="J342" s="752"/>
      <c r="K342" s="222"/>
      <c r="L342" s="752"/>
      <c r="M342" s="1127"/>
      <c r="N342" s="752"/>
      <c r="O342" s="752"/>
      <c r="P342" s="752"/>
      <c r="Q342" s="752"/>
      <c r="R342" s="753"/>
      <c r="S342" s="752"/>
      <c r="T342" s="752"/>
      <c r="U342" s="752"/>
      <c r="V342" s="752"/>
      <c r="W342" s="752"/>
      <c r="X342" s="752"/>
      <c r="Y342" s="1129"/>
      <c r="Z342" s="752"/>
      <c r="AA342" s="752"/>
      <c r="AB342" s="752"/>
      <c r="AC342" s="752"/>
      <c r="AD342" s="752"/>
      <c r="AE342" s="1129"/>
      <c r="AF342" s="752"/>
      <c r="AG342" s="222"/>
      <c r="AH342" s="752"/>
      <c r="AI342" s="752"/>
      <c r="AJ342" s="752"/>
      <c r="AK342" s="752"/>
      <c r="AL342" s="752"/>
      <c r="AM342" s="222"/>
      <c r="AN342" s="752"/>
      <c r="AO342" s="748"/>
      <c r="AP342" s="752"/>
      <c r="AQ342" s="752"/>
      <c r="AR342" s="1129"/>
      <c r="AS342" s="752"/>
      <c r="AT342" s="752"/>
      <c r="AU342" s="752"/>
      <c r="AV342" s="748"/>
      <c r="AW342" s="752"/>
      <c r="AX342" s="1129"/>
      <c r="AY342" s="752"/>
      <c r="AZ342" s="752"/>
      <c r="BA342" s="752"/>
      <c r="BB342" s="752"/>
      <c r="BC342" s="752"/>
      <c r="BD342" s="752"/>
      <c r="BE342" s="1129"/>
      <c r="BF342" s="752"/>
      <c r="BG342" s="752"/>
      <c r="BH342" s="752"/>
      <c r="BI342" s="752"/>
      <c r="BJ342" s="752"/>
      <c r="BK342" s="752"/>
      <c r="BL342" s="1129"/>
      <c r="BM342" s="1129"/>
      <c r="BN342" s="1129"/>
      <c r="BO342" s="1129"/>
      <c r="BP342" s="1129"/>
      <c r="BQ342" s="1129"/>
      <c r="BR342" s="1129"/>
      <c r="BS342" s="1129"/>
      <c r="BT342" s="1129"/>
      <c r="BU342" s="1129"/>
      <c r="BV342" s="1129"/>
      <c r="BW342" s="1129"/>
      <c r="BX342" s="1129"/>
    </row>
    <row r="343" ht="15.75" customHeight="1">
      <c r="A343" s="550"/>
      <c r="B343" s="1149" t="s">
        <v>6172</v>
      </c>
      <c r="C343" s="591" t="s">
        <v>6173</v>
      </c>
      <c r="D343" s="548" t="s">
        <v>6173</v>
      </c>
      <c r="E343" s="757"/>
      <c r="F343" s="752"/>
      <c r="G343" s="222">
        <v>5.83</v>
      </c>
      <c r="H343" s="222"/>
      <c r="I343" s="748"/>
      <c r="J343" s="752"/>
      <c r="K343" s="222"/>
      <c r="L343" s="752"/>
      <c r="M343" s="1127"/>
      <c r="N343" s="752"/>
      <c r="O343" s="752"/>
      <c r="P343" s="752"/>
      <c r="Q343" s="752"/>
      <c r="R343" s="753"/>
      <c r="S343" s="752"/>
      <c r="T343" s="752"/>
      <c r="U343" s="752"/>
      <c r="V343" s="752"/>
      <c r="W343" s="752"/>
      <c r="X343" s="752"/>
      <c r="Y343" s="1129"/>
      <c r="Z343" s="752"/>
      <c r="AA343" s="752"/>
      <c r="AB343" s="752"/>
      <c r="AC343" s="752"/>
      <c r="AD343" s="752"/>
      <c r="AE343" s="1129"/>
      <c r="AF343" s="752"/>
      <c r="AG343" s="222"/>
      <c r="AH343" s="752"/>
      <c r="AI343" s="752"/>
      <c r="AJ343" s="752"/>
      <c r="AK343" s="752"/>
      <c r="AL343" s="752"/>
      <c r="AM343" s="222"/>
      <c r="AN343" s="752"/>
      <c r="AO343" s="748"/>
      <c r="AP343" s="752"/>
      <c r="AQ343" s="752"/>
      <c r="AR343" s="1129"/>
      <c r="AS343" s="752"/>
      <c r="AT343" s="752"/>
      <c r="AU343" s="752"/>
      <c r="AV343" s="748"/>
      <c r="AW343" s="752"/>
      <c r="AX343" s="1129"/>
      <c r="AY343" s="752"/>
      <c r="AZ343" s="752"/>
      <c r="BA343" s="752"/>
      <c r="BB343" s="752"/>
      <c r="BC343" s="752"/>
      <c r="BD343" s="752"/>
      <c r="BE343" s="1129"/>
      <c r="BF343" s="752"/>
      <c r="BG343" s="752"/>
      <c r="BH343" s="752"/>
      <c r="BI343" s="752"/>
      <c r="BJ343" s="752"/>
      <c r="BK343" s="752"/>
      <c r="BL343" s="1129"/>
      <c r="BM343" s="1129"/>
      <c r="BN343" s="1129"/>
      <c r="BO343" s="1129"/>
      <c r="BP343" s="1129"/>
      <c r="BQ343" s="1129"/>
      <c r="BR343" s="1129"/>
      <c r="BS343" s="1129"/>
      <c r="BT343" s="1129"/>
      <c r="BU343" s="1129"/>
      <c r="BV343" s="1129"/>
      <c r="BW343" s="1129"/>
      <c r="BX343" s="1129"/>
    </row>
    <row r="344" ht="15.75" customHeight="1">
      <c r="A344" s="1125" t="s">
        <v>6181</v>
      </c>
      <c r="B344" s="1126" t="s">
        <v>6182</v>
      </c>
      <c r="C344" s="119" t="s">
        <v>6183</v>
      </c>
      <c r="D344" s="548" t="s">
        <v>5296</v>
      </c>
      <c r="E344" s="757" t="s">
        <v>6184</v>
      </c>
      <c r="F344" s="752"/>
      <c r="G344" s="132" t="s">
        <v>6183</v>
      </c>
      <c r="H344" s="222"/>
      <c r="I344" s="748"/>
      <c r="J344" s="752"/>
      <c r="K344" s="132" t="s">
        <v>6185</v>
      </c>
      <c r="L344" s="752"/>
      <c r="M344" s="1127"/>
      <c r="N344" s="752"/>
      <c r="O344" s="752"/>
      <c r="P344" s="752"/>
      <c r="Q344" s="752"/>
      <c r="R344" s="753"/>
      <c r="S344" s="752"/>
      <c r="T344" s="752"/>
      <c r="U344" s="752" t="s">
        <v>2647</v>
      </c>
      <c r="V344" s="752"/>
      <c r="W344" s="752"/>
      <c r="X344" s="752"/>
      <c r="Y344" s="1129"/>
      <c r="Z344" s="752" t="s">
        <v>4610</v>
      </c>
      <c r="AA344" s="752"/>
      <c r="AB344" s="752"/>
      <c r="AC344" s="752"/>
      <c r="AD344" s="752"/>
      <c r="AE344" s="1129"/>
      <c r="AF344" s="752"/>
      <c r="AG344" s="132" t="s">
        <v>6193</v>
      </c>
      <c r="AH344" s="752"/>
      <c r="AI344" s="752"/>
      <c r="AJ344" s="752"/>
      <c r="AK344" s="752"/>
      <c r="AL344" s="752"/>
      <c r="AM344" s="132" t="s">
        <v>1110</v>
      </c>
      <c r="AN344" s="752"/>
      <c r="AO344" s="748"/>
      <c r="AP344" s="752"/>
      <c r="AQ344" s="752"/>
      <c r="AR344" s="1129"/>
      <c r="AS344" s="752"/>
      <c r="AT344" s="752"/>
      <c r="AU344" s="752"/>
      <c r="AV344" s="748"/>
      <c r="AW344" s="752"/>
      <c r="AX344" s="1129"/>
      <c r="AY344" s="752"/>
      <c r="AZ344" s="752"/>
      <c r="BA344" s="752"/>
      <c r="BB344" s="752"/>
      <c r="BC344" s="752"/>
      <c r="BD344" s="752"/>
      <c r="BE344" s="1129"/>
      <c r="BF344" s="752"/>
      <c r="BG344" s="752"/>
      <c r="BH344" s="752"/>
      <c r="BI344" s="752"/>
      <c r="BJ344" s="752"/>
      <c r="BK344" s="752"/>
      <c r="BL344" s="1129"/>
      <c r="BM344" s="1129"/>
      <c r="BN344" s="1129"/>
      <c r="BO344" s="1129"/>
      <c r="BP344" s="1129"/>
      <c r="BQ344" s="1129"/>
      <c r="BR344" s="1129"/>
      <c r="BS344" s="1129"/>
      <c r="BT344" s="1129"/>
      <c r="BU344" s="1129"/>
      <c r="BV344" s="1129"/>
      <c r="BW344" s="1129"/>
      <c r="BX344" s="1129"/>
    </row>
    <row r="345" ht="15.75" customHeight="1">
      <c r="A345" s="1125" t="s">
        <v>6204</v>
      </c>
      <c r="B345" s="1126" t="s">
        <v>6205</v>
      </c>
      <c r="C345" s="1253" t="s">
        <v>1093</v>
      </c>
      <c r="D345" s="1254"/>
      <c r="E345" s="757"/>
      <c r="F345" s="752"/>
      <c r="G345" s="222"/>
      <c r="H345" s="222"/>
      <c r="I345" s="748"/>
      <c r="J345" s="752"/>
      <c r="K345" s="222"/>
      <c r="L345" s="752"/>
      <c r="M345" s="1241" t="s">
        <v>6210</v>
      </c>
      <c r="N345" s="752"/>
      <c r="O345" s="752"/>
      <c r="P345" s="752"/>
      <c r="Q345" s="752"/>
      <c r="R345" s="753"/>
      <c r="S345" s="752"/>
      <c r="T345" s="752"/>
      <c r="U345" s="752"/>
      <c r="V345" s="752"/>
      <c r="W345" s="752"/>
      <c r="X345" s="752"/>
      <c r="Y345" s="1129"/>
      <c r="Z345" s="752"/>
      <c r="AA345" s="752"/>
      <c r="AB345" s="752"/>
      <c r="AC345" s="752"/>
      <c r="AD345" s="752"/>
      <c r="AE345" s="1129"/>
      <c r="AF345" s="752"/>
      <c r="AG345" s="222"/>
      <c r="AH345" s="752"/>
      <c r="AI345" s="752"/>
      <c r="AJ345" s="752"/>
      <c r="AK345" s="752"/>
      <c r="AL345" s="752"/>
      <c r="AM345" s="222"/>
      <c r="AN345" s="752"/>
      <c r="AO345" s="748"/>
      <c r="AP345" s="752"/>
      <c r="AQ345" s="752"/>
      <c r="AR345" s="1129"/>
      <c r="AS345" s="752"/>
      <c r="AT345" s="752"/>
      <c r="AU345" s="752"/>
      <c r="AV345" s="748"/>
      <c r="AW345" s="752"/>
      <c r="AX345" s="1129"/>
      <c r="AY345" s="752"/>
      <c r="AZ345" s="752"/>
      <c r="BA345" s="752"/>
      <c r="BB345" s="752"/>
      <c r="BC345" s="752"/>
      <c r="BD345" s="752"/>
      <c r="BE345" s="1129"/>
      <c r="BF345" s="752"/>
      <c r="BG345" s="752"/>
      <c r="BH345" s="752"/>
      <c r="BI345" s="752"/>
      <c r="BJ345" s="752"/>
      <c r="BK345" s="752"/>
      <c r="BL345" s="1129"/>
      <c r="BM345" s="1129"/>
      <c r="BN345" s="1129"/>
      <c r="BO345" s="1129"/>
      <c r="BP345" s="1129"/>
      <c r="BQ345" s="1129"/>
      <c r="BR345" s="1129"/>
      <c r="BS345" s="1129"/>
      <c r="BT345" s="1129"/>
      <c r="BU345" s="1129"/>
      <c r="BV345" s="1129"/>
      <c r="BW345" s="1129"/>
      <c r="BX345" s="1129"/>
    </row>
    <row r="346" ht="15.75" customHeight="1">
      <c r="A346" s="1125" t="s">
        <v>6215</v>
      </c>
      <c r="B346" s="1126" t="s">
        <v>6216</v>
      </c>
      <c r="C346" s="741"/>
      <c r="D346" s="219"/>
      <c r="E346" s="222"/>
      <c r="F346" s="222"/>
      <c r="G346" s="222"/>
      <c r="H346" s="222"/>
      <c r="I346" s="748"/>
      <c r="J346" s="222"/>
      <c r="K346" s="222"/>
      <c r="L346" s="222"/>
      <c r="M346" s="219"/>
      <c r="N346" s="222"/>
      <c r="O346" s="222"/>
      <c r="P346" s="222"/>
      <c r="Q346" s="222"/>
      <c r="R346" s="746"/>
      <c r="S346" s="222"/>
      <c r="T346" s="222"/>
      <c r="U346" s="222"/>
      <c r="V346" s="222"/>
      <c r="W346" s="222"/>
      <c r="X346" s="222"/>
      <c r="Y346" s="186"/>
      <c r="Z346" s="222"/>
      <c r="AA346" s="222"/>
      <c r="AB346" s="222"/>
      <c r="AC346" s="222"/>
      <c r="AD346" s="222"/>
      <c r="AE346" s="186"/>
      <c r="AF346" s="222"/>
      <c r="AG346" s="222"/>
      <c r="AH346" s="222"/>
      <c r="AI346" s="222"/>
      <c r="AJ346" s="222"/>
      <c r="AK346" s="222"/>
      <c r="AL346" s="222"/>
      <c r="AM346" s="222"/>
      <c r="AN346" s="222"/>
      <c r="AO346" s="748"/>
      <c r="AP346" s="222"/>
      <c r="AQ346" s="222"/>
      <c r="AR346" s="186"/>
      <c r="AS346" s="222"/>
      <c r="AT346" s="222"/>
      <c r="AU346" s="222"/>
      <c r="AV346" s="748"/>
      <c r="AW346" s="222"/>
      <c r="AX346" s="186"/>
      <c r="AY346" s="222"/>
      <c r="AZ346" s="222"/>
      <c r="BA346" s="222"/>
      <c r="BB346" s="222"/>
      <c r="BC346" s="222"/>
      <c r="BD346" s="222"/>
      <c r="BE346" s="186"/>
      <c r="BF346" s="222"/>
      <c r="BG346" s="222"/>
      <c r="BH346" s="222"/>
      <c r="BI346" s="222"/>
      <c r="BJ346" s="222"/>
      <c r="BK346" s="222"/>
      <c r="BL346" s="186"/>
      <c r="BM346" s="186"/>
      <c r="BN346" s="186"/>
      <c r="BO346" s="186"/>
      <c r="BP346" s="186"/>
      <c r="BQ346" s="186"/>
      <c r="BR346" s="186"/>
      <c r="BS346" s="186"/>
      <c r="BT346" s="186"/>
      <c r="BU346" s="186"/>
      <c r="BV346" s="186"/>
      <c r="BW346" s="186"/>
      <c r="BX346" s="186"/>
    </row>
    <row r="347" ht="15.75" customHeight="1">
      <c r="A347" s="550"/>
      <c r="B347" s="1149" t="s">
        <v>6250</v>
      </c>
      <c r="C347" s="119" t="s">
        <v>6252</v>
      </c>
      <c r="D347" s="219"/>
      <c r="E347" s="222"/>
      <c r="F347" s="222"/>
      <c r="G347" s="222"/>
      <c r="H347" s="222"/>
      <c r="I347" s="748"/>
      <c r="J347" s="222"/>
      <c r="K347" s="222"/>
      <c r="L347" s="222"/>
      <c r="M347" s="219"/>
      <c r="N347" s="222"/>
      <c r="O347" s="222"/>
      <c r="P347" s="222"/>
      <c r="Q347" s="222"/>
      <c r="R347" s="746"/>
      <c r="S347" s="222"/>
      <c r="T347" s="222"/>
      <c r="U347" s="222"/>
      <c r="V347" s="222"/>
      <c r="W347" s="222"/>
      <c r="X347" s="222"/>
      <c r="Y347" s="186"/>
      <c r="Z347" s="222"/>
      <c r="AA347" s="222"/>
      <c r="AB347" s="222"/>
      <c r="AC347" s="222"/>
      <c r="AD347" s="222"/>
      <c r="AE347" s="186"/>
      <c r="AF347" s="222"/>
      <c r="AG347" s="222"/>
      <c r="AH347" s="222"/>
      <c r="AI347" s="222"/>
      <c r="AJ347" s="222"/>
      <c r="AK347" s="222"/>
      <c r="AL347" s="222"/>
      <c r="AM347" s="222"/>
      <c r="AN347" s="222"/>
      <c r="AO347" s="748"/>
      <c r="AP347" s="222"/>
      <c r="AQ347" s="222"/>
      <c r="AR347" s="186"/>
      <c r="AS347" s="222"/>
      <c r="AT347" s="222"/>
      <c r="AU347" s="222"/>
      <c r="AV347" s="748"/>
      <c r="AW347" s="222"/>
      <c r="AX347" s="186"/>
      <c r="AY347" s="222"/>
      <c r="AZ347" s="222"/>
      <c r="BA347" s="222"/>
      <c r="BB347" s="222"/>
      <c r="BC347" s="222"/>
      <c r="BD347" s="222"/>
      <c r="BE347" s="186"/>
      <c r="BF347" s="222"/>
      <c r="BG347" s="222"/>
      <c r="BH347" s="222"/>
      <c r="BI347" s="222"/>
      <c r="BJ347" s="222"/>
      <c r="BK347" s="222"/>
      <c r="BL347" s="186"/>
      <c r="BM347" s="186"/>
      <c r="BN347" s="186"/>
      <c r="BO347" s="186"/>
      <c r="BP347" s="186"/>
      <c r="BQ347" s="385" t="s">
        <v>6252</v>
      </c>
      <c r="BR347" s="186"/>
      <c r="BS347" s="186"/>
      <c r="BT347" s="186"/>
      <c r="BU347" s="186"/>
      <c r="BV347" s="186"/>
      <c r="BW347" s="186"/>
      <c r="BX347" s="186"/>
    </row>
    <row r="348" ht="15.75" customHeight="1">
      <c r="A348" s="554"/>
      <c r="B348" s="561" t="s">
        <v>6172</v>
      </c>
      <c r="C348" s="119" t="s">
        <v>6282</v>
      </c>
      <c r="D348" s="182" t="s">
        <v>6287</v>
      </c>
      <c r="E348" s="222"/>
      <c r="F348" s="222"/>
      <c r="G348" s="132" t="s">
        <v>6282</v>
      </c>
      <c r="H348" s="222"/>
      <c r="I348" s="748"/>
      <c r="J348" s="222"/>
      <c r="K348" s="222"/>
      <c r="L348" s="222"/>
      <c r="M348" s="219"/>
      <c r="N348" s="222"/>
      <c r="O348" s="222"/>
      <c r="P348" s="222"/>
      <c r="Q348" s="222"/>
      <c r="R348" s="746"/>
      <c r="S348" s="222"/>
      <c r="T348" s="222"/>
      <c r="U348" s="222"/>
      <c r="V348" s="222"/>
      <c r="W348" s="222"/>
      <c r="X348" s="222"/>
      <c r="Y348" s="186"/>
      <c r="Z348" s="222"/>
      <c r="AA348" s="222"/>
      <c r="AB348" s="222"/>
      <c r="AC348" s="222"/>
      <c r="AD348" s="222"/>
      <c r="AE348" s="186"/>
      <c r="AF348" s="222"/>
      <c r="AG348" s="222"/>
      <c r="AH348" s="222"/>
      <c r="AI348" s="222"/>
      <c r="AJ348" s="222"/>
      <c r="AK348" s="222"/>
      <c r="AL348" s="222"/>
      <c r="AM348" s="222"/>
      <c r="AN348" s="222"/>
      <c r="AO348" s="748"/>
      <c r="AP348" s="222"/>
      <c r="AQ348" s="222"/>
      <c r="AR348" s="186"/>
      <c r="AS348" s="222"/>
      <c r="AT348" s="222"/>
      <c r="AU348" s="222"/>
      <c r="AV348" s="748"/>
      <c r="AW348" s="222"/>
      <c r="AX348" s="186"/>
      <c r="AY348" s="222"/>
      <c r="AZ348" s="222"/>
      <c r="BA348" s="222"/>
      <c r="BB348" s="222"/>
      <c r="BC348" s="222"/>
      <c r="BD348" s="222"/>
      <c r="BE348" s="186"/>
      <c r="BF348" s="222"/>
      <c r="BG348" s="222"/>
      <c r="BH348" s="222"/>
      <c r="BI348" s="222"/>
      <c r="BJ348" s="222"/>
      <c r="BK348" s="222"/>
      <c r="BL348" s="186"/>
      <c r="BM348" s="186"/>
      <c r="BN348" s="186"/>
      <c r="BO348" s="186"/>
      <c r="BP348" s="186"/>
      <c r="BQ348" s="186"/>
      <c r="BR348" s="186"/>
      <c r="BS348" s="186"/>
      <c r="BT348" s="186"/>
      <c r="BU348" s="186"/>
      <c r="BV348" s="186"/>
      <c r="BW348" s="186"/>
      <c r="BX348" s="186"/>
    </row>
    <row r="349" ht="15.75" customHeight="1">
      <c r="A349" s="1125" t="s">
        <v>6303</v>
      </c>
      <c r="B349" s="1126" t="s">
        <v>6304</v>
      </c>
      <c r="C349" s="741" t="s">
        <v>6306</v>
      </c>
      <c r="D349" s="219"/>
      <c r="E349" s="222"/>
      <c r="F349" s="132" t="s">
        <v>6306</v>
      </c>
      <c r="G349" s="222"/>
      <c r="H349" s="222"/>
      <c r="I349" s="748"/>
      <c r="J349" s="222"/>
      <c r="K349" s="222"/>
      <c r="L349" s="222"/>
      <c r="M349" s="219"/>
      <c r="N349" s="222"/>
      <c r="O349" s="222"/>
      <c r="P349" s="222"/>
      <c r="Q349" s="222"/>
      <c r="R349" s="746"/>
      <c r="S349" s="222"/>
      <c r="T349" s="222"/>
      <c r="U349" s="222"/>
      <c r="V349" s="222"/>
      <c r="W349" s="222"/>
      <c r="X349" s="222"/>
      <c r="Y349" s="186"/>
      <c r="Z349" s="222"/>
      <c r="AA349" s="222"/>
      <c r="AB349" s="222"/>
      <c r="AC349" s="222"/>
      <c r="AD349" s="222"/>
      <c r="AE349" s="186"/>
      <c r="AF349" s="222"/>
      <c r="AG349" s="222"/>
      <c r="AH349" s="222"/>
      <c r="AI349" s="222"/>
      <c r="AJ349" s="222"/>
      <c r="AK349" s="222"/>
      <c r="AL349" s="222"/>
      <c r="AM349" s="222"/>
      <c r="AN349" s="222"/>
      <c r="AO349" s="748"/>
      <c r="AP349" s="222"/>
      <c r="AQ349" s="222"/>
      <c r="AR349" s="186"/>
      <c r="AS349" s="222"/>
      <c r="AT349" s="222"/>
      <c r="AU349" s="222"/>
      <c r="AV349" s="748"/>
      <c r="AW349" s="222"/>
      <c r="AX349" s="186"/>
      <c r="AY349" s="222"/>
      <c r="AZ349" s="222"/>
      <c r="BA349" s="222"/>
      <c r="BB349" s="222"/>
      <c r="BC349" s="222"/>
      <c r="BD349" s="222"/>
      <c r="BE349" s="186"/>
      <c r="BF349" s="222"/>
      <c r="BG349" s="222"/>
      <c r="BH349" s="222"/>
      <c r="BI349" s="222"/>
      <c r="BJ349" s="222"/>
      <c r="BK349" s="222"/>
      <c r="BL349" s="186"/>
      <c r="BM349" s="186"/>
      <c r="BN349" s="186"/>
      <c r="BO349" s="186"/>
      <c r="BP349" s="186"/>
      <c r="BQ349" s="186"/>
      <c r="BR349" s="186"/>
      <c r="BS349" s="186"/>
      <c r="BT349" s="186"/>
      <c r="BU349" s="186"/>
      <c r="BV349" s="186"/>
      <c r="BW349" s="186"/>
      <c r="BX349" s="186"/>
    </row>
    <row r="350" ht="15.75" customHeight="1">
      <c r="A350" s="550"/>
      <c r="B350" s="1149" t="s">
        <v>6314</v>
      </c>
      <c r="C350" s="119" t="s">
        <v>6315</v>
      </c>
      <c r="D350" s="598" t="s">
        <v>6318</v>
      </c>
      <c r="E350" s="222" t="s">
        <v>4314</v>
      </c>
      <c r="F350" s="132" t="s">
        <v>6325</v>
      </c>
      <c r="G350" s="222"/>
      <c r="H350" s="222"/>
      <c r="I350" s="748"/>
      <c r="J350" s="222"/>
      <c r="K350" s="132" t="s">
        <v>6328</v>
      </c>
      <c r="L350" s="222"/>
      <c r="M350" s="1127"/>
      <c r="N350" s="222"/>
      <c r="O350" s="222"/>
      <c r="P350" s="222"/>
      <c r="Q350" s="222"/>
      <c r="R350" s="746"/>
      <c r="S350" s="222"/>
      <c r="T350" s="222"/>
      <c r="U350" s="222"/>
      <c r="V350" s="222"/>
      <c r="W350" s="222"/>
      <c r="X350" s="222"/>
      <c r="Y350" s="1129"/>
      <c r="Z350" s="222"/>
      <c r="AA350" s="222"/>
      <c r="AB350" s="222"/>
      <c r="AC350" s="222"/>
      <c r="AD350" s="222"/>
      <c r="AE350" s="1129"/>
      <c r="AF350" s="222"/>
      <c r="AG350" s="222"/>
      <c r="AH350" s="222"/>
      <c r="AI350" s="222"/>
      <c r="AJ350" s="222"/>
      <c r="AK350" s="222"/>
      <c r="AL350" s="222"/>
      <c r="AM350" s="222"/>
      <c r="AN350" s="222"/>
      <c r="AO350" s="748"/>
      <c r="AP350" s="222"/>
      <c r="AQ350" s="222"/>
      <c r="AR350" s="1129"/>
      <c r="AS350" s="222"/>
      <c r="AT350" s="222"/>
      <c r="AU350" s="222"/>
      <c r="AW350" s="222"/>
      <c r="AX350" s="1129"/>
      <c r="AY350" s="222"/>
      <c r="AZ350" s="222"/>
      <c r="BA350" s="222"/>
      <c r="BB350" s="222"/>
      <c r="BC350" s="222"/>
      <c r="BD350" s="222"/>
      <c r="BE350" s="1129"/>
      <c r="BF350" s="222"/>
      <c r="BG350" s="222"/>
      <c r="BH350" s="222"/>
      <c r="BI350" s="222"/>
      <c r="BJ350" s="222"/>
      <c r="BK350" s="222"/>
      <c r="BL350" s="1129"/>
      <c r="BM350" s="1129"/>
      <c r="BN350" s="1129"/>
      <c r="BO350" s="1129"/>
      <c r="BP350" s="1129"/>
      <c r="BQ350" s="1129"/>
      <c r="BR350" s="1129"/>
      <c r="BS350" s="1129"/>
      <c r="BT350" s="1129"/>
      <c r="BU350" s="1129"/>
      <c r="BV350" s="1129"/>
      <c r="BW350" s="1129"/>
      <c r="BX350" s="1129"/>
    </row>
    <row r="351" ht="15.75" customHeight="1">
      <c r="A351" s="554"/>
      <c r="B351" s="561" t="s">
        <v>6349</v>
      </c>
      <c r="C351" s="119" t="s">
        <v>6350</v>
      </c>
      <c r="D351" s="182" t="s">
        <v>4056</v>
      </c>
      <c r="E351" s="222"/>
      <c r="F351" s="222"/>
      <c r="G351" s="222" t="s">
        <v>6367</v>
      </c>
      <c r="H351" s="222"/>
      <c r="I351" s="748"/>
      <c r="J351" s="222"/>
      <c r="K351" s="222"/>
      <c r="L351" s="222"/>
      <c r="M351" s="219"/>
      <c r="N351" s="222"/>
      <c r="O351" s="222"/>
      <c r="P351" s="222"/>
      <c r="Q351" s="222"/>
      <c r="R351" s="746"/>
      <c r="S351" s="222"/>
      <c r="T351" s="222"/>
      <c r="U351" s="222"/>
      <c r="V351" s="222"/>
      <c r="W351" s="222"/>
      <c r="X351" s="222"/>
      <c r="Y351" s="186"/>
      <c r="Z351" s="222"/>
      <c r="AA351" s="222"/>
      <c r="AB351" s="222"/>
      <c r="AC351" s="222"/>
      <c r="AD351" s="222"/>
      <c r="AE351" s="186"/>
      <c r="AF351" s="222"/>
      <c r="AG351" s="222"/>
      <c r="AH351" s="222"/>
      <c r="AI351" s="222"/>
      <c r="AJ351" s="222"/>
      <c r="AK351" s="222"/>
      <c r="AL351" s="222"/>
      <c r="AM351" s="222"/>
      <c r="AN351" s="222"/>
      <c r="AO351" s="748"/>
      <c r="AP351" s="222"/>
      <c r="AQ351" s="222"/>
      <c r="AR351" s="186"/>
      <c r="AS351" s="222"/>
      <c r="AT351" s="222"/>
      <c r="AU351" s="222"/>
      <c r="AV351" s="385" t="s">
        <v>6350</v>
      </c>
      <c r="AW351" s="222"/>
      <c r="AX351" s="186"/>
      <c r="AY351" s="222"/>
      <c r="AZ351" s="222"/>
      <c r="BA351" s="222"/>
      <c r="BB351" s="222"/>
      <c r="BC351" s="222"/>
      <c r="BD351" s="222"/>
      <c r="BE351" s="186"/>
      <c r="BF351" s="222"/>
      <c r="BG351" s="222"/>
      <c r="BH351" s="222"/>
      <c r="BI351" s="222"/>
      <c r="BJ351" s="222"/>
      <c r="BK351" s="222"/>
      <c r="BL351" s="186"/>
      <c r="BM351" s="186"/>
      <c r="BN351" s="186"/>
      <c r="BO351" s="186"/>
      <c r="BP351" s="186"/>
      <c r="BQ351" s="186"/>
      <c r="BR351" s="186"/>
      <c r="BS351" s="186"/>
      <c r="BT351" s="186"/>
      <c r="BU351" s="186"/>
      <c r="BV351" s="186"/>
      <c r="BW351" s="186"/>
      <c r="BX351" s="186"/>
    </row>
    <row r="352" ht="15.75" customHeight="1">
      <c r="A352" s="1125" t="s">
        <v>6389</v>
      </c>
      <c r="B352" s="1126" t="s">
        <v>187</v>
      </c>
      <c r="C352" s="1275"/>
      <c r="D352" s="569"/>
      <c r="E352" s="222"/>
      <c r="F352" s="222"/>
      <c r="G352" s="222"/>
      <c r="H352" s="222"/>
      <c r="I352" s="748"/>
      <c r="J352" s="222"/>
      <c r="K352" s="222"/>
      <c r="L352" s="222"/>
      <c r="M352" s="219"/>
      <c r="N352" s="222"/>
      <c r="O352" s="222"/>
      <c r="P352" s="222"/>
      <c r="Q352" s="222"/>
      <c r="R352" s="746"/>
      <c r="S352" s="222"/>
      <c r="T352" s="222"/>
      <c r="U352" s="222"/>
      <c r="V352" s="222"/>
      <c r="W352" s="222"/>
      <c r="X352" s="222"/>
      <c r="Y352" s="186"/>
      <c r="Z352" s="222"/>
      <c r="AA352" s="222"/>
      <c r="AB352" s="222"/>
      <c r="AC352" s="222"/>
      <c r="AD352" s="222"/>
      <c r="AE352" s="186"/>
      <c r="AF352" s="222"/>
      <c r="AG352" s="222"/>
      <c r="AH352" s="222"/>
      <c r="AI352" s="222"/>
      <c r="AJ352" s="222"/>
      <c r="AK352" s="222"/>
      <c r="AL352" s="222"/>
      <c r="AM352" s="222"/>
      <c r="AN352" s="222"/>
      <c r="AO352" s="748"/>
      <c r="AP352" s="222"/>
      <c r="AQ352" s="222"/>
      <c r="AR352" s="186"/>
      <c r="AS352" s="222"/>
      <c r="AT352" s="222"/>
      <c r="AU352" s="222"/>
      <c r="AV352" s="1278"/>
      <c r="AW352" s="222"/>
      <c r="AX352" s="186"/>
      <c r="AY352" s="222"/>
      <c r="AZ352" s="222"/>
      <c r="BA352" s="222"/>
      <c r="BB352" s="222"/>
      <c r="BC352" s="222"/>
      <c r="BD352" s="222"/>
      <c r="BE352" s="186"/>
      <c r="BF352" s="222"/>
      <c r="BG352" s="222"/>
      <c r="BH352" s="222"/>
      <c r="BI352" s="222"/>
      <c r="BJ352" s="222"/>
      <c r="BK352" s="222"/>
      <c r="BL352" s="186"/>
      <c r="BM352" s="186"/>
      <c r="BN352" s="186"/>
      <c r="BO352" s="186"/>
      <c r="BP352" s="186"/>
      <c r="BQ352" s="186"/>
      <c r="BR352" s="186"/>
      <c r="BS352" s="186"/>
      <c r="BT352" s="186"/>
      <c r="BU352" s="186"/>
      <c r="BV352" s="186"/>
      <c r="BW352" s="186"/>
      <c r="BX352" s="186"/>
    </row>
    <row r="353" ht="15.75" customHeight="1">
      <c r="A353" s="1125" t="s">
        <v>6408</v>
      </c>
      <c r="B353" s="1179" t="s">
        <v>6410</v>
      </c>
      <c r="C353" s="119" t="s">
        <v>6411</v>
      </c>
      <c r="D353" s="548" t="s">
        <v>5044</v>
      </c>
      <c r="E353" s="1280"/>
      <c r="F353" s="1280"/>
      <c r="G353" s="132" t="s">
        <v>6411</v>
      </c>
      <c r="H353" s="222"/>
      <c r="I353" s="748"/>
      <c r="J353" s="1280"/>
      <c r="K353" s="132" t="s">
        <v>5296</v>
      </c>
      <c r="L353" s="1280"/>
      <c r="M353" s="1241" t="s">
        <v>6428</v>
      </c>
      <c r="N353" s="1280"/>
      <c r="O353" s="1280"/>
      <c r="P353" s="1280"/>
      <c r="Q353" s="1280"/>
      <c r="R353" s="746"/>
      <c r="S353" s="1280"/>
      <c r="T353" s="1280"/>
      <c r="U353" s="1280"/>
      <c r="V353" s="1280"/>
      <c r="W353" s="1280"/>
      <c r="X353" s="1280"/>
      <c r="Y353" s="1129"/>
      <c r="Z353" s="1280"/>
      <c r="AA353" s="1280"/>
      <c r="AB353" s="132" t="s">
        <v>6440</v>
      </c>
      <c r="AC353" s="1280"/>
      <c r="AD353" s="1280"/>
      <c r="AE353" s="1129"/>
      <c r="AF353" s="1280"/>
      <c r="AG353" s="1280"/>
      <c r="AH353" s="1280"/>
      <c r="AI353" s="1280"/>
      <c r="AJ353" s="1280"/>
      <c r="AK353" s="1280"/>
      <c r="AL353" s="1280"/>
      <c r="AM353" s="1280"/>
      <c r="AN353" s="1280"/>
      <c r="AO353" s="748"/>
      <c r="AP353" s="1280"/>
      <c r="AQ353" s="1280"/>
      <c r="AR353" s="1129"/>
      <c r="AS353" s="1280"/>
      <c r="AT353" s="1280"/>
      <c r="AU353" s="1280"/>
      <c r="AV353" s="748"/>
      <c r="AW353" s="1280"/>
      <c r="AX353" s="1129"/>
      <c r="AY353" s="1280"/>
      <c r="AZ353" s="1280"/>
      <c r="BA353" s="1280"/>
      <c r="BB353" s="1280"/>
      <c r="BC353" s="1280"/>
      <c r="BD353" s="1280"/>
      <c r="BE353" s="1129"/>
      <c r="BF353" s="1280"/>
      <c r="BG353" s="1280"/>
      <c r="BH353" s="1280"/>
      <c r="BI353" s="1280"/>
      <c r="BJ353" s="1280"/>
      <c r="BK353" s="1280"/>
      <c r="BL353" s="1129"/>
      <c r="BM353" s="1129"/>
      <c r="BN353" s="1129"/>
      <c r="BO353" s="1129"/>
      <c r="BP353" s="1129"/>
      <c r="BQ353" s="1129"/>
      <c r="BR353" s="1129"/>
      <c r="BS353" s="1129"/>
      <c r="BT353" s="1129"/>
      <c r="BU353" s="1129"/>
      <c r="BV353" s="1129"/>
      <c r="BW353" s="1129"/>
      <c r="BX353" s="1129"/>
    </row>
    <row r="354" ht="15.75" customHeight="1">
      <c r="A354" s="550"/>
      <c r="B354" s="646" t="s">
        <v>6462</v>
      </c>
      <c r="C354" s="741" t="s">
        <v>2393</v>
      </c>
      <c r="D354" s="443" t="s">
        <v>4110</v>
      </c>
      <c r="E354" s="222"/>
      <c r="F354" s="132" t="s">
        <v>6482</v>
      </c>
      <c r="G354" s="222"/>
      <c r="H354" s="222"/>
      <c r="I354" s="748"/>
      <c r="J354" s="222"/>
      <c r="K354" s="222"/>
      <c r="L354" s="222"/>
      <c r="M354" s="219"/>
      <c r="N354" s="222"/>
      <c r="O354" s="222"/>
      <c r="P354" s="222"/>
      <c r="Q354" s="222"/>
      <c r="R354" s="746"/>
      <c r="S354" s="222"/>
      <c r="T354" s="132" t="s">
        <v>2901</v>
      </c>
      <c r="U354" s="132" t="s">
        <v>3832</v>
      </c>
      <c r="V354" s="222"/>
      <c r="W354" s="222"/>
      <c r="X354" s="222"/>
      <c r="Y354" s="186"/>
      <c r="Z354" s="222"/>
      <c r="AA354" s="222"/>
      <c r="AB354" s="132" t="s">
        <v>2393</v>
      </c>
      <c r="AC354" s="222"/>
      <c r="AD354" s="222"/>
      <c r="AE354" s="186"/>
      <c r="AF354" s="222"/>
      <c r="AG354" s="222"/>
      <c r="AH354" s="222"/>
      <c r="AI354" s="222"/>
      <c r="AJ354" s="222"/>
      <c r="AK354" s="222"/>
      <c r="AL354" s="222"/>
      <c r="AM354" s="222"/>
      <c r="AN354" s="222"/>
      <c r="AO354" s="748"/>
      <c r="AP354" s="222"/>
      <c r="AQ354" s="222"/>
      <c r="AR354" s="186"/>
      <c r="AS354" s="222"/>
      <c r="AT354" s="222"/>
      <c r="AU354" s="222"/>
      <c r="AV354" s="748"/>
      <c r="AW354" s="222"/>
      <c r="AX354" s="186"/>
      <c r="AY354" s="222"/>
      <c r="AZ354" s="222"/>
      <c r="BA354" s="222"/>
      <c r="BB354" s="222"/>
      <c r="BC354" s="222"/>
      <c r="BD354" s="222"/>
      <c r="BE354" s="186"/>
      <c r="BF354" s="222"/>
      <c r="BG354" s="222"/>
      <c r="BH354" s="222"/>
      <c r="BI354" s="222"/>
      <c r="BJ354" s="222"/>
      <c r="BK354" s="222"/>
      <c r="BL354" s="186"/>
      <c r="BM354" s="186"/>
      <c r="BN354" s="186"/>
      <c r="BO354" s="186"/>
      <c r="BP354" s="186"/>
      <c r="BQ354" s="186"/>
      <c r="BR354" s="186"/>
      <c r="BS354" s="186"/>
      <c r="BT354" s="186"/>
      <c r="BU354" s="186"/>
      <c r="BV354" s="186"/>
      <c r="BW354" s="186"/>
      <c r="BX354" s="186"/>
    </row>
    <row r="355" ht="15.75" customHeight="1">
      <c r="A355" s="1125" t="s">
        <v>6495</v>
      </c>
      <c r="B355" s="1126" t="s">
        <v>6160</v>
      </c>
      <c r="C355" s="119" t="s">
        <v>6496</v>
      </c>
      <c r="D355" s="548" t="s">
        <v>6496</v>
      </c>
      <c r="E355" s="839"/>
      <c r="F355" s="839"/>
      <c r="G355" s="132" t="s">
        <v>6496</v>
      </c>
      <c r="H355" s="222"/>
      <c r="I355" s="748"/>
      <c r="J355" s="839"/>
      <c r="K355" s="839"/>
      <c r="L355" s="839"/>
      <c r="M355" s="1127"/>
      <c r="N355" s="839"/>
      <c r="O355" s="222"/>
      <c r="P355" s="839"/>
      <c r="Q355" s="839"/>
      <c r="R355" s="746"/>
      <c r="S355" s="839"/>
      <c r="T355" s="839"/>
      <c r="U355" s="839"/>
      <c r="V355" s="839"/>
      <c r="W355" s="839"/>
      <c r="X355" s="839"/>
      <c r="Y355" s="1129"/>
      <c r="Z355" s="839"/>
      <c r="AA355" s="839"/>
      <c r="AB355" s="839"/>
      <c r="AC355" s="839"/>
      <c r="AD355" s="839"/>
      <c r="AE355" s="1129"/>
      <c r="AF355" s="839"/>
      <c r="AG355" s="839"/>
      <c r="AH355" s="839"/>
      <c r="AI355" s="839"/>
      <c r="AJ355" s="839"/>
      <c r="AK355" s="839"/>
      <c r="AL355" s="839"/>
      <c r="AM355" s="839"/>
      <c r="AN355" s="839"/>
      <c r="AO355" s="748"/>
      <c r="AP355" s="839"/>
      <c r="AQ355" s="839"/>
      <c r="AR355" s="1129"/>
      <c r="AS355" s="839"/>
      <c r="AT355" s="839"/>
      <c r="AU355" s="839"/>
      <c r="AV355" s="748"/>
      <c r="AW355" s="839"/>
      <c r="AX355" s="1129"/>
      <c r="AY355" s="839"/>
      <c r="AZ355" s="839"/>
      <c r="BA355" s="839"/>
      <c r="BB355" s="839"/>
      <c r="BC355" s="839"/>
      <c r="BD355" s="839"/>
      <c r="BE355" s="1129"/>
      <c r="BF355" s="839"/>
      <c r="BG355" s="839"/>
      <c r="BH355" s="839"/>
      <c r="BI355" s="839"/>
      <c r="BJ355" s="839"/>
      <c r="BK355" s="839"/>
      <c r="BL355" s="1129"/>
      <c r="BM355" s="1129"/>
      <c r="BN355" s="1129"/>
      <c r="BO355" s="1129"/>
      <c r="BP355" s="1129"/>
      <c r="BQ355" s="1129"/>
      <c r="BR355" s="1129"/>
      <c r="BS355" s="1129"/>
      <c r="BT355" s="1129"/>
      <c r="BU355" s="1129"/>
      <c r="BV355" s="1129"/>
      <c r="BW355" s="1129"/>
      <c r="BX355" s="1129"/>
    </row>
    <row r="356" ht="15.75" customHeight="1">
      <c r="A356" s="550"/>
      <c r="B356" s="1149" t="s">
        <v>6511</v>
      </c>
      <c r="C356" s="591" t="s">
        <v>6512</v>
      </c>
      <c r="D356" s="548" t="s">
        <v>6512</v>
      </c>
      <c r="E356" s="839"/>
      <c r="F356" s="839"/>
      <c r="G356" s="222" t="s">
        <v>6496</v>
      </c>
      <c r="H356" s="222"/>
      <c r="I356" s="748"/>
      <c r="J356" s="839"/>
      <c r="K356" s="839"/>
      <c r="L356" s="839"/>
      <c r="M356" s="1127"/>
      <c r="N356" s="839"/>
      <c r="O356" s="222"/>
      <c r="P356" s="839"/>
      <c r="Q356" s="839"/>
      <c r="R356" s="746"/>
      <c r="S356" s="839"/>
      <c r="T356" s="839"/>
      <c r="U356" s="839"/>
      <c r="V356" s="839"/>
      <c r="W356" s="839"/>
      <c r="X356" s="839"/>
      <c r="Y356" s="1129"/>
      <c r="Z356" s="839"/>
      <c r="AA356" s="839"/>
      <c r="AB356" s="839"/>
      <c r="AC356" s="839"/>
      <c r="AD356" s="839"/>
      <c r="AE356" s="1129"/>
      <c r="AF356" s="839"/>
      <c r="AG356" s="839"/>
      <c r="AH356" s="839"/>
      <c r="AI356" s="839"/>
      <c r="AJ356" s="839"/>
      <c r="AK356" s="839"/>
      <c r="AL356" s="839"/>
      <c r="AM356" s="839"/>
      <c r="AN356" s="839"/>
      <c r="AO356" s="748"/>
      <c r="AP356" s="839"/>
      <c r="AQ356" s="839"/>
      <c r="AR356" s="1129"/>
      <c r="AS356" s="839"/>
      <c r="AT356" s="839"/>
      <c r="AU356" s="839"/>
      <c r="AV356" s="748"/>
      <c r="AW356" s="839"/>
      <c r="AX356" s="1129"/>
      <c r="AY356" s="839"/>
      <c r="AZ356" s="839"/>
      <c r="BA356" s="839"/>
      <c r="BB356" s="839"/>
      <c r="BC356" s="839"/>
      <c r="BD356" s="839"/>
      <c r="BE356" s="1129"/>
      <c r="BF356" s="839"/>
      <c r="BG356" s="839"/>
      <c r="BH356" s="839"/>
      <c r="BI356" s="839"/>
      <c r="BJ356" s="839"/>
      <c r="BK356" s="839"/>
      <c r="BL356" s="1129"/>
      <c r="BM356" s="1129"/>
      <c r="BN356" s="1129"/>
      <c r="BO356" s="1129"/>
      <c r="BP356" s="1129"/>
      <c r="BQ356" s="1129"/>
      <c r="BR356" s="1129"/>
      <c r="BS356" s="1129"/>
      <c r="BT356" s="1129"/>
      <c r="BU356" s="1129"/>
      <c r="BV356" s="1129"/>
      <c r="BW356" s="1129"/>
      <c r="BX356" s="1129"/>
    </row>
    <row r="357" ht="15.75" customHeight="1">
      <c r="A357" s="550"/>
      <c r="B357" s="1149" t="s">
        <v>6172</v>
      </c>
      <c r="C357" s="279" t="s">
        <v>6538</v>
      </c>
      <c r="D357" s="182" t="s">
        <v>6538</v>
      </c>
      <c r="E357" s="839"/>
      <c r="F357" s="839"/>
      <c r="G357" s="222" t="s">
        <v>6544</v>
      </c>
      <c r="H357" s="222"/>
      <c r="I357" s="748"/>
      <c r="J357" s="839"/>
      <c r="K357" s="839"/>
      <c r="L357" s="839"/>
      <c r="M357" s="1127"/>
      <c r="N357" s="839"/>
      <c r="O357" s="222"/>
      <c r="P357" s="839"/>
      <c r="Q357" s="839"/>
      <c r="R357" s="746"/>
      <c r="S357" s="839"/>
      <c r="T357" s="839"/>
      <c r="U357" s="839"/>
      <c r="V357" s="839"/>
      <c r="W357" s="839"/>
      <c r="X357" s="839"/>
      <c r="Y357" s="1129"/>
      <c r="Z357" s="839"/>
      <c r="AA357" s="839"/>
      <c r="AB357" s="839"/>
      <c r="AC357" s="839"/>
      <c r="AD357" s="839"/>
      <c r="AE357" s="1129"/>
      <c r="AF357" s="839"/>
      <c r="AG357" s="839"/>
      <c r="AH357" s="839"/>
      <c r="AI357" s="839"/>
      <c r="AJ357" s="839"/>
      <c r="AK357" s="839"/>
      <c r="AL357" s="839"/>
      <c r="AM357" s="839"/>
      <c r="AN357" s="839"/>
      <c r="AO357" s="748"/>
      <c r="AP357" s="839"/>
      <c r="AQ357" s="839"/>
      <c r="AR357" s="1129"/>
      <c r="AS357" s="839"/>
      <c r="AT357" s="839"/>
      <c r="AU357" s="839"/>
      <c r="AV357" s="748"/>
      <c r="AW357" s="839"/>
      <c r="AX357" s="1129"/>
      <c r="AY357" s="839"/>
      <c r="AZ357" s="839"/>
      <c r="BA357" s="839"/>
      <c r="BB357" s="839"/>
      <c r="BC357" s="839"/>
      <c r="BD357" s="839"/>
      <c r="BE357" s="1129"/>
      <c r="BF357" s="839"/>
      <c r="BG357" s="839"/>
      <c r="BH357" s="839"/>
      <c r="BI357" s="839"/>
      <c r="BJ357" s="839"/>
      <c r="BK357" s="839"/>
      <c r="BL357" s="1129"/>
      <c r="BM357" s="1129"/>
      <c r="BN357" s="1129"/>
      <c r="BO357" s="1129"/>
      <c r="BP357" s="1129"/>
      <c r="BQ357" s="1129"/>
      <c r="BR357" s="1129"/>
      <c r="BS357" s="1129"/>
      <c r="BT357" s="1129"/>
      <c r="BU357" s="1129"/>
      <c r="BV357" s="1129"/>
      <c r="BW357" s="1129"/>
      <c r="BX357" s="1129"/>
    </row>
    <row r="358" ht="15.75" customHeight="1">
      <c r="A358" s="1125" t="s">
        <v>6561</v>
      </c>
      <c r="B358" s="1126" t="s">
        <v>187</v>
      </c>
      <c r="C358" s="741" t="s">
        <v>6564</v>
      </c>
      <c r="D358" s="548" t="s">
        <v>6577</v>
      </c>
      <c r="E358" s="839"/>
      <c r="F358" s="839"/>
      <c r="G358" s="132" t="s">
        <v>6564</v>
      </c>
      <c r="H358" s="222"/>
      <c r="I358" s="748"/>
      <c r="J358" s="839"/>
      <c r="K358" s="839"/>
      <c r="L358" s="839"/>
      <c r="M358" s="1127"/>
      <c r="N358" s="839"/>
      <c r="O358" s="132" t="s">
        <v>6577</v>
      </c>
      <c r="P358" s="839"/>
      <c r="Q358" s="839"/>
      <c r="R358" s="746"/>
      <c r="S358" s="839"/>
      <c r="T358" s="839"/>
      <c r="U358" s="839"/>
      <c r="V358" s="839"/>
      <c r="W358" s="839"/>
      <c r="X358" s="839"/>
      <c r="Y358" s="1129"/>
      <c r="Z358" s="839"/>
      <c r="AA358" s="839"/>
      <c r="AB358" s="839"/>
      <c r="AC358" s="839"/>
      <c r="AD358" s="839"/>
      <c r="AE358" s="1129"/>
      <c r="AF358" s="839"/>
      <c r="AG358" s="839"/>
      <c r="AH358" s="839"/>
      <c r="AI358" s="839"/>
      <c r="AJ358" s="839"/>
      <c r="AK358" s="839"/>
      <c r="AL358" s="839"/>
      <c r="AM358" s="839"/>
      <c r="AN358" s="839"/>
      <c r="AO358" s="748"/>
      <c r="AP358" s="839"/>
      <c r="AQ358" s="839"/>
      <c r="AR358" s="1129"/>
      <c r="AS358" s="839"/>
      <c r="AT358" s="839"/>
      <c r="AU358" s="839"/>
      <c r="AV358" s="748"/>
      <c r="AW358" s="839"/>
      <c r="AX358" s="1129"/>
      <c r="AY358" s="839"/>
      <c r="AZ358" s="839"/>
      <c r="BA358" s="839"/>
      <c r="BB358" s="839"/>
      <c r="BC358" s="839"/>
      <c r="BD358" s="839"/>
      <c r="BE358" s="1129"/>
      <c r="BF358" s="839"/>
      <c r="BG358" s="839"/>
      <c r="BH358" s="839"/>
      <c r="BI358" s="839"/>
      <c r="BJ358" s="839"/>
      <c r="BK358" s="839"/>
      <c r="BL358" s="1129"/>
      <c r="BM358" s="1129"/>
      <c r="BN358" s="1129"/>
      <c r="BO358" s="1129"/>
      <c r="BP358" s="1129"/>
      <c r="BQ358" s="1129"/>
      <c r="BR358" s="1129"/>
      <c r="BS358" s="1129"/>
      <c r="BT358" s="1129"/>
      <c r="BU358" s="1129"/>
      <c r="BV358" s="1129"/>
      <c r="BW358" s="1129"/>
      <c r="BX358" s="1129"/>
    </row>
    <row r="359" ht="15.75" customHeight="1">
      <c r="A359" s="1125" t="s">
        <v>6610</v>
      </c>
      <c r="B359" s="1126" t="s">
        <v>6611</v>
      </c>
      <c r="C359" s="741" t="s">
        <v>3395</v>
      </c>
      <c r="D359" s="219"/>
      <c r="E359" s="746"/>
      <c r="F359" s="746"/>
      <c r="G359" s="746"/>
      <c r="H359" s="222"/>
      <c r="I359" s="830"/>
      <c r="J359" s="746"/>
      <c r="K359" s="746"/>
      <c r="L359" s="746"/>
      <c r="M359" s="219"/>
      <c r="N359" s="746"/>
      <c r="O359" s="746"/>
      <c r="P359" s="746"/>
      <c r="Q359" s="746"/>
      <c r="R359" s="746"/>
      <c r="S359" s="746"/>
      <c r="T359" s="746"/>
      <c r="U359" s="746"/>
      <c r="V359" s="746"/>
      <c r="W359" s="746"/>
      <c r="X359" s="746"/>
      <c r="Y359" s="186"/>
      <c r="Z359" s="746"/>
      <c r="AA359" s="746"/>
      <c r="AB359" s="746"/>
      <c r="AC359" s="746"/>
      <c r="AD359" s="746"/>
      <c r="AE359" s="186"/>
      <c r="AF359" s="746"/>
      <c r="AG359" s="1302" t="s">
        <v>3395</v>
      </c>
      <c r="AH359" s="746"/>
      <c r="AI359" s="746"/>
      <c r="AJ359" s="746"/>
      <c r="AK359" s="746"/>
      <c r="AL359" s="746"/>
      <c r="AM359" s="746"/>
      <c r="AN359" s="746"/>
      <c r="AO359" s="830"/>
      <c r="AP359" s="746"/>
      <c r="AQ359" s="746"/>
      <c r="AR359" s="186"/>
      <c r="AS359" s="746"/>
      <c r="AT359" s="746"/>
      <c r="AU359" s="746"/>
      <c r="AV359" s="830"/>
      <c r="AW359" s="746"/>
      <c r="AX359" s="186"/>
      <c r="AY359" s="746"/>
      <c r="AZ359" s="746"/>
      <c r="BA359" s="746"/>
      <c r="BB359" s="746"/>
      <c r="BC359" s="746"/>
      <c r="BD359" s="746"/>
      <c r="BE359" s="186"/>
      <c r="BF359" s="746"/>
      <c r="BG359" s="746"/>
      <c r="BH359" s="746"/>
      <c r="BI359" s="746"/>
      <c r="BJ359" s="746"/>
      <c r="BK359" s="746"/>
      <c r="BL359" s="186"/>
      <c r="BM359" s="186"/>
      <c r="BN359" s="186"/>
      <c r="BO359" s="186"/>
      <c r="BP359" s="186"/>
      <c r="BQ359" s="186"/>
      <c r="BR359" s="186"/>
      <c r="BS359" s="186"/>
      <c r="BT359" s="186"/>
      <c r="BU359" s="186"/>
      <c r="BV359" s="186"/>
      <c r="BW359" s="186"/>
      <c r="BX359" s="186"/>
    </row>
    <row r="360" ht="15.75" customHeight="1">
      <c r="A360" s="596"/>
      <c r="B360" s="1149" t="s">
        <v>6638</v>
      </c>
      <c r="C360" s="741" t="s">
        <v>2774</v>
      </c>
      <c r="D360" s="548" t="s">
        <v>2830</v>
      </c>
      <c r="E360" s="746"/>
      <c r="F360" s="746"/>
      <c r="G360" s="132" t="s">
        <v>2774</v>
      </c>
      <c r="H360" s="222"/>
      <c r="I360" s="830"/>
      <c r="J360" s="746"/>
      <c r="K360" s="746"/>
      <c r="L360" s="746"/>
      <c r="M360" s="219"/>
      <c r="N360" s="746"/>
      <c r="O360" s="746"/>
      <c r="P360" s="746"/>
      <c r="Q360" s="132" t="s">
        <v>1635</v>
      </c>
      <c r="R360" s="746"/>
      <c r="S360" s="746"/>
      <c r="T360" s="746"/>
      <c r="U360" s="746"/>
      <c r="V360" s="746"/>
      <c r="W360" s="746"/>
      <c r="X360" s="746"/>
      <c r="Y360" s="186"/>
      <c r="Z360" s="746"/>
      <c r="AA360" s="746" t="s">
        <v>3850</v>
      </c>
      <c r="AB360" s="1302" t="s">
        <v>6669</v>
      </c>
      <c r="AC360" s="746"/>
      <c r="AD360" s="746"/>
      <c r="AE360" s="186"/>
      <c r="AF360" s="746"/>
      <c r="AG360" s="746"/>
      <c r="AH360" s="746"/>
      <c r="AI360" s="746"/>
      <c r="AJ360" s="746"/>
      <c r="AK360" s="746"/>
      <c r="AL360" s="746"/>
      <c r="AM360" s="746"/>
      <c r="AN360" s="746"/>
      <c r="AO360" s="830"/>
      <c r="AP360" s="746"/>
      <c r="AQ360" s="746"/>
      <c r="AR360" s="186"/>
      <c r="AS360" s="746"/>
      <c r="AT360" s="746"/>
      <c r="AU360" s="746"/>
      <c r="AV360" s="830"/>
      <c r="AW360" s="746"/>
      <c r="AX360" s="186"/>
      <c r="AY360" s="746"/>
      <c r="AZ360" s="746"/>
      <c r="BA360" s="746"/>
      <c r="BB360" s="746"/>
      <c r="BC360" s="746"/>
      <c r="BD360" s="746"/>
      <c r="BE360" s="186"/>
      <c r="BF360" s="746"/>
      <c r="BG360" s="746"/>
      <c r="BH360" s="746"/>
      <c r="BI360" s="746"/>
      <c r="BJ360" s="746"/>
      <c r="BK360" s="746"/>
      <c r="BL360" s="186"/>
      <c r="BM360" s="186"/>
      <c r="BN360" s="186"/>
      <c r="BO360" s="186"/>
      <c r="BP360" s="186"/>
      <c r="BQ360" s="186"/>
      <c r="BR360" s="186"/>
      <c r="BS360" s="186"/>
      <c r="BT360" s="186"/>
      <c r="BU360" s="186"/>
      <c r="BV360" s="186"/>
      <c r="BW360" s="186"/>
      <c r="BX360" s="186"/>
    </row>
    <row r="361" ht="15.75" customHeight="1">
      <c r="A361" s="603"/>
      <c r="B361" s="561" t="s">
        <v>6676</v>
      </c>
      <c r="C361" s="741" t="s">
        <v>2774</v>
      </c>
      <c r="D361" s="219"/>
      <c r="E361" s="222"/>
      <c r="F361" s="132" t="s">
        <v>2774</v>
      </c>
      <c r="G361" s="222" t="s">
        <v>2774</v>
      </c>
      <c r="H361" s="222"/>
      <c r="I361" s="830"/>
      <c r="J361" s="222"/>
      <c r="K361" s="222"/>
      <c r="L361" s="222"/>
      <c r="M361" s="1127"/>
      <c r="N361" s="222"/>
      <c r="O361" s="222"/>
      <c r="P361" s="222"/>
      <c r="Q361" s="222"/>
      <c r="R361" s="746"/>
      <c r="S361" s="222"/>
      <c r="T361" s="222"/>
      <c r="U361" s="222"/>
      <c r="V361" s="222"/>
      <c r="W361" s="222"/>
      <c r="X361" s="222"/>
      <c r="Y361" s="1129"/>
      <c r="Z361" s="222"/>
      <c r="AA361" s="222"/>
      <c r="AB361" s="222"/>
      <c r="AC361" s="222"/>
      <c r="AD361" s="222"/>
      <c r="AE361" s="1129"/>
      <c r="AF361" s="222"/>
      <c r="AG361" s="222"/>
      <c r="AH361" s="222"/>
      <c r="AI361" s="222"/>
      <c r="AJ361" s="222"/>
      <c r="AK361" s="222"/>
      <c r="AL361" s="222"/>
      <c r="AM361" s="222"/>
      <c r="AN361" s="222"/>
      <c r="AO361" s="830"/>
      <c r="AP361" s="222"/>
      <c r="AQ361" s="222"/>
      <c r="AR361" s="1129"/>
      <c r="AS361" s="222"/>
      <c r="AT361" s="222"/>
      <c r="AU361" s="222"/>
      <c r="AV361" s="830"/>
      <c r="AW361" s="222"/>
      <c r="AX361" s="1129"/>
      <c r="AY361" s="222"/>
      <c r="AZ361" s="222"/>
      <c r="BA361" s="222"/>
      <c r="BB361" s="222"/>
      <c r="BC361" s="222"/>
      <c r="BD361" s="222"/>
      <c r="BE361" s="1129"/>
      <c r="BF361" s="222"/>
      <c r="BG361" s="222"/>
      <c r="BH361" s="222"/>
      <c r="BI361" s="222"/>
      <c r="BJ361" s="222"/>
      <c r="BK361" s="222"/>
      <c r="BL361" s="1129"/>
      <c r="BM361" s="1129"/>
      <c r="BN361" s="1129"/>
      <c r="BO361" s="1129"/>
      <c r="BP361" s="1129"/>
      <c r="BQ361" s="1129"/>
      <c r="BR361" s="1129"/>
      <c r="BS361" s="1129"/>
      <c r="BT361" s="1129"/>
      <c r="BU361" s="1129"/>
      <c r="BV361" s="1129"/>
      <c r="BW361" s="1129"/>
      <c r="BX361" s="1129"/>
    </row>
  </sheetData>
  <mergeCells count="11">
    <mergeCell ref="A228:C228"/>
    <mergeCell ref="A268:C268"/>
    <mergeCell ref="A299:C299"/>
    <mergeCell ref="A325:C325"/>
    <mergeCell ref="A1:B1"/>
    <mergeCell ref="A2:B2"/>
    <mergeCell ref="A3:C3"/>
    <mergeCell ref="A54:C54"/>
    <mergeCell ref="A102:C102"/>
    <mergeCell ref="A126:C126"/>
    <mergeCell ref="A180:C180"/>
  </mergeCells>
  <hyperlinks>
    <hyperlink r:id="rId2" ref="C4"/>
    <hyperlink r:id="rId3" ref="D4"/>
    <hyperlink r:id="rId4" ref="F4"/>
    <hyperlink r:id="rId5" ref="G4"/>
    <hyperlink r:id="rId6" ref="H4"/>
    <hyperlink r:id="rId7" ref="K4"/>
    <hyperlink r:id="rId8" ref="N4"/>
    <hyperlink r:id="rId9" ref="Q4"/>
    <hyperlink r:id="rId10" ref="V4"/>
    <hyperlink r:id="rId11" ref="C5"/>
    <hyperlink r:id="rId12" ref="F5"/>
    <hyperlink r:id="rId13" ref="H5"/>
    <hyperlink r:id="rId14" ref="M5"/>
    <hyperlink r:id="rId15" ref="U5"/>
    <hyperlink r:id="rId16" ref="V5"/>
    <hyperlink r:id="rId17" ref="AD5"/>
    <hyperlink r:id="rId18" ref="AH5"/>
    <hyperlink r:id="rId19" ref="AO5"/>
    <hyperlink r:id="rId20" ref="C6"/>
    <hyperlink r:id="rId21" ref="D6"/>
    <hyperlink r:id="rId22" ref="E6"/>
    <hyperlink r:id="rId23" ref="F6"/>
    <hyperlink r:id="rId24" ref="G6"/>
    <hyperlink r:id="rId25" ref="H6"/>
    <hyperlink r:id="rId26" ref="M6"/>
    <hyperlink r:id="rId27" ref="Q6"/>
    <hyperlink r:id="rId28" ref="T6"/>
    <hyperlink r:id="rId29" ref="C7"/>
    <hyperlink r:id="rId30" ref="M7"/>
    <hyperlink r:id="rId31" ref="T7"/>
    <hyperlink r:id="rId32" ref="C8"/>
    <hyperlink r:id="rId33" ref="D8"/>
    <hyperlink r:id="rId34" ref="F8"/>
    <hyperlink r:id="rId35" ref="G8"/>
    <hyperlink r:id="rId36" ref="M8"/>
    <hyperlink r:id="rId37" ref="U8"/>
    <hyperlink r:id="rId38" ref="Y8"/>
    <hyperlink r:id="rId39" ref="AB8"/>
    <hyperlink r:id="rId40" ref="AE8"/>
    <hyperlink r:id="rId41" ref="AI8"/>
    <hyperlink r:id="rId42" ref="C9"/>
    <hyperlink r:id="rId43" ref="H9"/>
    <hyperlink r:id="rId44" ref="M9"/>
    <hyperlink r:id="rId45" ref="Q9"/>
    <hyperlink r:id="rId46" ref="U9"/>
    <hyperlink r:id="rId47" ref="Y9"/>
    <hyperlink r:id="rId48" ref="AG9"/>
    <hyperlink r:id="rId49" ref="C10"/>
    <hyperlink r:id="rId50" ref="M10"/>
    <hyperlink r:id="rId51" ref="BM10"/>
    <hyperlink r:id="rId52" ref="C11"/>
    <hyperlink r:id="rId53" ref="D11"/>
    <hyperlink r:id="rId54" ref="F11"/>
    <hyperlink r:id="rId55" ref="H11"/>
    <hyperlink r:id="rId56" ref="M11"/>
    <hyperlink r:id="rId57" ref="Q11"/>
    <hyperlink r:id="rId58" ref="Y11"/>
    <hyperlink r:id="rId59" ref="AB11"/>
    <hyperlink r:id="rId60" ref="C12"/>
    <hyperlink r:id="rId61" ref="D12"/>
    <hyperlink r:id="rId62" ref="F12"/>
    <hyperlink r:id="rId63" ref="H12"/>
    <hyperlink r:id="rId64" ref="L12"/>
    <hyperlink r:id="rId65" ref="M12"/>
    <hyperlink r:id="rId66" ref="T12"/>
    <hyperlink r:id="rId67" ref="V12"/>
    <hyperlink r:id="rId68" ref="AD12"/>
    <hyperlink r:id="rId69" ref="C13"/>
    <hyperlink r:id="rId70" ref="D13"/>
    <hyperlink r:id="rId71" ref="E13"/>
    <hyperlink r:id="rId72" ref="F13"/>
    <hyperlink r:id="rId73" ref="G13"/>
    <hyperlink r:id="rId74" ref="H13"/>
    <hyperlink r:id="rId75" ref="K13"/>
    <hyperlink r:id="rId76" ref="M13"/>
    <hyperlink r:id="rId77" ref="O13"/>
    <hyperlink r:id="rId78" ref="Q13"/>
    <hyperlink r:id="rId79" ref="V13"/>
    <hyperlink r:id="rId80" ref="AH13"/>
    <hyperlink r:id="rId81" ref="AO13"/>
    <hyperlink r:id="rId82" ref="C14"/>
    <hyperlink r:id="rId83" ref="D14"/>
    <hyperlink r:id="rId84" ref="F14"/>
    <hyperlink r:id="rId85" ref="L14"/>
    <hyperlink r:id="rId86" ref="U14"/>
    <hyperlink r:id="rId87" ref="AD14"/>
    <hyperlink r:id="rId88" ref="AI14"/>
    <hyperlink r:id="rId89" ref="AS14"/>
    <hyperlink r:id="rId90" ref="C15"/>
    <hyperlink r:id="rId91" ref="D15"/>
    <hyperlink r:id="rId92" ref="E15"/>
    <hyperlink r:id="rId93" ref="F15"/>
    <hyperlink r:id="rId94" ref="H15"/>
    <hyperlink r:id="rId95" ref="K15"/>
    <hyperlink r:id="rId96" ref="L15"/>
    <hyperlink r:id="rId97" ref="M15"/>
    <hyperlink r:id="rId98" ref="N15"/>
    <hyperlink r:id="rId99" ref="Q15"/>
    <hyperlink r:id="rId100" ref="V15"/>
    <hyperlink r:id="rId101" ref="AD15"/>
    <hyperlink r:id="rId102" ref="AE15"/>
    <hyperlink r:id="rId103" ref="AH15"/>
    <hyperlink r:id="rId104" ref="AL15"/>
    <hyperlink r:id="rId105" ref="AO15"/>
    <hyperlink r:id="rId106" ref="AP15"/>
    <hyperlink r:id="rId107" ref="C16"/>
    <hyperlink r:id="rId108" ref="D16"/>
    <hyperlink r:id="rId109" ref="M16"/>
    <hyperlink r:id="rId110" ref="O16"/>
    <hyperlink r:id="rId111" ref="V16"/>
    <hyperlink r:id="rId112" ref="C17"/>
    <hyperlink r:id="rId113" ref="D17"/>
    <hyperlink r:id="rId114" ref="F17"/>
    <hyperlink r:id="rId115" ref="H17"/>
    <hyperlink r:id="rId116" ref="K17"/>
    <hyperlink r:id="rId117" ref="M17"/>
    <hyperlink r:id="rId118" ref="Q17"/>
    <hyperlink r:id="rId119" ref="AB17"/>
    <hyperlink r:id="rId120" ref="AJ17"/>
    <hyperlink r:id="rId121" ref="C18"/>
    <hyperlink r:id="rId122" ref="F18"/>
    <hyperlink r:id="rId123" ref="H18"/>
    <hyperlink r:id="rId124" ref="L18"/>
    <hyperlink r:id="rId125" ref="M18"/>
    <hyperlink r:id="rId126" ref="O18"/>
    <hyperlink r:id="rId127" ref="C19"/>
    <hyperlink r:id="rId128" ref="F19"/>
    <hyperlink r:id="rId129" ref="L19"/>
    <hyperlink r:id="rId130" ref="U19"/>
    <hyperlink r:id="rId131" ref="AM19"/>
    <hyperlink r:id="rId132" ref="C20"/>
    <hyperlink r:id="rId133" ref="D20"/>
    <hyperlink r:id="rId134" ref="E20"/>
    <hyperlink r:id="rId135" ref="F20"/>
    <hyperlink r:id="rId136" ref="G20"/>
    <hyperlink r:id="rId137" ref="H20"/>
    <hyperlink r:id="rId138" ref="K20"/>
    <hyperlink r:id="rId139" ref="L20"/>
    <hyperlink r:id="rId140" ref="N20"/>
    <hyperlink r:id="rId141" ref="O20"/>
    <hyperlink r:id="rId142" ref="Q20"/>
    <hyperlink r:id="rId143" ref="T20"/>
    <hyperlink r:id="rId144" ref="V20"/>
    <hyperlink r:id="rId145" ref="Z20"/>
    <hyperlink r:id="rId146" ref="AD20"/>
    <hyperlink r:id="rId147" ref="C21"/>
    <hyperlink r:id="rId148" ref="M21"/>
    <hyperlink r:id="rId149" ref="T21"/>
    <hyperlink r:id="rId150" ref="C22"/>
    <hyperlink r:id="rId151" ref="M22"/>
    <hyperlink r:id="rId152" ref="U22"/>
    <hyperlink r:id="rId153" ref="C23"/>
    <hyperlink r:id="rId154" ref="F23"/>
    <hyperlink r:id="rId155" ref="M23"/>
    <hyperlink r:id="rId156" ref="C24"/>
    <hyperlink r:id="rId157" ref="D24"/>
    <hyperlink r:id="rId158" ref="F24"/>
    <hyperlink r:id="rId159" ref="AB24"/>
    <hyperlink r:id="rId160" ref="AJ24"/>
    <hyperlink r:id="rId161" ref="C25"/>
    <hyperlink r:id="rId162" ref="F25"/>
    <hyperlink r:id="rId163" ref="P25"/>
    <hyperlink r:id="rId164" ref="C26"/>
    <hyperlink r:id="rId165" ref="D26"/>
    <hyperlink r:id="rId166" ref="F26"/>
    <hyperlink r:id="rId167" ref="C27"/>
    <hyperlink r:id="rId168" ref="D27"/>
    <hyperlink r:id="rId169" ref="E27"/>
    <hyperlink r:id="rId170" ref="F27"/>
    <hyperlink r:id="rId171" ref="T27"/>
    <hyperlink r:id="rId172" ref="AO27"/>
    <hyperlink r:id="rId173" ref="C28"/>
    <hyperlink r:id="rId174" ref="D28"/>
    <hyperlink r:id="rId175" ref="F28"/>
    <hyperlink r:id="rId176" ref="H28"/>
    <hyperlink r:id="rId177" ref="K28"/>
    <hyperlink r:id="rId178" ref="Q28"/>
    <hyperlink r:id="rId179" ref="V28"/>
    <hyperlink r:id="rId180" ref="C29"/>
    <hyperlink r:id="rId181" ref="F29"/>
    <hyperlink r:id="rId182" ref="H29"/>
    <hyperlink r:id="rId183" ref="L29"/>
    <hyperlink r:id="rId184" ref="M29"/>
    <hyperlink r:id="rId185" ref="AO29"/>
    <hyperlink r:id="rId186" ref="C30"/>
    <hyperlink r:id="rId187" ref="F30"/>
    <hyperlink r:id="rId188" ref="L30"/>
    <hyperlink r:id="rId189" ref="M30"/>
    <hyperlink r:id="rId190" ref="C31"/>
    <hyperlink r:id="rId191" ref="D31"/>
    <hyperlink r:id="rId192" ref="F31"/>
    <hyperlink r:id="rId193" ref="K31"/>
    <hyperlink r:id="rId194" ref="L31"/>
    <hyperlink r:id="rId195" ref="M31"/>
    <hyperlink r:id="rId196" ref="AD31"/>
    <hyperlink r:id="rId197" ref="C32"/>
    <hyperlink r:id="rId198" ref="F32"/>
    <hyperlink r:id="rId199" ref="H32"/>
    <hyperlink r:id="rId200" ref="K32"/>
    <hyperlink r:id="rId201" ref="L32"/>
    <hyperlink r:id="rId202" ref="M32"/>
    <hyperlink r:id="rId203" ref="O32"/>
    <hyperlink r:id="rId204" ref="C33"/>
    <hyperlink r:id="rId205" ref="F33"/>
    <hyperlink r:id="rId206" ref="L33"/>
    <hyperlink r:id="rId207" ref="C34"/>
    <hyperlink r:id="rId208" ref="F34"/>
    <hyperlink r:id="rId209" ref="L34"/>
    <hyperlink r:id="rId210" ref="O34"/>
    <hyperlink r:id="rId211" ref="C35"/>
    <hyperlink r:id="rId212" ref="F35"/>
    <hyperlink r:id="rId213" ref="K35"/>
    <hyperlink r:id="rId214" ref="L35"/>
    <hyperlink r:id="rId215" ref="M35"/>
    <hyperlink r:id="rId216" ref="U35"/>
    <hyperlink r:id="rId217" ref="C36"/>
    <hyperlink r:id="rId218" ref="F36"/>
    <hyperlink r:id="rId219" ref="K36"/>
    <hyperlink r:id="rId220" ref="L36"/>
    <hyperlink r:id="rId221" ref="O36"/>
    <hyperlink r:id="rId222" ref="C37"/>
    <hyperlink r:id="rId223" ref="D37"/>
    <hyperlink r:id="rId224" ref="E37"/>
    <hyperlink r:id="rId225" ref="F37"/>
    <hyperlink r:id="rId226" ref="K37"/>
    <hyperlink r:id="rId227" ref="L37"/>
    <hyperlink r:id="rId228" ref="O37"/>
    <hyperlink r:id="rId229" ref="T37"/>
    <hyperlink r:id="rId230" ref="AD37"/>
    <hyperlink r:id="rId231" ref="C38"/>
    <hyperlink r:id="rId232" ref="D38"/>
    <hyperlink r:id="rId233" ref="F38"/>
    <hyperlink r:id="rId234" ref="G38"/>
    <hyperlink r:id="rId235" ref="H38"/>
    <hyperlink r:id="rId236" ref="J38"/>
    <hyperlink r:id="rId237" ref="K38"/>
    <hyperlink r:id="rId238" ref="L38"/>
    <hyperlink r:id="rId239" ref="Q38"/>
    <hyperlink r:id="rId240" ref="T38"/>
    <hyperlink r:id="rId241" ref="W38"/>
    <hyperlink r:id="rId242" ref="AP38"/>
    <hyperlink r:id="rId243" ref="C39"/>
    <hyperlink r:id="rId244" ref="D39"/>
    <hyperlink r:id="rId245" ref="F39"/>
    <hyperlink r:id="rId246" ref="H39"/>
    <hyperlink r:id="rId247" ref="L39"/>
    <hyperlink r:id="rId248" ref="M39"/>
    <hyperlink r:id="rId249" ref="AA39"/>
    <hyperlink r:id="rId250" ref="AD39"/>
    <hyperlink r:id="rId251" ref="C40"/>
    <hyperlink r:id="rId252" ref="D40"/>
    <hyperlink r:id="rId253" ref="F40"/>
    <hyperlink r:id="rId254" ref="G40"/>
    <hyperlink r:id="rId255" ref="H40"/>
    <hyperlink r:id="rId256" ref="K40"/>
    <hyperlink r:id="rId257" ref="L40"/>
    <hyperlink r:id="rId258" ref="V40"/>
    <hyperlink r:id="rId259" ref="AB40"/>
    <hyperlink r:id="rId260" ref="BF40"/>
    <hyperlink r:id="rId261" ref="C41"/>
    <hyperlink r:id="rId262" ref="F41"/>
    <hyperlink r:id="rId263" ref="M41"/>
    <hyperlink r:id="rId264" ref="V41"/>
    <hyperlink r:id="rId265" ref="C42"/>
    <hyperlink r:id="rId266" ref="D42"/>
    <hyperlink r:id="rId267" ref="F42"/>
    <hyperlink r:id="rId268" ref="G42"/>
    <hyperlink r:id="rId269" ref="H42"/>
    <hyperlink r:id="rId270" ref="J42"/>
    <hyperlink r:id="rId271" ref="K42"/>
    <hyperlink r:id="rId272" ref="L42"/>
    <hyperlink r:id="rId273" ref="O42"/>
    <hyperlink r:id="rId274" ref="Q42"/>
    <hyperlink r:id="rId275" ref="T42"/>
    <hyperlink r:id="rId276" ref="C43"/>
    <hyperlink r:id="rId277" ref="D43"/>
    <hyperlink r:id="rId278" ref="E43"/>
    <hyperlink r:id="rId279" ref="T43"/>
    <hyperlink r:id="rId280" ref="C44"/>
    <hyperlink r:id="rId281" ref="D44"/>
    <hyperlink r:id="rId282" ref="F44"/>
    <hyperlink r:id="rId283" ref="K44"/>
    <hyperlink r:id="rId284" ref="L44"/>
    <hyperlink r:id="rId285" ref="M44"/>
    <hyperlink r:id="rId286" ref="BG44"/>
    <hyperlink r:id="rId287" ref="C45"/>
    <hyperlink r:id="rId288" ref="D45"/>
    <hyperlink r:id="rId289" ref="C46"/>
    <hyperlink r:id="rId290" ref="E46"/>
    <hyperlink r:id="rId291" ref="F46"/>
    <hyperlink r:id="rId292" ref="J46"/>
    <hyperlink r:id="rId293" ref="L46"/>
    <hyperlink r:id="rId294" ref="V46"/>
    <hyperlink r:id="rId295" ref="C47"/>
    <hyperlink r:id="rId296" ref="J47"/>
    <hyperlink r:id="rId297" ref="C48"/>
    <hyperlink r:id="rId298" ref="J48"/>
    <hyperlink r:id="rId299" ref="C49"/>
    <hyperlink r:id="rId300" ref="E49"/>
    <hyperlink r:id="rId301" ref="J49"/>
    <hyperlink r:id="rId302" ref="K49"/>
    <hyperlink r:id="rId303" ref="C50"/>
    <hyperlink r:id="rId304" ref="D50"/>
    <hyperlink r:id="rId305" ref="AN50"/>
    <hyperlink r:id="rId306" ref="C51"/>
    <hyperlink r:id="rId307" ref="V51"/>
    <hyperlink r:id="rId308" ref="C52"/>
    <hyperlink r:id="rId309" ref="D52"/>
    <hyperlink r:id="rId310" ref="E52"/>
    <hyperlink r:id="rId311" ref="AN52"/>
    <hyperlink r:id="rId312" ref="C53"/>
    <hyperlink r:id="rId313" ref="D53"/>
    <hyperlink r:id="rId314" ref="E53"/>
    <hyperlink r:id="rId315" ref="F53"/>
    <hyperlink r:id="rId316" ref="H53"/>
    <hyperlink r:id="rId317" ref="N53"/>
    <hyperlink r:id="rId318" ref="C55"/>
    <hyperlink r:id="rId319" ref="F55"/>
    <hyperlink r:id="rId320" ref="H55"/>
    <hyperlink r:id="rId321" ref="K55"/>
    <hyperlink r:id="rId322" ref="L55"/>
    <hyperlink r:id="rId323" ref="M55"/>
    <hyperlink r:id="rId324" ref="N55"/>
    <hyperlink r:id="rId325" ref="O55"/>
    <hyperlink r:id="rId326" ref="T55"/>
    <hyperlink r:id="rId327" ref="U55"/>
    <hyperlink r:id="rId328" ref="C56"/>
    <hyperlink r:id="rId329" ref="F56"/>
    <hyperlink r:id="rId330" ref="Q56"/>
    <hyperlink r:id="rId331" ref="C57"/>
    <hyperlink r:id="rId332" ref="T57"/>
    <hyperlink r:id="rId333" ref="C58"/>
    <hyperlink r:id="rId334" ref="D58"/>
    <hyperlink r:id="rId335" ref="E58"/>
    <hyperlink r:id="rId336" ref="G58"/>
    <hyperlink r:id="rId337" ref="H58"/>
    <hyperlink r:id="rId338" ref="C59"/>
    <hyperlink r:id="rId339" ref="D59"/>
    <hyperlink r:id="rId340" ref="C60"/>
    <hyperlink r:id="rId341" ref="C61"/>
    <hyperlink r:id="rId342" ref="I61"/>
    <hyperlink r:id="rId343" ref="C62"/>
    <hyperlink r:id="rId344" ref="G62"/>
    <hyperlink r:id="rId345" ref="C63"/>
    <hyperlink r:id="rId346" ref="D63"/>
    <hyperlink r:id="rId347" ref="G63"/>
    <hyperlink r:id="rId348" ref="H63"/>
    <hyperlink r:id="rId349" ref="Q63"/>
    <hyperlink r:id="rId350" ref="U63"/>
    <hyperlink r:id="rId351" ref="AI63"/>
    <hyperlink r:id="rId352" ref="AJ63"/>
    <hyperlink r:id="rId353" ref="C64"/>
    <hyperlink r:id="rId354" ref="D64"/>
    <hyperlink r:id="rId355" ref="G64"/>
    <hyperlink r:id="rId356" ref="M64"/>
    <hyperlink r:id="rId357" ref="Y64"/>
    <hyperlink r:id="rId358" ref="C65"/>
    <hyperlink r:id="rId359" ref="D65"/>
    <hyperlink r:id="rId360" ref="G65"/>
    <hyperlink r:id="rId361" ref="M65"/>
    <hyperlink r:id="rId362" ref="Y65"/>
    <hyperlink r:id="rId363" ref="C66"/>
    <hyperlink r:id="rId364" ref="D66"/>
    <hyperlink r:id="rId365" ref="M66"/>
    <hyperlink r:id="rId366" ref="AB66"/>
    <hyperlink r:id="rId367" ref="C67"/>
    <hyperlink r:id="rId368" ref="G67"/>
    <hyperlink r:id="rId369" ref="M67"/>
    <hyperlink r:id="rId370" ref="T67"/>
    <hyperlink r:id="rId371" ref="AV67"/>
    <hyperlink r:id="rId372" ref="C68"/>
    <hyperlink r:id="rId373" ref="M68"/>
    <hyperlink r:id="rId374" ref="C69"/>
    <hyperlink r:id="rId375" ref="D69"/>
    <hyperlink r:id="rId376" ref="G69"/>
    <hyperlink r:id="rId377" ref="M69"/>
    <hyperlink r:id="rId378" ref="T69"/>
    <hyperlink r:id="rId379" ref="U69"/>
    <hyperlink r:id="rId380" ref="C70"/>
    <hyperlink r:id="rId381" ref="K70"/>
    <hyperlink r:id="rId382" ref="M70"/>
    <hyperlink r:id="rId383" ref="AV70"/>
    <hyperlink r:id="rId384" ref="BD70"/>
    <hyperlink r:id="rId385" ref="C71"/>
    <hyperlink r:id="rId386" ref="D71"/>
    <hyperlink r:id="rId387" ref="F71"/>
    <hyperlink r:id="rId388" ref="G71"/>
    <hyperlink r:id="rId389" ref="K71"/>
    <hyperlink r:id="rId390" ref="M71"/>
    <hyperlink r:id="rId391" ref="O71"/>
    <hyperlink r:id="rId392" ref="W71"/>
    <hyperlink r:id="rId393" ref="Y71"/>
    <hyperlink r:id="rId394" ref="AI71"/>
    <hyperlink r:id="rId395" ref="AN71"/>
    <hyperlink r:id="rId396" ref="M72"/>
    <hyperlink r:id="rId397" ref="P72"/>
    <hyperlink r:id="rId398" ref="C73"/>
    <hyperlink r:id="rId399" ref="D73"/>
    <hyperlink r:id="rId400" ref="H73"/>
    <hyperlink r:id="rId401" ref="J73"/>
    <hyperlink r:id="rId402" ref="K73"/>
    <hyperlink r:id="rId403" ref="M73"/>
    <hyperlink r:id="rId404" ref="C74"/>
    <hyperlink r:id="rId405" ref="D74"/>
    <hyperlink r:id="rId406" ref="E74"/>
    <hyperlink r:id="rId407" ref="G74"/>
    <hyperlink r:id="rId408" ref="H74"/>
    <hyperlink r:id="rId409" ref="K74"/>
    <hyperlink r:id="rId410" ref="L74"/>
    <hyperlink r:id="rId411" ref="M74"/>
    <hyperlink r:id="rId412" ref="O74"/>
    <hyperlink r:id="rId413" ref="Q74"/>
    <hyperlink r:id="rId414" ref="V74"/>
    <hyperlink r:id="rId415" ref="AD74"/>
    <hyperlink r:id="rId416" ref="AL74"/>
    <hyperlink r:id="rId417" ref="C75"/>
    <hyperlink r:id="rId418" ref="F75"/>
    <hyperlink r:id="rId419" ref="H75"/>
    <hyperlink r:id="rId420" ref="L75"/>
    <hyperlink r:id="rId421" ref="M75"/>
    <hyperlink r:id="rId422" ref="C76"/>
    <hyperlink r:id="rId423" ref="D76"/>
    <hyperlink r:id="rId424" ref="E76"/>
    <hyperlink r:id="rId425" ref="F76"/>
    <hyperlink r:id="rId426" ref="G76"/>
    <hyperlink r:id="rId427" ref="H76"/>
    <hyperlink r:id="rId428" ref="I76"/>
    <hyperlink r:id="rId429" ref="K76"/>
    <hyperlink r:id="rId430" ref="L76"/>
    <hyperlink r:id="rId431" ref="M76"/>
    <hyperlink r:id="rId432" ref="N76"/>
    <hyperlink r:id="rId433" ref="O76"/>
    <hyperlink r:id="rId434" ref="Q76"/>
    <hyperlink r:id="rId435" ref="V76"/>
    <hyperlink r:id="rId436" ref="C77"/>
    <hyperlink r:id="rId437" ref="M77"/>
    <hyperlink r:id="rId438" ref="AV77"/>
    <hyperlink r:id="rId439" ref="C78"/>
    <hyperlink r:id="rId440" ref="T78"/>
    <hyperlink r:id="rId441" ref="BE78"/>
    <hyperlink r:id="rId442" ref="C79"/>
    <hyperlink r:id="rId443" ref="D79"/>
    <hyperlink r:id="rId444" ref="E79"/>
    <hyperlink r:id="rId445" ref="F79"/>
    <hyperlink r:id="rId446" ref="G79"/>
    <hyperlink r:id="rId447" ref="H79"/>
    <hyperlink r:id="rId448" ref="K79"/>
    <hyperlink r:id="rId449" ref="L79"/>
    <hyperlink r:id="rId450" ref="M79"/>
    <hyperlink r:id="rId451" ref="O79"/>
    <hyperlink r:id="rId452" ref="Q79"/>
    <hyperlink r:id="rId453" ref="T79"/>
    <hyperlink r:id="rId454" ref="AP79"/>
    <hyperlink r:id="rId455" ref="BB79"/>
    <hyperlink r:id="rId456" ref="C80"/>
    <hyperlink r:id="rId457" ref="G80"/>
    <hyperlink r:id="rId458" ref="M80"/>
    <hyperlink r:id="rId459" ref="C81"/>
    <hyperlink r:id="rId460" ref="F81"/>
    <hyperlink r:id="rId461" ref="H81"/>
    <hyperlink r:id="rId462" ref="M81"/>
    <hyperlink r:id="rId463" ref="C82"/>
    <hyperlink r:id="rId464" ref="D82"/>
    <hyperlink r:id="rId465" ref="F82"/>
    <hyperlink r:id="rId466" ref="H82"/>
    <hyperlink r:id="rId467" ref="M82"/>
    <hyperlink r:id="rId468" ref="V82"/>
    <hyperlink r:id="rId469" ref="AB82"/>
    <hyperlink r:id="rId470" ref="C83"/>
    <hyperlink r:id="rId471" ref="D83"/>
    <hyperlink r:id="rId472" ref="Q83"/>
    <hyperlink r:id="rId473" ref="Y83"/>
    <hyperlink r:id="rId474" ref="AC83"/>
    <hyperlink r:id="rId475" ref="C84"/>
    <hyperlink r:id="rId476" ref="F84"/>
    <hyperlink r:id="rId477" ref="H84"/>
    <hyperlink r:id="rId478" ref="C85"/>
    <hyperlink r:id="rId479" ref="F85"/>
    <hyperlink r:id="rId480" ref="L85"/>
    <hyperlink r:id="rId481" ref="T85"/>
    <hyperlink r:id="rId482" ref="C86"/>
    <hyperlink r:id="rId483" ref="D86"/>
    <hyperlink r:id="rId484" ref="E86"/>
    <hyperlink r:id="rId485" ref="F86"/>
    <hyperlink r:id="rId486" ref="G86"/>
    <hyperlink r:id="rId487" ref="H86"/>
    <hyperlink r:id="rId488" ref="K86"/>
    <hyperlink r:id="rId489" ref="Q86"/>
    <hyperlink r:id="rId490" ref="W86"/>
    <hyperlink r:id="rId491" ref="C87"/>
    <hyperlink r:id="rId492" ref="D87"/>
    <hyperlink r:id="rId493" ref="C88"/>
    <hyperlink r:id="rId494" ref="F88"/>
    <hyperlink r:id="rId495" ref="H88"/>
    <hyperlink r:id="rId496" ref="AF88"/>
    <hyperlink r:id="rId497" ref="AV88"/>
    <hyperlink r:id="rId498" ref="C89"/>
    <hyperlink r:id="rId499" ref="D89"/>
    <hyperlink r:id="rId500" ref="E89"/>
    <hyperlink r:id="rId501" ref="M89"/>
    <hyperlink r:id="rId502" ref="U89"/>
    <hyperlink r:id="rId503" ref="Z89"/>
    <hyperlink r:id="rId504" ref="AH89"/>
    <hyperlink r:id="rId505" ref="AY89"/>
    <hyperlink r:id="rId506" ref="C90"/>
    <hyperlink r:id="rId507" ref="F90"/>
    <hyperlink r:id="rId508" ref="H90"/>
    <hyperlink r:id="rId509" ref="J90"/>
    <hyperlink r:id="rId510" ref="K90"/>
    <hyperlink r:id="rId511" ref="Q90"/>
    <hyperlink r:id="rId512" ref="R90"/>
    <hyperlink r:id="rId513" ref="AZ90"/>
    <hyperlink r:id="rId514" ref="C91"/>
    <hyperlink r:id="rId515" ref="D91"/>
    <hyperlink r:id="rId516" ref="E91"/>
    <hyperlink r:id="rId517" ref="G91"/>
    <hyperlink r:id="rId518" ref="Y91"/>
    <hyperlink r:id="rId519" ref="C92"/>
    <hyperlink r:id="rId520" ref="D92"/>
    <hyperlink r:id="rId521" ref="E92"/>
    <hyperlink r:id="rId522" ref="G92"/>
    <hyperlink r:id="rId523" ref="T92"/>
    <hyperlink r:id="rId524" ref="Y92"/>
    <hyperlink r:id="rId525" ref="C93"/>
    <hyperlink r:id="rId526" ref="F93"/>
    <hyperlink r:id="rId527" ref="G93"/>
    <hyperlink r:id="rId528" ref="U93"/>
    <hyperlink r:id="rId529" ref="AS93"/>
    <hyperlink r:id="rId530" ref="C94"/>
    <hyperlink r:id="rId531" ref="F94"/>
    <hyperlink r:id="rId532" ref="G94"/>
    <hyperlink r:id="rId533" ref="O94"/>
    <hyperlink r:id="rId534" ref="U94"/>
    <hyperlink r:id="rId535" ref="C95"/>
    <hyperlink r:id="rId536" ref="F95"/>
    <hyperlink r:id="rId537" ref="G95"/>
    <hyperlink r:id="rId538" ref="AM95"/>
    <hyperlink r:id="rId539" ref="C96"/>
    <hyperlink r:id="rId540" ref="E96"/>
    <hyperlink r:id="rId541" ref="F96"/>
    <hyperlink r:id="rId542" ref="G96"/>
    <hyperlink r:id="rId543" ref="H96"/>
    <hyperlink r:id="rId544" ref="K96"/>
    <hyperlink r:id="rId545" ref="O96"/>
    <hyperlink r:id="rId546" ref="Q96"/>
    <hyperlink r:id="rId547" ref="AH96"/>
    <hyperlink r:id="rId548" ref="C97"/>
    <hyperlink r:id="rId549" ref="D97"/>
    <hyperlink r:id="rId550" ref="E97"/>
    <hyperlink r:id="rId551" ref="C98"/>
    <hyperlink r:id="rId552" ref="D98"/>
    <hyperlink r:id="rId553" ref="E98"/>
    <hyperlink r:id="rId554" ref="F98"/>
    <hyperlink r:id="rId555" ref="H98"/>
    <hyperlink r:id="rId556" ref="I98"/>
    <hyperlink r:id="rId557" ref="K98"/>
    <hyperlink r:id="rId558" ref="C99"/>
    <hyperlink r:id="rId559" ref="D99"/>
    <hyperlink r:id="rId560" ref="E99"/>
    <hyperlink r:id="rId561" ref="F99"/>
    <hyperlink r:id="rId562" ref="P99"/>
    <hyperlink r:id="rId563" ref="T99"/>
    <hyperlink r:id="rId564" ref="D100"/>
    <hyperlink r:id="rId565" ref="T100"/>
    <hyperlink r:id="rId566" ref="C101"/>
    <hyperlink r:id="rId567" ref="D101"/>
    <hyperlink r:id="rId568" ref="E101"/>
    <hyperlink r:id="rId569" ref="F101"/>
    <hyperlink r:id="rId570" ref="H101"/>
    <hyperlink r:id="rId571" ref="N101"/>
    <hyperlink r:id="rId572" ref="C103"/>
    <hyperlink r:id="rId573" ref="D103"/>
    <hyperlink r:id="rId574" ref="E103"/>
    <hyperlink r:id="rId575" ref="F103"/>
    <hyperlink r:id="rId576" ref="H103"/>
    <hyperlink r:id="rId577" ref="K103"/>
    <hyperlink r:id="rId578" ref="N103"/>
    <hyperlink r:id="rId579" ref="C104"/>
    <hyperlink r:id="rId580" ref="D104"/>
    <hyperlink r:id="rId581" ref="E104"/>
    <hyperlink r:id="rId582" ref="H104"/>
    <hyperlink r:id="rId583" ref="J104"/>
    <hyperlink r:id="rId584" ref="K104"/>
    <hyperlink r:id="rId585" ref="O104"/>
    <hyperlink r:id="rId586" ref="Q104"/>
    <hyperlink r:id="rId587" ref="C105"/>
    <hyperlink r:id="rId588" ref="D105"/>
    <hyperlink r:id="rId589" ref="H105"/>
    <hyperlink r:id="rId590" ref="K105"/>
    <hyperlink r:id="rId591" ref="C106"/>
    <hyperlink r:id="rId592" ref="H106"/>
    <hyperlink r:id="rId593" ref="K106"/>
    <hyperlink r:id="rId594" ref="N106"/>
    <hyperlink r:id="rId595" ref="AC106"/>
    <hyperlink r:id="rId596" ref="C107"/>
    <hyperlink r:id="rId597" ref="D107"/>
    <hyperlink r:id="rId598" ref="E107"/>
    <hyperlink r:id="rId599" ref="K107"/>
    <hyperlink r:id="rId600" ref="C108"/>
    <hyperlink r:id="rId601" ref="D108"/>
    <hyperlink r:id="rId602" ref="H108"/>
    <hyperlink r:id="rId603" ref="K108"/>
    <hyperlink r:id="rId604" ref="L108"/>
    <hyperlink r:id="rId605" ref="C109"/>
    <hyperlink r:id="rId606" ref="D109"/>
    <hyperlink r:id="rId607" ref="H109"/>
    <hyperlink r:id="rId608" ref="K109"/>
    <hyperlink r:id="rId609" ref="C110"/>
    <hyperlink r:id="rId610" ref="D110"/>
    <hyperlink r:id="rId611" ref="E110"/>
    <hyperlink r:id="rId612" ref="F110"/>
    <hyperlink r:id="rId613" ref="H110"/>
    <hyperlink r:id="rId614" ref="W110"/>
    <hyperlink r:id="rId615" ref="AV110"/>
    <hyperlink r:id="rId616" ref="C111"/>
    <hyperlink r:id="rId617" ref="D111"/>
    <hyperlink r:id="rId618" ref="H111"/>
    <hyperlink r:id="rId619" ref="C112"/>
    <hyperlink r:id="rId620" ref="D112"/>
    <hyperlink r:id="rId621" ref="C114"/>
    <hyperlink r:id="rId622" ref="D114"/>
    <hyperlink r:id="rId623" ref="E114"/>
    <hyperlink r:id="rId624" ref="H114"/>
    <hyperlink r:id="rId625" ref="I114"/>
    <hyperlink r:id="rId626" ref="K114"/>
    <hyperlink r:id="rId627" ref="N114"/>
    <hyperlink r:id="rId628" ref="C115"/>
    <hyperlink r:id="rId629" ref="D115"/>
    <hyperlink r:id="rId630" ref="K115"/>
    <hyperlink r:id="rId631" ref="L115"/>
    <hyperlink r:id="rId632" ref="M115"/>
    <hyperlink r:id="rId633" ref="U115"/>
    <hyperlink r:id="rId634" ref="C116"/>
    <hyperlink r:id="rId635" ref="D116"/>
    <hyperlink r:id="rId636" ref="F116"/>
    <hyperlink r:id="rId637" ref="G116"/>
    <hyperlink r:id="rId638" ref="C117"/>
    <hyperlink r:id="rId639" ref="D117"/>
    <hyperlink r:id="rId640" ref="E117"/>
    <hyperlink r:id="rId641" ref="F117"/>
    <hyperlink r:id="rId642" ref="G117"/>
    <hyperlink r:id="rId643" ref="H117"/>
    <hyperlink r:id="rId644" ref="K117"/>
    <hyperlink r:id="rId645" ref="L117"/>
    <hyperlink r:id="rId646" ref="N117"/>
    <hyperlink r:id="rId647" ref="O117"/>
    <hyperlink r:id="rId648" ref="Q117"/>
    <hyperlink r:id="rId649" ref="AL117"/>
    <hyperlink r:id="rId650" ref="C118"/>
    <hyperlink r:id="rId651" ref="H118"/>
    <hyperlink r:id="rId652" ref="L118"/>
    <hyperlink r:id="rId653" ref="M118"/>
    <hyperlink r:id="rId654" ref="AO118"/>
    <hyperlink r:id="rId655" ref="AU118"/>
    <hyperlink r:id="rId656" ref="C119"/>
    <hyperlink r:id="rId657" ref="H119"/>
    <hyperlink r:id="rId658" ref="K119"/>
    <hyperlink r:id="rId659" ref="T119"/>
    <hyperlink r:id="rId660" ref="U119"/>
    <hyperlink r:id="rId661" ref="C120"/>
    <hyperlink r:id="rId662" ref="D120"/>
    <hyperlink r:id="rId663" ref="E120"/>
    <hyperlink r:id="rId664" ref="F120"/>
    <hyperlink r:id="rId665" ref="K120"/>
    <hyperlink r:id="rId666" ref="L120"/>
    <hyperlink r:id="rId667" ref="O120"/>
    <hyperlink r:id="rId668" ref="Q120"/>
    <hyperlink r:id="rId669" ref="U120"/>
    <hyperlink r:id="rId670" ref="W120"/>
    <hyperlink r:id="rId671" ref="C121"/>
    <hyperlink r:id="rId672" ref="D121"/>
    <hyperlink r:id="rId673" ref="V121"/>
    <hyperlink r:id="rId674" ref="C122"/>
    <hyperlink r:id="rId675" ref="D122"/>
    <hyperlink r:id="rId676" ref="E122"/>
    <hyperlink r:id="rId677" ref="N122"/>
    <hyperlink r:id="rId678" ref="AL122"/>
    <hyperlink r:id="rId679" ref="AQ122"/>
    <hyperlink r:id="rId680" ref="C123"/>
    <hyperlink r:id="rId681" ref="D123"/>
    <hyperlink r:id="rId682" ref="C124"/>
    <hyperlink r:id="rId683" ref="D124"/>
    <hyperlink r:id="rId684" ref="E124"/>
    <hyperlink r:id="rId685" ref="H124"/>
    <hyperlink r:id="rId686" ref="I124"/>
    <hyperlink r:id="rId687" ref="O124"/>
    <hyperlink r:id="rId688" ref="Q124"/>
    <hyperlink r:id="rId689" ref="C125"/>
    <hyperlink r:id="rId690" ref="D125"/>
    <hyperlink r:id="rId691" ref="E125"/>
    <hyperlink r:id="rId692" ref="J125"/>
    <hyperlink r:id="rId693" ref="C127"/>
    <hyperlink r:id="rId694" ref="D127"/>
    <hyperlink r:id="rId695" ref="F127"/>
    <hyperlink r:id="rId696" ref="G127"/>
    <hyperlink r:id="rId697" ref="N127"/>
    <hyperlink r:id="rId698" ref="C129"/>
    <hyperlink r:id="rId699" ref="H129"/>
    <hyperlink r:id="rId700" ref="AD129"/>
    <hyperlink r:id="rId701" ref="C130"/>
    <hyperlink r:id="rId702" ref="D130"/>
    <hyperlink r:id="rId703" ref="E130"/>
    <hyperlink r:id="rId704" ref="H130"/>
    <hyperlink r:id="rId705" ref="K130"/>
    <hyperlink r:id="rId706" ref="L130"/>
    <hyperlink r:id="rId707" ref="C131"/>
    <hyperlink r:id="rId708" ref="D131"/>
    <hyperlink r:id="rId709" ref="G131"/>
    <hyperlink r:id="rId710" ref="H131"/>
    <hyperlink r:id="rId711" ref="Q131"/>
    <hyperlink r:id="rId712" ref="V131"/>
    <hyperlink r:id="rId713" ref="AI131"/>
    <hyperlink r:id="rId714" ref="C132"/>
    <hyperlink r:id="rId715" ref="D132"/>
    <hyperlink r:id="rId716" ref="G132"/>
    <hyperlink r:id="rId717" ref="C133"/>
    <hyperlink r:id="rId718" ref="D133"/>
    <hyperlink r:id="rId719" ref="G133"/>
    <hyperlink r:id="rId720" ref="H133"/>
    <hyperlink r:id="rId721" ref="V133"/>
    <hyperlink r:id="rId722" ref="Y133"/>
    <hyperlink r:id="rId723" ref="C134"/>
    <hyperlink r:id="rId724" ref="D134"/>
    <hyperlink r:id="rId725" ref="E134"/>
    <hyperlink r:id="rId726" ref="H134"/>
    <hyperlink r:id="rId727" ref="K134"/>
    <hyperlink r:id="rId728" ref="M134"/>
    <hyperlink r:id="rId729" ref="N134"/>
    <hyperlink r:id="rId730" ref="O134"/>
    <hyperlink r:id="rId731" ref="D135"/>
    <hyperlink r:id="rId732" ref="E135"/>
    <hyperlink r:id="rId733" ref="G135"/>
    <hyperlink r:id="rId734" ref="H135"/>
    <hyperlink r:id="rId735" ref="K135"/>
    <hyperlink r:id="rId736" ref="N135"/>
    <hyperlink r:id="rId737" ref="O135"/>
    <hyperlink r:id="rId738" ref="Q135"/>
    <hyperlink r:id="rId739" ref="V135"/>
    <hyperlink r:id="rId740" ref="C136"/>
    <hyperlink r:id="rId741" ref="D136"/>
    <hyperlink r:id="rId742" ref="F136"/>
    <hyperlink r:id="rId743" ref="G136"/>
    <hyperlink r:id="rId744" ref="H136"/>
    <hyperlink r:id="rId745" ref="O136"/>
    <hyperlink r:id="rId746" ref="AB136"/>
    <hyperlink r:id="rId747" ref="C137"/>
    <hyperlink r:id="rId748" ref="H137"/>
    <hyperlink r:id="rId749" ref="L137"/>
    <hyperlink r:id="rId750" ref="M137"/>
    <hyperlink r:id="rId751" ref="T137"/>
    <hyperlink r:id="rId752" ref="C138"/>
    <hyperlink r:id="rId753" ref="U138"/>
    <hyperlink r:id="rId754" ref="AA138"/>
    <hyperlink r:id="rId755" ref="AC138"/>
    <hyperlink r:id="rId756" ref="C139"/>
    <hyperlink r:id="rId757" ref="AJ139"/>
    <hyperlink r:id="rId758" ref="C140"/>
    <hyperlink r:id="rId759" ref="D140"/>
    <hyperlink r:id="rId760" ref="E140"/>
    <hyperlink r:id="rId761" ref="F140"/>
    <hyperlink r:id="rId762" ref="G140"/>
    <hyperlink r:id="rId763" ref="H140"/>
    <hyperlink r:id="rId764" ref="J140"/>
    <hyperlink r:id="rId765" ref="N140"/>
    <hyperlink r:id="rId766" ref="O140"/>
    <hyperlink r:id="rId767" ref="Q140"/>
    <hyperlink r:id="rId768" ref="T140"/>
    <hyperlink r:id="rId769" ref="U140"/>
    <hyperlink r:id="rId770" ref="AC140"/>
    <hyperlink r:id="rId771" ref="C141"/>
    <hyperlink r:id="rId772" ref="K141"/>
    <hyperlink r:id="rId773" ref="L141"/>
    <hyperlink r:id="rId774" ref="Q141"/>
    <hyperlink r:id="rId775" ref="V141"/>
    <hyperlink r:id="rId776" ref="C142"/>
    <hyperlink r:id="rId777" ref="K142"/>
    <hyperlink r:id="rId778" ref="U142"/>
    <hyperlink r:id="rId779" ref="C143"/>
    <hyperlink r:id="rId780" ref="D143"/>
    <hyperlink r:id="rId781" ref="E143"/>
    <hyperlink r:id="rId782" ref="G143"/>
    <hyperlink r:id="rId783" ref="H143"/>
    <hyperlink r:id="rId784" ref="N143"/>
    <hyperlink r:id="rId785" ref="O143"/>
    <hyperlink r:id="rId786" ref="Q143"/>
    <hyperlink r:id="rId787" ref="AY143"/>
    <hyperlink r:id="rId788" ref="C144"/>
    <hyperlink r:id="rId789" ref="C145"/>
    <hyperlink r:id="rId790" ref="H145"/>
    <hyperlink r:id="rId791" ref="K145"/>
    <hyperlink r:id="rId792" ref="Q145"/>
    <hyperlink r:id="rId793" ref="C146"/>
    <hyperlink r:id="rId794" ref="I146"/>
    <hyperlink r:id="rId795" ref="C147"/>
    <hyperlink r:id="rId796" ref="D147"/>
    <hyperlink r:id="rId797" ref="E147"/>
    <hyperlink r:id="rId798" ref="I147"/>
    <hyperlink r:id="rId799" ref="C149"/>
    <hyperlink r:id="rId800" ref="D149"/>
    <hyperlink r:id="rId801" ref="E149"/>
    <hyperlink r:id="rId802" ref="H149"/>
    <hyperlink r:id="rId803" ref="C150"/>
    <hyperlink r:id="rId804" ref="F150"/>
    <hyperlink r:id="rId805" ref="H150"/>
    <hyperlink r:id="rId806" ref="L150"/>
    <hyperlink r:id="rId807" ref="M150"/>
    <hyperlink r:id="rId808" ref="O150"/>
    <hyperlink r:id="rId809" ref="AI150"/>
    <hyperlink r:id="rId810" ref="C151"/>
    <hyperlink r:id="rId811" ref="D151"/>
    <hyperlink r:id="rId812" ref="E151"/>
    <hyperlink r:id="rId813" ref="F151"/>
    <hyperlink r:id="rId814" ref="H151"/>
    <hyperlink r:id="rId815" ref="K151"/>
    <hyperlink r:id="rId816" ref="L151"/>
    <hyperlink r:id="rId817" ref="M151"/>
    <hyperlink r:id="rId818" ref="O151"/>
    <hyperlink r:id="rId819" ref="Q151"/>
    <hyperlink r:id="rId820" ref="V151"/>
    <hyperlink r:id="rId821" ref="C152"/>
    <hyperlink r:id="rId822" ref="D152"/>
    <hyperlink r:id="rId823" ref="H152"/>
    <hyperlink r:id="rId824" ref="Q152"/>
    <hyperlink r:id="rId825" ref="C153"/>
    <hyperlink r:id="rId826" ref="F153"/>
    <hyperlink r:id="rId827" ref="K153"/>
    <hyperlink r:id="rId828" ref="N153"/>
    <hyperlink r:id="rId829" ref="AM153"/>
    <hyperlink r:id="rId830" ref="C154"/>
    <hyperlink r:id="rId831" ref="Q154"/>
    <hyperlink r:id="rId832" ref="C155"/>
    <hyperlink r:id="rId833" ref="D155"/>
    <hyperlink r:id="rId834" ref="F155"/>
    <hyperlink r:id="rId835" ref="G155"/>
    <hyperlink r:id="rId836" ref="J155"/>
    <hyperlink r:id="rId837" ref="K155"/>
    <hyperlink r:id="rId838" ref="T155"/>
    <hyperlink r:id="rId839" ref="BA155"/>
    <hyperlink r:id="rId840" ref="C156"/>
    <hyperlink r:id="rId841" ref="E156"/>
    <hyperlink r:id="rId842" ref="H156"/>
    <hyperlink r:id="rId843" ref="O156"/>
    <hyperlink r:id="rId844" ref="Q156"/>
    <hyperlink r:id="rId845" ref="V156"/>
    <hyperlink r:id="rId846" ref="C157"/>
    <hyperlink r:id="rId847" ref="J157"/>
    <hyperlink r:id="rId848" ref="C158"/>
    <hyperlink r:id="rId849" ref="T158"/>
    <hyperlink r:id="rId850" ref="C159"/>
    <hyperlink r:id="rId851" ref="D159"/>
    <hyperlink r:id="rId852" ref="Z159"/>
    <hyperlink r:id="rId853" ref="C160"/>
    <hyperlink r:id="rId854" ref="D160"/>
    <hyperlink r:id="rId855" ref="G160"/>
    <hyperlink r:id="rId856" ref="C162"/>
    <hyperlink r:id="rId857" ref="H162"/>
    <hyperlink r:id="rId858" ref="J162"/>
    <hyperlink r:id="rId859" ref="O162"/>
    <hyperlink r:id="rId860" ref="V162"/>
    <hyperlink r:id="rId861" ref="C163"/>
    <hyperlink r:id="rId862" ref="C165"/>
    <hyperlink r:id="rId863" ref="D165"/>
    <hyperlink r:id="rId864" ref="G165"/>
    <hyperlink r:id="rId865" ref="H165"/>
    <hyperlink r:id="rId866" ref="J165"/>
    <hyperlink r:id="rId867" ref="O165"/>
    <hyperlink r:id="rId868" ref="T165"/>
    <hyperlink r:id="rId869" ref="V165"/>
    <hyperlink r:id="rId870" ref="C166"/>
    <hyperlink r:id="rId871" ref="D166"/>
    <hyperlink r:id="rId872" ref="G166"/>
    <hyperlink r:id="rId873" ref="C167"/>
    <hyperlink r:id="rId874" ref="D167"/>
    <hyperlink r:id="rId875" ref="G167"/>
    <hyperlink r:id="rId876" ref="J167"/>
    <hyperlink r:id="rId877" ref="AB167"/>
    <hyperlink r:id="rId878" ref="C168"/>
    <hyperlink r:id="rId879" ref="D168"/>
    <hyperlink r:id="rId880" ref="G168"/>
    <hyperlink r:id="rId881" ref="O168"/>
    <hyperlink r:id="rId882" ref="Z168"/>
    <hyperlink r:id="rId883" ref="C169"/>
    <hyperlink r:id="rId884" ref="D169"/>
    <hyperlink r:id="rId885" ref="G169"/>
    <hyperlink r:id="rId886" ref="H169"/>
    <hyperlink r:id="rId887" ref="L169"/>
    <hyperlink r:id="rId888" ref="M169"/>
    <hyperlink r:id="rId889" ref="Q169"/>
    <hyperlink r:id="rId890" ref="U169"/>
    <hyperlink r:id="rId891" ref="V169"/>
    <hyperlink r:id="rId892" ref="AD169"/>
    <hyperlink r:id="rId893" ref="AI169"/>
    <hyperlink r:id="rId894" ref="AS169"/>
    <hyperlink r:id="rId895" ref="C170"/>
    <hyperlink r:id="rId896" ref="D170"/>
    <hyperlink r:id="rId897" ref="E170"/>
    <hyperlink r:id="rId898" ref="F170"/>
    <hyperlink r:id="rId899" ref="K170"/>
    <hyperlink r:id="rId900" ref="L170"/>
    <hyperlink r:id="rId901" ref="Q170"/>
    <hyperlink r:id="rId902" ref="T170"/>
    <hyperlink r:id="rId903" ref="C171"/>
    <hyperlink r:id="rId904" ref="D171"/>
    <hyperlink r:id="rId905" ref="E171"/>
    <hyperlink r:id="rId906" ref="H171"/>
    <hyperlink r:id="rId907" ref="K171"/>
    <hyperlink r:id="rId908" ref="C172"/>
    <hyperlink r:id="rId909" ref="D172"/>
    <hyperlink r:id="rId910" ref="H172"/>
    <hyperlink r:id="rId911" ref="C173"/>
    <hyperlink r:id="rId912" ref="D173"/>
    <hyperlink r:id="rId913" ref="C174"/>
    <hyperlink r:id="rId914" ref="D174"/>
    <hyperlink r:id="rId915" ref="E174"/>
    <hyperlink r:id="rId916" ref="I174"/>
    <hyperlink r:id="rId917" ref="N174"/>
    <hyperlink r:id="rId918" ref="C175"/>
    <hyperlink r:id="rId919" ref="D175"/>
    <hyperlink r:id="rId920" ref="C176"/>
    <hyperlink r:id="rId921" ref="D176"/>
    <hyperlink r:id="rId922" ref="C177"/>
    <hyperlink r:id="rId923" ref="D177"/>
    <hyperlink r:id="rId924" ref="F177"/>
    <hyperlink r:id="rId925" ref="L177"/>
    <hyperlink r:id="rId926" ref="T177"/>
    <hyperlink r:id="rId927" ref="AC177"/>
    <hyperlink r:id="rId928" ref="C178"/>
    <hyperlink r:id="rId929" ref="D178"/>
    <hyperlink r:id="rId930" ref="T178"/>
    <hyperlink r:id="rId931" ref="AN178"/>
    <hyperlink r:id="rId932" ref="C179"/>
    <hyperlink r:id="rId933" ref="D179"/>
    <hyperlink r:id="rId934" ref="E179"/>
    <hyperlink r:id="rId935" ref="H179"/>
    <hyperlink r:id="rId936" ref="J179"/>
    <hyperlink r:id="rId937" ref="N179"/>
    <hyperlink r:id="rId938" ref="C181"/>
    <hyperlink r:id="rId939" ref="D181"/>
    <hyperlink r:id="rId940" ref="F181"/>
    <hyperlink r:id="rId941" ref="H181"/>
    <hyperlink r:id="rId942" ref="K181"/>
    <hyperlink r:id="rId943" ref="L181"/>
    <hyperlink r:id="rId944" ref="O181"/>
    <hyperlink r:id="rId945" ref="U181"/>
    <hyperlink r:id="rId946" ref="V181"/>
    <hyperlink r:id="rId947" ref="Y181"/>
    <hyperlink r:id="rId948" ref="AF181"/>
    <hyperlink r:id="rId949" ref="AJ181"/>
    <hyperlink r:id="rId950" ref="C182"/>
    <hyperlink r:id="rId951" ref="F182"/>
    <hyperlink r:id="rId952" ref="G182"/>
    <hyperlink r:id="rId953" ref="AC182"/>
    <hyperlink r:id="rId954" ref="C183"/>
    <hyperlink r:id="rId955" ref="D183"/>
    <hyperlink r:id="rId956" ref="F183"/>
    <hyperlink r:id="rId957" ref="H183"/>
    <hyperlink r:id="rId958" ref="V183"/>
    <hyperlink r:id="rId959" ref="Y183"/>
    <hyperlink r:id="rId960" ref="AF183"/>
    <hyperlink r:id="rId961" ref="C184"/>
    <hyperlink r:id="rId962" ref="D184"/>
    <hyperlink r:id="rId963" ref="G184"/>
    <hyperlink r:id="rId964" ref="Y184"/>
    <hyperlink r:id="rId965" ref="C185"/>
    <hyperlink r:id="rId966" ref="K185"/>
    <hyperlink r:id="rId967" ref="C186"/>
    <hyperlink r:id="rId968" ref="D186"/>
    <hyperlink r:id="rId969" ref="E186"/>
    <hyperlink r:id="rId970" ref="F186"/>
    <hyperlink r:id="rId971" ref="H186"/>
    <hyperlink r:id="rId972" ref="K186"/>
    <hyperlink r:id="rId973" ref="L186"/>
    <hyperlink r:id="rId974" ref="Q186"/>
    <hyperlink r:id="rId975" ref="V186"/>
    <hyperlink r:id="rId976" ref="AR186"/>
    <hyperlink r:id="rId977" ref="C187"/>
    <hyperlink r:id="rId978" ref="K187"/>
    <hyperlink r:id="rId979" ref="M187"/>
    <hyperlink r:id="rId980" ref="C188"/>
    <hyperlink r:id="rId981" ref="D188"/>
    <hyperlink r:id="rId982" ref="E188"/>
    <hyperlink r:id="rId983" ref="F188"/>
    <hyperlink r:id="rId984" ref="G188"/>
    <hyperlink r:id="rId985" ref="H188"/>
    <hyperlink r:id="rId986" ref="K188"/>
    <hyperlink r:id="rId987" ref="L188"/>
    <hyperlink r:id="rId988" ref="M188"/>
    <hyperlink r:id="rId989" ref="N188"/>
    <hyperlink r:id="rId990" ref="O188"/>
    <hyperlink r:id="rId991" ref="Q188"/>
    <hyperlink r:id="rId992" ref="C189"/>
    <hyperlink r:id="rId993" ref="F189"/>
    <hyperlink r:id="rId994" ref="O189"/>
    <hyperlink r:id="rId995" ref="Q189"/>
    <hyperlink r:id="rId996" ref="C190"/>
    <hyperlink r:id="rId997" ref="D190"/>
    <hyperlink r:id="rId998" ref="Y190"/>
    <hyperlink r:id="rId999" ref="C191"/>
    <hyperlink r:id="rId1000" ref="F191"/>
    <hyperlink r:id="rId1001" ref="H191"/>
    <hyperlink r:id="rId1002" ref="L191"/>
    <hyperlink r:id="rId1003" ref="V191"/>
    <hyperlink r:id="rId1004" ref="AB191"/>
    <hyperlink r:id="rId1005" ref="AR191"/>
    <hyperlink r:id="rId1006" ref="C192"/>
    <hyperlink r:id="rId1007" ref="D192"/>
    <hyperlink r:id="rId1008" ref="G192"/>
    <hyperlink r:id="rId1009" ref="K192"/>
    <hyperlink r:id="rId1010" ref="Y192"/>
    <hyperlink r:id="rId1011" ref="C193"/>
    <hyperlink r:id="rId1012" ref="F193"/>
    <hyperlink r:id="rId1013" ref="AB193"/>
    <hyperlink r:id="rId1014" ref="C194"/>
    <hyperlink r:id="rId1015" ref="G194"/>
    <hyperlink r:id="rId1016" ref="C195"/>
    <hyperlink r:id="rId1017" ref="H195"/>
    <hyperlink r:id="rId1018" ref="T195"/>
    <hyperlink r:id="rId1019" ref="C196"/>
    <hyperlink r:id="rId1020" ref="D196"/>
    <hyperlink r:id="rId1021" ref="J196"/>
    <hyperlink r:id="rId1022" ref="L196"/>
    <hyperlink r:id="rId1023" ref="C197"/>
    <hyperlink r:id="rId1024" ref="D197"/>
    <hyperlink r:id="rId1025" ref="E197"/>
    <hyperlink r:id="rId1026" ref="H197"/>
    <hyperlink r:id="rId1027" ref="K197"/>
    <hyperlink r:id="rId1028" ref="N197"/>
    <hyperlink r:id="rId1029" ref="Q197"/>
    <hyperlink r:id="rId1030" ref="T197"/>
    <hyperlink r:id="rId1031" ref="AC197"/>
    <hyperlink r:id="rId1032" ref="BA197"/>
    <hyperlink r:id="rId1033" ref="C199"/>
    <hyperlink r:id="rId1034" ref="C200"/>
    <hyperlink r:id="rId1035" ref="D200"/>
    <hyperlink r:id="rId1036" ref="C201"/>
    <hyperlink r:id="rId1037" ref="D201"/>
    <hyperlink r:id="rId1038" ref="W201"/>
    <hyperlink r:id="rId1039" ref="Y201"/>
    <hyperlink r:id="rId1040" ref="AF201"/>
    <hyperlink r:id="rId1041" ref="C202"/>
    <hyperlink r:id="rId1042" ref="H202"/>
    <hyperlink r:id="rId1043" ref="C203"/>
    <hyperlink r:id="rId1044" ref="D203"/>
    <hyperlink r:id="rId1045" ref="H203"/>
    <hyperlink r:id="rId1046" ref="L203"/>
    <hyperlink r:id="rId1047" ref="C204"/>
    <hyperlink r:id="rId1048" ref="J204"/>
    <hyperlink r:id="rId1049" ref="C205"/>
    <hyperlink r:id="rId1050" ref="D205"/>
    <hyperlink r:id="rId1051" ref="F205"/>
    <hyperlink r:id="rId1052" ref="K205"/>
    <hyperlink r:id="rId1053" ref="C206"/>
    <hyperlink r:id="rId1054" ref="D206"/>
    <hyperlink r:id="rId1055" ref="E206"/>
    <hyperlink r:id="rId1056" ref="G206"/>
    <hyperlink r:id="rId1057" ref="H206"/>
    <hyperlink r:id="rId1058" ref="N206"/>
    <hyperlink r:id="rId1059" ref="O206"/>
    <hyperlink r:id="rId1060" ref="C207"/>
    <hyperlink r:id="rId1061" ref="K207"/>
    <hyperlink r:id="rId1062" ref="AA207"/>
    <hyperlink r:id="rId1063" ref="AG207"/>
    <hyperlink r:id="rId1064" ref="C208"/>
    <hyperlink r:id="rId1065" ref="D208"/>
    <hyperlink r:id="rId1066" ref="H208"/>
    <hyperlink r:id="rId1067" ref="M208"/>
    <hyperlink r:id="rId1068" ref="C209"/>
    <hyperlink r:id="rId1069" ref="C210"/>
    <hyperlink r:id="rId1070" ref="D210"/>
    <hyperlink r:id="rId1071" ref="F210"/>
    <hyperlink r:id="rId1072" ref="K210"/>
    <hyperlink r:id="rId1073" ref="L210"/>
    <hyperlink r:id="rId1074" ref="O210"/>
    <hyperlink r:id="rId1075" ref="Q210"/>
    <hyperlink r:id="rId1076" ref="R210"/>
    <hyperlink r:id="rId1077" ref="U210"/>
    <hyperlink r:id="rId1078" ref="AP210"/>
    <hyperlink r:id="rId1079" ref="C211"/>
    <hyperlink r:id="rId1080" ref="D211"/>
    <hyperlink r:id="rId1081" ref="E211"/>
    <hyperlink r:id="rId1082" ref="G211"/>
    <hyperlink r:id="rId1083" ref="W211"/>
    <hyperlink r:id="rId1084" ref="AC211"/>
    <hyperlink r:id="rId1085" ref="C212"/>
    <hyperlink r:id="rId1086" ref="D212"/>
    <hyperlink r:id="rId1087" ref="F212"/>
    <hyperlink r:id="rId1088" ref="H212"/>
    <hyperlink r:id="rId1089" ref="Y212"/>
    <hyperlink r:id="rId1090" ref="AC212"/>
    <hyperlink r:id="rId1091" ref="AF212"/>
    <hyperlink r:id="rId1092" ref="C213"/>
    <hyperlink r:id="rId1093" ref="D213"/>
    <hyperlink r:id="rId1094" ref="F213"/>
    <hyperlink r:id="rId1095" ref="Q213"/>
    <hyperlink r:id="rId1096" ref="Y213"/>
    <hyperlink r:id="rId1097" ref="C214"/>
    <hyperlink r:id="rId1098" ref="D214"/>
    <hyperlink r:id="rId1099" ref="E214"/>
    <hyperlink r:id="rId1100" ref="F214"/>
    <hyperlink r:id="rId1101" ref="H214"/>
    <hyperlink r:id="rId1102" ref="C215"/>
    <hyperlink r:id="rId1103" ref="D215"/>
    <hyperlink r:id="rId1104" ref="F215"/>
    <hyperlink r:id="rId1105" ref="G215"/>
    <hyperlink r:id="rId1106" ref="H215"/>
    <hyperlink r:id="rId1107" ref="V215"/>
    <hyperlink r:id="rId1108" ref="Y215"/>
    <hyperlink r:id="rId1109" ref="Z215"/>
    <hyperlink r:id="rId1110" ref="AI215"/>
    <hyperlink r:id="rId1111" ref="C216"/>
    <hyperlink r:id="rId1112" ref="D216"/>
    <hyperlink r:id="rId1113" ref="Y216"/>
    <hyperlink r:id="rId1114" ref="C218"/>
    <hyperlink r:id="rId1115" ref="D218"/>
    <hyperlink r:id="rId1116" ref="H218"/>
    <hyperlink r:id="rId1117" ref="M218"/>
    <hyperlink r:id="rId1118" ref="Q218"/>
    <hyperlink r:id="rId1119" ref="U218"/>
    <hyperlink r:id="rId1120" ref="V218"/>
    <hyperlink r:id="rId1121" ref="C219"/>
    <hyperlink r:id="rId1122" ref="D219"/>
    <hyperlink r:id="rId1123" ref="E219"/>
    <hyperlink r:id="rId1124" ref="H219"/>
    <hyperlink r:id="rId1125" ref="N219"/>
    <hyperlink r:id="rId1126" ref="O219"/>
    <hyperlink r:id="rId1127" ref="Q219"/>
    <hyperlink r:id="rId1128" ref="U219"/>
    <hyperlink r:id="rId1129" ref="C220"/>
    <hyperlink r:id="rId1130" ref="D220"/>
    <hyperlink r:id="rId1131" ref="E220"/>
    <hyperlink r:id="rId1132" ref="J220"/>
    <hyperlink r:id="rId1133" ref="K220"/>
    <hyperlink r:id="rId1134" ref="D221"/>
    <hyperlink r:id="rId1135" ref="E221"/>
    <hyperlink r:id="rId1136" ref="H221"/>
    <hyperlink r:id="rId1137" ref="K221"/>
    <hyperlink r:id="rId1138" ref="L221"/>
    <hyperlink r:id="rId1139" ref="O221"/>
    <hyperlink r:id="rId1140" ref="C222"/>
    <hyperlink r:id="rId1141" ref="D222"/>
    <hyperlink r:id="rId1142" ref="E222"/>
    <hyperlink r:id="rId1143" ref="K222"/>
    <hyperlink r:id="rId1144" ref="C223"/>
    <hyperlink r:id="rId1145" ref="K223"/>
    <hyperlink r:id="rId1146" ref="C224"/>
    <hyperlink r:id="rId1147" ref="D224"/>
    <hyperlink r:id="rId1148" ref="G224"/>
    <hyperlink r:id="rId1149" ref="K224"/>
    <hyperlink r:id="rId1150" ref="C225"/>
    <hyperlink r:id="rId1151" ref="D225"/>
    <hyperlink r:id="rId1152" ref="E225"/>
    <hyperlink r:id="rId1153" ref="F225"/>
    <hyperlink r:id="rId1154" ref="G225"/>
    <hyperlink r:id="rId1155" ref="I225"/>
    <hyperlink r:id="rId1156" ref="K225"/>
    <hyperlink r:id="rId1157" ref="AN225"/>
    <hyperlink r:id="rId1158" ref="AQ225"/>
    <hyperlink r:id="rId1159" ref="C226"/>
    <hyperlink r:id="rId1160" ref="D226"/>
    <hyperlink r:id="rId1161" ref="G226"/>
    <hyperlink r:id="rId1162" ref="AN226"/>
    <hyperlink r:id="rId1163" ref="C227"/>
    <hyperlink r:id="rId1164" ref="D227"/>
    <hyperlink r:id="rId1165" ref="E227"/>
    <hyperlink r:id="rId1166" ref="H227"/>
    <hyperlink r:id="rId1167" ref="J227"/>
    <hyperlink r:id="rId1168" ref="N227"/>
    <hyperlink r:id="rId1169" ref="C229"/>
    <hyperlink r:id="rId1170" ref="D229"/>
    <hyperlink r:id="rId1171" ref="E229"/>
    <hyperlink r:id="rId1172" ref="G229"/>
    <hyperlink r:id="rId1173" ref="H229"/>
    <hyperlink r:id="rId1174" ref="K229"/>
    <hyperlink r:id="rId1175" ref="L229"/>
    <hyperlink r:id="rId1176" ref="N229"/>
    <hyperlink r:id="rId1177" ref="O229"/>
    <hyperlink r:id="rId1178" ref="Q229"/>
    <hyperlink r:id="rId1179" ref="AC229"/>
    <hyperlink r:id="rId1180" ref="C230"/>
    <hyperlink r:id="rId1181" ref="M230"/>
    <hyperlink r:id="rId1182" ref="C231"/>
    <hyperlink r:id="rId1183" ref="D231"/>
    <hyperlink r:id="rId1184" ref="E231"/>
    <hyperlink r:id="rId1185" ref="F231"/>
    <hyperlink r:id="rId1186" ref="G231"/>
    <hyperlink r:id="rId1187" ref="H231"/>
    <hyperlink r:id="rId1188" ref="J231"/>
    <hyperlink r:id="rId1189" ref="L231"/>
    <hyperlink r:id="rId1190" ref="N231"/>
    <hyperlink r:id="rId1191" ref="O231"/>
    <hyperlink r:id="rId1192" ref="Q231"/>
    <hyperlink r:id="rId1193" ref="AE231"/>
    <hyperlink r:id="rId1194" ref="G232"/>
    <hyperlink r:id="rId1195" ref="H232"/>
    <hyperlink r:id="rId1196" ref="J232"/>
    <hyperlink r:id="rId1197" ref="L232"/>
    <hyperlink r:id="rId1198" ref="M232"/>
    <hyperlink r:id="rId1199" ref="N232"/>
    <hyperlink r:id="rId1200" ref="Q232"/>
    <hyperlink r:id="rId1201" ref="C233"/>
    <hyperlink r:id="rId1202" ref="E233"/>
    <hyperlink r:id="rId1203" ref="H233"/>
    <hyperlink r:id="rId1204" ref="T233"/>
    <hyperlink r:id="rId1205" ref="C234"/>
    <hyperlink r:id="rId1206" ref="D234"/>
    <hyperlink r:id="rId1207" ref="E234"/>
    <hyperlink r:id="rId1208" ref="H234"/>
    <hyperlink r:id="rId1209" ref="K234"/>
    <hyperlink r:id="rId1210" ref="O234"/>
    <hyperlink r:id="rId1211" ref="W234"/>
    <hyperlink r:id="rId1212" ref="C235"/>
    <hyperlink r:id="rId1213" ref="AF235"/>
    <hyperlink r:id="rId1214" ref="AT235"/>
    <hyperlink r:id="rId1215" ref="C236"/>
    <hyperlink r:id="rId1216" ref="D236"/>
    <hyperlink r:id="rId1217" ref="G236"/>
    <hyperlink r:id="rId1218" ref="AF236"/>
    <hyperlink r:id="rId1219" ref="C237"/>
    <hyperlink r:id="rId1220" ref="M237"/>
    <hyperlink r:id="rId1221" ref="C238"/>
    <hyperlink r:id="rId1222" ref="E238"/>
    <hyperlink r:id="rId1223" ref="C240"/>
    <hyperlink r:id="rId1224" ref="D240"/>
    <hyperlink r:id="rId1225" ref="G240"/>
    <hyperlink r:id="rId1226" ref="C241"/>
    <hyperlink r:id="rId1227" ref="D241"/>
    <hyperlink r:id="rId1228" ref="H241"/>
    <hyperlink r:id="rId1229" ref="K241"/>
    <hyperlink r:id="rId1230" ref="U241"/>
    <hyperlink r:id="rId1231" ref="Y241"/>
    <hyperlink r:id="rId1232" ref="Z241"/>
    <hyperlink r:id="rId1233" ref="AF241"/>
    <hyperlink r:id="rId1234" ref="C242"/>
    <hyperlink r:id="rId1235" ref="D242"/>
    <hyperlink r:id="rId1236" ref="F242"/>
    <hyperlink r:id="rId1237" ref="H242"/>
    <hyperlink r:id="rId1238" ref="V242"/>
    <hyperlink r:id="rId1239" ref="AB242"/>
    <hyperlink r:id="rId1240" ref="AF242"/>
    <hyperlink r:id="rId1241" ref="C243"/>
    <hyperlink r:id="rId1242" ref="D243"/>
    <hyperlink r:id="rId1243" ref="AR243"/>
    <hyperlink r:id="rId1244" ref="C244"/>
    <hyperlink r:id="rId1245" ref="D244"/>
    <hyperlink r:id="rId1246" ref="E244"/>
    <hyperlink r:id="rId1247" ref="C245"/>
    <hyperlink r:id="rId1248" ref="L245"/>
    <hyperlink r:id="rId1249" ref="V245"/>
    <hyperlink r:id="rId1250" ref="C246"/>
    <hyperlink r:id="rId1251" ref="D246"/>
    <hyperlink r:id="rId1252" ref="E246"/>
    <hyperlink r:id="rId1253" ref="H246"/>
    <hyperlink r:id="rId1254" ref="I246"/>
    <hyperlink r:id="rId1255" ref="K246"/>
    <hyperlink r:id="rId1256" ref="L246"/>
    <hyperlink r:id="rId1257" ref="Q246"/>
    <hyperlink r:id="rId1258" ref="U246"/>
    <hyperlink r:id="rId1259" ref="V246"/>
    <hyperlink r:id="rId1260" ref="W246"/>
    <hyperlink r:id="rId1261" ref="Y246"/>
    <hyperlink r:id="rId1262" ref="C247"/>
    <hyperlink r:id="rId1263" ref="D247"/>
    <hyperlink r:id="rId1264" ref="F247"/>
    <hyperlink r:id="rId1265" ref="BA247"/>
    <hyperlink r:id="rId1266" ref="C248"/>
    <hyperlink r:id="rId1267" ref="L248"/>
    <hyperlink r:id="rId1268" ref="M248"/>
    <hyperlink r:id="rId1269" ref="C249"/>
    <hyperlink r:id="rId1270" ref="D249"/>
    <hyperlink r:id="rId1271" ref="F249"/>
    <hyperlink r:id="rId1272" ref="U249"/>
    <hyperlink r:id="rId1273" ref="BE249"/>
    <hyperlink r:id="rId1274" ref="C250"/>
    <hyperlink r:id="rId1275" ref="T250"/>
    <hyperlink r:id="rId1276" ref="U250"/>
    <hyperlink r:id="rId1277" ref="C251"/>
    <hyperlink r:id="rId1278" ref="D251"/>
    <hyperlink r:id="rId1279" ref="H251"/>
    <hyperlink r:id="rId1280" ref="L251"/>
    <hyperlink r:id="rId1281" ref="AI251"/>
    <hyperlink r:id="rId1282" ref="AJ251"/>
    <hyperlink r:id="rId1283" ref="AQ251"/>
    <hyperlink r:id="rId1284" ref="C252"/>
    <hyperlink r:id="rId1285" ref="D252"/>
    <hyperlink r:id="rId1286" ref="E252"/>
    <hyperlink r:id="rId1287" ref="G252"/>
    <hyperlink r:id="rId1288" ref="K252"/>
    <hyperlink r:id="rId1289" ref="N252"/>
    <hyperlink r:id="rId1290" ref="O252"/>
    <hyperlink r:id="rId1291" ref="Q252"/>
    <hyperlink r:id="rId1292" ref="U252"/>
    <hyperlink r:id="rId1293" ref="AL252"/>
    <hyperlink r:id="rId1294" ref="C253"/>
    <hyperlink r:id="rId1295" ref="F253"/>
    <hyperlink r:id="rId1296" ref="M253"/>
    <hyperlink r:id="rId1297" ref="AA253"/>
    <hyperlink r:id="rId1298" ref="C254"/>
    <hyperlink r:id="rId1299" ref="F254"/>
    <hyperlink r:id="rId1300" ref="G254"/>
    <hyperlink r:id="rId1301" ref="H254"/>
    <hyperlink r:id="rId1302" ref="K254"/>
    <hyperlink r:id="rId1303" ref="L254"/>
    <hyperlink r:id="rId1304" ref="U254"/>
    <hyperlink r:id="rId1305" ref="V254"/>
    <hyperlink r:id="rId1306" ref="Z254"/>
    <hyperlink r:id="rId1307" ref="AJ254"/>
    <hyperlink r:id="rId1308" ref="C255"/>
    <hyperlink r:id="rId1309" ref="D255"/>
    <hyperlink r:id="rId1310" ref="T255"/>
    <hyperlink r:id="rId1311" ref="Y255"/>
    <hyperlink r:id="rId1312" ref="C256"/>
    <hyperlink r:id="rId1313" ref="D256"/>
    <hyperlink r:id="rId1314" ref="E256"/>
    <hyperlink r:id="rId1315" ref="F256"/>
    <hyperlink r:id="rId1316" ref="L256"/>
    <hyperlink r:id="rId1317" ref="M256"/>
    <hyperlink r:id="rId1318" ref="Q256"/>
    <hyperlink r:id="rId1319" ref="U256"/>
    <hyperlink r:id="rId1320" ref="AS256"/>
    <hyperlink r:id="rId1321" ref="C257"/>
    <hyperlink r:id="rId1322" ref="D257"/>
    <hyperlink r:id="rId1323" ref="F257"/>
    <hyperlink r:id="rId1324" ref="G257"/>
    <hyperlink r:id="rId1325" ref="M257"/>
    <hyperlink r:id="rId1326" ref="U257"/>
    <hyperlink r:id="rId1327" ref="W257"/>
    <hyperlink r:id="rId1328" ref="C258"/>
    <hyperlink r:id="rId1329" ref="F258"/>
    <hyperlink r:id="rId1330" ref="G258"/>
    <hyperlink r:id="rId1331" ref="M258"/>
    <hyperlink r:id="rId1332" ref="W258"/>
    <hyperlink r:id="rId1333" ref="C259"/>
    <hyperlink r:id="rId1334" ref="D259"/>
    <hyperlink r:id="rId1335" ref="E259"/>
    <hyperlink r:id="rId1336" ref="F259"/>
    <hyperlink r:id="rId1337" ref="G259"/>
    <hyperlink r:id="rId1338" ref="H259"/>
    <hyperlink r:id="rId1339" ref="J259"/>
    <hyperlink r:id="rId1340" ref="L259"/>
    <hyperlink r:id="rId1341" ref="M259"/>
    <hyperlink r:id="rId1342" ref="N259"/>
    <hyperlink r:id="rId1343" ref="Q259"/>
    <hyperlink r:id="rId1344" ref="C260"/>
    <hyperlink r:id="rId1345" ref="D260"/>
    <hyperlink r:id="rId1346" ref="G260"/>
    <hyperlink r:id="rId1347" ref="M260"/>
    <hyperlink r:id="rId1348" ref="C261"/>
    <hyperlink r:id="rId1349" ref="D261"/>
    <hyperlink r:id="rId1350" ref="E261"/>
    <hyperlink r:id="rId1351" ref="H261"/>
    <hyperlink r:id="rId1352" ref="I261"/>
    <hyperlink r:id="rId1353" ref="N261"/>
    <hyperlink r:id="rId1354" ref="O261"/>
    <hyperlink r:id="rId1355" ref="C262"/>
    <hyperlink r:id="rId1356" ref="D262"/>
    <hyperlink r:id="rId1357" ref="E262"/>
    <hyperlink r:id="rId1358" ref="G262"/>
    <hyperlink r:id="rId1359" ref="K262"/>
    <hyperlink r:id="rId1360" ref="C263"/>
    <hyperlink r:id="rId1361" ref="D263"/>
    <hyperlink r:id="rId1362" ref="G263"/>
    <hyperlink r:id="rId1363" ref="C264"/>
    <hyperlink r:id="rId1364" ref="F264"/>
    <hyperlink r:id="rId1365" ref="C265"/>
    <hyperlink r:id="rId1366" ref="D265"/>
    <hyperlink r:id="rId1367" ref="E265"/>
    <hyperlink r:id="rId1368" ref="F265"/>
    <hyperlink r:id="rId1369" ref="G265"/>
    <hyperlink r:id="rId1370" ref="H265"/>
    <hyperlink r:id="rId1371" ref="K265"/>
    <hyperlink r:id="rId1372" ref="O265"/>
    <hyperlink r:id="rId1373" ref="Q265"/>
    <hyperlink r:id="rId1374" ref="C266"/>
    <hyperlink r:id="rId1375" ref="D266"/>
    <hyperlink r:id="rId1376" ref="E266"/>
    <hyperlink r:id="rId1377" ref="H266"/>
    <hyperlink r:id="rId1378" ref="N266"/>
    <hyperlink r:id="rId1379" ref="W266"/>
    <hyperlink r:id="rId1380" ref="Z266"/>
    <hyperlink r:id="rId1381" ref="C267"/>
    <hyperlink r:id="rId1382" ref="AN267"/>
    <hyperlink r:id="rId1383" ref="C269"/>
    <hyperlink r:id="rId1384" ref="K269"/>
    <hyperlink r:id="rId1385" ref="M269"/>
    <hyperlink r:id="rId1386" ref="C270"/>
    <hyperlink r:id="rId1387" ref="D270"/>
    <hyperlink r:id="rId1388" ref="U270"/>
    <hyperlink r:id="rId1389" ref="W270"/>
    <hyperlink r:id="rId1390" ref="Y270"/>
    <hyperlink r:id="rId1391" ref="C271"/>
    <hyperlink r:id="rId1392" ref="K271"/>
    <hyperlink r:id="rId1393" ref="M271"/>
    <hyperlink r:id="rId1394" ref="C272"/>
    <hyperlink r:id="rId1395" ref="H272"/>
    <hyperlink r:id="rId1396" ref="J272"/>
    <hyperlink r:id="rId1397" ref="C273"/>
    <hyperlink r:id="rId1398" ref="D273"/>
    <hyperlink r:id="rId1399" ref="F273"/>
    <hyperlink r:id="rId1400" ref="G273"/>
    <hyperlink r:id="rId1401" ref="K273"/>
    <hyperlink r:id="rId1402" ref="Q273"/>
    <hyperlink r:id="rId1403" ref="Y273"/>
    <hyperlink r:id="rId1404" ref="AB273"/>
    <hyperlink r:id="rId1405" ref="AR273"/>
    <hyperlink r:id="rId1406" ref="C274"/>
    <hyperlink r:id="rId1407" ref="D274"/>
    <hyperlink r:id="rId1408" ref="F274"/>
    <hyperlink r:id="rId1409" ref="M274"/>
    <hyperlink r:id="rId1410" ref="S274"/>
    <hyperlink r:id="rId1411" ref="C275"/>
    <hyperlink r:id="rId1412" ref="D275"/>
    <hyperlink r:id="rId1413" ref="F275"/>
    <hyperlink r:id="rId1414" ref="M275"/>
    <hyperlink r:id="rId1415" ref="Q275"/>
    <hyperlink r:id="rId1416" ref="Y275"/>
    <hyperlink r:id="rId1417" ref="AR275"/>
    <hyperlink r:id="rId1418" ref="C276"/>
    <hyperlink r:id="rId1419" ref="D276"/>
    <hyperlink r:id="rId1420" ref="E276"/>
    <hyperlink r:id="rId1421" ref="F276"/>
    <hyperlink r:id="rId1422" ref="H276"/>
    <hyperlink r:id="rId1423" ref="M276"/>
    <hyperlink r:id="rId1424" ref="Q276"/>
    <hyperlink r:id="rId1425" ref="T276"/>
    <hyperlink r:id="rId1426" ref="C277"/>
    <hyperlink r:id="rId1427" ref="D277"/>
    <hyperlink r:id="rId1428" ref="C278"/>
    <hyperlink r:id="rId1429" ref="H278"/>
    <hyperlink r:id="rId1430" ref="L278"/>
    <hyperlink r:id="rId1431" ref="O278"/>
    <hyperlink r:id="rId1432" ref="U278"/>
    <hyperlink r:id="rId1433" ref="C279"/>
    <hyperlink r:id="rId1434" ref="L279"/>
    <hyperlink r:id="rId1435" ref="W279"/>
    <hyperlink r:id="rId1436" ref="C280"/>
    <hyperlink r:id="rId1437" ref="L280"/>
    <hyperlink r:id="rId1438" ref="C281"/>
    <hyperlink r:id="rId1439" ref="D281"/>
    <hyperlink r:id="rId1440" ref="E281"/>
    <hyperlink r:id="rId1441" ref="F281"/>
    <hyperlink r:id="rId1442" ref="G281"/>
    <hyperlink r:id="rId1443" ref="H281"/>
    <hyperlink r:id="rId1444" ref="K281"/>
    <hyperlink r:id="rId1445" ref="L281"/>
    <hyperlink r:id="rId1446" ref="O281"/>
    <hyperlink r:id="rId1447" ref="Q281"/>
    <hyperlink r:id="rId1448" ref="T281"/>
    <hyperlink r:id="rId1449" ref="C282"/>
    <hyperlink r:id="rId1450" ref="D282"/>
    <hyperlink r:id="rId1451" ref="F282"/>
    <hyperlink r:id="rId1452" ref="H282"/>
    <hyperlink r:id="rId1453" ref="K282"/>
    <hyperlink r:id="rId1454" ref="L282"/>
    <hyperlink r:id="rId1455" ref="AW282"/>
    <hyperlink r:id="rId1456" ref="C283"/>
    <hyperlink r:id="rId1457" ref="D283"/>
    <hyperlink r:id="rId1458" ref="F283"/>
    <hyperlink r:id="rId1459" ref="H283"/>
    <hyperlink r:id="rId1460" ref="K283"/>
    <hyperlink r:id="rId1461" ref="L283"/>
    <hyperlink r:id="rId1462" ref="Q283"/>
    <hyperlink r:id="rId1463" ref="AW283"/>
    <hyperlink r:id="rId1464" ref="C284"/>
    <hyperlink r:id="rId1465" ref="D284"/>
    <hyperlink r:id="rId1466" ref="E284"/>
    <hyperlink r:id="rId1467" ref="F284"/>
    <hyperlink r:id="rId1468" ref="H284"/>
    <hyperlink r:id="rId1469" ref="K284"/>
    <hyperlink r:id="rId1470" ref="L284"/>
    <hyperlink r:id="rId1471" ref="Q284"/>
    <hyperlink r:id="rId1472" ref="Z284"/>
    <hyperlink r:id="rId1473" ref="AD284"/>
    <hyperlink r:id="rId1474" ref="C285"/>
    <hyperlink r:id="rId1475" ref="D285"/>
    <hyperlink r:id="rId1476" ref="E285"/>
    <hyperlink r:id="rId1477" ref="F285"/>
    <hyperlink r:id="rId1478" ref="G285"/>
    <hyperlink r:id="rId1479" ref="H285"/>
    <hyperlink r:id="rId1480" ref="Q285"/>
    <hyperlink r:id="rId1481" ref="C286"/>
    <hyperlink r:id="rId1482" ref="D286"/>
    <hyperlink r:id="rId1483" ref="E286"/>
    <hyperlink r:id="rId1484" ref="F286"/>
    <hyperlink r:id="rId1485" ref="G286"/>
    <hyperlink r:id="rId1486" ref="N286"/>
    <hyperlink r:id="rId1487" ref="O286"/>
    <hyperlink r:id="rId1488" ref="Q286"/>
    <hyperlink r:id="rId1489" ref="C287"/>
    <hyperlink r:id="rId1490" ref="D287"/>
    <hyperlink r:id="rId1491" ref="F287"/>
    <hyperlink r:id="rId1492" ref="H287"/>
    <hyperlink r:id="rId1493" ref="K287"/>
    <hyperlink r:id="rId1494" ref="Q287"/>
    <hyperlink r:id="rId1495" ref="U287"/>
    <hyperlink r:id="rId1496" ref="W287"/>
    <hyperlink r:id="rId1497" ref="Z287"/>
    <hyperlink r:id="rId1498" ref="AB287"/>
    <hyperlink r:id="rId1499" ref="AI287"/>
    <hyperlink r:id="rId1500" ref="C288"/>
    <hyperlink r:id="rId1501" ref="D288"/>
    <hyperlink r:id="rId1502" ref="E288"/>
    <hyperlink r:id="rId1503" ref="F288"/>
    <hyperlink r:id="rId1504" ref="G288"/>
    <hyperlink r:id="rId1505" ref="H288"/>
    <hyperlink r:id="rId1506" ref="J288"/>
    <hyperlink r:id="rId1507" ref="K288"/>
    <hyperlink r:id="rId1508" ref="Q288"/>
    <hyperlink r:id="rId1509" ref="W288"/>
    <hyperlink r:id="rId1510" ref="Z288"/>
    <hyperlink r:id="rId1511" ref="AJ288"/>
    <hyperlink r:id="rId1512" ref="C289"/>
    <hyperlink r:id="rId1513" ref="D289"/>
    <hyperlink r:id="rId1514" ref="C290"/>
    <hyperlink r:id="rId1515" ref="F290"/>
    <hyperlink r:id="rId1516" ref="G290"/>
    <hyperlink r:id="rId1517" ref="H290"/>
    <hyperlink r:id="rId1518" ref="T290"/>
    <hyperlink r:id="rId1519" ref="C291"/>
    <hyperlink r:id="rId1520" ref="D291"/>
    <hyperlink r:id="rId1521" ref="E291"/>
    <hyperlink r:id="rId1522" ref="F291"/>
    <hyperlink r:id="rId1523" ref="M291"/>
    <hyperlink r:id="rId1524" ref="U291"/>
    <hyperlink r:id="rId1525" ref="W291"/>
    <hyperlink r:id="rId1526" ref="AD291"/>
    <hyperlink r:id="rId1527" ref="C292"/>
    <hyperlink r:id="rId1528" ref="D292"/>
    <hyperlink r:id="rId1529" ref="F292"/>
    <hyperlink r:id="rId1530" ref="H292"/>
    <hyperlink r:id="rId1531" ref="K292"/>
    <hyperlink r:id="rId1532" ref="O292"/>
    <hyperlink r:id="rId1533" ref="Q292"/>
    <hyperlink r:id="rId1534" ref="W292"/>
    <hyperlink r:id="rId1535" ref="Z292"/>
    <hyperlink r:id="rId1536" ref="C293"/>
    <hyperlink r:id="rId1537" ref="D293"/>
    <hyperlink r:id="rId1538" ref="E293"/>
    <hyperlink r:id="rId1539" ref="H293"/>
    <hyperlink r:id="rId1540" ref="C294"/>
    <hyperlink r:id="rId1541" ref="D294"/>
    <hyperlink r:id="rId1542" ref="C295"/>
    <hyperlink r:id="rId1543" ref="D295"/>
    <hyperlink r:id="rId1544" ref="E295"/>
    <hyperlink r:id="rId1545" ref="C296"/>
    <hyperlink r:id="rId1546" ref="D296"/>
    <hyperlink r:id="rId1547" ref="G296"/>
    <hyperlink r:id="rId1548" ref="H296"/>
    <hyperlink r:id="rId1549" ref="J296"/>
    <hyperlink r:id="rId1550" ref="C297"/>
    <hyperlink r:id="rId1551" ref="H297"/>
    <hyperlink r:id="rId1552" ref="V297"/>
    <hyperlink r:id="rId1553" ref="C298"/>
    <hyperlink r:id="rId1554" ref="D298"/>
    <hyperlink r:id="rId1555" ref="E298"/>
    <hyperlink r:id="rId1556" ref="H298"/>
    <hyperlink r:id="rId1557" ref="N298"/>
    <hyperlink r:id="rId1558" ref="C300"/>
    <hyperlink r:id="rId1559" ref="H300"/>
    <hyperlink r:id="rId1560" ref="T300"/>
    <hyperlink r:id="rId1561" ref="C301"/>
    <hyperlink r:id="rId1562" ref="F301"/>
    <hyperlink r:id="rId1563" ref="C302"/>
    <hyperlink r:id="rId1564" ref="D302"/>
    <hyperlink r:id="rId1565" ref="E302"/>
    <hyperlink r:id="rId1566" ref="F302"/>
    <hyperlink r:id="rId1567" ref="G302"/>
    <hyperlink r:id="rId1568" ref="H302"/>
    <hyperlink r:id="rId1569" ref="L302"/>
    <hyperlink r:id="rId1570" ref="Q302"/>
    <hyperlink r:id="rId1571" ref="T302"/>
    <hyperlink r:id="rId1572" ref="C303"/>
    <hyperlink r:id="rId1573" ref="T303"/>
    <hyperlink r:id="rId1574" ref="C304"/>
    <hyperlink r:id="rId1575" ref="F304"/>
    <hyperlink r:id="rId1576" ref="C305"/>
    <hyperlink r:id="rId1577" ref="D305"/>
    <hyperlink r:id="rId1578" ref="F305"/>
    <hyperlink r:id="rId1579" ref="G305"/>
    <hyperlink r:id="rId1580" ref="H305"/>
    <hyperlink r:id="rId1581" ref="Q305"/>
    <hyperlink r:id="rId1582" ref="T305"/>
    <hyperlink r:id="rId1583" ref="Y305"/>
    <hyperlink r:id="rId1584" ref="C306"/>
    <hyperlink r:id="rId1585" ref="F306"/>
    <hyperlink r:id="rId1586" ref="L306"/>
    <hyperlink r:id="rId1587" ref="C307"/>
    <hyperlink r:id="rId1588" ref="D307"/>
    <hyperlink r:id="rId1589" ref="E307"/>
    <hyperlink r:id="rId1590" ref="F307"/>
    <hyperlink r:id="rId1591" ref="G307"/>
    <hyperlink r:id="rId1592" ref="H307"/>
    <hyperlink r:id="rId1593" ref="N307"/>
    <hyperlink r:id="rId1594" ref="Q307"/>
    <hyperlink r:id="rId1595" ref="AC307"/>
    <hyperlink r:id="rId1596" ref="C308"/>
    <hyperlink r:id="rId1597" ref="F308"/>
    <hyperlink r:id="rId1598" ref="J308"/>
    <hyperlink r:id="rId1599" ref="C309"/>
    <hyperlink r:id="rId1600" ref="F309"/>
    <hyperlink r:id="rId1601" ref="J309"/>
    <hyperlink r:id="rId1602" ref="C311"/>
    <hyperlink r:id="rId1603" ref="E311"/>
    <hyperlink r:id="rId1604" ref="C312"/>
    <hyperlink r:id="rId1605" ref="J312"/>
    <hyperlink r:id="rId1606" ref="AJ312"/>
    <hyperlink r:id="rId1607" ref="C314"/>
    <hyperlink r:id="rId1608" ref="F314"/>
    <hyperlink r:id="rId1609" ref="G314"/>
    <hyperlink r:id="rId1610" ref="V314"/>
    <hyperlink r:id="rId1611" ref="AN314"/>
    <hyperlink r:id="rId1612" ref="C315"/>
    <hyperlink r:id="rId1613" ref="G315"/>
    <hyperlink r:id="rId1614" ref="C316"/>
    <hyperlink r:id="rId1615" ref="E316"/>
    <hyperlink r:id="rId1616" ref="G316"/>
    <hyperlink r:id="rId1617" ref="J316"/>
    <hyperlink r:id="rId1618" ref="C317"/>
    <hyperlink r:id="rId1619" ref="G317"/>
    <hyperlink r:id="rId1620" ref="J317"/>
    <hyperlink r:id="rId1621" ref="C318"/>
    <hyperlink r:id="rId1622" ref="U318"/>
    <hyperlink r:id="rId1623" ref="C319"/>
    <hyperlink r:id="rId1624" ref="BO319"/>
    <hyperlink r:id="rId1625" ref="C323"/>
    <hyperlink r:id="rId1626" ref="BP323"/>
    <hyperlink r:id="rId1627" ref="C324"/>
    <hyperlink r:id="rId1628" ref="J324"/>
    <hyperlink r:id="rId1629" ref="C326"/>
    <hyperlink r:id="rId1630" ref="C327"/>
    <hyperlink r:id="rId1631" ref="F327"/>
    <hyperlink r:id="rId1632" ref="C328"/>
    <hyperlink r:id="rId1633" ref="D328"/>
    <hyperlink r:id="rId1634" ref="E328"/>
    <hyperlink r:id="rId1635" ref="F328"/>
    <hyperlink r:id="rId1636" ref="U328"/>
    <hyperlink r:id="rId1637" ref="W328"/>
    <hyperlink r:id="rId1638" ref="Y328"/>
    <hyperlink r:id="rId1639" ref="AB328"/>
    <hyperlink r:id="rId1640" ref="AW328"/>
    <hyperlink r:id="rId1641" ref="C329"/>
    <hyperlink r:id="rId1642" ref="F329"/>
    <hyperlink r:id="rId1643" ref="C330"/>
    <hyperlink r:id="rId1644" ref="D330"/>
    <hyperlink r:id="rId1645" ref="F330"/>
    <hyperlink r:id="rId1646" ref="G330"/>
    <hyperlink r:id="rId1647" ref="U330"/>
    <hyperlink r:id="rId1648" ref="Z330"/>
    <hyperlink r:id="rId1649" ref="AB330"/>
    <hyperlink r:id="rId1650" ref="AW330"/>
    <hyperlink r:id="rId1651" ref="C331"/>
    <hyperlink r:id="rId1652" ref="D331"/>
    <hyperlink r:id="rId1653" ref="F331"/>
    <hyperlink r:id="rId1654" ref="G331"/>
    <hyperlink r:id="rId1655" ref="K331"/>
    <hyperlink r:id="rId1656" ref="N331"/>
    <hyperlink r:id="rId1657" ref="O331"/>
    <hyperlink r:id="rId1658" ref="Z331"/>
    <hyperlink r:id="rId1659" ref="AB331"/>
    <hyperlink r:id="rId1660" ref="C332"/>
    <hyperlink r:id="rId1661" ref="F332"/>
    <hyperlink r:id="rId1662" ref="C333"/>
    <hyperlink r:id="rId1663" ref="D333"/>
    <hyperlink r:id="rId1664" ref="F333"/>
    <hyperlink r:id="rId1665" ref="AB333"/>
    <hyperlink r:id="rId1666" ref="C334"/>
    <hyperlink r:id="rId1667" ref="F334"/>
    <hyperlink r:id="rId1668" ref="C335"/>
    <hyperlink r:id="rId1669" ref="F335"/>
    <hyperlink r:id="rId1670" ref="M335"/>
    <hyperlink r:id="rId1671" ref="C336"/>
    <hyperlink r:id="rId1672" ref="F336"/>
    <hyperlink r:id="rId1673" ref="C337"/>
    <hyperlink r:id="rId1674" ref="F337"/>
    <hyperlink r:id="rId1675" ref="C338"/>
    <hyperlink r:id="rId1676" ref="F338"/>
    <hyperlink r:id="rId1677" ref="C339"/>
    <hyperlink r:id="rId1678" ref="D339"/>
    <hyperlink r:id="rId1679" ref="F339"/>
    <hyperlink r:id="rId1680" ref="G339"/>
    <hyperlink r:id="rId1681" ref="C340"/>
    <hyperlink r:id="rId1682" ref="D340"/>
    <hyperlink r:id="rId1683" ref="G340"/>
    <hyperlink r:id="rId1684" ref="U340"/>
    <hyperlink r:id="rId1685" ref="W340"/>
    <hyperlink r:id="rId1686" ref="AB340"/>
    <hyperlink r:id="rId1687" ref="C341"/>
    <hyperlink r:id="rId1688" ref="D341"/>
    <hyperlink r:id="rId1689" ref="C342"/>
    <hyperlink r:id="rId1690" ref="D342"/>
    <hyperlink r:id="rId1691" ref="C343"/>
    <hyperlink r:id="rId1692" ref="D343"/>
    <hyperlink r:id="rId1693" ref="C344"/>
    <hyperlink r:id="rId1694" ref="D344"/>
    <hyperlink r:id="rId1695" ref="G344"/>
    <hyperlink r:id="rId1696" ref="K344"/>
    <hyperlink r:id="rId1697" ref="AG344"/>
    <hyperlink r:id="rId1698" ref="AM344"/>
    <hyperlink r:id="rId1699" ref="C345"/>
    <hyperlink r:id="rId1700" ref="M345"/>
    <hyperlink r:id="rId1701" ref="C347"/>
    <hyperlink r:id="rId1702" ref="BQ347"/>
    <hyperlink r:id="rId1703" ref="C348"/>
    <hyperlink r:id="rId1704" ref="D348"/>
    <hyperlink r:id="rId1705" ref="G348"/>
    <hyperlink r:id="rId1706" ref="C349"/>
    <hyperlink r:id="rId1707" ref="F349"/>
    <hyperlink r:id="rId1708" ref="C350"/>
    <hyperlink r:id="rId1709" ref="D350"/>
    <hyperlink r:id="rId1710" ref="F350"/>
    <hyperlink r:id="rId1711" ref="K350"/>
    <hyperlink r:id="rId1712" ref="C351"/>
    <hyperlink r:id="rId1713" ref="D351"/>
    <hyperlink r:id="rId1714" ref="AV351"/>
    <hyperlink r:id="rId1715" ref="C353"/>
    <hyperlink r:id="rId1716" ref="D353"/>
    <hyperlink r:id="rId1717" ref="G353"/>
    <hyperlink r:id="rId1718" ref="K353"/>
    <hyperlink r:id="rId1719" ref="M353"/>
    <hyperlink r:id="rId1720" ref="AB353"/>
    <hyperlink r:id="rId1721" ref="C354"/>
    <hyperlink r:id="rId1722" ref="D354"/>
    <hyperlink r:id="rId1723" ref="F354"/>
    <hyperlink r:id="rId1724" ref="T354"/>
    <hyperlink r:id="rId1725" ref="U354"/>
    <hyperlink r:id="rId1726" ref="AB354"/>
    <hyperlink r:id="rId1727" ref="C355"/>
    <hyperlink r:id="rId1728" ref="D355"/>
    <hyperlink r:id="rId1729" ref="G355"/>
    <hyperlink r:id="rId1730" ref="C356"/>
    <hyperlink r:id="rId1731" ref="D356"/>
    <hyperlink r:id="rId1732" ref="C357"/>
    <hyperlink r:id="rId1733" ref="D357"/>
    <hyperlink r:id="rId1734" ref="C358"/>
    <hyperlink r:id="rId1735" ref="D358"/>
    <hyperlink r:id="rId1736" ref="G358"/>
    <hyperlink r:id="rId1737" ref="O358"/>
    <hyperlink r:id="rId1738" ref="C359"/>
    <hyperlink r:id="rId1739" ref="AG359"/>
    <hyperlink r:id="rId1740" ref="C360"/>
    <hyperlink r:id="rId1741" ref="D360"/>
    <hyperlink r:id="rId1742" ref="G360"/>
    <hyperlink r:id="rId1743" ref="Q360"/>
    <hyperlink r:id="rId1744" ref="AB360"/>
    <hyperlink r:id="rId1745" ref="C361"/>
    <hyperlink r:id="rId1746" ref="F361"/>
  </hyperlinks>
  <drawing r:id="rId1747"/>
  <legacyDrawing r:id="rId1748"/>
  <tableParts count="10">
    <tablePart r:id="rId1759"/>
    <tablePart r:id="rId1760"/>
    <tablePart r:id="rId1761"/>
    <tablePart r:id="rId1762"/>
    <tablePart r:id="rId1763"/>
    <tablePart r:id="rId1764"/>
    <tablePart r:id="rId1765"/>
    <tablePart r:id="rId1766"/>
    <tablePart r:id="rId1767"/>
    <tablePart r:id="rId176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15" width="8.75"/>
    <col customWidth="1" min="16" max="16" width="0.38"/>
    <col customWidth="1" min="17" max="22" width="8.75"/>
    <col customWidth="1" min="23" max="23" width="0.38"/>
    <col customWidth="1" min="24" max="34" width="8.75"/>
    <col customWidth="1" min="35" max="35" width="0.38"/>
    <col customWidth="1" min="36" max="51" width="8.75"/>
    <col customWidth="1" min="52" max="52" width="0.38"/>
    <col customWidth="1" min="53" max="57" width="8.75"/>
    <col customWidth="1" min="58" max="58" width="0.38"/>
    <col customWidth="1" min="59" max="65" width="8.75"/>
    <col customWidth="1" min="66" max="66" width="0.38"/>
    <col customWidth="1" min="67" max="75" width="8.75"/>
    <col customWidth="1" min="76" max="76" width="0.38"/>
    <col customWidth="1" min="77" max="77" width="9.38"/>
    <col customWidth="1" min="78" max="82" width="8.75"/>
    <col customWidth="1" min="83" max="83" width="9.38"/>
    <col customWidth="1" min="84" max="89" width="8.75"/>
  </cols>
  <sheetData>
    <row r="1">
      <c r="A1" s="22" t="s">
        <v>103</v>
      </c>
      <c r="C1" s="79" t="s">
        <v>10</v>
      </c>
      <c r="F1" s="23" t="s">
        <v>34</v>
      </c>
      <c r="H1" s="84" t="s">
        <v>35</v>
      </c>
      <c r="P1" s="86"/>
      <c r="Q1" s="87" t="s">
        <v>36</v>
      </c>
      <c r="W1" s="86"/>
      <c r="X1" s="26" t="s">
        <v>135</v>
      </c>
      <c r="AI1" s="86"/>
      <c r="AJ1" s="27"/>
      <c r="AK1" s="27" t="s">
        <v>38</v>
      </c>
      <c r="AZ1" s="82"/>
      <c r="BA1" s="90" t="s">
        <v>39</v>
      </c>
      <c r="BF1" s="91"/>
      <c r="BG1" s="29" t="s">
        <v>151</v>
      </c>
      <c r="BN1" s="86"/>
      <c r="BO1" s="30" t="s">
        <v>153</v>
      </c>
      <c r="BX1" s="91"/>
      <c r="BY1" s="93" t="s">
        <v>42</v>
      </c>
      <c r="CK1" s="93"/>
    </row>
    <row r="2" ht="15.0" customHeight="1">
      <c r="A2" s="33" t="s">
        <v>43</v>
      </c>
      <c r="B2" s="34" t="s">
        <v>44</v>
      </c>
      <c r="C2" s="34" t="s">
        <v>45</v>
      </c>
      <c r="F2" s="34" t="s">
        <v>166</v>
      </c>
      <c r="H2" s="96" t="s">
        <v>162</v>
      </c>
      <c r="I2" s="96" t="s">
        <v>57</v>
      </c>
      <c r="J2" s="96" t="s">
        <v>172</v>
      </c>
      <c r="K2" s="96" t="s">
        <v>61</v>
      </c>
      <c r="N2" s="96" t="s">
        <v>173</v>
      </c>
      <c r="P2" s="99"/>
      <c r="Q2" s="100" t="s">
        <v>162</v>
      </c>
      <c r="R2" s="100" t="s">
        <v>175</v>
      </c>
      <c r="S2" s="100" t="s">
        <v>63</v>
      </c>
      <c r="T2" s="100" t="s">
        <v>165</v>
      </c>
      <c r="U2" s="100" t="s">
        <v>61</v>
      </c>
      <c r="V2" s="100" t="s">
        <v>177</v>
      </c>
      <c r="W2" s="99"/>
      <c r="X2" s="102" t="s">
        <v>162</v>
      </c>
      <c r="Y2" s="102" t="s">
        <v>57</v>
      </c>
      <c r="Z2" s="102" t="s">
        <v>164</v>
      </c>
      <c r="AA2" s="102" t="s">
        <v>60</v>
      </c>
      <c r="AC2" s="102" t="s">
        <v>63</v>
      </c>
      <c r="AD2" s="102" t="s">
        <v>165</v>
      </c>
      <c r="AE2" s="102" t="s">
        <v>61</v>
      </c>
      <c r="AF2" s="102" t="s">
        <v>180</v>
      </c>
      <c r="AG2" s="102" t="s">
        <v>173</v>
      </c>
      <c r="AI2" s="99"/>
      <c r="AJ2" s="107" t="s">
        <v>162</v>
      </c>
      <c r="AK2" s="107" t="s">
        <v>57</v>
      </c>
      <c r="AM2" s="107" t="s">
        <v>164</v>
      </c>
      <c r="AP2" s="107" t="s">
        <v>64</v>
      </c>
      <c r="AR2" s="107" t="s">
        <v>63</v>
      </c>
      <c r="AV2" s="107" t="s">
        <v>63</v>
      </c>
      <c r="AW2" s="107" t="s">
        <v>165</v>
      </c>
      <c r="AX2" s="107" t="s">
        <v>177</v>
      </c>
      <c r="AZ2" s="113"/>
      <c r="BA2" s="114" t="s">
        <v>162</v>
      </c>
      <c r="BB2" s="114" t="s">
        <v>63</v>
      </c>
      <c r="BC2" s="114" t="s">
        <v>165</v>
      </c>
      <c r="BD2" s="114" t="s">
        <v>61</v>
      </c>
      <c r="BE2" s="114" t="s">
        <v>173</v>
      </c>
      <c r="BF2" s="113"/>
      <c r="BG2" s="115" t="s">
        <v>162</v>
      </c>
      <c r="BH2" s="115" t="s">
        <v>57</v>
      </c>
      <c r="BI2" s="115" t="s">
        <v>60</v>
      </c>
      <c r="BK2" s="115" t="s">
        <v>63</v>
      </c>
      <c r="BL2" s="115" t="s">
        <v>173</v>
      </c>
      <c r="BN2" s="99"/>
      <c r="BO2" s="118" t="s">
        <v>164</v>
      </c>
      <c r="BP2" s="118" t="s">
        <v>60</v>
      </c>
      <c r="BQ2" s="118" t="s">
        <v>64</v>
      </c>
      <c r="BR2" s="118" t="s">
        <v>63</v>
      </c>
      <c r="BT2" s="118" t="s">
        <v>165</v>
      </c>
      <c r="BU2" s="118" t="s">
        <v>61</v>
      </c>
      <c r="BW2" s="118" t="s">
        <v>177</v>
      </c>
      <c r="BX2" s="113"/>
      <c r="BY2" s="120" t="s">
        <v>190</v>
      </c>
      <c r="BZ2" s="122" t="s">
        <v>193</v>
      </c>
      <c r="CA2" s="120" t="s">
        <v>195</v>
      </c>
      <c r="CD2" s="120" t="s">
        <v>196</v>
      </c>
      <c r="CE2" s="120" t="s">
        <v>197</v>
      </c>
      <c r="CF2" s="120" t="s">
        <v>199</v>
      </c>
      <c r="CG2" s="127" t="s">
        <v>200</v>
      </c>
      <c r="CH2" s="120" t="s">
        <v>203</v>
      </c>
      <c r="CI2" s="120" t="s">
        <v>204</v>
      </c>
      <c r="CJ2" s="122" t="s">
        <v>205</v>
      </c>
    </row>
    <row r="3" ht="23.25" customHeight="1">
      <c r="J3" s="128" t="s">
        <v>207</v>
      </c>
      <c r="K3" s="128" t="s">
        <v>210</v>
      </c>
      <c r="L3" s="131" t="s">
        <v>212</v>
      </c>
      <c r="M3" s="131" t="s">
        <v>213</v>
      </c>
      <c r="N3" s="131" t="s">
        <v>214</v>
      </c>
      <c r="O3" s="128" t="s">
        <v>216</v>
      </c>
      <c r="P3" s="99"/>
      <c r="W3" s="99"/>
      <c r="AA3" s="135" t="s">
        <v>218</v>
      </c>
      <c r="AB3" s="136" t="s">
        <v>219</v>
      </c>
      <c r="AF3" s="136" t="s">
        <v>221</v>
      </c>
      <c r="AG3" s="135" t="s">
        <v>63</v>
      </c>
      <c r="AH3" s="137" t="s">
        <v>164</v>
      </c>
      <c r="AI3" s="99"/>
      <c r="AK3" s="138" t="s">
        <v>223</v>
      </c>
      <c r="AL3" s="138" t="s">
        <v>226</v>
      </c>
      <c r="AM3" s="141" t="s">
        <v>214</v>
      </c>
      <c r="AN3" s="141" t="s">
        <v>228</v>
      </c>
      <c r="AO3" s="141" t="s">
        <v>230</v>
      </c>
      <c r="AP3" s="141" t="s">
        <v>214</v>
      </c>
      <c r="AQ3" s="144" t="s">
        <v>231</v>
      </c>
      <c r="AR3" s="141" t="s">
        <v>232</v>
      </c>
      <c r="AS3" s="141" t="s">
        <v>233</v>
      </c>
      <c r="AT3" s="141" t="s">
        <v>234</v>
      </c>
      <c r="AU3" s="141" t="s">
        <v>236</v>
      </c>
      <c r="AX3" s="141" t="s">
        <v>237</v>
      </c>
      <c r="AY3" s="141" t="s">
        <v>238</v>
      </c>
      <c r="AZ3" s="113"/>
      <c r="BF3" s="146"/>
      <c r="BI3" s="115" t="s">
        <v>240</v>
      </c>
      <c r="BJ3" s="115" t="s">
        <v>241</v>
      </c>
      <c r="BL3" s="147" t="s">
        <v>243</v>
      </c>
      <c r="BM3" s="147" t="s">
        <v>244</v>
      </c>
      <c r="BN3" s="99"/>
      <c r="BR3" s="148" t="s">
        <v>230</v>
      </c>
      <c r="BS3" s="148" t="s">
        <v>245</v>
      </c>
      <c r="BU3" s="148" t="s">
        <v>214</v>
      </c>
      <c r="BV3" s="148" t="s">
        <v>230</v>
      </c>
      <c r="BX3" s="113"/>
      <c r="CA3" s="150" t="s">
        <v>250</v>
      </c>
      <c r="CB3" s="150" t="s">
        <v>251</v>
      </c>
      <c r="CC3" s="150" t="s">
        <v>252</v>
      </c>
      <c r="CJ3" s="150" t="s">
        <v>254</v>
      </c>
      <c r="CK3" s="150" t="s">
        <v>255</v>
      </c>
    </row>
    <row r="4">
      <c r="A4" s="152" t="s">
        <v>55</v>
      </c>
      <c r="B4" s="54" t="s">
        <v>258</v>
      </c>
      <c r="C4" s="56" t="s">
        <v>157</v>
      </c>
      <c r="D4" s="57" t="s">
        <v>260</v>
      </c>
      <c r="E4" s="58" t="s">
        <v>261</v>
      </c>
      <c r="F4" s="59" t="s">
        <v>263</v>
      </c>
      <c r="G4" s="54" t="s">
        <v>266</v>
      </c>
      <c r="H4" s="156" t="s">
        <v>267</v>
      </c>
      <c r="I4" s="157" t="s">
        <v>273</v>
      </c>
      <c r="J4" s="160" t="s">
        <v>275</v>
      </c>
      <c r="K4" s="162" t="s">
        <v>277</v>
      </c>
      <c r="L4" s="157" t="s">
        <v>279</v>
      </c>
      <c r="M4" s="164"/>
      <c r="N4" s="168" t="s">
        <v>282</v>
      </c>
      <c r="O4" s="168" t="s">
        <v>291</v>
      </c>
      <c r="P4" s="169"/>
      <c r="Q4" s="168" t="s">
        <v>294</v>
      </c>
      <c r="R4" s="175" t="s">
        <v>297</v>
      </c>
      <c r="S4" s="176" t="s">
        <v>300</v>
      </c>
      <c r="T4" s="157" t="s">
        <v>301</v>
      </c>
      <c r="U4" s="157" t="s">
        <v>302</v>
      </c>
      <c r="V4" s="168" t="s">
        <v>304</v>
      </c>
      <c r="W4" s="177"/>
      <c r="X4" s="157" t="s">
        <v>309</v>
      </c>
      <c r="Y4" s="160" t="s">
        <v>310</v>
      </c>
      <c r="Z4" s="175" t="s">
        <v>316</v>
      </c>
      <c r="AA4" s="183" t="s">
        <v>318</v>
      </c>
      <c r="AB4" s="162" t="s">
        <v>323</v>
      </c>
      <c r="AC4" s="175" t="s">
        <v>324</v>
      </c>
      <c r="AD4" s="157" t="s">
        <v>328</v>
      </c>
      <c r="AE4" s="162" t="s">
        <v>329</v>
      </c>
      <c r="AF4" s="162"/>
      <c r="AG4" s="168" t="s">
        <v>330</v>
      </c>
      <c r="AH4" s="190" t="s">
        <v>333</v>
      </c>
      <c r="AI4" s="177"/>
      <c r="AJ4" s="162"/>
      <c r="AK4" s="162" t="s">
        <v>339</v>
      </c>
      <c r="AL4" s="162" t="s">
        <v>340</v>
      </c>
      <c r="AM4" s="175" t="s">
        <v>341</v>
      </c>
      <c r="AN4" s="156" t="s">
        <v>344</v>
      </c>
      <c r="AO4" s="164"/>
      <c r="AP4" s="156" t="s">
        <v>346</v>
      </c>
      <c r="AQ4" s="157" t="s">
        <v>349</v>
      </c>
      <c r="AR4" s="162" t="s">
        <v>350</v>
      </c>
      <c r="AS4" s="175" t="s">
        <v>351</v>
      </c>
      <c r="AT4" s="164"/>
      <c r="AU4" s="162" t="s">
        <v>356</v>
      </c>
      <c r="AV4" s="164"/>
      <c r="AW4" s="168" t="s">
        <v>358</v>
      </c>
      <c r="AX4" s="156" t="s">
        <v>361</v>
      </c>
      <c r="AY4" s="156" t="s">
        <v>363</v>
      </c>
      <c r="AZ4" s="164"/>
      <c r="BA4" s="168" t="s">
        <v>367</v>
      </c>
      <c r="BB4" s="156" t="s">
        <v>376</v>
      </c>
      <c r="BC4" s="203" t="s">
        <v>387</v>
      </c>
      <c r="BD4" s="176"/>
      <c r="BE4" s="156" t="s">
        <v>389</v>
      </c>
      <c r="BF4" s="164"/>
      <c r="BG4" s="156" t="s">
        <v>405</v>
      </c>
      <c r="BH4" s="156" t="s">
        <v>418</v>
      </c>
      <c r="BI4" s="162" t="s">
        <v>429</v>
      </c>
      <c r="BJ4" s="164"/>
      <c r="BK4" s="156" t="s">
        <v>432</v>
      </c>
      <c r="BL4" s="168" t="s">
        <v>447</v>
      </c>
      <c r="BM4" s="175" t="s">
        <v>455</v>
      </c>
      <c r="BN4" s="169"/>
      <c r="BO4" s="162" t="s">
        <v>463</v>
      </c>
      <c r="BP4" s="177"/>
      <c r="BQ4" s="162" t="s">
        <v>293</v>
      </c>
      <c r="BR4" s="157" t="s">
        <v>466</v>
      </c>
      <c r="BS4" s="160" t="s">
        <v>467</v>
      </c>
      <c r="BT4" s="162" t="s">
        <v>483</v>
      </c>
      <c r="BU4" s="157" t="s">
        <v>367</v>
      </c>
      <c r="BV4" s="156" t="s">
        <v>485</v>
      </c>
      <c r="BW4" s="156" t="s">
        <v>493</v>
      </c>
      <c r="BX4" s="169"/>
      <c r="BY4" s="160" t="s">
        <v>501</v>
      </c>
      <c r="BZ4" s="162" t="s">
        <v>508</v>
      </c>
      <c r="CA4" s="164"/>
      <c r="CB4" s="157" t="s">
        <v>510</v>
      </c>
      <c r="CC4" s="162"/>
      <c r="CD4" s="162" t="s">
        <v>514</v>
      </c>
      <c r="CE4" s="168" t="s">
        <v>516</v>
      </c>
      <c r="CF4" s="175" t="s">
        <v>519</v>
      </c>
      <c r="CG4" s="168" t="s">
        <v>523</v>
      </c>
      <c r="CH4" s="168" t="s">
        <v>533</v>
      </c>
      <c r="CI4" s="175" t="s">
        <v>538</v>
      </c>
      <c r="CJ4" s="168" t="s">
        <v>544</v>
      </c>
      <c r="CK4" s="177"/>
    </row>
    <row r="5">
      <c r="A5" s="234" t="s">
        <v>548</v>
      </c>
      <c r="B5" s="235" t="s">
        <v>549</v>
      </c>
      <c r="C5" s="237" t="s">
        <v>551</v>
      </c>
      <c r="D5" s="238" t="s">
        <v>306</v>
      </c>
      <c r="E5" s="239" t="s">
        <v>76</v>
      </c>
      <c r="F5" s="240" t="s">
        <v>556</v>
      </c>
      <c r="G5" s="241" t="s">
        <v>557</v>
      </c>
      <c r="H5" s="243" t="s">
        <v>558</v>
      </c>
      <c r="I5" s="244"/>
      <c r="J5" s="243" t="s">
        <v>564</v>
      </c>
      <c r="K5" s="246" t="s">
        <v>566</v>
      </c>
      <c r="L5" s="246" t="s">
        <v>570</v>
      </c>
      <c r="M5" s="249" t="s">
        <v>572</v>
      </c>
      <c r="N5" s="244"/>
      <c r="O5" s="250" t="s">
        <v>574</v>
      </c>
      <c r="P5" s="251"/>
      <c r="Q5" s="253" t="s">
        <v>439</v>
      </c>
      <c r="R5" s="254" t="s">
        <v>581</v>
      </c>
      <c r="S5" s="255" t="s">
        <v>584</v>
      </c>
      <c r="T5" s="255" t="s">
        <v>586</v>
      </c>
      <c r="U5" s="255"/>
      <c r="V5" s="253" t="s">
        <v>587</v>
      </c>
      <c r="W5" s="256"/>
      <c r="X5" s="257" t="s">
        <v>589</v>
      </c>
      <c r="Y5" s="259" t="s">
        <v>592</v>
      </c>
      <c r="Z5" s="260" t="s">
        <v>595</v>
      </c>
      <c r="AA5" s="260" t="s">
        <v>599</v>
      </c>
      <c r="AB5" s="260" t="s">
        <v>604</v>
      </c>
      <c r="AC5" s="260" t="s">
        <v>606</v>
      </c>
      <c r="AD5" s="257" t="s">
        <v>607</v>
      </c>
      <c r="AE5" s="257" t="s">
        <v>609</v>
      </c>
      <c r="AF5" s="264"/>
      <c r="AG5" s="260" t="s">
        <v>611</v>
      </c>
      <c r="AH5" s="267"/>
      <c r="AI5" s="268"/>
      <c r="AJ5" s="269"/>
      <c r="AK5" s="270"/>
      <c r="AL5" s="270"/>
      <c r="AM5" s="271" t="s">
        <v>614</v>
      </c>
      <c r="AN5" s="269"/>
      <c r="AO5" s="270"/>
      <c r="AP5" s="272" t="s">
        <v>618</v>
      </c>
      <c r="AQ5" s="269" t="s">
        <v>622</v>
      </c>
      <c r="AR5" s="270"/>
      <c r="AS5" s="270"/>
      <c r="AT5" s="270"/>
      <c r="AU5" s="270"/>
      <c r="AV5" s="270"/>
      <c r="AW5" s="275" t="s">
        <v>624</v>
      </c>
      <c r="AX5" s="272" t="s">
        <v>628</v>
      </c>
      <c r="AY5" s="272" t="s">
        <v>630</v>
      </c>
      <c r="AZ5" s="277"/>
      <c r="BA5" s="278" t="s">
        <v>632</v>
      </c>
      <c r="BB5" s="280" t="s">
        <v>636</v>
      </c>
      <c r="BC5" s="281" t="s">
        <v>640</v>
      </c>
      <c r="BD5" s="278" t="s">
        <v>641</v>
      </c>
      <c r="BE5" s="278" t="s">
        <v>644</v>
      </c>
      <c r="BF5" s="277"/>
      <c r="BG5" s="282" t="s">
        <v>649</v>
      </c>
      <c r="BH5" s="283" t="s">
        <v>656</v>
      </c>
      <c r="BI5" s="284" t="s">
        <v>662</v>
      </c>
      <c r="BJ5" s="285" t="s">
        <v>665</v>
      </c>
      <c r="BK5" s="287" t="s">
        <v>668</v>
      </c>
      <c r="BL5" s="288"/>
      <c r="BM5" s="289" t="s">
        <v>671</v>
      </c>
      <c r="BN5" s="290"/>
      <c r="BO5" s="291" t="s">
        <v>674</v>
      </c>
      <c r="BP5" s="293"/>
      <c r="BQ5" s="294" t="s">
        <v>677</v>
      </c>
      <c r="BR5" s="291" t="s">
        <v>679</v>
      </c>
      <c r="BS5" s="295"/>
      <c r="BT5" s="294" t="s">
        <v>681</v>
      </c>
      <c r="BU5" s="291" t="s">
        <v>682</v>
      </c>
      <c r="BV5" s="296"/>
      <c r="BW5" s="291" t="s">
        <v>685</v>
      </c>
      <c r="BX5" s="251"/>
      <c r="BY5" s="297" t="s">
        <v>687</v>
      </c>
      <c r="BZ5" s="298" t="s">
        <v>689</v>
      </c>
      <c r="CA5" s="253" t="s">
        <v>690</v>
      </c>
      <c r="CB5" s="299"/>
      <c r="CC5" s="300"/>
      <c r="CD5" s="253" t="s">
        <v>695</v>
      </c>
      <c r="CE5" s="302" t="s">
        <v>697</v>
      </c>
      <c r="CF5" s="297" t="s">
        <v>700</v>
      </c>
      <c r="CG5" s="254" t="s">
        <v>702</v>
      </c>
      <c r="CH5" s="303" t="s">
        <v>706</v>
      </c>
      <c r="CI5" s="297" t="s">
        <v>707</v>
      </c>
      <c r="CJ5" s="253" t="s">
        <v>711</v>
      </c>
      <c r="CK5" s="253" t="s">
        <v>715</v>
      </c>
    </row>
    <row r="6">
      <c r="A6" s="305" t="s">
        <v>65</v>
      </c>
      <c r="B6" s="241" t="s">
        <v>718</v>
      </c>
      <c r="C6" s="237" t="s">
        <v>719</v>
      </c>
      <c r="D6" s="238" t="s">
        <v>81</v>
      </c>
      <c r="E6" s="239" t="s">
        <v>306</v>
      </c>
      <c r="F6" s="240" t="s">
        <v>720</v>
      </c>
      <c r="G6" s="241" t="s">
        <v>721</v>
      </c>
      <c r="H6" s="307" t="s">
        <v>723</v>
      </c>
      <c r="I6" s="308"/>
      <c r="J6" s="309" t="s">
        <v>725</v>
      </c>
      <c r="K6" s="310" t="s">
        <v>728</v>
      </c>
      <c r="L6" s="308"/>
      <c r="M6" s="308"/>
      <c r="N6" s="308"/>
      <c r="O6" s="310" t="s">
        <v>731</v>
      </c>
      <c r="P6" s="251"/>
      <c r="Q6" s="313" t="s">
        <v>733</v>
      </c>
      <c r="R6" s="314" t="s">
        <v>735</v>
      </c>
      <c r="S6" s="314" t="s">
        <v>738</v>
      </c>
      <c r="T6" s="314" t="s">
        <v>740</v>
      </c>
      <c r="U6" s="314" t="s">
        <v>745</v>
      </c>
      <c r="V6" s="316" t="s">
        <v>748</v>
      </c>
      <c r="W6" s="256"/>
      <c r="X6" s="317" t="s">
        <v>749</v>
      </c>
      <c r="Y6" s="318"/>
      <c r="Z6" s="321" t="s">
        <v>751</v>
      </c>
      <c r="AA6" s="259" t="s">
        <v>757</v>
      </c>
      <c r="AB6" s="317" t="s">
        <v>759</v>
      </c>
      <c r="AC6" s="322" t="s">
        <v>760</v>
      </c>
      <c r="AD6" s="260" t="s">
        <v>761</v>
      </c>
      <c r="AE6" s="260" t="s">
        <v>765</v>
      </c>
      <c r="AF6" s="317"/>
      <c r="AG6" s="259" t="s">
        <v>769</v>
      </c>
      <c r="AH6" s="267"/>
      <c r="AI6" s="256"/>
      <c r="AJ6" s="323"/>
      <c r="AK6" s="323"/>
      <c r="AL6" s="323"/>
      <c r="AM6" s="324" t="s">
        <v>773</v>
      </c>
      <c r="AN6" s="324" t="s">
        <v>777</v>
      </c>
      <c r="AO6" s="323"/>
      <c r="AP6" s="323"/>
      <c r="AQ6" s="323"/>
      <c r="AR6" s="324" t="s">
        <v>780</v>
      </c>
      <c r="AS6" s="323"/>
      <c r="AT6" s="325" t="s">
        <v>783</v>
      </c>
      <c r="AU6" s="323"/>
      <c r="AV6" s="323"/>
      <c r="AW6" s="324" t="s">
        <v>787</v>
      </c>
      <c r="AX6" s="325" t="s">
        <v>790</v>
      </c>
      <c r="AY6" s="325" t="s">
        <v>793</v>
      </c>
      <c r="AZ6" s="277"/>
      <c r="BA6" s="326"/>
      <c r="BB6" s="327" t="s">
        <v>795</v>
      </c>
      <c r="BC6" s="329" t="s">
        <v>768</v>
      </c>
      <c r="BD6" s="330" t="s">
        <v>800</v>
      </c>
      <c r="BE6" s="331" t="s">
        <v>801</v>
      </c>
      <c r="BF6" s="277"/>
      <c r="BG6" s="332"/>
      <c r="BH6" s="334" t="s">
        <v>807</v>
      </c>
      <c r="BI6" s="334" t="s">
        <v>811</v>
      </c>
      <c r="BJ6" s="334" t="s">
        <v>814</v>
      </c>
      <c r="BK6" s="334" t="s">
        <v>820</v>
      </c>
      <c r="BL6" s="332"/>
      <c r="BM6" s="335" t="s">
        <v>825</v>
      </c>
      <c r="BN6" s="251"/>
      <c r="BO6" s="336" t="s">
        <v>828</v>
      </c>
      <c r="BP6" s="337"/>
      <c r="BQ6" s="338" t="s">
        <v>832</v>
      </c>
      <c r="BR6" s="339" t="s">
        <v>835</v>
      </c>
      <c r="BS6" s="340"/>
      <c r="BT6" s="338" t="s">
        <v>836</v>
      </c>
      <c r="BU6" s="336" t="s">
        <v>841</v>
      </c>
      <c r="BV6" s="341" t="s">
        <v>844</v>
      </c>
      <c r="BW6" s="342" t="s">
        <v>846</v>
      </c>
      <c r="BX6" s="251"/>
      <c r="BY6" s="343" t="s">
        <v>851</v>
      </c>
      <c r="BZ6" s="344" t="s">
        <v>853</v>
      </c>
      <c r="CA6" s="345"/>
      <c r="CB6" s="346"/>
      <c r="CC6" s="345"/>
      <c r="CD6" s="345"/>
      <c r="CE6" s="343" t="s">
        <v>856</v>
      </c>
      <c r="CF6" s="344" t="s">
        <v>857</v>
      </c>
      <c r="CG6" s="344" t="s">
        <v>859</v>
      </c>
      <c r="CH6" s="344" t="s">
        <v>861</v>
      </c>
      <c r="CI6" s="344" t="s">
        <v>864</v>
      </c>
      <c r="CJ6" s="346"/>
      <c r="CK6" s="346"/>
    </row>
    <row r="7">
      <c r="A7" s="347" t="s">
        <v>99</v>
      </c>
      <c r="B7" s="241" t="s">
        <v>868</v>
      </c>
      <c r="C7" s="237" t="s">
        <v>127</v>
      </c>
      <c r="D7" s="238" t="s">
        <v>127</v>
      </c>
      <c r="E7" s="239" t="s">
        <v>156</v>
      </c>
      <c r="F7" s="240" t="s">
        <v>74</v>
      </c>
      <c r="G7" s="241" t="s">
        <v>870</v>
      </c>
      <c r="H7" s="308"/>
      <c r="I7" s="348" t="s">
        <v>386</v>
      </c>
      <c r="J7" s="348"/>
      <c r="K7" s="309" t="s">
        <v>874</v>
      </c>
      <c r="L7" s="348" t="s">
        <v>877</v>
      </c>
      <c r="M7" s="308"/>
      <c r="N7" s="308"/>
      <c r="O7" s="350" t="s">
        <v>880</v>
      </c>
      <c r="P7" s="351"/>
      <c r="Q7" s="352" t="s">
        <v>884</v>
      </c>
      <c r="R7" s="353"/>
      <c r="S7" s="353"/>
      <c r="T7" s="313" t="s">
        <v>886</v>
      </c>
      <c r="U7" s="354"/>
      <c r="V7" s="316" t="s">
        <v>887</v>
      </c>
      <c r="W7" s="351"/>
      <c r="X7" s="317" t="s">
        <v>421</v>
      </c>
      <c r="Y7" s="317" t="s">
        <v>889</v>
      </c>
      <c r="Z7" s="322" t="s">
        <v>892</v>
      </c>
      <c r="AA7" s="257" t="s">
        <v>893</v>
      </c>
      <c r="AB7" s="259" t="s">
        <v>896</v>
      </c>
      <c r="AC7" s="257" t="s">
        <v>899</v>
      </c>
      <c r="AD7" s="321" t="s">
        <v>902</v>
      </c>
      <c r="AE7" s="257" t="s">
        <v>907</v>
      </c>
      <c r="AF7" s="264"/>
      <c r="AG7" s="257" t="s">
        <v>912</v>
      </c>
      <c r="AH7" s="267"/>
      <c r="AI7" s="351"/>
      <c r="AJ7" s="358"/>
      <c r="AK7" s="358" t="s">
        <v>918</v>
      </c>
      <c r="AL7" s="323"/>
      <c r="AM7" s="358" t="s">
        <v>921</v>
      </c>
      <c r="AN7" s="358"/>
      <c r="AO7" s="324" t="s">
        <v>922</v>
      </c>
      <c r="AP7" s="323"/>
      <c r="AQ7" s="363" t="s">
        <v>928</v>
      </c>
      <c r="AR7" s="358" t="s">
        <v>930</v>
      </c>
      <c r="AS7" s="358" t="s">
        <v>931</v>
      </c>
      <c r="AT7" s="323"/>
      <c r="AU7" s="323"/>
      <c r="AV7" s="323"/>
      <c r="AW7" s="365" t="s">
        <v>934</v>
      </c>
      <c r="AX7" s="371" t="s">
        <v>940</v>
      </c>
      <c r="AY7" s="358" t="s">
        <v>943</v>
      </c>
      <c r="AZ7" s="351"/>
      <c r="BA7" s="330"/>
      <c r="BB7" s="331" t="s">
        <v>945</v>
      </c>
      <c r="BC7" s="375" t="s">
        <v>952</v>
      </c>
      <c r="BD7" s="330"/>
      <c r="BE7" s="375" t="s">
        <v>964</v>
      </c>
      <c r="BF7" s="351"/>
      <c r="BG7" s="335" t="s">
        <v>972</v>
      </c>
      <c r="BH7" s="378" t="s">
        <v>982</v>
      </c>
      <c r="BI7" s="378"/>
      <c r="BJ7" s="378"/>
      <c r="BK7" s="382" t="s">
        <v>988</v>
      </c>
      <c r="BL7" s="332"/>
      <c r="BM7" s="378" t="s">
        <v>999</v>
      </c>
      <c r="BN7" s="351"/>
      <c r="BO7" s="383" t="s">
        <v>1002</v>
      </c>
      <c r="BP7" s="340"/>
      <c r="BQ7" s="340"/>
      <c r="BR7" s="339" t="s">
        <v>1014</v>
      </c>
      <c r="BS7" s="340"/>
      <c r="BT7" s="388" t="s">
        <v>1015</v>
      </c>
      <c r="BU7" s="340"/>
      <c r="BV7" s="338" t="s">
        <v>1027</v>
      </c>
      <c r="BW7" s="388" t="s">
        <v>1041</v>
      </c>
      <c r="BX7" s="351"/>
      <c r="BY7" s="343" t="s">
        <v>1049</v>
      </c>
      <c r="BZ7" s="396" t="s">
        <v>1051</v>
      </c>
      <c r="CA7" s="345"/>
      <c r="CB7" s="345"/>
      <c r="CC7" s="345"/>
      <c r="CD7" s="396" t="s">
        <v>1055</v>
      </c>
      <c r="CE7" s="401" t="s">
        <v>1056</v>
      </c>
      <c r="CF7" s="396" t="s">
        <v>1061</v>
      </c>
      <c r="CG7" s="345"/>
      <c r="CH7" s="345"/>
      <c r="CI7" s="345"/>
      <c r="CJ7" s="345"/>
      <c r="CK7" s="345"/>
    </row>
    <row r="8">
      <c r="A8" s="158" t="s">
        <v>305</v>
      </c>
      <c r="B8" s="241" t="s">
        <v>1063</v>
      </c>
      <c r="C8" s="237" t="s">
        <v>127</v>
      </c>
      <c r="D8" s="238" t="s">
        <v>157</v>
      </c>
      <c r="E8" s="239" t="s">
        <v>156</v>
      </c>
      <c r="F8" s="240" t="s">
        <v>1064</v>
      </c>
      <c r="G8" s="241" t="s">
        <v>556</v>
      </c>
      <c r="H8" s="309" t="s">
        <v>1066</v>
      </c>
      <c r="I8" s="307" t="s">
        <v>1068</v>
      </c>
      <c r="J8" s="350" t="s">
        <v>1073</v>
      </c>
      <c r="K8" s="403" t="s">
        <v>1074</v>
      </c>
      <c r="L8" s="309" t="s">
        <v>1075</v>
      </c>
      <c r="M8" s="308"/>
      <c r="N8" s="308"/>
      <c r="O8" s="309" t="s">
        <v>1078</v>
      </c>
      <c r="P8" s="251"/>
      <c r="Q8" s="316" t="s">
        <v>1082</v>
      </c>
      <c r="R8" s="316" t="s">
        <v>1088</v>
      </c>
      <c r="S8" s="353"/>
      <c r="T8" s="404" t="s">
        <v>576</v>
      </c>
      <c r="U8" s="405"/>
      <c r="V8" s="313" t="s">
        <v>1095</v>
      </c>
      <c r="W8" s="251"/>
      <c r="X8" s="257" t="s">
        <v>434</v>
      </c>
      <c r="Y8" s="257" t="s">
        <v>1102</v>
      </c>
      <c r="Z8" s="257" t="s">
        <v>1105</v>
      </c>
      <c r="AA8" s="407" t="s">
        <v>1109</v>
      </c>
      <c r="AB8" s="317" t="s">
        <v>397</v>
      </c>
      <c r="AC8" s="407" t="s">
        <v>1112</v>
      </c>
      <c r="AD8" s="321" t="s">
        <v>902</v>
      </c>
      <c r="AE8" s="259" t="s">
        <v>1116</v>
      </c>
      <c r="AF8" s="408"/>
      <c r="AG8" s="322" t="s">
        <v>1119</v>
      </c>
      <c r="AH8" s="267"/>
      <c r="AI8" s="290"/>
      <c r="AJ8" s="358"/>
      <c r="AK8" s="358" t="s">
        <v>1121</v>
      </c>
      <c r="AL8" s="323"/>
      <c r="AM8" s="409" t="s">
        <v>1123</v>
      </c>
      <c r="AN8" s="411" t="s">
        <v>1126</v>
      </c>
      <c r="AO8" s="358" t="s">
        <v>1129</v>
      </c>
      <c r="AP8" s="409" t="s">
        <v>1130</v>
      </c>
      <c r="AQ8" s="325" t="s">
        <v>1131</v>
      </c>
      <c r="AR8" s="358" t="s">
        <v>1135</v>
      </c>
      <c r="AS8" s="323"/>
      <c r="AT8" s="324" t="s">
        <v>1136</v>
      </c>
      <c r="AU8" s="323"/>
      <c r="AV8" s="323"/>
      <c r="AW8" s="371" t="s">
        <v>1139</v>
      </c>
      <c r="AX8" s="371" t="s">
        <v>1144</v>
      </c>
      <c r="AY8" s="323"/>
      <c r="AZ8" s="351"/>
      <c r="BA8" s="415"/>
      <c r="BB8" s="375" t="s">
        <v>1150</v>
      </c>
      <c r="BC8" s="331" t="s">
        <v>1155</v>
      </c>
      <c r="BD8" s="415"/>
      <c r="BE8" s="416" t="s">
        <v>1160</v>
      </c>
      <c r="BF8" s="351"/>
      <c r="BG8" s="335" t="s">
        <v>405</v>
      </c>
      <c r="BH8" s="335" t="s">
        <v>1164</v>
      </c>
      <c r="BI8" s="419" t="s">
        <v>1169</v>
      </c>
      <c r="BJ8" s="420"/>
      <c r="BK8" s="335" t="s">
        <v>1171</v>
      </c>
      <c r="BL8" s="332"/>
      <c r="BM8" s="378" t="s">
        <v>1176</v>
      </c>
      <c r="BN8" s="251"/>
      <c r="BO8" s="388" t="s">
        <v>1177</v>
      </c>
      <c r="BP8" s="339"/>
      <c r="BQ8" s="336" t="s">
        <v>1182</v>
      </c>
      <c r="BR8" s="339" t="s">
        <v>1186</v>
      </c>
      <c r="BS8" s="340"/>
      <c r="BT8" s="336" t="s">
        <v>1187</v>
      </c>
      <c r="BU8" s="340"/>
      <c r="BV8" s="339" t="s">
        <v>1193</v>
      </c>
      <c r="BW8" s="339" t="s">
        <v>1194</v>
      </c>
      <c r="BX8" s="251"/>
      <c r="BY8" s="426" t="s">
        <v>829</v>
      </c>
      <c r="BZ8" s="396" t="s">
        <v>1201</v>
      </c>
      <c r="CA8" s="345"/>
      <c r="CB8" s="346"/>
      <c r="CC8" s="345"/>
      <c r="CD8" s="345"/>
      <c r="CE8" s="345"/>
      <c r="CF8" s="345"/>
      <c r="CG8" s="345"/>
      <c r="CH8" s="345"/>
      <c r="CI8" s="345"/>
      <c r="CJ8" s="346"/>
      <c r="CK8" s="346"/>
    </row>
    <row r="9">
      <c r="A9" s="428" t="s">
        <v>1206</v>
      </c>
      <c r="B9" s="429" t="s">
        <v>1208</v>
      </c>
      <c r="C9" s="237" t="s">
        <v>79</v>
      </c>
      <c r="D9" s="238" t="s">
        <v>157</v>
      </c>
      <c r="E9" s="239" t="s">
        <v>154</v>
      </c>
      <c r="F9" s="240" t="s">
        <v>1210</v>
      </c>
      <c r="G9" s="241" t="s">
        <v>1212</v>
      </c>
      <c r="H9" s="310" t="s">
        <v>1213</v>
      </c>
      <c r="I9" s="309" t="s">
        <v>1218</v>
      </c>
      <c r="J9" s="309" t="s">
        <v>1224</v>
      </c>
      <c r="K9" s="309" t="s">
        <v>1229</v>
      </c>
      <c r="L9" s="431" t="s">
        <v>564</v>
      </c>
      <c r="M9" s="307" t="s">
        <v>1236</v>
      </c>
      <c r="N9" s="309" t="s">
        <v>1242</v>
      </c>
      <c r="O9" s="309" t="s">
        <v>1247</v>
      </c>
      <c r="P9" s="251"/>
      <c r="Q9" s="316" t="s">
        <v>1251</v>
      </c>
      <c r="R9" s="316" t="s">
        <v>1255</v>
      </c>
      <c r="S9" s="313" t="s">
        <v>1258</v>
      </c>
      <c r="T9" s="316" t="s">
        <v>1259</v>
      </c>
      <c r="U9" s="404" t="s">
        <v>1262</v>
      </c>
      <c r="V9" s="313" t="s">
        <v>1265</v>
      </c>
      <c r="W9" s="251"/>
      <c r="X9" s="259" t="s">
        <v>1266</v>
      </c>
      <c r="Y9" s="321" t="s">
        <v>1271</v>
      </c>
      <c r="Z9" s="257" t="s">
        <v>1275</v>
      </c>
      <c r="AA9" s="257" t="s">
        <v>1277</v>
      </c>
      <c r="AB9" s="437" t="s">
        <v>1280</v>
      </c>
      <c r="AC9" s="257" t="s">
        <v>1284</v>
      </c>
      <c r="AD9" s="257" t="s">
        <v>410</v>
      </c>
      <c r="AE9" s="257" t="s">
        <v>1288</v>
      </c>
      <c r="AF9" s="264"/>
      <c r="AG9" s="322" t="s">
        <v>1295</v>
      </c>
      <c r="AH9" s="441" t="s">
        <v>1296</v>
      </c>
      <c r="AI9" s="251"/>
      <c r="AJ9" s="442"/>
      <c r="AK9" s="411" t="s">
        <v>422</v>
      </c>
      <c r="AL9" s="325" t="s">
        <v>1305</v>
      </c>
      <c r="AM9" s="371" t="s">
        <v>1312</v>
      </c>
      <c r="AN9" s="358" t="s">
        <v>1318</v>
      </c>
      <c r="AO9" s="358" t="s">
        <v>1319</v>
      </c>
      <c r="AP9" s="371" t="s">
        <v>1320</v>
      </c>
      <c r="AQ9" s="358" t="s">
        <v>1325</v>
      </c>
      <c r="AR9" s="371" t="s">
        <v>1328</v>
      </c>
      <c r="AS9" s="371" t="s">
        <v>1334</v>
      </c>
      <c r="AT9" s="411" t="s">
        <v>1337</v>
      </c>
      <c r="AU9" s="324" t="s">
        <v>1345</v>
      </c>
      <c r="AV9" s="325" t="s">
        <v>1350</v>
      </c>
      <c r="AW9" s="371" t="s">
        <v>1354</v>
      </c>
      <c r="AX9" s="411" t="s">
        <v>1359</v>
      </c>
      <c r="AY9" s="411" t="s">
        <v>1363</v>
      </c>
      <c r="AZ9" s="351"/>
      <c r="BA9" s="331" t="s">
        <v>1371</v>
      </c>
      <c r="BB9" s="329" t="s">
        <v>1377</v>
      </c>
      <c r="BC9" s="449" t="s">
        <v>1381</v>
      </c>
      <c r="BD9" s="450"/>
      <c r="BE9" s="375" t="s">
        <v>1388</v>
      </c>
      <c r="BF9" s="351"/>
      <c r="BG9" s="453" t="s">
        <v>1391</v>
      </c>
      <c r="BH9" s="455" t="s">
        <v>1396</v>
      </c>
      <c r="BI9" s="335" t="s">
        <v>1398</v>
      </c>
      <c r="BJ9" s="378" t="s">
        <v>1403</v>
      </c>
      <c r="BK9" s="335" t="s">
        <v>1404</v>
      </c>
      <c r="BL9" s="335" t="s">
        <v>1410</v>
      </c>
      <c r="BM9" s="335" t="s">
        <v>1414</v>
      </c>
      <c r="BN9" s="251"/>
      <c r="BO9" s="388" t="s">
        <v>1130</v>
      </c>
      <c r="BP9" s="338" t="s">
        <v>1425</v>
      </c>
      <c r="BQ9" s="388" t="s">
        <v>1430</v>
      </c>
      <c r="BR9" s="388" t="s">
        <v>1434</v>
      </c>
      <c r="BS9" s="388" t="s">
        <v>1439</v>
      </c>
      <c r="BT9" s="388" t="s">
        <v>1443</v>
      </c>
      <c r="BU9" s="342" t="s">
        <v>1434</v>
      </c>
      <c r="BV9" s="342" t="s">
        <v>1452</v>
      </c>
      <c r="BW9" s="388" t="s">
        <v>1456</v>
      </c>
      <c r="BX9" s="251"/>
      <c r="BY9" s="426" t="s">
        <v>1462</v>
      </c>
      <c r="BZ9" s="469" t="s">
        <v>1466</v>
      </c>
      <c r="CA9" s="469" t="s">
        <v>1472</v>
      </c>
      <c r="CB9" s="472" t="s">
        <v>1476</v>
      </c>
      <c r="CC9" s="474"/>
      <c r="CD9" s="476"/>
      <c r="CE9" s="426" t="s">
        <v>1480</v>
      </c>
      <c r="CF9" s="480" t="s">
        <v>1484</v>
      </c>
      <c r="CG9" s="426" t="s">
        <v>1486</v>
      </c>
      <c r="CH9" s="426" t="s">
        <v>1488</v>
      </c>
      <c r="CI9" s="426" t="s">
        <v>1493</v>
      </c>
      <c r="CJ9" s="469" t="s">
        <v>1499</v>
      </c>
      <c r="CK9" s="472"/>
    </row>
    <row r="10">
      <c r="A10" s="158" t="s">
        <v>373</v>
      </c>
      <c r="B10" s="241" t="s">
        <v>1504</v>
      </c>
      <c r="C10" s="237" t="s">
        <v>155</v>
      </c>
      <c r="D10" s="238" t="s">
        <v>79</v>
      </c>
      <c r="E10" s="239" t="s">
        <v>156</v>
      </c>
      <c r="F10" s="240" t="s">
        <v>719</v>
      </c>
      <c r="G10" s="241" t="s">
        <v>1508</v>
      </c>
      <c r="H10" s="308"/>
      <c r="I10" s="309" t="s">
        <v>1510</v>
      </c>
      <c r="J10" s="403"/>
      <c r="K10" s="486" t="s">
        <v>1517</v>
      </c>
      <c r="L10" s="310" t="s">
        <v>1524</v>
      </c>
      <c r="M10" s="308"/>
      <c r="N10" s="308"/>
      <c r="O10" s="487" t="s">
        <v>1531</v>
      </c>
      <c r="P10" s="251"/>
      <c r="Q10" s="316" t="s">
        <v>1533</v>
      </c>
      <c r="R10" s="353"/>
      <c r="S10" s="353"/>
      <c r="T10" s="488" t="s">
        <v>1537</v>
      </c>
      <c r="U10" s="352"/>
      <c r="V10" s="489" t="s">
        <v>1544</v>
      </c>
      <c r="W10" s="251"/>
      <c r="X10" s="257" t="s">
        <v>904</v>
      </c>
      <c r="Y10" s="491" t="s">
        <v>1556</v>
      </c>
      <c r="Z10" s="407" t="s">
        <v>1557</v>
      </c>
      <c r="AA10" s="407" t="s">
        <v>1559</v>
      </c>
      <c r="AB10" s="257" t="s">
        <v>1560</v>
      </c>
      <c r="AC10" s="407" t="s">
        <v>1569</v>
      </c>
      <c r="AD10" s="493" t="s">
        <v>1571</v>
      </c>
      <c r="AE10" s="257" t="s">
        <v>1573</v>
      </c>
      <c r="AF10" s="408"/>
      <c r="AG10" s="257" t="s">
        <v>1580</v>
      </c>
      <c r="AH10" s="496" t="s">
        <v>1583</v>
      </c>
      <c r="AI10" s="290"/>
      <c r="AJ10" s="323"/>
      <c r="AK10" s="409" t="s">
        <v>1589</v>
      </c>
      <c r="AL10" s="411" t="s">
        <v>1591</v>
      </c>
      <c r="AM10" s="371" t="s">
        <v>1596</v>
      </c>
      <c r="AN10" s="499"/>
      <c r="AO10" s="371" t="s">
        <v>1604</v>
      </c>
      <c r="AP10" s="409" t="s">
        <v>1610</v>
      </c>
      <c r="AQ10" s="501" t="s">
        <v>1612</v>
      </c>
      <c r="AR10" s="323"/>
      <c r="AS10" s="323"/>
      <c r="AT10" s="323"/>
      <c r="AU10" s="323"/>
      <c r="AV10" s="409" t="s">
        <v>1620</v>
      </c>
      <c r="AW10" s="409" t="s">
        <v>1621</v>
      </c>
      <c r="AX10" s="503" t="s">
        <v>1623</v>
      </c>
      <c r="AY10" s="503" t="s">
        <v>1625</v>
      </c>
      <c r="AZ10" s="351"/>
      <c r="BA10" s="326"/>
      <c r="BB10" s="505" t="s">
        <v>1627</v>
      </c>
      <c r="BC10" s="375" t="s">
        <v>1628</v>
      </c>
      <c r="BD10" s="415"/>
      <c r="BE10" s="375" t="s">
        <v>1640</v>
      </c>
      <c r="BF10" s="351"/>
      <c r="BG10" s="335" t="s">
        <v>1644</v>
      </c>
      <c r="BH10" s="509" t="s">
        <v>1648</v>
      </c>
      <c r="BI10" s="332"/>
      <c r="BJ10" s="332"/>
      <c r="BK10" s="332"/>
      <c r="BL10" s="332"/>
      <c r="BM10" s="511" t="s">
        <v>1654</v>
      </c>
      <c r="BN10" s="290"/>
      <c r="BO10" s="388" t="s">
        <v>1659</v>
      </c>
      <c r="BP10" s="337"/>
      <c r="BQ10" s="340"/>
      <c r="BR10" s="336" t="s">
        <v>1664</v>
      </c>
      <c r="BS10" s="340"/>
      <c r="BT10" s="337" t="s">
        <v>802</v>
      </c>
      <c r="BU10" s="340"/>
      <c r="BV10" s="337" t="s">
        <v>1669</v>
      </c>
      <c r="BW10" s="388" t="s">
        <v>1670</v>
      </c>
      <c r="BX10" s="290"/>
      <c r="BY10" s="514"/>
      <c r="BZ10" s="426" t="s">
        <v>694</v>
      </c>
      <c r="CA10" s="345"/>
      <c r="CB10" s="346"/>
      <c r="CC10" s="345"/>
      <c r="CD10" s="472" t="s">
        <v>1678</v>
      </c>
      <c r="CE10" s="345"/>
      <c r="CF10" s="426" t="s">
        <v>1680</v>
      </c>
      <c r="CG10" s="515" t="s">
        <v>1686</v>
      </c>
      <c r="CH10" s="345"/>
      <c r="CI10" s="345"/>
      <c r="CJ10" s="346"/>
      <c r="CK10" s="346"/>
    </row>
    <row r="11">
      <c r="A11" s="517" t="s">
        <v>129</v>
      </c>
      <c r="B11" s="241" t="s">
        <v>1691</v>
      </c>
      <c r="C11" s="237" t="s">
        <v>79</v>
      </c>
      <c r="D11" s="238" t="s">
        <v>261</v>
      </c>
      <c r="E11" s="239" t="s">
        <v>81</v>
      </c>
      <c r="F11" s="240" t="s">
        <v>1694</v>
      </c>
      <c r="G11" s="241" t="s">
        <v>1695</v>
      </c>
      <c r="H11" s="308"/>
      <c r="I11" s="310" t="s">
        <v>1696</v>
      </c>
      <c r="J11" s="348" t="s">
        <v>1700</v>
      </c>
      <c r="K11" s="348"/>
      <c r="L11" s="486" t="s">
        <v>1702</v>
      </c>
      <c r="M11" s="308"/>
      <c r="N11" s="307" t="s">
        <v>1709</v>
      </c>
      <c r="O11" s="308"/>
      <c r="P11" s="251"/>
      <c r="Q11" s="520" t="s">
        <v>1713</v>
      </c>
      <c r="R11" s="404" t="s">
        <v>1716</v>
      </c>
      <c r="S11" s="353"/>
      <c r="T11" s="353"/>
      <c r="U11" s="520" t="s">
        <v>1719</v>
      </c>
      <c r="V11" s="313" t="s">
        <v>1722</v>
      </c>
      <c r="W11" s="251"/>
      <c r="X11" s="260" t="s">
        <v>1724</v>
      </c>
      <c r="Y11" s="317"/>
      <c r="Z11" s="317" t="s">
        <v>1728</v>
      </c>
      <c r="AA11" s="437" t="s">
        <v>1730</v>
      </c>
      <c r="AB11" s="317"/>
      <c r="AC11" s="317" t="s">
        <v>1731</v>
      </c>
      <c r="AD11" s="321" t="s">
        <v>902</v>
      </c>
      <c r="AE11" s="318"/>
      <c r="AF11" s="318"/>
      <c r="AG11" s="317" t="s">
        <v>1737</v>
      </c>
      <c r="AH11" s="267"/>
      <c r="AI11" s="251"/>
      <c r="AJ11" s="323"/>
      <c r="AK11" s="323"/>
      <c r="AL11" s="323"/>
      <c r="AM11" s="371" t="s">
        <v>1738</v>
      </c>
      <c r="AN11" s="323"/>
      <c r="AO11" s="411" t="s">
        <v>1742</v>
      </c>
      <c r="AP11" s="325" t="s">
        <v>1746</v>
      </c>
      <c r="AQ11" s="324" t="s">
        <v>1750</v>
      </c>
      <c r="AR11" s="323"/>
      <c r="AS11" s="323"/>
      <c r="AT11" s="323"/>
      <c r="AU11" s="323"/>
      <c r="AV11" s="323"/>
      <c r="AW11" s="411" t="s">
        <v>1755</v>
      </c>
      <c r="AX11" s="323"/>
      <c r="AY11" s="323"/>
      <c r="AZ11" s="351"/>
      <c r="BA11" s="326"/>
      <c r="BB11" s="326"/>
      <c r="BC11" s="327" t="s">
        <v>754</v>
      </c>
      <c r="BD11" s="415"/>
      <c r="BE11" s="416" t="s">
        <v>1762</v>
      </c>
      <c r="BF11" s="351"/>
      <c r="BG11" s="382" t="s">
        <v>1764</v>
      </c>
      <c r="BH11" s="382" t="s">
        <v>1766</v>
      </c>
      <c r="BI11" s="382" t="s">
        <v>933</v>
      </c>
      <c r="BJ11" s="332"/>
      <c r="BK11" s="332"/>
      <c r="BL11" s="332"/>
      <c r="BM11" s="378" t="s">
        <v>1774</v>
      </c>
      <c r="BN11" s="251"/>
      <c r="BO11" s="342" t="s">
        <v>1775</v>
      </c>
      <c r="BP11" s="337"/>
      <c r="BQ11" s="339" t="s">
        <v>1777</v>
      </c>
      <c r="BR11" s="340"/>
      <c r="BS11" s="340"/>
      <c r="BT11" s="342" t="s">
        <v>1779</v>
      </c>
      <c r="BU11" s="340"/>
      <c r="BV11" s="339" t="s">
        <v>1781</v>
      </c>
      <c r="BW11" s="339" t="s">
        <v>1782</v>
      </c>
      <c r="BX11" s="251"/>
      <c r="BY11" s="396" t="s">
        <v>1784</v>
      </c>
      <c r="BZ11" s="344" t="s">
        <v>853</v>
      </c>
      <c r="CA11" s="345"/>
      <c r="CB11" s="346"/>
      <c r="CC11" s="345"/>
      <c r="CD11" s="345"/>
      <c r="CE11" s="345"/>
      <c r="CF11" s="345"/>
      <c r="CG11" s="345"/>
      <c r="CH11" s="345"/>
      <c r="CI11" s="345"/>
      <c r="CJ11" s="346"/>
      <c r="CK11" s="346"/>
    </row>
    <row r="12">
      <c r="A12" s="347" t="s">
        <v>1789</v>
      </c>
      <c r="B12" s="241" t="s">
        <v>1790</v>
      </c>
      <c r="C12" s="237" t="s">
        <v>155</v>
      </c>
      <c r="D12" s="238" t="s">
        <v>157</v>
      </c>
      <c r="E12" s="239" t="s">
        <v>127</v>
      </c>
      <c r="F12" s="240" t="s">
        <v>1792</v>
      </c>
      <c r="G12" s="241" t="s">
        <v>1792</v>
      </c>
      <c r="H12" s="309" t="s">
        <v>1793</v>
      </c>
      <c r="I12" s="309" t="s">
        <v>1798</v>
      </c>
      <c r="J12" s="309" t="s">
        <v>1224</v>
      </c>
      <c r="K12" s="309" t="s">
        <v>1801</v>
      </c>
      <c r="L12" s="308"/>
      <c r="M12" s="308"/>
      <c r="N12" s="308"/>
      <c r="O12" s="309" t="s">
        <v>1804</v>
      </c>
      <c r="P12" s="251"/>
      <c r="Q12" s="316" t="s">
        <v>1809</v>
      </c>
      <c r="R12" s="353"/>
      <c r="S12" s="316" t="s">
        <v>1813</v>
      </c>
      <c r="T12" s="316" t="s">
        <v>1815</v>
      </c>
      <c r="U12" s="316" t="s">
        <v>1822</v>
      </c>
      <c r="V12" s="316" t="s">
        <v>1826</v>
      </c>
      <c r="W12" s="251"/>
      <c r="X12" s="257" t="s">
        <v>1832</v>
      </c>
      <c r="Y12" s="257" t="s">
        <v>1835</v>
      </c>
      <c r="Z12" s="257" t="s">
        <v>1837</v>
      </c>
      <c r="AA12" s="257" t="s">
        <v>1277</v>
      </c>
      <c r="AB12" s="257" t="s">
        <v>1844</v>
      </c>
      <c r="AC12" s="257" t="s">
        <v>1848</v>
      </c>
      <c r="AD12" s="257" t="s">
        <v>1851</v>
      </c>
      <c r="AE12" s="257" t="s">
        <v>1853</v>
      </c>
      <c r="AF12" s="408"/>
      <c r="AG12" s="257" t="s">
        <v>1858</v>
      </c>
      <c r="AH12" s="267"/>
      <c r="AI12" s="251"/>
      <c r="AJ12" s="531"/>
      <c r="AK12" s="325" t="s">
        <v>1862</v>
      </c>
      <c r="AL12" s="323"/>
      <c r="AM12" s="371" t="s">
        <v>1868</v>
      </c>
      <c r="AN12" s="323"/>
      <c r="AO12" s="323"/>
      <c r="AP12" s="371" t="s">
        <v>1871</v>
      </c>
      <c r="AQ12" s="323"/>
      <c r="AR12" s="325" t="s">
        <v>1877</v>
      </c>
      <c r="AS12" s="371" t="s">
        <v>1881</v>
      </c>
      <c r="AT12" s="323"/>
      <c r="AU12" s="411" t="s">
        <v>1886</v>
      </c>
      <c r="AV12" s="323"/>
      <c r="AW12" s="371" t="s">
        <v>1887</v>
      </c>
      <c r="AX12" s="371" t="s">
        <v>1890</v>
      </c>
      <c r="AY12" s="371" t="s">
        <v>1892</v>
      </c>
      <c r="AZ12" s="351"/>
      <c r="BA12" s="375" t="s">
        <v>1895</v>
      </c>
      <c r="BB12" s="375" t="s">
        <v>1901</v>
      </c>
      <c r="BC12" s="375" t="s">
        <v>1903</v>
      </c>
      <c r="BD12" s="415"/>
      <c r="BE12" s="375" t="s">
        <v>1907</v>
      </c>
      <c r="BF12" s="351"/>
      <c r="BG12" s="335" t="s">
        <v>1910</v>
      </c>
      <c r="BH12" s="335" t="s">
        <v>1912</v>
      </c>
      <c r="BI12" s="335" t="s">
        <v>711</v>
      </c>
      <c r="BJ12" s="382" t="s">
        <v>1919</v>
      </c>
      <c r="BK12" s="335" t="s">
        <v>372</v>
      </c>
      <c r="BL12" s="332"/>
      <c r="BM12" s="335" t="s">
        <v>1927</v>
      </c>
      <c r="BN12" s="251"/>
      <c r="BO12" s="340"/>
      <c r="BP12" s="337"/>
      <c r="BQ12" s="388" t="s">
        <v>1931</v>
      </c>
      <c r="BR12" s="388" t="s">
        <v>1935</v>
      </c>
      <c r="BS12" s="340"/>
      <c r="BT12" s="388" t="s">
        <v>1938</v>
      </c>
      <c r="BU12" s="340"/>
      <c r="BV12" s="388" t="s">
        <v>1941</v>
      </c>
      <c r="BW12" s="388" t="s">
        <v>1946</v>
      </c>
      <c r="BX12" s="251"/>
      <c r="BY12" s="426" t="s">
        <v>1129</v>
      </c>
      <c r="BZ12" s="426" t="s">
        <v>1950</v>
      </c>
      <c r="CA12" s="472" t="s">
        <v>1955</v>
      </c>
      <c r="CB12" s="346"/>
      <c r="CC12" s="345"/>
      <c r="CD12" s="472" t="s">
        <v>1678</v>
      </c>
      <c r="CE12" s="426" t="s">
        <v>1960</v>
      </c>
      <c r="CF12" s="426" t="s">
        <v>1963</v>
      </c>
      <c r="CG12" s="469" t="s">
        <v>1966</v>
      </c>
      <c r="CH12" s="345"/>
      <c r="CI12" s="426" t="s">
        <v>1970</v>
      </c>
      <c r="CJ12" s="346"/>
      <c r="CK12" s="346"/>
    </row>
    <row r="13">
      <c r="A13" s="158" t="s">
        <v>984</v>
      </c>
      <c r="B13" s="241" t="s">
        <v>1975</v>
      </c>
      <c r="C13" s="237" t="s">
        <v>156</v>
      </c>
      <c r="D13" s="238" t="s">
        <v>79</v>
      </c>
      <c r="E13" s="239" t="s">
        <v>157</v>
      </c>
      <c r="F13" s="240" t="s">
        <v>1976</v>
      </c>
      <c r="G13" s="241" t="s">
        <v>556</v>
      </c>
      <c r="H13" s="553" t="s">
        <v>1978</v>
      </c>
      <c r="I13" s="486" t="s">
        <v>1979</v>
      </c>
      <c r="J13" s="310" t="s">
        <v>1982</v>
      </c>
      <c r="K13" s="309" t="s">
        <v>1987</v>
      </c>
      <c r="L13" s="558" t="s">
        <v>1991</v>
      </c>
      <c r="M13" s="308"/>
      <c r="N13" s="308"/>
      <c r="O13" s="487" t="s">
        <v>1992</v>
      </c>
      <c r="P13" s="251"/>
      <c r="Q13" s="316" t="s">
        <v>1994</v>
      </c>
      <c r="R13" s="353"/>
      <c r="S13" s="353"/>
      <c r="T13" s="520" t="s">
        <v>1998</v>
      </c>
      <c r="U13" s="352"/>
      <c r="V13" s="489" t="s">
        <v>2000</v>
      </c>
      <c r="W13" s="251"/>
      <c r="X13" s="318"/>
      <c r="Y13" s="407" t="s">
        <v>2002</v>
      </c>
      <c r="Z13" s="491" t="s">
        <v>1991</v>
      </c>
      <c r="AA13" s="491" t="s">
        <v>2003</v>
      </c>
      <c r="AB13" s="321" t="s">
        <v>2004</v>
      </c>
      <c r="AC13" s="407" t="s">
        <v>2008</v>
      </c>
      <c r="AD13" s="257" t="s">
        <v>2009</v>
      </c>
      <c r="AE13" s="321" t="s">
        <v>2012</v>
      </c>
      <c r="AF13" s="408"/>
      <c r="AG13" s="491" t="s">
        <v>2018</v>
      </c>
      <c r="AH13" s="267"/>
      <c r="AI13" s="251"/>
      <c r="AJ13" s="531"/>
      <c r="AK13" s="371" t="s">
        <v>2019</v>
      </c>
      <c r="AL13" s="323"/>
      <c r="AM13" s="563"/>
      <c r="AN13" s="563" t="s">
        <v>2024</v>
      </c>
      <c r="AO13" s="566" t="s">
        <v>2025</v>
      </c>
      <c r="AP13" s="567" t="s">
        <v>2030</v>
      </c>
      <c r="AQ13" s="567" t="s">
        <v>2031</v>
      </c>
      <c r="AR13" s="568"/>
      <c r="AS13" s="324" t="s">
        <v>931</v>
      </c>
      <c r="AT13" s="563"/>
      <c r="AU13" s="499"/>
      <c r="AV13" s="324" t="s">
        <v>2036</v>
      </c>
      <c r="AW13" s="371" t="s">
        <v>2039</v>
      </c>
      <c r="AX13" s="503" t="s">
        <v>2041</v>
      </c>
      <c r="AY13" s="503" t="s">
        <v>2042</v>
      </c>
      <c r="AZ13" s="351"/>
      <c r="BA13" s="330"/>
      <c r="BB13" s="375" t="s">
        <v>2045</v>
      </c>
      <c r="BC13" s="375" t="s">
        <v>2049</v>
      </c>
      <c r="BD13" s="415"/>
      <c r="BE13" s="505" t="s">
        <v>2054</v>
      </c>
      <c r="BF13" s="351"/>
      <c r="BG13" s="570" t="s">
        <v>2055</v>
      </c>
      <c r="BH13" s="335" t="s">
        <v>2059</v>
      </c>
      <c r="BI13" s="378"/>
      <c r="BJ13" s="378"/>
      <c r="BK13" s="572" t="s">
        <v>2064</v>
      </c>
      <c r="BL13" s="332"/>
      <c r="BM13" s="572" t="s">
        <v>2066</v>
      </c>
      <c r="BN13" s="251"/>
      <c r="BO13" s="388" t="s">
        <v>2067</v>
      </c>
      <c r="BP13" s="337"/>
      <c r="BQ13" s="342" t="s">
        <v>2071</v>
      </c>
      <c r="BR13" s="341" t="s">
        <v>2075</v>
      </c>
      <c r="BS13" s="340"/>
      <c r="BT13" s="388" t="s">
        <v>2076</v>
      </c>
      <c r="BU13" s="340"/>
      <c r="BV13" s="337" t="s">
        <v>2080</v>
      </c>
      <c r="BW13" s="575" t="s">
        <v>2081</v>
      </c>
      <c r="BX13" s="290"/>
      <c r="BY13" s="515" t="s">
        <v>2082</v>
      </c>
      <c r="BZ13" s="345"/>
      <c r="CA13" s="474"/>
      <c r="CB13" s="344" t="s">
        <v>2086</v>
      </c>
      <c r="CC13" s="514"/>
      <c r="CD13" s="515" t="s">
        <v>843</v>
      </c>
      <c r="CE13" s="345"/>
      <c r="CF13" s="515" t="s">
        <v>2089</v>
      </c>
      <c r="CG13" s="345"/>
      <c r="CH13" s="469" t="s">
        <v>2091</v>
      </c>
      <c r="CI13" s="345"/>
      <c r="CJ13" s="346"/>
      <c r="CK13" s="346"/>
    </row>
    <row r="14">
      <c r="A14" s="577" t="s">
        <v>109</v>
      </c>
      <c r="B14" s="241" t="s">
        <v>2093</v>
      </c>
      <c r="C14" s="237" t="s">
        <v>76</v>
      </c>
      <c r="D14" s="238" t="s">
        <v>155</v>
      </c>
      <c r="E14" s="239" t="s">
        <v>127</v>
      </c>
      <c r="F14" s="240" t="s">
        <v>191</v>
      </c>
      <c r="G14" s="241" t="s">
        <v>2094</v>
      </c>
      <c r="H14" s="309" t="s">
        <v>1540</v>
      </c>
      <c r="I14" s="578" t="s">
        <v>2098</v>
      </c>
      <c r="J14" s="348" t="s">
        <v>2100</v>
      </c>
      <c r="K14" s="348" t="s">
        <v>2102</v>
      </c>
      <c r="L14" s="348" t="s">
        <v>2104</v>
      </c>
      <c r="M14" s="155"/>
      <c r="N14" s="348" t="s">
        <v>2107</v>
      </c>
      <c r="O14" s="348" t="s">
        <v>2108</v>
      </c>
      <c r="P14" s="251"/>
      <c r="Q14" s="155"/>
      <c r="R14" s="352" t="s">
        <v>2109</v>
      </c>
      <c r="S14" s="352" t="s">
        <v>2110</v>
      </c>
      <c r="T14" s="352" t="s">
        <v>2111</v>
      </c>
      <c r="U14" s="352" t="s">
        <v>2112</v>
      </c>
      <c r="V14" s="352" t="s">
        <v>2113</v>
      </c>
      <c r="W14" s="251"/>
      <c r="X14" s="317" t="s">
        <v>2114</v>
      </c>
      <c r="Y14" s="317" t="s">
        <v>2116</v>
      </c>
      <c r="Z14" s="407" t="s">
        <v>2117</v>
      </c>
      <c r="AA14" s="581" t="s">
        <v>2118</v>
      </c>
      <c r="AB14" s="317" t="s">
        <v>2119</v>
      </c>
      <c r="AC14" s="317" t="s">
        <v>2120</v>
      </c>
      <c r="AD14" s="437" t="s">
        <v>2121</v>
      </c>
      <c r="AE14" s="582" t="s">
        <v>2123</v>
      </c>
      <c r="AF14" s="260" t="s">
        <v>422</v>
      </c>
      <c r="AG14" s="317" t="s">
        <v>2124</v>
      </c>
      <c r="AH14" s="584" t="s">
        <v>2125</v>
      </c>
      <c r="AI14" s="251"/>
      <c r="AJ14" s="442"/>
      <c r="AK14" s="363" t="s">
        <v>2128</v>
      </c>
      <c r="AL14" s="358"/>
      <c r="AM14" s="358" t="s">
        <v>2130</v>
      </c>
      <c r="AN14" s="371" t="s">
        <v>2131</v>
      </c>
      <c r="AO14" s="358" t="s">
        <v>2132</v>
      </c>
      <c r="AP14" s="363" t="s">
        <v>2133</v>
      </c>
      <c r="AQ14" s="358" t="s">
        <v>2135</v>
      </c>
      <c r="AR14" s="411" t="s">
        <v>2136</v>
      </c>
      <c r="AS14" s="358" t="s">
        <v>2137</v>
      </c>
      <c r="AT14" s="358"/>
      <c r="AU14" s="358"/>
      <c r="AV14" s="358"/>
      <c r="AW14" s="363" t="s">
        <v>845</v>
      </c>
      <c r="AX14" s="503" t="s">
        <v>2139</v>
      </c>
      <c r="AY14" s="358" t="s">
        <v>2140</v>
      </c>
      <c r="AZ14" s="351"/>
      <c r="BA14" s="416" t="s">
        <v>2141</v>
      </c>
      <c r="BB14" s="416" t="s">
        <v>2143</v>
      </c>
      <c r="BC14" s="416" t="s">
        <v>2145</v>
      </c>
      <c r="BD14" s="416" t="s">
        <v>2146</v>
      </c>
      <c r="BE14" s="375" t="s">
        <v>2147</v>
      </c>
      <c r="BF14" s="351"/>
      <c r="BG14" s="378" t="s">
        <v>2150</v>
      </c>
      <c r="BH14" s="378" t="s">
        <v>2151</v>
      </c>
      <c r="BI14" s="335" t="s">
        <v>1255</v>
      </c>
      <c r="BJ14" s="570" t="s">
        <v>2153</v>
      </c>
      <c r="BK14" s="585" t="s">
        <v>2155</v>
      </c>
      <c r="BL14" s="378"/>
      <c r="BM14" s="378" t="s">
        <v>2157</v>
      </c>
      <c r="BN14" s="251"/>
      <c r="BO14" s="388" t="s">
        <v>2158</v>
      </c>
      <c r="BP14" s="341"/>
      <c r="BQ14" s="588" t="s">
        <v>2161</v>
      </c>
      <c r="BR14" s="339" t="s">
        <v>2162</v>
      </c>
      <c r="BS14" s="339"/>
      <c r="BT14" s="590" t="s">
        <v>2165</v>
      </c>
      <c r="BU14" s="341" t="s">
        <v>2168</v>
      </c>
      <c r="BV14" s="339" t="s">
        <v>2169</v>
      </c>
      <c r="BW14" s="339" t="s">
        <v>2170</v>
      </c>
      <c r="BX14" s="251"/>
      <c r="BY14" s="396" t="s">
        <v>2171</v>
      </c>
      <c r="BZ14" s="396" t="s">
        <v>2172</v>
      </c>
      <c r="CA14" s="345"/>
      <c r="CB14" s="346"/>
      <c r="CC14" s="345"/>
      <c r="CD14" s="396" t="s">
        <v>2174</v>
      </c>
      <c r="CE14" s="396" t="s">
        <v>2175</v>
      </c>
      <c r="CF14" s="396" t="s">
        <v>2176</v>
      </c>
      <c r="CG14" s="396"/>
      <c r="CH14" s="426" t="s">
        <v>2177</v>
      </c>
      <c r="CI14" s="345"/>
      <c r="CJ14" s="346"/>
      <c r="CK14" s="346"/>
    </row>
    <row r="15">
      <c r="A15" s="347" t="s">
        <v>116</v>
      </c>
      <c r="B15" s="241" t="s">
        <v>2184</v>
      </c>
      <c r="C15" s="237" t="s">
        <v>155</v>
      </c>
      <c r="D15" s="238" t="s">
        <v>127</v>
      </c>
      <c r="E15" s="239" t="s">
        <v>156</v>
      </c>
      <c r="F15" s="240" t="s">
        <v>74</v>
      </c>
      <c r="G15" s="241" t="s">
        <v>2007</v>
      </c>
      <c r="H15" s="308"/>
      <c r="I15" s="348" t="s">
        <v>2185</v>
      </c>
      <c r="J15" s="348"/>
      <c r="K15" s="309" t="s">
        <v>2186</v>
      </c>
      <c r="L15" s="348"/>
      <c r="M15" s="348"/>
      <c r="N15" s="308"/>
      <c r="O15" s="309" t="s">
        <v>2190</v>
      </c>
      <c r="P15" s="251"/>
      <c r="Q15" s="353"/>
      <c r="R15" s="354"/>
      <c r="S15" s="316" t="s">
        <v>2192</v>
      </c>
      <c r="T15" s="353"/>
      <c r="U15" s="353"/>
      <c r="V15" s="316" t="s">
        <v>2196</v>
      </c>
      <c r="W15" s="251"/>
      <c r="X15" s="321" t="s">
        <v>2198</v>
      </c>
      <c r="Y15" s="318"/>
      <c r="Z15" s="317" t="s">
        <v>2200</v>
      </c>
      <c r="AA15" s="257" t="s">
        <v>2201</v>
      </c>
      <c r="AB15" s="317" t="s">
        <v>2205</v>
      </c>
      <c r="AC15" s="257" t="s">
        <v>988</v>
      </c>
      <c r="AD15" s="317" t="s">
        <v>2207</v>
      </c>
      <c r="AE15" s="317" t="s">
        <v>2209</v>
      </c>
      <c r="AF15" s="317"/>
      <c r="AG15" s="257" t="s">
        <v>2211</v>
      </c>
      <c r="AH15" s="267"/>
      <c r="AI15" s="251"/>
      <c r="AJ15" s="323"/>
      <c r="AK15" s="323"/>
      <c r="AL15" s="323"/>
      <c r="AM15" s="371" t="s">
        <v>2213</v>
      </c>
      <c r="AN15" s="323"/>
      <c r="AO15" s="323"/>
      <c r="AP15" s="358" t="s">
        <v>2218</v>
      </c>
      <c r="AQ15" s="323"/>
      <c r="AR15" s="323"/>
      <c r="AS15" s="323"/>
      <c r="AT15" s="323"/>
      <c r="AU15" s="323"/>
      <c r="AV15" s="323"/>
      <c r="AW15" s="323"/>
      <c r="AX15" s="371" t="s">
        <v>2220</v>
      </c>
      <c r="AY15" s="358" t="s">
        <v>2222</v>
      </c>
      <c r="AZ15" s="351"/>
      <c r="BA15" s="416"/>
      <c r="BB15" s="416"/>
      <c r="BC15" s="375" t="s">
        <v>2223</v>
      </c>
      <c r="BD15" s="330"/>
      <c r="BE15" s="416" t="s">
        <v>2228</v>
      </c>
      <c r="BF15" s="351"/>
      <c r="BG15" s="378" t="s">
        <v>2229</v>
      </c>
      <c r="BH15" s="570" t="s">
        <v>2230</v>
      </c>
      <c r="BI15" s="332"/>
      <c r="BJ15" s="332"/>
      <c r="BK15" s="570" t="s">
        <v>2236</v>
      </c>
      <c r="BL15" s="332"/>
      <c r="BM15" s="335" t="s">
        <v>2241</v>
      </c>
      <c r="BN15" s="251"/>
      <c r="BO15" s="339" t="s">
        <v>2242</v>
      </c>
      <c r="BP15" s="341"/>
      <c r="BQ15" s="339"/>
      <c r="BR15" s="388" t="s">
        <v>2243</v>
      </c>
      <c r="BS15" s="339"/>
      <c r="BT15" s="388" t="s">
        <v>2245</v>
      </c>
      <c r="BU15" s="340"/>
      <c r="BV15" s="336" t="s">
        <v>2247</v>
      </c>
      <c r="BW15" s="388" t="s">
        <v>2250</v>
      </c>
      <c r="BX15" s="251"/>
      <c r="BY15" s="469" t="s">
        <v>1286</v>
      </c>
      <c r="BZ15" s="345"/>
      <c r="CA15" s="345"/>
      <c r="CB15" s="346"/>
      <c r="CC15" s="345"/>
      <c r="CD15" s="345"/>
      <c r="CE15" s="345"/>
      <c r="CF15" s="396" t="s">
        <v>2253</v>
      </c>
      <c r="CG15" s="345"/>
      <c r="CH15" s="345"/>
      <c r="CI15" s="345"/>
      <c r="CJ15" s="346"/>
      <c r="CK15" s="346"/>
    </row>
    <row r="16">
      <c r="A16" s="347" t="s">
        <v>71</v>
      </c>
      <c r="B16" s="241" t="s">
        <v>2254</v>
      </c>
      <c r="C16" s="237" t="s">
        <v>155</v>
      </c>
      <c r="D16" s="238" t="s">
        <v>127</v>
      </c>
      <c r="E16" s="239" t="s">
        <v>76</v>
      </c>
      <c r="F16" s="240" t="s">
        <v>2255</v>
      </c>
      <c r="G16" s="241" t="s">
        <v>1508</v>
      </c>
      <c r="H16" s="309" t="s">
        <v>2258</v>
      </c>
      <c r="I16" s="309" t="s">
        <v>2261</v>
      </c>
      <c r="J16" s="308"/>
      <c r="K16" s="308"/>
      <c r="L16" s="309" t="s">
        <v>2263</v>
      </c>
      <c r="M16" s="308"/>
      <c r="N16" s="309" t="s">
        <v>2268</v>
      </c>
      <c r="O16" s="308"/>
      <c r="P16" s="251"/>
      <c r="Q16" s="316" t="s">
        <v>621</v>
      </c>
      <c r="R16" s="353"/>
      <c r="S16" s="316" t="s">
        <v>1589</v>
      </c>
      <c r="T16" s="316" t="s">
        <v>2274</v>
      </c>
      <c r="U16" s="353"/>
      <c r="V16" s="316" t="s">
        <v>2278</v>
      </c>
      <c r="W16" s="251"/>
      <c r="X16" s="257" t="s">
        <v>724</v>
      </c>
      <c r="Y16" s="257" t="s">
        <v>2280</v>
      </c>
      <c r="Z16" s="257" t="s">
        <v>2282</v>
      </c>
      <c r="AA16" s="437" t="s">
        <v>2286</v>
      </c>
      <c r="AB16" s="257" t="s">
        <v>2289</v>
      </c>
      <c r="AC16" s="257" t="s">
        <v>2292</v>
      </c>
      <c r="AD16" s="257" t="s">
        <v>2293</v>
      </c>
      <c r="AE16" s="257" t="s">
        <v>2295</v>
      </c>
      <c r="AF16" s="264"/>
      <c r="AG16" s="317" t="s">
        <v>2298</v>
      </c>
      <c r="AH16" s="267"/>
      <c r="AI16" s="251"/>
      <c r="AJ16" s="442"/>
      <c r="AK16" s="371" t="s">
        <v>2300</v>
      </c>
      <c r="AL16" s="371" t="s">
        <v>2305</v>
      </c>
      <c r="AM16" s="371" t="s">
        <v>2308</v>
      </c>
      <c r="AN16" s="358"/>
      <c r="AO16" s="323"/>
      <c r="AP16" s="371" t="s">
        <v>2309</v>
      </c>
      <c r="AQ16" s="323"/>
      <c r="AR16" s="371" t="s">
        <v>2311</v>
      </c>
      <c r="AS16" s="325" t="s">
        <v>2316</v>
      </c>
      <c r="AT16" s="371" t="s">
        <v>2320</v>
      </c>
      <c r="AU16" s="325" t="s">
        <v>2322</v>
      </c>
      <c r="AV16" s="323"/>
      <c r="AW16" s="371" t="s">
        <v>1235</v>
      </c>
      <c r="AX16" s="371" t="s">
        <v>2328</v>
      </c>
      <c r="AY16" s="371" t="s">
        <v>2335</v>
      </c>
      <c r="AZ16" s="351"/>
      <c r="BA16" s="326"/>
      <c r="BB16" s="375" t="s">
        <v>2338</v>
      </c>
      <c r="BC16" s="375" t="s">
        <v>2342</v>
      </c>
      <c r="BD16" s="330"/>
      <c r="BE16" s="375" t="s">
        <v>2344</v>
      </c>
      <c r="BF16" s="351"/>
      <c r="BG16" s="378" t="s">
        <v>2347</v>
      </c>
      <c r="BH16" s="378" t="s">
        <v>2348</v>
      </c>
      <c r="BI16" s="570" t="s">
        <v>2349</v>
      </c>
      <c r="BJ16" s="332"/>
      <c r="BK16" s="378" t="s">
        <v>2352</v>
      </c>
      <c r="BL16" s="332"/>
      <c r="BM16" s="378" t="s">
        <v>2353</v>
      </c>
      <c r="BN16" s="251"/>
      <c r="BO16" s="388" t="s">
        <v>2354</v>
      </c>
      <c r="BP16" s="337"/>
      <c r="BQ16" s="340"/>
      <c r="BR16" s="340"/>
      <c r="BS16" s="340"/>
      <c r="BT16" s="388" t="s">
        <v>2358</v>
      </c>
      <c r="BU16" s="340"/>
      <c r="BV16" s="339" t="s">
        <v>2363</v>
      </c>
      <c r="BW16" s="339" t="s">
        <v>2364</v>
      </c>
      <c r="BX16" s="251"/>
      <c r="BY16" s="426" t="s">
        <v>2365</v>
      </c>
      <c r="BZ16" s="396"/>
      <c r="CA16" s="345"/>
      <c r="CB16" s="346"/>
      <c r="CC16" s="345"/>
      <c r="CD16" s="345"/>
      <c r="CE16" s="396" t="s">
        <v>2369</v>
      </c>
      <c r="CF16" s="345"/>
      <c r="CG16" s="345"/>
      <c r="CH16" s="345"/>
      <c r="CI16" s="345"/>
      <c r="CJ16" s="346"/>
      <c r="CK16" s="346"/>
    </row>
    <row r="17">
      <c r="A17" s="347" t="s">
        <v>88</v>
      </c>
      <c r="B17" s="241" t="s">
        <v>2370</v>
      </c>
      <c r="C17" s="237" t="s">
        <v>155</v>
      </c>
      <c r="D17" s="238" t="s">
        <v>155</v>
      </c>
      <c r="E17" s="239" t="s">
        <v>155</v>
      </c>
      <c r="F17" s="240" t="s">
        <v>155</v>
      </c>
      <c r="G17" s="241" t="s">
        <v>1340</v>
      </c>
      <c r="H17" s="308"/>
      <c r="I17" s="348" t="s">
        <v>2374</v>
      </c>
      <c r="J17" s="348" t="s">
        <v>2375</v>
      </c>
      <c r="K17" s="348" t="s">
        <v>2376</v>
      </c>
      <c r="L17" s="487" t="s">
        <v>2377</v>
      </c>
      <c r="M17" s="308"/>
      <c r="N17" s="487" t="s">
        <v>2379</v>
      </c>
      <c r="O17" s="348" t="s">
        <v>2381</v>
      </c>
      <c r="P17" s="251"/>
      <c r="Q17" s="489" t="s">
        <v>2382</v>
      </c>
      <c r="R17" s="353"/>
      <c r="S17" s="353"/>
      <c r="T17" s="489" t="s">
        <v>2383</v>
      </c>
      <c r="U17" s="352"/>
      <c r="V17" s="489" t="s">
        <v>2384</v>
      </c>
      <c r="W17" s="251"/>
      <c r="X17" s="407" t="s">
        <v>2385</v>
      </c>
      <c r="Y17" s="407" t="s">
        <v>2388</v>
      </c>
      <c r="Z17" s="407" t="s">
        <v>2389</v>
      </c>
      <c r="AA17" s="407" t="s">
        <v>2390</v>
      </c>
      <c r="AB17" s="407" t="s">
        <v>2391</v>
      </c>
      <c r="AC17" s="317" t="s">
        <v>2392</v>
      </c>
      <c r="AD17" s="407" t="s">
        <v>2393</v>
      </c>
      <c r="AE17" s="407" t="s">
        <v>2394</v>
      </c>
      <c r="AF17" s="317"/>
      <c r="AG17" s="317" t="s">
        <v>2395</v>
      </c>
      <c r="AH17" s="614" t="s">
        <v>2396</v>
      </c>
      <c r="AI17" s="251"/>
      <c r="AJ17" s="323"/>
      <c r="AK17" s="323"/>
      <c r="AL17" s="323"/>
      <c r="AM17" s="358" t="s">
        <v>464</v>
      </c>
      <c r="AN17" s="323"/>
      <c r="AO17" s="503" t="s">
        <v>2398</v>
      </c>
      <c r="AP17" s="358" t="s">
        <v>2401</v>
      </c>
      <c r="AQ17" s="503" t="s">
        <v>2402</v>
      </c>
      <c r="AR17" s="323"/>
      <c r="AS17" s="323"/>
      <c r="AT17" s="323"/>
      <c r="AU17" s="323"/>
      <c r="AV17" s="323"/>
      <c r="AW17" s="503" t="s">
        <v>2079</v>
      </c>
      <c r="AX17" s="503" t="s">
        <v>1136</v>
      </c>
      <c r="AY17" s="358" t="s">
        <v>2404</v>
      </c>
      <c r="AZ17" s="351"/>
      <c r="BA17" s="326"/>
      <c r="BB17" s="326"/>
      <c r="BC17" s="615" t="s">
        <v>2405</v>
      </c>
      <c r="BD17" s="416"/>
      <c r="BE17" s="416" t="s">
        <v>2406</v>
      </c>
      <c r="BF17" s="351"/>
      <c r="BG17" s="572" t="s">
        <v>2407</v>
      </c>
      <c r="BH17" s="572" t="s">
        <v>2408</v>
      </c>
      <c r="BI17" s="332"/>
      <c r="BJ17" s="332"/>
      <c r="BK17" s="378" t="s">
        <v>2409</v>
      </c>
      <c r="BL17" s="332"/>
      <c r="BM17" s="572" t="s">
        <v>2410</v>
      </c>
      <c r="BN17" s="251"/>
      <c r="BO17" s="341" t="s">
        <v>2412</v>
      </c>
      <c r="BP17" s="337"/>
      <c r="BQ17" s="340"/>
      <c r="BR17" s="340"/>
      <c r="BS17" s="340"/>
      <c r="BT17" s="341" t="s">
        <v>1564</v>
      </c>
      <c r="BU17" s="340"/>
      <c r="BV17" s="340"/>
      <c r="BW17" s="337" t="s">
        <v>2413</v>
      </c>
      <c r="BX17" s="251"/>
      <c r="BY17" s="396" t="s">
        <v>2414</v>
      </c>
      <c r="BZ17" s="345"/>
      <c r="CA17" s="345"/>
      <c r="CB17" s="346"/>
      <c r="CC17" s="345"/>
      <c r="CD17" s="345"/>
      <c r="CE17" s="345"/>
      <c r="CF17" s="345"/>
      <c r="CG17" s="345"/>
      <c r="CH17" s="345"/>
      <c r="CI17" s="345"/>
      <c r="CJ17" s="346"/>
      <c r="CK17" s="346"/>
    </row>
    <row r="18">
      <c r="A18" s="347" t="s">
        <v>2416</v>
      </c>
      <c r="B18" s="241" t="s">
        <v>2417</v>
      </c>
      <c r="C18" s="237" t="s">
        <v>155</v>
      </c>
      <c r="D18" s="238" t="s">
        <v>155</v>
      </c>
      <c r="E18" s="239" t="s">
        <v>155</v>
      </c>
      <c r="F18" s="240" t="s">
        <v>81</v>
      </c>
      <c r="G18" s="241" t="s">
        <v>2418</v>
      </c>
      <c r="H18" s="308"/>
      <c r="I18" s="308"/>
      <c r="J18" s="348" t="s">
        <v>2419</v>
      </c>
      <c r="K18" s="348" t="s">
        <v>2420</v>
      </c>
      <c r="L18" s="309" t="s">
        <v>2421</v>
      </c>
      <c r="M18" s="308"/>
      <c r="N18" s="487" t="s">
        <v>2424</v>
      </c>
      <c r="O18" s="348" t="s">
        <v>2425</v>
      </c>
      <c r="P18" s="251"/>
      <c r="Q18" s="489" t="s">
        <v>2426</v>
      </c>
      <c r="R18" s="353"/>
      <c r="S18" s="353"/>
      <c r="T18" s="353"/>
      <c r="U18" s="352"/>
      <c r="V18" s="316" t="s">
        <v>2298</v>
      </c>
      <c r="W18" s="251"/>
      <c r="X18" s="318"/>
      <c r="Y18" s="257" t="s">
        <v>1884</v>
      </c>
      <c r="Z18" s="407" t="s">
        <v>2429</v>
      </c>
      <c r="AA18" s="617"/>
      <c r="AB18" s="318"/>
      <c r="AC18" s="407" t="s">
        <v>1439</v>
      </c>
      <c r="AD18" s="407" t="s">
        <v>2431</v>
      </c>
      <c r="AE18" s="407" t="s">
        <v>2433</v>
      </c>
      <c r="AF18" s="317"/>
      <c r="AG18" s="407" t="s">
        <v>2434</v>
      </c>
      <c r="AH18" s="267"/>
      <c r="AI18" s="251"/>
      <c r="AJ18" s="358"/>
      <c r="AK18" s="503" t="s">
        <v>2436</v>
      </c>
      <c r="AL18" s="323"/>
      <c r="AM18" s="323"/>
      <c r="AN18" s="323"/>
      <c r="AO18" s="323"/>
      <c r="AP18" s="503" t="s">
        <v>2437</v>
      </c>
      <c r="AQ18" s="323"/>
      <c r="AR18" s="323"/>
      <c r="AS18" s="323"/>
      <c r="AT18" s="323"/>
      <c r="AU18" s="323"/>
      <c r="AV18" s="323"/>
      <c r="AW18" s="371" t="s">
        <v>2438</v>
      </c>
      <c r="AX18" s="358" t="s">
        <v>2441</v>
      </c>
      <c r="AY18" s="358" t="s">
        <v>2442</v>
      </c>
      <c r="AZ18" s="351"/>
      <c r="BA18" s="416" t="s">
        <v>2443</v>
      </c>
      <c r="BB18" s="615" t="s">
        <v>2444</v>
      </c>
      <c r="BC18" s="375" t="s">
        <v>1824</v>
      </c>
      <c r="BD18" s="330"/>
      <c r="BE18" s="615" t="s">
        <v>2447</v>
      </c>
      <c r="BF18" s="351"/>
      <c r="BG18" s="378" t="s">
        <v>2448</v>
      </c>
      <c r="BH18" s="572" t="s">
        <v>2449</v>
      </c>
      <c r="BI18" s="378"/>
      <c r="BJ18" s="378"/>
      <c r="BK18" s="332"/>
      <c r="BL18" s="332"/>
      <c r="BM18" s="335" t="s">
        <v>2450</v>
      </c>
      <c r="BN18" s="251"/>
      <c r="BO18" s="341" t="s">
        <v>2454</v>
      </c>
      <c r="BP18" s="337"/>
      <c r="BQ18" s="340"/>
      <c r="BR18" s="339" t="s">
        <v>2455</v>
      </c>
      <c r="BS18" s="340"/>
      <c r="BT18" s="341" t="s">
        <v>2456</v>
      </c>
      <c r="BU18" s="340"/>
      <c r="BV18" s="339" t="s">
        <v>643</v>
      </c>
      <c r="BW18" s="339" t="s">
        <v>2457</v>
      </c>
      <c r="BX18" s="251"/>
      <c r="BY18" s="396" t="s">
        <v>848</v>
      </c>
      <c r="BZ18" s="426" t="s">
        <v>2458</v>
      </c>
      <c r="CA18" s="345"/>
      <c r="CB18" s="346"/>
      <c r="CC18" s="345"/>
      <c r="CD18" s="345"/>
      <c r="CE18" s="396" t="s">
        <v>2459</v>
      </c>
      <c r="CF18" s="515" t="s">
        <v>2460</v>
      </c>
      <c r="CG18" s="345"/>
      <c r="CH18" s="345"/>
      <c r="CI18" s="396" t="s">
        <v>2462</v>
      </c>
      <c r="CJ18" s="346"/>
      <c r="CK18" s="346"/>
    </row>
    <row r="19">
      <c r="A19" s="347" t="s">
        <v>2465</v>
      </c>
      <c r="B19" s="241" t="s">
        <v>1667</v>
      </c>
      <c r="C19" s="237" t="s">
        <v>155</v>
      </c>
      <c r="D19" s="238" t="s">
        <v>155</v>
      </c>
      <c r="E19" s="239" t="s">
        <v>155</v>
      </c>
      <c r="F19" s="240" t="s">
        <v>155</v>
      </c>
      <c r="G19" s="241" t="s">
        <v>2467</v>
      </c>
      <c r="H19" s="308"/>
      <c r="I19" s="487" t="s">
        <v>2468</v>
      </c>
      <c r="J19" s="348"/>
      <c r="K19" s="308"/>
      <c r="L19" s="308"/>
      <c r="M19" s="308"/>
      <c r="N19" s="308"/>
      <c r="O19" s="348" t="s">
        <v>2469</v>
      </c>
      <c r="P19" s="251"/>
      <c r="Q19" s="489" t="s">
        <v>2470</v>
      </c>
      <c r="R19" s="353"/>
      <c r="S19" s="353"/>
      <c r="T19" s="489" t="s">
        <v>2471</v>
      </c>
      <c r="U19" s="352"/>
      <c r="V19" s="352" t="s">
        <v>2472</v>
      </c>
      <c r="W19" s="251"/>
      <c r="X19" s="491" t="s">
        <v>2473</v>
      </c>
      <c r="Y19" s="317" t="s">
        <v>2474</v>
      </c>
      <c r="Z19" s="491" t="s">
        <v>1991</v>
      </c>
      <c r="AA19" s="407" t="s">
        <v>290</v>
      </c>
      <c r="AB19" s="407" t="s">
        <v>2477</v>
      </c>
      <c r="AC19" s="407" t="s">
        <v>538</v>
      </c>
      <c r="AD19" s="491" t="s">
        <v>507</v>
      </c>
      <c r="AE19" s="407" t="s">
        <v>2478</v>
      </c>
      <c r="AF19" s="317"/>
      <c r="AG19" s="407" t="s">
        <v>2479</v>
      </c>
      <c r="AH19" s="267"/>
      <c r="AI19" s="251"/>
      <c r="AJ19" s="323"/>
      <c r="AK19" s="409" t="s">
        <v>2480</v>
      </c>
      <c r="AL19" s="503" t="s">
        <v>2481</v>
      </c>
      <c r="AM19" s="409" t="s">
        <v>2482</v>
      </c>
      <c r="AN19" s="323"/>
      <c r="AO19" s="503" t="s">
        <v>2483</v>
      </c>
      <c r="AP19" s="409" t="s">
        <v>2484</v>
      </c>
      <c r="AQ19" s="503" t="s">
        <v>2485</v>
      </c>
      <c r="AR19" s="503" t="s">
        <v>2486</v>
      </c>
      <c r="AS19" s="323"/>
      <c r="AT19" s="323"/>
      <c r="AU19" s="323"/>
      <c r="AV19" s="323"/>
      <c r="AW19" s="409" t="s">
        <v>2487</v>
      </c>
      <c r="AX19" s="503" t="s">
        <v>2488</v>
      </c>
      <c r="AY19" s="503" t="s">
        <v>2489</v>
      </c>
      <c r="AZ19" s="351"/>
      <c r="BA19" s="416"/>
      <c r="BB19" s="615" t="s">
        <v>2492</v>
      </c>
      <c r="BC19" s="326"/>
      <c r="BD19" s="326"/>
      <c r="BE19" s="615" t="s">
        <v>2493</v>
      </c>
      <c r="BF19" s="351"/>
      <c r="BG19" s="572" t="s">
        <v>2494</v>
      </c>
      <c r="BH19" s="572" t="s">
        <v>2408</v>
      </c>
      <c r="BI19" s="332"/>
      <c r="BJ19" s="332"/>
      <c r="BK19" s="332"/>
      <c r="BL19" s="332"/>
      <c r="BM19" s="378" t="s">
        <v>2495</v>
      </c>
      <c r="BN19" s="251"/>
      <c r="BO19" s="341" t="s">
        <v>2497</v>
      </c>
      <c r="BP19" s="337"/>
      <c r="BQ19" s="340"/>
      <c r="BR19" s="341" t="s">
        <v>2498</v>
      </c>
      <c r="BS19" s="340"/>
      <c r="BT19" s="341" t="s">
        <v>2499</v>
      </c>
      <c r="BU19" s="340"/>
      <c r="BV19" s="341" t="s">
        <v>2501</v>
      </c>
      <c r="BW19" s="341" t="s">
        <v>2502</v>
      </c>
      <c r="BX19" s="251"/>
      <c r="BY19" s="515" t="s">
        <v>2505</v>
      </c>
      <c r="BZ19" s="345"/>
      <c r="CA19" s="345"/>
      <c r="CB19" s="346"/>
      <c r="CC19" s="345"/>
      <c r="CD19" s="345"/>
      <c r="CE19" s="345"/>
      <c r="CF19" s="345"/>
      <c r="CG19" s="345"/>
      <c r="CH19" s="345"/>
      <c r="CI19" s="345"/>
      <c r="CJ19" s="346"/>
      <c r="CK19" s="346"/>
    </row>
    <row r="20">
      <c r="A20" s="347" t="s">
        <v>100</v>
      </c>
      <c r="B20" s="241" t="s">
        <v>2508</v>
      </c>
      <c r="C20" s="237" t="s">
        <v>155</v>
      </c>
      <c r="D20" s="238" t="s">
        <v>76</v>
      </c>
      <c r="E20" s="239" t="s">
        <v>127</v>
      </c>
      <c r="F20" s="240" t="s">
        <v>211</v>
      </c>
      <c r="G20" s="241" t="s">
        <v>557</v>
      </c>
      <c r="H20" s="553" t="s">
        <v>698</v>
      </c>
      <c r="I20" s="308"/>
      <c r="J20" s="308"/>
      <c r="K20" s="308"/>
      <c r="L20" s="309" t="s">
        <v>2512</v>
      </c>
      <c r="M20" s="308"/>
      <c r="N20" s="309" t="s">
        <v>2513</v>
      </c>
      <c r="O20" s="308"/>
      <c r="P20" s="251"/>
      <c r="Q20" s="622" t="s">
        <v>2518</v>
      </c>
      <c r="R20" s="353"/>
      <c r="S20" s="352" t="s">
        <v>2521</v>
      </c>
      <c r="T20" s="622" t="s">
        <v>301</v>
      </c>
      <c r="U20" s="623" t="s">
        <v>2523</v>
      </c>
      <c r="V20" s="352" t="s">
        <v>2525</v>
      </c>
      <c r="W20" s="251"/>
      <c r="X20" s="257" t="s">
        <v>2526</v>
      </c>
      <c r="Y20" s="317" t="s">
        <v>2527</v>
      </c>
      <c r="Z20" s="317" t="s">
        <v>1991</v>
      </c>
      <c r="AA20" s="437" t="s">
        <v>2528</v>
      </c>
      <c r="AB20" s="317" t="s">
        <v>2533</v>
      </c>
      <c r="AC20" s="317" t="s">
        <v>2534</v>
      </c>
      <c r="AD20" s="317" t="s">
        <v>2535</v>
      </c>
      <c r="AE20" s="625" t="s">
        <v>604</v>
      </c>
      <c r="AF20" s="321" t="s">
        <v>2536</v>
      </c>
      <c r="AG20" s="317" t="s">
        <v>2539</v>
      </c>
      <c r="AH20" s="627" t="s">
        <v>2540</v>
      </c>
      <c r="AI20" s="251"/>
      <c r="AJ20" s="358"/>
      <c r="AK20" s="358" t="s">
        <v>2542</v>
      </c>
      <c r="AL20" s="358" t="s">
        <v>2543</v>
      </c>
      <c r="AM20" s="358" t="s">
        <v>2545</v>
      </c>
      <c r="AN20" s="358"/>
      <c r="AO20" s="323"/>
      <c r="AP20" s="363" t="s">
        <v>2549</v>
      </c>
      <c r="AQ20" s="323"/>
      <c r="AR20" s="358" t="s">
        <v>2551</v>
      </c>
      <c r="AS20" s="358" t="s">
        <v>2552</v>
      </c>
      <c r="AT20" s="358" t="s">
        <v>2553</v>
      </c>
      <c r="AU20" s="358" t="s">
        <v>2554</v>
      </c>
      <c r="AV20" s="323"/>
      <c r="AW20" s="363" t="s">
        <v>1461</v>
      </c>
      <c r="AX20" s="371" t="s">
        <v>2555</v>
      </c>
      <c r="AY20" s="358" t="s">
        <v>2558</v>
      </c>
      <c r="AZ20" s="351"/>
      <c r="BA20" s="416" t="s">
        <v>2559</v>
      </c>
      <c r="BB20" s="416" t="s">
        <v>2561</v>
      </c>
      <c r="BC20" s="416" t="s">
        <v>1259</v>
      </c>
      <c r="BD20" s="416" t="s">
        <v>2562</v>
      </c>
      <c r="BE20" s="416" t="s">
        <v>2563</v>
      </c>
      <c r="BF20" s="351"/>
      <c r="BG20" s="378" t="s">
        <v>2564</v>
      </c>
      <c r="BH20" s="378" t="s">
        <v>2565</v>
      </c>
      <c r="BI20" s="378" t="s">
        <v>2566</v>
      </c>
      <c r="BJ20" s="332"/>
      <c r="BK20" s="378" t="s">
        <v>2567</v>
      </c>
      <c r="BL20" s="378" t="s">
        <v>2568</v>
      </c>
      <c r="BM20" s="378" t="s">
        <v>2569</v>
      </c>
      <c r="BN20" s="251"/>
      <c r="BO20" s="341" t="s">
        <v>2571</v>
      </c>
      <c r="BP20" s="337"/>
      <c r="BQ20" s="339" t="s">
        <v>2573</v>
      </c>
      <c r="BR20" s="339" t="s">
        <v>2574</v>
      </c>
      <c r="BS20" s="342" t="s">
        <v>2575</v>
      </c>
      <c r="BT20" s="341" t="s">
        <v>2579</v>
      </c>
      <c r="BU20" s="388" t="s">
        <v>2581</v>
      </c>
      <c r="BV20" s="339" t="s">
        <v>2584</v>
      </c>
      <c r="BW20" s="339" t="s">
        <v>2585</v>
      </c>
      <c r="BX20" s="251"/>
      <c r="BY20" s="345"/>
      <c r="BZ20" s="396" t="s">
        <v>2586</v>
      </c>
      <c r="CA20" s="345"/>
      <c r="CB20" s="346"/>
      <c r="CC20" s="345"/>
      <c r="CD20" s="396" t="s">
        <v>2587</v>
      </c>
      <c r="CE20" s="396" t="s">
        <v>2588</v>
      </c>
      <c r="CF20" s="396" t="s">
        <v>2589</v>
      </c>
      <c r="CG20" s="345"/>
      <c r="CH20" s="345"/>
      <c r="CI20" s="396" t="s">
        <v>2591</v>
      </c>
      <c r="CJ20" s="346"/>
      <c r="CK20" s="346"/>
    </row>
    <row r="21">
      <c r="A21" s="347" t="s">
        <v>95</v>
      </c>
      <c r="B21" s="241" t="s">
        <v>2592</v>
      </c>
      <c r="C21" s="237" t="s">
        <v>155</v>
      </c>
      <c r="D21" s="238" t="s">
        <v>155</v>
      </c>
      <c r="E21" s="239" t="s">
        <v>76</v>
      </c>
      <c r="F21" s="240" t="s">
        <v>76</v>
      </c>
      <c r="G21" s="241" t="s">
        <v>2007</v>
      </c>
      <c r="H21" s="308"/>
      <c r="I21" s="308"/>
      <c r="J21" s="348" t="s">
        <v>2595</v>
      </c>
      <c r="K21" s="348" t="s">
        <v>2596</v>
      </c>
      <c r="L21" s="308"/>
      <c r="M21" s="308"/>
      <c r="N21" s="308"/>
      <c r="O21" s="487" t="s">
        <v>2597</v>
      </c>
      <c r="P21" s="251"/>
      <c r="Q21" s="352" t="s">
        <v>2598</v>
      </c>
      <c r="R21" s="353"/>
      <c r="S21" s="352" t="s">
        <v>300</v>
      </c>
      <c r="T21" s="352" t="s">
        <v>2599</v>
      </c>
      <c r="U21" s="352" t="s">
        <v>2600</v>
      </c>
      <c r="V21" s="489" t="s">
        <v>2601</v>
      </c>
      <c r="W21" s="251"/>
      <c r="X21" s="318"/>
      <c r="Y21" s="318"/>
      <c r="Z21" s="317" t="s">
        <v>2602</v>
      </c>
      <c r="AA21" s="617"/>
      <c r="AB21" s="317" t="s">
        <v>1843</v>
      </c>
      <c r="AC21" s="407" t="s">
        <v>2603</v>
      </c>
      <c r="AD21" s="318"/>
      <c r="AE21" s="318"/>
      <c r="AF21" s="318"/>
      <c r="AG21" s="407" t="s">
        <v>2604</v>
      </c>
      <c r="AH21" s="267"/>
      <c r="AI21" s="251"/>
      <c r="AJ21" s="323"/>
      <c r="AK21" s="323"/>
      <c r="AL21" s="323"/>
      <c r="AM21" s="358" t="s">
        <v>2607</v>
      </c>
      <c r="AN21" s="358"/>
      <c r="AO21" s="323"/>
      <c r="AP21" s="323"/>
      <c r="AQ21" s="323"/>
      <c r="AR21" s="323"/>
      <c r="AS21" s="323"/>
      <c r="AT21" s="323"/>
      <c r="AU21" s="323"/>
      <c r="AV21" s="323"/>
      <c r="AW21" s="358" t="s">
        <v>2609</v>
      </c>
      <c r="AX21" s="503" t="s">
        <v>2610</v>
      </c>
      <c r="AY21" s="323"/>
      <c r="AZ21" s="351"/>
      <c r="BA21" s="326"/>
      <c r="BB21" s="416" t="s">
        <v>2611</v>
      </c>
      <c r="BC21" s="416" t="s">
        <v>2613</v>
      </c>
      <c r="BD21" s="416"/>
      <c r="BE21" s="615" t="s">
        <v>2614</v>
      </c>
      <c r="BF21" s="351"/>
      <c r="BG21" s="378" t="s">
        <v>1987</v>
      </c>
      <c r="BH21" s="572" t="s">
        <v>2615</v>
      </c>
      <c r="BI21" s="378" t="s">
        <v>431</v>
      </c>
      <c r="BJ21" s="378" t="s">
        <v>2617</v>
      </c>
      <c r="BK21" s="378" t="s">
        <v>2619</v>
      </c>
      <c r="BL21" s="332"/>
      <c r="BM21" s="378" t="s">
        <v>2622</v>
      </c>
      <c r="BN21" s="251"/>
      <c r="BO21" s="339" t="s">
        <v>2623</v>
      </c>
      <c r="BP21" s="337"/>
      <c r="BQ21" s="340"/>
      <c r="BR21" s="342" t="s">
        <v>2624</v>
      </c>
      <c r="BS21" s="340"/>
      <c r="BT21" s="339" t="s">
        <v>2628</v>
      </c>
      <c r="BU21" s="340"/>
      <c r="BV21" s="339" t="s">
        <v>2629</v>
      </c>
      <c r="BW21" s="339" t="s">
        <v>2630</v>
      </c>
      <c r="BX21" s="251"/>
      <c r="BY21" s="396" t="s">
        <v>2631</v>
      </c>
      <c r="BZ21" s="474"/>
      <c r="CA21" s="345"/>
      <c r="CB21" s="346"/>
      <c r="CC21" s="345"/>
      <c r="CD21" s="345"/>
      <c r="CE21" s="345"/>
      <c r="CF21" s="345"/>
      <c r="CG21" s="345"/>
      <c r="CH21" s="345"/>
      <c r="CI21" s="345"/>
      <c r="CJ21" s="346"/>
      <c r="CK21" s="346"/>
    </row>
    <row r="22">
      <c r="A22" s="634" t="s">
        <v>2634</v>
      </c>
      <c r="B22" s="241" t="s">
        <v>2636</v>
      </c>
      <c r="C22" s="237" t="s">
        <v>155</v>
      </c>
      <c r="D22" s="238" t="s">
        <v>76</v>
      </c>
      <c r="E22" s="239" t="s">
        <v>155</v>
      </c>
      <c r="F22" s="240" t="s">
        <v>79</v>
      </c>
      <c r="G22" s="241" t="s">
        <v>2189</v>
      </c>
      <c r="H22" s="308"/>
      <c r="I22" s="308"/>
      <c r="J22" s="308"/>
      <c r="K22" s="308"/>
      <c r="L22" s="348" t="s">
        <v>2638</v>
      </c>
      <c r="M22" s="308"/>
      <c r="N22" s="348" t="s">
        <v>2639</v>
      </c>
      <c r="O22" s="308"/>
      <c r="P22" s="251"/>
      <c r="Q22" s="353"/>
      <c r="R22" s="353"/>
      <c r="S22" s="353"/>
      <c r="T22" s="353"/>
      <c r="U22" s="352" t="s">
        <v>2640</v>
      </c>
      <c r="V22" s="352" t="s">
        <v>2641</v>
      </c>
      <c r="W22" s="251"/>
      <c r="X22" s="317" t="s">
        <v>1315</v>
      </c>
      <c r="Y22" s="317" t="s">
        <v>2643</v>
      </c>
      <c r="Z22" s="317" t="s">
        <v>2644</v>
      </c>
      <c r="AA22" s="635" t="s">
        <v>2645</v>
      </c>
      <c r="AB22" s="317" t="s">
        <v>2635</v>
      </c>
      <c r="AC22" s="317" t="s">
        <v>2646</v>
      </c>
      <c r="AD22" s="317" t="s">
        <v>2647</v>
      </c>
      <c r="AE22" s="317" t="s">
        <v>2648</v>
      </c>
      <c r="AF22" s="317"/>
      <c r="AG22" s="317" t="s">
        <v>2649</v>
      </c>
      <c r="AH22" s="637" t="s">
        <v>2651</v>
      </c>
      <c r="AI22" s="251"/>
      <c r="AJ22" s="358"/>
      <c r="AK22" s="358" t="s">
        <v>2655</v>
      </c>
      <c r="AL22" s="323"/>
      <c r="AM22" s="358" t="s">
        <v>2656</v>
      </c>
      <c r="AN22" s="323"/>
      <c r="AO22" s="323"/>
      <c r="AP22" s="358" t="s">
        <v>2657</v>
      </c>
      <c r="AQ22" s="323"/>
      <c r="AR22" s="358" t="s">
        <v>2658</v>
      </c>
      <c r="AS22" s="358"/>
      <c r="AT22" s="155"/>
      <c r="AU22" s="323"/>
      <c r="AV22" s="503" t="s">
        <v>2660</v>
      </c>
      <c r="AW22" s="371" t="s">
        <v>2661</v>
      </c>
      <c r="AX22" s="358" t="s">
        <v>2664</v>
      </c>
      <c r="AY22" s="358" t="s">
        <v>2665</v>
      </c>
      <c r="AZ22" s="351"/>
      <c r="BA22" s="326"/>
      <c r="BB22" s="375" t="s">
        <v>2666</v>
      </c>
      <c r="BC22" s="416" t="s">
        <v>2670</v>
      </c>
      <c r="BD22" s="416"/>
      <c r="BE22" s="640" t="s">
        <v>2671</v>
      </c>
      <c r="BF22" s="351"/>
      <c r="BG22" s="332"/>
      <c r="BH22" s="332"/>
      <c r="BI22" s="332"/>
      <c r="BJ22" s="332"/>
      <c r="BK22" s="332"/>
      <c r="BL22" s="419" t="s">
        <v>2672</v>
      </c>
      <c r="BM22" s="378" t="s">
        <v>2674</v>
      </c>
      <c r="BN22" s="251"/>
      <c r="BO22" s="340"/>
      <c r="BP22" s="337"/>
      <c r="BQ22" s="340"/>
      <c r="BR22" s="340"/>
      <c r="BS22" s="336" t="s">
        <v>2675</v>
      </c>
      <c r="BT22" s="340"/>
      <c r="BU22" s="340"/>
      <c r="BV22" s="340"/>
      <c r="BW22" s="339" t="s">
        <v>2682</v>
      </c>
      <c r="BX22" s="251"/>
      <c r="BY22" s="345"/>
      <c r="BZ22" s="345"/>
      <c r="CA22" s="345"/>
      <c r="CB22" s="346"/>
      <c r="CC22" s="345"/>
      <c r="CD22" s="345"/>
      <c r="CE22" s="345"/>
      <c r="CF22" s="345"/>
      <c r="CG22" s="345"/>
      <c r="CH22" s="345"/>
      <c r="CI22" s="345"/>
      <c r="CJ22" s="346"/>
      <c r="CK22" s="346"/>
    </row>
    <row r="23">
      <c r="A23" s="347" t="s">
        <v>2496</v>
      </c>
      <c r="B23" s="241" t="s">
        <v>2687</v>
      </c>
      <c r="C23" s="237" t="s">
        <v>76</v>
      </c>
      <c r="D23" s="238" t="s">
        <v>155</v>
      </c>
      <c r="E23" s="239" t="s">
        <v>155</v>
      </c>
      <c r="F23" s="240" t="s">
        <v>76</v>
      </c>
      <c r="G23" s="241" t="s">
        <v>1601</v>
      </c>
      <c r="H23" s="308"/>
      <c r="I23" s="308"/>
      <c r="J23" s="348" t="s">
        <v>869</v>
      </c>
      <c r="K23" s="348" t="s">
        <v>2690</v>
      </c>
      <c r="L23" s="348"/>
      <c r="M23" s="308"/>
      <c r="N23" s="308"/>
      <c r="O23" s="348" t="s">
        <v>2691</v>
      </c>
      <c r="P23" s="251"/>
      <c r="Q23" s="352" t="s">
        <v>2692</v>
      </c>
      <c r="R23" s="352" t="s">
        <v>2693</v>
      </c>
      <c r="S23" s="352" t="s">
        <v>2694</v>
      </c>
      <c r="T23" s="352" t="s">
        <v>639</v>
      </c>
      <c r="U23" s="353"/>
      <c r="V23" s="352" t="s">
        <v>2697</v>
      </c>
      <c r="W23" s="251"/>
      <c r="X23" s="317" t="s">
        <v>2698</v>
      </c>
      <c r="Y23" s="318"/>
      <c r="Z23" s="317" t="s">
        <v>2699</v>
      </c>
      <c r="AA23" s="317" t="s">
        <v>2700</v>
      </c>
      <c r="AB23" s="317" t="s">
        <v>2701</v>
      </c>
      <c r="AC23" s="317" t="s">
        <v>2292</v>
      </c>
      <c r="AD23" s="317" t="s">
        <v>798</v>
      </c>
      <c r="AE23" s="317" t="s">
        <v>1768</v>
      </c>
      <c r="AF23" s="317"/>
      <c r="AG23" s="317" t="s">
        <v>2703</v>
      </c>
      <c r="AH23" s="641" t="s">
        <v>2704</v>
      </c>
      <c r="AI23" s="251"/>
      <c r="AJ23" s="323"/>
      <c r="AK23" s="323"/>
      <c r="AL23" s="324" t="s">
        <v>2705</v>
      </c>
      <c r="AM23" s="358" t="s">
        <v>2711</v>
      </c>
      <c r="AN23" s="358"/>
      <c r="AO23" s="323"/>
      <c r="AP23" s="323"/>
      <c r="AQ23" s="323"/>
      <c r="AR23" s="358" t="s">
        <v>2713</v>
      </c>
      <c r="AS23" s="358"/>
      <c r="AT23" s="323"/>
      <c r="AU23" s="358" t="s">
        <v>2714</v>
      </c>
      <c r="AV23" s="503" t="s">
        <v>2715</v>
      </c>
      <c r="AW23" s="358" t="s">
        <v>458</v>
      </c>
      <c r="AX23" s="503" t="s">
        <v>2717</v>
      </c>
      <c r="AY23" s="358" t="s">
        <v>2719</v>
      </c>
      <c r="AZ23" s="351"/>
      <c r="BA23" s="416" t="s">
        <v>2720</v>
      </c>
      <c r="BB23" s="416" t="s">
        <v>2721</v>
      </c>
      <c r="BC23" s="326"/>
      <c r="BD23" s="326"/>
      <c r="BE23" s="416" t="s">
        <v>2722</v>
      </c>
      <c r="BF23" s="351"/>
      <c r="BG23" s="378" t="s">
        <v>2229</v>
      </c>
      <c r="BH23" s="332"/>
      <c r="BI23" s="378" t="s">
        <v>1689</v>
      </c>
      <c r="BJ23" s="378" t="s">
        <v>2723</v>
      </c>
      <c r="BK23" s="378" t="s">
        <v>2724</v>
      </c>
      <c r="BL23" s="378" t="s">
        <v>2725</v>
      </c>
      <c r="BM23" s="585" t="s">
        <v>2726</v>
      </c>
      <c r="BN23" s="251"/>
      <c r="BO23" s="339" t="s">
        <v>2727</v>
      </c>
      <c r="BP23" s="339" t="s">
        <v>2728</v>
      </c>
      <c r="BQ23" s="340"/>
      <c r="BR23" s="339" t="s">
        <v>2730</v>
      </c>
      <c r="BS23" s="340"/>
      <c r="BT23" s="339" t="s">
        <v>2731</v>
      </c>
      <c r="BU23" s="339" t="s">
        <v>2732</v>
      </c>
      <c r="BV23" s="339" t="s">
        <v>2733</v>
      </c>
      <c r="BW23" s="339" t="s">
        <v>2734</v>
      </c>
      <c r="BX23" s="251"/>
      <c r="BY23" s="643" t="s">
        <v>2736</v>
      </c>
      <c r="BZ23" s="396" t="s">
        <v>1351</v>
      </c>
      <c r="CA23" s="345"/>
      <c r="CB23" s="346"/>
      <c r="CC23" s="345"/>
      <c r="CD23" s="345"/>
      <c r="CE23" s="396" t="s">
        <v>2737</v>
      </c>
      <c r="CF23" s="396" t="s">
        <v>2738</v>
      </c>
      <c r="CG23" s="345"/>
      <c r="CH23" s="345"/>
      <c r="CI23" s="345"/>
      <c r="CJ23" s="346"/>
      <c r="CK23" s="346"/>
    </row>
    <row r="24">
      <c r="A24" s="347" t="s">
        <v>2741</v>
      </c>
      <c r="B24" s="241" t="s">
        <v>2742</v>
      </c>
      <c r="C24" s="237" t="s">
        <v>155</v>
      </c>
      <c r="D24" s="238" t="s">
        <v>155</v>
      </c>
      <c r="E24" s="239" t="s">
        <v>155</v>
      </c>
      <c r="F24" s="240" t="s">
        <v>306</v>
      </c>
      <c r="G24" s="241" t="s">
        <v>1492</v>
      </c>
      <c r="H24" s="308"/>
      <c r="I24" s="308"/>
      <c r="J24" s="308"/>
      <c r="K24" s="308"/>
      <c r="L24" s="558" t="s">
        <v>2744</v>
      </c>
      <c r="M24" s="308"/>
      <c r="N24" s="487" t="s">
        <v>2745</v>
      </c>
      <c r="O24" s="308"/>
      <c r="P24" s="251"/>
      <c r="Q24" s="353"/>
      <c r="R24" s="353"/>
      <c r="S24" s="353"/>
      <c r="T24" s="353"/>
      <c r="U24" s="352"/>
      <c r="V24" s="489" t="s">
        <v>2746</v>
      </c>
      <c r="W24" s="251"/>
      <c r="X24" s="318"/>
      <c r="Y24" s="318"/>
      <c r="Z24" s="491" t="s">
        <v>2749</v>
      </c>
      <c r="AA24" s="318"/>
      <c r="AB24" s="318"/>
      <c r="AC24" s="318"/>
      <c r="AD24" s="318"/>
      <c r="AE24" s="647" t="str">
        <f>HYPERLINK("https://youtu.be/0lXotWIeH0g","49.54")</f>
        <v>49.54</v>
      </c>
      <c r="AF24" s="617"/>
      <c r="AG24" s="407" t="s">
        <v>2754</v>
      </c>
      <c r="AH24" s="441" t="s">
        <v>2755</v>
      </c>
      <c r="AI24" s="251"/>
      <c r="AJ24" s="323"/>
      <c r="AK24" s="323"/>
      <c r="AL24" s="323"/>
      <c r="AM24" s="648" t="str">
        <f>HYPERLINK("https://youtu.be/Tp8lzZy1loo","52.74")</f>
        <v>52.74</v>
      </c>
      <c r="AN24" s="499"/>
      <c r="AO24" s="499"/>
      <c r="AP24" s="323"/>
      <c r="AQ24" s="323"/>
      <c r="AR24" s="323"/>
      <c r="AS24" s="323"/>
      <c r="AT24" s="323"/>
      <c r="AU24" s="323"/>
      <c r="AV24" s="323"/>
      <c r="AW24" s="323"/>
      <c r="AX24" s="323"/>
      <c r="AY24" s="409" t="s">
        <v>2760</v>
      </c>
      <c r="AZ24" s="351"/>
      <c r="BA24" s="326"/>
      <c r="BB24" s="326"/>
      <c r="BC24" s="505" t="s">
        <v>2762</v>
      </c>
      <c r="BD24" s="326"/>
      <c r="BE24" s="615" t="s">
        <v>2763</v>
      </c>
      <c r="BF24" s="351"/>
      <c r="BG24" s="332"/>
      <c r="BH24" s="332"/>
      <c r="BI24" s="332"/>
      <c r="BJ24" s="332"/>
      <c r="BK24" s="332"/>
      <c r="BL24" s="511" t="str">
        <f>HYPERLINK("https://youtu.be/ZWHJWoriERw","3:48.70")</f>
        <v>3:48.70</v>
      </c>
      <c r="BM24" s="335" t="s">
        <v>2767</v>
      </c>
      <c r="BN24" s="251"/>
      <c r="BO24" s="337" t="s">
        <v>573</v>
      </c>
      <c r="BP24" s="337"/>
      <c r="BQ24" s="340"/>
      <c r="BR24" s="340"/>
      <c r="BS24" s="340"/>
      <c r="BT24" s="388" t="str">
        <f>HYPERLINK("https://youtu.be/-5bLlrzaDDc","27.91")</f>
        <v>27.91</v>
      </c>
      <c r="BU24" s="337" t="s">
        <v>2555</v>
      </c>
      <c r="BV24" s="340"/>
      <c r="BW24" s="650" t="str">
        <f>HYPERLINK("https://youtu.be/x9mZaYceJJ8","2:08.04")</f>
        <v>2:08.04</v>
      </c>
      <c r="BX24" s="290"/>
      <c r="BY24" s="345"/>
      <c r="BZ24" s="345"/>
      <c r="CA24" s="345"/>
      <c r="CB24" s="346"/>
      <c r="CC24" s="345"/>
      <c r="CD24" s="345"/>
      <c r="CE24" s="345"/>
      <c r="CF24" s="345"/>
      <c r="CG24" s="345"/>
      <c r="CH24" s="345"/>
      <c r="CI24" s="345"/>
      <c r="CJ24" s="346"/>
      <c r="CK24" s="346"/>
    </row>
    <row r="25">
      <c r="A25" s="347" t="s">
        <v>124</v>
      </c>
      <c r="B25" s="241" t="s">
        <v>2778</v>
      </c>
      <c r="C25" s="237" t="s">
        <v>76</v>
      </c>
      <c r="D25" s="238" t="s">
        <v>155</v>
      </c>
      <c r="E25" s="239" t="s">
        <v>155</v>
      </c>
      <c r="F25" s="240" t="s">
        <v>76</v>
      </c>
      <c r="G25" s="241" t="s">
        <v>1508</v>
      </c>
      <c r="H25" s="308"/>
      <c r="I25" s="308"/>
      <c r="J25" s="308"/>
      <c r="K25" s="348" t="s">
        <v>2781</v>
      </c>
      <c r="L25" s="348" t="s">
        <v>2782</v>
      </c>
      <c r="M25" s="308"/>
      <c r="N25" s="348" t="s">
        <v>2783</v>
      </c>
      <c r="O25" s="348" t="s">
        <v>2784</v>
      </c>
      <c r="P25" s="251"/>
      <c r="Q25" s="352" t="s">
        <v>2786</v>
      </c>
      <c r="R25" s="352" t="s">
        <v>2787</v>
      </c>
      <c r="S25" s="352" t="s">
        <v>2788</v>
      </c>
      <c r="T25" s="353"/>
      <c r="U25" s="353"/>
      <c r="V25" s="352" t="s">
        <v>2789</v>
      </c>
      <c r="W25" s="251"/>
      <c r="X25" s="317" t="s">
        <v>2790</v>
      </c>
      <c r="Y25" s="317" t="s">
        <v>2791</v>
      </c>
      <c r="Z25" s="317" t="s">
        <v>2792</v>
      </c>
      <c r="AA25" s="635" t="s">
        <v>2794</v>
      </c>
      <c r="AB25" s="318"/>
      <c r="AC25" s="317" t="s">
        <v>2795</v>
      </c>
      <c r="AD25" s="317" t="s">
        <v>511</v>
      </c>
      <c r="AE25" s="317" t="s">
        <v>267</v>
      </c>
      <c r="AF25" s="318"/>
      <c r="AG25" s="317" t="s">
        <v>2797</v>
      </c>
      <c r="AH25" s="267"/>
      <c r="AI25" s="251"/>
      <c r="AJ25" s="323"/>
      <c r="AK25" s="323"/>
      <c r="AL25" s="323"/>
      <c r="AM25" s="358" t="s">
        <v>2799</v>
      </c>
      <c r="AN25" s="323"/>
      <c r="AO25" s="323"/>
      <c r="AP25" s="358" t="s">
        <v>2800</v>
      </c>
      <c r="AQ25" s="323"/>
      <c r="AR25" s="358" t="s">
        <v>2802</v>
      </c>
      <c r="AS25" s="358" t="s">
        <v>2803</v>
      </c>
      <c r="AT25" s="503" t="s">
        <v>2804</v>
      </c>
      <c r="AU25" s="358" t="s">
        <v>2805</v>
      </c>
      <c r="AV25" s="323"/>
      <c r="AW25" s="358" t="s">
        <v>1461</v>
      </c>
      <c r="AX25" s="323"/>
      <c r="AY25" s="358" t="s">
        <v>2807</v>
      </c>
      <c r="AZ25" s="351"/>
      <c r="BA25" s="416" t="s">
        <v>2808</v>
      </c>
      <c r="BB25" s="416" t="s">
        <v>2809</v>
      </c>
      <c r="BC25" s="416" t="s">
        <v>2810</v>
      </c>
      <c r="BD25" s="326"/>
      <c r="BE25" s="416" t="s">
        <v>2811</v>
      </c>
      <c r="BF25" s="351"/>
      <c r="BG25" s="378" t="s">
        <v>1837</v>
      </c>
      <c r="BH25" s="378" t="s">
        <v>2814</v>
      </c>
      <c r="BI25" s="378" t="s">
        <v>2815</v>
      </c>
      <c r="BJ25" s="572" t="s">
        <v>2816</v>
      </c>
      <c r="BK25" s="332"/>
      <c r="BL25" s="378" t="s">
        <v>2817</v>
      </c>
      <c r="BM25" s="378" t="s">
        <v>2819</v>
      </c>
      <c r="BN25" s="251"/>
      <c r="BO25" s="339" t="s">
        <v>2820</v>
      </c>
      <c r="BP25" s="337"/>
      <c r="BQ25" s="340"/>
      <c r="BR25" s="339" t="s">
        <v>2821</v>
      </c>
      <c r="BS25" s="340"/>
      <c r="BT25" s="339" t="s">
        <v>2822</v>
      </c>
      <c r="BU25" s="340"/>
      <c r="BV25" s="339" t="s">
        <v>2823</v>
      </c>
      <c r="BW25" s="339" t="s">
        <v>2824</v>
      </c>
      <c r="BX25" s="251"/>
      <c r="BY25" s="396" t="s">
        <v>847</v>
      </c>
      <c r="BZ25" s="396"/>
      <c r="CA25" s="345"/>
      <c r="CB25" s="346"/>
      <c r="CC25" s="344" t="s">
        <v>2827</v>
      </c>
      <c r="CD25" s="345"/>
      <c r="CE25" s="345"/>
      <c r="CF25" s="396" t="s">
        <v>1102</v>
      </c>
      <c r="CG25" s="345"/>
      <c r="CH25" s="345"/>
      <c r="CI25" s="345"/>
      <c r="CJ25" s="346"/>
      <c r="CK25" s="346"/>
    </row>
    <row r="26">
      <c r="A26" s="651" t="s">
        <v>274</v>
      </c>
      <c r="B26" s="241" t="s">
        <v>2834</v>
      </c>
      <c r="C26" s="237" t="s">
        <v>155</v>
      </c>
      <c r="D26" s="238" t="s">
        <v>155</v>
      </c>
      <c r="E26" s="239" t="s">
        <v>155</v>
      </c>
      <c r="F26" s="240" t="s">
        <v>81</v>
      </c>
      <c r="G26" s="241" t="s">
        <v>1976</v>
      </c>
      <c r="H26" s="309" t="s">
        <v>2836</v>
      </c>
      <c r="I26" s="309" t="s">
        <v>2842</v>
      </c>
      <c r="J26" s="653"/>
      <c r="K26" s="309" t="s">
        <v>1226</v>
      </c>
      <c r="L26" s="348"/>
      <c r="M26" s="308"/>
      <c r="N26" s="308"/>
      <c r="O26" s="487" t="s">
        <v>2881</v>
      </c>
      <c r="P26" s="251"/>
      <c r="Q26" s="489" t="s">
        <v>2883</v>
      </c>
      <c r="R26" s="353"/>
      <c r="S26" s="353"/>
      <c r="T26" s="489" t="s">
        <v>1259</v>
      </c>
      <c r="U26" s="352"/>
      <c r="V26" s="489" t="s">
        <v>2887</v>
      </c>
      <c r="W26" s="251"/>
      <c r="X26" s="407" t="s">
        <v>2888</v>
      </c>
      <c r="Y26" s="318"/>
      <c r="Z26" s="407" t="s">
        <v>2889</v>
      </c>
      <c r="AA26" s="617"/>
      <c r="AB26" s="407" t="s">
        <v>2890</v>
      </c>
      <c r="AC26" s="318"/>
      <c r="AD26" s="318"/>
      <c r="AE26" s="407" t="s">
        <v>2892</v>
      </c>
      <c r="AF26" s="317"/>
      <c r="AG26" s="407" t="s">
        <v>2893</v>
      </c>
      <c r="AH26" s="267"/>
      <c r="AI26" s="251"/>
      <c r="AJ26" s="323"/>
      <c r="AK26" s="323"/>
      <c r="AL26" s="323"/>
      <c r="AM26" s="323"/>
      <c r="AN26" s="323"/>
      <c r="AO26" s="503" t="s">
        <v>2897</v>
      </c>
      <c r="AP26" s="323"/>
      <c r="AQ26" s="371" t="s">
        <v>2898</v>
      </c>
      <c r="AR26" s="323"/>
      <c r="AS26" s="323"/>
      <c r="AT26" s="323"/>
      <c r="AU26" s="323"/>
      <c r="AV26" s="323"/>
      <c r="AW26" s="371" t="s">
        <v>2902</v>
      </c>
      <c r="AX26" s="323"/>
      <c r="AY26" s="323"/>
      <c r="AZ26" s="351"/>
      <c r="BA26" s="326"/>
      <c r="BB26" s="326"/>
      <c r="BC26" s="326"/>
      <c r="BD26" s="326"/>
      <c r="BE26" s="615" t="s">
        <v>2912</v>
      </c>
      <c r="BF26" s="351"/>
      <c r="BG26" s="572" t="s">
        <v>2913</v>
      </c>
      <c r="BH26" s="332"/>
      <c r="BI26" s="332"/>
      <c r="BJ26" s="332"/>
      <c r="BK26" s="332"/>
      <c r="BL26" s="332"/>
      <c r="BM26" s="572" t="s">
        <v>2914</v>
      </c>
      <c r="BN26" s="251"/>
      <c r="BO26" s="341" t="s">
        <v>2285</v>
      </c>
      <c r="BP26" s="337"/>
      <c r="BQ26" s="340"/>
      <c r="BR26" s="340"/>
      <c r="BS26" s="340"/>
      <c r="BT26" s="340"/>
      <c r="BU26" s="340"/>
      <c r="BV26" s="341" t="s">
        <v>2918</v>
      </c>
      <c r="BW26" s="340"/>
      <c r="BX26" s="251"/>
      <c r="BY26" s="426" t="s">
        <v>2920</v>
      </c>
      <c r="BZ26" s="345"/>
      <c r="CA26" s="345"/>
      <c r="CB26" s="346"/>
      <c r="CC26" s="345"/>
      <c r="CD26" s="345"/>
      <c r="CE26" s="426" t="s">
        <v>2575</v>
      </c>
      <c r="CF26" s="396" t="s">
        <v>2936</v>
      </c>
      <c r="CG26" s="345"/>
      <c r="CH26" s="345"/>
      <c r="CI26" s="345"/>
      <c r="CJ26" s="346"/>
      <c r="CK26" s="346"/>
    </row>
    <row r="27">
      <c r="A27" s="347" t="s">
        <v>102</v>
      </c>
      <c r="B27" s="241" t="s">
        <v>2941</v>
      </c>
      <c r="C27" s="237" t="s">
        <v>155</v>
      </c>
      <c r="D27" s="238" t="s">
        <v>155</v>
      </c>
      <c r="E27" s="239" t="s">
        <v>155</v>
      </c>
      <c r="F27" s="240" t="s">
        <v>127</v>
      </c>
      <c r="G27" s="241" t="s">
        <v>1976</v>
      </c>
      <c r="H27" s="308"/>
      <c r="I27" s="308"/>
      <c r="J27" s="308"/>
      <c r="K27" s="308"/>
      <c r="L27" s="348" t="s">
        <v>424</v>
      </c>
      <c r="M27" s="308"/>
      <c r="N27" s="348" t="s">
        <v>2947</v>
      </c>
      <c r="O27" s="348"/>
      <c r="P27" s="251"/>
      <c r="Q27" s="353"/>
      <c r="R27" s="353"/>
      <c r="S27" s="353"/>
      <c r="T27" s="353"/>
      <c r="U27" s="353"/>
      <c r="V27" s="489" t="s">
        <v>2949</v>
      </c>
      <c r="W27" s="251"/>
      <c r="X27" s="317" t="s">
        <v>2950</v>
      </c>
      <c r="Y27" s="407" t="s">
        <v>2951</v>
      </c>
      <c r="Z27" s="318"/>
      <c r="AA27" s="655" t="s">
        <v>2952</v>
      </c>
      <c r="AB27" s="318"/>
      <c r="AC27" s="257" t="s">
        <v>2955</v>
      </c>
      <c r="AD27" s="317" t="s">
        <v>2963</v>
      </c>
      <c r="AE27" s="317" t="s">
        <v>2965</v>
      </c>
      <c r="AF27" s="317"/>
      <c r="AG27" s="407" t="s">
        <v>2966</v>
      </c>
      <c r="AH27" s="267"/>
      <c r="AI27" s="251"/>
      <c r="AJ27" s="323"/>
      <c r="AK27" s="323"/>
      <c r="AL27" s="323"/>
      <c r="AM27" s="358" t="s">
        <v>2972</v>
      </c>
      <c r="AN27" s="323"/>
      <c r="AO27" s="323"/>
      <c r="AP27" s="323"/>
      <c r="AQ27" s="323"/>
      <c r="AR27" s="323"/>
      <c r="AS27" s="323"/>
      <c r="AT27" s="323"/>
      <c r="AU27" s="323"/>
      <c r="AV27" s="323"/>
      <c r="AW27" s="323"/>
      <c r="AX27" s="323"/>
      <c r="AY27" s="503" t="s">
        <v>2974</v>
      </c>
      <c r="AZ27" s="351"/>
      <c r="BA27" s="326"/>
      <c r="BB27" s="326"/>
      <c r="BC27" s="326"/>
      <c r="BD27" s="326"/>
      <c r="BE27" s="416" t="s">
        <v>2976</v>
      </c>
      <c r="BF27" s="351"/>
      <c r="BG27" s="332"/>
      <c r="BH27" s="332"/>
      <c r="BI27" s="332"/>
      <c r="BJ27" s="332"/>
      <c r="BK27" s="332"/>
      <c r="BL27" s="378" t="s">
        <v>2978</v>
      </c>
      <c r="BM27" s="332"/>
      <c r="BN27" s="251"/>
      <c r="BO27" s="339" t="s">
        <v>2980</v>
      </c>
      <c r="BP27" s="337"/>
      <c r="BQ27" s="340"/>
      <c r="BR27" s="339" t="s">
        <v>2983</v>
      </c>
      <c r="BS27" s="388" t="s">
        <v>2201</v>
      </c>
      <c r="BT27" s="339" t="s">
        <v>2987</v>
      </c>
      <c r="BU27" s="340"/>
      <c r="BV27" s="341" t="s">
        <v>2990</v>
      </c>
      <c r="BW27" s="339" t="s">
        <v>2992</v>
      </c>
      <c r="BX27" s="251"/>
      <c r="BY27" s="345"/>
      <c r="BZ27" s="345"/>
      <c r="CA27" s="345"/>
      <c r="CB27" s="346"/>
      <c r="CC27" s="345"/>
      <c r="CD27" s="345"/>
      <c r="CE27" s="396" t="s">
        <v>2993</v>
      </c>
      <c r="CF27" s="515" t="s">
        <v>2994</v>
      </c>
      <c r="CG27" s="345"/>
      <c r="CH27" s="345"/>
      <c r="CI27" s="345"/>
      <c r="CJ27" s="346"/>
      <c r="CK27" s="346"/>
    </row>
    <row r="28">
      <c r="A28" s="347" t="s">
        <v>2997</v>
      </c>
      <c r="B28" s="241" t="s">
        <v>2998</v>
      </c>
      <c r="C28" s="237" t="s">
        <v>76</v>
      </c>
      <c r="D28" s="238" t="s">
        <v>155</v>
      </c>
      <c r="E28" s="239" t="s">
        <v>76</v>
      </c>
      <c r="F28" s="240" t="s">
        <v>79</v>
      </c>
      <c r="G28" s="241" t="s">
        <v>551</v>
      </c>
      <c r="H28" s="348" t="s">
        <v>3001</v>
      </c>
      <c r="I28" s="348"/>
      <c r="J28" s="348"/>
      <c r="K28" s="308"/>
      <c r="L28" s="348" t="s">
        <v>3002</v>
      </c>
      <c r="M28" s="308"/>
      <c r="N28" s="348" t="s">
        <v>3003</v>
      </c>
      <c r="O28" s="308"/>
      <c r="P28" s="251"/>
      <c r="Q28" s="352" t="s">
        <v>3004</v>
      </c>
      <c r="R28" s="353"/>
      <c r="S28" s="353"/>
      <c r="T28" s="353"/>
      <c r="U28" s="489" t="s">
        <v>3008</v>
      </c>
      <c r="V28" s="352" t="s">
        <v>3009</v>
      </c>
      <c r="W28" s="251"/>
      <c r="X28" s="317"/>
      <c r="Y28" s="317"/>
      <c r="Z28" s="317" t="s">
        <v>442</v>
      </c>
      <c r="AA28" s="635" t="s">
        <v>2253</v>
      </c>
      <c r="AB28" s="317" t="s">
        <v>3011</v>
      </c>
      <c r="AC28" s="318"/>
      <c r="AD28" s="318"/>
      <c r="AE28" s="317" t="s">
        <v>3012</v>
      </c>
      <c r="AF28" s="317"/>
      <c r="AG28" s="408" t="s">
        <v>3013</v>
      </c>
      <c r="AH28" s="584" t="s">
        <v>3015</v>
      </c>
      <c r="AI28" s="251"/>
      <c r="AJ28" s="442"/>
      <c r="AK28" s="324" t="s">
        <v>3017</v>
      </c>
      <c r="AL28" s="323"/>
      <c r="AM28" s="323"/>
      <c r="AN28" s="323"/>
      <c r="AO28" s="323"/>
      <c r="AP28" s="323"/>
      <c r="AQ28" s="323"/>
      <c r="AR28" s="503" t="s">
        <v>3018</v>
      </c>
      <c r="AS28" s="358" t="s">
        <v>3019</v>
      </c>
      <c r="AT28" s="323"/>
      <c r="AU28" s="323"/>
      <c r="AV28" s="503" t="s">
        <v>1501</v>
      </c>
      <c r="AW28" s="358" t="s">
        <v>417</v>
      </c>
      <c r="AX28" s="323"/>
      <c r="AY28" s="358" t="s">
        <v>3021</v>
      </c>
      <c r="AZ28" s="351"/>
      <c r="BA28" s="326"/>
      <c r="BB28" s="326"/>
      <c r="BC28" s="326"/>
      <c r="BD28" s="326"/>
      <c r="BE28" s="416" t="s">
        <v>3024</v>
      </c>
      <c r="BF28" s="351"/>
      <c r="BG28" s="332"/>
      <c r="BH28" s="332"/>
      <c r="BI28" s="332"/>
      <c r="BJ28" s="378"/>
      <c r="BK28" s="332"/>
      <c r="BL28" s="570" t="s">
        <v>3026</v>
      </c>
      <c r="BM28" s="335" t="s">
        <v>3029</v>
      </c>
      <c r="BN28" s="251"/>
      <c r="BO28" s="339" t="s">
        <v>3031</v>
      </c>
      <c r="BP28" s="337"/>
      <c r="BQ28" s="340"/>
      <c r="BR28" s="339" t="s">
        <v>3032</v>
      </c>
      <c r="BS28" s="340"/>
      <c r="BT28" s="341" t="s">
        <v>3034</v>
      </c>
      <c r="BU28" s="340"/>
      <c r="BV28" s="339" t="s">
        <v>3035</v>
      </c>
      <c r="BW28" s="339" t="s">
        <v>3036</v>
      </c>
      <c r="BX28" s="251"/>
      <c r="BY28" s="345"/>
      <c r="BZ28" s="345"/>
      <c r="CA28" s="345"/>
      <c r="CB28" s="346"/>
      <c r="CC28" s="345"/>
      <c r="CD28" s="345"/>
      <c r="CE28" s="426" t="s">
        <v>3039</v>
      </c>
      <c r="CF28" s="345"/>
      <c r="CG28" s="345"/>
      <c r="CH28" s="345"/>
      <c r="CI28" s="345"/>
      <c r="CJ28" s="346"/>
      <c r="CK28" s="346"/>
    </row>
    <row r="29">
      <c r="A29" s="651" t="s">
        <v>138</v>
      </c>
      <c r="B29" s="241" t="s">
        <v>3043</v>
      </c>
      <c r="C29" s="237" t="s">
        <v>155</v>
      </c>
      <c r="D29" s="238" t="s">
        <v>156</v>
      </c>
      <c r="E29" s="239" t="s">
        <v>127</v>
      </c>
      <c r="F29" s="240" t="s">
        <v>261</v>
      </c>
      <c r="G29" s="241" t="s">
        <v>261</v>
      </c>
      <c r="H29" s="308"/>
      <c r="I29" s="308"/>
      <c r="J29" s="308"/>
      <c r="K29" s="308"/>
      <c r="L29" s="308"/>
      <c r="M29" s="308"/>
      <c r="N29" s="658" t="str">
        <f>HYPERLINK("http://www.twitch.tv/nanashi745/v/479076791?sr=a&amp;t=235s", "4:19.41")</f>
        <v>4:19.41</v>
      </c>
      <c r="O29" s="659"/>
      <c r="P29" s="290"/>
      <c r="Q29" s="353"/>
      <c r="R29" s="352"/>
      <c r="S29" s="352"/>
      <c r="T29" s="353"/>
      <c r="U29" s="660"/>
      <c r="V29" s="520" t="s">
        <v>3050</v>
      </c>
      <c r="W29" s="290"/>
      <c r="X29" s="318"/>
      <c r="Y29" s="318"/>
      <c r="Z29" s="318"/>
      <c r="AA29" s="318"/>
      <c r="AB29" s="318"/>
      <c r="AC29" s="318"/>
      <c r="AD29" s="318"/>
      <c r="AE29" s="318"/>
      <c r="AF29" s="318"/>
      <c r="AG29" s="647" t="str">
        <f>HYPERLINK("http://www.twitch.tv/nanashi745/v/479079352?sr=a&amp;t=188s", "3:14.08")</f>
        <v>3:14.08</v>
      </c>
      <c r="AH29" s="267"/>
      <c r="AI29" s="290"/>
      <c r="AJ29" s="323"/>
      <c r="AK29" s="323"/>
      <c r="AL29" s="323"/>
      <c r="AM29" s="323"/>
      <c r="AN29" s="323"/>
      <c r="AO29" s="323"/>
      <c r="AP29" s="323"/>
      <c r="AQ29" s="323"/>
      <c r="AR29" s="323"/>
      <c r="AS29" s="323"/>
      <c r="AT29" s="323"/>
      <c r="AU29" s="323"/>
      <c r="AV29" s="323"/>
      <c r="AW29" s="323"/>
      <c r="AX29" s="648" t="str">
        <f>HYPERLINK("http://www.twitch.tv/nanashi745/v/479080915?sr=a&amp;t=0s", "1:37.18")</f>
        <v>1:37.18</v>
      </c>
      <c r="AY29" s="323"/>
      <c r="AZ29" s="351"/>
      <c r="BA29" s="326"/>
      <c r="BB29" s="326"/>
      <c r="BC29" s="326"/>
      <c r="BD29" s="326"/>
      <c r="BE29" s="327" t="s">
        <v>3064</v>
      </c>
      <c r="BF29" s="351"/>
      <c r="BG29" s="332"/>
      <c r="BH29" s="332"/>
      <c r="BI29" s="332"/>
      <c r="BJ29" s="332"/>
      <c r="BK29" s="332"/>
      <c r="BL29" s="332"/>
      <c r="BM29" s="382" t="s">
        <v>3067</v>
      </c>
      <c r="BN29" s="290"/>
      <c r="BO29" s="650" t="str">
        <f>HYPERLINK("https://youtu.be/oOY4TocVyJU","1:05.01")</f>
        <v>1:05.01</v>
      </c>
      <c r="BP29" s="337"/>
      <c r="BQ29" s="340"/>
      <c r="BR29" s="339"/>
      <c r="BS29" s="339"/>
      <c r="BT29" s="340"/>
      <c r="BU29" s="340"/>
      <c r="BV29" s="340"/>
      <c r="BW29" s="336" t="s">
        <v>3082</v>
      </c>
      <c r="BX29" s="290"/>
      <c r="BY29" s="345"/>
      <c r="BZ29" s="345"/>
      <c r="CA29" s="474"/>
      <c r="CB29" s="671"/>
      <c r="CC29" s="474"/>
      <c r="CD29" s="345"/>
      <c r="CE29" s="345"/>
      <c r="CF29" s="345"/>
      <c r="CG29" s="345"/>
      <c r="CH29" s="345"/>
      <c r="CI29" s="345"/>
      <c r="CJ29" s="346"/>
      <c r="CK29" s="346"/>
    </row>
    <row r="30">
      <c r="A30" s="347" t="s">
        <v>96</v>
      </c>
      <c r="B30" s="241" t="s">
        <v>3089</v>
      </c>
      <c r="C30" s="237" t="s">
        <v>155</v>
      </c>
      <c r="D30" s="238" t="s">
        <v>155</v>
      </c>
      <c r="E30" s="239" t="s">
        <v>155</v>
      </c>
      <c r="F30" s="240" t="s">
        <v>127</v>
      </c>
      <c r="G30" s="241" t="s">
        <v>1695</v>
      </c>
      <c r="H30" s="348" t="s">
        <v>3090</v>
      </c>
      <c r="I30" s="308"/>
      <c r="J30" s="308"/>
      <c r="K30" s="308"/>
      <c r="L30" s="348" t="s">
        <v>3091</v>
      </c>
      <c r="M30" s="308"/>
      <c r="N30" s="348" t="s">
        <v>3094</v>
      </c>
      <c r="O30" s="308"/>
      <c r="P30" s="251"/>
      <c r="Q30" s="352" t="s">
        <v>3095</v>
      </c>
      <c r="R30" s="353"/>
      <c r="S30" s="353"/>
      <c r="T30" s="353"/>
      <c r="U30" s="489" t="s">
        <v>1669</v>
      </c>
      <c r="V30" s="352" t="s">
        <v>3097</v>
      </c>
      <c r="W30" s="251"/>
      <c r="X30" s="318"/>
      <c r="Y30" s="318"/>
      <c r="Z30" s="317" t="s">
        <v>3100</v>
      </c>
      <c r="AA30" s="617"/>
      <c r="AB30" s="317" t="s">
        <v>2091</v>
      </c>
      <c r="AC30" s="317" t="s">
        <v>2377</v>
      </c>
      <c r="AD30" s="318"/>
      <c r="AE30" s="317" t="s">
        <v>2656</v>
      </c>
      <c r="AF30" s="317"/>
      <c r="AG30" s="257" t="s">
        <v>3105</v>
      </c>
      <c r="AH30" s="641" t="s">
        <v>3107</v>
      </c>
      <c r="AI30" s="251"/>
      <c r="AJ30" s="358"/>
      <c r="AK30" s="358" t="s">
        <v>3110</v>
      </c>
      <c r="AL30" s="358" t="s">
        <v>3113</v>
      </c>
      <c r="AM30" s="358" t="s">
        <v>3116</v>
      </c>
      <c r="AN30" s="358"/>
      <c r="AO30" s="323"/>
      <c r="AP30" s="323"/>
      <c r="AQ30" s="323"/>
      <c r="AR30" s="358" t="s">
        <v>3122</v>
      </c>
      <c r="AS30" s="358" t="s">
        <v>3123</v>
      </c>
      <c r="AT30" s="358"/>
      <c r="AU30" s="358" t="s">
        <v>1675</v>
      </c>
      <c r="AV30" s="358"/>
      <c r="AW30" s="358" t="s">
        <v>458</v>
      </c>
      <c r="AX30" s="323"/>
      <c r="AY30" s="358" t="s">
        <v>3124</v>
      </c>
      <c r="AZ30" s="351"/>
      <c r="BA30" s="416"/>
      <c r="BB30" s="416" t="s">
        <v>3125</v>
      </c>
      <c r="BC30" s="615" t="s">
        <v>3126</v>
      </c>
      <c r="BD30" s="416"/>
      <c r="BE30" s="615" t="s">
        <v>3129</v>
      </c>
      <c r="BF30" s="351"/>
      <c r="BG30" s="378" t="s">
        <v>176</v>
      </c>
      <c r="BH30" s="332"/>
      <c r="BI30" s="332"/>
      <c r="BJ30" s="332"/>
      <c r="BK30" s="332"/>
      <c r="BL30" s="378" t="s">
        <v>3134</v>
      </c>
      <c r="BM30" s="378" t="s">
        <v>3136</v>
      </c>
      <c r="BN30" s="251"/>
      <c r="BO30" s="339" t="s">
        <v>3139</v>
      </c>
      <c r="BP30" s="337"/>
      <c r="BQ30" s="340"/>
      <c r="BR30" s="339" t="s">
        <v>3142</v>
      </c>
      <c r="BS30" s="341" t="s">
        <v>3143</v>
      </c>
      <c r="BT30" s="340"/>
      <c r="BU30" s="340"/>
      <c r="BV30" s="339" t="s">
        <v>3144</v>
      </c>
      <c r="BW30" s="339" t="s">
        <v>3147</v>
      </c>
      <c r="BX30" s="251"/>
      <c r="BY30" s="345"/>
      <c r="BZ30" s="345"/>
      <c r="CA30" s="345"/>
      <c r="CB30" s="346"/>
      <c r="CC30" s="345"/>
      <c r="CD30" s="345"/>
      <c r="CE30" s="345"/>
      <c r="CF30" s="396" t="s">
        <v>3149</v>
      </c>
      <c r="CG30" s="345"/>
      <c r="CH30" s="345"/>
      <c r="CI30" s="426" t="s">
        <v>3150</v>
      </c>
      <c r="CJ30" s="346"/>
      <c r="CK30" s="346"/>
    </row>
    <row r="31">
      <c r="A31" s="682" t="s">
        <v>91</v>
      </c>
      <c r="B31" s="241" t="s">
        <v>3089</v>
      </c>
      <c r="C31" s="237" t="s">
        <v>155</v>
      </c>
      <c r="D31" s="238" t="s">
        <v>155</v>
      </c>
      <c r="E31" s="239" t="s">
        <v>155</v>
      </c>
      <c r="F31" s="240" t="s">
        <v>306</v>
      </c>
      <c r="G31" s="241" t="s">
        <v>2189</v>
      </c>
      <c r="H31" s="553" t="s">
        <v>3155</v>
      </c>
      <c r="I31" s="348" t="s">
        <v>3156</v>
      </c>
      <c r="J31" s="348"/>
      <c r="K31" s="348"/>
      <c r="L31" s="487" t="s">
        <v>3158</v>
      </c>
      <c r="M31" s="308"/>
      <c r="N31" s="309" t="s">
        <v>3159</v>
      </c>
      <c r="O31" s="308"/>
      <c r="P31" s="251"/>
      <c r="Q31" s="353"/>
      <c r="R31" s="353"/>
      <c r="S31" s="353"/>
      <c r="T31" s="353"/>
      <c r="U31" s="316" t="s">
        <v>3166</v>
      </c>
      <c r="V31" s="316" t="s">
        <v>3172</v>
      </c>
      <c r="W31" s="251"/>
      <c r="X31" s="407" t="s">
        <v>3176</v>
      </c>
      <c r="Y31" s="317" t="s">
        <v>3178</v>
      </c>
      <c r="Z31" s="407" t="s">
        <v>3179</v>
      </c>
      <c r="AA31" s="581" t="s">
        <v>2253</v>
      </c>
      <c r="AB31" s="407" t="s">
        <v>3183</v>
      </c>
      <c r="AC31" s="257" t="s">
        <v>3184</v>
      </c>
      <c r="AD31" s="318"/>
      <c r="AE31" s="582" t="s">
        <v>3187</v>
      </c>
      <c r="AF31" s="408"/>
      <c r="AG31" s="257" t="s">
        <v>3193</v>
      </c>
      <c r="AH31" s="267"/>
      <c r="AI31" s="251"/>
      <c r="AJ31" s="358"/>
      <c r="AK31" s="358" t="s">
        <v>3199</v>
      </c>
      <c r="AL31" s="358" t="s">
        <v>3201</v>
      </c>
      <c r="AM31" s="358" t="s">
        <v>3202</v>
      </c>
      <c r="AN31" s="358"/>
      <c r="AO31" s="323"/>
      <c r="AP31" s="410" t="s">
        <v>3203</v>
      </c>
      <c r="AQ31" s="323"/>
      <c r="AR31" s="323"/>
      <c r="AS31" s="323"/>
      <c r="AT31" s="323"/>
      <c r="AU31" s="323"/>
      <c r="AV31" s="323"/>
      <c r="AW31" s="358" t="s">
        <v>3205</v>
      </c>
      <c r="AX31" s="358" t="s">
        <v>3206</v>
      </c>
      <c r="AY31" s="323"/>
      <c r="AZ31" s="351"/>
      <c r="BA31" s="326"/>
      <c r="BB31" s="326"/>
      <c r="BC31" s="326"/>
      <c r="BD31" s="326"/>
      <c r="BE31" s="615" t="s">
        <v>3207</v>
      </c>
      <c r="BF31" s="351"/>
      <c r="BG31" s="378" t="s">
        <v>3208</v>
      </c>
      <c r="BH31" s="332"/>
      <c r="BI31" s="332"/>
      <c r="BJ31" s="332"/>
      <c r="BK31" s="378" t="s">
        <v>3210</v>
      </c>
      <c r="BL31" s="332"/>
      <c r="BM31" s="378" t="s">
        <v>3211</v>
      </c>
      <c r="BN31" s="251"/>
      <c r="BO31" s="339" t="s">
        <v>3212</v>
      </c>
      <c r="BP31" s="337"/>
      <c r="BQ31" s="340"/>
      <c r="BR31" s="340"/>
      <c r="BS31" s="340"/>
      <c r="BT31" s="341" t="s">
        <v>3213</v>
      </c>
      <c r="BU31" s="340"/>
      <c r="BV31" s="694" t="str">
        <f>HYPERLINK("https://twitter.com/Qbe_Root/status/1400138849058275330", "1:53.21")</f>
        <v>1:53.21</v>
      </c>
      <c r="BW31" s="339" t="s">
        <v>3220</v>
      </c>
      <c r="BX31" s="251"/>
      <c r="BY31" s="345"/>
      <c r="BZ31" s="345"/>
      <c r="CA31" s="345"/>
      <c r="CB31" s="346"/>
      <c r="CC31" s="345"/>
      <c r="CD31" s="515" t="s">
        <v>3225</v>
      </c>
      <c r="CE31" s="345"/>
      <c r="CF31" s="345"/>
      <c r="CG31" s="345"/>
      <c r="CH31" s="345"/>
      <c r="CI31" s="345"/>
      <c r="CJ31" s="346"/>
      <c r="CK31" s="346"/>
    </row>
    <row r="32">
      <c r="A32" s="347" t="s">
        <v>3161</v>
      </c>
      <c r="B32" s="241" t="s">
        <v>3226</v>
      </c>
      <c r="C32" s="237" t="s">
        <v>155</v>
      </c>
      <c r="D32" s="238" t="s">
        <v>76</v>
      </c>
      <c r="E32" s="239" t="s">
        <v>76</v>
      </c>
      <c r="F32" s="240" t="s">
        <v>79</v>
      </c>
      <c r="G32" s="241" t="s">
        <v>154</v>
      </c>
      <c r="H32" s="348"/>
      <c r="I32" s="308"/>
      <c r="J32" s="308"/>
      <c r="K32" s="308"/>
      <c r="L32" s="308"/>
      <c r="M32" s="308"/>
      <c r="N32" s="308"/>
      <c r="O32" s="308"/>
      <c r="P32" s="251"/>
      <c r="Q32" s="353"/>
      <c r="R32" s="353"/>
      <c r="S32" s="353"/>
      <c r="T32" s="352" t="s">
        <v>3231</v>
      </c>
      <c r="U32" s="316" t="s">
        <v>3232</v>
      </c>
      <c r="V32" s="352" t="s">
        <v>3240</v>
      </c>
      <c r="W32" s="251"/>
      <c r="X32" s="318"/>
      <c r="Y32" s="318"/>
      <c r="Z32" s="318"/>
      <c r="AA32" s="617"/>
      <c r="AB32" s="317"/>
      <c r="AC32" s="321" t="s">
        <v>3243</v>
      </c>
      <c r="AD32" s="317" t="s">
        <v>3246</v>
      </c>
      <c r="AE32" s="317" t="s">
        <v>3247</v>
      </c>
      <c r="AF32" s="317"/>
      <c r="AG32" s="318"/>
      <c r="AH32" s="267"/>
      <c r="AI32" s="251"/>
      <c r="AJ32" s="323"/>
      <c r="AK32" s="323"/>
      <c r="AL32" s="323"/>
      <c r="AM32" s="323"/>
      <c r="AN32" s="323"/>
      <c r="AO32" s="323"/>
      <c r="AP32" s="411" t="s">
        <v>3249</v>
      </c>
      <c r="AQ32" s="323"/>
      <c r="AR32" s="323"/>
      <c r="AS32" s="323"/>
      <c r="AT32" s="323"/>
      <c r="AU32" s="323"/>
      <c r="AV32" s="323"/>
      <c r="AW32" s="358" t="s">
        <v>2121</v>
      </c>
      <c r="AX32" s="323"/>
      <c r="AY32" s="323"/>
      <c r="AZ32" s="351"/>
      <c r="BA32" s="326"/>
      <c r="BB32" s="326"/>
      <c r="BC32" s="375" t="s">
        <v>3253</v>
      </c>
      <c r="BD32" s="330"/>
      <c r="BE32" s="416" t="s">
        <v>3257</v>
      </c>
      <c r="BF32" s="351"/>
      <c r="BG32" s="332"/>
      <c r="BH32" s="332"/>
      <c r="BI32" s="332"/>
      <c r="BJ32" s="332"/>
      <c r="BK32" s="332"/>
      <c r="BL32" s="332"/>
      <c r="BM32" s="332"/>
      <c r="BN32" s="251"/>
      <c r="BO32" s="339" t="s">
        <v>3260</v>
      </c>
      <c r="BP32" s="337"/>
      <c r="BQ32" s="340"/>
      <c r="BR32" s="340"/>
      <c r="BS32" s="340"/>
      <c r="BT32" s="340"/>
      <c r="BU32" s="340"/>
      <c r="BV32" s="339" t="s">
        <v>3262</v>
      </c>
      <c r="BW32" s="340"/>
      <c r="BX32" s="251"/>
      <c r="BY32" s="345"/>
      <c r="BZ32" s="345"/>
      <c r="CA32" s="345"/>
      <c r="CB32" s="346"/>
      <c r="CC32" s="345"/>
      <c r="CD32" s="345"/>
      <c r="CE32" s="345"/>
      <c r="CF32" s="345"/>
      <c r="CG32" s="345"/>
      <c r="CH32" s="345"/>
      <c r="CI32" s="345"/>
      <c r="CJ32" s="346"/>
      <c r="CK32" s="346"/>
    </row>
    <row r="33">
      <c r="A33" s="347" t="s">
        <v>3264</v>
      </c>
      <c r="B33" s="241" t="s">
        <v>3265</v>
      </c>
      <c r="C33" s="237" t="s">
        <v>155</v>
      </c>
      <c r="D33" s="238" t="s">
        <v>155</v>
      </c>
      <c r="E33" s="239" t="s">
        <v>155</v>
      </c>
      <c r="F33" s="240" t="s">
        <v>76</v>
      </c>
      <c r="G33" s="241" t="s">
        <v>1064</v>
      </c>
      <c r="H33" s="348" t="s">
        <v>3270</v>
      </c>
      <c r="I33" s="308"/>
      <c r="J33" s="308"/>
      <c r="K33" s="308"/>
      <c r="L33" s="348" t="s">
        <v>3271</v>
      </c>
      <c r="M33" s="308"/>
      <c r="N33" s="348" t="s">
        <v>3272</v>
      </c>
      <c r="O33" s="308"/>
      <c r="P33" s="251"/>
      <c r="Q33" s="353"/>
      <c r="R33" s="353"/>
      <c r="S33" s="353"/>
      <c r="T33" s="353"/>
      <c r="U33" s="352" t="s">
        <v>3276</v>
      </c>
      <c r="V33" s="352" t="s">
        <v>3277</v>
      </c>
      <c r="W33" s="251"/>
      <c r="X33" s="318"/>
      <c r="Y33" s="317" t="s">
        <v>3279</v>
      </c>
      <c r="Z33" s="317" t="s">
        <v>3281</v>
      </c>
      <c r="AA33" s="635" t="s">
        <v>3283</v>
      </c>
      <c r="AB33" s="317" t="s">
        <v>3285</v>
      </c>
      <c r="AC33" s="317" t="s">
        <v>3287</v>
      </c>
      <c r="AD33" s="318"/>
      <c r="AE33" s="317" t="s">
        <v>3290</v>
      </c>
      <c r="AF33" s="318"/>
      <c r="AG33" s="318"/>
      <c r="AH33" s="641" t="s">
        <v>3291</v>
      </c>
      <c r="AI33" s="251"/>
      <c r="AJ33" s="323"/>
      <c r="AK33" s="371" t="s">
        <v>3293</v>
      </c>
      <c r="AL33" s="323"/>
      <c r="AM33" s="323"/>
      <c r="AN33" s="323"/>
      <c r="AO33" s="323"/>
      <c r="AP33" s="358" t="s">
        <v>3301</v>
      </c>
      <c r="AQ33" s="323"/>
      <c r="AR33" s="323"/>
      <c r="AS33" s="323"/>
      <c r="AT33" s="323"/>
      <c r="AU33" s="323"/>
      <c r="AV33" s="323"/>
      <c r="AW33" s="358" t="s">
        <v>3303</v>
      </c>
      <c r="AX33" s="323"/>
      <c r="AY33" s="323"/>
      <c r="AZ33" s="351"/>
      <c r="BA33" s="326"/>
      <c r="BB33" s="416" t="s">
        <v>2721</v>
      </c>
      <c r="BC33" s="326"/>
      <c r="BD33" s="416" t="s">
        <v>3304</v>
      </c>
      <c r="BE33" s="416" t="s">
        <v>3305</v>
      </c>
      <c r="BF33" s="351"/>
      <c r="BG33" s="332"/>
      <c r="BH33" s="332"/>
      <c r="BI33" s="378" t="s">
        <v>1304</v>
      </c>
      <c r="BJ33" s="332"/>
      <c r="BK33" s="332"/>
      <c r="BL33" s="378" t="s">
        <v>3307</v>
      </c>
      <c r="BM33" s="155"/>
      <c r="BN33" s="251"/>
      <c r="BO33" s="339" t="s">
        <v>3308</v>
      </c>
      <c r="BP33" s="337"/>
      <c r="BQ33" s="340"/>
      <c r="BR33" s="339" t="s">
        <v>3309</v>
      </c>
      <c r="BS33" s="340"/>
      <c r="BT33" s="339" t="s">
        <v>3310</v>
      </c>
      <c r="BU33" s="339" t="s">
        <v>3311</v>
      </c>
      <c r="BV33" s="340"/>
      <c r="BW33" s="339" t="s">
        <v>3312</v>
      </c>
      <c r="BX33" s="251"/>
      <c r="BY33" s="345"/>
      <c r="BZ33" s="345"/>
      <c r="CA33" s="345"/>
      <c r="CB33" s="346"/>
      <c r="CC33" s="345"/>
      <c r="CD33" s="345"/>
      <c r="CE33" s="345"/>
      <c r="CF33" s="396" t="s">
        <v>3314</v>
      </c>
      <c r="CG33" s="345"/>
      <c r="CH33" s="345"/>
      <c r="CI33" s="345"/>
      <c r="CJ33" s="346"/>
      <c r="CK33" s="346"/>
    </row>
    <row r="34">
      <c r="A34" s="347" t="s">
        <v>3318</v>
      </c>
      <c r="B34" s="241" t="s">
        <v>1568</v>
      </c>
      <c r="C34" s="237" t="s">
        <v>155</v>
      </c>
      <c r="D34" s="238" t="s">
        <v>155</v>
      </c>
      <c r="E34" s="239" t="s">
        <v>155</v>
      </c>
      <c r="F34" s="240" t="s">
        <v>155</v>
      </c>
      <c r="G34" s="241" t="s">
        <v>260</v>
      </c>
      <c r="H34" s="308"/>
      <c r="I34" s="308"/>
      <c r="J34" s="348" t="s">
        <v>3321</v>
      </c>
      <c r="K34" s="308"/>
      <c r="L34" s="308"/>
      <c r="M34" s="308"/>
      <c r="N34" s="308"/>
      <c r="O34" s="348" t="s">
        <v>3325</v>
      </c>
      <c r="P34" s="251"/>
      <c r="Q34" s="353"/>
      <c r="R34" s="353"/>
      <c r="S34" s="353"/>
      <c r="T34" s="353"/>
      <c r="U34" s="353"/>
      <c r="V34" s="352" t="s">
        <v>3332</v>
      </c>
      <c r="W34" s="251"/>
      <c r="X34" s="318"/>
      <c r="Y34" s="318"/>
      <c r="Z34" s="318"/>
      <c r="AA34" s="617"/>
      <c r="AB34" s="318"/>
      <c r="AC34" s="318"/>
      <c r="AD34" s="318"/>
      <c r="AE34" s="317" t="s">
        <v>3339</v>
      </c>
      <c r="AF34" s="317"/>
      <c r="AG34" s="317" t="s">
        <v>3341</v>
      </c>
      <c r="AH34" s="267"/>
      <c r="AI34" s="251"/>
      <c r="AJ34" s="323"/>
      <c r="AK34" s="323"/>
      <c r="AL34" s="323"/>
      <c r="AM34" s="323"/>
      <c r="AN34" s="323"/>
      <c r="AO34" s="323"/>
      <c r="AP34" s="358" t="s">
        <v>3342</v>
      </c>
      <c r="AQ34" s="323"/>
      <c r="AR34" s="323"/>
      <c r="AS34" s="323"/>
      <c r="AT34" s="323"/>
      <c r="AU34" s="323"/>
      <c r="AV34" s="323"/>
      <c r="AW34" s="323"/>
      <c r="AX34" s="323"/>
      <c r="AY34" s="323"/>
      <c r="AZ34" s="351"/>
      <c r="BA34" s="416" t="s">
        <v>3344</v>
      </c>
      <c r="BB34" s="326"/>
      <c r="BC34" s="416"/>
      <c r="BD34" s="416"/>
      <c r="BE34" s="416" t="s">
        <v>3347</v>
      </c>
      <c r="BF34" s="351"/>
      <c r="BG34" s="332"/>
      <c r="BH34" s="332"/>
      <c r="BI34" s="332"/>
      <c r="BJ34" s="332"/>
      <c r="BK34" s="332"/>
      <c r="BL34" s="332"/>
      <c r="BM34" s="378" t="s">
        <v>3348</v>
      </c>
      <c r="BN34" s="251"/>
      <c r="BO34" s="340"/>
      <c r="BP34" s="337"/>
      <c r="BQ34" s="340"/>
      <c r="BR34" s="339" t="s">
        <v>3350</v>
      </c>
      <c r="BS34" s="340"/>
      <c r="BT34" s="340"/>
      <c r="BU34" s="340"/>
      <c r="BV34" s="341" t="s">
        <v>3351</v>
      </c>
      <c r="BW34" s="339" t="s">
        <v>3352</v>
      </c>
      <c r="BX34" s="251"/>
      <c r="BY34" s="396" t="s">
        <v>3353</v>
      </c>
      <c r="BZ34" s="345"/>
      <c r="CA34" s="396"/>
      <c r="CB34" s="515"/>
      <c r="CC34" s="396"/>
      <c r="CD34" s="345"/>
      <c r="CE34" s="345"/>
      <c r="CF34" s="345"/>
      <c r="CG34" s="345"/>
      <c r="CH34" s="345"/>
      <c r="CI34" s="345"/>
      <c r="CJ34" s="346"/>
      <c r="CK34" s="346"/>
    </row>
    <row r="35">
      <c r="A35" s="347" t="s">
        <v>3358</v>
      </c>
      <c r="B35" s="241" t="s">
        <v>3359</v>
      </c>
      <c r="C35" s="237" t="s">
        <v>155</v>
      </c>
      <c r="D35" s="238" t="s">
        <v>155</v>
      </c>
      <c r="E35" s="239" t="s">
        <v>155</v>
      </c>
      <c r="F35" s="240" t="s">
        <v>155</v>
      </c>
      <c r="G35" s="241" t="s">
        <v>1976</v>
      </c>
      <c r="H35" s="308"/>
      <c r="I35" s="308"/>
      <c r="J35" s="308"/>
      <c r="K35" s="348" t="s">
        <v>3363</v>
      </c>
      <c r="L35" s="348" t="s">
        <v>3364</v>
      </c>
      <c r="M35" s="308"/>
      <c r="N35" s="348" t="s">
        <v>3366</v>
      </c>
      <c r="O35" s="348" t="s">
        <v>3368</v>
      </c>
      <c r="P35" s="251"/>
      <c r="Q35" s="353"/>
      <c r="R35" s="353"/>
      <c r="S35" s="353"/>
      <c r="T35" s="353"/>
      <c r="U35" s="352" t="s">
        <v>3370</v>
      </c>
      <c r="V35" s="352" t="s">
        <v>3111</v>
      </c>
      <c r="W35" s="251"/>
      <c r="X35" s="318"/>
      <c r="Y35" s="318"/>
      <c r="Z35" s="317" t="s">
        <v>2100</v>
      </c>
      <c r="AA35" s="617"/>
      <c r="AB35" s="318"/>
      <c r="AC35" s="318"/>
      <c r="AD35" s="317" t="s">
        <v>3374</v>
      </c>
      <c r="AE35" s="317" t="s">
        <v>3375</v>
      </c>
      <c r="AF35" s="317"/>
      <c r="AG35" s="318"/>
      <c r="AH35" s="641" t="s">
        <v>3377</v>
      </c>
      <c r="AI35" s="251"/>
      <c r="AJ35" s="323"/>
      <c r="AK35" s="323"/>
      <c r="AL35" s="323"/>
      <c r="AM35" s="358" t="s">
        <v>3381</v>
      </c>
      <c r="AN35" s="323"/>
      <c r="AO35" s="323"/>
      <c r="AP35" s="323"/>
      <c r="AQ35" s="323"/>
      <c r="AR35" s="323"/>
      <c r="AS35" s="323"/>
      <c r="AT35" s="323"/>
      <c r="AU35" s="323"/>
      <c r="AV35" s="323"/>
      <c r="AW35" s="358" t="s">
        <v>3385</v>
      </c>
      <c r="AX35" s="323"/>
      <c r="AY35" s="323"/>
      <c r="AZ35" s="351"/>
      <c r="BA35" s="326"/>
      <c r="BB35" s="326"/>
      <c r="BC35" s="326"/>
      <c r="BD35" s="326"/>
      <c r="BE35" s="416" t="s">
        <v>3388</v>
      </c>
      <c r="BF35" s="351"/>
      <c r="BG35" s="378" t="s">
        <v>3389</v>
      </c>
      <c r="BH35" s="378" t="s">
        <v>2414</v>
      </c>
      <c r="BI35" s="332"/>
      <c r="BJ35" s="332"/>
      <c r="BK35" s="378" t="s">
        <v>3393</v>
      </c>
      <c r="BL35" s="378" t="s">
        <v>3396</v>
      </c>
      <c r="BM35" s="332"/>
      <c r="BN35" s="251"/>
      <c r="BO35" s="339" t="s">
        <v>3398</v>
      </c>
      <c r="BP35" s="337"/>
      <c r="BQ35" s="340"/>
      <c r="BR35" s="340"/>
      <c r="BS35" s="340"/>
      <c r="BT35" s="339" t="s">
        <v>3400</v>
      </c>
      <c r="BU35" s="340"/>
      <c r="BV35" s="339" t="s">
        <v>3402</v>
      </c>
      <c r="BW35" s="339" t="s">
        <v>3404</v>
      </c>
      <c r="BX35" s="251"/>
      <c r="BY35" s="345"/>
      <c r="BZ35" s="345"/>
      <c r="CA35" s="345"/>
      <c r="CB35" s="346"/>
      <c r="CC35" s="345"/>
      <c r="CD35" s="345"/>
      <c r="CE35" s="345"/>
      <c r="CF35" s="345"/>
      <c r="CG35" s="345"/>
      <c r="CH35" s="515" t="s">
        <v>3408</v>
      </c>
      <c r="CI35" s="345"/>
      <c r="CJ35" s="346"/>
      <c r="CK35" s="346"/>
    </row>
    <row r="36">
      <c r="A36" s="701" t="s">
        <v>73</v>
      </c>
      <c r="B36" s="241" t="s">
        <v>3412</v>
      </c>
      <c r="C36" s="237" t="s">
        <v>155</v>
      </c>
      <c r="D36" s="238" t="s">
        <v>76</v>
      </c>
      <c r="E36" s="239" t="s">
        <v>155</v>
      </c>
      <c r="F36" s="240" t="s">
        <v>211</v>
      </c>
      <c r="G36" s="241" t="s">
        <v>1694</v>
      </c>
      <c r="H36" s="348" t="s">
        <v>3413</v>
      </c>
      <c r="I36" s="348"/>
      <c r="J36" s="308"/>
      <c r="K36" s="308"/>
      <c r="L36" s="348" t="s">
        <v>3414</v>
      </c>
      <c r="M36" s="308"/>
      <c r="N36" s="309" t="s">
        <v>3415</v>
      </c>
      <c r="O36" s="308"/>
      <c r="P36" s="251"/>
      <c r="Q36" s="316" t="s">
        <v>3422</v>
      </c>
      <c r="R36" s="353"/>
      <c r="S36" s="353"/>
      <c r="T36" s="353"/>
      <c r="U36" s="316" t="s">
        <v>3431</v>
      </c>
      <c r="V36" s="316" t="s">
        <v>3435</v>
      </c>
      <c r="W36" s="251"/>
      <c r="X36" s="318"/>
      <c r="Y36" s="318"/>
      <c r="Z36" s="317" t="s">
        <v>3438</v>
      </c>
      <c r="AA36" s="617"/>
      <c r="AB36" s="318"/>
      <c r="AC36" s="318"/>
      <c r="AD36" s="318"/>
      <c r="AE36" s="317" t="s">
        <v>3439</v>
      </c>
      <c r="AF36" s="317" t="s">
        <v>3440</v>
      </c>
      <c r="AG36" s="318"/>
      <c r="AH36" s="637" t="s">
        <v>3442</v>
      </c>
      <c r="AI36" s="251"/>
      <c r="AJ36" s="323"/>
      <c r="AK36" s="358" t="s">
        <v>3450</v>
      </c>
      <c r="AL36" s="323"/>
      <c r="AM36" s="323"/>
      <c r="AN36" s="323"/>
      <c r="AO36" s="323"/>
      <c r="AP36" s="323"/>
      <c r="AQ36" s="323"/>
      <c r="AR36" s="323"/>
      <c r="AS36" s="323"/>
      <c r="AT36" s="323"/>
      <c r="AU36" s="323"/>
      <c r="AV36" s="323"/>
      <c r="AW36" s="358" t="s">
        <v>3455</v>
      </c>
      <c r="AX36" s="323"/>
      <c r="AY36" s="358" t="s">
        <v>3456</v>
      </c>
      <c r="AZ36" s="351"/>
      <c r="BA36" s="326"/>
      <c r="BB36" s="326"/>
      <c r="BC36" s="416" t="s">
        <v>3457</v>
      </c>
      <c r="BD36" s="327" t="s">
        <v>3458</v>
      </c>
      <c r="BE36" s="375" t="s">
        <v>3464</v>
      </c>
      <c r="BF36" s="351"/>
      <c r="BG36" s="332"/>
      <c r="BH36" s="332"/>
      <c r="BI36" s="332"/>
      <c r="BJ36" s="332"/>
      <c r="BK36" s="332"/>
      <c r="BL36" s="332"/>
      <c r="BM36" s="378" t="s">
        <v>3471</v>
      </c>
      <c r="BN36" s="251"/>
      <c r="BO36" s="340"/>
      <c r="BP36" s="337"/>
      <c r="BQ36" s="339" t="s">
        <v>3473</v>
      </c>
      <c r="BR36" s="340"/>
      <c r="BS36" s="340"/>
      <c r="BT36" s="340"/>
      <c r="BU36" s="388" t="s">
        <v>3478</v>
      </c>
      <c r="BV36" s="340"/>
      <c r="BW36" s="339" t="s">
        <v>3482</v>
      </c>
      <c r="BX36" s="251"/>
      <c r="BY36" s="345"/>
      <c r="BZ36" s="345"/>
      <c r="CA36" s="345"/>
      <c r="CB36" s="346"/>
      <c r="CC36" s="345"/>
      <c r="CD36" s="345"/>
      <c r="CE36" s="345"/>
      <c r="CF36" s="345"/>
      <c r="CG36" s="345"/>
      <c r="CH36" s="345"/>
      <c r="CI36" s="426" t="s">
        <v>3485</v>
      </c>
      <c r="CJ36" s="346"/>
      <c r="CK36" s="346"/>
    </row>
    <row r="37">
      <c r="A37" s="347" t="s">
        <v>2910</v>
      </c>
      <c r="B37" s="241" t="s">
        <v>3412</v>
      </c>
      <c r="C37" s="237" t="s">
        <v>76</v>
      </c>
      <c r="D37" s="238" t="s">
        <v>155</v>
      </c>
      <c r="E37" s="239" t="s">
        <v>155</v>
      </c>
      <c r="F37" s="240" t="s">
        <v>76</v>
      </c>
      <c r="G37" s="241" t="s">
        <v>1492</v>
      </c>
      <c r="H37" s="348"/>
      <c r="I37" s="308"/>
      <c r="J37" s="308"/>
      <c r="K37" s="308"/>
      <c r="L37" s="348" t="s">
        <v>3488</v>
      </c>
      <c r="M37" s="308"/>
      <c r="N37" s="348" t="s">
        <v>3490</v>
      </c>
      <c r="O37" s="348"/>
      <c r="P37" s="251"/>
      <c r="Q37" s="352" t="s">
        <v>3492</v>
      </c>
      <c r="R37" s="353"/>
      <c r="S37" s="353"/>
      <c r="T37" s="353"/>
      <c r="U37" s="353"/>
      <c r="V37" s="352" t="s">
        <v>3494</v>
      </c>
      <c r="W37" s="251"/>
      <c r="X37" s="318"/>
      <c r="Y37" s="318"/>
      <c r="Z37" s="317" t="s">
        <v>3495</v>
      </c>
      <c r="AA37" s="317" t="s">
        <v>3497</v>
      </c>
      <c r="AB37" s="317" t="s">
        <v>3499</v>
      </c>
      <c r="AC37" s="317" t="s">
        <v>3500</v>
      </c>
      <c r="AD37" s="318"/>
      <c r="AE37" s="317" t="s">
        <v>3501</v>
      </c>
      <c r="AF37" s="317"/>
      <c r="AG37" s="318"/>
      <c r="AH37" s="641" t="s">
        <v>3502</v>
      </c>
      <c r="AI37" s="251"/>
      <c r="AJ37" s="323"/>
      <c r="AK37" s="323"/>
      <c r="AL37" s="323"/>
      <c r="AM37" s="323"/>
      <c r="AN37" s="323"/>
      <c r="AO37" s="323"/>
      <c r="AP37" s="358" t="s">
        <v>3505</v>
      </c>
      <c r="AQ37" s="323"/>
      <c r="AR37" s="323"/>
      <c r="AS37" s="323"/>
      <c r="AT37" s="323"/>
      <c r="AU37" s="323"/>
      <c r="AV37" s="323"/>
      <c r="AW37" s="358" t="s">
        <v>1545</v>
      </c>
      <c r="AX37" s="323"/>
      <c r="AY37" s="358" t="s">
        <v>3507</v>
      </c>
      <c r="AZ37" s="351"/>
      <c r="BA37" s="416" t="s">
        <v>3509</v>
      </c>
      <c r="BB37" s="416" t="s">
        <v>3510</v>
      </c>
      <c r="BC37" s="326"/>
      <c r="BD37" s="326"/>
      <c r="BE37" s="416" t="s">
        <v>3511</v>
      </c>
      <c r="BF37" s="351"/>
      <c r="BG37" s="332"/>
      <c r="BH37" s="332"/>
      <c r="BI37" s="332"/>
      <c r="BJ37" s="332"/>
      <c r="BK37" s="332"/>
      <c r="BL37" s="334" t="s">
        <v>3515</v>
      </c>
      <c r="BM37" s="332"/>
      <c r="BN37" s="251"/>
      <c r="BO37" s="340"/>
      <c r="BP37" s="337"/>
      <c r="BQ37" s="340"/>
      <c r="BR37" s="340"/>
      <c r="BS37" s="340"/>
      <c r="BT37" s="340"/>
      <c r="BU37" s="340"/>
      <c r="BV37" s="340"/>
      <c r="BW37" s="340"/>
      <c r="BX37" s="251"/>
      <c r="BY37" s="345"/>
      <c r="BZ37" s="345"/>
      <c r="CA37" s="345"/>
      <c r="CB37" s="346"/>
      <c r="CC37" s="345"/>
      <c r="CD37" s="345"/>
      <c r="CE37" s="345"/>
      <c r="CF37" s="345"/>
      <c r="CG37" s="345"/>
      <c r="CH37" s="345"/>
      <c r="CI37" s="345"/>
      <c r="CJ37" s="346"/>
      <c r="CK37" s="346"/>
    </row>
    <row r="38">
      <c r="A38" s="719" t="s">
        <v>3533</v>
      </c>
      <c r="B38" s="241" t="s">
        <v>3535</v>
      </c>
      <c r="C38" s="237" t="s">
        <v>155</v>
      </c>
      <c r="D38" s="238" t="s">
        <v>155</v>
      </c>
      <c r="E38" s="239" t="s">
        <v>155</v>
      </c>
      <c r="F38" s="240" t="s">
        <v>79</v>
      </c>
      <c r="G38" s="241" t="s">
        <v>74</v>
      </c>
      <c r="H38" s="348" t="s">
        <v>3537</v>
      </c>
      <c r="I38" s="308"/>
      <c r="J38" s="308"/>
      <c r="K38" s="308"/>
      <c r="L38" s="308"/>
      <c r="M38" s="308"/>
      <c r="N38" s="348" t="s">
        <v>3539</v>
      </c>
      <c r="O38" s="308"/>
      <c r="P38" s="251"/>
      <c r="Q38" s="353"/>
      <c r="R38" s="353"/>
      <c r="S38" s="352" t="s">
        <v>3541</v>
      </c>
      <c r="T38" s="352" t="s">
        <v>3542</v>
      </c>
      <c r="U38" s="352" t="s">
        <v>3543</v>
      </c>
      <c r="V38" s="352" t="s">
        <v>3544</v>
      </c>
      <c r="W38" s="251"/>
      <c r="X38" s="317" t="s">
        <v>2896</v>
      </c>
      <c r="Y38" s="318"/>
      <c r="Z38" s="318"/>
      <c r="AA38" s="617"/>
      <c r="AB38" s="318"/>
      <c r="AC38" s="318"/>
      <c r="AD38" s="318"/>
      <c r="AE38" s="318"/>
      <c r="AF38" s="317"/>
      <c r="AG38" s="318"/>
      <c r="AH38" s="267"/>
      <c r="AI38" s="251"/>
      <c r="AJ38" s="323"/>
      <c r="AK38" s="323"/>
      <c r="AL38" s="323"/>
      <c r="AM38" s="358" t="s">
        <v>1915</v>
      </c>
      <c r="AN38" s="323"/>
      <c r="AO38" s="323"/>
      <c r="AP38" s="358" t="s">
        <v>3547</v>
      </c>
      <c r="AQ38" s="323"/>
      <c r="AR38" s="371" t="s">
        <v>3548</v>
      </c>
      <c r="AS38" s="323"/>
      <c r="AT38" s="323"/>
      <c r="AU38" s="323"/>
      <c r="AV38" s="323"/>
      <c r="AW38" s="358" t="s">
        <v>3557</v>
      </c>
      <c r="AX38" s="323"/>
      <c r="AY38" s="323"/>
      <c r="AZ38" s="351"/>
      <c r="BA38" s="326"/>
      <c r="BB38" s="416" t="s">
        <v>3559</v>
      </c>
      <c r="BC38" s="416" t="s">
        <v>1487</v>
      </c>
      <c r="BD38" s="416"/>
      <c r="BE38" s="416" t="s">
        <v>3561</v>
      </c>
      <c r="BF38" s="351"/>
      <c r="BG38" s="332"/>
      <c r="BH38" s="332"/>
      <c r="BI38" s="332"/>
      <c r="BJ38" s="332"/>
      <c r="BK38" s="332"/>
      <c r="BL38" s="332"/>
      <c r="BM38" s="332"/>
      <c r="BN38" s="251"/>
      <c r="BO38" s="388" t="s">
        <v>3566</v>
      </c>
      <c r="BP38" s="337"/>
      <c r="BQ38" s="388" t="s">
        <v>3573</v>
      </c>
      <c r="BR38" s="340"/>
      <c r="BS38" s="340"/>
      <c r="BT38" s="340"/>
      <c r="BU38" s="340"/>
      <c r="BV38" s="339" t="s">
        <v>2809</v>
      </c>
      <c r="BW38" s="339" t="s">
        <v>3580</v>
      </c>
      <c r="BX38" s="251"/>
      <c r="BY38" s="345"/>
      <c r="BZ38" s="426" t="s">
        <v>647</v>
      </c>
      <c r="CA38" s="345"/>
      <c r="CB38" s="346"/>
      <c r="CC38" s="345"/>
      <c r="CD38" s="345"/>
      <c r="CE38" s="345"/>
      <c r="CF38" s="345"/>
      <c r="CG38" s="345"/>
      <c r="CH38" s="345"/>
      <c r="CI38" s="345"/>
      <c r="CJ38" s="346"/>
      <c r="CK38" s="346"/>
    </row>
    <row r="39">
      <c r="A39" s="727" t="s">
        <v>89</v>
      </c>
      <c r="B39" s="241" t="s">
        <v>3594</v>
      </c>
      <c r="C39" s="237" t="s">
        <v>155</v>
      </c>
      <c r="D39" s="238" t="s">
        <v>155</v>
      </c>
      <c r="E39" s="239" t="s">
        <v>155</v>
      </c>
      <c r="F39" s="240" t="s">
        <v>191</v>
      </c>
      <c r="G39" s="241" t="s">
        <v>191</v>
      </c>
      <c r="H39" s="308"/>
      <c r="I39" s="309" t="s">
        <v>3600</v>
      </c>
      <c r="J39" s="308"/>
      <c r="K39" s="308"/>
      <c r="L39" s="309" t="s">
        <v>3605</v>
      </c>
      <c r="M39" s="308"/>
      <c r="N39" s="309" t="s">
        <v>3616</v>
      </c>
      <c r="O39" s="308"/>
      <c r="P39" s="251"/>
      <c r="Q39" s="353"/>
      <c r="R39" s="353"/>
      <c r="S39" s="353"/>
      <c r="T39" s="353"/>
      <c r="U39" s="353"/>
      <c r="V39" s="316" t="s">
        <v>3622</v>
      </c>
      <c r="W39" s="251"/>
      <c r="X39" s="318"/>
      <c r="Y39" s="318"/>
      <c r="Z39" s="318"/>
      <c r="AA39" s="617"/>
      <c r="AB39" s="318"/>
      <c r="AC39" s="318"/>
      <c r="AD39" s="318"/>
      <c r="AE39" s="257" t="s">
        <v>3627</v>
      </c>
      <c r="AF39" s="318"/>
      <c r="AG39" s="257" t="s">
        <v>3631</v>
      </c>
      <c r="AH39" s="267"/>
      <c r="AI39" s="251"/>
      <c r="AJ39" s="323"/>
      <c r="AK39" s="323"/>
      <c r="AL39" s="323"/>
      <c r="AM39" s="371" t="s">
        <v>3637</v>
      </c>
      <c r="AN39" s="323"/>
      <c r="AO39" s="323"/>
      <c r="AP39" s="323"/>
      <c r="AQ39" s="323"/>
      <c r="AR39" s="323"/>
      <c r="AS39" s="323"/>
      <c r="AT39" s="323"/>
      <c r="AU39" s="323"/>
      <c r="AV39" s="323"/>
      <c r="AW39" s="323"/>
      <c r="AX39" s="323"/>
      <c r="AY39" s="323"/>
      <c r="AZ39" s="351"/>
      <c r="BA39" s="326"/>
      <c r="BB39" s="326"/>
      <c r="BC39" s="326"/>
      <c r="BD39" s="326"/>
      <c r="BE39" s="375" t="s">
        <v>3639</v>
      </c>
      <c r="BF39" s="351"/>
      <c r="BG39" s="332"/>
      <c r="BH39" s="332"/>
      <c r="BI39" s="332"/>
      <c r="BJ39" s="332"/>
      <c r="BK39" s="332"/>
      <c r="BL39" s="335" t="s">
        <v>3643</v>
      </c>
      <c r="BM39" s="332"/>
      <c r="BN39" s="251"/>
      <c r="BO39" s="340"/>
      <c r="BP39" s="337"/>
      <c r="BQ39" s="340"/>
      <c r="BR39" s="340"/>
      <c r="BS39" s="340"/>
      <c r="BT39" s="340"/>
      <c r="BU39" s="340"/>
      <c r="BV39" s="340"/>
      <c r="BW39" s="388" t="s">
        <v>3648</v>
      </c>
      <c r="BX39" s="251"/>
      <c r="BY39" s="345"/>
      <c r="BZ39" s="345"/>
      <c r="CA39" s="345"/>
      <c r="CB39" s="346"/>
      <c r="CC39" s="345"/>
      <c r="CD39" s="345"/>
      <c r="CE39" s="345"/>
      <c r="CF39" s="345"/>
      <c r="CG39" s="345"/>
      <c r="CH39" s="345"/>
      <c r="CI39" s="345"/>
      <c r="CJ39" s="346"/>
      <c r="CK39" s="346"/>
    </row>
    <row r="40">
      <c r="A40" s="743" t="s">
        <v>126</v>
      </c>
      <c r="B40" s="241" t="s">
        <v>3654</v>
      </c>
      <c r="C40" s="237" t="s">
        <v>76</v>
      </c>
      <c r="D40" s="238" t="s">
        <v>155</v>
      </c>
      <c r="E40" s="239" t="s">
        <v>155</v>
      </c>
      <c r="F40" s="240" t="s">
        <v>79</v>
      </c>
      <c r="G40" s="241" t="s">
        <v>539</v>
      </c>
      <c r="H40" s="348" t="s">
        <v>3620</v>
      </c>
      <c r="I40" s="308"/>
      <c r="J40" s="308"/>
      <c r="K40" s="308"/>
      <c r="L40" s="308"/>
      <c r="M40" s="308"/>
      <c r="N40" s="309" t="s">
        <v>3655</v>
      </c>
      <c r="O40" s="308"/>
      <c r="P40" s="251"/>
      <c r="Q40" s="353"/>
      <c r="R40" s="353"/>
      <c r="S40" s="314" t="s">
        <v>738</v>
      </c>
      <c r="T40" s="353"/>
      <c r="U40" s="353"/>
      <c r="V40" s="352" t="s">
        <v>3660</v>
      </c>
      <c r="W40" s="251"/>
      <c r="X40" s="318"/>
      <c r="Y40" s="318"/>
      <c r="Z40" s="317" t="s">
        <v>2595</v>
      </c>
      <c r="AA40" s="437" t="s">
        <v>2260</v>
      </c>
      <c r="AB40" s="318"/>
      <c r="AC40" s="318"/>
      <c r="AD40" s="317" t="s">
        <v>3663</v>
      </c>
      <c r="AE40" s="317" t="s">
        <v>3092</v>
      </c>
      <c r="AF40" s="318"/>
      <c r="AG40" s="318"/>
      <c r="AH40" s="637" t="s">
        <v>3664</v>
      </c>
      <c r="AI40" s="251"/>
      <c r="AJ40" s="323"/>
      <c r="AK40" s="323"/>
      <c r="AL40" s="323"/>
      <c r="AM40" s="358" t="s">
        <v>3672</v>
      </c>
      <c r="AN40" s="323"/>
      <c r="AO40" s="323"/>
      <c r="AP40" s="323"/>
      <c r="AQ40" s="323"/>
      <c r="AR40" s="323"/>
      <c r="AS40" s="323"/>
      <c r="AT40" s="323"/>
      <c r="AU40" s="323"/>
      <c r="AV40" s="323"/>
      <c r="AW40" s="323"/>
      <c r="AX40" s="323"/>
      <c r="AY40" s="358" t="s">
        <v>3680</v>
      </c>
      <c r="AZ40" s="351"/>
      <c r="BA40" s="326"/>
      <c r="BB40" s="326"/>
      <c r="BC40" s="326"/>
      <c r="BD40" s="416" t="s">
        <v>3681</v>
      </c>
      <c r="BE40" s="416" t="s">
        <v>3682</v>
      </c>
      <c r="BF40" s="351"/>
      <c r="BG40" s="378" t="s">
        <v>3684</v>
      </c>
      <c r="BH40" s="332"/>
      <c r="BI40" s="332"/>
      <c r="BJ40" s="332"/>
      <c r="BK40" s="332"/>
      <c r="BL40" s="378" t="s">
        <v>3685</v>
      </c>
      <c r="BM40" s="332"/>
      <c r="BN40" s="251"/>
      <c r="BO40" s="340"/>
      <c r="BP40" s="337"/>
      <c r="BQ40" s="340"/>
      <c r="BR40" s="340"/>
      <c r="BS40" s="340"/>
      <c r="BT40" s="340"/>
      <c r="BU40" s="340"/>
      <c r="BV40" s="340"/>
      <c r="BW40" s="339" t="s">
        <v>3688</v>
      </c>
      <c r="BX40" s="251"/>
      <c r="BY40" s="345"/>
      <c r="BZ40" s="345"/>
      <c r="CA40" s="345"/>
      <c r="CB40" s="346"/>
      <c r="CC40" s="345"/>
      <c r="CD40" s="345"/>
      <c r="CE40" s="345"/>
      <c r="CF40" s="345"/>
      <c r="CG40" s="345"/>
      <c r="CH40" s="345"/>
      <c r="CI40" s="345"/>
      <c r="CJ40" s="346"/>
      <c r="CK40" s="346"/>
    </row>
    <row r="41">
      <c r="A41" s="347" t="s">
        <v>132</v>
      </c>
      <c r="B41" s="241" t="s">
        <v>3692</v>
      </c>
      <c r="C41" s="237" t="s">
        <v>155</v>
      </c>
      <c r="D41" s="238" t="s">
        <v>155</v>
      </c>
      <c r="E41" s="239" t="s">
        <v>155</v>
      </c>
      <c r="F41" s="240" t="s">
        <v>76</v>
      </c>
      <c r="G41" s="241" t="s">
        <v>260</v>
      </c>
      <c r="H41" s="308"/>
      <c r="I41" s="308"/>
      <c r="J41" s="308"/>
      <c r="K41" s="308"/>
      <c r="L41" s="553" t="s">
        <v>789</v>
      </c>
      <c r="M41" s="308"/>
      <c r="N41" s="348" t="s">
        <v>3694</v>
      </c>
      <c r="O41" s="308"/>
      <c r="P41" s="251"/>
      <c r="Q41" s="353"/>
      <c r="R41" s="353"/>
      <c r="S41" s="352" t="s">
        <v>3695</v>
      </c>
      <c r="T41" s="353"/>
      <c r="U41" s="353"/>
      <c r="V41" s="353"/>
      <c r="W41" s="251"/>
      <c r="X41" s="318"/>
      <c r="Y41" s="318"/>
      <c r="Z41" s="318"/>
      <c r="AA41" s="635" t="s">
        <v>3696</v>
      </c>
      <c r="AB41" s="322" t="s">
        <v>3697</v>
      </c>
      <c r="AC41" s="318"/>
      <c r="AD41" s="318"/>
      <c r="AE41" s="318"/>
      <c r="AF41" s="318"/>
      <c r="AG41" s="318"/>
      <c r="AH41" s="641" t="s">
        <v>3700</v>
      </c>
      <c r="AI41" s="251"/>
      <c r="AJ41" s="323"/>
      <c r="AK41" s="323"/>
      <c r="AL41" s="323"/>
      <c r="AM41" s="323"/>
      <c r="AN41" s="323"/>
      <c r="AO41" s="323"/>
      <c r="AP41" s="323"/>
      <c r="AQ41" s="323"/>
      <c r="AR41" s="323"/>
      <c r="AS41" s="323"/>
      <c r="AT41" s="323"/>
      <c r="AU41" s="323"/>
      <c r="AV41" s="323"/>
      <c r="AW41" s="323"/>
      <c r="AX41" s="323"/>
      <c r="AY41" s="323"/>
      <c r="AZ41" s="351"/>
      <c r="BA41" s="326"/>
      <c r="BB41" s="326"/>
      <c r="BC41" s="326"/>
      <c r="BD41" s="326"/>
      <c r="BE41" s="416" t="s">
        <v>3704</v>
      </c>
      <c r="BF41" s="351"/>
      <c r="BG41" s="332"/>
      <c r="BH41" s="332"/>
      <c r="BI41" s="332"/>
      <c r="BJ41" s="332"/>
      <c r="BK41" s="332"/>
      <c r="BL41" s="332"/>
      <c r="BM41" s="332"/>
      <c r="BN41" s="251"/>
      <c r="BO41" s="340"/>
      <c r="BP41" s="337"/>
      <c r="BQ41" s="340"/>
      <c r="BR41" s="340"/>
      <c r="BS41" s="340"/>
      <c r="BT41" s="340"/>
      <c r="BU41" s="588" t="s">
        <v>3712</v>
      </c>
      <c r="BV41" s="339" t="s">
        <v>1362</v>
      </c>
      <c r="BW41" s="341" t="s">
        <v>3713</v>
      </c>
      <c r="BX41" s="251"/>
      <c r="BY41" s="345"/>
      <c r="BZ41" s="643" t="s">
        <v>3714</v>
      </c>
      <c r="CA41" s="345"/>
      <c r="CB41" s="346"/>
      <c r="CC41" s="345"/>
      <c r="CD41" s="345"/>
      <c r="CE41" s="345"/>
      <c r="CF41" s="396" t="s">
        <v>3715</v>
      </c>
      <c r="CG41" s="345"/>
      <c r="CH41" s="345"/>
      <c r="CI41" s="426" t="s">
        <v>3717</v>
      </c>
      <c r="CJ41" s="346"/>
      <c r="CK41" s="346"/>
    </row>
    <row r="42">
      <c r="A42" s="347" t="s">
        <v>3722</v>
      </c>
      <c r="B42" s="241" t="s">
        <v>3725</v>
      </c>
      <c r="C42" s="237" t="s">
        <v>76</v>
      </c>
      <c r="D42" s="238" t="s">
        <v>155</v>
      </c>
      <c r="E42" s="239" t="s">
        <v>155</v>
      </c>
      <c r="F42" s="240" t="s">
        <v>127</v>
      </c>
      <c r="G42" s="241" t="s">
        <v>79</v>
      </c>
      <c r="H42" s="308"/>
      <c r="I42" s="308"/>
      <c r="J42" s="308"/>
      <c r="K42" s="308"/>
      <c r="L42" s="308"/>
      <c r="M42" s="308"/>
      <c r="N42" s="308"/>
      <c r="O42" s="308"/>
      <c r="P42" s="251"/>
      <c r="Q42" s="759" t="str">
        <f>HYPERLINK("https://youtu.be/UsB9SYccMcU","1:32.77")</f>
        <v>1:32.77</v>
      </c>
      <c r="R42" s="660"/>
      <c r="S42" s="760" t="str">
        <f>HYPERLINK("https://youtu.be/y7apQUmx5sA","1:32.08")</f>
        <v>1:32.08</v>
      </c>
      <c r="T42" s="488" t="s">
        <v>348</v>
      </c>
      <c r="U42" s="353"/>
      <c r="V42" s="488" t="s">
        <v>3736</v>
      </c>
      <c r="W42" s="251"/>
      <c r="X42" s="761"/>
      <c r="Y42" s="318"/>
      <c r="Z42" s="318"/>
      <c r="AA42" s="318"/>
      <c r="AB42" s="318"/>
      <c r="AC42" s="318"/>
      <c r="AD42" s="318"/>
      <c r="AE42" s="318"/>
      <c r="AF42" s="318"/>
      <c r="AG42" s="318"/>
      <c r="AH42" s="267"/>
      <c r="AI42" s="251"/>
      <c r="AJ42" s="323"/>
      <c r="AK42" s="323"/>
      <c r="AL42" s="323"/>
      <c r="AM42" s="323"/>
      <c r="AN42" s="323"/>
      <c r="AO42" s="323"/>
      <c r="AP42" s="323"/>
      <c r="AQ42" s="323"/>
      <c r="AR42" s="323"/>
      <c r="AS42" s="323"/>
      <c r="AT42" s="323"/>
      <c r="AU42" s="323"/>
      <c r="AV42" s="323"/>
      <c r="AW42" s="323"/>
      <c r="AX42" s="323"/>
      <c r="AY42" s="323"/>
      <c r="AZ42" s="351"/>
      <c r="BA42" s="326"/>
      <c r="BB42" s="326"/>
      <c r="BC42" s="326"/>
      <c r="BD42" s="326"/>
      <c r="BE42" s="326"/>
      <c r="BF42" s="351"/>
      <c r="BG42" s="332"/>
      <c r="BH42" s="332"/>
      <c r="BI42" s="332"/>
      <c r="BJ42" s="332"/>
      <c r="BK42" s="332"/>
      <c r="BL42" s="332"/>
      <c r="BM42" s="332"/>
      <c r="BN42" s="251"/>
      <c r="BO42" s="340"/>
      <c r="BP42" s="337"/>
      <c r="BQ42" s="340"/>
      <c r="BR42" s="340"/>
      <c r="BS42" s="340"/>
      <c r="BT42" s="340"/>
      <c r="BU42" s="340"/>
      <c r="BV42" s="340"/>
      <c r="BW42" s="340"/>
      <c r="BX42" s="251"/>
      <c r="BY42" s="345"/>
      <c r="BZ42" s="345"/>
      <c r="CA42" s="396"/>
      <c r="CB42" s="515"/>
      <c r="CC42" s="396"/>
      <c r="CD42" s="345"/>
      <c r="CE42" s="345"/>
      <c r="CF42" s="345"/>
      <c r="CG42" s="345"/>
      <c r="CH42" s="345"/>
      <c r="CI42" s="345"/>
      <c r="CJ42" s="346"/>
      <c r="CK42" s="346"/>
    </row>
    <row r="43">
      <c r="A43" s="347" t="s">
        <v>134</v>
      </c>
      <c r="B43" s="241" t="s">
        <v>1212</v>
      </c>
      <c r="C43" s="237" t="s">
        <v>155</v>
      </c>
      <c r="D43" s="238" t="s">
        <v>155</v>
      </c>
      <c r="E43" s="239" t="s">
        <v>155</v>
      </c>
      <c r="F43" s="240" t="s">
        <v>156</v>
      </c>
      <c r="G43" s="241" t="s">
        <v>79</v>
      </c>
      <c r="H43" s="63"/>
      <c r="I43" s="63"/>
      <c r="J43" s="63"/>
      <c r="K43" s="63"/>
      <c r="L43" s="63"/>
      <c r="M43" s="60"/>
      <c r="N43" s="63"/>
      <c r="O43" s="308"/>
      <c r="P43" s="251"/>
      <c r="Q43" s="353"/>
      <c r="R43" s="60"/>
      <c r="S43" s="60"/>
      <c r="T43" s="60"/>
      <c r="U43" s="60"/>
      <c r="V43" s="60"/>
      <c r="W43" s="764"/>
      <c r="X43" s="70" t="s">
        <v>3752</v>
      </c>
      <c r="Y43" s="63" t="s">
        <v>3757</v>
      </c>
      <c r="Z43" s="63"/>
      <c r="AA43" s="63"/>
      <c r="AB43" s="70" t="s">
        <v>3758</v>
      </c>
      <c r="AC43" s="63"/>
      <c r="AD43" s="60"/>
      <c r="AE43" s="60"/>
      <c r="AF43" s="60"/>
      <c r="AG43" s="70" t="s">
        <v>3762</v>
      </c>
      <c r="AH43" s="267"/>
      <c r="AI43" s="251"/>
      <c r="AJ43" s="323"/>
      <c r="AK43" s="60"/>
      <c r="AL43" s="60"/>
      <c r="AM43" s="60"/>
      <c r="AN43" s="60"/>
      <c r="AO43" s="60"/>
      <c r="AP43" s="60"/>
      <c r="AQ43" s="60"/>
      <c r="AR43" s="60"/>
      <c r="AS43" s="60"/>
      <c r="AT43" s="60"/>
      <c r="AU43" s="60"/>
      <c r="AV43" s="60"/>
      <c r="AW43" s="63"/>
      <c r="AX43" s="60"/>
      <c r="AY43" s="323"/>
      <c r="AZ43" s="351"/>
      <c r="BA43" s="326"/>
      <c r="BB43" s="60"/>
      <c r="BC43" s="60"/>
      <c r="BD43" s="60"/>
      <c r="BE43" s="60"/>
      <c r="BF43" s="351"/>
      <c r="BG43" s="332"/>
      <c r="BH43" s="60"/>
      <c r="BI43" s="60"/>
      <c r="BJ43" s="63"/>
      <c r="BK43" s="60"/>
      <c r="BL43" s="60"/>
      <c r="BM43" s="332"/>
      <c r="BN43" s="251"/>
      <c r="BO43" s="340"/>
      <c r="BP43" s="60"/>
      <c r="BQ43" s="60"/>
      <c r="BR43" s="60"/>
      <c r="BS43" s="60"/>
      <c r="BT43" s="60"/>
      <c r="BU43" s="63"/>
      <c r="BV43" s="63"/>
      <c r="BW43" s="340"/>
      <c r="BX43" s="251"/>
      <c r="BY43" s="345"/>
      <c r="BZ43" s="60"/>
      <c r="CA43" s="60"/>
      <c r="CB43" s="60"/>
      <c r="CC43" s="60"/>
      <c r="CD43" s="60"/>
      <c r="CE43" s="60"/>
      <c r="CF43" s="60"/>
      <c r="CG43" s="60"/>
      <c r="CH43" s="60"/>
      <c r="CI43" s="60"/>
      <c r="CJ43" s="63"/>
      <c r="CK43" s="60"/>
    </row>
    <row r="44">
      <c r="A44" s="766" t="s">
        <v>3767</v>
      </c>
      <c r="B44" s="241" t="s">
        <v>3770</v>
      </c>
      <c r="C44" s="237" t="s">
        <v>155</v>
      </c>
      <c r="D44" s="238" t="s">
        <v>76</v>
      </c>
      <c r="E44" s="239" t="s">
        <v>155</v>
      </c>
      <c r="F44" s="240" t="s">
        <v>79</v>
      </c>
      <c r="G44" s="241" t="s">
        <v>79</v>
      </c>
      <c r="H44" s="308"/>
      <c r="I44" s="308"/>
      <c r="J44" s="308"/>
      <c r="K44" s="308"/>
      <c r="L44" s="308"/>
      <c r="M44" s="308"/>
      <c r="N44" s="308"/>
      <c r="O44" s="308"/>
      <c r="P44" s="251"/>
      <c r="Q44" s="353"/>
      <c r="R44" s="353"/>
      <c r="S44" s="353"/>
      <c r="T44" s="353"/>
      <c r="U44" s="353"/>
      <c r="V44" s="353"/>
      <c r="W44" s="251"/>
      <c r="X44" s="318"/>
      <c r="Y44" s="318"/>
      <c r="Z44" s="318"/>
      <c r="AA44" s="617"/>
      <c r="AB44" s="318"/>
      <c r="AC44" s="318"/>
      <c r="AD44" s="318"/>
      <c r="AE44" s="257" t="s">
        <v>3774</v>
      </c>
      <c r="AF44" s="318"/>
      <c r="AG44" s="318"/>
      <c r="AH44" s="267"/>
      <c r="AI44" s="251"/>
      <c r="AJ44" s="323"/>
      <c r="AK44" s="323"/>
      <c r="AL44" s="323"/>
      <c r="AM44" s="371" t="s">
        <v>3784</v>
      </c>
      <c r="AN44" s="325" t="s">
        <v>3790</v>
      </c>
      <c r="AO44" s="323"/>
      <c r="AP44" s="323"/>
      <c r="AQ44" s="323"/>
      <c r="AR44" s="323"/>
      <c r="AS44" s="323"/>
      <c r="AT44" s="323"/>
      <c r="AU44" s="323"/>
      <c r="AV44" s="323"/>
      <c r="AW44" s="323"/>
      <c r="AX44" s="323"/>
      <c r="AY44" s="323"/>
      <c r="AZ44" s="351"/>
      <c r="BA44" s="326"/>
      <c r="BB44" s="326"/>
      <c r="BC44" s="326"/>
      <c r="BD44" s="326"/>
      <c r="BE44" s="326"/>
      <c r="BF44" s="351"/>
      <c r="BG44" s="335" t="s">
        <v>3792</v>
      </c>
      <c r="BH44" s="332"/>
      <c r="BI44" s="332"/>
      <c r="BJ44" s="332"/>
      <c r="BK44" s="332"/>
      <c r="BL44" s="332"/>
      <c r="BM44" s="332"/>
      <c r="BN44" s="251"/>
      <c r="BO44" s="340"/>
      <c r="BP44" s="337"/>
      <c r="BQ44" s="340"/>
      <c r="BR44" s="340"/>
      <c r="BS44" s="340"/>
      <c r="BT44" s="340"/>
      <c r="BU44" s="340"/>
      <c r="BV44" s="340"/>
      <c r="BW44" s="340"/>
      <c r="BX44" s="251"/>
      <c r="BY44" s="345"/>
      <c r="BZ44" s="345"/>
      <c r="CA44" s="345"/>
      <c r="CB44" s="346"/>
      <c r="CC44" s="345"/>
      <c r="CD44" s="345"/>
      <c r="CE44" s="345"/>
      <c r="CF44" s="345"/>
      <c r="CG44" s="345"/>
      <c r="CH44" s="345"/>
      <c r="CI44" s="345"/>
      <c r="CJ44" s="346"/>
      <c r="CK44" s="346"/>
    </row>
    <row r="45">
      <c r="A45" s="347" t="s">
        <v>3102</v>
      </c>
      <c r="B45" s="241" t="s">
        <v>3801</v>
      </c>
      <c r="C45" s="237" t="s">
        <v>155</v>
      </c>
      <c r="D45" s="238" t="s">
        <v>155</v>
      </c>
      <c r="E45" s="239" t="s">
        <v>155</v>
      </c>
      <c r="F45" s="240" t="s">
        <v>155</v>
      </c>
      <c r="G45" s="241" t="s">
        <v>154</v>
      </c>
      <c r="H45" s="308"/>
      <c r="I45" s="308"/>
      <c r="J45" s="348" t="s">
        <v>3803</v>
      </c>
      <c r="K45" s="348"/>
      <c r="L45" s="348"/>
      <c r="M45" s="348" t="s">
        <v>3805</v>
      </c>
      <c r="N45" s="308"/>
      <c r="O45" s="348" t="s">
        <v>3806</v>
      </c>
      <c r="P45" s="251"/>
      <c r="Q45" s="353"/>
      <c r="R45" s="352" t="s">
        <v>3807</v>
      </c>
      <c r="S45" s="353"/>
      <c r="T45" s="353"/>
      <c r="U45" s="353"/>
      <c r="V45" s="352" t="s">
        <v>3808</v>
      </c>
      <c r="W45" s="251"/>
      <c r="X45" s="318"/>
      <c r="Y45" s="318"/>
      <c r="Z45" s="318"/>
      <c r="AA45" s="635" t="s">
        <v>3809</v>
      </c>
      <c r="AB45" s="317" t="s">
        <v>3810</v>
      </c>
      <c r="AC45" s="318"/>
      <c r="AD45" s="318"/>
      <c r="AE45" s="318"/>
      <c r="AF45" s="318"/>
      <c r="AG45" s="317" t="s">
        <v>3811</v>
      </c>
      <c r="AH45" s="267"/>
      <c r="AI45" s="251"/>
      <c r="AJ45" s="323"/>
      <c r="AK45" s="323"/>
      <c r="AL45" s="323"/>
      <c r="AM45" s="323"/>
      <c r="AN45" s="323"/>
      <c r="AO45" s="323"/>
      <c r="AP45" s="323"/>
      <c r="AQ45" s="323"/>
      <c r="AR45" s="323"/>
      <c r="AS45" s="358"/>
      <c r="AT45" s="323"/>
      <c r="AU45" s="323"/>
      <c r="AV45" s="323"/>
      <c r="AW45" s="323"/>
      <c r="AX45" s="323"/>
      <c r="AY45" s="323"/>
      <c r="AZ45" s="351"/>
      <c r="BA45" s="326"/>
      <c r="BB45" s="326"/>
      <c r="BC45" s="326"/>
      <c r="BD45" s="326"/>
      <c r="BE45" s="416" t="s">
        <v>3814</v>
      </c>
      <c r="BF45" s="351"/>
      <c r="BG45" s="332"/>
      <c r="BH45" s="332"/>
      <c r="BI45" s="332"/>
      <c r="BJ45" s="332"/>
      <c r="BK45" s="332"/>
      <c r="BL45" s="332"/>
      <c r="BM45" s="378" t="s">
        <v>3815</v>
      </c>
      <c r="BN45" s="251"/>
      <c r="BO45" s="340"/>
      <c r="BP45" s="337"/>
      <c r="BQ45" s="340"/>
      <c r="BR45" s="340"/>
      <c r="BS45" s="340"/>
      <c r="BT45" s="340"/>
      <c r="BU45" s="340"/>
      <c r="BV45" s="339" t="s">
        <v>1350</v>
      </c>
      <c r="BW45" s="339" t="s">
        <v>3816</v>
      </c>
      <c r="BX45" s="251"/>
      <c r="BY45" s="345"/>
      <c r="BZ45" s="345"/>
      <c r="CA45" s="345"/>
      <c r="CB45" s="346"/>
      <c r="CC45" s="345"/>
      <c r="CD45" s="345"/>
      <c r="CE45" s="345"/>
      <c r="CF45" s="345"/>
      <c r="CG45" s="345"/>
      <c r="CH45" s="345"/>
      <c r="CI45" s="345"/>
      <c r="CJ45" s="346"/>
      <c r="CK45" s="346"/>
    </row>
    <row r="46">
      <c r="A46" s="347" t="s">
        <v>3819</v>
      </c>
      <c r="B46" s="241" t="s">
        <v>2418</v>
      </c>
      <c r="C46" s="237" t="s">
        <v>155</v>
      </c>
      <c r="D46" s="238" t="s">
        <v>155</v>
      </c>
      <c r="E46" s="239" t="s">
        <v>155</v>
      </c>
      <c r="F46" s="240" t="s">
        <v>76</v>
      </c>
      <c r="G46" s="241" t="s">
        <v>76</v>
      </c>
      <c r="H46" s="308"/>
      <c r="I46" s="308"/>
      <c r="J46" s="308"/>
      <c r="K46" s="308"/>
      <c r="L46" s="308"/>
      <c r="M46" s="308"/>
      <c r="N46" s="308"/>
      <c r="O46" s="308"/>
      <c r="P46" s="251"/>
      <c r="Q46" s="353"/>
      <c r="R46" s="353"/>
      <c r="S46" s="353"/>
      <c r="T46" s="353"/>
      <c r="U46" s="353"/>
      <c r="V46" s="353"/>
      <c r="W46" s="251"/>
      <c r="X46" s="318"/>
      <c r="Y46" s="318"/>
      <c r="Z46" s="318"/>
      <c r="AA46" s="617"/>
      <c r="AB46" s="318"/>
      <c r="AC46" s="318"/>
      <c r="AD46" s="318"/>
      <c r="AE46" s="318"/>
      <c r="AF46" s="318"/>
      <c r="AG46" s="318"/>
      <c r="AH46" s="267"/>
      <c r="AI46" s="251"/>
      <c r="AJ46" s="323"/>
      <c r="AK46" s="323"/>
      <c r="AL46" s="323"/>
      <c r="AM46" s="323"/>
      <c r="AN46" s="323"/>
      <c r="AO46" s="323"/>
      <c r="AP46" s="323"/>
      <c r="AQ46" s="323"/>
      <c r="AR46" s="323"/>
      <c r="AS46" s="323"/>
      <c r="AT46" s="323"/>
      <c r="AU46" s="323"/>
      <c r="AV46" s="323"/>
      <c r="AW46" s="323"/>
      <c r="AX46" s="323"/>
      <c r="AY46" s="323"/>
      <c r="AZ46" s="351"/>
      <c r="BA46" s="326"/>
      <c r="BB46" s="326"/>
      <c r="BC46" s="326"/>
      <c r="BD46" s="326"/>
      <c r="BE46" s="326"/>
      <c r="BF46" s="351"/>
      <c r="BG46" s="332"/>
      <c r="BH46" s="332"/>
      <c r="BI46" s="332"/>
      <c r="BJ46" s="332"/>
      <c r="BK46" s="332"/>
      <c r="BL46" s="332"/>
      <c r="BM46" s="332"/>
      <c r="BN46" s="251"/>
      <c r="BO46" s="340"/>
      <c r="BP46" s="337"/>
      <c r="BQ46" s="340"/>
      <c r="BR46" s="340"/>
      <c r="BS46" s="340"/>
      <c r="BT46" s="340"/>
      <c r="BU46" s="340"/>
      <c r="BV46" s="340"/>
      <c r="BW46" s="388" t="s">
        <v>3824</v>
      </c>
      <c r="BX46" s="251"/>
      <c r="BY46" s="345"/>
      <c r="BZ46" s="345"/>
      <c r="CA46" s="345"/>
      <c r="CB46" s="346"/>
      <c r="CC46" s="345"/>
      <c r="CD46" s="345"/>
      <c r="CE46" s="345"/>
      <c r="CF46" s="345"/>
      <c r="CG46" s="345"/>
      <c r="CH46" s="345"/>
      <c r="CI46" s="345"/>
      <c r="CJ46" s="346"/>
      <c r="CK46" s="346"/>
    </row>
    <row r="47">
      <c r="A47" s="347" t="s">
        <v>3827</v>
      </c>
      <c r="B47" s="241" t="s">
        <v>1845</v>
      </c>
      <c r="C47" s="237" t="s">
        <v>155</v>
      </c>
      <c r="D47" s="238" t="s">
        <v>155</v>
      </c>
      <c r="E47" s="239" t="s">
        <v>155</v>
      </c>
      <c r="F47" s="240" t="s">
        <v>155</v>
      </c>
      <c r="G47" s="241" t="s">
        <v>260</v>
      </c>
      <c r="H47" s="348" t="s">
        <v>3828</v>
      </c>
      <c r="I47" s="348" t="s">
        <v>3829</v>
      </c>
      <c r="J47" s="308"/>
      <c r="K47" s="308"/>
      <c r="L47" s="308"/>
      <c r="M47" s="308"/>
      <c r="N47" s="308"/>
      <c r="O47" s="308"/>
      <c r="P47" s="251"/>
      <c r="Q47" s="352" t="s">
        <v>3830</v>
      </c>
      <c r="R47" s="353"/>
      <c r="S47" s="352"/>
      <c r="T47" s="352" t="s">
        <v>3831</v>
      </c>
      <c r="U47" s="353"/>
      <c r="V47" s="353"/>
      <c r="W47" s="251"/>
      <c r="X47" s="318"/>
      <c r="Y47" s="318"/>
      <c r="Z47" s="318"/>
      <c r="AA47" s="617"/>
      <c r="AB47" s="318"/>
      <c r="AC47" s="318"/>
      <c r="AD47" s="317" t="s">
        <v>3832</v>
      </c>
      <c r="AE47" s="317" t="s">
        <v>3833</v>
      </c>
      <c r="AF47" s="318"/>
      <c r="AG47" s="318"/>
      <c r="AH47" s="267"/>
      <c r="AI47" s="251"/>
      <c r="AJ47" s="323"/>
      <c r="AK47" s="323"/>
      <c r="AL47" s="323"/>
      <c r="AM47" s="358" t="s">
        <v>3837</v>
      </c>
      <c r="AN47" s="323"/>
      <c r="AO47" s="323"/>
      <c r="AP47" s="358" t="s">
        <v>3838</v>
      </c>
      <c r="AQ47" s="323"/>
      <c r="AR47" s="323"/>
      <c r="AS47" s="323"/>
      <c r="AT47" s="323"/>
      <c r="AU47" s="323"/>
      <c r="AV47" s="323"/>
      <c r="AW47" s="323"/>
      <c r="AX47" s="323"/>
      <c r="AY47" s="323"/>
      <c r="AZ47" s="351"/>
      <c r="BA47" s="326"/>
      <c r="BB47" s="416" t="s">
        <v>3840</v>
      </c>
      <c r="BC47" s="774">
        <v>24.62</v>
      </c>
      <c r="BD47" s="326"/>
      <c r="BE47" s="326"/>
      <c r="BF47" s="351"/>
      <c r="BG47" s="332"/>
      <c r="BH47" s="332"/>
      <c r="BI47" s="332"/>
      <c r="BJ47" s="332"/>
      <c r="BK47" s="332"/>
      <c r="BL47" s="378" t="s">
        <v>3841</v>
      </c>
      <c r="BM47" s="332"/>
      <c r="BN47" s="251"/>
      <c r="BO47" s="339" t="s">
        <v>3842</v>
      </c>
      <c r="BP47" s="337"/>
      <c r="BQ47" s="340"/>
      <c r="BR47" s="339" t="s">
        <v>3844</v>
      </c>
      <c r="BS47" s="340"/>
      <c r="BT47" s="339" t="s">
        <v>3845</v>
      </c>
      <c r="BU47" s="340"/>
      <c r="BV47" s="340"/>
      <c r="BW47" s="340"/>
      <c r="BX47" s="251"/>
      <c r="BY47" s="345"/>
      <c r="BZ47" s="345"/>
      <c r="CA47" s="345"/>
      <c r="CB47" s="346"/>
      <c r="CC47" s="345"/>
      <c r="CD47" s="345"/>
      <c r="CE47" s="345"/>
      <c r="CF47" s="345"/>
      <c r="CG47" s="345"/>
      <c r="CH47" s="345"/>
      <c r="CI47" s="345"/>
      <c r="CJ47" s="346"/>
      <c r="CK47" s="346"/>
    </row>
    <row r="48">
      <c r="A48" s="777" t="s">
        <v>128</v>
      </c>
      <c r="B48" s="241" t="s">
        <v>2189</v>
      </c>
      <c r="C48" s="237" t="s">
        <v>155</v>
      </c>
      <c r="D48" s="238" t="s">
        <v>155</v>
      </c>
      <c r="E48" s="239" t="s">
        <v>155</v>
      </c>
      <c r="F48" s="240" t="s">
        <v>155</v>
      </c>
      <c r="G48" s="241" t="s">
        <v>261</v>
      </c>
      <c r="H48" s="308"/>
      <c r="I48" s="308"/>
      <c r="J48" s="308"/>
      <c r="K48" s="308"/>
      <c r="L48" s="308"/>
      <c r="M48" s="308"/>
      <c r="N48" s="308"/>
      <c r="O48" s="308"/>
      <c r="P48" s="251"/>
      <c r="Q48" s="353"/>
      <c r="R48" s="353"/>
      <c r="S48" s="353"/>
      <c r="T48" s="353"/>
      <c r="U48" s="353"/>
      <c r="V48" s="352"/>
      <c r="W48" s="251"/>
      <c r="X48" s="318"/>
      <c r="Y48" s="318"/>
      <c r="Z48" s="318"/>
      <c r="AA48" s="617"/>
      <c r="AB48" s="318"/>
      <c r="AC48" s="318"/>
      <c r="AD48" s="317" t="s">
        <v>3250</v>
      </c>
      <c r="AE48" s="318"/>
      <c r="AF48" s="318"/>
      <c r="AG48" s="318"/>
      <c r="AH48" s="267"/>
      <c r="AI48" s="251"/>
      <c r="AJ48" s="323"/>
      <c r="AK48" s="323"/>
      <c r="AL48" s="323"/>
      <c r="AM48" s="358" t="s">
        <v>3852</v>
      </c>
      <c r="AN48" s="323"/>
      <c r="AO48" s="323"/>
      <c r="AP48" s="358" t="s">
        <v>2906</v>
      </c>
      <c r="AQ48" s="323"/>
      <c r="AR48" s="358" t="s">
        <v>3853</v>
      </c>
      <c r="AS48" s="323"/>
      <c r="AT48" s="323"/>
      <c r="AU48" s="323"/>
      <c r="AV48" s="323"/>
      <c r="AW48" s="358" t="s">
        <v>3826</v>
      </c>
      <c r="AX48" s="323"/>
      <c r="AY48" s="323"/>
      <c r="AZ48" s="351"/>
      <c r="BA48" s="326"/>
      <c r="BB48" s="326"/>
      <c r="BC48" s="416" t="s">
        <v>3857</v>
      </c>
      <c r="BD48" s="326"/>
      <c r="BE48" s="326"/>
      <c r="BF48" s="351"/>
      <c r="BG48" s="332"/>
      <c r="BH48" s="332"/>
      <c r="BI48" s="332"/>
      <c r="BJ48" s="332"/>
      <c r="BK48" s="332"/>
      <c r="BL48" s="332"/>
      <c r="BM48" s="332"/>
      <c r="BN48" s="251"/>
      <c r="BO48" s="339" t="s">
        <v>3859</v>
      </c>
      <c r="BP48" s="337"/>
      <c r="BQ48" s="340"/>
      <c r="BR48" s="340"/>
      <c r="BS48" s="340"/>
      <c r="BT48" s="339" t="s">
        <v>3860</v>
      </c>
      <c r="BU48" s="340"/>
      <c r="BV48" s="340"/>
      <c r="BW48" s="340"/>
      <c r="BX48" s="251"/>
      <c r="BY48" s="345"/>
      <c r="BZ48" s="345"/>
      <c r="CA48" s="345"/>
      <c r="CB48" s="346"/>
      <c r="CC48" s="345"/>
      <c r="CD48" s="345"/>
      <c r="CE48" s="345"/>
      <c r="CF48" s="345"/>
      <c r="CG48" s="345"/>
      <c r="CH48" s="345"/>
      <c r="CI48" s="345"/>
      <c r="CJ48" s="346"/>
      <c r="CK48" s="346"/>
    </row>
    <row r="49" ht="15.75" customHeight="1">
      <c r="A49" s="347" t="s">
        <v>3861</v>
      </c>
      <c r="B49" s="241" t="s">
        <v>3058</v>
      </c>
      <c r="C49" s="237" t="s">
        <v>155</v>
      </c>
      <c r="D49" s="238" t="s">
        <v>155</v>
      </c>
      <c r="E49" s="239" t="s">
        <v>155</v>
      </c>
      <c r="F49" s="240" t="s">
        <v>155</v>
      </c>
      <c r="G49" s="241" t="s">
        <v>156</v>
      </c>
      <c r="H49" s="308"/>
      <c r="I49" s="308"/>
      <c r="J49" s="308"/>
      <c r="K49" s="308"/>
      <c r="L49" s="778" t="s">
        <v>3864</v>
      </c>
      <c r="M49" s="487" t="s">
        <v>1480</v>
      </c>
      <c r="N49" s="308"/>
      <c r="O49" s="308"/>
      <c r="P49" s="251"/>
      <c r="Q49" s="353"/>
      <c r="R49" s="353"/>
      <c r="S49" s="353"/>
      <c r="T49" s="353"/>
      <c r="U49" s="353"/>
      <c r="V49" s="353"/>
      <c r="W49" s="251"/>
      <c r="X49" s="318"/>
      <c r="Y49" s="318"/>
      <c r="Z49" s="318"/>
      <c r="AA49" s="318"/>
      <c r="AB49" s="318"/>
      <c r="AC49" s="318"/>
      <c r="AD49" s="318"/>
      <c r="AE49" s="318"/>
      <c r="AF49" s="318"/>
      <c r="AG49" s="318"/>
      <c r="AH49" s="267"/>
      <c r="AI49" s="251"/>
      <c r="AJ49" s="323"/>
      <c r="AK49" s="323"/>
      <c r="AL49" s="323"/>
      <c r="AM49" s="323"/>
      <c r="AN49" s="323"/>
      <c r="AO49" s="323"/>
      <c r="AP49" s="323"/>
      <c r="AQ49" s="323"/>
      <c r="AR49" s="323"/>
      <c r="AS49" s="323"/>
      <c r="AT49" s="323"/>
      <c r="AU49" s="323"/>
      <c r="AV49" s="323"/>
      <c r="AW49" s="323"/>
      <c r="AX49" s="323"/>
      <c r="AY49" s="323"/>
      <c r="AZ49" s="351"/>
      <c r="BA49" s="326"/>
      <c r="BB49" s="326"/>
      <c r="BC49" s="326"/>
      <c r="BD49" s="326"/>
      <c r="BE49" s="615" t="s">
        <v>3868</v>
      </c>
      <c r="BF49" s="351"/>
      <c r="BG49" s="572" t="s">
        <v>3870</v>
      </c>
      <c r="BH49" s="332"/>
      <c r="BI49" s="332"/>
      <c r="BJ49" s="332"/>
      <c r="BK49" s="332"/>
      <c r="BL49" s="332"/>
      <c r="BM49" s="332"/>
      <c r="BN49" s="251"/>
      <c r="BO49" s="340"/>
      <c r="BP49" s="337"/>
      <c r="BQ49" s="340"/>
      <c r="BR49" s="340"/>
      <c r="BS49" s="340"/>
      <c r="BT49" s="340"/>
      <c r="BU49" s="340"/>
      <c r="BV49" s="340"/>
      <c r="BW49" s="340"/>
      <c r="BX49" s="251"/>
      <c r="BY49" s="345"/>
      <c r="BZ49" s="345"/>
      <c r="CA49" s="345"/>
      <c r="CB49" s="346"/>
      <c r="CC49" s="345"/>
      <c r="CD49" s="345"/>
      <c r="CE49" s="345"/>
      <c r="CF49" s="345"/>
      <c r="CG49" s="345"/>
      <c r="CH49" s="345"/>
      <c r="CI49" s="345"/>
      <c r="CJ49" s="346"/>
      <c r="CK49" s="346"/>
    </row>
    <row r="50">
      <c r="A50" s="130" t="s">
        <v>139</v>
      </c>
      <c r="B50" s="241" t="s">
        <v>3378</v>
      </c>
      <c r="C50" s="237" t="s">
        <v>155</v>
      </c>
      <c r="D50" s="238" t="s">
        <v>155</v>
      </c>
      <c r="E50" s="239" t="s">
        <v>155</v>
      </c>
      <c r="F50" s="240" t="s">
        <v>76</v>
      </c>
      <c r="G50" s="241" t="s">
        <v>76</v>
      </c>
      <c r="H50" s="348"/>
      <c r="I50" s="308"/>
      <c r="J50" s="308"/>
      <c r="K50" s="308"/>
      <c r="L50" s="308"/>
      <c r="M50" s="308"/>
      <c r="N50" s="308"/>
      <c r="O50" s="308"/>
      <c r="P50" s="251"/>
      <c r="Q50" s="353"/>
      <c r="R50" s="353"/>
      <c r="S50" s="353"/>
      <c r="T50" s="353"/>
      <c r="U50" s="353"/>
      <c r="V50" s="353"/>
      <c r="W50" s="251"/>
      <c r="X50" s="318"/>
      <c r="Y50" s="318"/>
      <c r="Z50" s="782" t="str">
        <f>HYPERLINK("https://www.twitch.tv/videos/943468135","1:18.80")</f>
        <v>1:18.80</v>
      </c>
      <c r="AA50" s="617"/>
      <c r="AB50" s="317"/>
      <c r="AC50" s="318"/>
      <c r="AD50" s="318"/>
      <c r="AE50" s="318"/>
      <c r="AF50" s="318"/>
      <c r="AG50" s="318"/>
      <c r="AH50" s="267"/>
      <c r="AI50" s="251"/>
      <c r="AJ50" s="323"/>
      <c r="AK50" s="323"/>
      <c r="AL50" s="323"/>
      <c r="AM50" s="323"/>
      <c r="AN50" s="323"/>
      <c r="AO50" s="323"/>
      <c r="AP50" s="323"/>
      <c r="AQ50" s="323"/>
      <c r="AR50" s="323"/>
      <c r="AS50" s="323"/>
      <c r="AT50" s="323"/>
      <c r="AU50" s="323"/>
      <c r="AV50" s="323"/>
      <c r="AW50" s="323"/>
      <c r="AX50" s="323"/>
      <c r="AY50" s="323"/>
      <c r="AZ50" s="351"/>
      <c r="BA50" s="326"/>
      <c r="BB50" s="326"/>
      <c r="BC50" s="326"/>
      <c r="BD50" s="326"/>
      <c r="BE50" s="326"/>
      <c r="BF50" s="351"/>
      <c r="BG50" s="332"/>
      <c r="BH50" s="332"/>
      <c r="BI50" s="332"/>
      <c r="BJ50" s="332"/>
      <c r="BK50" s="332"/>
      <c r="BL50" s="332"/>
      <c r="BM50" s="332"/>
      <c r="BN50" s="251"/>
      <c r="BO50" s="340"/>
      <c r="BP50" s="337"/>
      <c r="BQ50" s="340"/>
      <c r="BR50" s="340"/>
      <c r="BS50" s="340"/>
      <c r="BT50" s="340"/>
      <c r="BU50" s="340"/>
      <c r="BV50" s="340"/>
      <c r="BW50" s="340"/>
      <c r="BX50" s="251"/>
      <c r="BY50" s="345"/>
      <c r="BZ50" s="345"/>
      <c r="CA50" s="345"/>
      <c r="CB50" s="346"/>
      <c r="CC50" s="345"/>
      <c r="CD50" s="345"/>
      <c r="CE50" s="345"/>
      <c r="CF50" s="345"/>
      <c r="CG50" s="345"/>
      <c r="CH50" s="345"/>
      <c r="CI50" s="345"/>
      <c r="CJ50" s="346"/>
      <c r="CK50" s="346"/>
    </row>
    <row r="51">
      <c r="A51" s="347" t="s">
        <v>3491</v>
      </c>
      <c r="B51" s="241" t="s">
        <v>1694</v>
      </c>
      <c r="C51" s="237" t="s">
        <v>155</v>
      </c>
      <c r="D51" s="238" t="s">
        <v>155</v>
      </c>
      <c r="E51" s="239" t="s">
        <v>155</v>
      </c>
      <c r="F51" s="240" t="s">
        <v>155</v>
      </c>
      <c r="G51" s="241" t="s">
        <v>211</v>
      </c>
      <c r="H51" s="308"/>
      <c r="I51" s="308"/>
      <c r="J51" s="308"/>
      <c r="K51" s="308"/>
      <c r="L51" s="348" t="s">
        <v>3897</v>
      </c>
      <c r="M51" s="308"/>
      <c r="N51" s="348" t="s">
        <v>3899</v>
      </c>
      <c r="O51" s="308"/>
      <c r="P51" s="251"/>
      <c r="Q51" s="353"/>
      <c r="R51" s="353"/>
      <c r="S51" s="353"/>
      <c r="T51" s="353"/>
      <c r="U51" s="352"/>
      <c r="V51" s="352" t="s">
        <v>3900</v>
      </c>
      <c r="W51" s="251"/>
      <c r="X51" s="318"/>
      <c r="Y51" s="318"/>
      <c r="Z51" s="407" t="s">
        <v>3902</v>
      </c>
      <c r="AA51" s="617"/>
      <c r="AB51" s="317" t="s">
        <v>1439</v>
      </c>
      <c r="AC51" s="318"/>
      <c r="AD51" s="318"/>
      <c r="AE51" s="318"/>
      <c r="AF51" s="318"/>
      <c r="AG51" s="317" t="s">
        <v>3903</v>
      </c>
      <c r="AH51" s="267"/>
      <c r="AI51" s="251"/>
      <c r="AJ51" s="323"/>
      <c r="AK51" s="323"/>
      <c r="AL51" s="323"/>
      <c r="AM51" s="323"/>
      <c r="AN51" s="323"/>
      <c r="AO51" s="323"/>
      <c r="AP51" s="323"/>
      <c r="AQ51" s="323"/>
      <c r="AR51" s="323"/>
      <c r="AS51" s="323"/>
      <c r="AT51" s="323"/>
      <c r="AU51" s="323"/>
      <c r="AV51" s="323"/>
      <c r="AW51" s="323"/>
      <c r="AX51" s="323"/>
      <c r="AY51" s="323"/>
      <c r="AZ51" s="351"/>
      <c r="BA51" s="326"/>
      <c r="BB51" s="326"/>
      <c r="BC51" s="326"/>
      <c r="BD51" s="326"/>
      <c r="BE51" s="416" t="s">
        <v>3905</v>
      </c>
      <c r="BF51" s="351"/>
      <c r="BG51" s="332"/>
      <c r="BH51" s="332"/>
      <c r="BI51" s="332"/>
      <c r="BJ51" s="332"/>
      <c r="BK51" s="332"/>
      <c r="BL51" s="332"/>
      <c r="BM51" s="332"/>
      <c r="BN51" s="251"/>
      <c r="BO51" s="339" t="s">
        <v>3906</v>
      </c>
      <c r="BP51" s="337"/>
      <c r="BQ51" s="340"/>
      <c r="BR51" s="340"/>
      <c r="BS51" s="340"/>
      <c r="BT51" s="340"/>
      <c r="BU51" s="340"/>
      <c r="BV51" s="340"/>
      <c r="BW51" s="341" t="s">
        <v>3907</v>
      </c>
      <c r="BX51" s="251"/>
      <c r="BY51" s="345"/>
      <c r="BZ51" s="345"/>
      <c r="CA51" s="345"/>
      <c r="CB51" s="346"/>
      <c r="CC51" s="345"/>
      <c r="CD51" s="345"/>
      <c r="CE51" s="345"/>
      <c r="CF51" s="345"/>
      <c r="CG51" s="345"/>
      <c r="CH51" s="345"/>
      <c r="CI51" s="345"/>
      <c r="CJ51" s="346"/>
      <c r="CK51" s="346"/>
    </row>
    <row r="52">
      <c r="A52" s="347" t="s">
        <v>140</v>
      </c>
      <c r="B52" s="241" t="s">
        <v>3612</v>
      </c>
      <c r="C52" s="237" t="s">
        <v>155</v>
      </c>
      <c r="D52" s="238" t="s">
        <v>155</v>
      </c>
      <c r="E52" s="239" t="s">
        <v>155</v>
      </c>
      <c r="F52" s="240" t="s">
        <v>155</v>
      </c>
      <c r="G52" s="241" t="s">
        <v>306</v>
      </c>
      <c r="H52" s="308"/>
      <c r="I52" s="308"/>
      <c r="J52" s="308"/>
      <c r="K52" s="308"/>
      <c r="L52" s="308"/>
      <c r="M52" s="308"/>
      <c r="N52" s="308"/>
      <c r="O52" s="308"/>
      <c r="P52" s="251"/>
      <c r="Q52" s="353"/>
      <c r="R52" s="353"/>
      <c r="S52" s="353"/>
      <c r="T52" s="353"/>
      <c r="U52" s="353"/>
      <c r="V52" s="641" t="s">
        <v>3911</v>
      </c>
      <c r="W52" s="251"/>
      <c r="X52" s="318"/>
      <c r="Y52" s="318"/>
      <c r="Z52" s="318"/>
      <c r="AA52" s="617"/>
      <c r="AB52" s="318"/>
      <c r="AC52" s="318"/>
      <c r="AD52" s="318"/>
      <c r="AE52" s="318"/>
      <c r="AF52" s="318"/>
      <c r="AG52" s="318"/>
      <c r="AH52" s="641" t="s">
        <v>3915</v>
      </c>
      <c r="AI52" s="251"/>
      <c r="AJ52" s="323"/>
      <c r="AK52" s="323"/>
      <c r="AL52" s="323"/>
      <c r="AM52" s="323"/>
      <c r="AN52" s="323"/>
      <c r="AO52" s="323"/>
      <c r="AP52" s="323"/>
      <c r="AQ52" s="323"/>
      <c r="AR52" s="323"/>
      <c r="AS52" s="323"/>
      <c r="AT52" s="323"/>
      <c r="AU52" s="323"/>
      <c r="AV52" s="323"/>
      <c r="AW52" s="323"/>
      <c r="AX52" s="323"/>
      <c r="AY52" s="641" t="s">
        <v>3917</v>
      </c>
      <c r="AZ52" s="351"/>
      <c r="BA52" s="326"/>
      <c r="BB52" s="326"/>
      <c r="BC52" s="326"/>
      <c r="BD52" s="326"/>
      <c r="BE52" s="641" t="s">
        <v>3918</v>
      </c>
      <c r="BF52" s="351"/>
      <c r="BG52" s="332"/>
      <c r="BH52" s="332"/>
      <c r="BI52" s="332"/>
      <c r="BJ52" s="332"/>
      <c r="BK52" s="332"/>
      <c r="BL52" s="641" t="s">
        <v>3919</v>
      </c>
      <c r="BM52" s="378"/>
      <c r="BN52" s="251"/>
      <c r="BO52" s="340"/>
      <c r="BP52" s="337"/>
      <c r="BQ52" s="340"/>
      <c r="BR52" s="340"/>
      <c r="BS52" s="340"/>
      <c r="BT52" s="340"/>
      <c r="BU52" s="340"/>
      <c r="BV52" s="340"/>
      <c r="BW52" s="641" t="s">
        <v>3920</v>
      </c>
      <c r="BX52" s="251"/>
      <c r="BY52" s="345"/>
      <c r="BZ52" s="345"/>
      <c r="CA52" s="345"/>
      <c r="CB52" s="346"/>
      <c r="CC52" s="345"/>
      <c r="CD52" s="345"/>
      <c r="CE52" s="345"/>
      <c r="CF52" s="345"/>
      <c r="CG52" s="345"/>
      <c r="CH52" s="345"/>
      <c r="CI52" s="345"/>
      <c r="CJ52" s="346"/>
      <c r="CK52" s="346"/>
    </row>
    <row r="53">
      <c r="A53" s="651" t="s">
        <v>3574</v>
      </c>
      <c r="B53" s="241" t="s">
        <v>3612</v>
      </c>
      <c r="C53" s="237" t="s">
        <v>155</v>
      </c>
      <c r="D53" s="238" t="s">
        <v>155</v>
      </c>
      <c r="E53" s="239" t="s">
        <v>155</v>
      </c>
      <c r="F53" s="240" t="s">
        <v>155</v>
      </c>
      <c r="G53" s="241" t="s">
        <v>127</v>
      </c>
      <c r="H53" s="308"/>
      <c r="I53" s="308"/>
      <c r="J53" s="308"/>
      <c r="K53" s="308"/>
      <c r="L53" s="308"/>
      <c r="M53" s="348"/>
      <c r="N53" s="308"/>
      <c r="O53" s="308"/>
      <c r="P53" s="251"/>
      <c r="Q53" s="353"/>
      <c r="R53" s="353"/>
      <c r="S53" s="353"/>
      <c r="T53" s="353"/>
      <c r="U53" s="353"/>
      <c r="V53" s="353"/>
      <c r="W53" s="251"/>
      <c r="X53" s="318"/>
      <c r="Y53" s="318"/>
      <c r="Z53" s="491" t="s">
        <v>3923</v>
      </c>
      <c r="AA53" s="318"/>
      <c r="AB53" s="491" t="s">
        <v>3924</v>
      </c>
      <c r="AC53" s="318"/>
      <c r="AD53" s="318"/>
      <c r="AE53" s="318"/>
      <c r="AF53" s="318"/>
      <c r="AG53" s="318"/>
      <c r="AH53" s="267"/>
      <c r="AI53" s="251"/>
      <c r="AJ53" s="323"/>
      <c r="AK53" s="323"/>
      <c r="AL53" s="323"/>
      <c r="AM53" s="323"/>
      <c r="AN53" s="323"/>
      <c r="AO53" s="323"/>
      <c r="AP53" s="323"/>
      <c r="AQ53" s="323"/>
      <c r="AR53" s="323"/>
      <c r="AS53" s="323"/>
      <c r="AT53" s="323"/>
      <c r="AU53" s="323"/>
      <c r="AV53" s="323"/>
      <c r="AW53" s="323"/>
      <c r="AX53" s="323"/>
      <c r="AY53" s="323"/>
      <c r="AZ53" s="351"/>
      <c r="BA53" s="326"/>
      <c r="BB53" s="326"/>
      <c r="BC53" s="326"/>
      <c r="BD53" s="326"/>
      <c r="BE53" s="416"/>
      <c r="BF53" s="351"/>
      <c r="BG53" s="378"/>
      <c r="BH53" s="332"/>
      <c r="BI53" s="332"/>
      <c r="BJ53" s="332"/>
      <c r="BK53" s="332"/>
      <c r="BL53" s="332"/>
      <c r="BM53" s="332"/>
      <c r="BN53" s="251"/>
      <c r="BO53" s="340"/>
      <c r="BP53" s="337"/>
      <c r="BQ53" s="340"/>
      <c r="BR53" s="340"/>
      <c r="BS53" s="340"/>
      <c r="BT53" s="340"/>
      <c r="BU53" s="340"/>
      <c r="BV53" s="340"/>
      <c r="BW53" s="340"/>
      <c r="BX53" s="251"/>
      <c r="BY53" s="345"/>
      <c r="BZ53" s="345"/>
      <c r="CA53" s="345"/>
      <c r="CB53" s="346"/>
      <c r="CC53" s="345"/>
      <c r="CD53" s="345"/>
      <c r="CE53" s="345"/>
      <c r="CF53" s="345"/>
      <c r="CG53" s="345"/>
      <c r="CH53" s="345"/>
      <c r="CI53" s="345"/>
      <c r="CJ53" s="346"/>
      <c r="CK53" s="346"/>
    </row>
    <row r="54">
      <c r="A54" s="347" t="s">
        <v>3931</v>
      </c>
      <c r="B54" s="241" t="s">
        <v>154</v>
      </c>
      <c r="C54" s="237" t="s">
        <v>155</v>
      </c>
      <c r="D54" s="238" t="s">
        <v>155</v>
      </c>
      <c r="E54" s="239" t="s">
        <v>155</v>
      </c>
      <c r="F54" s="240" t="s">
        <v>76</v>
      </c>
      <c r="G54" s="241" t="s">
        <v>156</v>
      </c>
      <c r="H54" s="308"/>
      <c r="I54" s="308"/>
      <c r="J54" s="308"/>
      <c r="K54" s="308"/>
      <c r="L54" s="308"/>
      <c r="M54" s="308"/>
      <c r="N54" s="308"/>
      <c r="O54" s="308"/>
      <c r="P54" s="251"/>
      <c r="Q54" s="352" t="s">
        <v>3933</v>
      </c>
      <c r="R54" s="353"/>
      <c r="S54" s="353"/>
      <c r="T54" s="353"/>
      <c r="U54" s="353"/>
      <c r="V54" s="353"/>
      <c r="W54" s="251"/>
      <c r="X54" s="318"/>
      <c r="Y54" s="318"/>
      <c r="Z54" s="407" t="s">
        <v>3934</v>
      </c>
      <c r="AA54" s="617"/>
      <c r="AB54" s="318"/>
      <c r="AC54" s="318"/>
      <c r="AD54" s="318"/>
      <c r="AE54" s="318"/>
      <c r="AF54" s="318"/>
      <c r="AG54" s="318"/>
      <c r="AH54" s="267"/>
      <c r="AI54" s="251"/>
      <c r="AJ54" s="323"/>
      <c r="AK54" s="323"/>
      <c r="AL54" s="323"/>
      <c r="AM54" s="323"/>
      <c r="AN54" s="323"/>
      <c r="AO54" s="323"/>
      <c r="AP54" s="323"/>
      <c r="AQ54" s="323"/>
      <c r="AR54" s="323"/>
      <c r="AS54" s="323"/>
      <c r="AT54" s="323"/>
      <c r="AU54" s="323"/>
      <c r="AV54" s="323"/>
      <c r="AW54" s="323"/>
      <c r="AX54" s="323"/>
      <c r="AY54" s="323"/>
      <c r="AZ54" s="351"/>
      <c r="BA54" s="326"/>
      <c r="BB54" s="326"/>
      <c r="BC54" s="326"/>
      <c r="BD54" s="326"/>
      <c r="BE54" s="375" t="s">
        <v>3938</v>
      </c>
      <c r="BF54" s="351"/>
      <c r="BG54" s="332"/>
      <c r="BH54" s="332"/>
      <c r="BI54" s="332"/>
      <c r="BJ54" s="332"/>
      <c r="BK54" s="332"/>
      <c r="BL54" s="332"/>
      <c r="BM54" s="332"/>
      <c r="BN54" s="251"/>
      <c r="BO54" s="340"/>
      <c r="BP54" s="337"/>
      <c r="BQ54" s="340"/>
      <c r="BR54" s="340"/>
      <c r="BS54" s="340"/>
      <c r="BT54" s="340"/>
      <c r="BU54" s="340"/>
      <c r="BV54" s="340"/>
      <c r="BW54" s="340"/>
      <c r="BX54" s="251"/>
      <c r="BY54" s="345"/>
      <c r="BZ54" s="345"/>
      <c r="CA54" s="345"/>
      <c r="CB54" s="346"/>
      <c r="CC54" s="345"/>
      <c r="CD54" s="345"/>
      <c r="CE54" s="345"/>
      <c r="CF54" s="345"/>
      <c r="CG54" s="345"/>
      <c r="CH54" s="345"/>
      <c r="CI54" s="345"/>
      <c r="CJ54" s="346"/>
      <c r="CK54" s="346"/>
    </row>
    <row r="55">
      <c r="A55" s="347" t="s">
        <v>3942</v>
      </c>
      <c r="B55" s="241" t="s">
        <v>154</v>
      </c>
      <c r="C55" s="237" t="s">
        <v>155</v>
      </c>
      <c r="D55" s="238" t="s">
        <v>155</v>
      </c>
      <c r="E55" s="239" t="s">
        <v>155</v>
      </c>
      <c r="F55" s="240" t="s">
        <v>155</v>
      </c>
      <c r="G55" s="241" t="s">
        <v>127</v>
      </c>
      <c r="H55" s="308"/>
      <c r="I55" s="308"/>
      <c r="J55" s="308"/>
      <c r="K55" s="308"/>
      <c r="L55" s="308"/>
      <c r="M55" s="308"/>
      <c r="N55" s="308"/>
      <c r="O55" s="308"/>
      <c r="P55" s="251"/>
      <c r="Q55" s="353"/>
      <c r="R55" s="353"/>
      <c r="S55" s="353"/>
      <c r="T55" s="353"/>
      <c r="U55" s="353"/>
      <c r="V55" s="353"/>
      <c r="W55" s="251"/>
      <c r="X55" s="407" t="s">
        <v>3946</v>
      </c>
      <c r="Y55" s="318"/>
      <c r="Z55" s="407" t="s">
        <v>3947</v>
      </c>
      <c r="AA55" s="617"/>
      <c r="AB55" s="318"/>
      <c r="AC55" s="318"/>
      <c r="AD55" s="318"/>
      <c r="AE55" s="318"/>
      <c r="AF55" s="318"/>
      <c r="AG55" s="318"/>
      <c r="AH55" s="267"/>
      <c r="AI55" s="251"/>
      <c r="AJ55" s="323"/>
      <c r="AK55" s="323"/>
      <c r="AL55" s="323"/>
      <c r="AM55" s="323"/>
      <c r="AN55" s="323"/>
      <c r="AO55" s="323"/>
      <c r="AP55" s="323"/>
      <c r="AQ55" s="323"/>
      <c r="AR55" s="323"/>
      <c r="AS55" s="323"/>
      <c r="AT55" s="323"/>
      <c r="AU55" s="323"/>
      <c r="AV55" s="323"/>
      <c r="AW55" s="323"/>
      <c r="AX55" s="323"/>
      <c r="AY55" s="323"/>
      <c r="AZ55" s="351"/>
      <c r="BA55" s="326"/>
      <c r="BB55" s="326"/>
      <c r="BC55" s="326"/>
      <c r="BD55" s="326"/>
      <c r="BE55" s="326"/>
      <c r="BF55" s="351"/>
      <c r="BG55" s="332"/>
      <c r="BH55" s="332"/>
      <c r="BI55" s="332"/>
      <c r="BJ55" s="332"/>
      <c r="BK55" s="332"/>
      <c r="BL55" s="332"/>
      <c r="BM55" s="332"/>
      <c r="BN55" s="251"/>
      <c r="BO55" s="340"/>
      <c r="BP55" s="337"/>
      <c r="BQ55" s="340"/>
      <c r="BR55" s="340"/>
      <c r="BS55" s="340"/>
      <c r="BT55" s="340"/>
      <c r="BU55" s="340"/>
      <c r="BV55" s="340"/>
      <c r="BW55" s="340"/>
      <c r="BX55" s="251"/>
      <c r="BY55" s="345"/>
      <c r="BZ55" s="345"/>
      <c r="CA55" s="345"/>
      <c r="CB55" s="346"/>
      <c r="CC55" s="345"/>
      <c r="CD55" s="345"/>
      <c r="CE55" s="345"/>
      <c r="CF55" s="345"/>
      <c r="CG55" s="345"/>
      <c r="CH55" s="345"/>
      <c r="CI55" s="345"/>
      <c r="CJ55" s="346"/>
      <c r="CK55" s="346"/>
    </row>
    <row r="56">
      <c r="A56" s="347" t="s">
        <v>209</v>
      </c>
      <c r="B56" s="241" t="s">
        <v>1016</v>
      </c>
      <c r="C56" s="237" t="s">
        <v>155</v>
      </c>
      <c r="D56" s="238" t="s">
        <v>155</v>
      </c>
      <c r="E56" s="239" t="s">
        <v>155</v>
      </c>
      <c r="F56" s="240" t="s">
        <v>155</v>
      </c>
      <c r="G56" s="241" t="s">
        <v>156</v>
      </c>
      <c r="H56" s="308"/>
      <c r="I56" s="308"/>
      <c r="J56" s="308"/>
      <c r="K56" s="308"/>
      <c r="L56" s="308"/>
      <c r="M56" s="308"/>
      <c r="N56" s="348" t="s">
        <v>3952</v>
      </c>
      <c r="O56" s="308"/>
      <c r="P56" s="251"/>
      <c r="Q56" s="353"/>
      <c r="R56" s="353"/>
      <c r="S56" s="353"/>
      <c r="T56" s="353"/>
      <c r="U56" s="353"/>
      <c r="V56" s="353"/>
      <c r="W56" s="251"/>
      <c r="X56" s="318"/>
      <c r="Y56" s="318"/>
      <c r="Z56" s="318"/>
      <c r="AA56" s="617"/>
      <c r="AB56" s="318"/>
      <c r="AC56" s="318"/>
      <c r="AD56" s="318"/>
      <c r="AE56" s="318"/>
      <c r="AF56" s="318"/>
      <c r="AG56" s="318"/>
      <c r="AH56" s="267"/>
      <c r="AI56" s="251"/>
      <c r="AJ56" s="323"/>
      <c r="AK56" s="323"/>
      <c r="AL56" s="323"/>
      <c r="AM56" s="323"/>
      <c r="AN56" s="323"/>
      <c r="AO56" s="323"/>
      <c r="AP56" s="323"/>
      <c r="AQ56" s="323"/>
      <c r="AR56" s="323"/>
      <c r="AS56" s="323"/>
      <c r="AT56" s="323"/>
      <c r="AU56" s="323"/>
      <c r="AV56" s="323"/>
      <c r="AW56" s="323"/>
      <c r="AX56" s="323"/>
      <c r="AY56" s="323"/>
      <c r="AZ56" s="351"/>
      <c r="BA56" s="326"/>
      <c r="BB56" s="326"/>
      <c r="BC56" s="326"/>
      <c r="BD56" s="326"/>
      <c r="BE56" s="416" t="s">
        <v>3957</v>
      </c>
      <c r="BF56" s="351"/>
      <c r="BG56" s="332"/>
      <c r="BH56" s="332"/>
      <c r="BI56" s="332"/>
      <c r="BJ56" s="332"/>
      <c r="BK56" s="332"/>
      <c r="BL56" s="332"/>
      <c r="BM56" s="332"/>
      <c r="BN56" s="251"/>
      <c r="BO56" s="340"/>
      <c r="BP56" s="337"/>
      <c r="BQ56" s="340"/>
      <c r="BR56" s="340"/>
      <c r="BS56" s="340"/>
      <c r="BT56" s="340"/>
      <c r="BU56" s="340"/>
      <c r="BV56" s="340"/>
      <c r="BW56" s="339" t="s">
        <v>3962</v>
      </c>
      <c r="BX56" s="251"/>
      <c r="BY56" s="345"/>
      <c r="BZ56" s="345"/>
      <c r="CA56" s="345"/>
      <c r="CB56" s="346"/>
      <c r="CC56" s="345"/>
      <c r="CD56" s="345"/>
      <c r="CE56" s="345"/>
      <c r="CF56" s="345"/>
      <c r="CG56" s="345"/>
      <c r="CH56" s="345"/>
      <c r="CI56" s="345"/>
      <c r="CJ56" s="346"/>
      <c r="CK56" s="346"/>
    </row>
    <row r="57">
      <c r="A57" s="347" t="s">
        <v>3965</v>
      </c>
      <c r="B57" s="241" t="s">
        <v>211</v>
      </c>
      <c r="C57" s="237" t="s">
        <v>155</v>
      </c>
      <c r="D57" s="238" t="s">
        <v>155</v>
      </c>
      <c r="E57" s="239" t="s">
        <v>155</v>
      </c>
      <c r="F57" s="240" t="s">
        <v>155</v>
      </c>
      <c r="G57" s="241" t="s">
        <v>81</v>
      </c>
      <c r="H57" s="308"/>
      <c r="I57" s="308"/>
      <c r="J57" s="308"/>
      <c r="K57" s="308"/>
      <c r="L57" s="308"/>
      <c r="M57" s="308"/>
      <c r="N57" s="348" t="s">
        <v>3968</v>
      </c>
      <c r="O57" s="308"/>
      <c r="P57" s="251"/>
      <c r="Q57" s="353"/>
      <c r="R57" s="353"/>
      <c r="S57" s="353"/>
      <c r="T57" s="353"/>
      <c r="U57" s="353"/>
      <c r="V57" s="352" t="s">
        <v>3969</v>
      </c>
      <c r="W57" s="251"/>
      <c r="X57" s="318"/>
      <c r="Y57" s="318"/>
      <c r="Z57" s="318"/>
      <c r="AA57" s="617"/>
      <c r="AB57" s="318"/>
      <c r="AC57" s="318"/>
      <c r="AD57" s="318"/>
      <c r="AE57" s="317" t="s">
        <v>3970</v>
      </c>
      <c r="AF57" s="318"/>
      <c r="AG57" s="318"/>
      <c r="AH57" s="641" t="s">
        <v>3971</v>
      </c>
      <c r="AI57" s="251"/>
      <c r="AJ57" s="323"/>
      <c r="AK57" s="323"/>
      <c r="AL57" s="323"/>
      <c r="AM57" s="323"/>
      <c r="AN57" s="323"/>
      <c r="AO57" s="323"/>
      <c r="AP57" s="323"/>
      <c r="AQ57" s="323"/>
      <c r="AR57" s="323"/>
      <c r="AS57" s="323"/>
      <c r="AT57" s="323"/>
      <c r="AU57" s="323"/>
      <c r="AV57" s="323"/>
      <c r="AW57" s="323"/>
      <c r="AX57" s="323"/>
      <c r="AY57" s="323"/>
      <c r="AZ57" s="351"/>
      <c r="BA57" s="326"/>
      <c r="BB57" s="326"/>
      <c r="BC57" s="326"/>
      <c r="BD57" s="416" t="s">
        <v>3975</v>
      </c>
      <c r="BE57" s="416" t="s">
        <v>3977</v>
      </c>
      <c r="BF57" s="351"/>
      <c r="BG57" s="332"/>
      <c r="BH57" s="332"/>
      <c r="BI57" s="332"/>
      <c r="BJ57" s="332"/>
      <c r="BK57" s="332"/>
      <c r="BL57" s="332"/>
      <c r="BM57" s="332"/>
      <c r="BN57" s="251"/>
      <c r="BO57" s="340"/>
      <c r="BP57" s="337"/>
      <c r="BQ57" s="340"/>
      <c r="BR57" s="340"/>
      <c r="BS57" s="340"/>
      <c r="BT57" s="340"/>
      <c r="BU57" s="340"/>
      <c r="BV57" s="340"/>
      <c r="BW57" s="339" t="s">
        <v>3980</v>
      </c>
      <c r="BX57" s="251"/>
      <c r="BY57" s="345"/>
      <c r="BZ57" s="345"/>
      <c r="CA57" s="345"/>
      <c r="CB57" s="346"/>
      <c r="CC57" s="345"/>
      <c r="CD57" s="345"/>
      <c r="CE57" s="345"/>
      <c r="CF57" s="345"/>
      <c r="CG57" s="345"/>
      <c r="CH57" s="345"/>
      <c r="CI57" s="345"/>
      <c r="CJ57" s="346"/>
      <c r="CK57" s="346"/>
    </row>
    <row r="58">
      <c r="A58" s="347" t="s">
        <v>3418</v>
      </c>
      <c r="B58" s="241" t="s">
        <v>211</v>
      </c>
      <c r="C58" s="237" t="s">
        <v>155</v>
      </c>
      <c r="D58" s="238" t="s">
        <v>155</v>
      </c>
      <c r="E58" s="239" t="s">
        <v>155</v>
      </c>
      <c r="F58" s="240" t="s">
        <v>155</v>
      </c>
      <c r="G58" s="241" t="s">
        <v>156</v>
      </c>
      <c r="H58" s="308"/>
      <c r="I58" s="308"/>
      <c r="J58" s="308"/>
      <c r="K58" s="308"/>
      <c r="L58" s="308"/>
      <c r="M58" s="308"/>
      <c r="N58" s="308"/>
      <c r="O58" s="308"/>
      <c r="P58" s="251"/>
      <c r="Q58" s="353"/>
      <c r="R58" s="353"/>
      <c r="S58" s="353"/>
      <c r="T58" s="353"/>
      <c r="U58" s="353"/>
      <c r="V58" s="353"/>
      <c r="W58" s="251"/>
      <c r="X58" s="318"/>
      <c r="Y58" s="318"/>
      <c r="Z58" s="318"/>
      <c r="AA58" s="617"/>
      <c r="AB58" s="318"/>
      <c r="AC58" s="318"/>
      <c r="AD58" s="318"/>
      <c r="AE58" s="318"/>
      <c r="AF58" s="318"/>
      <c r="AG58" s="318"/>
      <c r="AH58" s="267"/>
      <c r="AI58" s="251"/>
      <c r="AJ58" s="358"/>
      <c r="AK58" s="358" t="s">
        <v>3987</v>
      </c>
      <c r="AL58" s="358" t="s">
        <v>3988</v>
      </c>
      <c r="AM58" s="323"/>
      <c r="AN58" s="323"/>
      <c r="AO58" s="323"/>
      <c r="AP58" s="323"/>
      <c r="AQ58" s="323"/>
      <c r="AR58" s="323"/>
      <c r="AS58" s="323"/>
      <c r="AT58" s="323"/>
      <c r="AU58" s="323"/>
      <c r="AV58" s="323"/>
      <c r="AW58" s="323"/>
      <c r="AX58" s="323"/>
      <c r="AY58" s="323"/>
      <c r="AZ58" s="351"/>
      <c r="BA58" s="326"/>
      <c r="BB58" s="326"/>
      <c r="BC58" s="326"/>
      <c r="BD58" s="326"/>
      <c r="BE58" s="326"/>
      <c r="BF58" s="351"/>
      <c r="BG58" s="332"/>
      <c r="BH58" s="332"/>
      <c r="BI58" s="332"/>
      <c r="BJ58" s="332"/>
      <c r="BK58" s="332"/>
      <c r="BL58" s="332"/>
      <c r="BM58" s="332"/>
      <c r="BN58" s="251"/>
      <c r="BO58" s="341" t="s">
        <v>3993</v>
      </c>
      <c r="BP58" s="337"/>
      <c r="BQ58" s="340"/>
      <c r="BR58" s="340"/>
      <c r="BS58" s="340"/>
      <c r="BT58" s="340"/>
      <c r="BU58" s="340"/>
      <c r="BV58" s="340"/>
      <c r="BW58" s="340"/>
      <c r="BX58" s="251"/>
      <c r="BY58" s="345"/>
      <c r="BZ58" s="345"/>
      <c r="CA58" s="345"/>
      <c r="CB58" s="346"/>
      <c r="CC58" s="345"/>
      <c r="CD58" s="345"/>
      <c r="CE58" s="345"/>
      <c r="CF58" s="345"/>
      <c r="CG58" s="345"/>
      <c r="CH58" s="345"/>
      <c r="CI58" s="345"/>
      <c r="CJ58" s="346"/>
      <c r="CK58" s="346"/>
    </row>
    <row r="59">
      <c r="A59" s="347" t="s">
        <v>3995</v>
      </c>
      <c r="B59" s="241" t="s">
        <v>306</v>
      </c>
      <c r="C59" s="237" t="s">
        <v>155</v>
      </c>
      <c r="D59" s="238" t="s">
        <v>155</v>
      </c>
      <c r="E59" s="239" t="s">
        <v>155</v>
      </c>
      <c r="F59" s="240" t="s">
        <v>155</v>
      </c>
      <c r="G59" s="241" t="s">
        <v>76</v>
      </c>
      <c r="H59" s="308"/>
      <c r="I59" s="308"/>
      <c r="J59" s="308"/>
      <c r="K59" s="308"/>
      <c r="L59" s="308"/>
      <c r="M59" s="308"/>
      <c r="N59" s="308"/>
      <c r="O59" s="308"/>
      <c r="P59" s="251"/>
      <c r="Q59" s="353"/>
      <c r="R59" s="353"/>
      <c r="S59" s="353"/>
      <c r="T59" s="353"/>
      <c r="U59" s="353"/>
      <c r="V59" s="352" t="s">
        <v>3996</v>
      </c>
      <c r="W59" s="251"/>
      <c r="X59" s="318"/>
      <c r="Y59" s="318"/>
      <c r="Z59" s="318"/>
      <c r="AA59" s="617"/>
      <c r="AB59" s="318"/>
      <c r="AC59" s="318"/>
      <c r="AD59" s="318"/>
      <c r="AE59" s="318"/>
      <c r="AF59" s="318"/>
      <c r="AG59" s="318"/>
      <c r="AH59" s="267"/>
      <c r="AI59" s="251"/>
      <c r="AJ59" s="323"/>
      <c r="AK59" s="323"/>
      <c r="AL59" s="323"/>
      <c r="AM59" s="323"/>
      <c r="AN59" s="323"/>
      <c r="AO59" s="323"/>
      <c r="AP59" s="323"/>
      <c r="AQ59" s="323"/>
      <c r="AR59" s="323"/>
      <c r="AS59" s="323"/>
      <c r="AT59" s="323"/>
      <c r="AU59" s="323"/>
      <c r="AV59" s="323"/>
      <c r="AW59" s="323"/>
      <c r="AX59" s="323"/>
      <c r="AY59" s="323"/>
      <c r="AZ59" s="351"/>
      <c r="BA59" s="326"/>
      <c r="BB59" s="326"/>
      <c r="BC59" s="326"/>
      <c r="BD59" s="326"/>
      <c r="BE59" s="326"/>
      <c r="BF59" s="351"/>
      <c r="BG59" s="332"/>
      <c r="BH59" s="332"/>
      <c r="BI59" s="332"/>
      <c r="BJ59" s="332"/>
      <c r="BK59" s="332"/>
      <c r="BL59" s="332"/>
      <c r="BM59" s="332"/>
      <c r="BN59" s="251"/>
      <c r="BO59" s="340"/>
      <c r="BP59" s="337"/>
      <c r="BQ59" s="340"/>
      <c r="BR59" s="340"/>
      <c r="BS59" s="340"/>
      <c r="BT59" s="340"/>
      <c r="BU59" s="340"/>
      <c r="BV59" s="340"/>
      <c r="BW59" s="340"/>
      <c r="BX59" s="251"/>
      <c r="BY59" s="345"/>
      <c r="BZ59" s="345"/>
      <c r="CA59" s="345"/>
      <c r="CB59" s="346"/>
      <c r="CC59" s="345"/>
      <c r="CD59" s="345"/>
      <c r="CE59" s="345"/>
      <c r="CF59" s="345"/>
      <c r="CG59" s="345"/>
      <c r="CH59" s="345"/>
      <c r="CI59" s="345"/>
      <c r="CJ59" s="346"/>
      <c r="CK59" s="346"/>
    </row>
    <row r="60">
      <c r="A60" s="347" t="s">
        <v>3610</v>
      </c>
      <c r="B60" s="241" t="s">
        <v>157</v>
      </c>
      <c r="C60" s="237" t="s">
        <v>155</v>
      </c>
      <c r="D60" s="238" t="s">
        <v>155</v>
      </c>
      <c r="E60" s="239" t="s">
        <v>155</v>
      </c>
      <c r="F60" s="240" t="s">
        <v>155</v>
      </c>
      <c r="G60" s="241" t="s">
        <v>76</v>
      </c>
      <c r="H60" s="308"/>
      <c r="I60" s="308"/>
      <c r="J60" s="308"/>
      <c r="K60" s="308"/>
      <c r="L60" s="308"/>
      <c r="M60" s="308"/>
      <c r="N60" s="308"/>
      <c r="O60" s="308"/>
      <c r="P60" s="251"/>
      <c r="Q60" s="353"/>
      <c r="R60" s="353"/>
      <c r="S60" s="353"/>
      <c r="T60" s="353"/>
      <c r="U60" s="353"/>
      <c r="V60" s="353"/>
      <c r="W60" s="251"/>
      <c r="X60" s="318"/>
      <c r="Y60" s="318"/>
      <c r="Z60" s="318"/>
      <c r="AA60" s="617"/>
      <c r="AB60" s="318"/>
      <c r="AC60" s="318"/>
      <c r="AD60" s="318"/>
      <c r="AE60" s="318"/>
      <c r="AF60" s="318"/>
      <c r="AG60" s="318"/>
      <c r="AH60" s="267"/>
      <c r="AI60" s="251"/>
      <c r="AJ60" s="323"/>
      <c r="AK60" s="323"/>
      <c r="AL60" s="323"/>
      <c r="AM60" s="323"/>
      <c r="AN60" s="323"/>
      <c r="AO60" s="323"/>
      <c r="AP60" s="323"/>
      <c r="AQ60" s="323"/>
      <c r="AR60" s="323"/>
      <c r="AS60" s="323"/>
      <c r="AT60" s="323"/>
      <c r="AU60" s="323"/>
      <c r="AV60" s="323"/>
      <c r="AW60" s="323"/>
      <c r="AX60" s="323"/>
      <c r="AY60" s="323"/>
      <c r="AZ60" s="351"/>
      <c r="BA60" s="326"/>
      <c r="BB60" s="326"/>
      <c r="BC60" s="326"/>
      <c r="BD60" s="326"/>
      <c r="BE60" s="326"/>
      <c r="BF60" s="351"/>
      <c r="BG60" s="332"/>
      <c r="BH60" s="378" t="s">
        <v>4012</v>
      </c>
      <c r="BI60" s="332"/>
      <c r="BJ60" s="332"/>
      <c r="BK60" s="332"/>
      <c r="BL60" s="332"/>
      <c r="BM60" s="332"/>
      <c r="BN60" s="251"/>
      <c r="BO60" s="340"/>
      <c r="BP60" s="337"/>
      <c r="BQ60" s="340"/>
      <c r="BR60" s="340"/>
      <c r="BS60" s="340"/>
      <c r="BT60" s="340"/>
      <c r="BU60" s="340"/>
      <c r="BV60" s="340"/>
      <c r="BW60" s="340"/>
      <c r="BX60" s="251"/>
      <c r="BY60" s="345"/>
      <c r="BZ60" s="345"/>
      <c r="CA60" s="345"/>
      <c r="CB60" s="346"/>
      <c r="CC60" s="345"/>
      <c r="CD60" s="345"/>
      <c r="CE60" s="345"/>
      <c r="CF60" s="345"/>
      <c r="CG60" s="345"/>
      <c r="CH60" s="345"/>
      <c r="CI60" s="345"/>
      <c r="CJ60" s="346"/>
      <c r="CK60" s="346"/>
    </row>
    <row r="61">
      <c r="A61" s="797" t="s">
        <v>3956</v>
      </c>
      <c r="B61" s="241" t="s">
        <v>157</v>
      </c>
      <c r="C61" s="237" t="s">
        <v>155</v>
      </c>
      <c r="D61" s="238" t="s">
        <v>155</v>
      </c>
      <c r="E61" s="239" t="s">
        <v>155</v>
      </c>
      <c r="F61" s="240" t="s">
        <v>76</v>
      </c>
      <c r="G61" s="241" t="s">
        <v>76</v>
      </c>
      <c r="H61" s="308"/>
      <c r="I61" s="308"/>
      <c r="J61" s="308"/>
      <c r="K61" s="308"/>
      <c r="L61" s="308"/>
      <c r="M61" s="308"/>
      <c r="N61" s="308"/>
      <c r="O61" s="308"/>
      <c r="P61" s="251"/>
      <c r="Q61" s="353"/>
      <c r="R61" s="353"/>
      <c r="S61" s="353"/>
      <c r="T61" s="353"/>
      <c r="U61" s="353"/>
      <c r="V61" s="353"/>
      <c r="W61" s="251"/>
      <c r="X61" s="318"/>
      <c r="Y61" s="318"/>
      <c r="Z61" s="257" t="s">
        <v>4021</v>
      </c>
      <c r="AA61" s="617"/>
      <c r="AB61" s="318"/>
      <c r="AC61" s="318"/>
      <c r="AD61" s="318"/>
      <c r="AE61" s="318"/>
      <c r="AF61" s="318"/>
      <c r="AG61" s="318"/>
      <c r="AH61" s="267"/>
      <c r="AI61" s="251"/>
      <c r="AJ61" s="323"/>
      <c r="AK61" s="323"/>
      <c r="AL61" s="323"/>
      <c r="AM61" s="323"/>
      <c r="AN61" s="323"/>
      <c r="AO61" s="323"/>
      <c r="AP61" s="323"/>
      <c r="AQ61" s="323"/>
      <c r="AR61" s="323"/>
      <c r="AS61" s="323"/>
      <c r="AT61" s="323"/>
      <c r="AU61" s="323"/>
      <c r="AV61" s="323"/>
      <c r="AW61" s="323"/>
      <c r="AX61" s="323"/>
      <c r="AY61" s="323"/>
      <c r="AZ61" s="351"/>
      <c r="BA61" s="326"/>
      <c r="BB61" s="326"/>
      <c r="BC61" s="326"/>
      <c r="BD61" s="326"/>
      <c r="BE61" s="326"/>
      <c r="BF61" s="351"/>
      <c r="BG61" s="332"/>
      <c r="BH61" s="332"/>
      <c r="BI61" s="332"/>
      <c r="BJ61" s="332"/>
      <c r="BK61" s="332"/>
      <c r="BL61" s="332"/>
      <c r="BM61" s="332"/>
      <c r="BN61" s="251"/>
      <c r="BO61" s="340"/>
      <c r="BP61" s="337"/>
      <c r="BQ61" s="340"/>
      <c r="BR61" s="340"/>
      <c r="BS61" s="340"/>
      <c r="BT61" s="340"/>
      <c r="BU61" s="340"/>
      <c r="BV61" s="340"/>
      <c r="BW61" s="340"/>
      <c r="BX61" s="251"/>
      <c r="BY61" s="345"/>
      <c r="BZ61" s="345"/>
      <c r="CA61" s="345"/>
      <c r="CB61" s="346"/>
      <c r="CC61" s="345"/>
      <c r="CD61" s="345"/>
      <c r="CE61" s="345"/>
      <c r="CF61" s="345"/>
      <c r="CG61" s="345"/>
      <c r="CH61" s="345"/>
      <c r="CI61" s="345"/>
      <c r="CJ61" s="346"/>
      <c r="CK61" s="346"/>
    </row>
    <row r="62">
      <c r="A62" s="347" t="s">
        <v>4027</v>
      </c>
      <c r="B62" s="241" t="s">
        <v>79</v>
      </c>
      <c r="C62" s="237" t="s">
        <v>155</v>
      </c>
      <c r="D62" s="238" t="s">
        <v>155</v>
      </c>
      <c r="E62" s="239" t="s">
        <v>155</v>
      </c>
      <c r="F62" s="240" t="s">
        <v>155</v>
      </c>
      <c r="G62" s="241" t="s">
        <v>76</v>
      </c>
      <c r="H62" s="348"/>
      <c r="I62" s="308"/>
      <c r="J62" s="308"/>
      <c r="K62" s="308"/>
      <c r="L62" s="308"/>
      <c r="M62" s="308"/>
      <c r="N62" s="308"/>
      <c r="O62" s="308"/>
      <c r="P62" s="251"/>
      <c r="Q62" s="353"/>
      <c r="R62" s="353"/>
      <c r="S62" s="353"/>
      <c r="T62" s="353"/>
      <c r="U62" s="353"/>
      <c r="V62" s="353"/>
      <c r="W62" s="251"/>
      <c r="X62" s="318"/>
      <c r="Y62" s="318"/>
      <c r="Z62" s="318"/>
      <c r="AA62" s="617"/>
      <c r="AB62" s="407" t="s">
        <v>4031</v>
      </c>
      <c r="AC62" s="318"/>
      <c r="AD62" s="318"/>
      <c r="AE62" s="318"/>
      <c r="AF62" s="318"/>
      <c r="AG62" s="318"/>
      <c r="AH62" s="267"/>
      <c r="AI62" s="251"/>
      <c r="AJ62" s="323"/>
      <c r="AK62" s="323"/>
      <c r="AL62" s="323"/>
      <c r="AM62" s="323"/>
      <c r="AN62" s="323"/>
      <c r="AO62" s="323"/>
      <c r="AP62" s="323"/>
      <c r="AQ62" s="323"/>
      <c r="AR62" s="323"/>
      <c r="AS62" s="323"/>
      <c r="AT62" s="323"/>
      <c r="AU62" s="323"/>
      <c r="AV62" s="323"/>
      <c r="AW62" s="323"/>
      <c r="AX62" s="323"/>
      <c r="AY62" s="323"/>
      <c r="AZ62" s="351"/>
      <c r="BA62" s="326"/>
      <c r="BB62" s="326"/>
      <c r="BC62" s="326"/>
      <c r="BD62" s="326"/>
      <c r="BE62" s="326"/>
      <c r="BF62" s="351"/>
      <c r="BG62" s="332"/>
      <c r="BH62" s="332"/>
      <c r="BI62" s="332"/>
      <c r="BJ62" s="332"/>
      <c r="BK62" s="332"/>
      <c r="BL62" s="332"/>
      <c r="BM62" s="332"/>
      <c r="BN62" s="251"/>
      <c r="BO62" s="340"/>
      <c r="BP62" s="337"/>
      <c r="BQ62" s="340"/>
      <c r="BR62" s="340"/>
      <c r="BS62" s="340"/>
      <c r="BT62" s="340"/>
      <c r="BU62" s="340"/>
      <c r="BV62" s="340"/>
      <c r="BW62" s="340"/>
      <c r="BX62" s="251"/>
      <c r="BY62" s="345"/>
      <c r="BZ62" s="345"/>
      <c r="CA62" s="345"/>
      <c r="CB62" s="346"/>
      <c r="CC62" s="345"/>
      <c r="CD62" s="345"/>
      <c r="CE62" s="345"/>
      <c r="CF62" s="345"/>
      <c r="CG62" s="345"/>
      <c r="CH62" s="345"/>
      <c r="CI62" s="345"/>
      <c r="CJ62" s="346"/>
      <c r="CK62" s="346"/>
    </row>
    <row r="63">
      <c r="A63" s="347" t="s">
        <v>4037</v>
      </c>
      <c r="B63" s="241" t="s">
        <v>79</v>
      </c>
      <c r="C63" s="237" t="s">
        <v>155</v>
      </c>
      <c r="D63" s="238" t="s">
        <v>155</v>
      </c>
      <c r="E63" s="239" t="s">
        <v>155</v>
      </c>
      <c r="F63" s="240" t="s">
        <v>127</v>
      </c>
      <c r="G63" s="241" t="s">
        <v>127</v>
      </c>
      <c r="H63" s="308"/>
      <c r="I63" s="308"/>
      <c r="J63" s="308"/>
      <c r="K63" s="308"/>
      <c r="L63" s="309" t="s">
        <v>4039</v>
      </c>
      <c r="M63" s="308"/>
      <c r="N63" s="308"/>
      <c r="O63" s="308"/>
      <c r="P63" s="251"/>
      <c r="Q63" s="353"/>
      <c r="R63" s="353"/>
      <c r="S63" s="353"/>
      <c r="T63" s="353"/>
      <c r="U63" s="353"/>
      <c r="V63" s="353"/>
      <c r="W63" s="251"/>
      <c r="X63" s="318"/>
      <c r="Y63" s="318"/>
      <c r="Z63" s="318"/>
      <c r="AA63" s="617"/>
      <c r="AB63" s="318"/>
      <c r="AC63" s="318"/>
      <c r="AD63" s="318"/>
      <c r="AE63" s="318"/>
      <c r="AF63" s="318"/>
      <c r="AG63" s="318"/>
      <c r="AH63" s="267"/>
      <c r="AI63" s="251"/>
      <c r="AJ63" s="323"/>
      <c r="AK63" s="323"/>
      <c r="AL63" s="323"/>
      <c r="AM63" s="323"/>
      <c r="AN63" s="323"/>
      <c r="AO63" s="323"/>
      <c r="AP63" s="323"/>
      <c r="AQ63" s="323"/>
      <c r="AR63" s="323"/>
      <c r="AS63" s="323"/>
      <c r="AT63" s="323"/>
      <c r="AU63" s="323"/>
      <c r="AV63" s="323"/>
      <c r="AW63" s="323"/>
      <c r="AX63" s="323"/>
      <c r="AY63" s="323"/>
      <c r="AZ63" s="351"/>
      <c r="BA63" s="326"/>
      <c r="BB63" s="326"/>
      <c r="BC63" s="326"/>
      <c r="BD63" s="326"/>
      <c r="BE63" s="326"/>
      <c r="BF63" s="351"/>
      <c r="BG63" s="332"/>
      <c r="BH63" s="332"/>
      <c r="BI63" s="332"/>
      <c r="BJ63" s="332"/>
      <c r="BK63" s="332"/>
      <c r="BL63" s="332"/>
      <c r="BM63" s="332"/>
      <c r="BN63" s="251"/>
      <c r="BO63" s="340"/>
      <c r="BP63" s="337"/>
      <c r="BQ63" s="340"/>
      <c r="BR63" s="340"/>
      <c r="BS63" s="340"/>
      <c r="BT63" s="340"/>
      <c r="BU63" s="388" t="s">
        <v>1150</v>
      </c>
      <c r="BV63" s="340"/>
      <c r="BW63" s="340"/>
      <c r="BX63" s="251"/>
      <c r="BY63" s="345"/>
      <c r="BZ63" s="345"/>
      <c r="CA63" s="345"/>
      <c r="CB63" s="346"/>
      <c r="CC63" s="345"/>
      <c r="CD63" s="345"/>
      <c r="CE63" s="345"/>
      <c r="CF63" s="345"/>
      <c r="CG63" s="345"/>
      <c r="CH63" s="345"/>
      <c r="CI63" s="345"/>
      <c r="CJ63" s="346"/>
      <c r="CK63" s="346"/>
    </row>
    <row r="64">
      <c r="A64" s="347" t="s">
        <v>4048</v>
      </c>
      <c r="B64" s="241" t="s">
        <v>79</v>
      </c>
      <c r="C64" s="237" t="s">
        <v>155</v>
      </c>
      <c r="D64" s="238" t="s">
        <v>155</v>
      </c>
      <c r="E64" s="239" t="s">
        <v>155</v>
      </c>
      <c r="F64" s="240" t="s">
        <v>155</v>
      </c>
      <c r="G64" s="241" t="s">
        <v>76</v>
      </c>
      <c r="H64" s="308"/>
      <c r="I64" s="308"/>
      <c r="J64" s="308"/>
      <c r="K64" s="308"/>
      <c r="L64" s="308"/>
      <c r="M64" s="308"/>
      <c r="N64" s="308"/>
      <c r="O64" s="308"/>
      <c r="P64" s="251"/>
      <c r="Q64" s="353"/>
      <c r="R64" s="353"/>
      <c r="S64" s="353"/>
      <c r="T64" s="353"/>
      <c r="U64" s="353"/>
      <c r="V64" s="353"/>
      <c r="W64" s="251"/>
      <c r="X64" s="318"/>
      <c r="Y64" s="318"/>
      <c r="Z64" s="318"/>
      <c r="AA64" s="617"/>
      <c r="AB64" s="318"/>
      <c r="AC64" s="318"/>
      <c r="AD64" s="318"/>
      <c r="AE64" s="318"/>
      <c r="AF64" s="318"/>
      <c r="AG64" s="317" t="s">
        <v>4055</v>
      </c>
      <c r="AH64" s="267"/>
      <c r="AI64" s="251"/>
      <c r="AJ64" s="323"/>
      <c r="AK64" s="323"/>
      <c r="AL64" s="323"/>
      <c r="AM64" s="323"/>
      <c r="AN64" s="323"/>
      <c r="AO64" s="323"/>
      <c r="AP64" s="323"/>
      <c r="AQ64" s="323"/>
      <c r="AR64" s="323"/>
      <c r="AS64" s="323"/>
      <c r="AT64" s="323"/>
      <c r="AU64" s="323"/>
      <c r="AV64" s="323"/>
      <c r="AW64" s="323"/>
      <c r="AX64" s="323"/>
      <c r="AY64" s="323"/>
      <c r="AZ64" s="351"/>
      <c r="BA64" s="326"/>
      <c r="BB64" s="326"/>
      <c r="BC64" s="326"/>
      <c r="BD64" s="326"/>
      <c r="BE64" s="326"/>
      <c r="BF64" s="351"/>
      <c r="BG64" s="332"/>
      <c r="BH64" s="332"/>
      <c r="BI64" s="332"/>
      <c r="BJ64" s="332"/>
      <c r="BK64" s="332"/>
      <c r="BL64" s="332"/>
      <c r="BM64" s="332"/>
      <c r="BN64" s="251"/>
      <c r="BO64" s="340"/>
      <c r="BP64" s="337"/>
      <c r="BQ64" s="340"/>
      <c r="BR64" s="340"/>
      <c r="BS64" s="340"/>
      <c r="BT64" s="340"/>
      <c r="BU64" s="340"/>
      <c r="BV64" s="340"/>
      <c r="BW64" s="340"/>
      <c r="BX64" s="251"/>
      <c r="BY64" s="345"/>
      <c r="BZ64" s="345"/>
      <c r="CA64" s="345"/>
      <c r="CB64" s="346"/>
      <c r="CC64" s="345"/>
      <c r="CD64" s="345"/>
      <c r="CE64" s="345"/>
      <c r="CF64" s="345"/>
      <c r="CG64" s="345"/>
      <c r="CH64" s="345"/>
      <c r="CI64" s="345"/>
      <c r="CJ64" s="346"/>
      <c r="CK64" s="346"/>
    </row>
    <row r="65">
      <c r="A65" s="347" t="s">
        <v>4061</v>
      </c>
      <c r="B65" s="241" t="s">
        <v>76</v>
      </c>
      <c r="C65" s="237" t="s">
        <v>155</v>
      </c>
      <c r="D65" s="238" t="s">
        <v>155</v>
      </c>
      <c r="E65" s="239" t="s">
        <v>155</v>
      </c>
      <c r="F65" s="240" t="s">
        <v>155</v>
      </c>
      <c r="G65" s="241" t="s">
        <v>76</v>
      </c>
      <c r="H65" s="348" t="s">
        <v>4062</v>
      </c>
      <c r="I65" s="308"/>
      <c r="J65" s="308"/>
      <c r="K65" s="308"/>
      <c r="L65" s="308"/>
      <c r="M65" s="308"/>
      <c r="N65" s="308"/>
      <c r="O65" s="308"/>
      <c r="P65" s="251"/>
      <c r="Q65" s="353"/>
      <c r="R65" s="353"/>
      <c r="S65" s="353"/>
      <c r="T65" s="353"/>
      <c r="U65" s="353"/>
      <c r="V65" s="353"/>
      <c r="W65" s="251"/>
      <c r="X65" s="318"/>
      <c r="Y65" s="318"/>
      <c r="Z65" s="318"/>
      <c r="AA65" s="617"/>
      <c r="AB65" s="318"/>
      <c r="AC65" s="318"/>
      <c r="AD65" s="318"/>
      <c r="AE65" s="318"/>
      <c r="AF65" s="318"/>
      <c r="AG65" s="318"/>
      <c r="AH65" s="267"/>
      <c r="AI65" s="251"/>
      <c r="AJ65" s="323"/>
      <c r="AK65" s="323"/>
      <c r="AL65" s="323"/>
      <c r="AM65" s="323"/>
      <c r="AN65" s="323"/>
      <c r="AO65" s="323"/>
      <c r="AP65" s="323"/>
      <c r="AQ65" s="323"/>
      <c r="AR65" s="323"/>
      <c r="AS65" s="323"/>
      <c r="AT65" s="323"/>
      <c r="AU65" s="323"/>
      <c r="AV65" s="323"/>
      <c r="AW65" s="323"/>
      <c r="AX65" s="323"/>
      <c r="AY65" s="323"/>
      <c r="AZ65" s="351"/>
      <c r="BA65" s="326"/>
      <c r="BB65" s="326"/>
      <c r="BC65" s="326"/>
      <c r="BD65" s="326"/>
      <c r="BE65" s="326"/>
      <c r="BF65" s="351"/>
      <c r="BG65" s="332"/>
      <c r="BH65" s="332"/>
      <c r="BI65" s="332"/>
      <c r="BJ65" s="332"/>
      <c r="BK65" s="332"/>
      <c r="BL65" s="332"/>
      <c r="BM65" s="332"/>
      <c r="BN65" s="251"/>
      <c r="BO65" s="340"/>
      <c r="BP65" s="337"/>
      <c r="BQ65" s="340"/>
      <c r="BR65" s="340"/>
      <c r="BS65" s="340"/>
      <c r="BT65" s="340"/>
      <c r="BU65" s="340"/>
      <c r="BV65" s="340"/>
      <c r="BW65" s="340"/>
      <c r="BX65" s="251"/>
      <c r="BY65" s="345"/>
      <c r="BZ65" s="345"/>
      <c r="CA65" s="345"/>
      <c r="CB65" s="346"/>
      <c r="CC65" s="345"/>
      <c r="CD65" s="345"/>
      <c r="CE65" s="345"/>
      <c r="CF65" s="345"/>
      <c r="CG65" s="345"/>
      <c r="CH65" s="345"/>
      <c r="CI65" s="345"/>
      <c r="CJ65" s="346"/>
      <c r="CK65" s="346"/>
    </row>
    <row r="66">
      <c r="A66" s="347" t="s">
        <v>3888</v>
      </c>
      <c r="B66" s="241" t="s">
        <v>76</v>
      </c>
      <c r="C66" s="237" t="s">
        <v>155</v>
      </c>
      <c r="D66" s="238" t="s">
        <v>155</v>
      </c>
      <c r="E66" s="239" t="s">
        <v>155</v>
      </c>
      <c r="F66" s="240" t="s">
        <v>155</v>
      </c>
      <c r="G66" s="241" t="s">
        <v>76</v>
      </c>
      <c r="H66" s="308"/>
      <c r="I66" s="308"/>
      <c r="J66" s="308"/>
      <c r="K66" s="308"/>
      <c r="L66" s="308"/>
      <c r="M66" s="308"/>
      <c r="N66" s="308"/>
      <c r="O66" s="308"/>
      <c r="P66" s="251"/>
      <c r="Q66" s="353"/>
      <c r="R66" s="353"/>
      <c r="S66" s="353"/>
      <c r="T66" s="353"/>
      <c r="U66" s="353"/>
      <c r="V66" s="353"/>
      <c r="W66" s="251"/>
      <c r="X66" s="318"/>
      <c r="Y66" s="318"/>
      <c r="Z66" s="318"/>
      <c r="AA66" s="617"/>
      <c r="AB66" s="318"/>
      <c r="AC66" s="318"/>
      <c r="AD66" s="318"/>
      <c r="AE66" s="318"/>
      <c r="AF66" s="318"/>
      <c r="AG66" s="318"/>
      <c r="AH66" s="267"/>
      <c r="AI66" s="251"/>
      <c r="AJ66" s="323"/>
      <c r="AK66" s="358" t="s">
        <v>4073</v>
      </c>
      <c r="AL66" s="323"/>
      <c r="AM66" s="323"/>
      <c r="AN66" s="323"/>
      <c r="AO66" s="323"/>
      <c r="AP66" s="323"/>
      <c r="AQ66" s="323"/>
      <c r="AR66" s="323"/>
      <c r="AS66" s="323"/>
      <c r="AT66" s="323"/>
      <c r="AU66" s="323"/>
      <c r="AV66" s="323"/>
      <c r="AW66" s="323"/>
      <c r="AX66" s="323"/>
      <c r="AY66" s="323"/>
      <c r="AZ66" s="351"/>
      <c r="BA66" s="326"/>
      <c r="BB66" s="326"/>
      <c r="BC66" s="326"/>
      <c r="BD66" s="326"/>
      <c r="BE66" s="326"/>
      <c r="BF66" s="351"/>
      <c r="BG66" s="332"/>
      <c r="BH66" s="332"/>
      <c r="BI66" s="332"/>
      <c r="BJ66" s="332"/>
      <c r="BK66" s="332"/>
      <c r="BL66" s="332"/>
      <c r="BM66" s="332"/>
      <c r="BN66" s="251"/>
      <c r="BO66" s="340"/>
      <c r="BP66" s="337"/>
      <c r="BQ66" s="340"/>
      <c r="BR66" s="340"/>
      <c r="BS66" s="340"/>
      <c r="BT66" s="340"/>
      <c r="BU66" s="340"/>
      <c r="BV66" s="340"/>
      <c r="BW66" s="340"/>
      <c r="BX66" s="251"/>
      <c r="BY66" s="345"/>
      <c r="BZ66" s="345"/>
      <c r="CA66" s="345"/>
      <c r="CB66" s="346"/>
      <c r="CC66" s="345"/>
      <c r="CD66" s="345"/>
      <c r="CE66" s="345"/>
      <c r="CF66" s="345"/>
      <c r="CG66" s="345"/>
      <c r="CH66" s="345"/>
      <c r="CI66" s="345"/>
      <c r="CJ66" s="346"/>
      <c r="CK66" s="346"/>
    </row>
    <row r="67">
      <c r="A67" s="815" t="s">
        <v>3872</v>
      </c>
      <c r="B67" s="241" t="s">
        <v>155</v>
      </c>
      <c r="C67" s="237" t="s">
        <v>155</v>
      </c>
      <c r="D67" s="238" t="s">
        <v>155</v>
      </c>
      <c r="E67" s="239" t="s">
        <v>155</v>
      </c>
      <c r="F67" s="240" t="s">
        <v>155</v>
      </c>
      <c r="G67" s="241" t="s">
        <v>155</v>
      </c>
      <c r="H67" s="308"/>
      <c r="I67" s="308"/>
      <c r="J67" s="308"/>
      <c r="K67" s="308"/>
      <c r="L67" s="308"/>
      <c r="M67" s="308"/>
      <c r="N67" s="308"/>
      <c r="O67" s="308"/>
      <c r="P67" s="251"/>
      <c r="Q67" s="353"/>
      <c r="R67" s="353"/>
      <c r="S67" s="353"/>
      <c r="T67" s="353"/>
      <c r="U67" s="353"/>
      <c r="V67" s="353"/>
      <c r="W67" s="251"/>
      <c r="X67" s="318"/>
      <c r="Y67" s="318"/>
      <c r="Z67" s="318"/>
      <c r="AA67" s="617"/>
      <c r="AB67" s="318"/>
      <c r="AC67" s="318"/>
      <c r="AD67" s="318"/>
      <c r="AE67" s="318"/>
      <c r="AF67" s="318"/>
      <c r="AG67" s="318"/>
      <c r="AH67" s="267"/>
      <c r="AI67" s="251"/>
      <c r="AJ67" s="323"/>
      <c r="AK67" s="323"/>
      <c r="AL67" s="323"/>
      <c r="AM67" s="323"/>
      <c r="AN67" s="323"/>
      <c r="AO67" s="323"/>
      <c r="AP67" s="323"/>
      <c r="AQ67" s="323"/>
      <c r="AR67" s="323"/>
      <c r="AS67" s="323"/>
      <c r="AT67" s="323"/>
      <c r="AU67" s="323"/>
      <c r="AV67" s="323"/>
      <c r="AW67" s="323"/>
      <c r="AX67" s="323"/>
      <c r="AY67" s="323"/>
      <c r="AZ67" s="351"/>
      <c r="BA67" s="326"/>
      <c r="BB67" s="326"/>
      <c r="BC67" s="326"/>
      <c r="BD67" s="326"/>
      <c r="BE67" s="326"/>
      <c r="BF67" s="351"/>
      <c r="BG67" s="332"/>
      <c r="BH67" s="332"/>
      <c r="BI67" s="332"/>
      <c r="BJ67" s="332"/>
      <c r="BK67" s="332"/>
      <c r="BL67" s="332"/>
      <c r="BM67" s="332"/>
      <c r="BN67" s="251"/>
      <c r="BO67" s="340"/>
      <c r="BP67" s="337"/>
      <c r="BQ67" s="340"/>
      <c r="BR67" s="340"/>
      <c r="BS67" s="340"/>
      <c r="BT67" s="340"/>
      <c r="BU67" s="340"/>
      <c r="BV67" s="340"/>
      <c r="BW67" s="340"/>
      <c r="BX67" s="251"/>
      <c r="BY67" s="345"/>
      <c r="BZ67" s="345"/>
      <c r="CA67" s="345"/>
      <c r="CB67" s="346"/>
      <c r="CC67" s="345"/>
      <c r="CD67" s="345"/>
      <c r="CE67" s="345"/>
      <c r="CF67" s="345"/>
      <c r="CG67" s="345"/>
      <c r="CH67" s="345"/>
      <c r="CI67" s="345"/>
      <c r="CJ67" s="346"/>
      <c r="CK67" s="346"/>
    </row>
    <row r="68">
      <c r="A68" s="821"/>
      <c r="B68" s="241" t="s">
        <v>155</v>
      </c>
      <c r="C68" s="237" t="s">
        <v>155</v>
      </c>
      <c r="D68" s="238" t="s">
        <v>155</v>
      </c>
      <c r="E68" s="239" t="s">
        <v>155</v>
      </c>
      <c r="F68" s="240" t="s">
        <v>155</v>
      </c>
      <c r="G68" s="241" t="s">
        <v>155</v>
      </c>
      <c r="H68" s="308"/>
      <c r="I68" s="308"/>
      <c r="J68" s="308"/>
      <c r="K68" s="308"/>
      <c r="L68" s="308"/>
      <c r="M68" s="308"/>
      <c r="N68" s="308"/>
      <c r="O68" s="308"/>
      <c r="P68" s="251"/>
      <c r="Q68" s="353"/>
      <c r="R68" s="353"/>
      <c r="S68" s="353"/>
      <c r="T68" s="353"/>
      <c r="U68" s="353"/>
      <c r="V68" s="353"/>
      <c r="W68" s="251"/>
      <c r="X68" s="318"/>
      <c r="Y68" s="318"/>
      <c r="Z68" s="318"/>
      <c r="AA68" s="617"/>
      <c r="AB68" s="318"/>
      <c r="AC68" s="318"/>
      <c r="AD68" s="318"/>
      <c r="AE68" s="318"/>
      <c r="AF68" s="318"/>
      <c r="AG68" s="318"/>
      <c r="AH68" s="267"/>
      <c r="AI68" s="251"/>
      <c r="AJ68" s="323"/>
      <c r="AK68" s="323"/>
      <c r="AL68" s="323"/>
      <c r="AM68" s="323"/>
      <c r="AN68" s="323"/>
      <c r="AO68" s="323"/>
      <c r="AP68" s="323"/>
      <c r="AQ68" s="323"/>
      <c r="AR68" s="323"/>
      <c r="AS68" s="323"/>
      <c r="AT68" s="323"/>
      <c r="AU68" s="323"/>
      <c r="AV68" s="323"/>
      <c r="AW68" s="323"/>
      <c r="AX68" s="323"/>
      <c r="AY68" s="323"/>
      <c r="AZ68" s="351"/>
      <c r="BA68" s="326"/>
      <c r="BB68" s="326"/>
      <c r="BC68" s="326"/>
      <c r="BD68" s="326"/>
      <c r="BE68" s="326"/>
      <c r="BF68" s="351"/>
      <c r="BG68" s="332"/>
      <c r="BH68" s="332"/>
      <c r="BI68" s="332"/>
      <c r="BJ68" s="332"/>
      <c r="BK68" s="332"/>
      <c r="BL68" s="332"/>
      <c r="BM68" s="332"/>
      <c r="BN68" s="251"/>
      <c r="BO68" s="340"/>
      <c r="BP68" s="337"/>
      <c r="BQ68" s="340"/>
      <c r="BR68" s="340"/>
      <c r="BS68" s="340"/>
      <c r="BT68" s="340"/>
      <c r="BU68" s="340"/>
      <c r="BV68" s="340"/>
      <c r="BW68" s="340"/>
      <c r="BX68" s="251"/>
      <c r="BY68" s="345"/>
      <c r="BZ68" s="345"/>
      <c r="CA68" s="345"/>
      <c r="CB68" s="346"/>
      <c r="CC68" s="345"/>
      <c r="CD68" s="345"/>
      <c r="CE68" s="345"/>
      <c r="CF68" s="345"/>
      <c r="CG68" s="345"/>
      <c r="CH68" s="345"/>
      <c r="CI68" s="345"/>
      <c r="CJ68" s="346"/>
      <c r="CK68" s="346"/>
    </row>
    <row r="69">
      <c r="A69" s="821"/>
      <c r="B69" s="241" t="s">
        <v>155</v>
      </c>
      <c r="C69" s="237" t="s">
        <v>155</v>
      </c>
      <c r="D69" s="238" t="s">
        <v>155</v>
      </c>
      <c r="E69" s="239" t="s">
        <v>155</v>
      </c>
      <c r="F69" s="240" t="s">
        <v>155</v>
      </c>
      <c r="G69" s="241" t="s">
        <v>155</v>
      </c>
      <c r="H69" s="308"/>
      <c r="I69" s="308"/>
      <c r="J69" s="308"/>
      <c r="K69" s="308"/>
      <c r="L69" s="308"/>
      <c r="M69" s="308"/>
      <c r="N69" s="308"/>
      <c r="O69" s="308"/>
      <c r="P69" s="251"/>
      <c r="Q69" s="353"/>
      <c r="R69" s="353"/>
      <c r="S69" s="353"/>
      <c r="T69" s="353"/>
      <c r="U69" s="353"/>
      <c r="V69" s="353"/>
      <c r="W69" s="251"/>
      <c r="X69" s="318"/>
      <c r="Y69" s="318"/>
      <c r="Z69" s="318"/>
      <c r="AA69" s="617"/>
      <c r="AB69" s="318"/>
      <c r="AC69" s="318"/>
      <c r="AD69" s="318"/>
      <c r="AE69" s="318"/>
      <c r="AF69" s="318"/>
      <c r="AG69" s="318"/>
      <c r="AH69" s="267"/>
      <c r="AI69" s="251"/>
      <c r="AJ69" s="323"/>
      <c r="AK69" s="323"/>
      <c r="AL69" s="323"/>
      <c r="AM69" s="323"/>
      <c r="AN69" s="323"/>
      <c r="AO69" s="323"/>
      <c r="AP69" s="323"/>
      <c r="AQ69" s="323"/>
      <c r="AR69" s="323"/>
      <c r="AS69" s="323"/>
      <c r="AT69" s="323"/>
      <c r="AU69" s="323"/>
      <c r="AV69" s="323"/>
      <c r="AW69" s="323"/>
      <c r="AX69" s="323"/>
      <c r="AY69" s="323"/>
      <c r="AZ69" s="351"/>
      <c r="BA69" s="326"/>
      <c r="BB69" s="326"/>
      <c r="BC69" s="326"/>
      <c r="BD69" s="326"/>
      <c r="BE69" s="326"/>
      <c r="BF69" s="351"/>
      <c r="BG69" s="332"/>
      <c r="BH69" s="332"/>
      <c r="BI69" s="332"/>
      <c r="BJ69" s="332"/>
      <c r="BK69" s="332"/>
      <c r="BL69" s="332"/>
      <c r="BM69" s="332"/>
      <c r="BN69" s="251"/>
      <c r="BO69" s="340"/>
      <c r="BP69" s="337"/>
      <c r="BQ69" s="340"/>
      <c r="BR69" s="340"/>
      <c r="BS69" s="340"/>
      <c r="BT69" s="340"/>
      <c r="BU69" s="340"/>
      <c r="BV69" s="340"/>
      <c r="BW69" s="340"/>
      <c r="BX69" s="251"/>
      <c r="BY69" s="345"/>
      <c r="BZ69" s="345"/>
      <c r="CA69" s="345"/>
      <c r="CB69" s="346"/>
      <c r="CC69" s="345"/>
      <c r="CD69" s="345"/>
      <c r="CE69" s="345"/>
      <c r="CF69" s="345"/>
      <c r="CG69" s="345"/>
      <c r="CH69" s="345"/>
      <c r="CI69" s="345"/>
      <c r="CJ69" s="346"/>
      <c r="CK69" s="346"/>
    </row>
    <row r="70">
      <c r="A70" s="821"/>
      <c r="B70" s="241" t="s">
        <v>155</v>
      </c>
      <c r="C70" s="237" t="s">
        <v>155</v>
      </c>
      <c r="D70" s="238" t="s">
        <v>155</v>
      </c>
      <c r="E70" s="239" t="s">
        <v>155</v>
      </c>
      <c r="F70" s="240" t="s">
        <v>155</v>
      </c>
      <c r="G70" s="241" t="s">
        <v>155</v>
      </c>
      <c r="H70" s="308"/>
      <c r="I70" s="308"/>
      <c r="J70" s="308"/>
      <c r="K70" s="308"/>
      <c r="L70" s="308"/>
      <c r="M70" s="308"/>
      <c r="N70" s="308"/>
      <c r="O70" s="308"/>
      <c r="P70" s="251"/>
      <c r="Q70" s="353"/>
      <c r="R70" s="353"/>
      <c r="S70" s="353"/>
      <c r="T70" s="353"/>
      <c r="U70" s="353"/>
      <c r="V70" s="353"/>
      <c r="W70" s="251"/>
      <c r="X70" s="318"/>
      <c r="Y70" s="318"/>
      <c r="Z70" s="318"/>
      <c r="AA70" s="617"/>
      <c r="AB70" s="318"/>
      <c r="AC70" s="318"/>
      <c r="AD70" s="318"/>
      <c r="AE70" s="318"/>
      <c r="AF70" s="318"/>
      <c r="AG70" s="318"/>
      <c r="AH70" s="267"/>
      <c r="AI70" s="251"/>
      <c r="AJ70" s="323"/>
      <c r="AK70" s="323"/>
      <c r="AL70" s="323"/>
      <c r="AM70" s="323"/>
      <c r="AN70" s="323"/>
      <c r="AO70" s="323"/>
      <c r="AP70" s="323"/>
      <c r="AQ70" s="323"/>
      <c r="AR70" s="323"/>
      <c r="AS70" s="323"/>
      <c r="AT70" s="323"/>
      <c r="AU70" s="323"/>
      <c r="AV70" s="323"/>
      <c r="AW70" s="323"/>
      <c r="AX70" s="323"/>
      <c r="AY70" s="323"/>
      <c r="AZ70" s="351"/>
      <c r="BA70" s="326"/>
      <c r="BB70" s="326"/>
      <c r="BC70" s="326"/>
      <c r="BD70" s="326"/>
      <c r="BE70" s="326"/>
      <c r="BF70" s="351"/>
      <c r="BG70" s="332"/>
      <c r="BH70" s="332"/>
      <c r="BI70" s="332"/>
      <c r="BJ70" s="332"/>
      <c r="BK70" s="332"/>
      <c r="BL70" s="332"/>
      <c r="BM70" s="332"/>
      <c r="BN70" s="251"/>
      <c r="BO70" s="340"/>
      <c r="BP70" s="337"/>
      <c r="BQ70" s="340"/>
      <c r="BR70" s="340"/>
      <c r="BS70" s="340"/>
      <c r="BT70" s="340"/>
      <c r="BU70" s="340"/>
      <c r="BV70" s="340"/>
      <c r="BW70" s="340"/>
      <c r="BX70" s="251"/>
      <c r="BY70" s="345"/>
      <c r="BZ70" s="345"/>
      <c r="CA70" s="345"/>
      <c r="CB70" s="346"/>
      <c r="CC70" s="345"/>
      <c r="CD70" s="345"/>
      <c r="CE70" s="345"/>
      <c r="CF70" s="345"/>
      <c r="CG70" s="345"/>
      <c r="CH70" s="345"/>
      <c r="CI70" s="345"/>
      <c r="CJ70" s="346"/>
      <c r="CK70" s="346"/>
    </row>
    <row r="71">
      <c r="A71" s="821"/>
      <c r="B71" s="241" t="s">
        <v>155</v>
      </c>
      <c r="C71" s="237" t="s">
        <v>155</v>
      </c>
      <c r="D71" s="238" t="s">
        <v>155</v>
      </c>
      <c r="E71" s="239" t="s">
        <v>155</v>
      </c>
      <c r="F71" s="240" t="s">
        <v>155</v>
      </c>
      <c r="G71" s="241" t="s">
        <v>155</v>
      </c>
      <c r="H71" s="308"/>
      <c r="I71" s="308"/>
      <c r="J71" s="308"/>
      <c r="K71" s="308"/>
      <c r="L71" s="308"/>
      <c r="M71" s="308"/>
      <c r="N71" s="308"/>
      <c r="O71" s="308"/>
      <c r="P71" s="251"/>
      <c r="Q71" s="353"/>
      <c r="R71" s="353"/>
      <c r="S71" s="353"/>
      <c r="T71" s="353"/>
      <c r="U71" s="353"/>
      <c r="V71" s="353"/>
      <c r="W71" s="251"/>
      <c r="X71" s="318"/>
      <c r="Y71" s="318"/>
      <c r="Z71" s="318"/>
      <c r="AA71" s="617"/>
      <c r="AB71" s="318"/>
      <c r="AC71" s="318"/>
      <c r="AD71" s="318"/>
      <c r="AE71" s="318"/>
      <c r="AF71" s="318"/>
      <c r="AG71" s="318"/>
      <c r="AH71" s="267"/>
      <c r="AI71" s="251"/>
      <c r="AJ71" s="323"/>
      <c r="AK71" s="323"/>
      <c r="AL71" s="323"/>
      <c r="AM71" s="323"/>
      <c r="AN71" s="323"/>
      <c r="AO71" s="323"/>
      <c r="AP71" s="323"/>
      <c r="AQ71" s="323"/>
      <c r="AR71" s="323"/>
      <c r="AS71" s="323"/>
      <c r="AT71" s="323"/>
      <c r="AU71" s="323"/>
      <c r="AV71" s="323"/>
      <c r="AW71" s="323"/>
      <c r="AX71" s="323"/>
      <c r="AY71" s="323"/>
      <c r="AZ71" s="351"/>
      <c r="BA71" s="326"/>
      <c r="BB71" s="326"/>
      <c r="BC71" s="326"/>
      <c r="BD71" s="326"/>
      <c r="BE71" s="326"/>
      <c r="BF71" s="351"/>
      <c r="BG71" s="332"/>
      <c r="BH71" s="332"/>
      <c r="BI71" s="332"/>
      <c r="BJ71" s="332"/>
      <c r="BK71" s="332"/>
      <c r="BL71" s="332"/>
      <c r="BM71" s="332"/>
      <c r="BN71" s="251"/>
      <c r="BO71" s="340"/>
      <c r="BP71" s="337"/>
      <c r="BQ71" s="340"/>
      <c r="BR71" s="340"/>
      <c r="BS71" s="340"/>
      <c r="BT71" s="340"/>
      <c r="BU71" s="340"/>
      <c r="BV71" s="340"/>
      <c r="BW71" s="340"/>
      <c r="BX71" s="251"/>
      <c r="BY71" s="345"/>
      <c r="BZ71" s="345"/>
      <c r="CA71" s="345"/>
      <c r="CB71" s="346"/>
      <c r="CC71" s="345"/>
      <c r="CD71" s="345"/>
      <c r="CE71" s="345"/>
      <c r="CF71" s="345"/>
      <c r="CG71" s="345"/>
      <c r="CH71" s="345"/>
      <c r="CI71" s="345"/>
      <c r="CJ71" s="346"/>
      <c r="CK71" s="346"/>
    </row>
    <row r="72">
      <c r="A72" s="821"/>
      <c r="B72" s="241" t="s">
        <v>155</v>
      </c>
      <c r="C72" s="237" t="s">
        <v>155</v>
      </c>
      <c r="D72" s="238" t="s">
        <v>155</v>
      </c>
      <c r="E72" s="239" t="s">
        <v>155</v>
      </c>
      <c r="F72" s="240" t="s">
        <v>155</v>
      </c>
      <c r="G72" s="241" t="s">
        <v>155</v>
      </c>
      <c r="H72" s="308"/>
      <c r="I72" s="308"/>
      <c r="J72" s="308"/>
      <c r="K72" s="308"/>
      <c r="L72" s="308"/>
      <c r="M72" s="308"/>
      <c r="N72" s="308"/>
      <c r="O72" s="308"/>
      <c r="P72" s="251"/>
      <c r="Q72" s="353"/>
      <c r="R72" s="353"/>
      <c r="S72" s="353"/>
      <c r="T72" s="353"/>
      <c r="U72" s="353"/>
      <c r="V72" s="353"/>
      <c r="W72" s="251"/>
      <c r="X72" s="318"/>
      <c r="Y72" s="318"/>
      <c r="Z72" s="318"/>
      <c r="AA72" s="617"/>
      <c r="AB72" s="318"/>
      <c r="AC72" s="318"/>
      <c r="AD72" s="318"/>
      <c r="AE72" s="318"/>
      <c r="AF72" s="318"/>
      <c r="AG72" s="318"/>
      <c r="AH72" s="267"/>
      <c r="AI72" s="251"/>
      <c r="AJ72" s="323"/>
      <c r="AK72" s="323"/>
      <c r="AL72" s="323"/>
      <c r="AM72" s="323"/>
      <c r="AN72" s="323"/>
      <c r="AO72" s="323"/>
      <c r="AP72" s="323"/>
      <c r="AQ72" s="323"/>
      <c r="AR72" s="323"/>
      <c r="AS72" s="323"/>
      <c r="AT72" s="323"/>
      <c r="AU72" s="323"/>
      <c r="AV72" s="323"/>
      <c r="AW72" s="323"/>
      <c r="AX72" s="323"/>
      <c r="AY72" s="323"/>
      <c r="AZ72" s="351"/>
      <c r="BA72" s="326"/>
      <c r="BB72" s="326"/>
      <c r="BC72" s="326"/>
      <c r="BD72" s="326"/>
      <c r="BE72" s="326"/>
      <c r="BF72" s="351"/>
      <c r="BG72" s="332"/>
      <c r="BH72" s="332"/>
      <c r="BI72" s="332"/>
      <c r="BJ72" s="332"/>
      <c r="BK72" s="332"/>
      <c r="BL72" s="332"/>
      <c r="BM72" s="332"/>
      <c r="BN72" s="251"/>
      <c r="BO72" s="340"/>
      <c r="BP72" s="337"/>
      <c r="BQ72" s="340"/>
      <c r="BR72" s="340"/>
      <c r="BS72" s="340"/>
      <c r="BT72" s="340"/>
      <c r="BU72" s="340"/>
      <c r="BV72" s="340"/>
      <c r="BW72" s="340"/>
      <c r="BX72" s="251"/>
      <c r="BY72" s="345"/>
      <c r="BZ72" s="345"/>
      <c r="CA72" s="345"/>
      <c r="CB72" s="346"/>
      <c r="CC72" s="345"/>
      <c r="CD72" s="345"/>
      <c r="CE72" s="345"/>
      <c r="CF72" s="345"/>
      <c r="CG72" s="345"/>
      <c r="CH72" s="345"/>
      <c r="CI72" s="345"/>
      <c r="CJ72" s="346"/>
      <c r="CK72" s="346"/>
    </row>
    <row r="73">
      <c r="A73" s="821"/>
      <c r="B73" s="241" t="s">
        <v>155</v>
      </c>
      <c r="C73" s="237" t="s">
        <v>155</v>
      </c>
      <c r="D73" s="238" t="s">
        <v>155</v>
      </c>
      <c r="E73" s="239" t="s">
        <v>155</v>
      </c>
      <c r="F73" s="240" t="s">
        <v>155</v>
      </c>
      <c r="G73" s="241" t="s">
        <v>155</v>
      </c>
      <c r="H73" s="308"/>
      <c r="I73" s="308"/>
      <c r="J73" s="308"/>
      <c r="K73" s="308"/>
      <c r="L73" s="308"/>
      <c r="M73" s="308"/>
      <c r="N73" s="308"/>
      <c r="O73" s="308"/>
      <c r="P73" s="251"/>
      <c r="Q73" s="353"/>
      <c r="R73" s="353"/>
      <c r="S73" s="353"/>
      <c r="T73" s="353"/>
      <c r="U73" s="353"/>
      <c r="V73" s="353"/>
      <c r="W73" s="251"/>
      <c r="X73" s="318"/>
      <c r="Y73" s="318"/>
      <c r="Z73" s="318"/>
      <c r="AA73" s="617"/>
      <c r="AB73" s="318"/>
      <c r="AC73" s="318"/>
      <c r="AD73" s="318"/>
      <c r="AE73" s="318"/>
      <c r="AF73" s="318"/>
      <c r="AG73" s="318"/>
      <c r="AH73" s="267"/>
      <c r="AI73" s="251"/>
      <c r="AJ73" s="323"/>
      <c r="AK73" s="323"/>
      <c r="AL73" s="323"/>
      <c r="AM73" s="323"/>
      <c r="AN73" s="323"/>
      <c r="AO73" s="323"/>
      <c r="AP73" s="323"/>
      <c r="AQ73" s="323"/>
      <c r="AR73" s="323"/>
      <c r="AS73" s="323"/>
      <c r="AT73" s="323"/>
      <c r="AU73" s="323"/>
      <c r="AV73" s="323"/>
      <c r="AW73" s="323"/>
      <c r="AX73" s="323"/>
      <c r="AY73" s="323"/>
      <c r="AZ73" s="351"/>
      <c r="BA73" s="326"/>
      <c r="BB73" s="326"/>
      <c r="BC73" s="326"/>
      <c r="BD73" s="326"/>
      <c r="BE73" s="326"/>
      <c r="BF73" s="351"/>
      <c r="BG73" s="332"/>
      <c r="BH73" s="332"/>
      <c r="BI73" s="332"/>
      <c r="BJ73" s="332"/>
      <c r="BK73" s="332"/>
      <c r="BL73" s="332"/>
      <c r="BM73" s="332"/>
      <c r="BN73" s="251"/>
      <c r="BO73" s="340"/>
      <c r="BP73" s="337"/>
      <c r="BQ73" s="340"/>
      <c r="BR73" s="340"/>
      <c r="BS73" s="340"/>
      <c r="BT73" s="340"/>
      <c r="BU73" s="340"/>
      <c r="BV73" s="340"/>
      <c r="BW73" s="340"/>
      <c r="BX73" s="251"/>
      <c r="BY73" s="345"/>
      <c r="BZ73" s="345"/>
      <c r="CA73" s="345"/>
      <c r="CB73" s="346"/>
      <c r="CC73" s="345"/>
      <c r="CD73" s="345"/>
      <c r="CE73" s="345"/>
      <c r="CF73" s="345"/>
      <c r="CG73" s="345"/>
      <c r="CH73" s="345"/>
      <c r="CI73" s="345"/>
      <c r="CJ73" s="346"/>
      <c r="CK73" s="346"/>
    </row>
    <row r="74">
      <c r="A74" s="821"/>
      <c r="B74" s="241" t="s">
        <v>155</v>
      </c>
      <c r="C74" s="237" t="s">
        <v>155</v>
      </c>
      <c r="D74" s="238" t="s">
        <v>155</v>
      </c>
      <c r="E74" s="239" t="s">
        <v>155</v>
      </c>
      <c r="F74" s="240" t="s">
        <v>155</v>
      </c>
      <c r="G74" s="241" t="s">
        <v>155</v>
      </c>
      <c r="H74" s="308"/>
      <c r="I74" s="308"/>
      <c r="J74" s="308"/>
      <c r="K74" s="308"/>
      <c r="L74" s="308"/>
      <c r="M74" s="308"/>
      <c r="N74" s="308"/>
      <c r="O74" s="308"/>
      <c r="P74" s="251"/>
      <c r="Q74" s="353"/>
      <c r="R74" s="353"/>
      <c r="S74" s="353"/>
      <c r="T74" s="353"/>
      <c r="U74" s="353"/>
      <c r="V74" s="353"/>
      <c r="W74" s="251"/>
      <c r="X74" s="318"/>
      <c r="Y74" s="318"/>
      <c r="Z74" s="318"/>
      <c r="AA74" s="617"/>
      <c r="AB74" s="318"/>
      <c r="AC74" s="318"/>
      <c r="AD74" s="318"/>
      <c r="AE74" s="318"/>
      <c r="AF74" s="318"/>
      <c r="AG74" s="318"/>
      <c r="AH74" s="267"/>
      <c r="AI74" s="251"/>
      <c r="AJ74" s="323"/>
      <c r="AK74" s="323"/>
      <c r="AL74" s="323"/>
      <c r="AM74" s="323"/>
      <c r="AN74" s="323"/>
      <c r="AO74" s="323"/>
      <c r="AP74" s="323"/>
      <c r="AQ74" s="323"/>
      <c r="AR74" s="323"/>
      <c r="AS74" s="323"/>
      <c r="AT74" s="323"/>
      <c r="AU74" s="323"/>
      <c r="AV74" s="323"/>
      <c r="AW74" s="323"/>
      <c r="AX74" s="323"/>
      <c r="AY74" s="323"/>
      <c r="AZ74" s="351"/>
      <c r="BA74" s="326"/>
      <c r="BB74" s="326"/>
      <c r="BC74" s="326"/>
      <c r="BD74" s="326"/>
      <c r="BE74" s="326"/>
      <c r="BF74" s="351"/>
      <c r="BG74" s="332"/>
      <c r="BH74" s="332"/>
      <c r="BI74" s="332"/>
      <c r="BJ74" s="332"/>
      <c r="BK74" s="332"/>
      <c r="BL74" s="332"/>
      <c r="BM74" s="332"/>
      <c r="BN74" s="251"/>
      <c r="BO74" s="340"/>
      <c r="BP74" s="337"/>
      <c r="BQ74" s="340"/>
      <c r="BR74" s="340"/>
      <c r="BS74" s="340"/>
      <c r="BT74" s="340"/>
      <c r="BU74" s="340"/>
      <c r="BV74" s="340"/>
      <c r="BW74" s="340"/>
      <c r="BX74" s="251"/>
      <c r="BY74" s="345"/>
      <c r="BZ74" s="345"/>
      <c r="CA74" s="345"/>
      <c r="CB74" s="346"/>
      <c r="CC74" s="345"/>
      <c r="CD74" s="345"/>
      <c r="CE74" s="345"/>
      <c r="CF74" s="345"/>
      <c r="CG74" s="345"/>
      <c r="CH74" s="345"/>
      <c r="CI74" s="345"/>
      <c r="CJ74" s="346"/>
      <c r="CK74" s="346"/>
    </row>
    <row r="75">
      <c r="A75" s="821"/>
      <c r="B75" s="241" t="s">
        <v>155</v>
      </c>
      <c r="C75" s="237" t="s">
        <v>155</v>
      </c>
      <c r="D75" s="238" t="s">
        <v>155</v>
      </c>
      <c r="E75" s="239" t="s">
        <v>155</v>
      </c>
      <c r="F75" s="240" t="s">
        <v>155</v>
      </c>
      <c r="G75" s="241" t="s">
        <v>155</v>
      </c>
      <c r="H75" s="308"/>
      <c r="I75" s="308"/>
      <c r="J75" s="308"/>
      <c r="K75" s="308"/>
      <c r="L75" s="308"/>
      <c r="M75" s="308"/>
      <c r="N75" s="308"/>
      <c r="O75" s="308"/>
      <c r="P75" s="251"/>
      <c r="Q75" s="353"/>
      <c r="R75" s="353"/>
      <c r="S75" s="353"/>
      <c r="T75" s="353"/>
      <c r="U75" s="353"/>
      <c r="V75" s="353"/>
      <c r="W75" s="251"/>
      <c r="X75" s="318"/>
      <c r="Y75" s="318"/>
      <c r="Z75" s="318"/>
      <c r="AA75" s="617"/>
      <c r="AB75" s="318"/>
      <c r="AC75" s="318"/>
      <c r="AD75" s="318"/>
      <c r="AE75" s="318"/>
      <c r="AF75" s="318"/>
      <c r="AG75" s="318"/>
      <c r="AH75" s="267"/>
      <c r="AI75" s="251"/>
      <c r="AJ75" s="323"/>
      <c r="AK75" s="323"/>
      <c r="AL75" s="323"/>
      <c r="AM75" s="323"/>
      <c r="AN75" s="323"/>
      <c r="AO75" s="323"/>
      <c r="AP75" s="323"/>
      <c r="AQ75" s="323"/>
      <c r="AR75" s="323"/>
      <c r="AS75" s="323"/>
      <c r="AT75" s="323"/>
      <c r="AU75" s="323"/>
      <c r="AV75" s="323"/>
      <c r="AW75" s="323"/>
      <c r="AX75" s="323"/>
      <c r="AY75" s="323"/>
      <c r="AZ75" s="351"/>
      <c r="BA75" s="326"/>
      <c r="BB75" s="326"/>
      <c r="BC75" s="326"/>
      <c r="BD75" s="326"/>
      <c r="BE75" s="326"/>
      <c r="BF75" s="351"/>
      <c r="BG75" s="332"/>
      <c r="BH75" s="332"/>
      <c r="BI75" s="332"/>
      <c r="BJ75" s="332"/>
      <c r="BK75" s="332"/>
      <c r="BL75" s="332"/>
      <c r="BM75" s="332"/>
      <c r="BN75" s="251"/>
      <c r="BO75" s="340"/>
      <c r="BP75" s="337"/>
      <c r="BQ75" s="340"/>
      <c r="BR75" s="340"/>
      <c r="BS75" s="340"/>
      <c r="BT75" s="340"/>
      <c r="BU75" s="340"/>
      <c r="BV75" s="340"/>
      <c r="BW75" s="340"/>
      <c r="BX75" s="251"/>
      <c r="BY75" s="345"/>
      <c r="BZ75" s="345"/>
      <c r="CA75" s="345"/>
      <c r="CB75" s="346"/>
      <c r="CC75" s="345"/>
      <c r="CD75" s="345"/>
      <c r="CE75" s="345"/>
      <c r="CF75" s="345"/>
      <c r="CG75" s="345"/>
      <c r="CH75" s="345"/>
      <c r="CI75" s="345"/>
      <c r="CJ75" s="346"/>
      <c r="CK75" s="346"/>
    </row>
    <row r="76">
      <c r="A76" s="821"/>
      <c r="B76" s="241" t="s">
        <v>155</v>
      </c>
      <c r="C76" s="237" t="s">
        <v>155</v>
      </c>
      <c r="D76" s="238" t="s">
        <v>155</v>
      </c>
      <c r="E76" s="239" t="s">
        <v>155</v>
      </c>
      <c r="F76" s="240" t="s">
        <v>155</v>
      </c>
      <c r="G76" s="241" t="s">
        <v>155</v>
      </c>
      <c r="H76" s="308"/>
      <c r="I76" s="308"/>
      <c r="J76" s="308"/>
      <c r="K76" s="308"/>
      <c r="L76" s="308"/>
      <c r="M76" s="308"/>
      <c r="N76" s="308"/>
      <c r="O76" s="308"/>
      <c r="P76" s="251"/>
      <c r="Q76" s="353"/>
      <c r="R76" s="353"/>
      <c r="S76" s="353"/>
      <c r="T76" s="353"/>
      <c r="U76" s="353"/>
      <c r="V76" s="353"/>
      <c r="W76" s="251"/>
      <c r="X76" s="318"/>
      <c r="Y76" s="318"/>
      <c r="Z76" s="318"/>
      <c r="AA76" s="617"/>
      <c r="AB76" s="318"/>
      <c r="AC76" s="318"/>
      <c r="AD76" s="318"/>
      <c r="AE76" s="318"/>
      <c r="AF76" s="318"/>
      <c r="AG76" s="318"/>
      <c r="AH76" s="267"/>
      <c r="AI76" s="251"/>
      <c r="AJ76" s="323"/>
      <c r="AK76" s="323"/>
      <c r="AL76" s="323"/>
      <c r="AM76" s="323"/>
      <c r="AN76" s="323"/>
      <c r="AO76" s="323"/>
      <c r="AP76" s="323"/>
      <c r="AQ76" s="323"/>
      <c r="AR76" s="323"/>
      <c r="AS76" s="323"/>
      <c r="AT76" s="323"/>
      <c r="AU76" s="323"/>
      <c r="AV76" s="323"/>
      <c r="AW76" s="323"/>
      <c r="AX76" s="323"/>
      <c r="AY76" s="323"/>
      <c r="AZ76" s="351"/>
      <c r="BA76" s="326"/>
      <c r="BB76" s="326"/>
      <c r="BC76" s="326"/>
      <c r="BD76" s="326"/>
      <c r="BE76" s="326"/>
      <c r="BF76" s="351"/>
      <c r="BG76" s="332"/>
      <c r="BH76" s="332"/>
      <c r="BI76" s="332"/>
      <c r="BJ76" s="332"/>
      <c r="BK76" s="332"/>
      <c r="BL76" s="332"/>
      <c r="BM76" s="332"/>
      <c r="BN76" s="251"/>
      <c r="BO76" s="340"/>
      <c r="BP76" s="337"/>
      <c r="BQ76" s="340"/>
      <c r="BR76" s="340"/>
      <c r="BS76" s="340"/>
      <c r="BT76" s="340"/>
      <c r="BU76" s="340"/>
      <c r="BV76" s="340"/>
      <c r="BW76" s="340"/>
      <c r="BX76" s="251"/>
      <c r="BY76" s="345"/>
      <c r="BZ76" s="345"/>
      <c r="CA76" s="345"/>
      <c r="CB76" s="346"/>
      <c r="CC76" s="345"/>
      <c r="CD76" s="345"/>
      <c r="CE76" s="345"/>
      <c r="CF76" s="345"/>
      <c r="CG76" s="345"/>
      <c r="CH76" s="345"/>
      <c r="CI76" s="345"/>
      <c r="CJ76" s="346"/>
      <c r="CK76" s="346"/>
    </row>
    <row r="77">
      <c r="A77" s="821"/>
      <c r="B77" s="241" t="s">
        <v>155</v>
      </c>
      <c r="C77" s="237" t="s">
        <v>155</v>
      </c>
      <c r="D77" s="238" t="s">
        <v>155</v>
      </c>
      <c r="E77" s="239" t="s">
        <v>155</v>
      </c>
      <c r="F77" s="240" t="s">
        <v>155</v>
      </c>
      <c r="G77" s="241" t="s">
        <v>155</v>
      </c>
      <c r="H77" s="308"/>
      <c r="I77" s="308"/>
      <c r="J77" s="308"/>
      <c r="K77" s="308"/>
      <c r="L77" s="308"/>
      <c r="M77" s="308"/>
      <c r="N77" s="308"/>
      <c r="O77" s="308"/>
      <c r="P77" s="251"/>
      <c r="Q77" s="353"/>
      <c r="R77" s="353"/>
      <c r="S77" s="353"/>
      <c r="T77" s="353"/>
      <c r="U77" s="353"/>
      <c r="V77" s="353"/>
      <c r="W77" s="251"/>
      <c r="X77" s="318"/>
      <c r="Y77" s="318"/>
      <c r="Z77" s="318"/>
      <c r="AA77" s="617"/>
      <c r="AB77" s="318"/>
      <c r="AC77" s="318"/>
      <c r="AD77" s="318"/>
      <c r="AE77" s="318"/>
      <c r="AF77" s="318"/>
      <c r="AG77" s="318"/>
      <c r="AH77" s="267"/>
      <c r="AI77" s="251"/>
      <c r="AJ77" s="323"/>
      <c r="AK77" s="323"/>
      <c r="AL77" s="323"/>
      <c r="AM77" s="323"/>
      <c r="AN77" s="323"/>
      <c r="AO77" s="323"/>
      <c r="AP77" s="323"/>
      <c r="AQ77" s="323"/>
      <c r="AR77" s="323"/>
      <c r="AS77" s="323"/>
      <c r="AT77" s="323"/>
      <c r="AU77" s="323"/>
      <c r="AV77" s="323"/>
      <c r="AW77" s="323"/>
      <c r="AX77" s="323"/>
      <c r="AY77" s="323"/>
      <c r="AZ77" s="351"/>
      <c r="BA77" s="326"/>
      <c r="BB77" s="326"/>
      <c r="BC77" s="326"/>
      <c r="BD77" s="326"/>
      <c r="BE77" s="326"/>
      <c r="BF77" s="351"/>
      <c r="BG77" s="332"/>
      <c r="BH77" s="332"/>
      <c r="BI77" s="332"/>
      <c r="BJ77" s="332"/>
      <c r="BK77" s="332"/>
      <c r="BL77" s="332"/>
      <c r="BM77" s="332"/>
      <c r="BN77" s="251"/>
      <c r="BO77" s="340"/>
      <c r="BP77" s="337"/>
      <c r="BQ77" s="340"/>
      <c r="BR77" s="340"/>
      <c r="BS77" s="340"/>
      <c r="BT77" s="340"/>
      <c r="BU77" s="340"/>
      <c r="BV77" s="340"/>
      <c r="BW77" s="340"/>
      <c r="BX77" s="251"/>
      <c r="BY77" s="345"/>
      <c r="BZ77" s="345"/>
      <c r="CA77" s="345"/>
      <c r="CB77" s="346"/>
      <c r="CC77" s="345"/>
      <c r="CD77" s="345"/>
      <c r="CE77" s="345"/>
      <c r="CF77" s="345"/>
      <c r="CG77" s="345"/>
      <c r="CH77" s="345"/>
      <c r="CI77" s="345"/>
      <c r="CJ77" s="346"/>
      <c r="CK77" s="346"/>
    </row>
    <row r="78">
      <c r="A78" s="821"/>
      <c r="B78" s="241" t="s">
        <v>155</v>
      </c>
      <c r="C78" s="237" t="s">
        <v>155</v>
      </c>
      <c r="D78" s="238" t="s">
        <v>155</v>
      </c>
      <c r="E78" s="239" t="s">
        <v>155</v>
      </c>
      <c r="F78" s="240" t="s">
        <v>155</v>
      </c>
      <c r="G78" s="241" t="s">
        <v>155</v>
      </c>
      <c r="H78" s="308"/>
      <c r="I78" s="308"/>
      <c r="J78" s="308"/>
      <c r="K78" s="308"/>
      <c r="L78" s="308"/>
      <c r="M78" s="308"/>
      <c r="N78" s="308"/>
      <c r="O78" s="308"/>
      <c r="P78" s="251"/>
      <c r="Q78" s="353"/>
      <c r="R78" s="353"/>
      <c r="S78" s="353"/>
      <c r="T78" s="353"/>
      <c r="U78" s="353"/>
      <c r="V78" s="353"/>
      <c r="W78" s="251"/>
      <c r="X78" s="318"/>
      <c r="Y78" s="318"/>
      <c r="Z78" s="318"/>
      <c r="AA78" s="617"/>
      <c r="AB78" s="318"/>
      <c r="AC78" s="318"/>
      <c r="AD78" s="318"/>
      <c r="AE78" s="318"/>
      <c r="AF78" s="318"/>
      <c r="AG78" s="318"/>
      <c r="AH78" s="267"/>
      <c r="AI78" s="251"/>
      <c r="AJ78" s="323"/>
      <c r="AK78" s="323"/>
      <c r="AL78" s="323"/>
      <c r="AM78" s="323"/>
      <c r="AN78" s="323"/>
      <c r="AO78" s="323"/>
      <c r="AP78" s="323"/>
      <c r="AQ78" s="323"/>
      <c r="AR78" s="323"/>
      <c r="AS78" s="323"/>
      <c r="AT78" s="323"/>
      <c r="AU78" s="323"/>
      <c r="AV78" s="323"/>
      <c r="AW78" s="323"/>
      <c r="AX78" s="323"/>
      <c r="AY78" s="323"/>
      <c r="AZ78" s="351"/>
      <c r="BA78" s="326"/>
      <c r="BB78" s="326"/>
      <c r="BC78" s="326"/>
      <c r="BD78" s="326"/>
      <c r="BE78" s="326"/>
      <c r="BF78" s="351"/>
      <c r="BG78" s="332"/>
      <c r="BH78" s="332"/>
      <c r="BI78" s="332"/>
      <c r="BJ78" s="332"/>
      <c r="BK78" s="332"/>
      <c r="BL78" s="332"/>
      <c r="BM78" s="332"/>
      <c r="BN78" s="251"/>
      <c r="BO78" s="340"/>
      <c r="BP78" s="337"/>
      <c r="BQ78" s="340"/>
      <c r="BR78" s="340"/>
      <c r="BS78" s="340"/>
      <c r="BT78" s="340"/>
      <c r="BU78" s="340"/>
      <c r="BV78" s="340"/>
      <c r="BW78" s="340"/>
      <c r="BX78" s="251"/>
      <c r="BY78" s="345"/>
      <c r="BZ78" s="345"/>
      <c r="CA78" s="345"/>
      <c r="CB78" s="346"/>
      <c r="CC78" s="345"/>
      <c r="CD78" s="345"/>
      <c r="CE78" s="345"/>
      <c r="CF78" s="345"/>
      <c r="CG78" s="345"/>
      <c r="CH78" s="345"/>
      <c r="CI78" s="345"/>
      <c r="CJ78" s="346"/>
      <c r="CK78" s="346"/>
    </row>
    <row r="79">
      <c r="A79" s="821"/>
      <c r="B79" s="241" t="s">
        <v>155</v>
      </c>
      <c r="C79" s="237" t="s">
        <v>155</v>
      </c>
      <c r="D79" s="238" t="s">
        <v>155</v>
      </c>
      <c r="E79" s="239" t="s">
        <v>155</v>
      </c>
      <c r="F79" s="240" t="s">
        <v>155</v>
      </c>
      <c r="G79" s="241" t="s">
        <v>155</v>
      </c>
      <c r="H79" s="308"/>
      <c r="I79" s="308"/>
      <c r="J79" s="308"/>
      <c r="K79" s="308"/>
      <c r="L79" s="308"/>
      <c r="M79" s="308"/>
      <c r="N79" s="308"/>
      <c r="O79" s="308"/>
      <c r="P79" s="251"/>
      <c r="Q79" s="353"/>
      <c r="R79" s="353"/>
      <c r="S79" s="353"/>
      <c r="T79" s="353"/>
      <c r="U79" s="353"/>
      <c r="V79" s="353"/>
      <c r="W79" s="251"/>
      <c r="X79" s="318"/>
      <c r="Y79" s="318"/>
      <c r="Z79" s="318"/>
      <c r="AA79" s="617"/>
      <c r="AB79" s="318"/>
      <c r="AC79" s="318"/>
      <c r="AD79" s="318"/>
      <c r="AE79" s="318"/>
      <c r="AF79" s="318"/>
      <c r="AG79" s="318"/>
      <c r="AH79" s="267"/>
      <c r="AI79" s="251"/>
      <c r="AJ79" s="323"/>
      <c r="AK79" s="323"/>
      <c r="AL79" s="323"/>
      <c r="AM79" s="323"/>
      <c r="AN79" s="323"/>
      <c r="AO79" s="323"/>
      <c r="AP79" s="323"/>
      <c r="AQ79" s="323"/>
      <c r="AR79" s="323"/>
      <c r="AS79" s="323"/>
      <c r="AT79" s="323"/>
      <c r="AU79" s="323"/>
      <c r="AV79" s="323"/>
      <c r="AW79" s="323"/>
      <c r="AX79" s="323"/>
      <c r="AY79" s="323"/>
      <c r="AZ79" s="351"/>
      <c r="BA79" s="326"/>
      <c r="BB79" s="326"/>
      <c r="BC79" s="326"/>
      <c r="BD79" s="326"/>
      <c r="BE79" s="326"/>
      <c r="BF79" s="351"/>
      <c r="BG79" s="332"/>
      <c r="BH79" s="332"/>
      <c r="BI79" s="332"/>
      <c r="BJ79" s="332"/>
      <c r="BK79" s="332"/>
      <c r="BL79" s="332"/>
      <c r="BM79" s="332"/>
      <c r="BN79" s="251"/>
      <c r="BO79" s="340"/>
      <c r="BP79" s="337"/>
      <c r="BQ79" s="340"/>
      <c r="BR79" s="340"/>
      <c r="BS79" s="340"/>
      <c r="BT79" s="340"/>
      <c r="BU79" s="340"/>
      <c r="BV79" s="340"/>
      <c r="BW79" s="340"/>
      <c r="BX79" s="251"/>
      <c r="BY79" s="345"/>
      <c r="BZ79" s="345"/>
      <c r="CA79" s="345"/>
      <c r="CB79" s="346"/>
      <c r="CC79" s="345"/>
      <c r="CD79" s="345"/>
      <c r="CE79" s="345"/>
      <c r="CF79" s="345"/>
      <c r="CG79" s="345"/>
      <c r="CH79" s="345"/>
      <c r="CI79" s="345"/>
      <c r="CJ79" s="346"/>
      <c r="CK79" s="346"/>
    </row>
    <row r="80">
      <c r="A80" s="821"/>
      <c r="B80" s="241" t="s">
        <v>155</v>
      </c>
      <c r="C80" s="237" t="s">
        <v>155</v>
      </c>
      <c r="D80" s="238" t="s">
        <v>155</v>
      </c>
      <c r="E80" s="239" t="s">
        <v>155</v>
      </c>
      <c r="F80" s="240" t="s">
        <v>155</v>
      </c>
      <c r="G80" s="241" t="s">
        <v>155</v>
      </c>
      <c r="H80" s="308"/>
      <c r="I80" s="308"/>
      <c r="J80" s="308"/>
      <c r="K80" s="308"/>
      <c r="L80" s="308"/>
      <c r="M80" s="308"/>
      <c r="N80" s="308"/>
      <c r="O80" s="308"/>
      <c r="P80" s="251"/>
      <c r="Q80" s="353"/>
      <c r="R80" s="353"/>
      <c r="S80" s="353"/>
      <c r="T80" s="353"/>
      <c r="U80" s="353"/>
      <c r="V80" s="353"/>
      <c r="W80" s="251"/>
      <c r="X80" s="318"/>
      <c r="Y80" s="318"/>
      <c r="Z80" s="318"/>
      <c r="AA80" s="617"/>
      <c r="AB80" s="318"/>
      <c r="AC80" s="318"/>
      <c r="AD80" s="318"/>
      <c r="AE80" s="318"/>
      <c r="AF80" s="318"/>
      <c r="AG80" s="318"/>
      <c r="AH80" s="267"/>
      <c r="AI80" s="251"/>
      <c r="AJ80" s="323"/>
      <c r="AK80" s="323"/>
      <c r="AL80" s="323"/>
      <c r="AM80" s="323"/>
      <c r="AN80" s="323"/>
      <c r="AO80" s="323"/>
      <c r="AP80" s="323"/>
      <c r="AQ80" s="323"/>
      <c r="AR80" s="323"/>
      <c r="AS80" s="323"/>
      <c r="AT80" s="323"/>
      <c r="AU80" s="323"/>
      <c r="AV80" s="323"/>
      <c r="AW80" s="323"/>
      <c r="AX80" s="323"/>
      <c r="AY80" s="323"/>
      <c r="AZ80" s="351"/>
      <c r="BA80" s="326"/>
      <c r="BB80" s="326"/>
      <c r="BC80" s="326"/>
      <c r="BD80" s="326"/>
      <c r="BE80" s="326"/>
      <c r="BF80" s="351"/>
      <c r="BG80" s="332"/>
      <c r="BH80" s="332"/>
      <c r="BI80" s="332"/>
      <c r="BJ80" s="332"/>
      <c r="BK80" s="332"/>
      <c r="BL80" s="332"/>
      <c r="BM80" s="332"/>
      <c r="BN80" s="251"/>
      <c r="BO80" s="340"/>
      <c r="BP80" s="337"/>
      <c r="BQ80" s="340"/>
      <c r="BR80" s="340"/>
      <c r="BS80" s="340"/>
      <c r="BT80" s="340"/>
      <c r="BU80" s="340"/>
      <c r="BV80" s="340"/>
      <c r="BW80" s="340"/>
      <c r="BX80" s="251"/>
      <c r="BY80" s="345"/>
      <c r="BZ80" s="345"/>
      <c r="CA80" s="345"/>
      <c r="CB80" s="346"/>
      <c r="CC80" s="345"/>
      <c r="CD80" s="345"/>
      <c r="CE80" s="345"/>
      <c r="CF80" s="345"/>
      <c r="CG80" s="345"/>
      <c r="CH80" s="345"/>
      <c r="CI80" s="345"/>
      <c r="CJ80" s="346"/>
      <c r="CK80" s="346"/>
    </row>
    <row r="81">
      <c r="A81" s="821"/>
      <c r="B81" s="241" t="s">
        <v>155</v>
      </c>
      <c r="C81" s="237" t="s">
        <v>155</v>
      </c>
      <c r="D81" s="238" t="s">
        <v>155</v>
      </c>
      <c r="E81" s="239" t="s">
        <v>155</v>
      </c>
      <c r="F81" s="240" t="s">
        <v>155</v>
      </c>
      <c r="G81" s="241" t="s">
        <v>155</v>
      </c>
      <c r="H81" s="308"/>
      <c r="I81" s="308"/>
      <c r="J81" s="308"/>
      <c r="K81" s="308"/>
      <c r="L81" s="308"/>
      <c r="M81" s="308"/>
      <c r="N81" s="308"/>
      <c r="O81" s="308"/>
      <c r="P81" s="251"/>
      <c r="Q81" s="353"/>
      <c r="R81" s="353"/>
      <c r="S81" s="353"/>
      <c r="T81" s="353"/>
      <c r="U81" s="353"/>
      <c r="V81" s="353"/>
      <c r="W81" s="251"/>
      <c r="X81" s="318"/>
      <c r="Y81" s="318"/>
      <c r="Z81" s="318"/>
      <c r="AA81" s="617"/>
      <c r="AB81" s="318"/>
      <c r="AC81" s="318"/>
      <c r="AD81" s="318"/>
      <c r="AE81" s="318"/>
      <c r="AF81" s="318"/>
      <c r="AG81" s="318"/>
      <c r="AH81" s="267"/>
      <c r="AI81" s="251"/>
      <c r="AJ81" s="323"/>
      <c r="AK81" s="323"/>
      <c r="AL81" s="323"/>
      <c r="AM81" s="323"/>
      <c r="AN81" s="323"/>
      <c r="AO81" s="323"/>
      <c r="AP81" s="323"/>
      <c r="AQ81" s="323"/>
      <c r="AR81" s="323"/>
      <c r="AS81" s="323"/>
      <c r="AT81" s="323"/>
      <c r="AU81" s="323"/>
      <c r="AV81" s="323"/>
      <c r="AW81" s="323"/>
      <c r="AX81" s="323"/>
      <c r="AY81" s="323"/>
      <c r="AZ81" s="351"/>
      <c r="BA81" s="326"/>
      <c r="BB81" s="326"/>
      <c r="BC81" s="326"/>
      <c r="BD81" s="326"/>
      <c r="BE81" s="326"/>
      <c r="BF81" s="351"/>
      <c r="BG81" s="332"/>
      <c r="BH81" s="332"/>
      <c r="BI81" s="332"/>
      <c r="BJ81" s="332"/>
      <c r="BK81" s="332"/>
      <c r="BL81" s="332"/>
      <c r="BM81" s="332"/>
      <c r="BN81" s="251"/>
      <c r="BO81" s="340"/>
      <c r="BP81" s="337"/>
      <c r="BQ81" s="340"/>
      <c r="BR81" s="340"/>
      <c r="BS81" s="340"/>
      <c r="BT81" s="340"/>
      <c r="BU81" s="340"/>
      <c r="BV81" s="340"/>
      <c r="BW81" s="340"/>
      <c r="BX81" s="251"/>
      <c r="BY81" s="345"/>
      <c r="BZ81" s="345"/>
      <c r="CA81" s="345"/>
      <c r="CB81" s="346"/>
      <c r="CC81" s="345"/>
      <c r="CD81" s="345"/>
      <c r="CE81" s="345"/>
      <c r="CF81" s="345"/>
      <c r="CG81" s="345"/>
      <c r="CH81" s="345"/>
      <c r="CI81" s="345"/>
      <c r="CJ81" s="346"/>
      <c r="CK81" s="346"/>
    </row>
    <row r="82">
      <c r="A82" s="821"/>
      <c r="B82" s="241" t="s">
        <v>155</v>
      </c>
      <c r="C82" s="237" t="s">
        <v>155</v>
      </c>
      <c r="D82" s="238" t="s">
        <v>155</v>
      </c>
      <c r="E82" s="239" t="s">
        <v>155</v>
      </c>
      <c r="F82" s="240" t="s">
        <v>155</v>
      </c>
      <c r="G82" s="241" t="s">
        <v>155</v>
      </c>
      <c r="H82" s="308"/>
      <c r="I82" s="308"/>
      <c r="J82" s="308"/>
      <c r="K82" s="308"/>
      <c r="L82" s="308"/>
      <c r="M82" s="308"/>
      <c r="N82" s="308"/>
      <c r="O82" s="308"/>
      <c r="P82" s="251"/>
      <c r="Q82" s="353"/>
      <c r="R82" s="353"/>
      <c r="S82" s="353"/>
      <c r="T82" s="353"/>
      <c r="U82" s="353"/>
      <c r="V82" s="353"/>
      <c r="W82" s="251"/>
      <c r="X82" s="318"/>
      <c r="Y82" s="318"/>
      <c r="Z82" s="318"/>
      <c r="AA82" s="617"/>
      <c r="AB82" s="318"/>
      <c r="AC82" s="318"/>
      <c r="AD82" s="318"/>
      <c r="AE82" s="318"/>
      <c r="AF82" s="318"/>
      <c r="AG82" s="318"/>
      <c r="AH82" s="267"/>
      <c r="AI82" s="251"/>
      <c r="AJ82" s="323"/>
      <c r="AK82" s="323"/>
      <c r="AL82" s="323"/>
      <c r="AM82" s="323"/>
      <c r="AN82" s="323"/>
      <c r="AO82" s="323"/>
      <c r="AP82" s="323"/>
      <c r="AQ82" s="323"/>
      <c r="AR82" s="323"/>
      <c r="AS82" s="323"/>
      <c r="AT82" s="323"/>
      <c r="AU82" s="323"/>
      <c r="AV82" s="323"/>
      <c r="AW82" s="323"/>
      <c r="AX82" s="323"/>
      <c r="AY82" s="323"/>
      <c r="AZ82" s="351"/>
      <c r="BA82" s="326"/>
      <c r="BB82" s="326"/>
      <c r="BC82" s="326"/>
      <c r="BD82" s="326"/>
      <c r="BE82" s="326"/>
      <c r="BF82" s="351"/>
      <c r="BG82" s="332"/>
      <c r="BH82" s="332"/>
      <c r="BI82" s="332"/>
      <c r="BJ82" s="332"/>
      <c r="BK82" s="332"/>
      <c r="BL82" s="332"/>
      <c r="BM82" s="332"/>
      <c r="BN82" s="251"/>
      <c r="BO82" s="340"/>
      <c r="BP82" s="337"/>
      <c r="BQ82" s="340"/>
      <c r="BR82" s="340"/>
      <c r="BS82" s="340"/>
      <c r="BT82" s="340"/>
      <c r="BU82" s="340"/>
      <c r="BV82" s="340"/>
      <c r="BW82" s="340"/>
      <c r="BX82" s="251"/>
      <c r="BY82" s="345"/>
      <c r="BZ82" s="345"/>
      <c r="CA82" s="345"/>
      <c r="CB82" s="346"/>
      <c r="CC82" s="345"/>
      <c r="CD82" s="345"/>
      <c r="CE82" s="345"/>
      <c r="CF82" s="345"/>
      <c r="CG82" s="345"/>
      <c r="CH82" s="345"/>
      <c r="CI82" s="345"/>
      <c r="CJ82" s="346"/>
      <c r="CK82" s="346"/>
    </row>
    <row r="83">
      <c r="A83" s="821"/>
      <c r="B83" s="241" t="s">
        <v>155</v>
      </c>
      <c r="C83" s="237" t="s">
        <v>155</v>
      </c>
      <c r="D83" s="238" t="s">
        <v>155</v>
      </c>
      <c r="E83" s="239" t="s">
        <v>155</v>
      </c>
      <c r="F83" s="240" t="s">
        <v>155</v>
      </c>
      <c r="G83" s="241" t="s">
        <v>155</v>
      </c>
      <c r="H83" s="308"/>
      <c r="I83" s="308"/>
      <c r="J83" s="308"/>
      <c r="K83" s="308"/>
      <c r="L83" s="308"/>
      <c r="M83" s="308"/>
      <c r="N83" s="308"/>
      <c r="O83" s="308"/>
      <c r="P83" s="251"/>
      <c r="Q83" s="353"/>
      <c r="R83" s="353"/>
      <c r="S83" s="353"/>
      <c r="T83" s="353"/>
      <c r="U83" s="353"/>
      <c r="V83" s="353"/>
      <c r="W83" s="251"/>
      <c r="X83" s="318"/>
      <c r="Y83" s="318"/>
      <c r="Z83" s="318"/>
      <c r="AA83" s="617"/>
      <c r="AB83" s="318"/>
      <c r="AC83" s="318"/>
      <c r="AD83" s="318"/>
      <c r="AE83" s="318"/>
      <c r="AF83" s="318"/>
      <c r="AG83" s="318"/>
      <c r="AH83" s="267"/>
      <c r="AI83" s="251"/>
      <c r="AJ83" s="323"/>
      <c r="AK83" s="323"/>
      <c r="AL83" s="323"/>
      <c r="AM83" s="323"/>
      <c r="AN83" s="323"/>
      <c r="AO83" s="323"/>
      <c r="AP83" s="323"/>
      <c r="AQ83" s="323"/>
      <c r="AR83" s="323"/>
      <c r="AS83" s="323"/>
      <c r="AT83" s="323"/>
      <c r="AU83" s="323"/>
      <c r="AV83" s="323"/>
      <c r="AW83" s="323"/>
      <c r="AX83" s="323"/>
      <c r="AY83" s="323"/>
      <c r="AZ83" s="351"/>
      <c r="BA83" s="326"/>
      <c r="BB83" s="326"/>
      <c r="BC83" s="326"/>
      <c r="BD83" s="326"/>
      <c r="BE83" s="326"/>
      <c r="BF83" s="351"/>
      <c r="BG83" s="332"/>
      <c r="BH83" s="332"/>
      <c r="BI83" s="332"/>
      <c r="BJ83" s="332"/>
      <c r="BK83" s="332"/>
      <c r="BL83" s="332"/>
      <c r="BM83" s="332"/>
      <c r="BN83" s="251"/>
      <c r="BO83" s="340"/>
      <c r="BP83" s="337"/>
      <c r="BQ83" s="340"/>
      <c r="BR83" s="340"/>
      <c r="BS83" s="340"/>
      <c r="BT83" s="340"/>
      <c r="BU83" s="340"/>
      <c r="BV83" s="340"/>
      <c r="BW83" s="340"/>
      <c r="BX83" s="251"/>
      <c r="BY83" s="345"/>
      <c r="BZ83" s="345"/>
      <c r="CA83" s="345"/>
      <c r="CB83" s="346"/>
      <c r="CC83" s="345"/>
      <c r="CD83" s="345"/>
      <c r="CE83" s="345"/>
      <c r="CF83" s="345"/>
      <c r="CG83" s="345"/>
      <c r="CH83" s="345"/>
      <c r="CI83" s="345"/>
      <c r="CJ83" s="346"/>
      <c r="CK83" s="346"/>
    </row>
    <row r="84">
      <c r="A84" s="821"/>
      <c r="B84" s="241" t="s">
        <v>155</v>
      </c>
      <c r="C84" s="237" t="s">
        <v>155</v>
      </c>
      <c r="D84" s="238" t="s">
        <v>155</v>
      </c>
      <c r="E84" s="239" t="s">
        <v>155</v>
      </c>
      <c r="F84" s="240" t="s">
        <v>155</v>
      </c>
      <c r="G84" s="241" t="s">
        <v>155</v>
      </c>
      <c r="H84" s="308"/>
      <c r="I84" s="308"/>
      <c r="J84" s="308"/>
      <c r="K84" s="308"/>
      <c r="L84" s="308"/>
      <c r="M84" s="308"/>
      <c r="N84" s="308"/>
      <c r="O84" s="308"/>
      <c r="P84" s="251"/>
      <c r="Q84" s="353"/>
      <c r="R84" s="353"/>
      <c r="S84" s="353"/>
      <c r="T84" s="353"/>
      <c r="U84" s="353"/>
      <c r="V84" s="353"/>
      <c r="W84" s="251"/>
      <c r="X84" s="318"/>
      <c r="Y84" s="318"/>
      <c r="Z84" s="318"/>
      <c r="AA84" s="617"/>
      <c r="AB84" s="318"/>
      <c r="AC84" s="318"/>
      <c r="AD84" s="318"/>
      <c r="AE84" s="318"/>
      <c r="AF84" s="318"/>
      <c r="AG84" s="318"/>
      <c r="AH84" s="267"/>
      <c r="AI84" s="251"/>
      <c r="AJ84" s="323"/>
      <c r="AK84" s="323"/>
      <c r="AL84" s="323"/>
      <c r="AM84" s="323"/>
      <c r="AN84" s="323"/>
      <c r="AO84" s="323"/>
      <c r="AP84" s="323"/>
      <c r="AQ84" s="323"/>
      <c r="AR84" s="323"/>
      <c r="AS84" s="323"/>
      <c r="AT84" s="323"/>
      <c r="AU84" s="323"/>
      <c r="AV84" s="323"/>
      <c r="AW84" s="323"/>
      <c r="AX84" s="323"/>
      <c r="AY84" s="323"/>
      <c r="AZ84" s="351"/>
      <c r="BA84" s="326"/>
      <c r="BB84" s="326"/>
      <c r="BC84" s="326"/>
      <c r="BD84" s="326"/>
      <c r="BE84" s="326"/>
      <c r="BF84" s="351"/>
      <c r="BG84" s="332"/>
      <c r="BH84" s="332"/>
      <c r="BI84" s="332"/>
      <c r="BJ84" s="332"/>
      <c r="BK84" s="332"/>
      <c r="BL84" s="332"/>
      <c r="BM84" s="332"/>
      <c r="BN84" s="251"/>
      <c r="BO84" s="340"/>
      <c r="BP84" s="337"/>
      <c r="BQ84" s="340"/>
      <c r="BR84" s="340"/>
      <c r="BS84" s="340"/>
      <c r="BT84" s="340"/>
      <c r="BU84" s="340"/>
      <c r="BV84" s="340"/>
      <c r="BW84" s="340"/>
      <c r="BX84" s="251"/>
      <c r="BY84" s="345"/>
      <c r="BZ84" s="345"/>
      <c r="CA84" s="345"/>
      <c r="CB84" s="346"/>
      <c r="CC84" s="345"/>
      <c r="CD84" s="345"/>
      <c r="CE84" s="345"/>
      <c r="CF84" s="345"/>
      <c r="CG84" s="345"/>
      <c r="CH84" s="345"/>
      <c r="CI84" s="345"/>
      <c r="CJ84" s="346"/>
      <c r="CK84" s="346"/>
    </row>
    <row r="85">
      <c r="A85" s="821"/>
      <c r="B85" s="241" t="s">
        <v>155</v>
      </c>
      <c r="C85" s="237" t="s">
        <v>155</v>
      </c>
      <c r="D85" s="238" t="s">
        <v>155</v>
      </c>
      <c r="E85" s="239" t="s">
        <v>155</v>
      </c>
      <c r="F85" s="240" t="s">
        <v>155</v>
      </c>
      <c r="G85" s="241" t="s">
        <v>155</v>
      </c>
      <c r="H85" s="308"/>
      <c r="I85" s="308"/>
      <c r="J85" s="308"/>
      <c r="K85" s="308"/>
      <c r="L85" s="308"/>
      <c r="M85" s="308"/>
      <c r="N85" s="308"/>
      <c r="O85" s="308"/>
      <c r="P85" s="251"/>
      <c r="Q85" s="353"/>
      <c r="R85" s="353"/>
      <c r="S85" s="353"/>
      <c r="T85" s="353"/>
      <c r="U85" s="353"/>
      <c r="V85" s="353"/>
      <c r="W85" s="251"/>
      <c r="X85" s="318"/>
      <c r="Y85" s="318"/>
      <c r="Z85" s="318"/>
      <c r="AA85" s="617"/>
      <c r="AB85" s="318"/>
      <c r="AC85" s="318"/>
      <c r="AD85" s="318"/>
      <c r="AE85" s="318"/>
      <c r="AF85" s="318"/>
      <c r="AG85" s="318"/>
      <c r="AH85" s="267"/>
      <c r="AI85" s="251"/>
      <c r="AJ85" s="323"/>
      <c r="AK85" s="323"/>
      <c r="AL85" s="323"/>
      <c r="AM85" s="323"/>
      <c r="AN85" s="323"/>
      <c r="AO85" s="323"/>
      <c r="AP85" s="323"/>
      <c r="AQ85" s="323"/>
      <c r="AR85" s="323"/>
      <c r="AS85" s="323"/>
      <c r="AT85" s="323"/>
      <c r="AU85" s="323"/>
      <c r="AV85" s="323"/>
      <c r="AW85" s="323"/>
      <c r="AX85" s="323"/>
      <c r="AY85" s="323"/>
      <c r="AZ85" s="351"/>
      <c r="BA85" s="326"/>
      <c r="BB85" s="326"/>
      <c r="BC85" s="326"/>
      <c r="BD85" s="326"/>
      <c r="BE85" s="326"/>
      <c r="BF85" s="351"/>
      <c r="BG85" s="332"/>
      <c r="BH85" s="332"/>
      <c r="BI85" s="332"/>
      <c r="BJ85" s="332"/>
      <c r="BK85" s="332"/>
      <c r="BL85" s="332"/>
      <c r="BM85" s="332"/>
      <c r="BN85" s="251"/>
      <c r="BO85" s="340"/>
      <c r="BP85" s="337"/>
      <c r="BQ85" s="340"/>
      <c r="BR85" s="340"/>
      <c r="BS85" s="340"/>
      <c r="BT85" s="340"/>
      <c r="BU85" s="340"/>
      <c r="BV85" s="340"/>
      <c r="BW85" s="340"/>
      <c r="BX85" s="251"/>
      <c r="BY85" s="345"/>
      <c r="BZ85" s="345"/>
      <c r="CA85" s="345"/>
      <c r="CB85" s="346"/>
      <c r="CC85" s="345"/>
      <c r="CD85" s="345"/>
      <c r="CE85" s="345"/>
      <c r="CF85" s="345"/>
      <c r="CG85" s="345"/>
      <c r="CH85" s="345"/>
      <c r="CI85" s="345"/>
      <c r="CJ85" s="346"/>
      <c r="CK85" s="346"/>
    </row>
    <row r="86">
      <c r="A86" s="821"/>
      <c r="B86" s="241" t="s">
        <v>155</v>
      </c>
      <c r="C86" s="237" t="s">
        <v>155</v>
      </c>
      <c r="D86" s="238" t="s">
        <v>155</v>
      </c>
      <c r="E86" s="239" t="s">
        <v>155</v>
      </c>
      <c r="F86" s="240" t="s">
        <v>155</v>
      </c>
      <c r="G86" s="241" t="s">
        <v>155</v>
      </c>
      <c r="H86" s="308"/>
      <c r="I86" s="308"/>
      <c r="J86" s="308"/>
      <c r="K86" s="308"/>
      <c r="L86" s="308"/>
      <c r="M86" s="308"/>
      <c r="N86" s="308"/>
      <c r="O86" s="308"/>
      <c r="P86" s="251"/>
      <c r="Q86" s="353"/>
      <c r="R86" s="353"/>
      <c r="S86" s="353"/>
      <c r="T86" s="353"/>
      <c r="U86" s="353"/>
      <c r="V86" s="353"/>
      <c r="W86" s="251"/>
      <c r="X86" s="318"/>
      <c r="Y86" s="318"/>
      <c r="Z86" s="318"/>
      <c r="AA86" s="617"/>
      <c r="AB86" s="318"/>
      <c r="AC86" s="318"/>
      <c r="AD86" s="318"/>
      <c r="AE86" s="318"/>
      <c r="AF86" s="318"/>
      <c r="AG86" s="318"/>
      <c r="AH86" s="267"/>
      <c r="AI86" s="251"/>
      <c r="AJ86" s="323"/>
      <c r="AK86" s="323"/>
      <c r="AL86" s="323"/>
      <c r="AM86" s="323"/>
      <c r="AN86" s="323"/>
      <c r="AO86" s="323"/>
      <c r="AP86" s="323"/>
      <c r="AQ86" s="323"/>
      <c r="AR86" s="323"/>
      <c r="AS86" s="323"/>
      <c r="AT86" s="323"/>
      <c r="AU86" s="323"/>
      <c r="AV86" s="323"/>
      <c r="AW86" s="323"/>
      <c r="AX86" s="323"/>
      <c r="AY86" s="323"/>
      <c r="AZ86" s="351"/>
      <c r="BA86" s="326"/>
      <c r="BB86" s="326"/>
      <c r="BC86" s="326"/>
      <c r="BD86" s="326"/>
      <c r="BE86" s="326"/>
      <c r="BF86" s="351"/>
      <c r="BG86" s="332"/>
      <c r="BH86" s="332"/>
      <c r="BI86" s="332"/>
      <c r="BJ86" s="332"/>
      <c r="BK86" s="332"/>
      <c r="BL86" s="332"/>
      <c r="BM86" s="332"/>
      <c r="BN86" s="251"/>
      <c r="BO86" s="340"/>
      <c r="BP86" s="337"/>
      <c r="BQ86" s="340"/>
      <c r="BR86" s="340"/>
      <c r="BS86" s="340"/>
      <c r="BT86" s="340"/>
      <c r="BU86" s="340"/>
      <c r="BV86" s="340"/>
      <c r="BW86" s="340"/>
      <c r="BX86" s="251"/>
      <c r="BY86" s="345"/>
      <c r="BZ86" s="345"/>
      <c r="CA86" s="345"/>
      <c r="CB86" s="346"/>
      <c r="CC86" s="345"/>
      <c r="CD86" s="345"/>
      <c r="CE86" s="345"/>
      <c r="CF86" s="345"/>
      <c r="CG86" s="345"/>
      <c r="CH86" s="345"/>
      <c r="CI86" s="345"/>
      <c r="CJ86" s="346"/>
      <c r="CK86" s="346"/>
    </row>
    <row r="87">
      <c r="A87" s="821"/>
      <c r="B87" s="241" t="s">
        <v>155</v>
      </c>
      <c r="C87" s="237" t="s">
        <v>155</v>
      </c>
      <c r="D87" s="238" t="s">
        <v>155</v>
      </c>
      <c r="E87" s="239" t="s">
        <v>155</v>
      </c>
      <c r="F87" s="240" t="s">
        <v>155</v>
      </c>
      <c r="G87" s="241" t="s">
        <v>155</v>
      </c>
      <c r="H87" s="308"/>
      <c r="I87" s="308"/>
      <c r="J87" s="308"/>
      <c r="K87" s="308"/>
      <c r="L87" s="308"/>
      <c r="M87" s="308"/>
      <c r="N87" s="308"/>
      <c r="O87" s="308"/>
      <c r="P87" s="251"/>
      <c r="Q87" s="353"/>
      <c r="R87" s="353"/>
      <c r="S87" s="353"/>
      <c r="T87" s="353"/>
      <c r="U87" s="353"/>
      <c r="V87" s="353"/>
      <c r="W87" s="251"/>
      <c r="X87" s="318"/>
      <c r="Y87" s="318"/>
      <c r="Z87" s="318"/>
      <c r="AA87" s="617"/>
      <c r="AB87" s="318"/>
      <c r="AC87" s="318"/>
      <c r="AD87" s="318"/>
      <c r="AE87" s="318"/>
      <c r="AF87" s="318"/>
      <c r="AG87" s="318"/>
      <c r="AH87" s="267"/>
      <c r="AI87" s="251"/>
      <c r="AJ87" s="323"/>
      <c r="AK87" s="323"/>
      <c r="AL87" s="323"/>
      <c r="AM87" s="323"/>
      <c r="AN87" s="323"/>
      <c r="AO87" s="323"/>
      <c r="AP87" s="323"/>
      <c r="AQ87" s="323"/>
      <c r="AR87" s="323"/>
      <c r="AS87" s="323"/>
      <c r="AT87" s="323"/>
      <c r="AU87" s="323"/>
      <c r="AV87" s="323"/>
      <c r="AW87" s="323"/>
      <c r="AX87" s="323"/>
      <c r="AY87" s="323"/>
      <c r="AZ87" s="351"/>
      <c r="BA87" s="326"/>
      <c r="BB87" s="326"/>
      <c r="BC87" s="326"/>
      <c r="BD87" s="326"/>
      <c r="BE87" s="326"/>
      <c r="BF87" s="351"/>
      <c r="BG87" s="332"/>
      <c r="BH87" s="332"/>
      <c r="BI87" s="332"/>
      <c r="BJ87" s="332"/>
      <c r="BK87" s="332"/>
      <c r="BL87" s="332"/>
      <c r="BM87" s="332"/>
      <c r="BN87" s="251"/>
      <c r="BO87" s="340"/>
      <c r="BP87" s="337"/>
      <c r="BQ87" s="340"/>
      <c r="BR87" s="340"/>
      <c r="BS87" s="340"/>
      <c r="BT87" s="340"/>
      <c r="BU87" s="340"/>
      <c r="BV87" s="340"/>
      <c r="BW87" s="340"/>
      <c r="BX87" s="251"/>
      <c r="BY87" s="345"/>
      <c r="BZ87" s="345"/>
      <c r="CA87" s="345"/>
      <c r="CB87" s="346"/>
      <c r="CC87" s="345"/>
      <c r="CD87" s="345"/>
      <c r="CE87" s="345"/>
      <c r="CF87" s="345"/>
      <c r="CG87" s="345"/>
      <c r="CH87" s="345"/>
      <c r="CI87" s="345"/>
      <c r="CJ87" s="346"/>
      <c r="CK87" s="346"/>
    </row>
    <row r="88">
      <c r="A88" s="821"/>
      <c r="B88" s="241" t="s">
        <v>155</v>
      </c>
      <c r="C88" s="237" t="s">
        <v>155</v>
      </c>
      <c r="D88" s="238" t="s">
        <v>155</v>
      </c>
      <c r="E88" s="239" t="s">
        <v>155</v>
      </c>
      <c r="F88" s="240" t="s">
        <v>155</v>
      </c>
      <c r="G88" s="241" t="s">
        <v>155</v>
      </c>
      <c r="H88" s="308"/>
      <c r="I88" s="308"/>
      <c r="J88" s="308"/>
      <c r="K88" s="308"/>
      <c r="L88" s="308"/>
      <c r="M88" s="308"/>
      <c r="N88" s="308"/>
      <c r="O88" s="308"/>
      <c r="P88" s="251"/>
      <c r="Q88" s="353"/>
      <c r="R88" s="353"/>
      <c r="S88" s="353"/>
      <c r="T88" s="353"/>
      <c r="U88" s="353"/>
      <c r="V88" s="353"/>
      <c r="W88" s="251"/>
      <c r="X88" s="318"/>
      <c r="Y88" s="318"/>
      <c r="Z88" s="318"/>
      <c r="AA88" s="617"/>
      <c r="AB88" s="318"/>
      <c r="AC88" s="318"/>
      <c r="AD88" s="318"/>
      <c r="AE88" s="318"/>
      <c r="AF88" s="318"/>
      <c r="AG88" s="318"/>
      <c r="AH88" s="267"/>
      <c r="AI88" s="251"/>
      <c r="AJ88" s="323"/>
      <c r="AK88" s="323"/>
      <c r="AL88" s="323"/>
      <c r="AM88" s="323"/>
      <c r="AN88" s="323"/>
      <c r="AO88" s="323"/>
      <c r="AP88" s="323"/>
      <c r="AQ88" s="323"/>
      <c r="AR88" s="323"/>
      <c r="AS88" s="323"/>
      <c r="AT88" s="323"/>
      <c r="AU88" s="323"/>
      <c r="AV88" s="323"/>
      <c r="AW88" s="323"/>
      <c r="AX88" s="323"/>
      <c r="AY88" s="323"/>
      <c r="AZ88" s="351"/>
      <c r="BA88" s="326"/>
      <c r="BB88" s="326"/>
      <c r="BC88" s="326"/>
      <c r="BD88" s="326"/>
      <c r="BE88" s="326"/>
      <c r="BF88" s="351"/>
      <c r="BG88" s="332"/>
      <c r="BH88" s="332"/>
      <c r="BI88" s="332"/>
      <c r="BJ88" s="332"/>
      <c r="BK88" s="332"/>
      <c r="BL88" s="332"/>
      <c r="BM88" s="332"/>
      <c r="BN88" s="251"/>
      <c r="BO88" s="340"/>
      <c r="BP88" s="337"/>
      <c r="BQ88" s="340"/>
      <c r="BR88" s="340"/>
      <c r="BS88" s="340"/>
      <c r="BT88" s="340"/>
      <c r="BU88" s="340"/>
      <c r="BV88" s="340"/>
      <c r="BW88" s="340"/>
      <c r="BX88" s="251"/>
      <c r="BY88" s="345"/>
      <c r="BZ88" s="345"/>
      <c r="CA88" s="345"/>
      <c r="CB88" s="346"/>
      <c r="CC88" s="345"/>
      <c r="CD88" s="345"/>
      <c r="CE88" s="345"/>
      <c r="CF88" s="345"/>
      <c r="CG88" s="345"/>
      <c r="CH88" s="345"/>
      <c r="CI88" s="345"/>
      <c r="CJ88" s="346"/>
      <c r="CK88" s="346"/>
    </row>
    <row r="89">
      <c r="A89" s="821"/>
      <c r="B89" s="241" t="s">
        <v>155</v>
      </c>
      <c r="C89" s="237" t="s">
        <v>155</v>
      </c>
      <c r="D89" s="238" t="s">
        <v>155</v>
      </c>
      <c r="E89" s="239" t="s">
        <v>155</v>
      </c>
      <c r="F89" s="240" t="s">
        <v>155</v>
      </c>
      <c r="G89" s="241" t="s">
        <v>155</v>
      </c>
      <c r="H89" s="308"/>
      <c r="I89" s="308"/>
      <c r="J89" s="308"/>
      <c r="K89" s="308"/>
      <c r="L89" s="308"/>
      <c r="M89" s="308"/>
      <c r="N89" s="308"/>
      <c r="O89" s="308"/>
      <c r="P89" s="251"/>
      <c r="Q89" s="353"/>
      <c r="R89" s="353"/>
      <c r="S89" s="353"/>
      <c r="T89" s="353"/>
      <c r="U89" s="353"/>
      <c r="V89" s="353"/>
      <c r="W89" s="251"/>
      <c r="X89" s="318"/>
      <c r="Y89" s="318"/>
      <c r="Z89" s="318"/>
      <c r="AA89" s="617"/>
      <c r="AB89" s="318"/>
      <c r="AC89" s="318"/>
      <c r="AD89" s="318"/>
      <c r="AE89" s="318"/>
      <c r="AF89" s="318"/>
      <c r="AG89" s="318"/>
      <c r="AH89" s="267"/>
      <c r="AI89" s="251"/>
      <c r="AJ89" s="323"/>
      <c r="AK89" s="323"/>
      <c r="AL89" s="323"/>
      <c r="AM89" s="323"/>
      <c r="AN89" s="323"/>
      <c r="AO89" s="323"/>
      <c r="AP89" s="323"/>
      <c r="AQ89" s="323"/>
      <c r="AR89" s="323"/>
      <c r="AS89" s="323"/>
      <c r="AT89" s="323"/>
      <c r="AU89" s="323"/>
      <c r="AV89" s="323"/>
      <c r="AW89" s="323"/>
      <c r="AX89" s="323"/>
      <c r="AY89" s="323"/>
      <c r="AZ89" s="351"/>
      <c r="BA89" s="326"/>
      <c r="BB89" s="326"/>
      <c r="BC89" s="326"/>
      <c r="BD89" s="326"/>
      <c r="BE89" s="326"/>
      <c r="BF89" s="351"/>
      <c r="BG89" s="332"/>
      <c r="BH89" s="332"/>
      <c r="BI89" s="332"/>
      <c r="BJ89" s="332"/>
      <c r="BK89" s="332"/>
      <c r="BL89" s="332"/>
      <c r="BM89" s="332"/>
      <c r="BN89" s="251"/>
      <c r="BO89" s="340"/>
      <c r="BP89" s="337"/>
      <c r="BQ89" s="340"/>
      <c r="BR89" s="340"/>
      <c r="BS89" s="340"/>
      <c r="BT89" s="340"/>
      <c r="BU89" s="340"/>
      <c r="BV89" s="340"/>
      <c r="BW89" s="340"/>
      <c r="BX89" s="251"/>
      <c r="BY89" s="345"/>
      <c r="BZ89" s="345"/>
      <c r="CA89" s="345"/>
      <c r="CB89" s="346"/>
      <c r="CC89" s="345"/>
      <c r="CD89" s="345"/>
      <c r="CE89" s="345"/>
      <c r="CF89" s="345"/>
      <c r="CG89" s="345"/>
      <c r="CH89" s="345"/>
      <c r="CI89" s="345"/>
      <c r="CJ89" s="346"/>
      <c r="CK89" s="346"/>
    </row>
    <row r="90">
      <c r="A90" s="821"/>
      <c r="B90" s="241" t="s">
        <v>155</v>
      </c>
      <c r="C90" s="237" t="s">
        <v>155</v>
      </c>
      <c r="D90" s="238" t="s">
        <v>155</v>
      </c>
      <c r="E90" s="239" t="s">
        <v>155</v>
      </c>
      <c r="F90" s="240" t="s">
        <v>155</v>
      </c>
      <c r="G90" s="241" t="s">
        <v>155</v>
      </c>
      <c r="H90" s="308"/>
      <c r="I90" s="308"/>
      <c r="J90" s="308"/>
      <c r="K90" s="308"/>
      <c r="L90" s="308"/>
      <c r="M90" s="308"/>
      <c r="N90" s="308"/>
      <c r="O90" s="308"/>
      <c r="P90" s="251"/>
      <c r="Q90" s="353"/>
      <c r="R90" s="353"/>
      <c r="S90" s="353"/>
      <c r="T90" s="353"/>
      <c r="U90" s="353"/>
      <c r="V90" s="353"/>
      <c r="W90" s="251"/>
      <c r="X90" s="318"/>
      <c r="Y90" s="318"/>
      <c r="Z90" s="318"/>
      <c r="AA90" s="617"/>
      <c r="AB90" s="318"/>
      <c r="AC90" s="318"/>
      <c r="AD90" s="318"/>
      <c r="AE90" s="318"/>
      <c r="AF90" s="318"/>
      <c r="AG90" s="318"/>
      <c r="AH90" s="267"/>
      <c r="AI90" s="251"/>
      <c r="AJ90" s="323"/>
      <c r="AK90" s="323"/>
      <c r="AL90" s="323"/>
      <c r="AM90" s="323"/>
      <c r="AN90" s="323"/>
      <c r="AO90" s="323"/>
      <c r="AP90" s="323"/>
      <c r="AQ90" s="323"/>
      <c r="AR90" s="323"/>
      <c r="AS90" s="323"/>
      <c r="AT90" s="323"/>
      <c r="AU90" s="323"/>
      <c r="AV90" s="323"/>
      <c r="AW90" s="323"/>
      <c r="AX90" s="323"/>
      <c r="AY90" s="323"/>
      <c r="AZ90" s="351"/>
      <c r="BA90" s="326"/>
      <c r="BB90" s="326"/>
      <c r="BC90" s="326"/>
      <c r="BD90" s="326"/>
      <c r="BE90" s="326"/>
      <c r="BF90" s="351"/>
      <c r="BG90" s="332"/>
      <c r="BH90" s="332"/>
      <c r="BI90" s="332"/>
      <c r="BJ90" s="332"/>
      <c r="BK90" s="332"/>
      <c r="BL90" s="332"/>
      <c r="BM90" s="332"/>
      <c r="BN90" s="251"/>
      <c r="BO90" s="340"/>
      <c r="BP90" s="337"/>
      <c r="BQ90" s="340"/>
      <c r="BR90" s="340"/>
      <c r="BS90" s="340"/>
      <c r="BT90" s="340"/>
      <c r="BU90" s="340"/>
      <c r="BV90" s="340"/>
      <c r="BW90" s="340"/>
      <c r="BX90" s="251"/>
      <c r="BY90" s="345"/>
      <c r="BZ90" s="345"/>
      <c r="CA90" s="345"/>
      <c r="CB90" s="346"/>
      <c r="CC90" s="345"/>
      <c r="CD90" s="345"/>
      <c r="CE90" s="345"/>
      <c r="CF90" s="345"/>
      <c r="CG90" s="345"/>
      <c r="CH90" s="345"/>
      <c r="CI90" s="345"/>
      <c r="CJ90" s="346"/>
      <c r="CK90" s="346"/>
    </row>
    <row r="91">
      <c r="A91" s="821"/>
      <c r="B91" s="241" t="s">
        <v>155</v>
      </c>
      <c r="C91" s="237" t="s">
        <v>155</v>
      </c>
      <c r="D91" s="238" t="s">
        <v>155</v>
      </c>
      <c r="E91" s="239" t="s">
        <v>155</v>
      </c>
      <c r="F91" s="240" t="s">
        <v>155</v>
      </c>
      <c r="G91" s="241" t="s">
        <v>155</v>
      </c>
      <c r="H91" s="308"/>
      <c r="I91" s="308"/>
      <c r="J91" s="308"/>
      <c r="K91" s="308"/>
      <c r="L91" s="308"/>
      <c r="M91" s="308"/>
      <c r="N91" s="308"/>
      <c r="O91" s="308"/>
      <c r="P91" s="251"/>
      <c r="Q91" s="353"/>
      <c r="R91" s="353"/>
      <c r="S91" s="353"/>
      <c r="T91" s="353"/>
      <c r="U91" s="353"/>
      <c r="V91" s="353"/>
      <c r="W91" s="251"/>
      <c r="X91" s="318"/>
      <c r="Y91" s="318"/>
      <c r="Z91" s="318"/>
      <c r="AA91" s="617"/>
      <c r="AB91" s="318"/>
      <c r="AC91" s="318"/>
      <c r="AD91" s="318"/>
      <c r="AE91" s="318"/>
      <c r="AF91" s="318"/>
      <c r="AG91" s="318"/>
      <c r="AH91" s="267"/>
      <c r="AI91" s="251"/>
      <c r="AJ91" s="323"/>
      <c r="AK91" s="323"/>
      <c r="AL91" s="323"/>
      <c r="AM91" s="323"/>
      <c r="AN91" s="323"/>
      <c r="AO91" s="323"/>
      <c r="AP91" s="323"/>
      <c r="AQ91" s="323"/>
      <c r="AR91" s="323"/>
      <c r="AS91" s="323"/>
      <c r="AT91" s="323"/>
      <c r="AU91" s="323"/>
      <c r="AV91" s="323"/>
      <c r="AW91" s="323"/>
      <c r="AX91" s="323"/>
      <c r="AY91" s="323"/>
      <c r="AZ91" s="351"/>
      <c r="BA91" s="326"/>
      <c r="BB91" s="326"/>
      <c r="BC91" s="326"/>
      <c r="BD91" s="326"/>
      <c r="BE91" s="326"/>
      <c r="BF91" s="351"/>
      <c r="BG91" s="332"/>
      <c r="BH91" s="332"/>
      <c r="BI91" s="332"/>
      <c r="BJ91" s="332"/>
      <c r="BK91" s="332"/>
      <c r="BL91" s="332"/>
      <c r="BM91" s="332"/>
      <c r="BN91" s="251"/>
      <c r="BO91" s="340"/>
      <c r="BP91" s="337"/>
      <c r="BQ91" s="340"/>
      <c r="BR91" s="340"/>
      <c r="BS91" s="340"/>
      <c r="BT91" s="340"/>
      <c r="BU91" s="340"/>
      <c r="BV91" s="340"/>
      <c r="BW91" s="340"/>
      <c r="BX91" s="251"/>
      <c r="BY91" s="345"/>
      <c r="BZ91" s="345"/>
      <c r="CA91" s="345"/>
      <c r="CB91" s="346"/>
      <c r="CC91" s="345"/>
      <c r="CD91" s="345"/>
      <c r="CE91" s="345"/>
      <c r="CF91" s="345"/>
      <c r="CG91" s="345"/>
      <c r="CH91" s="345"/>
      <c r="CI91" s="345"/>
      <c r="CJ91" s="346"/>
      <c r="CK91" s="346"/>
    </row>
    <row r="92">
      <c r="A92" s="821"/>
      <c r="B92" s="241" t="s">
        <v>155</v>
      </c>
      <c r="C92" s="237" t="s">
        <v>155</v>
      </c>
      <c r="D92" s="238" t="s">
        <v>155</v>
      </c>
      <c r="E92" s="239" t="s">
        <v>155</v>
      </c>
      <c r="F92" s="240" t="s">
        <v>155</v>
      </c>
      <c r="G92" s="241" t="s">
        <v>155</v>
      </c>
      <c r="H92" s="308"/>
      <c r="I92" s="308"/>
      <c r="J92" s="308"/>
      <c r="K92" s="308"/>
      <c r="L92" s="308"/>
      <c r="M92" s="308"/>
      <c r="N92" s="308"/>
      <c r="O92" s="308"/>
      <c r="P92" s="251"/>
      <c r="Q92" s="353"/>
      <c r="R92" s="353"/>
      <c r="S92" s="353"/>
      <c r="T92" s="353"/>
      <c r="U92" s="353"/>
      <c r="V92" s="353"/>
      <c r="W92" s="251"/>
      <c r="X92" s="318"/>
      <c r="Y92" s="318"/>
      <c r="Z92" s="318"/>
      <c r="AA92" s="617"/>
      <c r="AB92" s="318"/>
      <c r="AC92" s="318"/>
      <c r="AD92" s="318"/>
      <c r="AE92" s="318"/>
      <c r="AF92" s="318"/>
      <c r="AG92" s="318"/>
      <c r="AH92" s="267"/>
      <c r="AI92" s="251"/>
      <c r="AJ92" s="323"/>
      <c r="AK92" s="323"/>
      <c r="AL92" s="323"/>
      <c r="AM92" s="323"/>
      <c r="AN92" s="323"/>
      <c r="AO92" s="323"/>
      <c r="AP92" s="323"/>
      <c r="AQ92" s="323"/>
      <c r="AR92" s="323"/>
      <c r="AS92" s="323"/>
      <c r="AT92" s="323"/>
      <c r="AU92" s="323"/>
      <c r="AV92" s="323"/>
      <c r="AW92" s="323"/>
      <c r="AX92" s="323"/>
      <c r="AY92" s="323"/>
      <c r="AZ92" s="351"/>
      <c r="BA92" s="326"/>
      <c r="BB92" s="326"/>
      <c r="BC92" s="326"/>
      <c r="BD92" s="326"/>
      <c r="BE92" s="326"/>
      <c r="BF92" s="351"/>
      <c r="BG92" s="332"/>
      <c r="BH92" s="332"/>
      <c r="BI92" s="332"/>
      <c r="BJ92" s="332"/>
      <c r="BK92" s="332"/>
      <c r="BL92" s="332"/>
      <c r="BM92" s="332"/>
      <c r="BN92" s="251"/>
      <c r="BO92" s="340"/>
      <c r="BP92" s="337"/>
      <c r="BQ92" s="340"/>
      <c r="BR92" s="340"/>
      <c r="BS92" s="340"/>
      <c r="BT92" s="340"/>
      <c r="BU92" s="340"/>
      <c r="BV92" s="340"/>
      <c r="BW92" s="340"/>
      <c r="BX92" s="251"/>
      <c r="BY92" s="345"/>
      <c r="BZ92" s="345"/>
      <c r="CA92" s="345"/>
      <c r="CB92" s="346"/>
      <c r="CC92" s="345"/>
      <c r="CD92" s="345"/>
      <c r="CE92" s="345"/>
      <c r="CF92" s="345"/>
      <c r="CG92" s="345"/>
      <c r="CH92" s="345"/>
      <c r="CI92" s="345"/>
      <c r="CJ92" s="346"/>
      <c r="CK92" s="346"/>
    </row>
    <row r="93">
      <c r="A93" s="821"/>
      <c r="B93" s="241" t="s">
        <v>155</v>
      </c>
      <c r="C93" s="237" t="s">
        <v>155</v>
      </c>
      <c r="D93" s="238" t="s">
        <v>155</v>
      </c>
      <c r="E93" s="239" t="s">
        <v>155</v>
      </c>
      <c r="F93" s="240" t="s">
        <v>155</v>
      </c>
      <c r="G93" s="241" t="s">
        <v>155</v>
      </c>
      <c r="H93" s="308"/>
      <c r="I93" s="308"/>
      <c r="J93" s="308"/>
      <c r="K93" s="308"/>
      <c r="L93" s="308"/>
      <c r="M93" s="308"/>
      <c r="N93" s="308"/>
      <c r="O93" s="308"/>
      <c r="P93" s="251"/>
      <c r="Q93" s="353"/>
      <c r="R93" s="353"/>
      <c r="S93" s="353"/>
      <c r="T93" s="353"/>
      <c r="U93" s="353"/>
      <c r="V93" s="353"/>
      <c r="W93" s="251"/>
      <c r="X93" s="318"/>
      <c r="Y93" s="318"/>
      <c r="Z93" s="318"/>
      <c r="AA93" s="617"/>
      <c r="AB93" s="318"/>
      <c r="AC93" s="318"/>
      <c r="AD93" s="318"/>
      <c r="AE93" s="318"/>
      <c r="AF93" s="318"/>
      <c r="AG93" s="318"/>
      <c r="AH93" s="267"/>
      <c r="AI93" s="251"/>
      <c r="AJ93" s="323"/>
      <c r="AK93" s="323"/>
      <c r="AL93" s="323"/>
      <c r="AM93" s="323"/>
      <c r="AN93" s="323"/>
      <c r="AO93" s="323"/>
      <c r="AP93" s="323"/>
      <c r="AQ93" s="323"/>
      <c r="AR93" s="323"/>
      <c r="AS93" s="323"/>
      <c r="AT93" s="323"/>
      <c r="AU93" s="323"/>
      <c r="AV93" s="323"/>
      <c r="AW93" s="323"/>
      <c r="AX93" s="323"/>
      <c r="AY93" s="323"/>
      <c r="AZ93" s="351"/>
      <c r="BA93" s="326"/>
      <c r="BB93" s="326"/>
      <c r="BC93" s="326"/>
      <c r="BD93" s="326"/>
      <c r="BE93" s="326"/>
      <c r="BF93" s="351"/>
      <c r="BG93" s="332"/>
      <c r="BH93" s="332"/>
      <c r="BI93" s="332"/>
      <c r="BJ93" s="332"/>
      <c r="BK93" s="332"/>
      <c r="BL93" s="332"/>
      <c r="BM93" s="332"/>
      <c r="BN93" s="251"/>
      <c r="BO93" s="340"/>
      <c r="BP93" s="337"/>
      <c r="BQ93" s="340"/>
      <c r="BR93" s="340"/>
      <c r="BS93" s="340"/>
      <c r="BT93" s="340"/>
      <c r="BU93" s="340"/>
      <c r="BV93" s="340"/>
      <c r="BW93" s="340"/>
      <c r="BX93" s="251"/>
      <c r="BY93" s="345"/>
      <c r="BZ93" s="345"/>
      <c r="CA93" s="345"/>
      <c r="CB93" s="346"/>
      <c r="CC93" s="345"/>
      <c r="CD93" s="345"/>
      <c r="CE93" s="345"/>
      <c r="CF93" s="345"/>
      <c r="CG93" s="345"/>
      <c r="CH93" s="345"/>
      <c r="CI93" s="345"/>
      <c r="CJ93" s="346"/>
      <c r="CK93" s="346"/>
    </row>
    <row r="94">
      <c r="A94" s="821"/>
      <c r="B94" s="241" t="s">
        <v>155</v>
      </c>
      <c r="C94" s="237" t="s">
        <v>155</v>
      </c>
      <c r="D94" s="238" t="s">
        <v>155</v>
      </c>
      <c r="E94" s="239" t="s">
        <v>155</v>
      </c>
      <c r="F94" s="240" t="s">
        <v>155</v>
      </c>
      <c r="G94" s="241" t="s">
        <v>155</v>
      </c>
      <c r="H94" s="308"/>
      <c r="I94" s="308"/>
      <c r="J94" s="308"/>
      <c r="K94" s="308"/>
      <c r="L94" s="308"/>
      <c r="M94" s="308"/>
      <c r="N94" s="308"/>
      <c r="O94" s="308"/>
      <c r="P94" s="251"/>
      <c r="Q94" s="353"/>
      <c r="R94" s="353"/>
      <c r="S94" s="353"/>
      <c r="T94" s="353"/>
      <c r="U94" s="353"/>
      <c r="V94" s="353"/>
      <c r="W94" s="251"/>
      <c r="X94" s="318"/>
      <c r="Y94" s="318"/>
      <c r="Z94" s="318"/>
      <c r="AA94" s="617"/>
      <c r="AB94" s="318"/>
      <c r="AC94" s="318"/>
      <c r="AD94" s="318"/>
      <c r="AE94" s="318"/>
      <c r="AF94" s="318"/>
      <c r="AG94" s="318"/>
      <c r="AH94" s="267"/>
      <c r="AI94" s="251"/>
      <c r="AJ94" s="323"/>
      <c r="AK94" s="323"/>
      <c r="AL94" s="323"/>
      <c r="AM94" s="323"/>
      <c r="AN94" s="323"/>
      <c r="AO94" s="323"/>
      <c r="AP94" s="323"/>
      <c r="AQ94" s="323"/>
      <c r="AR94" s="323"/>
      <c r="AS94" s="323"/>
      <c r="AT94" s="323"/>
      <c r="AU94" s="323"/>
      <c r="AV94" s="323"/>
      <c r="AW94" s="323"/>
      <c r="AX94" s="323"/>
      <c r="AY94" s="323"/>
      <c r="AZ94" s="351"/>
      <c r="BA94" s="326"/>
      <c r="BB94" s="326"/>
      <c r="BC94" s="326"/>
      <c r="BD94" s="326"/>
      <c r="BE94" s="326"/>
      <c r="BF94" s="351"/>
      <c r="BG94" s="332"/>
      <c r="BH94" s="332"/>
      <c r="BI94" s="332"/>
      <c r="BJ94" s="332"/>
      <c r="BK94" s="332"/>
      <c r="BL94" s="332"/>
      <c r="BM94" s="332"/>
      <c r="BN94" s="251"/>
      <c r="BO94" s="340"/>
      <c r="BP94" s="337"/>
      <c r="BQ94" s="340"/>
      <c r="BR94" s="340"/>
      <c r="BS94" s="340"/>
      <c r="BT94" s="340"/>
      <c r="BU94" s="340"/>
      <c r="BV94" s="340"/>
      <c r="BW94" s="340"/>
      <c r="BX94" s="251"/>
      <c r="BY94" s="345"/>
      <c r="BZ94" s="345"/>
      <c r="CA94" s="345"/>
      <c r="CB94" s="346"/>
      <c r="CC94" s="345"/>
      <c r="CD94" s="345"/>
      <c r="CE94" s="345"/>
      <c r="CF94" s="345"/>
      <c r="CG94" s="345"/>
      <c r="CH94" s="345"/>
      <c r="CI94" s="345"/>
      <c r="CJ94" s="346"/>
      <c r="CK94" s="346"/>
    </row>
    <row r="95">
      <c r="A95" s="821"/>
      <c r="B95" s="241" t="s">
        <v>155</v>
      </c>
      <c r="C95" s="237" t="s">
        <v>155</v>
      </c>
      <c r="D95" s="238" t="s">
        <v>155</v>
      </c>
      <c r="E95" s="239" t="s">
        <v>155</v>
      </c>
      <c r="F95" s="240" t="s">
        <v>155</v>
      </c>
      <c r="G95" s="241" t="s">
        <v>155</v>
      </c>
      <c r="H95" s="308"/>
      <c r="I95" s="308"/>
      <c r="J95" s="308"/>
      <c r="K95" s="308"/>
      <c r="L95" s="308"/>
      <c r="M95" s="308"/>
      <c r="N95" s="308"/>
      <c r="O95" s="308"/>
      <c r="P95" s="251"/>
      <c r="Q95" s="353"/>
      <c r="R95" s="353"/>
      <c r="S95" s="353"/>
      <c r="T95" s="353"/>
      <c r="U95" s="353"/>
      <c r="V95" s="353"/>
      <c r="W95" s="251"/>
      <c r="X95" s="318"/>
      <c r="Y95" s="318"/>
      <c r="Z95" s="318"/>
      <c r="AA95" s="617"/>
      <c r="AB95" s="318"/>
      <c r="AC95" s="318"/>
      <c r="AD95" s="318"/>
      <c r="AE95" s="318"/>
      <c r="AF95" s="318"/>
      <c r="AG95" s="318"/>
      <c r="AH95" s="267"/>
      <c r="AI95" s="251"/>
      <c r="AJ95" s="323"/>
      <c r="AK95" s="323"/>
      <c r="AL95" s="323"/>
      <c r="AM95" s="323"/>
      <c r="AN95" s="323"/>
      <c r="AO95" s="323"/>
      <c r="AP95" s="323"/>
      <c r="AQ95" s="323"/>
      <c r="AR95" s="323"/>
      <c r="AS95" s="323"/>
      <c r="AT95" s="323"/>
      <c r="AU95" s="323"/>
      <c r="AV95" s="323"/>
      <c r="AW95" s="323"/>
      <c r="AX95" s="323"/>
      <c r="AY95" s="323"/>
      <c r="AZ95" s="351"/>
      <c r="BA95" s="326"/>
      <c r="BB95" s="326"/>
      <c r="BC95" s="326"/>
      <c r="BD95" s="326"/>
      <c r="BE95" s="326"/>
      <c r="BF95" s="351"/>
      <c r="BG95" s="332"/>
      <c r="BH95" s="332"/>
      <c r="BI95" s="332"/>
      <c r="BJ95" s="332"/>
      <c r="BK95" s="332"/>
      <c r="BL95" s="332"/>
      <c r="BM95" s="332"/>
      <c r="BN95" s="251"/>
      <c r="BO95" s="340"/>
      <c r="BP95" s="337"/>
      <c r="BQ95" s="340"/>
      <c r="BR95" s="340"/>
      <c r="BS95" s="340"/>
      <c r="BT95" s="340"/>
      <c r="BU95" s="340"/>
      <c r="BV95" s="340"/>
      <c r="BW95" s="340"/>
      <c r="BX95" s="251"/>
      <c r="BY95" s="345"/>
      <c r="BZ95" s="345"/>
      <c r="CA95" s="345"/>
      <c r="CB95" s="346"/>
      <c r="CC95" s="345"/>
      <c r="CD95" s="345"/>
      <c r="CE95" s="345"/>
      <c r="CF95" s="345"/>
      <c r="CG95" s="345"/>
      <c r="CH95" s="345"/>
      <c r="CI95" s="345"/>
      <c r="CJ95" s="346"/>
      <c r="CK95" s="346"/>
    </row>
    <row r="96">
      <c r="A96" s="821"/>
      <c r="B96" s="241" t="s">
        <v>155</v>
      </c>
      <c r="C96" s="237" t="s">
        <v>155</v>
      </c>
      <c r="D96" s="238" t="s">
        <v>155</v>
      </c>
      <c r="E96" s="239" t="s">
        <v>155</v>
      </c>
      <c r="F96" s="240" t="s">
        <v>155</v>
      </c>
      <c r="G96" s="241" t="s">
        <v>155</v>
      </c>
      <c r="H96" s="308"/>
      <c r="I96" s="308"/>
      <c r="J96" s="308"/>
      <c r="K96" s="308"/>
      <c r="L96" s="308"/>
      <c r="M96" s="308"/>
      <c r="N96" s="308"/>
      <c r="O96" s="308"/>
      <c r="P96" s="251"/>
      <c r="Q96" s="353"/>
      <c r="R96" s="353"/>
      <c r="S96" s="353"/>
      <c r="T96" s="353"/>
      <c r="U96" s="353"/>
      <c r="V96" s="353"/>
      <c r="W96" s="251"/>
      <c r="X96" s="318"/>
      <c r="Y96" s="318"/>
      <c r="Z96" s="318"/>
      <c r="AA96" s="617"/>
      <c r="AB96" s="318"/>
      <c r="AC96" s="318"/>
      <c r="AD96" s="318"/>
      <c r="AE96" s="318"/>
      <c r="AF96" s="318"/>
      <c r="AG96" s="318"/>
      <c r="AH96" s="267"/>
      <c r="AI96" s="251"/>
      <c r="AJ96" s="323"/>
      <c r="AK96" s="323"/>
      <c r="AL96" s="323"/>
      <c r="AM96" s="323"/>
      <c r="AN96" s="323"/>
      <c r="AO96" s="323"/>
      <c r="AP96" s="323"/>
      <c r="AQ96" s="323"/>
      <c r="AR96" s="323"/>
      <c r="AS96" s="323"/>
      <c r="AT96" s="323"/>
      <c r="AU96" s="323"/>
      <c r="AV96" s="323"/>
      <c r="AW96" s="323"/>
      <c r="AX96" s="323"/>
      <c r="AY96" s="323"/>
      <c r="AZ96" s="351"/>
      <c r="BA96" s="326"/>
      <c r="BB96" s="326"/>
      <c r="BC96" s="326"/>
      <c r="BD96" s="326"/>
      <c r="BE96" s="326"/>
      <c r="BF96" s="351"/>
      <c r="BG96" s="332"/>
      <c r="BH96" s="332"/>
      <c r="BI96" s="332"/>
      <c r="BJ96" s="332"/>
      <c r="BK96" s="332"/>
      <c r="BL96" s="332"/>
      <c r="BM96" s="332"/>
      <c r="BN96" s="251"/>
      <c r="BO96" s="340"/>
      <c r="BP96" s="337"/>
      <c r="BQ96" s="340"/>
      <c r="BR96" s="340"/>
      <c r="BS96" s="340"/>
      <c r="BT96" s="340"/>
      <c r="BU96" s="340"/>
      <c r="BV96" s="340"/>
      <c r="BW96" s="340"/>
      <c r="BX96" s="251"/>
      <c r="BY96" s="345"/>
      <c r="BZ96" s="345"/>
      <c r="CA96" s="345"/>
      <c r="CB96" s="346"/>
      <c r="CC96" s="345"/>
      <c r="CD96" s="345"/>
      <c r="CE96" s="345"/>
      <c r="CF96" s="345"/>
      <c r="CG96" s="345"/>
      <c r="CH96" s="345"/>
      <c r="CI96" s="345"/>
      <c r="CJ96" s="346"/>
      <c r="CK96" s="346"/>
    </row>
    <row r="97">
      <c r="A97" s="821"/>
      <c r="B97" s="241" t="s">
        <v>155</v>
      </c>
      <c r="C97" s="237" t="s">
        <v>155</v>
      </c>
      <c r="D97" s="238" t="s">
        <v>155</v>
      </c>
      <c r="E97" s="239" t="s">
        <v>155</v>
      </c>
      <c r="F97" s="240" t="s">
        <v>155</v>
      </c>
      <c r="G97" s="241" t="s">
        <v>155</v>
      </c>
      <c r="H97" s="308"/>
      <c r="I97" s="308"/>
      <c r="J97" s="308"/>
      <c r="K97" s="308"/>
      <c r="L97" s="308"/>
      <c r="M97" s="308"/>
      <c r="N97" s="308"/>
      <c r="O97" s="308"/>
      <c r="P97" s="251"/>
      <c r="Q97" s="353"/>
      <c r="R97" s="353"/>
      <c r="S97" s="353"/>
      <c r="T97" s="353"/>
      <c r="U97" s="353"/>
      <c r="V97" s="353"/>
      <c r="W97" s="251"/>
      <c r="X97" s="318"/>
      <c r="Y97" s="318"/>
      <c r="Z97" s="318"/>
      <c r="AA97" s="617"/>
      <c r="AB97" s="318"/>
      <c r="AC97" s="318"/>
      <c r="AD97" s="318"/>
      <c r="AE97" s="318"/>
      <c r="AF97" s="318"/>
      <c r="AG97" s="318"/>
      <c r="AH97" s="267"/>
      <c r="AI97" s="251"/>
      <c r="AJ97" s="323"/>
      <c r="AK97" s="323"/>
      <c r="AL97" s="323"/>
      <c r="AM97" s="323"/>
      <c r="AN97" s="323"/>
      <c r="AO97" s="323"/>
      <c r="AP97" s="323"/>
      <c r="AQ97" s="323"/>
      <c r="AR97" s="323"/>
      <c r="AS97" s="323"/>
      <c r="AT97" s="323"/>
      <c r="AU97" s="323"/>
      <c r="AV97" s="323"/>
      <c r="AW97" s="323"/>
      <c r="AX97" s="323"/>
      <c r="AY97" s="323"/>
      <c r="AZ97" s="351"/>
      <c r="BA97" s="326"/>
      <c r="BB97" s="326"/>
      <c r="BC97" s="326"/>
      <c r="BD97" s="326"/>
      <c r="BE97" s="326"/>
      <c r="BF97" s="351"/>
      <c r="BG97" s="332"/>
      <c r="BH97" s="332"/>
      <c r="BI97" s="332"/>
      <c r="BJ97" s="332"/>
      <c r="BK97" s="332"/>
      <c r="BL97" s="332"/>
      <c r="BM97" s="332"/>
      <c r="BN97" s="251"/>
      <c r="BO97" s="340"/>
      <c r="BP97" s="337"/>
      <c r="BQ97" s="340"/>
      <c r="BR97" s="340"/>
      <c r="BS97" s="340"/>
      <c r="BT97" s="340"/>
      <c r="BU97" s="340"/>
      <c r="BV97" s="340"/>
      <c r="BW97" s="340"/>
      <c r="BX97" s="251"/>
      <c r="BY97" s="345"/>
      <c r="BZ97" s="345"/>
      <c r="CA97" s="345"/>
      <c r="CB97" s="346"/>
      <c r="CC97" s="345"/>
      <c r="CD97" s="345"/>
      <c r="CE97" s="345"/>
      <c r="CF97" s="345"/>
      <c r="CG97" s="345"/>
      <c r="CH97" s="345"/>
      <c r="CI97" s="345"/>
      <c r="CJ97" s="346"/>
      <c r="CK97" s="346"/>
    </row>
    <row r="98">
      <c r="A98" s="821"/>
      <c r="B98" s="241" t="s">
        <v>155</v>
      </c>
      <c r="C98" s="237" t="s">
        <v>155</v>
      </c>
      <c r="D98" s="238" t="s">
        <v>155</v>
      </c>
      <c r="E98" s="239" t="s">
        <v>155</v>
      </c>
      <c r="F98" s="240" t="s">
        <v>155</v>
      </c>
      <c r="G98" s="241" t="s">
        <v>155</v>
      </c>
      <c r="H98" s="308"/>
      <c r="I98" s="308"/>
      <c r="J98" s="308"/>
      <c r="K98" s="308"/>
      <c r="L98" s="308"/>
      <c r="M98" s="308"/>
      <c r="N98" s="308"/>
      <c r="O98" s="308"/>
      <c r="P98" s="251"/>
      <c r="Q98" s="353"/>
      <c r="R98" s="353"/>
      <c r="S98" s="353"/>
      <c r="T98" s="353"/>
      <c r="U98" s="353"/>
      <c r="V98" s="353"/>
      <c r="W98" s="251"/>
      <c r="X98" s="318"/>
      <c r="Y98" s="318"/>
      <c r="Z98" s="318"/>
      <c r="AA98" s="617"/>
      <c r="AB98" s="318"/>
      <c r="AC98" s="318"/>
      <c r="AD98" s="318"/>
      <c r="AE98" s="318"/>
      <c r="AF98" s="318"/>
      <c r="AG98" s="318"/>
      <c r="AH98" s="267"/>
      <c r="AI98" s="251"/>
      <c r="AJ98" s="323"/>
      <c r="AK98" s="323"/>
      <c r="AL98" s="323"/>
      <c r="AM98" s="323"/>
      <c r="AN98" s="323"/>
      <c r="AO98" s="323"/>
      <c r="AP98" s="323"/>
      <c r="AQ98" s="323"/>
      <c r="AR98" s="323"/>
      <c r="AS98" s="323"/>
      <c r="AT98" s="323"/>
      <c r="AU98" s="323"/>
      <c r="AV98" s="323"/>
      <c r="AW98" s="323"/>
      <c r="AX98" s="323"/>
      <c r="AY98" s="323"/>
      <c r="AZ98" s="351"/>
      <c r="BA98" s="326"/>
      <c r="BB98" s="326"/>
      <c r="BC98" s="326"/>
      <c r="BD98" s="326"/>
      <c r="BE98" s="326"/>
      <c r="BF98" s="351"/>
      <c r="BG98" s="332"/>
      <c r="BH98" s="332"/>
      <c r="BI98" s="332"/>
      <c r="BJ98" s="332"/>
      <c r="BK98" s="332"/>
      <c r="BL98" s="332"/>
      <c r="BM98" s="332"/>
      <c r="BN98" s="251"/>
      <c r="BO98" s="340"/>
      <c r="BP98" s="337"/>
      <c r="BQ98" s="340"/>
      <c r="BR98" s="340"/>
      <c r="BS98" s="340"/>
      <c r="BT98" s="340"/>
      <c r="BU98" s="340"/>
      <c r="BV98" s="340"/>
      <c r="BW98" s="340"/>
      <c r="BX98" s="251"/>
      <c r="BY98" s="345"/>
      <c r="BZ98" s="345"/>
      <c r="CA98" s="345"/>
      <c r="CB98" s="346"/>
      <c r="CC98" s="345"/>
      <c r="CD98" s="345"/>
      <c r="CE98" s="345"/>
      <c r="CF98" s="345"/>
      <c r="CG98" s="345"/>
      <c r="CH98" s="345"/>
      <c r="CI98" s="345"/>
      <c r="CJ98" s="346"/>
      <c r="CK98" s="346"/>
    </row>
    <row r="99">
      <c r="A99" s="821"/>
      <c r="B99" s="241" t="s">
        <v>155</v>
      </c>
      <c r="C99" s="237" t="s">
        <v>155</v>
      </c>
      <c r="D99" s="238" t="s">
        <v>155</v>
      </c>
      <c r="E99" s="239" t="s">
        <v>155</v>
      </c>
      <c r="F99" s="240" t="s">
        <v>155</v>
      </c>
      <c r="G99" s="241" t="s">
        <v>155</v>
      </c>
      <c r="H99" s="308"/>
      <c r="I99" s="308"/>
      <c r="J99" s="308"/>
      <c r="K99" s="308"/>
      <c r="L99" s="308"/>
      <c r="M99" s="308"/>
      <c r="N99" s="308"/>
      <c r="O99" s="308"/>
      <c r="P99" s="251"/>
      <c r="Q99" s="353"/>
      <c r="R99" s="353"/>
      <c r="S99" s="353"/>
      <c r="T99" s="353"/>
      <c r="U99" s="353"/>
      <c r="V99" s="353"/>
      <c r="W99" s="251"/>
      <c r="X99" s="318"/>
      <c r="Y99" s="318"/>
      <c r="Z99" s="318"/>
      <c r="AA99" s="617"/>
      <c r="AB99" s="318"/>
      <c r="AC99" s="318"/>
      <c r="AD99" s="318"/>
      <c r="AE99" s="318"/>
      <c r="AF99" s="318"/>
      <c r="AG99" s="318"/>
      <c r="AH99" s="267"/>
      <c r="AI99" s="251"/>
      <c r="AJ99" s="323"/>
      <c r="AK99" s="323"/>
      <c r="AL99" s="323"/>
      <c r="AM99" s="323"/>
      <c r="AN99" s="323"/>
      <c r="AO99" s="323"/>
      <c r="AP99" s="323"/>
      <c r="AQ99" s="323"/>
      <c r="AR99" s="323"/>
      <c r="AS99" s="323"/>
      <c r="AT99" s="323"/>
      <c r="AU99" s="323"/>
      <c r="AV99" s="323"/>
      <c r="AW99" s="323"/>
      <c r="AX99" s="323"/>
      <c r="AY99" s="323"/>
      <c r="AZ99" s="351"/>
      <c r="BA99" s="326"/>
      <c r="BB99" s="326"/>
      <c r="BC99" s="326"/>
      <c r="BD99" s="326"/>
      <c r="BE99" s="326"/>
      <c r="BF99" s="351"/>
      <c r="BG99" s="332"/>
      <c r="BH99" s="332"/>
      <c r="BI99" s="332"/>
      <c r="BJ99" s="332"/>
      <c r="BK99" s="332"/>
      <c r="BL99" s="332"/>
      <c r="BM99" s="332"/>
      <c r="BN99" s="251"/>
      <c r="BO99" s="340"/>
      <c r="BP99" s="337"/>
      <c r="BQ99" s="340"/>
      <c r="BR99" s="340"/>
      <c r="BS99" s="340"/>
      <c r="BT99" s="340"/>
      <c r="BU99" s="340"/>
      <c r="BV99" s="340"/>
      <c r="BW99" s="340"/>
      <c r="BX99" s="251"/>
      <c r="BY99" s="345"/>
      <c r="BZ99" s="345"/>
      <c r="CA99" s="345"/>
      <c r="CB99" s="346"/>
      <c r="CC99" s="345"/>
      <c r="CD99" s="345"/>
      <c r="CE99" s="345"/>
      <c r="CF99" s="345"/>
      <c r="CG99" s="345"/>
      <c r="CH99" s="345"/>
      <c r="CI99" s="345"/>
      <c r="CJ99" s="346"/>
      <c r="CK99" s="346"/>
    </row>
    <row r="100">
      <c r="A100" s="821"/>
      <c r="B100" s="241" t="s">
        <v>155</v>
      </c>
      <c r="C100" s="237" t="s">
        <v>155</v>
      </c>
      <c r="D100" s="238" t="s">
        <v>155</v>
      </c>
      <c r="E100" s="239" t="s">
        <v>155</v>
      </c>
      <c r="F100" s="240" t="s">
        <v>155</v>
      </c>
      <c r="G100" s="241" t="s">
        <v>155</v>
      </c>
      <c r="H100" s="308"/>
      <c r="I100" s="308"/>
      <c r="J100" s="308"/>
      <c r="K100" s="308"/>
      <c r="L100" s="308"/>
      <c r="M100" s="308"/>
      <c r="N100" s="308"/>
      <c r="O100" s="308"/>
      <c r="P100" s="251"/>
      <c r="Q100" s="353"/>
      <c r="R100" s="353"/>
      <c r="S100" s="353"/>
      <c r="T100" s="353"/>
      <c r="U100" s="353"/>
      <c r="V100" s="353"/>
      <c r="W100" s="251"/>
      <c r="X100" s="318"/>
      <c r="Y100" s="318"/>
      <c r="Z100" s="318"/>
      <c r="AA100" s="617"/>
      <c r="AB100" s="318"/>
      <c r="AC100" s="318"/>
      <c r="AD100" s="318"/>
      <c r="AE100" s="318"/>
      <c r="AF100" s="318"/>
      <c r="AG100" s="318"/>
      <c r="AH100" s="267"/>
      <c r="AI100" s="251"/>
      <c r="AJ100" s="323"/>
      <c r="AK100" s="323"/>
      <c r="AL100" s="323"/>
      <c r="AM100" s="323"/>
      <c r="AN100" s="323"/>
      <c r="AO100" s="323"/>
      <c r="AP100" s="323"/>
      <c r="AQ100" s="323"/>
      <c r="AR100" s="323"/>
      <c r="AS100" s="323"/>
      <c r="AT100" s="323"/>
      <c r="AU100" s="323"/>
      <c r="AV100" s="323"/>
      <c r="AW100" s="323"/>
      <c r="AX100" s="323"/>
      <c r="AY100" s="323"/>
      <c r="AZ100" s="351"/>
      <c r="BA100" s="326"/>
      <c r="BB100" s="326"/>
      <c r="BC100" s="326"/>
      <c r="BD100" s="326"/>
      <c r="BE100" s="326"/>
      <c r="BF100" s="351"/>
      <c r="BG100" s="332"/>
      <c r="BH100" s="332"/>
      <c r="BI100" s="332"/>
      <c r="BJ100" s="332"/>
      <c r="BK100" s="332"/>
      <c r="BL100" s="332"/>
      <c r="BM100" s="332"/>
      <c r="BN100" s="251"/>
      <c r="BO100" s="340"/>
      <c r="BP100" s="337"/>
      <c r="BQ100" s="340"/>
      <c r="BR100" s="340"/>
      <c r="BS100" s="340"/>
      <c r="BT100" s="340"/>
      <c r="BU100" s="340"/>
      <c r="BV100" s="340"/>
      <c r="BW100" s="340"/>
      <c r="BX100" s="251"/>
      <c r="BY100" s="345"/>
      <c r="BZ100" s="345"/>
      <c r="CA100" s="345"/>
      <c r="CB100" s="346"/>
      <c r="CC100" s="345"/>
      <c r="CD100" s="345"/>
      <c r="CE100" s="345"/>
      <c r="CF100" s="345"/>
      <c r="CG100" s="345"/>
      <c r="CH100" s="345"/>
      <c r="CI100" s="345"/>
      <c r="CJ100" s="346"/>
      <c r="CK100" s="346"/>
    </row>
    <row r="101">
      <c r="A101" s="821"/>
      <c r="B101" s="241" t="s">
        <v>155</v>
      </c>
      <c r="C101" s="237" t="s">
        <v>155</v>
      </c>
      <c r="D101" s="238" t="s">
        <v>155</v>
      </c>
      <c r="E101" s="239" t="s">
        <v>155</v>
      </c>
      <c r="F101" s="240" t="s">
        <v>155</v>
      </c>
      <c r="G101" s="241" t="s">
        <v>155</v>
      </c>
      <c r="H101" s="308"/>
      <c r="I101" s="308"/>
      <c r="J101" s="308"/>
      <c r="K101" s="308"/>
      <c r="L101" s="308"/>
      <c r="M101" s="308"/>
      <c r="N101" s="308"/>
      <c r="O101" s="308"/>
      <c r="P101" s="251"/>
      <c r="Q101" s="353"/>
      <c r="R101" s="353"/>
      <c r="S101" s="353"/>
      <c r="T101" s="353"/>
      <c r="U101" s="353"/>
      <c r="V101" s="353"/>
      <c r="W101" s="251"/>
      <c r="X101" s="318"/>
      <c r="Y101" s="318"/>
      <c r="Z101" s="318"/>
      <c r="AA101" s="617"/>
      <c r="AB101" s="318"/>
      <c r="AC101" s="318"/>
      <c r="AD101" s="318"/>
      <c r="AE101" s="318"/>
      <c r="AF101" s="318"/>
      <c r="AG101" s="318"/>
      <c r="AH101" s="267"/>
      <c r="AI101" s="251"/>
      <c r="AJ101" s="323"/>
      <c r="AK101" s="323"/>
      <c r="AL101" s="323"/>
      <c r="AM101" s="323"/>
      <c r="AN101" s="323"/>
      <c r="AO101" s="323"/>
      <c r="AP101" s="323"/>
      <c r="AQ101" s="323"/>
      <c r="AR101" s="323"/>
      <c r="AS101" s="323"/>
      <c r="AT101" s="323"/>
      <c r="AU101" s="323"/>
      <c r="AV101" s="323"/>
      <c r="AW101" s="323"/>
      <c r="AX101" s="323"/>
      <c r="AY101" s="323"/>
      <c r="AZ101" s="351"/>
      <c r="BA101" s="326"/>
      <c r="BB101" s="326"/>
      <c r="BC101" s="326"/>
      <c r="BD101" s="326"/>
      <c r="BE101" s="326"/>
      <c r="BF101" s="351"/>
      <c r="BG101" s="332"/>
      <c r="BH101" s="332"/>
      <c r="BI101" s="332"/>
      <c r="BJ101" s="332"/>
      <c r="BK101" s="332"/>
      <c r="BL101" s="332"/>
      <c r="BM101" s="332"/>
      <c r="BN101" s="251"/>
      <c r="BO101" s="340"/>
      <c r="BP101" s="337"/>
      <c r="BQ101" s="340"/>
      <c r="BR101" s="340"/>
      <c r="BS101" s="340"/>
      <c r="BT101" s="340"/>
      <c r="BU101" s="340"/>
      <c r="BV101" s="340"/>
      <c r="BW101" s="340"/>
      <c r="BX101" s="251"/>
      <c r="BY101" s="345"/>
      <c r="BZ101" s="345"/>
      <c r="CA101" s="345"/>
      <c r="CB101" s="346"/>
      <c r="CC101" s="345"/>
      <c r="CD101" s="345"/>
      <c r="CE101" s="345"/>
      <c r="CF101" s="345"/>
      <c r="CG101" s="345"/>
      <c r="CH101" s="345"/>
      <c r="CI101" s="345"/>
      <c r="CJ101" s="346"/>
      <c r="CK101" s="346"/>
    </row>
    <row r="102">
      <c r="A102" s="821"/>
      <c r="B102" s="241" t="s">
        <v>155</v>
      </c>
      <c r="C102" s="237" t="s">
        <v>155</v>
      </c>
      <c r="D102" s="238" t="s">
        <v>155</v>
      </c>
      <c r="E102" s="239" t="s">
        <v>155</v>
      </c>
      <c r="F102" s="240" t="s">
        <v>155</v>
      </c>
      <c r="G102" s="241" t="s">
        <v>155</v>
      </c>
      <c r="H102" s="308"/>
      <c r="I102" s="308"/>
      <c r="J102" s="308"/>
      <c r="K102" s="308"/>
      <c r="L102" s="308"/>
      <c r="M102" s="308"/>
      <c r="N102" s="308"/>
      <c r="O102" s="308"/>
      <c r="P102" s="251"/>
      <c r="Q102" s="353"/>
      <c r="R102" s="353"/>
      <c r="S102" s="353"/>
      <c r="T102" s="353"/>
      <c r="U102" s="353"/>
      <c r="V102" s="353"/>
      <c r="W102" s="251"/>
      <c r="X102" s="318"/>
      <c r="Y102" s="318"/>
      <c r="Z102" s="318"/>
      <c r="AA102" s="617"/>
      <c r="AB102" s="318"/>
      <c r="AC102" s="318"/>
      <c r="AD102" s="318"/>
      <c r="AE102" s="318"/>
      <c r="AF102" s="318"/>
      <c r="AG102" s="318"/>
      <c r="AH102" s="267"/>
      <c r="AI102" s="251"/>
      <c r="AJ102" s="323"/>
      <c r="AK102" s="323"/>
      <c r="AL102" s="323"/>
      <c r="AM102" s="323"/>
      <c r="AN102" s="323"/>
      <c r="AO102" s="323"/>
      <c r="AP102" s="323"/>
      <c r="AQ102" s="323"/>
      <c r="AR102" s="323"/>
      <c r="AS102" s="323"/>
      <c r="AT102" s="323"/>
      <c r="AU102" s="323"/>
      <c r="AV102" s="323"/>
      <c r="AW102" s="323"/>
      <c r="AX102" s="323"/>
      <c r="AY102" s="323"/>
      <c r="AZ102" s="351"/>
      <c r="BA102" s="326"/>
      <c r="BB102" s="326"/>
      <c r="BC102" s="326"/>
      <c r="BD102" s="326"/>
      <c r="BE102" s="326"/>
      <c r="BF102" s="351"/>
      <c r="BG102" s="332"/>
      <c r="BH102" s="332"/>
      <c r="BI102" s="332"/>
      <c r="BJ102" s="332"/>
      <c r="BK102" s="332"/>
      <c r="BL102" s="332"/>
      <c r="BM102" s="332"/>
      <c r="BN102" s="251"/>
      <c r="BO102" s="340"/>
      <c r="BP102" s="337"/>
      <c r="BQ102" s="340"/>
      <c r="BR102" s="340"/>
      <c r="BS102" s="340"/>
      <c r="BT102" s="340"/>
      <c r="BU102" s="340"/>
      <c r="BV102" s="340"/>
      <c r="BW102" s="340"/>
      <c r="BX102" s="251"/>
      <c r="BY102" s="345"/>
      <c r="BZ102" s="345"/>
      <c r="CA102" s="345"/>
      <c r="CB102" s="346"/>
      <c r="CC102" s="345"/>
      <c r="CD102" s="345"/>
      <c r="CE102" s="345"/>
      <c r="CF102" s="345"/>
      <c r="CG102" s="345"/>
      <c r="CH102" s="345"/>
      <c r="CI102" s="345"/>
      <c r="CJ102" s="346"/>
      <c r="CK102" s="346"/>
    </row>
    <row r="103">
      <c r="A103" s="821"/>
      <c r="B103" s="241" t="s">
        <v>155</v>
      </c>
      <c r="C103" s="237" t="s">
        <v>155</v>
      </c>
      <c r="D103" s="238" t="s">
        <v>155</v>
      </c>
      <c r="E103" s="239" t="s">
        <v>155</v>
      </c>
      <c r="F103" s="240" t="s">
        <v>155</v>
      </c>
      <c r="G103" s="241" t="s">
        <v>155</v>
      </c>
      <c r="H103" s="308"/>
      <c r="I103" s="308"/>
      <c r="J103" s="308"/>
      <c r="K103" s="308"/>
      <c r="L103" s="308"/>
      <c r="M103" s="308"/>
      <c r="N103" s="308"/>
      <c r="O103" s="308"/>
      <c r="P103" s="251"/>
      <c r="Q103" s="353"/>
      <c r="R103" s="353"/>
      <c r="S103" s="353"/>
      <c r="T103" s="353"/>
      <c r="U103" s="353"/>
      <c r="V103" s="353"/>
      <c r="W103" s="251"/>
      <c r="X103" s="318"/>
      <c r="Y103" s="318"/>
      <c r="Z103" s="318"/>
      <c r="AA103" s="617"/>
      <c r="AB103" s="318"/>
      <c r="AC103" s="318"/>
      <c r="AD103" s="318"/>
      <c r="AE103" s="318"/>
      <c r="AF103" s="318"/>
      <c r="AG103" s="318"/>
      <c r="AH103" s="267"/>
      <c r="AI103" s="251"/>
      <c r="AJ103" s="323"/>
      <c r="AK103" s="323"/>
      <c r="AL103" s="323"/>
      <c r="AM103" s="323"/>
      <c r="AN103" s="323"/>
      <c r="AO103" s="323"/>
      <c r="AP103" s="323"/>
      <c r="AQ103" s="323"/>
      <c r="AR103" s="323"/>
      <c r="AS103" s="323"/>
      <c r="AT103" s="323"/>
      <c r="AU103" s="323"/>
      <c r="AV103" s="323"/>
      <c r="AW103" s="323"/>
      <c r="AX103" s="323"/>
      <c r="AY103" s="323"/>
      <c r="AZ103" s="351"/>
      <c r="BA103" s="326"/>
      <c r="BB103" s="326"/>
      <c r="BC103" s="326"/>
      <c r="BD103" s="326"/>
      <c r="BE103" s="326"/>
      <c r="BF103" s="351"/>
      <c r="BG103" s="332"/>
      <c r="BH103" s="332"/>
      <c r="BI103" s="332"/>
      <c r="BJ103" s="332"/>
      <c r="BK103" s="332"/>
      <c r="BL103" s="332"/>
      <c r="BM103" s="332"/>
      <c r="BN103" s="251"/>
      <c r="BO103" s="340"/>
      <c r="BP103" s="337"/>
      <c r="BQ103" s="340"/>
      <c r="BR103" s="340"/>
      <c r="BS103" s="340"/>
      <c r="BT103" s="340"/>
      <c r="BU103" s="340"/>
      <c r="BV103" s="340"/>
      <c r="BW103" s="340"/>
      <c r="BX103" s="251"/>
      <c r="BY103" s="345"/>
      <c r="BZ103" s="345"/>
      <c r="CA103" s="345"/>
      <c r="CB103" s="346"/>
      <c r="CC103" s="345"/>
      <c r="CD103" s="345"/>
      <c r="CE103" s="345"/>
      <c r="CF103" s="345"/>
      <c r="CG103" s="345"/>
      <c r="CH103" s="345"/>
      <c r="CI103" s="345"/>
      <c r="CJ103" s="346"/>
      <c r="CK103" s="346"/>
    </row>
    <row r="104">
      <c r="A104" s="821"/>
      <c r="B104" s="241" t="s">
        <v>155</v>
      </c>
      <c r="C104" s="237" t="s">
        <v>155</v>
      </c>
      <c r="D104" s="238" t="s">
        <v>155</v>
      </c>
      <c r="E104" s="239" t="s">
        <v>155</v>
      </c>
      <c r="F104" s="240" t="s">
        <v>155</v>
      </c>
      <c r="G104" s="241" t="s">
        <v>155</v>
      </c>
      <c r="H104" s="308"/>
      <c r="I104" s="308"/>
      <c r="J104" s="308"/>
      <c r="K104" s="308"/>
      <c r="L104" s="308"/>
      <c r="M104" s="308"/>
      <c r="N104" s="308"/>
      <c r="O104" s="308"/>
      <c r="P104" s="251"/>
      <c r="Q104" s="353"/>
      <c r="R104" s="353"/>
      <c r="S104" s="353"/>
      <c r="T104" s="353"/>
      <c r="U104" s="353"/>
      <c r="V104" s="353"/>
      <c r="W104" s="251"/>
      <c r="X104" s="318"/>
      <c r="Y104" s="318"/>
      <c r="Z104" s="318"/>
      <c r="AA104" s="617"/>
      <c r="AB104" s="318"/>
      <c r="AC104" s="318"/>
      <c r="AD104" s="318"/>
      <c r="AE104" s="318"/>
      <c r="AF104" s="318"/>
      <c r="AG104" s="318"/>
      <c r="AH104" s="267"/>
      <c r="AI104" s="251"/>
      <c r="AJ104" s="323"/>
      <c r="AK104" s="323"/>
      <c r="AL104" s="323"/>
      <c r="AM104" s="323"/>
      <c r="AN104" s="323"/>
      <c r="AO104" s="323"/>
      <c r="AP104" s="323"/>
      <c r="AQ104" s="323"/>
      <c r="AR104" s="323"/>
      <c r="AS104" s="323"/>
      <c r="AT104" s="323"/>
      <c r="AU104" s="323"/>
      <c r="AV104" s="323"/>
      <c r="AW104" s="323"/>
      <c r="AX104" s="323"/>
      <c r="AY104" s="323"/>
      <c r="AZ104" s="351"/>
      <c r="BA104" s="326"/>
      <c r="BB104" s="326"/>
      <c r="BC104" s="326"/>
      <c r="BD104" s="326"/>
      <c r="BE104" s="326"/>
      <c r="BF104" s="351"/>
      <c r="BG104" s="332"/>
      <c r="BH104" s="332"/>
      <c r="BI104" s="332"/>
      <c r="BJ104" s="332"/>
      <c r="BK104" s="332"/>
      <c r="BL104" s="332"/>
      <c r="BM104" s="332"/>
      <c r="BN104" s="251"/>
      <c r="BO104" s="340"/>
      <c r="BP104" s="337"/>
      <c r="BQ104" s="340"/>
      <c r="BR104" s="340"/>
      <c r="BS104" s="340"/>
      <c r="BT104" s="340"/>
      <c r="BU104" s="340"/>
      <c r="BV104" s="340"/>
      <c r="BW104" s="340"/>
      <c r="BX104" s="251"/>
      <c r="BY104" s="345"/>
      <c r="BZ104" s="345"/>
      <c r="CA104" s="345"/>
      <c r="CB104" s="346"/>
      <c r="CC104" s="345"/>
      <c r="CD104" s="345"/>
      <c r="CE104" s="345"/>
      <c r="CF104" s="345"/>
      <c r="CG104" s="345"/>
      <c r="CH104" s="345"/>
      <c r="CI104" s="345"/>
      <c r="CJ104" s="346"/>
      <c r="CK104" s="346"/>
    </row>
    <row r="105">
      <c r="A105" s="821"/>
      <c r="B105" s="241" t="s">
        <v>155</v>
      </c>
      <c r="C105" s="237" t="s">
        <v>155</v>
      </c>
      <c r="D105" s="238" t="s">
        <v>155</v>
      </c>
      <c r="E105" s="239" t="s">
        <v>155</v>
      </c>
      <c r="F105" s="240" t="s">
        <v>155</v>
      </c>
      <c r="G105" s="241" t="s">
        <v>155</v>
      </c>
      <c r="H105" s="308"/>
      <c r="I105" s="308"/>
      <c r="J105" s="308"/>
      <c r="K105" s="308"/>
      <c r="L105" s="308"/>
      <c r="M105" s="308"/>
      <c r="N105" s="308"/>
      <c r="O105" s="308"/>
      <c r="P105" s="251"/>
      <c r="Q105" s="353"/>
      <c r="R105" s="353"/>
      <c r="S105" s="353"/>
      <c r="T105" s="353"/>
      <c r="U105" s="353"/>
      <c r="V105" s="353"/>
      <c r="W105" s="251"/>
      <c r="X105" s="318"/>
      <c r="Y105" s="318"/>
      <c r="Z105" s="318"/>
      <c r="AA105" s="617"/>
      <c r="AB105" s="318"/>
      <c r="AC105" s="318"/>
      <c r="AD105" s="318"/>
      <c r="AE105" s="318"/>
      <c r="AF105" s="318"/>
      <c r="AG105" s="318"/>
      <c r="AH105" s="267"/>
      <c r="AI105" s="251"/>
      <c r="AJ105" s="323"/>
      <c r="AK105" s="323"/>
      <c r="AL105" s="323"/>
      <c r="AM105" s="323"/>
      <c r="AN105" s="323"/>
      <c r="AO105" s="323"/>
      <c r="AP105" s="323"/>
      <c r="AQ105" s="323"/>
      <c r="AR105" s="323"/>
      <c r="AS105" s="323"/>
      <c r="AT105" s="323"/>
      <c r="AU105" s="323"/>
      <c r="AV105" s="323"/>
      <c r="AW105" s="323"/>
      <c r="AX105" s="323"/>
      <c r="AY105" s="323"/>
      <c r="AZ105" s="351"/>
      <c r="BA105" s="326"/>
      <c r="BB105" s="326"/>
      <c r="BC105" s="326"/>
      <c r="BD105" s="326"/>
      <c r="BE105" s="326"/>
      <c r="BF105" s="351"/>
      <c r="BG105" s="332"/>
      <c r="BH105" s="332"/>
      <c r="BI105" s="332"/>
      <c r="BJ105" s="332"/>
      <c r="BK105" s="332"/>
      <c r="BL105" s="332"/>
      <c r="BM105" s="332"/>
      <c r="BN105" s="251"/>
      <c r="BO105" s="340"/>
      <c r="BP105" s="337"/>
      <c r="BQ105" s="340"/>
      <c r="BR105" s="340"/>
      <c r="BS105" s="340"/>
      <c r="BT105" s="340"/>
      <c r="BU105" s="340"/>
      <c r="BV105" s="340"/>
      <c r="BW105" s="340"/>
      <c r="BX105" s="251"/>
      <c r="BY105" s="345"/>
      <c r="BZ105" s="345"/>
      <c r="CA105" s="345"/>
      <c r="CB105" s="346"/>
      <c r="CC105" s="345"/>
      <c r="CD105" s="345"/>
      <c r="CE105" s="345"/>
      <c r="CF105" s="345"/>
      <c r="CG105" s="345"/>
      <c r="CH105" s="345"/>
      <c r="CI105" s="345"/>
      <c r="CJ105" s="346"/>
      <c r="CK105" s="346"/>
    </row>
    <row r="106">
      <c r="A106" s="821"/>
      <c r="B106" s="241" t="s">
        <v>155</v>
      </c>
      <c r="C106" s="237" t="s">
        <v>155</v>
      </c>
      <c r="D106" s="238" t="s">
        <v>155</v>
      </c>
      <c r="E106" s="239" t="s">
        <v>155</v>
      </c>
      <c r="F106" s="240" t="s">
        <v>155</v>
      </c>
      <c r="G106" s="241" t="s">
        <v>155</v>
      </c>
      <c r="H106" s="308"/>
      <c r="I106" s="308"/>
      <c r="J106" s="308"/>
      <c r="K106" s="308"/>
      <c r="L106" s="308"/>
      <c r="M106" s="308"/>
      <c r="N106" s="308"/>
      <c r="O106" s="308"/>
      <c r="P106" s="251"/>
      <c r="Q106" s="353"/>
      <c r="R106" s="353"/>
      <c r="S106" s="353"/>
      <c r="T106" s="353"/>
      <c r="U106" s="353"/>
      <c r="V106" s="353"/>
      <c r="W106" s="251"/>
      <c r="X106" s="318"/>
      <c r="Y106" s="318"/>
      <c r="Z106" s="318"/>
      <c r="AA106" s="617"/>
      <c r="AB106" s="318"/>
      <c r="AC106" s="318"/>
      <c r="AD106" s="318"/>
      <c r="AE106" s="318"/>
      <c r="AF106" s="318"/>
      <c r="AG106" s="318"/>
      <c r="AH106" s="267"/>
      <c r="AI106" s="251"/>
      <c r="AJ106" s="323"/>
      <c r="AK106" s="323"/>
      <c r="AL106" s="323"/>
      <c r="AM106" s="323"/>
      <c r="AN106" s="323"/>
      <c r="AO106" s="323"/>
      <c r="AP106" s="323"/>
      <c r="AQ106" s="323"/>
      <c r="AR106" s="323"/>
      <c r="AS106" s="323"/>
      <c r="AT106" s="323"/>
      <c r="AU106" s="323"/>
      <c r="AV106" s="323"/>
      <c r="AW106" s="323"/>
      <c r="AX106" s="323"/>
      <c r="AY106" s="323"/>
      <c r="AZ106" s="351"/>
      <c r="BA106" s="326"/>
      <c r="BB106" s="326"/>
      <c r="BC106" s="326"/>
      <c r="BD106" s="326"/>
      <c r="BE106" s="326"/>
      <c r="BF106" s="351"/>
      <c r="BG106" s="332"/>
      <c r="BH106" s="332"/>
      <c r="BI106" s="332"/>
      <c r="BJ106" s="332"/>
      <c r="BK106" s="332"/>
      <c r="BL106" s="332"/>
      <c r="BM106" s="332"/>
      <c r="BN106" s="251"/>
      <c r="BO106" s="340"/>
      <c r="BP106" s="337"/>
      <c r="BQ106" s="340"/>
      <c r="BR106" s="340"/>
      <c r="BS106" s="340"/>
      <c r="BT106" s="340"/>
      <c r="BU106" s="340"/>
      <c r="BV106" s="340"/>
      <c r="BW106" s="340"/>
      <c r="BX106" s="251"/>
      <c r="BY106" s="345"/>
      <c r="BZ106" s="345"/>
      <c r="CA106" s="345"/>
      <c r="CB106" s="346"/>
      <c r="CC106" s="345"/>
      <c r="CD106" s="345"/>
      <c r="CE106" s="345"/>
      <c r="CF106" s="345"/>
      <c r="CG106" s="345"/>
      <c r="CH106" s="345"/>
      <c r="CI106" s="345"/>
      <c r="CJ106" s="346"/>
      <c r="CK106" s="346"/>
    </row>
    <row r="107">
      <c r="A107" s="821"/>
      <c r="B107" s="241" t="s">
        <v>155</v>
      </c>
      <c r="C107" s="237" t="s">
        <v>155</v>
      </c>
      <c r="D107" s="238" t="s">
        <v>155</v>
      </c>
      <c r="E107" s="239" t="s">
        <v>155</v>
      </c>
      <c r="F107" s="240" t="s">
        <v>155</v>
      </c>
      <c r="G107" s="241" t="s">
        <v>155</v>
      </c>
      <c r="H107" s="308"/>
      <c r="I107" s="308"/>
      <c r="J107" s="308"/>
      <c r="K107" s="308"/>
      <c r="L107" s="308"/>
      <c r="M107" s="308"/>
      <c r="N107" s="308"/>
      <c r="O107" s="308"/>
      <c r="P107" s="251"/>
      <c r="Q107" s="353"/>
      <c r="R107" s="353"/>
      <c r="S107" s="353"/>
      <c r="T107" s="353"/>
      <c r="U107" s="353"/>
      <c r="V107" s="353"/>
      <c r="W107" s="251"/>
      <c r="X107" s="318"/>
      <c r="Y107" s="318"/>
      <c r="Z107" s="318"/>
      <c r="AA107" s="617"/>
      <c r="AB107" s="318"/>
      <c r="AC107" s="318"/>
      <c r="AD107" s="318"/>
      <c r="AE107" s="318"/>
      <c r="AF107" s="318"/>
      <c r="AG107" s="318"/>
      <c r="AH107" s="267"/>
      <c r="AI107" s="251"/>
      <c r="AJ107" s="323"/>
      <c r="AK107" s="323"/>
      <c r="AL107" s="323"/>
      <c r="AM107" s="323"/>
      <c r="AN107" s="323"/>
      <c r="AO107" s="323"/>
      <c r="AP107" s="323"/>
      <c r="AQ107" s="323"/>
      <c r="AR107" s="323"/>
      <c r="AS107" s="323"/>
      <c r="AT107" s="323"/>
      <c r="AU107" s="323"/>
      <c r="AV107" s="323"/>
      <c r="AW107" s="323"/>
      <c r="AX107" s="323"/>
      <c r="AY107" s="323"/>
      <c r="AZ107" s="351"/>
      <c r="BA107" s="326"/>
      <c r="BB107" s="326"/>
      <c r="BC107" s="326"/>
      <c r="BD107" s="326"/>
      <c r="BE107" s="326"/>
      <c r="BF107" s="351"/>
      <c r="BG107" s="332"/>
      <c r="BH107" s="332"/>
      <c r="BI107" s="332"/>
      <c r="BJ107" s="332"/>
      <c r="BK107" s="332"/>
      <c r="BL107" s="332"/>
      <c r="BM107" s="332"/>
      <c r="BN107" s="251"/>
      <c r="BO107" s="340"/>
      <c r="BP107" s="337"/>
      <c r="BQ107" s="340"/>
      <c r="BR107" s="340"/>
      <c r="BS107" s="340"/>
      <c r="BT107" s="340"/>
      <c r="BU107" s="340"/>
      <c r="BV107" s="340"/>
      <c r="BW107" s="340"/>
      <c r="BX107" s="251"/>
      <c r="BY107" s="345"/>
      <c r="BZ107" s="345"/>
      <c r="CA107" s="345"/>
      <c r="CB107" s="346"/>
      <c r="CC107" s="345"/>
      <c r="CD107" s="345"/>
      <c r="CE107" s="345"/>
      <c r="CF107" s="345"/>
      <c r="CG107" s="345"/>
      <c r="CH107" s="345"/>
      <c r="CI107" s="345"/>
      <c r="CJ107" s="346"/>
      <c r="CK107" s="346"/>
    </row>
    <row r="108">
      <c r="A108" s="821"/>
      <c r="B108" s="241" t="s">
        <v>155</v>
      </c>
      <c r="C108" s="237" t="s">
        <v>155</v>
      </c>
      <c r="D108" s="238" t="s">
        <v>155</v>
      </c>
      <c r="E108" s="239" t="s">
        <v>155</v>
      </c>
      <c r="F108" s="240" t="s">
        <v>155</v>
      </c>
      <c r="G108" s="241" t="s">
        <v>155</v>
      </c>
      <c r="H108" s="308"/>
      <c r="I108" s="308"/>
      <c r="J108" s="308"/>
      <c r="K108" s="308"/>
      <c r="L108" s="308"/>
      <c r="M108" s="308"/>
      <c r="N108" s="308"/>
      <c r="O108" s="308"/>
      <c r="P108" s="251"/>
      <c r="Q108" s="353"/>
      <c r="R108" s="353"/>
      <c r="S108" s="353"/>
      <c r="T108" s="353"/>
      <c r="U108" s="353"/>
      <c r="V108" s="353"/>
      <c r="W108" s="251"/>
      <c r="X108" s="318"/>
      <c r="Y108" s="318"/>
      <c r="Z108" s="318"/>
      <c r="AA108" s="617"/>
      <c r="AB108" s="318"/>
      <c r="AC108" s="318"/>
      <c r="AD108" s="318"/>
      <c r="AE108" s="318"/>
      <c r="AF108" s="318"/>
      <c r="AG108" s="318"/>
      <c r="AH108" s="267"/>
      <c r="AI108" s="251"/>
      <c r="AJ108" s="323"/>
      <c r="AK108" s="323"/>
      <c r="AL108" s="323"/>
      <c r="AM108" s="323"/>
      <c r="AN108" s="323"/>
      <c r="AO108" s="323"/>
      <c r="AP108" s="323"/>
      <c r="AQ108" s="323"/>
      <c r="AR108" s="323"/>
      <c r="AS108" s="323"/>
      <c r="AT108" s="323"/>
      <c r="AU108" s="323"/>
      <c r="AV108" s="323"/>
      <c r="AW108" s="323"/>
      <c r="AX108" s="323"/>
      <c r="AY108" s="323"/>
      <c r="AZ108" s="351"/>
      <c r="BA108" s="326"/>
      <c r="BB108" s="326"/>
      <c r="BC108" s="326"/>
      <c r="BD108" s="326"/>
      <c r="BE108" s="326"/>
      <c r="BF108" s="351"/>
      <c r="BG108" s="332"/>
      <c r="BH108" s="332"/>
      <c r="BI108" s="332"/>
      <c r="BJ108" s="332"/>
      <c r="BK108" s="332"/>
      <c r="BL108" s="332"/>
      <c r="BM108" s="332"/>
      <c r="BN108" s="251"/>
      <c r="BO108" s="340"/>
      <c r="BP108" s="337"/>
      <c r="BQ108" s="340"/>
      <c r="BR108" s="340"/>
      <c r="BS108" s="340"/>
      <c r="BT108" s="340"/>
      <c r="BU108" s="340"/>
      <c r="BV108" s="340"/>
      <c r="BW108" s="340"/>
      <c r="BX108" s="251"/>
      <c r="BY108" s="345"/>
      <c r="BZ108" s="345"/>
      <c r="CA108" s="345"/>
      <c r="CB108" s="346"/>
      <c r="CC108" s="345"/>
      <c r="CD108" s="345"/>
      <c r="CE108" s="345"/>
      <c r="CF108" s="345"/>
      <c r="CG108" s="345"/>
      <c r="CH108" s="345"/>
      <c r="CI108" s="345"/>
      <c r="CJ108" s="346"/>
      <c r="CK108" s="346"/>
    </row>
    <row r="109">
      <c r="A109" s="821"/>
      <c r="B109" s="241" t="s">
        <v>155</v>
      </c>
      <c r="C109" s="237" t="s">
        <v>155</v>
      </c>
      <c r="D109" s="238" t="s">
        <v>155</v>
      </c>
      <c r="E109" s="239" t="s">
        <v>155</v>
      </c>
      <c r="F109" s="240" t="s">
        <v>155</v>
      </c>
      <c r="G109" s="241" t="s">
        <v>155</v>
      </c>
      <c r="H109" s="308"/>
      <c r="I109" s="308"/>
      <c r="J109" s="308"/>
      <c r="K109" s="308"/>
      <c r="L109" s="308"/>
      <c r="M109" s="308"/>
      <c r="N109" s="308"/>
      <c r="O109" s="308"/>
      <c r="P109" s="251"/>
      <c r="Q109" s="353"/>
      <c r="R109" s="353"/>
      <c r="S109" s="353"/>
      <c r="T109" s="353"/>
      <c r="U109" s="353"/>
      <c r="V109" s="353"/>
      <c r="W109" s="251"/>
      <c r="X109" s="318"/>
      <c r="Y109" s="318"/>
      <c r="Z109" s="318"/>
      <c r="AA109" s="617"/>
      <c r="AB109" s="318"/>
      <c r="AC109" s="318"/>
      <c r="AD109" s="318"/>
      <c r="AE109" s="318"/>
      <c r="AF109" s="318"/>
      <c r="AG109" s="318"/>
      <c r="AH109" s="267"/>
      <c r="AI109" s="251"/>
      <c r="AJ109" s="323"/>
      <c r="AK109" s="323"/>
      <c r="AL109" s="323"/>
      <c r="AM109" s="323"/>
      <c r="AN109" s="323"/>
      <c r="AO109" s="323"/>
      <c r="AP109" s="323"/>
      <c r="AQ109" s="323"/>
      <c r="AR109" s="323"/>
      <c r="AS109" s="323"/>
      <c r="AT109" s="323"/>
      <c r="AU109" s="323"/>
      <c r="AV109" s="323"/>
      <c r="AW109" s="323"/>
      <c r="AX109" s="323"/>
      <c r="AY109" s="323"/>
      <c r="AZ109" s="351"/>
      <c r="BA109" s="326"/>
      <c r="BB109" s="326"/>
      <c r="BC109" s="326"/>
      <c r="BD109" s="326"/>
      <c r="BE109" s="326"/>
      <c r="BF109" s="351"/>
      <c r="BG109" s="332"/>
      <c r="BH109" s="332"/>
      <c r="BI109" s="332"/>
      <c r="BJ109" s="332"/>
      <c r="BK109" s="332"/>
      <c r="BL109" s="332"/>
      <c r="BM109" s="332"/>
      <c r="BN109" s="251"/>
      <c r="BO109" s="340"/>
      <c r="BP109" s="337"/>
      <c r="BQ109" s="340"/>
      <c r="BR109" s="340"/>
      <c r="BS109" s="340"/>
      <c r="BT109" s="340"/>
      <c r="BU109" s="340"/>
      <c r="BV109" s="340"/>
      <c r="BW109" s="340"/>
      <c r="BX109" s="251"/>
      <c r="BY109" s="345"/>
      <c r="BZ109" s="345"/>
      <c r="CA109" s="345"/>
      <c r="CB109" s="346"/>
      <c r="CC109" s="345"/>
      <c r="CD109" s="345"/>
      <c r="CE109" s="345"/>
      <c r="CF109" s="345"/>
      <c r="CG109" s="345"/>
      <c r="CH109" s="345"/>
      <c r="CI109" s="345"/>
      <c r="CJ109" s="346"/>
      <c r="CK109" s="346"/>
    </row>
    <row r="110">
      <c r="A110" s="821"/>
      <c r="B110" s="241" t="s">
        <v>155</v>
      </c>
      <c r="C110" s="237" t="s">
        <v>155</v>
      </c>
      <c r="D110" s="238" t="s">
        <v>155</v>
      </c>
      <c r="E110" s="239" t="s">
        <v>155</v>
      </c>
      <c r="F110" s="240" t="s">
        <v>155</v>
      </c>
      <c r="G110" s="241" t="s">
        <v>155</v>
      </c>
      <c r="H110" s="308"/>
      <c r="I110" s="308"/>
      <c r="J110" s="308"/>
      <c r="K110" s="308"/>
      <c r="L110" s="308"/>
      <c r="M110" s="308"/>
      <c r="N110" s="308"/>
      <c r="O110" s="308"/>
      <c r="P110" s="251"/>
      <c r="Q110" s="353"/>
      <c r="R110" s="353"/>
      <c r="S110" s="353"/>
      <c r="T110" s="353"/>
      <c r="U110" s="353"/>
      <c r="V110" s="353"/>
      <c r="W110" s="251"/>
      <c r="X110" s="318"/>
      <c r="Y110" s="318"/>
      <c r="Z110" s="318"/>
      <c r="AA110" s="617"/>
      <c r="AB110" s="318"/>
      <c r="AC110" s="318"/>
      <c r="AD110" s="318"/>
      <c r="AE110" s="318"/>
      <c r="AF110" s="318"/>
      <c r="AG110" s="318"/>
      <c r="AH110" s="267"/>
      <c r="AI110" s="251"/>
      <c r="AJ110" s="323"/>
      <c r="AK110" s="323"/>
      <c r="AL110" s="323"/>
      <c r="AM110" s="323"/>
      <c r="AN110" s="323"/>
      <c r="AO110" s="323"/>
      <c r="AP110" s="323"/>
      <c r="AQ110" s="323"/>
      <c r="AR110" s="323"/>
      <c r="AS110" s="323"/>
      <c r="AT110" s="323"/>
      <c r="AU110" s="323"/>
      <c r="AV110" s="323"/>
      <c r="AW110" s="323"/>
      <c r="AX110" s="323"/>
      <c r="AY110" s="323"/>
      <c r="AZ110" s="351"/>
      <c r="BA110" s="326"/>
      <c r="BB110" s="326"/>
      <c r="BC110" s="326"/>
      <c r="BD110" s="326"/>
      <c r="BE110" s="326"/>
      <c r="BF110" s="351"/>
      <c r="BG110" s="332"/>
      <c r="BH110" s="332"/>
      <c r="BI110" s="332"/>
      <c r="BJ110" s="332"/>
      <c r="BK110" s="332"/>
      <c r="BL110" s="332"/>
      <c r="BM110" s="332"/>
      <c r="BN110" s="251"/>
      <c r="BO110" s="340"/>
      <c r="BP110" s="337"/>
      <c r="BQ110" s="340"/>
      <c r="BR110" s="340"/>
      <c r="BS110" s="340"/>
      <c r="BT110" s="340"/>
      <c r="BU110" s="340"/>
      <c r="BV110" s="340"/>
      <c r="BW110" s="340"/>
      <c r="BX110" s="251"/>
      <c r="BY110" s="345"/>
      <c r="BZ110" s="345"/>
      <c r="CA110" s="345"/>
      <c r="CB110" s="346"/>
      <c r="CC110" s="345"/>
      <c r="CD110" s="345"/>
      <c r="CE110" s="345"/>
      <c r="CF110" s="345"/>
      <c r="CG110" s="345"/>
      <c r="CH110" s="345"/>
      <c r="CI110" s="345"/>
      <c r="CJ110" s="346"/>
      <c r="CK110" s="346"/>
    </row>
    <row r="111">
      <c r="A111" s="821"/>
      <c r="B111" s="241" t="s">
        <v>155</v>
      </c>
      <c r="C111" s="237" t="s">
        <v>155</v>
      </c>
      <c r="D111" s="238" t="s">
        <v>155</v>
      </c>
      <c r="E111" s="239" t="s">
        <v>155</v>
      </c>
      <c r="F111" s="240" t="s">
        <v>155</v>
      </c>
      <c r="G111" s="241" t="s">
        <v>155</v>
      </c>
      <c r="H111" s="308"/>
      <c r="I111" s="308"/>
      <c r="J111" s="308"/>
      <c r="K111" s="308"/>
      <c r="L111" s="308"/>
      <c r="M111" s="308"/>
      <c r="N111" s="308"/>
      <c r="O111" s="308"/>
      <c r="P111" s="251"/>
      <c r="Q111" s="353"/>
      <c r="R111" s="353"/>
      <c r="S111" s="353"/>
      <c r="T111" s="353"/>
      <c r="U111" s="353"/>
      <c r="V111" s="353"/>
      <c r="W111" s="251"/>
      <c r="X111" s="318"/>
      <c r="Y111" s="318"/>
      <c r="Z111" s="318"/>
      <c r="AA111" s="617"/>
      <c r="AB111" s="318"/>
      <c r="AC111" s="318"/>
      <c r="AD111" s="318"/>
      <c r="AE111" s="318"/>
      <c r="AF111" s="318"/>
      <c r="AG111" s="318"/>
      <c r="AH111" s="267"/>
      <c r="AI111" s="251"/>
      <c r="AJ111" s="323"/>
      <c r="AK111" s="323"/>
      <c r="AL111" s="323"/>
      <c r="AM111" s="323"/>
      <c r="AN111" s="323"/>
      <c r="AO111" s="323"/>
      <c r="AP111" s="323"/>
      <c r="AQ111" s="323"/>
      <c r="AR111" s="323"/>
      <c r="AS111" s="323"/>
      <c r="AT111" s="323"/>
      <c r="AU111" s="323"/>
      <c r="AV111" s="323"/>
      <c r="AW111" s="323"/>
      <c r="AX111" s="323"/>
      <c r="AY111" s="323"/>
      <c r="AZ111" s="351"/>
      <c r="BA111" s="326"/>
      <c r="BB111" s="326"/>
      <c r="BC111" s="326"/>
      <c r="BD111" s="326"/>
      <c r="BE111" s="326"/>
      <c r="BF111" s="351"/>
      <c r="BG111" s="332"/>
      <c r="BH111" s="332"/>
      <c r="BI111" s="332"/>
      <c r="BJ111" s="332"/>
      <c r="BK111" s="332"/>
      <c r="BL111" s="332"/>
      <c r="BM111" s="332"/>
      <c r="BN111" s="251"/>
      <c r="BO111" s="340"/>
      <c r="BP111" s="337"/>
      <c r="BQ111" s="340"/>
      <c r="BR111" s="340"/>
      <c r="BS111" s="340"/>
      <c r="BT111" s="340"/>
      <c r="BU111" s="340"/>
      <c r="BV111" s="340"/>
      <c r="BW111" s="340"/>
      <c r="BX111" s="251"/>
      <c r="BY111" s="345"/>
      <c r="BZ111" s="345"/>
      <c r="CA111" s="345"/>
      <c r="CB111" s="346"/>
      <c r="CC111" s="345"/>
      <c r="CD111" s="345"/>
      <c r="CE111" s="345"/>
      <c r="CF111" s="345"/>
      <c r="CG111" s="345"/>
      <c r="CH111" s="345"/>
      <c r="CI111" s="345"/>
      <c r="CJ111" s="346"/>
      <c r="CK111" s="346"/>
    </row>
    <row r="112">
      <c r="A112" s="821"/>
      <c r="B112" s="241" t="s">
        <v>155</v>
      </c>
      <c r="C112" s="237" t="s">
        <v>155</v>
      </c>
      <c r="D112" s="238" t="s">
        <v>155</v>
      </c>
      <c r="E112" s="239" t="s">
        <v>155</v>
      </c>
      <c r="F112" s="240" t="s">
        <v>155</v>
      </c>
      <c r="G112" s="241" t="s">
        <v>155</v>
      </c>
      <c r="H112" s="308"/>
      <c r="I112" s="308"/>
      <c r="J112" s="308"/>
      <c r="K112" s="308"/>
      <c r="L112" s="308"/>
      <c r="M112" s="308"/>
      <c r="N112" s="308"/>
      <c r="O112" s="308"/>
      <c r="P112" s="251"/>
      <c r="Q112" s="353"/>
      <c r="R112" s="353"/>
      <c r="S112" s="353"/>
      <c r="T112" s="353"/>
      <c r="U112" s="353"/>
      <c r="V112" s="353"/>
      <c r="W112" s="251"/>
      <c r="X112" s="318"/>
      <c r="Y112" s="318"/>
      <c r="Z112" s="318"/>
      <c r="AA112" s="617"/>
      <c r="AB112" s="318"/>
      <c r="AC112" s="318"/>
      <c r="AD112" s="318"/>
      <c r="AE112" s="318"/>
      <c r="AF112" s="318"/>
      <c r="AG112" s="318"/>
      <c r="AH112" s="267"/>
      <c r="AI112" s="251"/>
      <c r="AJ112" s="323"/>
      <c r="AK112" s="323"/>
      <c r="AL112" s="323"/>
      <c r="AM112" s="323"/>
      <c r="AN112" s="323"/>
      <c r="AO112" s="323"/>
      <c r="AP112" s="323"/>
      <c r="AQ112" s="323"/>
      <c r="AR112" s="323"/>
      <c r="AS112" s="323"/>
      <c r="AT112" s="323"/>
      <c r="AU112" s="323"/>
      <c r="AV112" s="323"/>
      <c r="AW112" s="323"/>
      <c r="AX112" s="323"/>
      <c r="AY112" s="323"/>
      <c r="AZ112" s="351"/>
      <c r="BA112" s="326"/>
      <c r="BB112" s="326"/>
      <c r="BC112" s="326"/>
      <c r="BD112" s="326"/>
      <c r="BE112" s="326"/>
      <c r="BF112" s="351"/>
      <c r="BG112" s="332"/>
      <c r="BH112" s="332"/>
      <c r="BI112" s="332"/>
      <c r="BJ112" s="332"/>
      <c r="BK112" s="332"/>
      <c r="BL112" s="332"/>
      <c r="BM112" s="332"/>
      <c r="BN112" s="251"/>
      <c r="BO112" s="340"/>
      <c r="BP112" s="337"/>
      <c r="BQ112" s="340"/>
      <c r="BR112" s="340"/>
      <c r="BS112" s="340"/>
      <c r="BT112" s="340"/>
      <c r="BU112" s="340"/>
      <c r="BV112" s="340"/>
      <c r="BW112" s="340"/>
      <c r="BX112" s="251"/>
      <c r="BY112" s="345"/>
      <c r="BZ112" s="345"/>
      <c r="CA112" s="345"/>
      <c r="CB112" s="346"/>
      <c r="CC112" s="345"/>
      <c r="CD112" s="345"/>
      <c r="CE112" s="345"/>
      <c r="CF112" s="345"/>
      <c r="CG112" s="345"/>
      <c r="CH112" s="345"/>
      <c r="CI112" s="345"/>
      <c r="CJ112" s="346"/>
      <c r="CK112" s="346"/>
    </row>
    <row r="113">
      <c r="A113" s="821"/>
      <c r="B113" s="241" t="s">
        <v>155</v>
      </c>
      <c r="C113" s="237" t="s">
        <v>155</v>
      </c>
      <c r="D113" s="238" t="s">
        <v>155</v>
      </c>
      <c r="E113" s="239" t="s">
        <v>155</v>
      </c>
      <c r="F113" s="240" t="s">
        <v>155</v>
      </c>
      <c r="G113" s="241" t="s">
        <v>155</v>
      </c>
      <c r="H113" s="308"/>
      <c r="I113" s="308"/>
      <c r="J113" s="308"/>
      <c r="K113" s="308"/>
      <c r="L113" s="308"/>
      <c r="M113" s="308"/>
      <c r="N113" s="308"/>
      <c r="O113" s="308"/>
      <c r="P113" s="251"/>
      <c r="Q113" s="353"/>
      <c r="R113" s="353"/>
      <c r="S113" s="353"/>
      <c r="T113" s="353"/>
      <c r="U113" s="353"/>
      <c r="V113" s="353"/>
      <c r="W113" s="251"/>
      <c r="X113" s="318"/>
      <c r="Y113" s="318"/>
      <c r="Z113" s="318"/>
      <c r="AA113" s="617"/>
      <c r="AB113" s="318"/>
      <c r="AC113" s="318"/>
      <c r="AD113" s="318"/>
      <c r="AE113" s="318"/>
      <c r="AF113" s="318"/>
      <c r="AG113" s="318"/>
      <c r="AH113" s="267"/>
      <c r="AI113" s="251"/>
      <c r="AJ113" s="323"/>
      <c r="AK113" s="323"/>
      <c r="AL113" s="323"/>
      <c r="AM113" s="323"/>
      <c r="AN113" s="323"/>
      <c r="AO113" s="323"/>
      <c r="AP113" s="323"/>
      <c r="AQ113" s="323"/>
      <c r="AR113" s="323"/>
      <c r="AS113" s="323"/>
      <c r="AT113" s="323"/>
      <c r="AU113" s="323"/>
      <c r="AV113" s="323"/>
      <c r="AW113" s="323"/>
      <c r="AX113" s="323"/>
      <c r="AY113" s="323"/>
      <c r="AZ113" s="351"/>
      <c r="BA113" s="326"/>
      <c r="BB113" s="326"/>
      <c r="BC113" s="326"/>
      <c r="BD113" s="326"/>
      <c r="BE113" s="326"/>
      <c r="BF113" s="351"/>
      <c r="BG113" s="332"/>
      <c r="BH113" s="332"/>
      <c r="BI113" s="332"/>
      <c r="BJ113" s="332"/>
      <c r="BK113" s="332"/>
      <c r="BL113" s="332"/>
      <c r="BM113" s="332"/>
      <c r="BN113" s="251"/>
      <c r="BO113" s="340"/>
      <c r="BP113" s="337"/>
      <c r="BQ113" s="340"/>
      <c r="BR113" s="340"/>
      <c r="BS113" s="340"/>
      <c r="BT113" s="340"/>
      <c r="BU113" s="340"/>
      <c r="BV113" s="340"/>
      <c r="BW113" s="340"/>
      <c r="BX113" s="251"/>
      <c r="BY113" s="345"/>
      <c r="BZ113" s="345"/>
      <c r="CA113" s="345"/>
      <c r="CB113" s="346"/>
      <c r="CC113" s="345"/>
      <c r="CD113" s="345"/>
      <c r="CE113" s="345"/>
      <c r="CF113" s="345"/>
      <c r="CG113" s="345"/>
      <c r="CH113" s="345"/>
      <c r="CI113" s="345"/>
      <c r="CJ113" s="346"/>
      <c r="CK113" s="346"/>
    </row>
    <row r="114">
      <c r="A114" s="821"/>
      <c r="B114" s="241" t="s">
        <v>155</v>
      </c>
      <c r="C114" s="237" t="s">
        <v>155</v>
      </c>
      <c r="D114" s="238" t="s">
        <v>155</v>
      </c>
      <c r="E114" s="239" t="s">
        <v>155</v>
      </c>
      <c r="F114" s="240" t="s">
        <v>155</v>
      </c>
      <c r="G114" s="241" t="s">
        <v>155</v>
      </c>
      <c r="H114" s="308"/>
      <c r="I114" s="308"/>
      <c r="J114" s="308"/>
      <c r="K114" s="308"/>
      <c r="L114" s="308"/>
      <c r="M114" s="308"/>
      <c r="N114" s="308"/>
      <c r="O114" s="308"/>
      <c r="P114" s="251"/>
      <c r="Q114" s="353"/>
      <c r="R114" s="353"/>
      <c r="S114" s="353"/>
      <c r="T114" s="353"/>
      <c r="U114" s="353"/>
      <c r="V114" s="353"/>
      <c r="W114" s="251"/>
      <c r="X114" s="318"/>
      <c r="Y114" s="318"/>
      <c r="Z114" s="318"/>
      <c r="AA114" s="617"/>
      <c r="AB114" s="318"/>
      <c r="AC114" s="318"/>
      <c r="AD114" s="318"/>
      <c r="AE114" s="318"/>
      <c r="AF114" s="318"/>
      <c r="AG114" s="318"/>
      <c r="AH114" s="267"/>
      <c r="AI114" s="251"/>
      <c r="AJ114" s="323"/>
      <c r="AK114" s="323"/>
      <c r="AL114" s="323"/>
      <c r="AM114" s="323"/>
      <c r="AN114" s="323"/>
      <c r="AO114" s="323"/>
      <c r="AP114" s="323"/>
      <c r="AQ114" s="323"/>
      <c r="AR114" s="323"/>
      <c r="AS114" s="323"/>
      <c r="AT114" s="323"/>
      <c r="AU114" s="323"/>
      <c r="AV114" s="323"/>
      <c r="AW114" s="323"/>
      <c r="AX114" s="323"/>
      <c r="AY114" s="323"/>
      <c r="AZ114" s="351"/>
      <c r="BA114" s="326"/>
      <c r="BB114" s="326"/>
      <c r="BC114" s="326"/>
      <c r="BD114" s="326"/>
      <c r="BE114" s="326"/>
      <c r="BF114" s="351"/>
      <c r="BG114" s="332"/>
      <c r="BH114" s="332"/>
      <c r="BI114" s="332"/>
      <c r="BJ114" s="332"/>
      <c r="BK114" s="332"/>
      <c r="BL114" s="332"/>
      <c r="BM114" s="332"/>
      <c r="BN114" s="251"/>
      <c r="BO114" s="340"/>
      <c r="BP114" s="337"/>
      <c r="BQ114" s="340"/>
      <c r="BR114" s="340"/>
      <c r="BS114" s="340"/>
      <c r="BT114" s="340"/>
      <c r="BU114" s="340"/>
      <c r="BV114" s="340"/>
      <c r="BW114" s="340"/>
      <c r="BX114" s="251"/>
      <c r="BY114" s="345"/>
      <c r="BZ114" s="345"/>
      <c r="CA114" s="345"/>
      <c r="CB114" s="346"/>
      <c r="CC114" s="345"/>
      <c r="CD114" s="345"/>
      <c r="CE114" s="345"/>
      <c r="CF114" s="345"/>
      <c r="CG114" s="345"/>
      <c r="CH114" s="345"/>
      <c r="CI114" s="345"/>
      <c r="CJ114" s="346"/>
      <c r="CK114" s="346"/>
    </row>
    <row r="115">
      <c r="A115" s="821"/>
      <c r="B115" s="241" t="s">
        <v>155</v>
      </c>
      <c r="C115" s="237" t="s">
        <v>155</v>
      </c>
      <c r="D115" s="238" t="s">
        <v>155</v>
      </c>
      <c r="E115" s="239" t="s">
        <v>155</v>
      </c>
      <c r="F115" s="240" t="s">
        <v>155</v>
      </c>
      <c r="G115" s="241" t="s">
        <v>155</v>
      </c>
      <c r="H115" s="308"/>
      <c r="I115" s="308"/>
      <c r="J115" s="308"/>
      <c r="K115" s="308"/>
      <c r="L115" s="308"/>
      <c r="M115" s="308"/>
      <c r="N115" s="308"/>
      <c r="O115" s="308"/>
      <c r="P115" s="251"/>
      <c r="Q115" s="353"/>
      <c r="R115" s="353"/>
      <c r="S115" s="353"/>
      <c r="T115" s="353"/>
      <c r="U115" s="353"/>
      <c r="V115" s="353"/>
      <c r="W115" s="251"/>
      <c r="X115" s="318"/>
      <c r="Y115" s="318"/>
      <c r="Z115" s="318"/>
      <c r="AA115" s="617"/>
      <c r="AB115" s="318"/>
      <c r="AC115" s="318"/>
      <c r="AD115" s="318"/>
      <c r="AE115" s="318"/>
      <c r="AF115" s="318"/>
      <c r="AG115" s="318"/>
      <c r="AH115" s="267"/>
      <c r="AI115" s="251"/>
      <c r="AJ115" s="323"/>
      <c r="AK115" s="323"/>
      <c r="AL115" s="323"/>
      <c r="AM115" s="323"/>
      <c r="AN115" s="323"/>
      <c r="AO115" s="323"/>
      <c r="AP115" s="323"/>
      <c r="AQ115" s="323"/>
      <c r="AR115" s="323"/>
      <c r="AS115" s="323"/>
      <c r="AT115" s="323"/>
      <c r="AU115" s="323"/>
      <c r="AV115" s="323"/>
      <c r="AW115" s="323"/>
      <c r="AX115" s="323"/>
      <c r="AY115" s="323"/>
      <c r="AZ115" s="351"/>
      <c r="BA115" s="326"/>
      <c r="BB115" s="326"/>
      <c r="BC115" s="326"/>
      <c r="BD115" s="326"/>
      <c r="BE115" s="326"/>
      <c r="BF115" s="351"/>
      <c r="BG115" s="332"/>
      <c r="BH115" s="332"/>
      <c r="BI115" s="332"/>
      <c r="BJ115" s="332"/>
      <c r="BK115" s="332"/>
      <c r="BL115" s="332"/>
      <c r="BM115" s="332"/>
      <c r="BN115" s="251"/>
      <c r="BO115" s="340"/>
      <c r="BP115" s="337"/>
      <c r="BQ115" s="340"/>
      <c r="BR115" s="340"/>
      <c r="BS115" s="340"/>
      <c r="BT115" s="340"/>
      <c r="BU115" s="340"/>
      <c r="BV115" s="340"/>
      <c r="BW115" s="340"/>
      <c r="BX115" s="251"/>
      <c r="BY115" s="345"/>
      <c r="BZ115" s="345"/>
      <c r="CA115" s="345"/>
      <c r="CB115" s="346"/>
      <c r="CC115" s="345"/>
      <c r="CD115" s="345"/>
      <c r="CE115" s="345"/>
      <c r="CF115" s="345"/>
      <c r="CG115" s="345"/>
      <c r="CH115" s="345"/>
      <c r="CI115" s="345"/>
      <c r="CJ115" s="346"/>
      <c r="CK115" s="346"/>
    </row>
    <row r="116">
      <c r="A116" s="821"/>
      <c r="B116" s="241" t="s">
        <v>155</v>
      </c>
      <c r="C116" s="237" t="s">
        <v>155</v>
      </c>
      <c r="D116" s="238" t="s">
        <v>155</v>
      </c>
      <c r="E116" s="239" t="s">
        <v>155</v>
      </c>
      <c r="F116" s="240" t="s">
        <v>155</v>
      </c>
      <c r="G116" s="241" t="s">
        <v>155</v>
      </c>
      <c r="H116" s="308"/>
      <c r="I116" s="308"/>
      <c r="J116" s="308"/>
      <c r="K116" s="308"/>
      <c r="L116" s="308"/>
      <c r="M116" s="308"/>
      <c r="N116" s="308"/>
      <c r="O116" s="308"/>
      <c r="P116" s="251"/>
      <c r="Q116" s="353"/>
      <c r="R116" s="353"/>
      <c r="S116" s="353"/>
      <c r="T116" s="353"/>
      <c r="U116" s="353"/>
      <c r="V116" s="353"/>
      <c r="W116" s="251"/>
      <c r="X116" s="318"/>
      <c r="Y116" s="318"/>
      <c r="Z116" s="318"/>
      <c r="AA116" s="617"/>
      <c r="AB116" s="318"/>
      <c r="AC116" s="318"/>
      <c r="AD116" s="318"/>
      <c r="AE116" s="318"/>
      <c r="AF116" s="318"/>
      <c r="AG116" s="318"/>
      <c r="AH116" s="267"/>
      <c r="AI116" s="251"/>
      <c r="AJ116" s="323"/>
      <c r="AK116" s="323"/>
      <c r="AL116" s="323"/>
      <c r="AM116" s="323"/>
      <c r="AN116" s="323"/>
      <c r="AO116" s="323"/>
      <c r="AP116" s="323"/>
      <c r="AQ116" s="323"/>
      <c r="AR116" s="323"/>
      <c r="AS116" s="323"/>
      <c r="AT116" s="323"/>
      <c r="AU116" s="323"/>
      <c r="AV116" s="323"/>
      <c r="AW116" s="323"/>
      <c r="AX116" s="323"/>
      <c r="AY116" s="323"/>
      <c r="AZ116" s="351"/>
      <c r="BA116" s="326"/>
      <c r="BB116" s="326"/>
      <c r="BC116" s="326"/>
      <c r="BD116" s="326"/>
      <c r="BE116" s="326"/>
      <c r="BF116" s="351"/>
      <c r="BG116" s="332"/>
      <c r="BH116" s="332"/>
      <c r="BI116" s="332"/>
      <c r="BJ116" s="332"/>
      <c r="BK116" s="332"/>
      <c r="BL116" s="332"/>
      <c r="BM116" s="332"/>
      <c r="BN116" s="251"/>
      <c r="BO116" s="340"/>
      <c r="BP116" s="337"/>
      <c r="BQ116" s="340"/>
      <c r="BR116" s="340"/>
      <c r="BS116" s="340"/>
      <c r="BT116" s="340"/>
      <c r="BU116" s="340"/>
      <c r="BV116" s="340"/>
      <c r="BW116" s="340"/>
      <c r="BX116" s="251"/>
      <c r="BY116" s="345"/>
      <c r="BZ116" s="345"/>
      <c r="CA116" s="345"/>
      <c r="CB116" s="346"/>
      <c r="CC116" s="345"/>
      <c r="CD116" s="345"/>
      <c r="CE116" s="345"/>
      <c r="CF116" s="345"/>
      <c r="CG116" s="345"/>
      <c r="CH116" s="345"/>
      <c r="CI116" s="345"/>
      <c r="CJ116" s="346"/>
      <c r="CK116" s="346"/>
    </row>
    <row r="117">
      <c r="A117" s="821"/>
      <c r="B117" s="241" t="s">
        <v>155</v>
      </c>
      <c r="C117" s="237" t="s">
        <v>155</v>
      </c>
      <c r="D117" s="238" t="s">
        <v>155</v>
      </c>
      <c r="E117" s="239" t="s">
        <v>155</v>
      </c>
      <c r="F117" s="240" t="s">
        <v>155</v>
      </c>
      <c r="G117" s="241" t="s">
        <v>155</v>
      </c>
      <c r="H117" s="308"/>
      <c r="I117" s="308"/>
      <c r="J117" s="308"/>
      <c r="K117" s="308"/>
      <c r="L117" s="308"/>
      <c r="M117" s="308"/>
      <c r="N117" s="308"/>
      <c r="O117" s="308"/>
      <c r="P117" s="251"/>
      <c r="Q117" s="353"/>
      <c r="R117" s="353"/>
      <c r="S117" s="353"/>
      <c r="T117" s="353"/>
      <c r="U117" s="353"/>
      <c r="V117" s="353"/>
      <c r="W117" s="251"/>
      <c r="X117" s="318"/>
      <c r="Y117" s="318"/>
      <c r="Z117" s="318"/>
      <c r="AA117" s="617"/>
      <c r="AB117" s="318"/>
      <c r="AC117" s="318"/>
      <c r="AD117" s="318"/>
      <c r="AE117" s="318"/>
      <c r="AF117" s="318"/>
      <c r="AG117" s="318"/>
      <c r="AH117" s="267"/>
      <c r="AI117" s="251"/>
      <c r="AJ117" s="323"/>
      <c r="AK117" s="323"/>
      <c r="AL117" s="323"/>
      <c r="AM117" s="323"/>
      <c r="AN117" s="323"/>
      <c r="AO117" s="323"/>
      <c r="AP117" s="323"/>
      <c r="AQ117" s="323"/>
      <c r="AR117" s="323"/>
      <c r="AS117" s="323"/>
      <c r="AT117" s="323"/>
      <c r="AU117" s="323"/>
      <c r="AV117" s="323"/>
      <c r="AW117" s="323"/>
      <c r="AX117" s="323"/>
      <c r="AY117" s="323"/>
      <c r="AZ117" s="351"/>
      <c r="BA117" s="326"/>
      <c r="BB117" s="326"/>
      <c r="BC117" s="326"/>
      <c r="BD117" s="326"/>
      <c r="BE117" s="326"/>
      <c r="BF117" s="351"/>
      <c r="BG117" s="332"/>
      <c r="BH117" s="332"/>
      <c r="BI117" s="332"/>
      <c r="BJ117" s="332"/>
      <c r="BK117" s="332"/>
      <c r="BL117" s="332"/>
      <c r="BM117" s="332"/>
      <c r="BN117" s="251"/>
      <c r="BO117" s="340"/>
      <c r="BP117" s="337"/>
      <c r="BQ117" s="340"/>
      <c r="BR117" s="340"/>
      <c r="BS117" s="340"/>
      <c r="BT117" s="340"/>
      <c r="BU117" s="340"/>
      <c r="BV117" s="340"/>
      <c r="BW117" s="340"/>
      <c r="BX117" s="251"/>
      <c r="BY117" s="345"/>
      <c r="BZ117" s="345"/>
      <c r="CA117" s="345"/>
      <c r="CB117" s="346"/>
      <c r="CC117" s="345"/>
      <c r="CD117" s="345"/>
      <c r="CE117" s="345"/>
      <c r="CF117" s="345"/>
      <c r="CG117" s="345"/>
      <c r="CH117" s="345"/>
      <c r="CI117" s="345"/>
      <c r="CJ117" s="346"/>
      <c r="CK117" s="346"/>
    </row>
    <row r="118">
      <c r="A118" s="821"/>
      <c r="B118" s="241" t="s">
        <v>155</v>
      </c>
      <c r="C118" s="237" t="s">
        <v>155</v>
      </c>
      <c r="D118" s="238" t="s">
        <v>155</v>
      </c>
      <c r="E118" s="239" t="s">
        <v>155</v>
      </c>
      <c r="F118" s="240" t="s">
        <v>155</v>
      </c>
      <c r="G118" s="241" t="s">
        <v>155</v>
      </c>
      <c r="H118" s="308"/>
      <c r="I118" s="308"/>
      <c r="J118" s="308"/>
      <c r="K118" s="308"/>
      <c r="L118" s="308"/>
      <c r="M118" s="308"/>
      <c r="N118" s="308"/>
      <c r="O118" s="308"/>
      <c r="P118" s="251"/>
      <c r="Q118" s="353"/>
      <c r="R118" s="353"/>
      <c r="S118" s="353"/>
      <c r="T118" s="353"/>
      <c r="U118" s="353"/>
      <c r="V118" s="353"/>
      <c r="W118" s="251"/>
      <c r="X118" s="318"/>
      <c r="Y118" s="318"/>
      <c r="Z118" s="318"/>
      <c r="AA118" s="617"/>
      <c r="AB118" s="318"/>
      <c r="AC118" s="318"/>
      <c r="AD118" s="318"/>
      <c r="AE118" s="318"/>
      <c r="AF118" s="318"/>
      <c r="AG118" s="318"/>
      <c r="AH118" s="267"/>
      <c r="AI118" s="251"/>
      <c r="AJ118" s="323"/>
      <c r="AK118" s="323"/>
      <c r="AL118" s="323"/>
      <c r="AM118" s="323"/>
      <c r="AN118" s="323"/>
      <c r="AO118" s="323"/>
      <c r="AP118" s="323"/>
      <c r="AQ118" s="323"/>
      <c r="AR118" s="323"/>
      <c r="AS118" s="323"/>
      <c r="AT118" s="323"/>
      <c r="AU118" s="323"/>
      <c r="AV118" s="323"/>
      <c r="AW118" s="323"/>
      <c r="AX118" s="323"/>
      <c r="AY118" s="323"/>
      <c r="AZ118" s="351"/>
      <c r="BA118" s="326"/>
      <c r="BB118" s="326"/>
      <c r="BC118" s="326"/>
      <c r="BD118" s="326"/>
      <c r="BE118" s="326"/>
      <c r="BF118" s="351"/>
      <c r="BG118" s="332"/>
      <c r="BH118" s="332"/>
      <c r="BI118" s="332"/>
      <c r="BJ118" s="332"/>
      <c r="BK118" s="332"/>
      <c r="BL118" s="332"/>
      <c r="BM118" s="332"/>
      <c r="BN118" s="251"/>
      <c r="BO118" s="340"/>
      <c r="BP118" s="337"/>
      <c r="BQ118" s="340"/>
      <c r="BR118" s="340"/>
      <c r="BS118" s="340"/>
      <c r="BT118" s="340"/>
      <c r="BU118" s="340"/>
      <c r="BV118" s="340"/>
      <c r="BW118" s="340"/>
      <c r="BX118" s="251"/>
      <c r="BY118" s="345"/>
      <c r="BZ118" s="345"/>
      <c r="CA118" s="345"/>
      <c r="CB118" s="346"/>
      <c r="CC118" s="345"/>
      <c r="CD118" s="345"/>
      <c r="CE118" s="345"/>
      <c r="CF118" s="345"/>
      <c r="CG118" s="345"/>
      <c r="CH118" s="345"/>
      <c r="CI118" s="345"/>
      <c r="CJ118" s="346"/>
      <c r="CK118" s="346"/>
    </row>
    <row r="119">
      <c r="A119" s="821"/>
      <c r="B119" s="241" t="s">
        <v>155</v>
      </c>
      <c r="C119" s="237" t="s">
        <v>155</v>
      </c>
      <c r="D119" s="238" t="s">
        <v>155</v>
      </c>
      <c r="E119" s="239" t="s">
        <v>155</v>
      </c>
      <c r="F119" s="240" t="s">
        <v>155</v>
      </c>
      <c r="G119" s="241" t="s">
        <v>155</v>
      </c>
      <c r="H119" s="308"/>
      <c r="I119" s="308"/>
      <c r="J119" s="308"/>
      <c r="K119" s="308"/>
      <c r="L119" s="308"/>
      <c r="M119" s="308"/>
      <c r="N119" s="308"/>
      <c r="O119" s="308"/>
      <c r="P119" s="251"/>
      <c r="Q119" s="353"/>
      <c r="R119" s="353"/>
      <c r="S119" s="353"/>
      <c r="T119" s="353"/>
      <c r="U119" s="353"/>
      <c r="V119" s="353"/>
      <c r="W119" s="251"/>
      <c r="X119" s="318"/>
      <c r="Y119" s="318"/>
      <c r="Z119" s="318"/>
      <c r="AA119" s="617"/>
      <c r="AB119" s="318"/>
      <c r="AC119" s="318"/>
      <c r="AD119" s="318"/>
      <c r="AE119" s="318"/>
      <c r="AF119" s="318"/>
      <c r="AG119" s="318"/>
      <c r="AH119" s="267"/>
      <c r="AI119" s="251"/>
      <c r="AJ119" s="323"/>
      <c r="AK119" s="323"/>
      <c r="AL119" s="323"/>
      <c r="AM119" s="323"/>
      <c r="AN119" s="323"/>
      <c r="AO119" s="323"/>
      <c r="AP119" s="323"/>
      <c r="AQ119" s="323"/>
      <c r="AR119" s="323"/>
      <c r="AS119" s="323"/>
      <c r="AT119" s="323"/>
      <c r="AU119" s="323"/>
      <c r="AV119" s="323"/>
      <c r="AW119" s="323"/>
      <c r="AX119" s="323"/>
      <c r="AY119" s="323"/>
      <c r="AZ119" s="351"/>
      <c r="BA119" s="326"/>
      <c r="BB119" s="326"/>
      <c r="BC119" s="326"/>
      <c r="BD119" s="326"/>
      <c r="BE119" s="326"/>
      <c r="BF119" s="351"/>
      <c r="BG119" s="332"/>
      <c r="BH119" s="332"/>
      <c r="BI119" s="332"/>
      <c r="BJ119" s="332"/>
      <c r="BK119" s="332"/>
      <c r="BL119" s="332"/>
      <c r="BM119" s="332"/>
      <c r="BN119" s="251"/>
      <c r="BO119" s="340"/>
      <c r="BP119" s="337"/>
      <c r="BQ119" s="340"/>
      <c r="BR119" s="340"/>
      <c r="BS119" s="340"/>
      <c r="BT119" s="340"/>
      <c r="BU119" s="340"/>
      <c r="BV119" s="340"/>
      <c r="BW119" s="340"/>
      <c r="BX119" s="251"/>
      <c r="BY119" s="345"/>
      <c r="BZ119" s="345"/>
      <c r="CA119" s="345"/>
      <c r="CB119" s="346"/>
      <c r="CC119" s="345"/>
      <c r="CD119" s="345"/>
      <c r="CE119" s="345"/>
      <c r="CF119" s="345"/>
      <c r="CG119" s="345"/>
      <c r="CH119" s="345"/>
      <c r="CI119" s="345"/>
      <c r="CJ119" s="346"/>
      <c r="CK119" s="346"/>
    </row>
    <row r="120">
      <c r="A120" s="821"/>
      <c r="B120" s="241" t="s">
        <v>155</v>
      </c>
      <c r="C120" s="237" t="s">
        <v>155</v>
      </c>
      <c r="D120" s="238" t="s">
        <v>155</v>
      </c>
      <c r="E120" s="239" t="s">
        <v>155</v>
      </c>
      <c r="F120" s="240" t="s">
        <v>155</v>
      </c>
      <c r="G120" s="241" t="s">
        <v>155</v>
      </c>
      <c r="H120" s="308"/>
      <c r="I120" s="308"/>
      <c r="J120" s="308"/>
      <c r="K120" s="308"/>
      <c r="L120" s="308"/>
      <c r="M120" s="308"/>
      <c r="N120" s="308"/>
      <c r="O120" s="308"/>
      <c r="P120" s="251"/>
      <c r="Q120" s="353"/>
      <c r="R120" s="353"/>
      <c r="S120" s="353"/>
      <c r="T120" s="353"/>
      <c r="U120" s="353"/>
      <c r="V120" s="353"/>
      <c r="W120" s="251"/>
      <c r="X120" s="318"/>
      <c r="Y120" s="318"/>
      <c r="Z120" s="318"/>
      <c r="AA120" s="617"/>
      <c r="AB120" s="318"/>
      <c r="AC120" s="318"/>
      <c r="AD120" s="318"/>
      <c r="AE120" s="318"/>
      <c r="AF120" s="318"/>
      <c r="AG120" s="318"/>
      <c r="AH120" s="267"/>
      <c r="AI120" s="251"/>
      <c r="AJ120" s="323"/>
      <c r="AK120" s="323"/>
      <c r="AL120" s="323"/>
      <c r="AM120" s="323"/>
      <c r="AN120" s="323"/>
      <c r="AO120" s="323"/>
      <c r="AP120" s="323"/>
      <c r="AQ120" s="323"/>
      <c r="AR120" s="323"/>
      <c r="AS120" s="323"/>
      <c r="AT120" s="323"/>
      <c r="AU120" s="323"/>
      <c r="AV120" s="323"/>
      <c r="AW120" s="323"/>
      <c r="AX120" s="323"/>
      <c r="AY120" s="323"/>
      <c r="AZ120" s="351"/>
      <c r="BA120" s="326"/>
      <c r="BB120" s="326"/>
      <c r="BC120" s="326"/>
      <c r="BD120" s="326"/>
      <c r="BE120" s="326"/>
      <c r="BF120" s="351"/>
      <c r="BG120" s="332"/>
      <c r="BH120" s="332"/>
      <c r="BI120" s="332"/>
      <c r="BJ120" s="332"/>
      <c r="BK120" s="332"/>
      <c r="BL120" s="332"/>
      <c r="BM120" s="332"/>
      <c r="BN120" s="251"/>
      <c r="BO120" s="340"/>
      <c r="BP120" s="337"/>
      <c r="BQ120" s="340"/>
      <c r="BR120" s="340"/>
      <c r="BS120" s="340"/>
      <c r="BT120" s="340"/>
      <c r="BU120" s="340"/>
      <c r="BV120" s="340"/>
      <c r="BW120" s="340"/>
      <c r="BX120" s="251"/>
      <c r="BY120" s="345"/>
      <c r="BZ120" s="345"/>
      <c r="CA120" s="345"/>
      <c r="CB120" s="346"/>
      <c r="CC120" s="345"/>
      <c r="CD120" s="345"/>
      <c r="CE120" s="345"/>
      <c r="CF120" s="345"/>
      <c r="CG120" s="345"/>
      <c r="CH120" s="345"/>
      <c r="CI120" s="345"/>
      <c r="CJ120" s="346"/>
      <c r="CK120" s="346"/>
    </row>
    <row r="121">
      <c r="A121" s="821"/>
      <c r="B121" s="241" t="s">
        <v>155</v>
      </c>
      <c r="C121" s="237" t="s">
        <v>155</v>
      </c>
      <c r="D121" s="238" t="s">
        <v>155</v>
      </c>
      <c r="E121" s="239" t="s">
        <v>155</v>
      </c>
      <c r="F121" s="240" t="s">
        <v>155</v>
      </c>
      <c r="G121" s="241" t="s">
        <v>155</v>
      </c>
      <c r="H121" s="308"/>
      <c r="I121" s="308"/>
      <c r="J121" s="308"/>
      <c r="K121" s="308"/>
      <c r="L121" s="308"/>
      <c r="M121" s="308"/>
      <c r="N121" s="308"/>
      <c r="O121" s="308"/>
      <c r="P121" s="251"/>
      <c r="Q121" s="353"/>
      <c r="R121" s="353"/>
      <c r="S121" s="353"/>
      <c r="T121" s="353"/>
      <c r="U121" s="353"/>
      <c r="V121" s="353"/>
      <c r="W121" s="251"/>
      <c r="X121" s="318"/>
      <c r="Y121" s="318"/>
      <c r="Z121" s="318"/>
      <c r="AA121" s="617"/>
      <c r="AB121" s="318"/>
      <c r="AC121" s="318"/>
      <c r="AD121" s="318"/>
      <c r="AE121" s="318"/>
      <c r="AF121" s="318"/>
      <c r="AG121" s="318"/>
      <c r="AH121" s="267"/>
      <c r="AI121" s="251"/>
      <c r="AJ121" s="323"/>
      <c r="AK121" s="323"/>
      <c r="AL121" s="323"/>
      <c r="AM121" s="323"/>
      <c r="AN121" s="323"/>
      <c r="AO121" s="323"/>
      <c r="AP121" s="323"/>
      <c r="AQ121" s="323"/>
      <c r="AR121" s="323"/>
      <c r="AS121" s="323"/>
      <c r="AT121" s="323"/>
      <c r="AU121" s="323"/>
      <c r="AV121" s="323"/>
      <c r="AW121" s="323"/>
      <c r="AX121" s="323"/>
      <c r="AY121" s="323"/>
      <c r="AZ121" s="351"/>
      <c r="BA121" s="326"/>
      <c r="BB121" s="326"/>
      <c r="BC121" s="326"/>
      <c r="BD121" s="326"/>
      <c r="BE121" s="326"/>
      <c r="BF121" s="351"/>
      <c r="BG121" s="332"/>
      <c r="BH121" s="332"/>
      <c r="BI121" s="332"/>
      <c r="BJ121" s="332"/>
      <c r="BK121" s="332"/>
      <c r="BL121" s="332"/>
      <c r="BM121" s="332"/>
      <c r="BN121" s="251"/>
      <c r="BO121" s="340"/>
      <c r="BP121" s="337"/>
      <c r="BQ121" s="340"/>
      <c r="BR121" s="340"/>
      <c r="BS121" s="340"/>
      <c r="BT121" s="340"/>
      <c r="BU121" s="340"/>
      <c r="BV121" s="340"/>
      <c r="BW121" s="340"/>
      <c r="BX121" s="251"/>
      <c r="BY121" s="345"/>
      <c r="BZ121" s="345"/>
      <c r="CA121" s="345"/>
      <c r="CB121" s="346"/>
      <c r="CC121" s="345"/>
      <c r="CD121" s="345"/>
      <c r="CE121" s="345"/>
      <c r="CF121" s="345"/>
      <c r="CG121" s="345"/>
      <c r="CH121" s="345"/>
      <c r="CI121" s="345"/>
      <c r="CJ121" s="346"/>
      <c r="CK121" s="346"/>
    </row>
    <row r="122">
      <c r="A122" s="821"/>
      <c r="B122" s="241" t="s">
        <v>155</v>
      </c>
      <c r="C122" s="237" t="s">
        <v>155</v>
      </c>
      <c r="D122" s="238" t="s">
        <v>155</v>
      </c>
      <c r="E122" s="239" t="s">
        <v>155</v>
      </c>
      <c r="F122" s="240" t="s">
        <v>155</v>
      </c>
      <c r="G122" s="241" t="s">
        <v>155</v>
      </c>
      <c r="H122" s="308"/>
      <c r="I122" s="308"/>
      <c r="J122" s="308"/>
      <c r="K122" s="308"/>
      <c r="L122" s="308"/>
      <c r="M122" s="308"/>
      <c r="N122" s="308"/>
      <c r="O122" s="308"/>
      <c r="P122" s="251"/>
      <c r="Q122" s="353"/>
      <c r="R122" s="353"/>
      <c r="S122" s="353"/>
      <c r="T122" s="353"/>
      <c r="U122" s="353"/>
      <c r="V122" s="353"/>
      <c r="W122" s="251"/>
      <c r="X122" s="318"/>
      <c r="Y122" s="318"/>
      <c r="Z122" s="318"/>
      <c r="AA122" s="617"/>
      <c r="AB122" s="318"/>
      <c r="AC122" s="318"/>
      <c r="AD122" s="318"/>
      <c r="AE122" s="318"/>
      <c r="AF122" s="318"/>
      <c r="AG122" s="318"/>
      <c r="AH122" s="267"/>
      <c r="AI122" s="251"/>
      <c r="AJ122" s="323"/>
      <c r="AK122" s="323"/>
      <c r="AL122" s="323"/>
      <c r="AM122" s="323"/>
      <c r="AN122" s="323"/>
      <c r="AO122" s="323"/>
      <c r="AP122" s="323"/>
      <c r="AQ122" s="323"/>
      <c r="AR122" s="323"/>
      <c r="AS122" s="323"/>
      <c r="AT122" s="323"/>
      <c r="AU122" s="323"/>
      <c r="AV122" s="323"/>
      <c r="AW122" s="323"/>
      <c r="AX122" s="323"/>
      <c r="AY122" s="323"/>
      <c r="AZ122" s="351"/>
      <c r="BA122" s="326"/>
      <c r="BB122" s="326"/>
      <c r="BC122" s="326"/>
      <c r="BD122" s="326"/>
      <c r="BE122" s="326"/>
      <c r="BF122" s="351"/>
      <c r="BG122" s="332"/>
      <c r="BH122" s="332"/>
      <c r="BI122" s="332"/>
      <c r="BJ122" s="332"/>
      <c r="BK122" s="332"/>
      <c r="BL122" s="332"/>
      <c r="BM122" s="332"/>
      <c r="BN122" s="251"/>
      <c r="BO122" s="340"/>
      <c r="BP122" s="337"/>
      <c r="BQ122" s="340"/>
      <c r="BR122" s="340"/>
      <c r="BS122" s="340"/>
      <c r="BT122" s="340"/>
      <c r="BU122" s="340"/>
      <c r="BV122" s="340"/>
      <c r="BW122" s="340"/>
      <c r="BX122" s="251"/>
      <c r="BY122" s="345"/>
      <c r="BZ122" s="345"/>
      <c r="CA122" s="345"/>
      <c r="CB122" s="346"/>
      <c r="CC122" s="345"/>
      <c r="CD122" s="345"/>
      <c r="CE122" s="345"/>
      <c r="CF122" s="345"/>
      <c r="CG122" s="345"/>
      <c r="CH122" s="345"/>
      <c r="CI122" s="345"/>
      <c r="CJ122" s="346"/>
      <c r="CK122" s="346"/>
    </row>
    <row r="123">
      <c r="A123" s="821"/>
      <c r="B123" s="241" t="s">
        <v>155</v>
      </c>
      <c r="C123" s="237" t="s">
        <v>155</v>
      </c>
      <c r="D123" s="238" t="s">
        <v>155</v>
      </c>
      <c r="E123" s="239" t="s">
        <v>155</v>
      </c>
      <c r="F123" s="240" t="s">
        <v>155</v>
      </c>
      <c r="G123" s="241" t="s">
        <v>155</v>
      </c>
      <c r="H123" s="308"/>
      <c r="I123" s="308"/>
      <c r="J123" s="308"/>
      <c r="K123" s="308"/>
      <c r="L123" s="308"/>
      <c r="M123" s="308"/>
      <c r="N123" s="308"/>
      <c r="O123" s="308"/>
      <c r="P123" s="251"/>
      <c r="Q123" s="353"/>
      <c r="R123" s="353"/>
      <c r="S123" s="353"/>
      <c r="T123" s="353"/>
      <c r="U123" s="353"/>
      <c r="V123" s="353"/>
      <c r="W123" s="251"/>
      <c r="X123" s="318"/>
      <c r="Y123" s="318"/>
      <c r="Z123" s="318"/>
      <c r="AA123" s="617"/>
      <c r="AB123" s="318"/>
      <c r="AC123" s="318"/>
      <c r="AD123" s="318"/>
      <c r="AE123" s="318"/>
      <c r="AF123" s="318"/>
      <c r="AG123" s="318"/>
      <c r="AH123" s="267"/>
      <c r="AI123" s="251"/>
      <c r="AJ123" s="323"/>
      <c r="AK123" s="323"/>
      <c r="AL123" s="323"/>
      <c r="AM123" s="323"/>
      <c r="AN123" s="323"/>
      <c r="AO123" s="323"/>
      <c r="AP123" s="323"/>
      <c r="AQ123" s="323"/>
      <c r="AR123" s="323"/>
      <c r="AS123" s="323"/>
      <c r="AT123" s="323"/>
      <c r="AU123" s="323"/>
      <c r="AV123" s="323"/>
      <c r="AW123" s="323"/>
      <c r="AX123" s="323"/>
      <c r="AY123" s="323"/>
      <c r="AZ123" s="351"/>
      <c r="BA123" s="326"/>
      <c r="BB123" s="326"/>
      <c r="BC123" s="326"/>
      <c r="BD123" s="326"/>
      <c r="BE123" s="326"/>
      <c r="BF123" s="351"/>
      <c r="BG123" s="332"/>
      <c r="BH123" s="332"/>
      <c r="BI123" s="332"/>
      <c r="BJ123" s="332"/>
      <c r="BK123" s="332"/>
      <c r="BL123" s="332"/>
      <c r="BM123" s="332"/>
      <c r="BN123" s="251"/>
      <c r="BO123" s="340"/>
      <c r="BP123" s="337"/>
      <c r="BQ123" s="340"/>
      <c r="BR123" s="340"/>
      <c r="BS123" s="340"/>
      <c r="BT123" s="340"/>
      <c r="BU123" s="340"/>
      <c r="BV123" s="340"/>
      <c r="BW123" s="340"/>
      <c r="BX123" s="251"/>
      <c r="BY123" s="345"/>
      <c r="BZ123" s="345"/>
      <c r="CA123" s="345"/>
      <c r="CB123" s="346"/>
      <c r="CC123" s="345"/>
      <c r="CD123" s="345"/>
      <c r="CE123" s="345"/>
      <c r="CF123" s="345"/>
      <c r="CG123" s="345"/>
      <c r="CH123" s="345"/>
      <c r="CI123" s="345"/>
      <c r="CJ123" s="346"/>
      <c r="CK123" s="346"/>
    </row>
    <row r="124">
      <c r="A124" s="821"/>
      <c r="B124" s="241" t="s">
        <v>155</v>
      </c>
      <c r="C124" s="237" t="s">
        <v>155</v>
      </c>
      <c r="D124" s="238" t="s">
        <v>155</v>
      </c>
      <c r="E124" s="239" t="s">
        <v>155</v>
      </c>
      <c r="F124" s="240" t="s">
        <v>155</v>
      </c>
      <c r="G124" s="241" t="s">
        <v>155</v>
      </c>
      <c r="H124" s="308"/>
      <c r="I124" s="308"/>
      <c r="J124" s="308"/>
      <c r="K124" s="308"/>
      <c r="L124" s="308"/>
      <c r="M124" s="308"/>
      <c r="N124" s="308"/>
      <c r="O124" s="308"/>
      <c r="P124" s="251"/>
      <c r="Q124" s="353"/>
      <c r="R124" s="353"/>
      <c r="S124" s="353"/>
      <c r="T124" s="353"/>
      <c r="U124" s="353"/>
      <c r="V124" s="353"/>
      <c r="W124" s="251"/>
      <c r="X124" s="318"/>
      <c r="Y124" s="318"/>
      <c r="Z124" s="318"/>
      <c r="AA124" s="617"/>
      <c r="AB124" s="318"/>
      <c r="AC124" s="318"/>
      <c r="AD124" s="318"/>
      <c r="AE124" s="318"/>
      <c r="AF124" s="318"/>
      <c r="AG124" s="318"/>
      <c r="AH124" s="267"/>
      <c r="AI124" s="251"/>
      <c r="AJ124" s="323"/>
      <c r="AK124" s="323"/>
      <c r="AL124" s="323"/>
      <c r="AM124" s="323"/>
      <c r="AN124" s="323"/>
      <c r="AO124" s="323"/>
      <c r="AP124" s="323"/>
      <c r="AQ124" s="323"/>
      <c r="AR124" s="323"/>
      <c r="AS124" s="323"/>
      <c r="AT124" s="323"/>
      <c r="AU124" s="323"/>
      <c r="AV124" s="323"/>
      <c r="AW124" s="323"/>
      <c r="AX124" s="323"/>
      <c r="AY124" s="323"/>
      <c r="AZ124" s="351"/>
      <c r="BA124" s="326"/>
      <c r="BB124" s="326"/>
      <c r="BC124" s="326"/>
      <c r="BD124" s="326"/>
      <c r="BE124" s="326"/>
      <c r="BF124" s="351"/>
      <c r="BG124" s="332"/>
      <c r="BH124" s="332"/>
      <c r="BI124" s="332"/>
      <c r="BJ124" s="332"/>
      <c r="BK124" s="332"/>
      <c r="BL124" s="332"/>
      <c r="BM124" s="332"/>
      <c r="BN124" s="251"/>
      <c r="BO124" s="340"/>
      <c r="BP124" s="337"/>
      <c r="BQ124" s="340"/>
      <c r="BR124" s="340"/>
      <c r="BS124" s="340"/>
      <c r="BT124" s="340"/>
      <c r="BU124" s="340"/>
      <c r="BV124" s="340"/>
      <c r="BW124" s="340"/>
      <c r="BX124" s="251"/>
      <c r="BY124" s="345"/>
      <c r="BZ124" s="345"/>
      <c r="CA124" s="345"/>
      <c r="CB124" s="346"/>
      <c r="CC124" s="345"/>
      <c r="CD124" s="345"/>
      <c r="CE124" s="345"/>
      <c r="CF124" s="345"/>
      <c r="CG124" s="345"/>
      <c r="CH124" s="345"/>
      <c r="CI124" s="345"/>
      <c r="CJ124" s="346"/>
      <c r="CK124" s="346"/>
    </row>
    <row r="125">
      <c r="A125" s="821"/>
      <c r="B125" s="241" t="s">
        <v>155</v>
      </c>
      <c r="C125" s="237" t="s">
        <v>155</v>
      </c>
      <c r="D125" s="238" t="s">
        <v>155</v>
      </c>
      <c r="E125" s="239" t="s">
        <v>155</v>
      </c>
      <c r="F125" s="240" t="s">
        <v>155</v>
      </c>
      <c r="G125" s="241" t="s">
        <v>155</v>
      </c>
      <c r="H125" s="308"/>
      <c r="I125" s="308"/>
      <c r="J125" s="308"/>
      <c r="K125" s="308"/>
      <c r="L125" s="308"/>
      <c r="M125" s="308"/>
      <c r="N125" s="308"/>
      <c r="O125" s="308"/>
      <c r="P125" s="251"/>
      <c r="Q125" s="353"/>
      <c r="R125" s="353"/>
      <c r="S125" s="353"/>
      <c r="T125" s="353"/>
      <c r="U125" s="353"/>
      <c r="V125" s="353"/>
      <c r="W125" s="251"/>
      <c r="X125" s="318"/>
      <c r="Y125" s="318"/>
      <c r="Z125" s="318"/>
      <c r="AA125" s="617"/>
      <c r="AB125" s="318"/>
      <c r="AC125" s="318"/>
      <c r="AD125" s="318"/>
      <c r="AE125" s="318"/>
      <c r="AF125" s="318"/>
      <c r="AG125" s="318"/>
      <c r="AH125" s="267"/>
      <c r="AI125" s="251"/>
      <c r="AJ125" s="323"/>
      <c r="AK125" s="323"/>
      <c r="AL125" s="323"/>
      <c r="AM125" s="323"/>
      <c r="AN125" s="323"/>
      <c r="AO125" s="323"/>
      <c r="AP125" s="323"/>
      <c r="AQ125" s="323"/>
      <c r="AR125" s="323"/>
      <c r="AS125" s="323"/>
      <c r="AT125" s="323"/>
      <c r="AU125" s="323"/>
      <c r="AV125" s="323"/>
      <c r="AW125" s="323"/>
      <c r="AX125" s="323"/>
      <c r="AY125" s="323"/>
      <c r="AZ125" s="351"/>
      <c r="BA125" s="326"/>
      <c r="BB125" s="326"/>
      <c r="BC125" s="326"/>
      <c r="BD125" s="326"/>
      <c r="BE125" s="326"/>
      <c r="BF125" s="351"/>
      <c r="BG125" s="332"/>
      <c r="BH125" s="332"/>
      <c r="BI125" s="332"/>
      <c r="BJ125" s="332"/>
      <c r="BK125" s="332"/>
      <c r="BL125" s="332"/>
      <c r="BM125" s="332"/>
      <c r="BN125" s="251"/>
      <c r="BO125" s="340"/>
      <c r="BP125" s="337"/>
      <c r="BQ125" s="340"/>
      <c r="BR125" s="340"/>
      <c r="BS125" s="340"/>
      <c r="BT125" s="340"/>
      <c r="BU125" s="340"/>
      <c r="BV125" s="340"/>
      <c r="BW125" s="340"/>
      <c r="BX125" s="251"/>
      <c r="BY125" s="345"/>
      <c r="BZ125" s="345"/>
      <c r="CA125" s="345"/>
      <c r="CB125" s="346"/>
      <c r="CC125" s="345"/>
      <c r="CD125" s="345"/>
      <c r="CE125" s="345"/>
      <c r="CF125" s="345"/>
      <c r="CG125" s="345"/>
      <c r="CH125" s="345"/>
      <c r="CI125" s="345"/>
      <c r="CJ125" s="346"/>
      <c r="CK125" s="346"/>
    </row>
    <row r="126">
      <c r="A126" s="821"/>
      <c r="B126" s="241" t="s">
        <v>155</v>
      </c>
      <c r="C126" s="237" t="s">
        <v>155</v>
      </c>
      <c r="D126" s="238" t="s">
        <v>155</v>
      </c>
      <c r="E126" s="239" t="s">
        <v>155</v>
      </c>
      <c r="F126" s="240" t="s">
        <v>155</v>
      </c>
      <c r="G126" s="241" t="s">
        <v>155</v>
      </c>
      <c r="H126" s="308"/>
      <c r="I126" s="308"/>
      <c r="J126" s="308"/>
      <c r="K126" s="308"/>
      <c r="L126" s="308"/>
      <c r="M126" s="308"/>
      <c r="N126" s="308"/>
      <c r="O126" s="308"/>
      <c r="P126" s="251"/>
      <c r="Q126" s="353"/>
      <c r="R126" s="353"/>
      <c r="S126" s="353"/>
      <c r="T126" s="353"/>
      <c r="U126" s="353"/>
      <c r="V126" s="353"/>
      <c r="W126" s="251"/>
      <c r="X126" s="318"/>
      <c r="Y126" s="318"/>
      <c r="Z126" s="318"/>
      <c r="AA126" s="617"/>
      <c r="AB126" s="318"/>
      <c r="AC126" s="318"/>
      <c r="AD126" s="318"/>
      <c r="AE126" s="318"/>
      <c r="AF126" s="318"/>
      <c r="AG126" s="318"/>
      <c r="AH126" s="267"/>
      <c r="AI126" s="251"/>
      <c r="AJ126" s="323"/>
      <c r="AK126" s="323"/>
      <c r="AL126" s="323"/>
      <c r="AM126" s="323"/>
      <c r="AN126" s="323"/>
      <c r="AO126" s="323"/>
      <c r="AP126" s="323"/>
      <c r="AQ126" s="323"/>
      <c r="AR126" s="323"/>
      <c r="AS126" s="323"/>
      <c r="AT126" s="323"/>
      <c r="AU126" s="323"/>
      <c r="AV126" s="323"/>
      <c r="AW126" s="323"/>
      <c r="AX126" s="323"/>
      <c r="AY126" s="323"/>
      <c r="AZ126" s="351"/>
      <c r="BA126" s="326"/>
      <c r="BB126" s="326"/>
      <c r="BC126" s="326"/>
      <c r="BD126" s="326"/>
      <c r="BE126" s="326"/>
      <c r="BF126" s="351"/>
      <c r="BG126" s="332"/>
      <c r="BH126" s="332"/>
      <c r="BI126" s="332"/>
      <c r="BJ126" s="332"/>
      <c r="BK126" s="332"/>
      <c r="BL126" s="332"/>
      <c r="BM126" s="332"/>
      <c r="BN126" s="251"/>
      <c r="BO126" s="340"/>
      <c r="BP126" s="337"/>
      <c r="BQ126" s="340"/>
      <c r="BR126" s="340"/>
      <c r="BS126" s="340"/>
      <c r="BT126" s="340"/>
      <c r="BU126" s="340"/>
      <c r="BV126" s="340"/>
      <c r="BW126" s="340"/>
      <c r="BX126" s="251"/>
      <c r="BY126" s="345"/>
      <c r="BZ126" s="345"/>
      <c r="CA126" s="345"/>
      <c r="CB126" s="346"/>
      <c r="CC126" s="345"/>
      <c r="CD126" s="345"/>
      <c r="CE126" s="345"/>
      <c r="CF126" s="345"/>
      <c r="CG126" s="345"/>
      <c r="CH126" s="345"/>
      <c r="CI126" s="345"/>
      <c r="CJ126" s="346"/>
      <c r="CK126" s="346"/>
    </row>
    <row r="127">
      <c r="A127" s="821"/>
      <c r="B127" s="241" t="s">
        <v>155</v>
      </c>
      <c r="C127" s="237" t="s">
        <v>155</v>
      </c>
      <c r="D127" s="238" t="s">
        <v>155</v>
      </c>
      <c r="E127" s="239" t="s">
        <v>155</v>
      </c>
      <c r="F127" s="240" t="s">
        <v>155</v>
      </c>
      <c r="G127" s="241" t="s">
        <v>155</v>
      </c>
      <c r="H127" s="308"/>
      <c r="I127" s="308"/>
      <c r="J127" s="308"/>
      <c r="K127" s="308"/>
      <c r="L127" s="308"/>
      <c r="M127" s="308"/>
      <c r="N127" s="308"/>
      <c r="O127" s="308"/>
      <c r="P127" s="251"/>
      <c r="Q127" s="353"/>
      <c r="R127" s="353"/>
      <c r="S127" s="353"/>
      <c r="T127" s="353"/>
      <c r="U127" s="353"/>
      <c r="V127" s="353"/>
      <c r="W127" s="251"/>
      <c r="X127" s="318"/>
      <c r="Y127" s="318"/>
      <c r="Z127" s="318"/>
      <c r="AA127" s="617"/>
      <c r="AB127" s="318"/>
      <c r="AC127" s="318"/>
      <c r="AD127" s="318"/>
      <c r="AE127" s="318"/>
      <c r="AF127" s="318"/>
      <c r="AG127" s="318"/>
      <c r="AH127" s="267"/>
      <c r="AI127" s="251"/>
      <c r="AJ127" s="323"/>
      <c r="AK127" s="323"/>
      <c r="AL127" s="323"/>
      <c r="AM127" s="323"/>
      <c r="AN127" s="323"/>
      <c r="AO127" s="323"/>
      <c r="AP127" s="323"/>
      <c r="AQ127" s="323"/>
      <c r="AR127" s="323"/>
      <c r="AS127" s="323"/>
      <c r="AT127" s="323"/>
      <c r="AU127" s="323"/>
      <c r="AV127" s="323"/>
      <c r="AW127" s="323"/>
      <c r="AX127" s="323"/>
      <c r="AY127" s="323"/>
      <c r="AZ127" s="351"/>
      <c r="BA127" s="326"/>
      <c r="BB127" s="326"/>
      <c r="BC127" s="326"/>
      <c r="BD127" s="326"/>
      <c r="BE127" s="326"/>
      <c r="BF127" s="351"/>
      <c r="BG127" s="332"/>
      <c r="BH127" s="332"/>
      <c r="BI127" s="332"/>
      <c r="BJ127" s="332"/>
      <c r="BK127" s="332"/>
      <c r="BL127" s="332"/>
      <c r="BM127" s="332"/>
      <c r="BN127" s="251"/>
      <c r="BO127" s="340"/>
      <c r="BP127" s="337"/>
      <c r="BQ127" s="340"/>
      <c r="BR127" s="340"/>
      <c r="BS127" s="340"/>
      <c r="BT127" s="340"/>
      <c r="BU127" s="340"/>
      <c r="BV127" s="340"/>
      <c r="BW127" s="340"/>
      <c r="BX127" s="251"/>
      <c r="BY127" s="345"/>
      <c r="BZ127" s="345"/>
      <c r="CA127" s="345"/>
      <c r="CB127" s="346"/>
      <c r="CC127" s="345"/>
      <c r="CD127" s="345"/>
      <c r="CE127" s="345"/>
      <c r="CF127" s="345"/>
      <c r="CG127" s="345"/>
      <c r="CH127" s="345"/>
      <c r="CI127" s="345"/>
      <c r="CJ127" s="346"/>
      <c r="CK127" s="346"/>
    </row>
    <row r="128">
      <c r="A128" s="821"/>
      <c r="B128" s="241" t="s">
        <v>155</v>
      </c>
      <c r="C128" s="237" t="s">
        <v>155</v>
      </c>
      <c r="D128" s="238" t="s">
        <v>155</v>
      </c>
      <c r="E128" s="239" t="s">
        <v>155</v>
      </c>
      <c r="F128" s="240" t="s">
        <v>155</v>
      </c>
      <c r="G128" s="241" t="s">
        <v>155</v>
      </c>
      <c r="H128" s="308"/>
      <c r="I128" s="308"/>
      <c r="J128" s="308"/>
      <c r="K128" s="308"/>
      <c r="L128" s="308"/>
      <c r="M128" s="308"/>
      <c r="N128" s="308"/>
      <c r="O128" s="308"/>
      <c r="P128" s="251"/>
      <c r="Q128" s="353"/>
      <c r="R128" s="353"/>
      <c r="S128" s="353"/>
      <c r="T128" s="353"/>
      <c r="U128" s="353"/>
      <c r="V128" s="353"/>
      <c r="W128" s="251"/>
      <c r="X128" s="318"/>
      <c r="Y128" s="318"/>
      <c r="Z128" s="318"/>
      <c r="AA128" s="617"/>
      <c r="AB128" s="318"/>
      <c r="AC128" s="318"/>
      <c r="AD128" s="318"/>
      <c r="AE128" s="318"/>
      <c r="AF128" s="318"/>
      <c r="AG128" s="318"/>
      <c r="AH128" s="267"/>
      <c r="AI128" s="251"/>
      <c r="AJ128" s="323"/>
      <c r="AK128" s="323"/>
      <c r="AL128" s="323"/>
      <c r="AM128" s="323"/>
      <c r="AN128" s="323"/>
      <c r="AO128" s="323"/>
      <c r="AP128" s="323"/>
      <c r="AQ128" s="323"/>
      <c r="AR128" s="323"/>
      <c r="AS128" s="323"/>
      <c r="AT128" s="323"/>
      <c r="AU128" s="323"/>
      <c r="AV128" s="323"/>
      <c r="AW128" s="323"/>
      <c r="AX128" s="323"/>
      <c r="AY128" s="323"/>
      <c r="AZ128" s="351"/>
      <c r="BA128" s="326"/>
      <c r="BB128" s="326"/>
      <c r="BC128" s="326"/>
      <c r="BD128" s="326"/>
      <c r="BE128" s="326"/>
      <c r="BF128" s="351"/>
      <c r="BG128" s="332"/>
      <c r="BH128" s="332"/>
      <c r="BI128" s="332"/>
      <c r="BJ128" s="332"/>
      <c r="BK128" s="332"/>
      <c r="BL128" s="332"/>
      <c r="BM128" s="332"/>
      <c r="BN128" s="251"/>
      <c r="BO128" s="340"/>
      <c r="BP128" s="337"/>
      <c r="BQ128" s="340"/>
      <c r="BR128" s="340"/>
      <c r="BS128" s="340"/>
      <c r="BT128" s="340"/>
      <c r="BU128" s="340"/>
      <c r="BV128" s="340"/>
      <c r="BW128" s="340"/>
      <c r="BX128" s="251"/>
      <c r="BY128" s="345"/>
      <c r="BZ128" s="345"/>
      <c r="CA128" s="345"/>
      <c r="CB128" s="346"/>
      <c r="CC128" s="345"/>
      <c r="CD128" s="345"/>
      <c r="CE128" s="345"/>
      <c r="CF128" s="345"/>
      <c r="CG128" s="345"/>
      <c r="CH128" s="345"/>
      <c r="CI128" s="345"/>
      <c r="CJ128" s="346"/>
      <c r="CK128" s="346"/>
    </row>
    <row r="129">
      <c r="A129" s="821"/>
      <c r="B129" s="241" t="s">
        <v>155</v>
      </c>
      <c r="C129" s="237" t="s">
        <v>155</v>
      </c>
      <c r="D129" s="238" t="s">
        <v>155</v>
      </c>
      <c r="E129" s="239" t="s">
        <v>155</v>
      </c>
      <c r="F129" s="240" t="s">
        <v>155</v>
      </c>
      <c r="G129" s="241" t="s">
        <v>155</v>
      </c>
      <c r="H129" s="308"/>
      <c r="I129" s="308"/>
      <c r="J129" s="308"/>
      <c r="K129" s="308"/>
      <c r="L129" s="308"/>
      <c r="M129" s="308"/>
      <c r="N129" s="308"/>
      <c r="O129" s="308"/>
      <c r="P129" s="251"/>
      <c r="Q129" s="353"/>
      <c r="R129" s="353"/>
      <c r="S129" s="353"/>
      <c r="T129" s="353"/>
      <c r="U129" s="353"/>
      <c r="V129" s="353"/>
      <c r="W129" s="251"/>
      <c r="X129" s="318"/>
      <c r="Y129" s="318"/>
      <c r="Z129" s="318"/>
      <c r="AA129" s="617"/>
      <c r="AB129" s="318"/>
      <c r="AC129" s="318"/>
      <c r="AD129" s="318"/>
      <c r="AE129" s="318"/>
      <c r="AF129" s="318"/>
      <c r="AG129" s="318"/>
      <c r="AH129" s="267"/>
      <c r="AI129" s="251"/>
      <c r="AJ129" s="323"/>
      <c r="AK129" s="323"/>
      <c r="AL129" s="323"/>
      <c r="AM129" s="323"/>
      <c r="AN129" s="323"/>
      <c r="AO129" s="323"/>
      <c r="AP129" s="323"/>
      <c r="AQ129" s="323"/>
      <c r="AR129" s="323"/>
      <c r="AS129" s="323"/>
      <c r="AT129" s="323"/>
      <c r="AU129" s="323"/>
      <c r="AV129" s="323"/>
      <c r="AW129" s="323"/>
      <c r="AX129" s="323"/>
      <c r="AY129" s="323"/>
      <c r="AZ129" s="351"/>
      <c r="BA129" s="326"/>
      <c r="BB129" s="326"/>
      <c r="BC129" s="326"/>
      <c r="BD129" s="326"/>
      <c r="BE129" s="326"/>
      <c r="BF129" s="351"/>
      <c r="BG129" s="332"/>
      <c r="BH129" s="332"/>
      <c r="BI129" s="332"/>
      <c r="BJ129" s="332"/>
      <c r="BK129" s="332"/>
      <c r="BL129" s="332"/>
      <c r="BM129" s="332"/>
      <c r="BN129" s="251"/>
      <c r="BO129" s="340"/>
      <c r="BP129" s="337"/>
      <c r="BQ129" s="340"/>
      <c r="BR129" s="340"/>
      <c r="BS129" s="340"/>
      <c r="BT129" s="340"/>
      <c r="BU129" s="340"/>
      <c r="BV129" s="340"/>
      <c r="BW129" s="340"/>
      <c r="BX129" s="251"/>
      <c r="BY129" s="345"/>
      <c r="BZ129" s="345"/>
      <c r="CA129" s="345"/>
      <c r="CB129" s="346"/>
      <c r="CC129" s="345"/>
      <c r="CD129" s="345"/>
      <c r="CE129" s="345"/>
      <c r="CF129" s="345"/>
      <c r="CG129" s="345"/>
      <c r="CH129" s="345"/>
      <c r="CI129" s="345"/>
      <c r="CJ129" s="346"/>
      <c r="CK129" s="346"/>
    </row>
    <row r="130">
      <c r="A130" s="821"/>
      <c r="B130" s="241" t="s">
        <v>155</v>
      </c>
      <c r="C130" s="237" t="s">
        <v>155</v>
      </c>
      <c r="D130" s="238" t="s">
        <v>155</v>
      </c>
      <c r="E130" s="239" t="s">
        <v>155</v>
      </c>
      <c r="F130" s="240" t="s">
        <v>155</v>
      </c>
      <c r="G130" s="241" t="s">
        <v>155</v>
      </c>
      <c r="H130" s="308"/>
      <c r="I130" s="308"/>
      <c r="J130" s="308"/>
      <c r="K130" s="308"/>
      <c r="L130" s="308"/>
      <c r="M130" s="308"/>
      <c r="N130" s="308"/>
      <c r="O130" s="308"/>
      <c r="P130" s="251"/>
      <c r="Q130" s="353"/>
      <c r="R130" s="353"/>
      <c r="S130" s="353"/>
      <c r="T130" s="353"/>
      <c r="U130" s="353"/>
      <c r="V130" s="353"/>
      <c r="W130" s="251"/>
      <c r="X130" s="318"/>
      <c r="Y130" s="318"/>
      <c r="Z130" s="318"/>
      <c r="AA130" s="617"/>
      <c r="AB130" s="318"/>
      <c r="AC130" s="318"/>
      <c r="AD130" s="318"/>
      <c r="AE130" s="318"/>
      <c r="AF130" s="318"/>
      <c r="AG130" s="318"/>
      <c r="AH130" s="267"/>
      <c r="AI130" s="251"/>
      <c r="AJ130" s="323"/>
      <c r="AK130" s="323"/>
      <c r="AL130" s="323"/>
      <c r="AM130" s="323"/>
      <c r="AN130" s="323"/>
      <c r="AO130" s="323"/>
      <c r="AP130" s="323"/>
      <c r="AQ130" s="323"/>
      <c r="AR130" s="323"/>
      <c r="AS130" s="323"/>
      <c r="AT130" s="323"/>
      <c r="AU130" s="323"/>
      <c r="AV130" s="323"/>
      <c r="AW130" s="323"/>
      <c r="AX130" s="323"/>
      <c r="AY130" s="323"/>
      <c r="AZ130" s="351"/>
      <c r="BA130" s="326"/>
      <c r="BB130" s="326"/>
      <c r="BC130" s="326"/>
      <c r="BD130" s="326"/>
      <c r="BE130" s="326"/>
      <c r="BF130" s="351"/>
      <c r="BG130" s="332"/>
      <c r="BH130" s="332"/>
      <c r="BI130" s="332"/>
      <c r="BJ130" s="332"/>
      <c r="BK130" s="332"/>
      <c r="BL130" s="332"/>
      <c r="BM130" s="332"/>
      <c r="BN130" s="251"/>
      <c r="BO130" s="340"/>
      <c r="BP130" s="337"/>
      <c r="BQ130" s="340"/>
      <c r="BR130" s="340"/>
      <c r="BS130" s="340"/>
      <c r="BT130" s="340"/>
      <c r="BU130" s="340"/>
      <c r="BV130" s="340"/>
      <c r="BW130" s="340"/>
      <c r="BX130" s="251"/>
      <c r="BY130" s="345"/>
      <c r="BZ130" s="345"/>
      <c r="CA130" s="345"/>
      <c r="CB130" s="346"/>
      <c r="CC130" s="345"/>
      <c r="CD130" s="345"/>
      <c r="CE130" s="345"/>
      <c r="CF130" s="345"/>
      <c r="CG130" s="345"/>
      <c r="CH130" s="345"/>
      <c r="CI130" s="345"/>
      <c r="CJ130" s="346"/>
      <c r="CK130" s="346"/>
    </row>
    <row r="131">
      <c r="A131" s="821"/>
      <c r="B131" s="241" t="s">
        <v>155</v>
      </c>
      <c r="C131" s="237" t="s">
        <v>155</v>
      </c>
      <c r="D131" s="238" t="s">
        <v>155</v>
      </c>
      <c r="E131" s="239" t="s">
        <v>155</v>
      </c>
      <c r="F131" s="240" t="s">
        <v>155</v>
      </c>
      <c r="G131" s="241" t="s">
        <v>155</v>
      </c>
      <c r="H131" s="308"/>
      <c r="I131" s="308"/>
      <c r="J131" s="308"/>
      <c r="K131" s="308"/>
      <c r="L131" s="308"/>
      <c r="M131" s="308"/>
      <c r="N131" s="308"/>
      <c r="O131" s="308"/>
      <c r="P131" s="251"/>
      <c r="Q131" s="353"/>
      <c r="R131" s="353"/>
      <c r="S131" s="353"/>
      <c r="T131" s="353"/>
      <c r="U131" s="353"/>
      <c r="V131" s="353"/>
      <c r="W131" s="251"/>
      <c r="X131" s="318"/>
      <c r="Y131" s="318"/>
      <c r="Z131" s="318"/>
      <c r="AA131" s="617"/>
      <c r="AB131" s="318"/>
      <c r="AC131" s="318"/>
      <c r="AD131" s="318"/>
      <c r="AE131" s="318"/>
      <c r="AF131" s="318"/>
      <c r="AG131" s="318"/>
      <c r="AH131" s="267"/>
      <c r="AI131" s="251"/>
      <c r="AJ131" s="323"/>
      <c r="AK131" s="323"/>
      <c r="AL131" s="323"/>
      <c r="AM131" s="323"/>
      <c r="AN131" s="323"/>
      <c r="AO131" s="323"/>
      <c r="AP131" s="323"/>
      <c r="AQ131" s="323"/>
      <c r="AR131" s="323"/>
      <c r="AS131" s="323"/>
      <c r="AT131" s="323"/>
      <c r="AU131" s="323"/>
      <c r="AV131" s="323"/>
      <c r="AW131" s="323"/>
      <c r="AX131" s="323"/>
      <c r="AY131" s="323"/>
      <c r="AZ131" s="351"/>
      <c r="BA131" s="326"/>
      <c r="BB131" s="326"/>
      <c r="BC131" s="326"/>
      <c r="BD131" s="326"/>
      <c r="BE131" s="326"/>
      <c r="BF131" s="351"/>
      <c r="BG131" s="332"/>
      <c r="BH131" s="332"/>
      <c r="BI131" s="332"/>
      <c r="BJ131" s="332"/>
      <c r="BK131" s="332"/>
      <c r="BL131" s="332"/>
      <c r="BM131" s="332"/>
      <c r="BN131" s="251"/>
      <c r="BO131" s="340"/>
      <c r="BP131" s="337"/>
      <c r="BQ131" s="340"/>
      <c r="BR131" s="340"/>
      <c r="BS131" s="340"/>
      <c r="BT131" s="340"/>
      <c r="BU131" s="340"/>
      <c r="BV131" s="340"/>
      <c r="BW131" s="340"/>
      <c r="BX131" s="251"/>
      <c r="BY131" s="345"/>
      <c r="BZ131" s="345"/>
      <c r="CA131" s="345"/>
      <c r="CB131" s="346"/>
      <c r="CC131" s="345"/>
      <c r="CD131" s="345"/>
      <c r="CE131" s="345"/>
      <c r="CF131" s="345"/>
      <c r="CG131" s="345"/>
      <c r="CH131" s="345"/>
      <c r="CI131" s="345"/>
      <c r="CJ131" s="346"/>
      <c r="CK131" s="346"/>
    </row>
    <row r="132">
      <c r="A132" s="821"/>
      <c r="B132" s="241" t="s">
        <v>155</v>
      </c>
      <c r="C132" s="237" t="s">
        <v>155</v>
      </c>
      <c r="D132" s="238" t="s">
        <v>155</v>
      </c>
      <c r="E132" s="239" t="s">
        <v>155</v>
      </c>
      <c r="F132" s="240" t="s">
        <v>155</v>
      </c>
      <c r="G132" s="241" t="s">
        <v>155</v>
      </c>
      <c r="H132" s="308"/>
      <c r="I132" s="308"/>
      <c r="J132" s="308"/>
      <c r="K132" s="308"/>
      <c r="L132" s="308"/>
      <c r="M132" s="308"/>
      <c r="N132" s="308"/>
      <c r="O132" s="308"/>
      <c r="P132" s="251"/>
      <c r="Q132" s="353"/>
      <c r="R132" s="353"/>
      <c r="S132" s="353"/>
      <c r="T132" s="353"/>
      <c r="U132" s="353"/>
      <c r="V132" s="353"/>
      <c r="W132" s="251"/>
      <c r="X132" s="318"/>
      <c r="Y132" s="318"/>
      <c r="Z132" s="318"/>
      <c r="AA132" s="617"/>
      <c r="AB132" s="318"/>
      <c r="AC132" s="318"/>
      <c r="AD132" s="318"/>
      <c r="AE132" s="318"/>
      <c r="AF132" s="318"/>
      <c r="AG132" s="318"/>
      <c r="AH132" s="267"/>
      <c r="AI132" s="251"/>
      <c r="AJ132" s="323"/>
      <c r="AK132" s="323"/>
      <c r="AL132" s="323"/>
      <c r="AM132" s="323"/>
      <c r="AN132" s="323"/>
      <c r="AO132" s="323"/>
      <c r="AP132" s="323"/>
      <c r="AQ132" s="323"/>
      <c r="AR132" s="323"/>
      <c r="AS132" s="323"/>
      <c r="AT132" s="323"/>
      <c r="AU132" s="323"/>
      <c r="AV132" s="323"/>
      <c r="AW132" s="323"/>
      <c r="AX132" s="323"/>
      <c r="AY132" s="323"/>
      <c r="AZ132" s="351"/>
      <c r="BA132" s="326"/>
      <c r="BB132" s="326"/>
      <c r="BC132" s="326"/>
      <c r="BD132" s="326"/>
      <c r="BE132" s="326"/>
      <c r="BF132" s="351"/>
      <c r="BG132" s="332"/>
      <c r="BH132" s="332"/>
      <c r="BI132" s="332"/>
      <c r="BJ132" s="332"/>
      <c r="BK132" s="332"/>
      <c r="BL132" s="332"/>
      <c r="BM132" s="332"/>
      <c r="BN132" s="251"/>
      <c r="BO132" s="340"/>
      <c r="BP132" s="337"/>
      <c r="BQ132" s="340"/>
      <c r="BR132" s="340"/>
      <c r="BS132" s="340"/>
      <c r="BT132" s="340"/>
      <c r="BU132" s="340"/>
      <c r="BV132" s="340"/>
      <c r="BW132" s="340"/>
      <c r="BX132" s="251"/>
      <c r="BY132" s="345"/>
      <c r="BZ132" s="345"/>
      <c r="CA132" s="345"/>
      <c r="CB132" s="346"/>
      <c r="CC132" s="345"/>
      <c r="CD132" s="345"/>
      <c r="CE132" s="345"/>
      <c r="CF132" s="345"/>
      <c r="CG132" s="345"/>
      <c r="CH132" s="345"/>
      <c r="CI132" s="345"/>
      <c r="CJ132" s="346"/>
      <c r="CK132" s="346"/>
    </row>
    <row r="133">
      <c r="A133" s="821"/>
      <c r="B133" s="241" t="s">
        <v>155</v>
      </c>
      <c r="C133" s="237" t="s">
        <v>155</v>
      </c>
      <c r="D133" s="238" t="s">
        <v>155</v>
      </c>
      <c r="E133" s="239" t="s">
        <v>155</v>
      </c>
      <c r="F133" s="240" t="s">
        <v>155</v>
      </c>
      <c r="G133" s="241" t="s">
        <v>155</v>
      </c>
      <c r="H133" s="308"/>
      <c r="I133" s="308"/>
      <c r="J133" s="308"/>
      <c r="K133" s="308"/>
      <c r="L133" s="308"/>
      <c r="M133" s="308"/>
      <c r="N133" s="308"/>
      <c r="O133" s="308"/>
      <c r="P133" s="251"/>
      <c r="Q133" s="353"/>
      <c r="R133" s="353"/>
      <c r="S133" s="353"/>
      <c r="T133" s="353"/>
      <c r="U133" s="353"/>
      <c r="V133" s="353"/>
      <c r="W133" s="251"/>
      <c r="X133" s="318"/>
      <c r="Y133" s="318"/>
      <c r="Z133" s="318"/>
      <c r="AA133" s="617"/>
      <c r="AB133" s="318"/>
      <c r="AC133" s="318"/>
      <c r="AD133" s="318"/>
      <c r="AE133" s="318"/>
      <c r="AF133" s="318"/>
      <c r="AG133" s="318"/>
      <c r="AH133" s="267"/>
      <c r="AI133" s="251"/>
      <c r="AJ133" s="323"/>
      <c r="AK133" s="323"/>
      <c r="AL133" s="323"/>
      <c r="AM133" s="323"/>
      <c r="AN133" s="323"/>
      <c r="AO133" s="323"/>
      <c r="AP133" s="323"/>
      <c r="AQ133" s="323"/>
      <c r="AR133" s="323"/>
      <c r="AS133" s="323"/>
      <c r="AT133" s="323"/>
      <c r="AU133" s="323"/>
      <c r="AV133" s="323"/>
      <c r="AW133" s="323"/>
      <c r="AX133" s="323"/>
      <c r="AY133" s="323"/>
      <c r="AZ133" s="351"/>
      <c r="BA133" s="326"/>
      <c r="BB133" s="326"/>
      <c r="BC133" s="326"/>
      <c r="BD133" s="326"/>
      <c r="BE133" s="326"/>
      <c r="BF133" s="351"/>
      <c r="BG133" s="332"/>
      <c r="BH133" s="332"/>
      <c r="BI133" s="332"/>
      <c r="BJ133" s="332"/>
      <c r="BK133" s="332"/>
      <c r="BL133" s="332"/>
      <c r="BM133" s="332"/>
      <c r="BN133" s="251"/>
      <c r="BO133" s="340"/>
      <c r="BP133" s="337"/>
      <c r="BQ133" s="340"/>
      <c r="BR133" s="340"/>
      <c r="BS133" s="340"/>
      <c r="BT133" s="340"/>
      <c r="BU133" s="340"/>
      <c r="BV133" s="340"/>
      <c r="BW133" s="340"/>
      <c r="BX133" s="251"/>
      <c r="BY133" s="345"/>
      <c r="BZ133" s="345"/>
      <c r="CA133" s="345"/>
      <c r="CB133" s="346"/>
      <c r="CC133" s="345"/>
      <c r="CD133" s="345"/>
      <c r="CE133" s="345"/>
      <c r="CF133" s="345"/>
      <c r="CG133" s="345"/>
      <c r="CH133" s="345"/>
      <c r="CI133" s="345"/>
      <c r="CJ133" s="346"/>
      <c r="CK133" s="346"/>
    </row>
    <row r="134">
      <c r="A134" s="821"/>
      <c r="B134" s="241" t="s">
        <v>155</v>
      </c>
      <c r="C134" s="237" t="s">
        <v>155</v>
      </c>
      <c r="D134" s="238" t="s">
        <v>155</v>
      </c>
      <c r="E134" s="239" t="s">
        <v>155</v>
      </c>
      <c r="F134" s="240" t="s">
        <v>155</v>
      </c>
      <c r="G134" s="241" t="s">
        <v>155</v>
      </c>
      <c r="H134" s="308"/>
      <c r="I134" s="308"/>
      <c r="J134" s="308"/>
      <c r="K134" s="308"/>
      <c r="L134" s="308"/>
      <c r="M134" s="308"/>
      <c r="N134" s="308"/>
      <c r="O134" s="308"/>
      <c r="P134" s="251"/>
      <c r="Q134" s="353"/>
      <c r="R134" s="353"/>
      <c r="S134" s="353"/>
      <c r="T134" s="353"/>
      <c r="U134" s="353"/>
      <c r="V134" s="353"/>
      <c r="W134" s="251"/>
      <c r="X134" s="318"/>
      <c r="Y134" s="318"/>
      <c r="Z134" s="318"/>
      <c r="AA134" s="617"/>
      <c r="AB134" s="318"/>
      <c r="AC134" s="318"/>
      <c r="AD134" s="318"/>
      <c r="AE134" s="318"/>
      <c r="AF134" s="318"/>
      <c r="AG134" s="318"/>
      <c r="AH134" s="267"/>
      <c r="AI134" s="251"/>
      <c r="AJ134" s="323"/>
      <c r="AK134" s="323"/>
      <c r="AL134" s="323"/>
      <c r="AM134" s="323"/>
      <c r="AN134" s="323"/>
      <c r="AO134" s="323"/>
      <c r="AP134" s="323"/>
      <c r="AQ134" s="323"/>
      <c r="AR134" s="323"/>
      <c r="AS134" s="323"/>
      <c r="AT134" s="323"/>
      <c r="AU134" s="323"/>
      <c r="AV134" s="323"/>
      <c r="AW134" s="323"/>
      <c r="AX134" s="323"/>
      <c r="AY134" s="323"/>
      <c r="AZ134" s="351"/>
      <c r="BA134" s="326"/>
      <c r="BB134" s="326"/>
      <c r="BC134" s="326"/>
      <c r="BD134" s="326"/>
      <c r="BE134" s="326"/>
      <c r="BF134" s="351"/>
      <c r="BG134" s="332"/>
      <c r="BH134" s="332"/>
      <c r="BI134" s="332"/>
      <c r="BJ134" s="332"/>
      <c r="BK134" s="332"/>
      <c r="BL134" s="332"/>
      <c r="BM134" s="332"/>
      <c r="BN134" s="251"/>
      <c r="BO134" s="340"/>
      <c r="BP134" s="337"/>
      <c r="BQ134" s="340"/>
      <c r="BR134" s="340"/>
      <c r="BS134" s="340"/>
      <c r="BT134" s="340"/>
      <c r="BU134" s="340"/>
      <c r="BV134" s="340"/>
      <c r="BW134" s="340"/>
      <c r="BX134" s="251"/>
      <c r="BY134" s="345"/>
      <c r="BZ134" s="345"/>
      <c r="CA134" s="345"/>
      <c r="CB134" s="346"/>
      <c r="CC134" s="345"/>
      <c r="CD134" s="345"/>
      <c r="CE134" s="345"/>
      <c r="CF134" s="345"/>
      <c r="CG134" s="345"/>
      <c r="CH134" s="345"/>
      <c r="CI134" s="345"/>
      <c r="CJ134" s="346"/>
      <c r="CK134" s="346"/>
    </row>
    <row r="135">
      <c r="A135" s="821"/>
      <c r="B135" s="241" t="s">
        <v>155</v>
      </c>
      <c r="C135" s="237" t="s">
        <v>155</v>
      </c>
      <c r="D135" s="238" t="s">
        <v>155</v>
      </c>
      <c r="E135" s="239" t="s">
        <v>155</v>
      </c>
      <c r="F135" s="240" t="s">
        <v>155</v>
      </c>
      <c r="G135" s="241" t="s">
        <v>155</v>
      </c>
      <c r="H135" s="308"/>
      <c r="I135" s="308"/>
      <c r="J135" s="308"/>
      <c r="K135" s="308"/>
      <c r="L135" s="308"/>
      <c r="M135" s="308"/>
      <c r="N135" s="308"/>
      <c r="O135" s="308"/>
      <c r="P135" s="251"/>
      <c r="Q135" s="353"/>
      <c r="R135" s="353"/>
      <c r="S135" s="353"/>
      <c r="T135" s="353"/>
      <c r="U135" s="353"/>
      <c r="V135" s="353"/>
      <c r="W135" s="251"/>
      <c r="X135" s="318"/>
      <c r="Y135" s="318"/>
      <c r="Z135" s="318"/>
      <c r="AA135" s="617"/>
      <c r="AB135" s="318"/>
      <c r="AC135" s="318"/>
      <c r="AD135" s="318"/>
      <c r="AE135" s="318"/>
      <c r="AF135" s="318"/>
      <c r="AG135" s="318"/>
      <c r="AH135" s="267"/>
      <c r="AI135" s="251"/>
      <c r="AJ135" s="323"/>
      <c r="AK135" s="323"/>
      <c r="AL135" s="323"/>
      <c r="AM135" s="323"/>
      <c r="AN135" s="323"/>
      <c r="AO135" s="323"/>
      <c r="AP135" s="323"/>
      <c r="AQ135" s="323"/>
      <c r="AR135" s="323"/>
      <c r="AS135" s="323"/>
      <c r="AT135" s="323"/>
      <c r="AU135" s="323"/>
      <c r="AV135" s="323"/>
      <c r="AW135" s="323"/>
      <c r="AX135" s="323"/>
      <c r="AY135" s="323"/>
      <c r="AZ135" s="351"/>
      <c r="BA135" s="326"/>
      <c r="BB135" s="326"/>
      <c r="BC135" s="326"/>
      <c r="BD135" s="326"/>
      <c r="BE135" s="326"/>
      <c r="BF135" s="351"/>
      <c r="BG135" s="332"/>
      <c r="BH135" s="332"/>
      <c r="BI135" s="332"/>
      <c r="BJ135" s="332"/>
      <c r="BK135" s="332"/>
      <c r="BL135" s="332"/>
      <c r="BM135" s="332"/>
      <c r="BN135" s="251"/>
      <c r="BO135" s="340"/>
      <c r="BP135" s="337"/>
      <c r="BQ135" s="340"/>
      <c r="BR135" s="340"/>
      <c r="BS135" s="340"/>
      <c r="BT135" s="340"/>
      <c r="BU135" s="340"/>
      <c r="BV135" s="340"/>
      <c r="BW135" s="340"/>
      <c r="BX135" s="251"/>
      <c r="BY135" s="345"/>
      <c r="BZ135" s="345"/>
      <c r="CA135" s="345"/>
      <c r="CB135" s="346"/>
      <c r="CC135" s="345"/>
      <c r="CD135" s="345"/>
      <c r="CE135" s="345"/>
      <c r="CF135" s="345"/>
      <c r="CG135" s="345"/>
      <c r="CH135" s="345"/>
      <c r="CI135" s="345"/>
      <c r="CJ135" s="346"/>
      <c r="CK135" s="346"/>
    </row>
    <row r="136">
      <c r="A136" s="821"/>
      <c r="B136" s="241" t="s">
        <v>155</v>
      </c>
      <c r="C136" s="237" t="s">
        <v>155</v>
      </c>
      <c r="D136" s="238" t="s">
        <v>155</v>
      </c>
      <c r="E136" s="239" t="s">
        <v>155</v>
      </c>
      <c r="F136" s="240" t="s">
        <v>155</v>
      </c>
      <c r="G136" s="241" t="s">
        <v>155</v>
      </c>
      <c r="H136" s="308"/>
      <c r="I136" s="308"/>
      <c r="J136" s="308"/>
      <c r="K136" s="308"/>
      <c r="L136" s="308"/>
      <c r="M136" s="308"/>
      <c r="N136" s="308"/>
      <c r="O136" s="308"/>
      <c r="P136" s="251"/>
      <c r="Q136" s="353"/>
      <c r="R136" s="353"/>
      <c r="S136" s="353"/>
      <c r="T136" s="353"/>
      <c r="U136" s="353"/>
      <c r="V136" s="353"/>
      <c r="W136" s="251"/>
      <c r="X136" s="318"/>
      <c r="Y136" s="318"/>
      <c r="Z136" s="318"/>
      <c r="AA136" s="617"/>
      <c r="AB136" s="318"/>
      <c r="AC136" s="318"/>
      <c r="AD136" s="318"/>
      <c r="AE136" s="318"/>
      <c r="AF136" s="318"/>
      <c r="AG136" s="318"/>
      <c r="AH136" s="267"/>
      <c r="AI136" s="251"/>
      <c r="AJ136" s="323"/>
      <c r="AK136" s="323"/>
      <c r="AL136" s="323"/>
      <c r="AM136" s="323"/>
      <c r="AN136" s="323"/>
      <c r="AO136" s="323"/>
      <c r="AP136" s="323"/>
      <c r="AQ136" s="323"/>
      <c r="AR136" s="323"/>
      <c r="AS136" s="323"/>
      <c r="AT136" s="323"/>
      <c r="AU136" s="323"/>
      <c r="AV136" s="323"/>
      <c r="AW136" s="323"/>
      <c r="AX136" s="323"/>
      <c r="AY136" s="323"/>
      <c r="AZ136" s="351"/>
      <c r="BA136" s="326"/>
      <c r="BB136" s="326"/>
      <c r="BC136" s="326"/>
      <c r="BD136" s="326"/>
      <c r="BE136" s="326"/>
      <c r="BF136" s="351"/>
      <c r="BG136" s="332"/>
      <c r="BH136" s="332"/>
      <c r="BI136" s="332"/>
      <c r="BJ136" s="332"/>
      <c r="BK136" s="332"/>
      <c r="BL136" s="332"/>
      <c r="BM136" s="332"/>
      <c r="BN136" s="251"/>
      <c r="BO136" s="340"/>
      <c r="BP136" s="337"/>
      <c r="BQ136" s="340"/>
      <c r="BR136" s="340"/>
      <c r="BS136" s="340"/>
      <c r="BT136" s="340"/>
      <c r="BU136" s="340"/>
      <c r="BV136" s="340"/>
      <c r="BW136" s="340"/>
      <c r="BX136" s="251"/>
      <c r="BY136" s="345"/>
      <c r="BZ136" s="345"/>
      <c r="CA136" s="345"/>
      <c r="CB136" s="346"/>
      <c r="CC136" s="345"/>
      <c r="CD136" s="345"/>
      <c r="CE136" s="345"/>
      <c r="CF136" s="345"/>
      <c r="CG136" s="345"/>
      <c r="CH136" s="345"/>
      <c r="CI136" s="345"/>
      <c r="CJ136" s="346"/>
      <c r="CK136" s="346"/>
    </row>
    <row r="137">
      <c r="A137" s="821"/>
      <c r="B137" s="241" t="s">
        <v>155</v>
      </c>
      <c r="C137" s="237" t="s">
        <v>155</v>
      </c>
      <c r="D137" s="238" t="s">
        <v>155</v>
      </c>
      <c r="E137" s="239" t="s">
        <v>155</v>
      </c>
      <c r="F137" s="240" t="s">
        <v>155</v>
      </c>
      <c r="G137" s="241" t="s">
        <v>155</v>
      </c>
      <c r="H137" s="308"/>
      <c r="I137" s="308"/>
      <c r="J137" s="308"/>
      <c r="K137" s="308"/>
      <c r="L137" s="308"/>
      <c r="M137" s="308"/>
      <c r="N137" s="308"/>
      <c r="O137" s="308"/>
      <c r="P137" s="251"/>
      <c r="Q137" s="353"/>
      <c r="R137" s="353"/>
      <c r="S137" s="353"/>
      <c r="T137" s="353"/>
      <c r="U137" s="353"/>
      <c r="V137" s="353"/>
      <c r="W137" s="251"/>
      <c r="X137" s="318"/>
      <c r="Y137" s="318"/>
      <c r="Z137" s="318"/>
      <c r="AA137" s="617"/>
      <c r="AB137" s="318"/>
      <c r="AC137" s="318"/>
      <c r="AD137" s="318"/>
      <c r="AE137" s="318"/>
      <c r="AF137" s="318"/>
      <c r="AG137" s="318"/>
      <c r="AH137" s="267"/>
      <c r="AI137" s="251"/>
      <c r="AJ137" s="323"/>
      <c r="AK137" s="323"/>
      <c r="AL137" s="323"/>
      <c r="AM137" s="323"/>
      <c r="AN137" s="323"/>
      <c r="AO137" s="323"/>
      <c r="AP137" s="323"/>
      <c r="AQ137" s="323"/>
      <c r="AR137" s="323"/>
      <c r="AS137" s="323"/>
      <c r="AT137" s="323"/>
      <c r="AU137" s="323"/>
      <c r="AV137" s="323"/>
      <c r="AW137" s="323"/>
      <c r="AX137" s="323"/>
      <c r="AY137" s="323"/>
      <c r="AZ137" s="351"/>
      <c r="BA137" s="326"/>
      <c r="BB137" s="326"/>
      <c r="BC137" s="326"/>
      <c r="BD137" s="326"/>
      <c r="BE137" s="326"/>
      <c r="BF137" s="351"/>
      <c r="BG137" s="332"/>
      <c r="BH137" s="332"/>
      <c r="BI137" s="332"/>
      <c r="BJ137" s="332"/>
      <c r="BK137" s="332"/>
      <c r="BL137" s="332"/>
      <c r="BM137" s="332"/>
      <c r="BN137" s="251"/>
      <c r="BO137" s="340"/>
      <c r="BP137" s="337"/>
      <c r="BQ137" s="340"/>
      <c r="BR137" s="340"/>
      <c r="BS137" s="340"/>
      <c r="BT137" s="340"/>
      <c r="BU137" s="340"/>
      <c r="BV137" s="340"/>
      <c r="BW137" s="340"/>
      <c r="BX137" s="251"/>
      <c r="BY137" s="345"/>
      <c r="BZ137" s="345"/>
      <c r="CA137" s="345"/>
      <c r="CB137" s="346"/>
      <c r="CC137" s="345"/>
      <c r="CD137" s="345"/>
      <c r="CE137" s="345"/>
      <c r="CF137" s="345"/>
      <c r="CG137" s="345"/>
      <c r="CH137" s="345"/>
      <c r="CI137" s="345"/>
      <c r="CJ137" s="346"/>
      <c r="CK137" s="346"/>
    </row>
    <row r="138">
      <c r="A138" s="821"/>
      <c r="B138" s="241" t="s">
        <v>155</v>
      </c>
      <c r="C138" s="237" t="s">
        <v>155</v>
      </c>
      <c r="D138" s="238" t="s">
        <v>155</v>
      </c>
      <c r="E138" s="239" t="s">
        <v>155</v>
      </c>
      <c r="F138" s="240" t="s">
        <v>155</v>
      </c>
      <c r="G138" s="241" t="s">
        <v>155</v>
      </c>
      <c r="H138" s="308"/>
      <c r="I138" s="308"/>
      <c r="J138" s="308"/>
      <c r="K138" s="308"/>
      <c r="L138" s="308"/>
      <c r="M138" s="308"/>
      <c r="N138" s="308"/>
      <c r="O138" s="308"/>
      <c r="P138" s="251"/>
      <c r="Q138" s="353"/>
      <c r="R138" s="353"/>
      <c r="S138" s="353"/>
      <c r="T138" s="353"/>
      <c r="U138" s="353"/>
      <c r="V138" s="353"/>
      <c r="W138" s="251"/>
      <c r="X138" s="318"/>
      <c r="Y138" s="318"/>
      <c r="Z138" s="318"/>
      <c r="AA138" s="617"/>
      <c r="AB138" s="318"/>
      <c r="AC138" s="318"/>
      <c r="AD138" s="318"/>
      <c r="AE138" s="318"/>
      <c r="AF138" s="318"/>
      <c r="AG138" s="318"/>
      <c r="AH138" s="267"/>
      <c r="AI138" s="251"/>
      <c r="AJ138" s="323"/>
      <c r="AK138" s="323"/>
      <c r="AL138" s="323"/>
      <c r="AM138" s="323"/>
      <c r="AN138" s="323"/>
      <c r="AO138" s="323"/>
      <c r="AP138" s="323"/>
      <c r="AQ138" s="323"/>
      <c r="AR138" s="323"/>
      <c r="AS138" s="323"/>
      <c r="AT138" s="323"/>
      <c r="AU138" s="323"/>
      <c r="AV138" s="323"/>
      <c r="AW138" s="323"/>
      <c r="AX138" s="323"/>
      <c r="AY138" s="323"/>
      <c r="AZ138" s="351"/>
      <c r="BA138" s="326"/>
      <c r="BB138" s="326"/>
      <c r="BC138" s="326"/>
      <c r="BD138" s="326"/>
      <c r="BE138" s="326"/>
      <c r="BF138" s="351"/>
      <c r="BG138" s="332"/>
      <c r="BH138" s="332"/>
      <c r="BI138" s="332"/>
      <c r="BJ138" s="332"/>
      <c r="BK138" s="332"/>
      <c r="BL138" s="332"/>
      <c r="BM138" s="332"/>
      <c r="BN138" s="251"/>
      <c r="BO138" s="340"/>
      <c r="BP138" s="337"/>
      <c r="BQ138" s="340"/>
      <c r="BR138" s="340"/>
      <c r="BS138" s="340"/>
      <c r="BT138" s="340"/>
      <c r="BU138" s="340"/>
      <c r="BV138" s="340"/>
      <c r="BW138" s="340"/>
      <c r="BX138" s="251"/>
      <c r="BY138" s="345"/>
      <c r="BZ138" s="345"/>
      <c r="CA138" s="345"/>
      <c r="CB138" s="346"/>
      <c r="CC138" s="345"/>
      <c r="CD138" s="345"/>
      <c r="CE138" s="345"/>
      <c r="CF138" s="345"/>
      <c r="CG138" s="345"/>
      <c r="CH138" s="345"/>
      <c r="CI138" s="345"/>
      <c r="CJ138" s="346"/>
      <c r="CK138" s="346"/>
    </row>
    <row r="139">
      <c r="A139" s="821"/>
      <c r="B139" s="241" t="s">
        <v>155</v>
      </c>
      <c r="C139" s="237" t="s">
        <v>155</v>
      </c>
      <c r="D139" s="238" t="s">
        <v>155</v>
      </c>
      <c r="E139" s="239" t="s">
        <v>155</v>
      </c>
      <c r="F139" s="240" t="s">
        <v>155</v>
      </c>
      <c r="G139" s="241" t="s">
        <v>155</v>
      </c>
      <c r="H139" s="308"/>
      <c r="I139" s="308"/>
      <c r="J139" s="308"/>
      <c r="K139" s="308"/>
      <c r="L139" s="308"/>
      <c r="M139" s="308"/>
      <c r="N139" s="308"/>
      <c r="O139" s="308"/>
      <c r="P139" s="251"/>
      <c r="Q139" s="353"/>
      <c r="R139" s="353"/>
      <c r="S139" s="353"/>
      <c r="T139" s="353"/>
      <c r="U139" s="353"/>
      <c r="V139" s="353"/>
      <c r="W139" s="251"/>
      <c r="X139" s="318"/>
      <c r="Y139" s="318"/>
      <c r="Z139" s="318"/>
      <c r="AA139" s="617"/>
      <c r="AB139" s="318"/>
      <c r="AC139" s="318"/>
      <c r="AD139" s="318"/>
      <c r="AE139" s="318"/>
      <c r="AF139" s="318"/>
      <c r="AG139" s="318"/>
      <c r="AH139" s="267"/>
      <c r="AI139" s="251"/>
      <c r="AJ139" s="323"/>
      <c r="AK139" s="323"/>
      <c r="AL139" s="323"/>
      <c r="AM139" s="323"/>
      <c r="AN139" s="323"/>
      <c r="AO139" s="323"/>
      <c r="AP139" s="323"/>
      <c r="AQ139" s="323"/>
      <c r="AR139" s="323"/>
      <c r="AS139" s="323"/>
      <c r="AT139" s="323"/>
      <c r="AU139" s="323"/>
      <c r="AV139" s="323"/>
      <c r="AW139" s="323"/>
      <c r="AX139" s="323"/>
      <c r="AY139" s="323"/>
      <c r="AZ139" s="351"/>
      <c r="BA139" s="326"/>
      <c r="BB139" s="326"/>
      <c r="BC139" s="326"/>
      <c r="BD139" s="326"/>
      <c r="BE139" s="326"/>
      <c r="BF139" s="351"/>
      <c r="BG139" s="332"/>
      <c r="BH139" s="332"/>
      <c r="BI139" s="332"/>
      <c r="BJ139" s="332"/>
      <c r="BK139" s="332"/>
      <c r="BL139" s="332"/>
      <c r="BM139" s="332"/>
      <c r="BN139" s="251"/>
      <c r="BO139" s="340"/>
      <c r="BP139" s="337"/>
      <c r="BQ139" s="340"/>
      <c r="BR139" s="340"/>
      <c r="BS139" s="340"/>
      <c r="BT139" s="340"/>
      <c r="BU139" s="340"/>
      <c r="BV139" s="340"/>
      <c r="BW139" s="340"/>
      <c r="BX139" s="251"/>
      <c r="BY139" s="345"/>
      <c r="BZ139" s="345"/>
      <c r="CA139" s="345"/>
      <c r="CB139" s="346"/>
      <c r="CC139" s="345"/>
      <c r="CD139" s="345"/>
      <c r="CE139" s="345"/>
      <c r="CF139" s="345"/>
      <c r="CG139" s="345"/>
      <c r="CH139" s="345"/>
      <c r="CI139" s="345"/>
      <c r="CJ139" s="346"/>
      <c r="CK139" s="346"/>
    </row>
    <row r="140">
      <c r="A140" s="821"/>
      <c r="B140" s="241" t="s">
        <v>155</v>
      </c>
      <c r="C140" s="237" t="s">
        <v>155</v>
      </c>
      <c r="D140" s="238" t="s">
        <v>155</v>
      </c>
      <c r="E140" s="239" t="s">
        <v>155</v>
      </c>
      <c r="F140" s="240" t="s">
        <v>155</v>
      </c>
      <c r="G140" s="241" t="s">
        <v>155</v>
      </c>
      <c r="H140" s="308"/>
      <c r="I140" s="308"/>
      <c r="J140" s="308"/>
      <c r="K140" s="308"/>
      <c r="L140" s="308"/>
      <c r="M140" s="308"/>
      <c r="N140" s="308"/>
      <c r="O140" s="308"/>
      <c r="P140" s="251"/>
      <c r="Q140" s="353"/>
      <c r="R140" s="353"/>
      <c r="S140" s="353"/>
      <c r="T140" s="353"/>
      <c r="U140" s="353"/>
      <c r="V140" s="353"/>
      <c r="W140" s="251"/>
      <c r="X140" s="318"/>
      <c r="Y140" s="318"/>
      <c r="Z140" s="318"/>
      <c r="AA140" s="617"/>
      <c r="AB140" s="318"/>
      <c r="AC140" s="318"/>
      <c r="AD140" s="318"/>
      <c r="AE140" s="318"/>
      <c r="AF140" s="318"/>
      <c r="AG140" s="318"/>
      <c r="AH140" s="267"/>
      <c r="AI140" s="251"/>
      <c r="AJ140" s="323"/>
      <c r="AK140" s="323"/>
      <c r="AL140" s="323"/>
      <c r="AM140" s="323"/>
      <c r="AN140" s="323"/>
      <c r="AO140" s="323"/>
      <c r="AP140" s="323"/>
      <c r="AQ140" s="323"/>
      <c r="AR140" s="323"/>
      <c r="AS140" s="323"/>
      <c r="AT140" s="323"/>
      <c r="AU140" s="323"/>
      <c r="AV140" s="323"/>
      <c r="AW140" s="323"/>
      <c r="AX140" s="323"/>
      <c r="AY140" s="323"/>
      <c r="AZ140" s="351"/>
      <c r="BA140" s="326"/>
      <c r="BB140" s="326"/>
      <c r="BC140" s="326"/>
      <c r="BD140" s="326"/>
      <c r="BE140" s="326"/>
      <c r="BF140" s="351"/>
      <c r="BG140" s="332"/>
      <c r="BH140" s="332"/>
      <c r="BI140" s="332"/>
      <c r="BJ140" s="332"/>
      <c r="BK140" s="332"/>
      <c r="BL140" s="332"/>
      <c r="BM140" s="332"/>
      <c r="BN140" s="251"/>
      <c r="BO140" s="340"/>
      <c r="BP140" s="337"/>
      <c r="BQ140" s="340"/>
      <c r="BR140" s="340"/>
      <c r="BS140" s="340"/>
      <c r="BT140" s="340"/>
      <c r="BU140" s="340"/>
      <c r="BV140" s="340"/>
      <c r="BW140" s="340"/>
      <c r="BX140" s="251"/>
      <c r="BY140" s="345"/>
      <c r="BZ140" s="345"/>
      <c r="CA140" s="345"/>
      <c r="CB140" s="346"/>
      <c r="CC140" s="345"/>
      <c r="CD140" s="345"/>
      <c r="CE140" s="345"/>
      <c r="CF140" s="345"/>
      <c r="CG140" s="345"/>
      <c r="CH140" s="345"/>
      <c r="CI140" s="345"/>
      <c r="CJ140" s="346"/>
      <c r="CK140" s="346"/>
    </row>
    <row r="141">
      <c r="A141" s="821"/>
      <c r="B141" s="241" t="s">
        <v>155</v>
      </c>
      <c r="C141" s="237" t="s">
        <v>155</v>
      </c>
      <c r="D141" s="238" t="s">
        <v>155</v>
      </c>
      <c r="E141" s="239" t="s">
        <v>155</v>
      </c>
      <c r="F141" s="240" t="s">
        <v>155</v>
      </c>
      <c r="G141" s="241" t="s">
        <v>155</v>
      </c>
      <c r="H141" s="308"/>
      <c r="I141" s="308"/>
      <c r="J141" s="308"/>
      <c r="K141" s="308"/>
      <c r="L141" s="308"/>
      <c r="M141" s="308"/>
      <c r="N141" s="308"/>
      <c r="O141" s="308"/>
      <c r="P141" s="251"/>
      <c r="Q141" s="353"/>
      <c r="R141" s="353"/>
      <c r="S141" s="353"/>
      <c r="T141" s="353"/>
      <c r="U141" s="353"/>
      <c r="V141" s="353"/>
      <c r="W141" s="251"/>
      <c r="X141" s="318"/>
      <c r="Y141" s="318"/>
      <c r="Z141" s="318"/>
      <c r="AA141" s="617"/>
      <c r="AB141" s="318"/>
      <c r="AC141" s="318"/>
      <c r="AD141" s="318"/>
      <c r="AE141" s="318"/>
      <c r="AF141" s="318"/>
      <c r="AG141" s="318"/>
      <c r="AH141" s="267"/>
      <c r="AI141" s="251"/>
      <c r="AJ141" s="323"/>
      <c r="AK141" s="323"/>
      <c r="AL141" s="323"/>
      <c r="AM141" s="323"/>
      <c r="AN141" s="323"/>
      <c r="AO141" s="323"/>
      <c r="AP141" s="323"/>
      <c r="AQ141" s="323"/>
      <c r="AR141" s="323"/>
      <c r="AS141" s="323"/>
      <c r="AT141" s="323"/>
      <c r="AU141" s="323"/>
      <c r="AV141" s="323"/>
      <c r="AW141" s="323"/>
      <c r="AX141" s="323"/>
      <c r="AY141" s="323"/>
      <c r="AZ141" s="351"/>
      <c r="BA141" s="326"/>
      <c r="BB141" s="326"/>
      <c r="BC141" s="326"/>
      <c r="BD141" s="326"/>
      <c r="BE141" s="326"/>
      <c r="BF141" s="351"/>
      <c r="BG141" s="332"/>
      <c r="BH141" s="332"/>
      <c r="BI141" s="332"/>
      <c r="BJ141" s="332"/>
      <c r="BK141" s="332"/>
      <c r="BL141" s="332"/>
      <c r="BM141" s="332"/>
      <c r="BN141" s="251"/>
      <c r="BO141" s="340"/>
      <c r="BP141" s="337"/>
      <c r="BQ141" s="340"/>
      <c r="BR141" s="340"/>
      <c r="BS141" s="340"/>
      <c r="BT141" s="340"/>
      <c r="BU141" s="340"/>
      <c r="BV141" s="340"/>
      <c r="BW141" s="340"/>
      <c r="BX141" s="251"/>
      <c r="BY141" s="345"/>
      <c r="BZ141" s="345"/>
      <c r="CA141" s="345"/>
      <c r="CB141" s="346"/>
      <c r="CC141" s="345"/>
      <c r="CD141" s="345"/>
      <c r="CE141" s="345"/>
      <c r="CF141" s="345"/>
      <c r="CG141" s="345"/>
      <c r="CH141" s="345"/>
      <c r="CI141" s="345"/>
      <c r="CJ141" s="346"/>
      <c r="CK141" s="346"/>
    </row>
    <row r="142">
      <c r="A142" s="821"/>
      <c r="B142" s="241" t="s">
        <v>155</v>
      </c>
      <c r="C142" s="237" t="s">
        <v>155</v>
      </c>
      <c r="D142" s="238" t="s">
        <v>155</v>
      </c>
      <c r="E142" s="239" t="s">
        <v>155</v>
      </c>
      <c r="F142" s="240" t="s">
        <v>155</v>
      </c>
      <c r="G142" s="241" t="s">
        <v>155</v>
      </c>
      <c r="H142" s="308"/>
      <c r="I142" s="308"/>
      <c r="J142" s="308"/>
      <c r="K142" s="308"/>
      <c r="L142" s="308"/>
      <c r="M142" s="308"/>
      <c r="N142" s="308"/>
      <c r="O142" s="308"/>
      <c r="P142" s="251"/>
      <c r="Q142" s="353"/>
      <c r="R142" s="353"/>
      <c r="S142" s="353"/>
      <c r="T142" s="353"/>
      <c r="U142" s="353"/>
      <c r="V142" s="353"/>
      <c r="W142" s="251"/>
      <c r="X142" s="318"/>
      <c r="Y142" s="318"/>
      <c r="Z142" s="318"/>
      <c r="AA142" s="617"/>
      <c r="AB142" s="318"/>
      <c r="AC142" s="318"/>
      <c r="AD142" s="318"/>
      <c r="AE142" s="318"/>
      <c r="AF142" s="318"/>
      <c r="AG142" s="318"/>
      <c r="AH142" s="267"/>
      <c r="AI142" s="251"/>
      <c r="AJ142" s="323"/>
      <c r="AK142" s="323"/>
      <c r="AL142" s="323"/>
      <c r="AM142" s="323"/>
      <c r="AN142" s="323"/>
      <c r="AO142" s="323"/>
      <c r="AP142" s="323"/>
      <c r="AQ142" s="323"/>
      <c r="AR142" s="323"/>
      <c r="AS142" s="323"/>
      <c r="AT142" s="323"/>
      <c r="AU142" s="323"/>
      <c r="AV142" s="323"/>
      <c r="AW142" s="323"/>
      <c r="AX142" s="323"/>
      <c r="AY142" s="323"/>
      <c r="AZ142" s="351"/>
      <c r="BA142" s="326"/>
      <c r="BB142" s="326"/>
      <c r="BC142" s="326"/>
      <c r="BD142" s="326"/>
      <c r="BE142" s="326"/>
      <c r="BF142" s="351"/>
      <c r="BG142" s="332"/>
      <c r="BH142" s="332"/>
      <c r="BI142" s="332"/>
      <c r="BJ142" s="332"/>
      <c r="BK142" s="332"/>
      <c r="BL142" s="332"/>
      <c r="BM142" s="332"/>
      <c r="BN142" s="251"/>
      <c r="BO142" s="340"/>
      <c r="BP142" s="337"/>
      <c r="BQ142" s="340"/>
      <c r="BR142" s="340"/>
      <c r="BS142" s="340"/>
      <c r="BT142" s="340"/>
      <c r="BU142" s="340"/>
      <c r="BV142" s="340"/>
      <c r="BW142" s="340"/>
      <c r="BX142" s="251"/>
      <c r="BY142" s="345"/>
      <c r="BZ142" s="345"/>
      <c r="CA142" s="345"/>
      <c r="CB142" s="346"/>
      <c r="CC142" s="345"/>
      <c r="CD142" s="345"/>
      <c r="CE142" s="345"/>
      <c r="CF142" s="345"/>
      <c r="CG142" s="345"/>
      <c r="CH142" s="345"/>
      <c r="CI142" s="345"/>
      <c r="CJ142" s="346"/>
      <c r="CK142" s="346"/>
    </row>
    <row r="143">
      <c r="A143" s="821"/>
      <c r="B143" s="241" t="s">
        <v>155</v>
      </c>
      <c r="C143" s="237" t="s">
        <v>155</v>
      </c>
      <c r="D143" s="238" t="s">
        <v>155</v>
      </c>
      <c r="E143" s="239" t="s">
        <v>155</v>
      </c>
      <c r="F143" s="240" t="s">
        <v>155</v>
      </c>
      <c r="G143" s="241" t="s">
        <v>155</v>
      </c>
      <c r="H143" s="308"/>
      <c r="I143" s="308"/>
      <c r="J143" s="308"/>
      <c r="K143" s="308"/>
      <c r="L143" s="308"/>
      <c r="M143" s="308"/>
      <c r="N143" s="308"/>
      <c r="O143" s="308"/>
      <c r="P143" s="251"/>
      <c r="Q143" s="353"/>
      <c r="R143" s="353"/>
      <c r="S143" s="353"/>
      <c r="T143" s="353"/>
      <c r="U143" s="353"/>
      <c r="V143" s="353"/>
      <c r="W143" s="251"/>
      <c r="X143" s="318"/>
      <c r="Y143" s="318"/>
      <c r="Z143" s="318"/>
      <c r="AA143" s="617"/>
      <c r="AB143" s="318"/>
      <c r="AC143" s="318"/>
      <c r="AD143" s="318"/>
      <c r="AE143" s="318"/>
      <c r="AF143" s="318"/>
      <c r="AG143" s="318"/>
      <c r="AH143" s="267"/>
      <c r="AI143" s="251"/>
      <c r="AJ143" s="323"/>
      <c r="AK143" s="323"/>
      <c r="AL143" s="323"/>
      <c r="AM143" s="323"/>
      <c r="AN143" s="323"/>
      <c r="AO143" s="323"/>
      <c r="AP143" s="323"/>
      <c r="AQ143" s="323"/>
      <c r="AR143" s="323"/>
      <c r="AS143" s="323"/>
      <c r="AT143" s="323"/>
      <c r="AU143" s="323"/>
      <c r="AV143" s="323"/>
      <c r="AW143" s="323"/>
      <c r="AX143" s="323"/>
      <c r="AY143" s="323"/>
      <c r="AZ143" s="351"/>
      <c r="BA143" s="326"/>
      <c r="BB143" s="326"/>
      <c r="BC143" s="326"/>
      <c r="BD143" s="326"/>
      <c r="BE143" s="326"/>
      <c r="BF143" s="351"/>
      <c r="BG143" s="332"/>
      <c r="BH143" s="332"/>
      <c r="BI143" s="332"/>
      <c r="BJ143" s="332"/>
      <c r="BK143" s="332"/>
      <c r="BL143" s="332"/>
      <c r="BM143" s="332"/>
      <c r="BN143" s="251"/>
      <c r="BO143" s="340"/>
      <c r="BP143" s="337"/>
      <c r="BQ143" s="340"/>
      <c r="BR143" s="340"/>
      <c r="BS143" s="340"/>
      <c r="BT143" s="340"/>
      <c r="BU143" s="340"/>
      <c r="BV143" s="340"/>
      <c r="BW143" s="340"/>
      <c r="BX143" s="251"/>
      <c r="BY143" s="345"/>
      <c r="BZ143" s="345"/>
      <c r="CA143" s="345"/>
      <c r="CB143" s="346"/>
      <c r="CC143" s="345"/>
      <c r="CD143" s="345"/>
      <c r="CE143" s="345"/>
      <c r="CF143" s="345"/>
      <c r="CG143" s="345"/>
      <c r="CH143" s="345"/>
      <c r="CI143" s="345"/>
      <c r="CJ143" s="346"/>
      <c r="CK143" s="346"/>
    </row>
    <row r="144">
      <c r="A144" s="821"/>
      <c r="B144" s="241" t="s">
        <v>155</v>
      </c>
      <c r="C144" s="237" t="s">
        <v>155</v>
      </c>
      <c r="D144" s="238" t="s">
        <v>155</v>
      </c>
      <c r="E144" s="239" t="s">
        <v>155</v>
      </c>
      <c r="F144" s="240" t="s">
        <v>155</v>
      </c>
      <c r="G144" s="241" t="s">
        <v>155</v>
      </c>
      <c r="H144" s="308"/>
      <c r="I144" s="308"/>
      <c r="J144" s="308"/>
      <c r="K144" s="308"/>
      <c r="L144" s="308"/>
      <c r="M144" s="308"/>
      <c r="N144" s="308"/>
      <c r="O144" s="308"/>
      <c r="P144" s="251"/>
      <c r="Q144" s="353"/>
      <c r="R144" s="353"/>
      <c r="S144" s="353"/>
      <c r="T144" s="353"/>
      <c r="U144" s="353"/>
      <c r="V144" s="353"/>
      <c r="W144" s="251"/>
      <c r="X144" s="318"/>
      <c r="Y144" s="318"/>
      <c r="Z144" s="318"/>
      <c r="AA144" s="617"/>
      <c r="AB144" s="318"/>
      <c r="AC144" s="318"/>
      <c r="AD144" s="318"/>
      <c r="AE144" s="318"/>
      <c r="AF144" s="318"/>
      <c r="AG144" s="318"/>
      <c r="AH144" s="267"/>
      <c r="AI144" s="251"/>
      <c r="AJ144" s="323"/>
      <c r="AK144" s="323"/>
      <c r="AL144" s="323"/>
      <c r="AM144" s="323"/>
      <c r="AN144" s="323"/>
      <c r="AO144" s="323"/>
      <c r="AP144" s="323"/>
      <c r="AQ144" s="323"/>
      <c r="AR144" s="323"/>
      <c r="AS144" s="323"/>
      <c r="AT144" s="323"/>
      <c r="AU144" s="323"/>
      <c r="AV144" s="323"/>
      <c r="AW144" s="323"/>
      <c r="AX144" s="323"/>
      <c r="AY144" s="323"/>
      <c r="AZ144" s="351"/>
      <c r="BA144" s="326"/>
      <c r="BB144" s="326"/>
      <c r="BC144" s="326"/>
      <c r="BD144" s="326"/>
      <c r="BE144" s="326"/>
      <c r="BF144" s="351"/>
      <c r="BG144" s="332"/>
      <c r="BH144" s="332"/>
      <c r="BI144" s="332"/>
      <c r="BJ144" s="332"/>
      <c r="BK144" s="332"/>
      <c r="BL144" s="332"/>
      <c r="BM144" s="332"/>
      <c r="BN144" s="251"/>
      <c r="BO144" s="340"/>
      <c r="BP144" s="337"/>
      <c r="BQ144" s="340"/>
      <c r="BR144" s="340"/>
      <c r="BS144" s="340"/>
      <c r="BT144" s="340"/>
      <c r="BU144" s="340"/>
      <c r="BV144" s="340"/>
      <c r="BW144" s="340"/>
      <c r="BX144" s="251"/>
      <c r="BY144" s="345"/>
      <c r="BZ144" s="345"/>
      <c r="CA144" s="345"/>
      <c r="CB144" s="346"/>
      <c r="CC144" s="345"/>
      <c r="CD144" s="345"/>
      <c r="CE144" s="345"/>
      <c r="CF144" s="345"/>
      <c r="CG144" s="345"/>
      <c r="CH144" s="345"/>
      <c r="CI144" s="345"/>
      <c r="CJ144" s="346"/>
      <c r="CK144" s="346"/>
    </row>
    <row r="145">
      <c r="A145" s="821"/>
      <c r="B145" s="241" t="s">
        <v>155</v>
      </c>
      <c r="C145" s="237" t="s">
        <v>155</v>
      </c>
      <c r="D145" s="238" t="s">
        <v>155</v>
      </c>
      <c r="E145" s="239" t="s">
        <v>155</v>
      </c>
      <c r="F145" s="240" t="s">
        <v>155</v>
      </c>
      <c r="G145" s="241" t="s">
        <v>155</v>
      </c>
      <c r="H145" s="308"/>
      <c r="I145" s="308"/>
      <c r="J145" s="308"/>
      <c r="K145" s="308"/>
      <c r="L145" s="308"/>
      <c r="M145" s="308"/>
      <c r="N145" s="308"/>
      <c r="O145" s="308"/>
      <c r="P145" s="251"/>
      <c r="Q145" s="353"/>
      <c r="R145" s="353"/>
      <c r="S145" s="353"/>
      <c r="T145" s="353"/>
      <c r="U145" s="353"/>
      <c r="V145" s="353"/>
      <c r="W145" s="251"/>
      <c r="X145" s="318"/>
      <c r="Y145" s="318"/>
      <c r="Z145" s="318"/>
      <c r="AA145" s="617"/>
      <c r="AB145" s="318"/>
      <c r="AC145" s="318"/>
      <c r="AD145" s="318"/>
      <c r="AE145" s="318"/>
      <c r="AF145" s="318"/>
      <c r="AG145" s="318"/>
      <c r="AH145" s="267"/>
      <c r="AI145" s="251"/>
      <c r="AJ145" s="323"/>
      <c r="AK145" s="323"/>
      <c r="AL145" s="323"/>
      <c r="AM145" s="323"/>
      <c r="AN145" s="323"/>
      <c r="AO145" s="323"/>
      <c r="AP145" s="323"/>
      <c r="AQ145" s="323"/>
      <c r="AR145" s="323"/>
      <c r="AS145" s="323"/>
      <c r="AT145" s="323"/>
      <c r="AU145" s="323"/>
      <c r="AV145" s="323"/>
      <c r="AW145" s="323"/>
      <c r="AX145" s="323"/>
      <c r="AY145" s="323"/>
      <c r="AZ145" s="351"/>
      <c r="BA145" s="326"/>
      <c r="BB145" s="326"/>
      <c r="BC145" s="326"/>
      <c r="BD145" s="326"/>
      <c r="BE145" s="326"/>
      <c r="BF145" s="351"/>
      <c r="BG145" s="332"/>
      <c r="BH145" s="332"/>
      <c r="BI145" s="332"/>
      <c r="BJ145" s="332"/>
      <c r="BK145" s="332"/>
      <c r="BL145" s="332"/>
      <c r="BM145" s="332"/>
      <c r="BN145" s="251"/>
      <c r="BO145" s="340"/>
      <c r="BP145" s="337"/>
      <c r="BQ145" s="340"/>
      <c r="BR145" s="340"/>
      <c r="BS145" s="340"/>
      <c r="BT145" s="340"/>
      <c r="BU145" s="340"/>
      <c r="BV145" s="340"/>
      <c r="BW145" s="340"/>
      <c r="BX145" s="251"/>
      <c r="BY145" s="345"/>
      <c r="BZ145" s="345"/>
      <c r="CA145" s="345"/>
      <c r="CB145" s="346"/>
      <c r="CC145" s="345"/>
      <c r="CD145" s="345"/>
      <c r="CE145" s="345"/>
      <c r="CF145" s="345"/>
      <c r="CG145" s="345"/>
      <c r="CH145" s="345"/>
      <c r="CI145" s="345"/>
      <c r="CJ145" s="346"/>
      <c r="CK145" s="346"/>
    </row>
    <row r="146">
      <c r="A146" s="821"/>
      <c r="B146" s="241" t="s">
        <v>155</v>
      </c>
      <c r="C146" s="237" t="s">
        <v>155</v>
      </c>
      <c r="D146" s="238" t="s">
        <v>155</v>
      </c>
      <c r="E146" s="239" t="s">
        <v>155</v>
      </c>
      <c r="F146" s="240" t="s">
        <v>155</v>
      </c>
      <c r="G146" s="241" t="s">
        <v>155</v>
      </c>
      <c r="H146" s="308"/>
      <c r="I146" s="308"/>
      <c r="J146" s="308"/>
      <c r="K146" s="308"/>
      <c r="L146" s="308"/>
      <c r="M146" s="308"/>
      <c r="N146" s="308"/>
      <c r="O146" s="308"/>
      <c r="P146" s="251"/>
      <c r="Q146" s="353"/>
      <c r="R146" s="353"/>
      <c r="S146" s="353"/>
      <c r="T146" s="353"/>
      <c r="U146" s="353"/>
      <c r="V146" s="353"/>
      <c r="W146" s="251"/>
      <c r="X146" s="318"/>
      <c r="Y146" s="318"/>
      <c r="Z146" s="318"/>
      <c r="AA146" s="617"/>
      <c r="AB146" s="318"/>
      <c r="AC146" s="318"/>
      <c r="AD146" s="318"/>
      <c r="AE146" s="318"/>
      <c r="AF146" s="318"/>
      <c r="AG146" s="318"/>
      <c r="AH146" s="267"/>
      <c r="AI146" s="251"/>
      <c r="AJ146" s="323"/>
      <c r="AK146" s="323"/>
      <c r="AL146" s="323"/>
      <c r="AM146" s="323"/>
      <c r="AN146" s="323"/>
      <c r="AO146" s="323"/>
      <c r="AP146" s="323"/>
      <c r="AQ146" s="323"/>
      <c r="AR146" s="323"/>
      <c r="AS146" s="323"/>
      <c r="AT146" s="323"/>
      <c r="AU146" s="323"/>
      <c r="AV146" s="323"/>
      <c r="AW146" s="323"/>
      <c r="AX146" s="323"/>
      <c r="AY146" s="323"/>
      <c r="AZ146" s="351"/>
      <c r="BA146" s="326"/>
      <c r="BB146" s="326"/>
      <c r="BC146" s="326"/>
      <c r="BD146" s="326"/>
      <c r="BE146" s="326"/>
      <c r="BF146" s="351"/>
      <c r="BG146" s="332"/>
      <c r="BH146" s="332"/>
      <c r="BI146" s="332"/>
      <c r="BJ146" s="332"/>
      <c r="BK146" s="332"/>
      <c r="BL146" s="332"/>
      <c r="BM146" s="332"/>
      <c r="BN146" s="251"/>
      <c r="BO146" s="340"/>
      <c r="BP146" s="337"/>
      <c r="BQ146" s="340"/>
      <c r="BR146" s="340"/>
      <c r="BS146" s="340"/>
      <c r="BT146" s="340"/>
      <c r="BU146" s="340"/>
      <c r="BV146" s="340"/>
      <c r="BW146" s="340"/>
      <c r="BX146" s="251"/>
      <c r="BY146" s="345"/>
      <c r="BZ146" s="345"/>
      <c r="CA146" s="345"/>
      <c r="CB146" s="346"/>
      <c r="CC146" s="345"/>
      <c r="CD146" s="345"/>
      <c r="CE146" s="345"/>
      <c r="CF146" s="345"/>
      <c r="CG146" s="345"/>
      <c r="CH146" s="345"/>
      <c r="CI146" s="345"/>
      <c r="CJ146" s="346"/>
      <c r="CK146" s="346"/>
    </row>
    <row r="147">
      <c r="A147" s="821"/>
      <c r="B147" s="241" t="s">
        <v>155</v>
      </c>
      <c r="C147" s="237" t="s">
        <v>155</v>
      </c>
      <c r="D147" s="238" t="s">
        <v>155</v>
      </c>
      <c r="E147" s="239" t="s">
        <v>155</v>
      </c>
      <c r="F147" s="240" t="s">
        <v>155</v>
      </c>
      <c r="G147" s="241" t="s">
        <v>155</v>
      </c>
      <c r="H147" s="308"/>
      <c r="I147" s="308"/>
      <c r="J147" s="308"/>
      <c r="K147" s="308"/>
      <c r="L147" s="308"/>
      <c r="M147" s="308"/>
      <c r="N147" s="308"/>
      <c r="O147" s="308"/>
      <c r="P147" s="251"/>
      <c r="Q147" s="353"/>
      <c r="R147" s="353"/>
      <c r="S147" s="353"/>
      <c r="T147" s="353"/>
      <c r="U147" s="353"/>
      <c r="V147" s="353"/>
      <c r="W147" s="251"/>
      <c r="X147" s="318"/>
      <c r="Y147" s="318"/>
      <c r="Z147" s="318"/>
      <c r="AA147" s="617"/>
      <c r="AB147" s="318"/>
      <c r="AC147" s="318"/>
      <c r="AD147" s="318"/>
      <c r="AE147" s="318"/>
      <c r="AF147" s="318"/>
      <c r="AG147" s="318"/>
      <c r="AH147" s="267"/>
      <c r="AI147" s="251"/>
      <c r="AJ147" s="323"/>
      <c r="AK147" s="323"/>
      <c r="AL147" s="323"/>
      <c r="AM147" s="323"/>
      <c r="AN147" s="323"/>
      <c r="AO147" s="323"/>
      <c r="AP147" s="323"/>
      <c r="AQ147" s="323"/>
      <c r="AR147" s="323"/>
      <c r="AS147" s="323"/>
      <c r="AT147" s="323"/>
      <c r="AU147" s="323"/>
      <c r="AV147" s="323"/>
      <c r="AW147" s="323"/>
      <c r="AX147" s="323"/>
      <c r="AY147" s="323"/>
      <c r="AZ147" s="351"/>
      <c r="BA147" s="326"/>
      <c r="BB147" s="326"/>
      <c r="BC147" s="326"/>
      <c r="BD147" s="326"/>
      <c r="BE147" s="326"/>
      <c r="BF147" s="351"/>
      <c r="BG147" s="332"/>
      <c r="BH147" s="332"/>
      <c r="BI147" s="332"/>
      <c r="BJ147" s="332"/>
      <c r="BK147" s="332"/>
      <c r="BL147" s="332"/>
      <c r="BM147" s="332"/>
      <c r="BN147" s="251"/>
      <c r="BO147" s="340"/>
      <c r="BP147" s="337"/>
      <c r="BQ147" s="340"/>
      <c r="BR147" s="340"/>
      <c r="BS147" s="340"/>
      <c r="BT147" s="340"/>
      <c r="BU147" s="340"/>
      <c r="BV147" s="340"/>
      <c r="BW147" s="340"/>
      <c r="BX147" s="251"/>
      <c r="BY147" s="345"/>
      <c r="BZ147" s="345"/>
      <c r="CA147" s="345"/>
      <c r="CB147" s="346"/>
      <c r="CC147" s="345"/>
      <c r="CD147" s="345"/>
      <c r="CE147" s="345"/>
      <c r="CF147" s="345"/>
      <c r="CG147" s="345"/>
      <c r="CH147" s="345"/>
      <c r="CI147" s="345"/>
      <c r="CJ147" s="346"/>
      <c r="CK147" s="346"/>
    </row>
    <row r="148">
      <c r="A148" s="821"/>
      <c r="B148" s="241" t="s">
        <v>155</v>
      </c>
      <c r="C148" s="237" t="s">
        <v>155</v>
      </c>
      <c r="D148" s="238" t="s">
        <v>155</v>
      </c>
      <c r="E148" s="239" t="s">
        <v>155</v>
      </c>
      <c r="F148" s="240" t="s">
        <v>155</v>
      </c>
      <c r="G148" s="241" t="s">
        <v>155</v>
      </c>
      <c r="H148" s="308"/>
      <c r="I148" s="308"/>
      <c r="J148" s="308"/>
      <c r="K148" s="308"/>
      <c r="L148" s="308"/>
      <c r="M148" s="308"/>
      <c r="N148" s="308"/>
      <c r="O148" s="308"/>
      <c r="P148" s="251"/>
      <c r="Q148" s="353"/>
      <c r="R148" s="353"/>
      <c r="S148" s="353"/>
      <c r="T148" s="353"/>
      <c r="U148" s="353"/>
      <c r="V148" s="353"/>
      <c r="W148" s="251"/>
      <c r="X148" s="318"/>
      <c r="Y148" s="318"/>
      <c r="Z148" s="318"/>
      <c r="AA148" s="617"/>
      <c r="AB148" s="318"/>
      <c r="AC148" s="318"/>
      <c r="AD148" s="318"/>
      <c r="AE148" s="318"/>
      <c r="AF148" s="318"/>
      <c r="AG148" s="318"/>
      <c r="AH148" s="267"/>
      <c r="AI148" s="251"/>
      <c r="AJ148" s="323"/>
      <c r="AK148" s="323"/>
      <c r="AL148" s="323"/>
      <c r="AM148" s="323"/>
      <c r="AN148" s="323"/>
      <c r="AO148" s="323"/>
      <c r="AP148" s="323"/>
      <c r="AQ148" s="323"/>
      <c r="AR148" s="323"/>
      <c r="AS148" s="323"/>
      <c r="AT148" s="323"/>
      <c r="AU148" s="323"/>
      <c r="AV148" s="323"/>
      <c r="AW148" s="323"/>
      <c r="AX148" s="323"/>
      <c r="AY148" s="323"/>
      <c r="AZ148" s="351"/>
      <c r="BA148" s="326"/>
      <c r="BB148" s="326"/>
      <c r="BC148" s="326"/>
      <c r="BD148" s="326"/>
      <c r="BE148" s="326"/>
      <c r="BF148" s="351"/>
      <c r="BG148" s="332"/>
      <c r="BH148" s="332"/>
      <c r="BI148" s="332"/>
      <c r="BJ148" s="332"/>
      <c r="BK148" s="332"/>
      <c r="BL148" s="332"/>
      <c r="BM148" s="332"/>
      <c r="BN148" s="251"/>
      <c r="BO148" s="340"/>
      <c r="BP148" s="337"/>
      <c r="BQ148" s="340"/>
      <c r="BR148" s="340"/>
      <c r="BS148" s="340"/>
      <c r="BT148" s="340"/>
      <c r="BU148" s="340"/>
      <c r="BV148" s="340"/>
      <c r="BW148" s="340"/>
      <c r="BX148" s="251"/>
      <c r="BY148" s="345"/>
      <c r="BZ148" s="345"/>
      <c r="CA148" s="345"/>
      <c r="CB148" s="346"/>
      <c r="CC148" s="345"/>
      <c r="CD148" s="345"/>
      <c r="CE148" s="345"/>
      <c r="CF148" s="345"/>
      <c r="CG148" s="345"/>
      <c r="CH148" s="345"/>
      <c r="CI148" s="345"/>
      <c r="CJ148" s="346"/>
      <c r="CK148" s="346"/>
    </row>
    <row r="149">
      <c r="A149" s="821"/>
      <c r="B149" s="241" t="s">
        <v>155</v>
      </c>
      <c r="C149" s="237" t="s">
        <v>155</v>
      </c>
      <c r="D149" s="238" t="s">
        <v>155</v>
      </c>
      <c r="E149" s="239" t="s">
        <v>155</v>
      </c>
      <c r="F149" s="240" t="s">
        <v>155</v>
      </c>
      <c r="G149" s="241" t="s">
        <v>155</v>
      </c>
      <c r="H149" s="308"/>
      <c r="I149" s="308"/>
      <c r="J149" s="308"/>
      <c r="K149" s="308"/>
      <c r="L149" s="308"/>
      <c r="M149" s="308"/>
      <c r="N149" s="308"/>
      <c r="O149" s="308"/>
      <c r="P149" s="251"/>
      <c r="Q149" s="353"/>
      <c r="R149" s="353"/>
      <c r="S149" s="353"/>
      <c r="T149" s="353"/>
      <c r="U149" s="353"/>
      <c r="V149" s="353"/>
      <c r="W149" s="251"/>
      <c r="X149" s="318"/>
      <c r="Y149" s="318"/>
      <c r="Z149" s="318"/>
      <c r="AA149" s="617"/>
      <c r="AB149" s="318"/>
      <c r="AC149" s="318"/>
      <c r="AD149" s="318"/>
      <c r="AE149" s="318"/>
      <c r="AF149" s="318"/>
      <c r="AG149" s="318"/>
      <c r="AH149" s="267"/>
      <c r="AI149" s="251"/>
      <c r="AJ149" s="323"/>
      <c r="AK149" s="323"/>
      <c r="AL149" s="323"/>
      <c r="AM149" s="323"/>
      <c r="AN149" s="323"/>
      <c r="AO149" s="323"/>
      <c r="AP149" s="323"/>
      <c r="AQ149" s="323"/>
      <c r="AR149" s="323"/>
      <c r="AS149" s="323"/>
      <c r="AT149" s="323"/>
      <c r="AU149" s="323"/>
      <c r="AV149" s="323"/>
      <c r="AW149" s="323"/>
      <c r="AX149" s="323"/>
      <c r="AY149" s="323"/>
      <c r="AZ149" s="351"/>
      <c r="BA149" s="326"/>
      <c r="BB149" s="326"/>
      <c r="BC149" s="326"/>
      <c r="BD149" s="326"/>
      <c r="BE149" s="326"/>
      <c r="BF149" s="351"/>
      <c r="BG149" s="332"/>
      <c r="BH149" s="332"/>
      <c r="BI149" s="332"/>
      <c r="BJ149" s="332"/>
      <c r="BK149" s="332"/>
      <c r="BL149" s="332"/>
      <c r="BM149" s="332"/>
      <c r="BN149" s="251"/>
      <c r="BO149" s="340"/>
      <c r="BP149" s="337"/>
      <c r="BQ149" s="340"/>
      <c r="BR149" s="340"/>
      <c r="BS149" s="340"/>
      <c r="BT149" s="340"/>
      <c r="BU149" s="340"/>
      <c r="BV149" s="340"/>
      <c r="BW149" s="340"/>
      <c r="BX149" s="251"/>
      <c r="BY149" s="345"/>
      <c r="BZ149" s="345"/>
      <c r="CA149" s="345"/>
      <c r="CB149" s="346"/>
      <c r="CC149" s="345"/>
      <c r="CD149" s="345"/>
      <c r="CE149" s="345"/>
      <c r="CF149" s="345"/>
      <c r="CG149" s="345"/>
      <c r="CH149" s="345"/>
      <c r="CI149" s="345"/>
      <c r="CJ149" s="346"/>
      <c r="CK149" s="346"/>
    </row>
    <row r="150">
      <c r="A150" s="821"/>
      <c r="B150" s="241" t="s">
        <v>155</v>
      </c>
      <c r="C150" s="237" t="s">
        <v>155</v>
      </c>
      <c r="D150" s="238" t="s">
        <v>155</v>
      </c>
      <c r="E150" s="239" t="s">
        <v>155</v>
      </c>
      <c r="F150" s="240" t="s">
        <v>155</v>
      </c>
      <c r="G150" s="241" t="s">
        <v>155</v>
      </c>
      <c r="H150" s="308"/>
      <c r="I150" s="308"/>
      <c r="J150" s="308"/>
      <c r="K150" s="308"/>
      <c r="L150" s="308"/>
      <c r="M150" s="308"/>
      <c r="N150" s="308"/>
      <c r="O150" s="308"/>
      <c r="P150" s="251"/>
      <c r="Q150" s="353"/>
      <c r="R150" s="353"/>
      <c r="S150" s="353"/>
      <c r="T150" s="353"/>
      <c r="U150" s="353"/>
      <c r="V150" s="353"/>
      <c r="W150" s="251"/>
      <c r="X150" s="318"/>
      <c r="Y150" s="318"/>
      <c r="Z150" s="318"/>
      <c r="AA150" s="617"/>
      <c r="AB150" s="318"/>
      <c r="AC150" s="318"/>
      <c r="AD150" s="318"/>
      <c r="AE150" s="318"/>
      <c r="AF150" s="318"/>
      <c r="AG150" s="318"/>
      <c r="AH150" s="267"/>
      <c r="AI150" s="251"/>
      <c r="AJ150" s="323"/>
      <c r="AK150" s="323"/>
      <c r="AL150" s="323"/>
      <c r="AM150" s="323"/>
      <c r="AN150" s="323"/>
      <c r="AO150" s="323"/>
      <c r="AP150" s="323"/>
      <c r="AQ150" s="323"/>
      <c r="AR150" s="323"/>
      <c r="AS150" s="323"/>
      <c r="AT150" s="323"/>
      <c r="AU150" s="323"/>
      <c r="AV150" s="323"/>
      <c r="AW150" s="323"/>
      <c r="AX150" s="323"/>
      <c r="AY150" s="323"/>
      <c r="AZ150" s="351"/>
      <c r="BA150" s="326"/>
      <c r="BB150" s="326"/>
      <c r="BC150" s="326"/>
      <c r="BD150" s="326"/>
      <c r="BE150" s="326"/>
      <c r="BF150" s="351"/>
      <c r="BG150" s="332"/>
      <c r="BH150" s="332"/>
      <c r="BI150" s="332"/>
      <c r="BJ150" s="332"/>
      <c r="BK150" s="332"/>
      <c r="BL150" s="332"/>
      <c r="BM150" s="332"/>
      <c r="BN150" s="251"/>
      <c r="BO150" s="340"/>
      <c r="BP150" s="337"/>
      <c r="BQ150" s="340"/>
      <c r="BR150" s="340"/>
      <c r="BS150" s="340"/>
      <c r="BT150" s="340"/>
      <c r="BU150" s="340"/>
      <c r="BV150" s="340"/>
      <c r="BW150" s="340"/>
      <c r="BX150" s="251"/>
      <c r="BY150" s="345"/>
      <c r="BZ150" s="345"/>
      <c r="CA150" s="345"/>
      <c r="CB150" s="346"/>
      <c r="CC150" s="345"/>
      <c r="CD150" s="345"/>
      <c r="CE150" s="345"/>
      <c r="CF150" s="345"/>
      <c r="CG150" s="345"/>
      <c r="CH150" s="345"/>
      <c r="CI150" s="345"/>
      <c r="CJ150" s="346"/>
      <c r="CK150" s="346"/>
    </row>
    <row r="151">
      <c r="A151" s="821"/>
      <c r="B151" s="241" t="s">
        <v>155</v>
      </c>
      <c r="C151" s="237" t="s">
        <v>155</v>
      </c>
      <c r="D151" s="238" t="s">
        <v>155</v>
      </c>
      <c r="E151" s="239" t="s">
        <v>155</v>
      </c>
      <c r="F151" s="240" t="s">
        <v>155</v>
      </c>
      <c r="G151" s="241" t="s">
        <v>155</v>
      </c>
      <c r="H151" s="308"/>
      <c r="I151" s="308"/>
      <c r="J151" s="308"/>
      <c r="K151" s="308"/>
      <c r="L151" s="308"/>
      <c r="M151" s="308"/>
      <c r="N151" s="308"/>
      <c r="O151" s="308"/>
      <c r="P151" s="251"/>
      <c r="Q151" s="353"/>
      <c r="R151" s="353"/>
      <c r="S151" s="353"/>
      <c r="T151" s="353"/>
      <c r="U151" s="353"/>
      <c r="V151" s="353"/>
      <c r="W151" s="251"/>
      <c r="X151" s="318"/>
      <c r="Y151" s="318"/>
      <c r="Z151" s="318"/>
      <c r="AA151" s="617"/>
      <c r="AB151" s="318"/>
      <c r="AC151" s="318"/>
      <c r="AD151" s="318"/>
      <c r="AE151" s="318"/>
      <c r="AF151" s="318"/>
      <c r="AG151" s="318"/>
      <c r="AH151" s="267"/>
      <c r="AI151" s="251"/>
      <c r="AJ151" s="323"/>
      <c r="AK151" s="323"/>
      <c r="AL151" s="323"/>
      <c r="AM151" s="323"/>
      <c r="AN151" s="323"/>
      <c r="AO151" s="323"/>
      <c r="AP151" s="323"/>
      <c r="AQ151" s="323"/>
      <c r="AR151" s="323"/>
      <c r="AS151" s="323"/>
      <c r="AT151" s="323"/>
      <c r="AU151" s="323"/>
      <c r="AV151" s="323"/>
      <c r="AW151" s="323"/>
      <c r="AX151" s="323"/>
      <c r="AY151" s="323"/>
      <c r="AZ151" s="351"/>
      <c r="BA151" s="326"/>
      <c r="BB151" s="326"/>
      <c r="BC151" s="326"/>
      <c r="BD151" s="326"/>
      <c r="BE151" s="326"/>
      <c r="BF151" s="351"/>
      <c r="BG151" s="332"/>
      <c r="BH151" s="332"/>
      <c r="BI151" s="332"/>
      <c r="BJ151" s="332"/>
      <c r="BK151" s="332"/>
      <c r="BL151" s="332"/>
      <c r="BM151" s="332"/>
      <c r="BN151" s="251"/>
      <c r="BO151" s="340"/>
      <c r="BP151" s="337"/>
      <c r="BQ151" s="340"/>
      <c r="BR151" s="340"/>
      <c r="BS151" s="340"/>
      <c r="BT151" s="340"/>
      <c r="BU151" s="340"/>
      <c r="BV151" s="340"/>
      <c r="BW151" s="340"/>
      <c r="BX151" s="251"/>
      <c r="BY151" s="345"/>
      <c r="BZ151" s="345"/>
      <c r="CA151" s="345"/>
      <c r="CB151" s="346"/>
      <c r="CC151" s="345"/>
      <c r="CD151" s="345"/>
      <c r="CE151" s="345"/>
      <c r="CF151" s="345"/>
      <c r="CG151" s="345"/>
      <c r="CH151" s="345"/>
      <c r="CI151" s="345"/>
      <c r="CJ151" s="346"/>
      <c r="CK151" s="346"/>
    </row>
    <row r="152">
      <c r="A152" s="821"/>
      <c r="B152" s="241" t="s">
        <v>155</v>
      </c>
      <c r="C152" s="237" t="s">
        <v>155</v>
      </c>
      <c r="D152" s="238" t="s">
        <v>155</v>
      </c>
      <c r="E152" s="239" t="s">
        <v>155</v>
      </c>
      <c r="F152" s="240" t="s">
        <v>155</v>
      </c>
      <c r="G152" s="241" t="s">
        <v>155</v>
      </c>
      <c r="H152" s="308"/>
      <c r="I152" s="308"/>
      <c r="J152" s="308"/>
      <c r="K152" s="308"/>
      <c r="L152" s="308"/>
      <c r="M152" s="308"/>
      <c r="N152" s="308"/>
      <c r="O152" s="308"/>
      <c r="P152" s="251"/>
      <c r="Q152" s="353"/>
      <c r="R152" s="353"/>
      <c r="S152" s="353"/>
      <c r="T152" s="353"/>
      <c r="U152" s="353"/>
      <c r="V152" s="353"/>
      <c r="W152" s="251"/>
      <c r="X152" s="318"/>
      <c r="Y152" s="318"/>
      <c r="Z152" s="318"/>
      <c r="AA152" s="617"/>
      <c r="AB152" s="318"/>
      <c r="AC152" s="318"/>
      <c r="AD152" s="318"/>
      <c r="AE152" s="318"/>
      <c r="AF152" s="318"/>
      <c r="AG152" s="318"/>
      <c r="AH152" s="267"/>
      <c r="AI152" s="251"/>
      <c r="AJ152" s="323"/>
      <c r="AK152" s="323"/>
      <c r="AL152" s="323"/>
      <c r="AM152" s="323"/>
      <c r="AN152" s="323"/>
      <c r="AO152" s="323"/>
      <c r="AP152" s="323"/>
      <c r="AQ152" s="323"/>
      <c r="AR152" s="323"/>
      <c r="AS152" s="323"/>
      <c r="AT152" s="323"/>
      <c r="AU152" s="323"/>
      <c r="AV152" s="323"/>
      <c r="AW152" s="323"/>
      <c r="AX152" s="323"/>
      <c r="AY152" s="323"/>
      <c r="AZ152" s="351"/>
      <c r="BA152" s="326"/>
      <c r="BB152" s="326"/>
      <c r="BC152" s="326"/>
      <c r="BD152" s="326"/>
      <c r="BE152" s="326"/>
      <c r="BF152" s="351"/>
      <c r="BG152" s="332"/>
      <c r="BH152" s="332"/>
      <c r="BI152" s="332"/>
      <c r="BJ152" s="332"/>
      <c r="BK152" s="332"/>
      <c r="BL152" s="332"/>
      <c r="BM152" s="332"/>
      <c r="BN152" s="251"/>
      <c r="BO152" s="340"/>
      <c r="BP152" s="337"/>
      <c r="BQ152" s="340"/>
      <c r="BR152" s="340"/>
      <c r="BS152" s="340"/>
      <c r="BT152" s="340"/>
      <c r="BU152" s="340"/>
      <c r="BV152" s="340"/>
      <c r="BW152" s="340"/>
      <c r="BX152" s="251"/>
      <c r="BY152" s="345"/>
      <c r="BZ152" s="345"/>
      <c r="CA152" s="345"/>
      <c r="CB152" s="346"/>
      <c r="CC152" s="345"/>
      <c r="CD152" s="345"/>
      <c r="CE152" s="345"/>
      <c r="CF152" s="345"/>
      <c r="CG152" s="345"/>
      <c r="CH152" s="345"/>
      <c r="CI152" s="345"/>
      <c r="CJ152" s="346"/>
      <c r="CK152" s="346"/>
    </row>
    <row r="153">
      <c r="A153" s="821"/>
      <c r="B153" s="241" t="s">
        <v>155</v>
      </c>
      <c r="C153" s="237" t="s">
        <v>155</v>
      </c>
      <c r="D153" s="238" t="s">
        <v>155</v>
      </c>
      <c r="E153" s="239" t="s">
        <v>155</v>
      </c>
      <c r="F153" s="240" t="s">
        <v>155</v>
      </c>
      <c r="G153" s="241" t="s">
        <v>155</v>
      </c>
      <c r="H153" s="308"/>
      <c r="I153" s="308"/>
      <c r="J153" s="308"/>
      <c r="K153" s="308"/>
      <c r="L153" s="308"/>
      <c r="M153" s="308"/>
      <c r="N153" s="308"/>
      <c r="O153" s="308"/>
      <c r="P153" s="251"/>
      <c r="Q153" s="353"/>
      <c r="R153" s="353"/>
      <c r="S153" s="353"/>
      <c r="T153" s="353"/>
      <c r="U153" s="353"/>
      <c r="V153" s="353"/>
      <c r="W153" s="251"/>
      <c r="X153" s="318"/>
      <c r="Y153" s="318"/>
      <c r="Z153" s="318"/>
      <c r="AA153" s="617"/>
      <c r="AB153" s="318"/>
      <c r="AC153" s="318"/>
      <c r="AD153" s="318"/>
      <c r="AE153" s="318"/>
      <c r="AF153" s="318"/>
      <c r="AG153" s="318"/>
      <c r="AH153" s="267"/>
      <c r="AI153" s="251"/>
      <c r="AJ153" s="323"/>
      <c r="AK153" s="323"/>
      <c r="AL153" s="323"/>
      <c r="AM153" s="323"/>
      <c r="AN153" s="323"/>
      <c r="AO153" s="323"/>
      <c r="AP153" s="323"/>
      <c r="AQ153" s="323"/>
      <c r="AR153" s="323"/>
      <c r="AS153" s="323"/>
      <c r="AT153" s="323"/>
      <c r="AU153" s="323"/>
      <c r="AV153" s="323"/>
      <c r="AW153" s="323"/>
      <c r="AX153" s="323"/>
      <c r="AY153" s="323"/>
      <c r="AZ153" s="351"/>
      <c r="BA153" s="326"/>
      <c r="BB153" s="326"/>
      <c r="BC153" s="326"/>
      <c r="BD153" s="326"/>
      <c r="BE153" s="326"/>
      <c r="BF153" s="351"/>
      <c r="BG153" s="332"/>
      <c r="BH153" s="332"/>
      <c r="BI153" s="332"/>
      <c r="BJ153" s="332"/>
      <c r="BK153" s="332"/>
      <c r="BL153" s="332"/>
      <c r="BM153" s="332"/>
      <c r="BN153" s="251"/>
      <c r="BO153" s="340"/>
      <c r="BP153" s="337"/>
      <c r="BQ153" s="340"/>
      <c r="BR153" s="340"/>
      <c r="BS153" s="340"/>
      <c r="BT153" s="340"/>
      <c r="BU153" s="340"/>
      <c r="BV153" s="340"/>
      <c r="BW153" s="340"/>
      <c r="BX153" s="251"/>
      <c r="BY153" s="345"/>
      <c r="BZ153" s="345"/>
      <c r="CA153" s="345"/>
      <c r="CB153" s="346"/>
      <c r="CC153" s="345"/>
      <c r="CD153" s="345"/>
      <c r="CE153" s="345"/>
      <c r="CF153" s="345"/>
      <c r="CG153" s="345"/>
      <c r="CH153" s="345"/>
      <c r="CI153" s="345"/>
      <c r="CJ153" s="346"/>
      <c r="CK153" s="346"/>
    </row>
    <row r="154">
      <c r="A154" s="821"/>
      <c r="B154" s="241" t="s">
        <v>155</v>
      </c>
      <c r="C154" s="237" t="s">
        <v>155</v>
      </c>
      <c r="D154" s="238" t="s">
        <v>155</v>
      </c>
      <c r="E154" s="239" t="s">
        <v>155</v>
      </c>
      <c r="F154" s="240" t="s">
        <v>155</v>
      </c>
      <c r="G154" s="241" t="s">
        <v>155</v>
      </c>
      <c r="H154" s="308"/>
      <c r="I154" s="308"/>
      <c r="J154" s="308"/>
      <c r="K154" s="308"/>
      <c r="L154" s="308"/>
      <c r="M154" s="308"/>
      <c r="N154" s="308"/>
      <c r="O154" s="308"/>
      <c r="P154" s="251"/>
      <c r="Q154" s="353"/>
      <c r="R154" s="353"/>
      <c r="S154" s="353"/>
      <c r="T154" s="353"/>
      <c r="U154" s="353"/>
      <c r="V154" s="353"/>
      <c r="W154" s="251"/>
      <c r="X154" s="318"/>
      <c r="Y154" s="318"/>
      <c r="Z154" s="318"/>
      <c r="AA154" s="617"/>
      <c r="AB154" s="318"/>
      <c r="AC154" s="318"/>
      <c r="AD154" s="318"/>
      <c r="AE154" s="318"/>
      <c r="AF154" s="318"/>
      <c r="AG154" s="318"/>
      <c r="AH154" s="267"/>
      <c r="AI154" s="251"/>
      <c r="AJ154" s="323"/>
      <c r="AK154" s="323"/>
      <c r="AL154" s="323"/>
      <c r="AM154" s="323"/>
      <c r="AN154" s="323"/>
      <c r="AO154" s="323"/>
      <c r="AP154" s="323"/>
      <c r="AQ154" s="323"/>
      <c r="AR154" s="323"/>
      <c r="AS154" s="323"/>
      <c r="AT154" s="323"/>
      <c r="AU154" s="323"/>
      <c r="AV154" s="323"/>
      <c r="AW154" s="323"/>
      <c r="AX154" s="323"/>
      <c r="AY154" s="323"/>
      <c r="AZ154" s="351"/>
      <c r="BA154" s="326"/>
      <c r="BB154" s="326"/>
      <c r="BC154" s="326"/>
      <c r="BD154" s="326"/>
      <c r="BE154" s="326"/>
      <c r="BF154" s="351"/>
      <c r="BG154" s="332"/>
      <c r="BH154" s="332"/>
      <c r="BI154" s="332"/>
      <c r="BJ154" s="332"/>
      <c r="BK154" s="332"/>
      <c r="BL154" s="332"/>
      <c r="BM154" s="332"/>
      <c r="BN154" s="251"/>
      <c r="BO154" s="340"/>
      <c r="BP154" s="337"/>
      <c r="BQ154" s="340"/>
      <c r="BR154" s="340"/>
      <c r="BS154" s="340"/>
      <c r="BT154" s="340"/>
      <c r="BU154" s="340"/>
      <c r="BV154" s="340"/>
      <c r="BW154" s="340"/>
      <c r="BX154" s="251"/>
      <c r="BY154" s="345"/>
      <c r="BZ154" s="345"/>
      <c r="CA154" s="345"/>
      <c r="CB154" s="346"/>
      <c r="CC154" s="345"/>
      <c r="CD154" s="345"/>
      <c r="CE154" s="345"/>
      <c r="CF154" s="345"/>
      <c r="CG154" s="345"/>
      <c r="CH154" s="345"/>
      <c r="CI154" s="345"/>
      <c r="CJ154" s="346"/>
      <c r="CK154" s="346"/>
    </row>
    <row r="155">
      <c r="A155" s="821"/>
      <c r="B155" s="241" t="s">
        <v>155</v>
      </c>
      <c r="C155" s="237" t="s">
        <v>155</v>
      </c>
      <c r="D155" s="238" t="s">
        <v>155</v>
      </c>
      <c r="E155" s="239" t="s">
        <v>155</v>
      </c>
      <c r="F155" s="240" t="s">
        <v>155</v>
      </c>
      <c r="G155" s="241" t="s">
        <v>155</v>
      </c>
      <c r="H155" s="308"/>
      <c r="I155" s="308"/>
      <c r="J155" s="308"/>
      <c r="K155" s="308"/>
      <c r="L155" s="308"/>
      <c r="M155" s="308"/>
      <c r="N155" s="308"/>
      <c r="O155" s="308"/>
      <c r="P155" s="251"/>
      <c r="Q155" s="353"/>
      <c r="R155" s="353"/>
      <c r="S155" s="353"/>
      <c r="T155" s="353"/>
      <c r="U155" s="353"/>
      <c r="V155" s="353"/>
      <c r="W155" s="251"/>
      <c r="X155" s="318"/>
      <c r="Y155" s="318"/>
      <c r="Z155" s="318"/>
      <c r="AA155" s="617"/>
      <c r="AB155" s="318"/>
      <c r="AC155" s="318"/>
      <c r="AD155" s="318"/>
      <c r="AE155" s="318"/>
      <c r="AF155" s="318"/>
      <c r="AG155" s="318"/>
      <c r="AH155" s="267"/>
      <c r="AI155" s="251"/>
      <c r="AJ155" s="323"/>
      <c r="AK155" s="323"/>
      <c r="AL155" s="323"/>
      <c r="AM155" s="323"/>
      <c r="AN155" s="323"/>
      <c r="AO155" s="323"/>
      <c r="AP155" s="323"/>
      <c r="AQ155" s="323"/>
      <c r="AR155" s="323"/>
      <c r="AS155" s="323"/>
      <c r="AT155" s="323"/>
      <c r="AU155" s="323"/>
      <c r="AV155" s="323"/>
      <c r="AW155" s="323"/>
      <c r="AX155" s="323"/>
      <c r="AY155" s="323"/>
      <c r="AZ155" s="351"/>
      <c r="BA155" s="326"/>
      <c r="BB155" s="326"/>
      <c r="BC155" s="326"/>
      <c r="BD155" s="326"/>
      <c r="BE155" s="326"/>
      <c r="BF155" s="351"/>
      <c r="BG155" s="332"/>
      <c r="BH155" s="332"/>
      <c r="BI155" s="332"/>
      <c r="BJ155" s="332"/>
      <c r="BK155" s="332"/>
      <c r="BL155" s="332"/>
      <c r="BM155" s="332"/>
      <c r="BN155" s="251"/>
      <c r="BO155" s="340"/>
      <c r="BP155" s="337"/>
      <c r="BQ155" s="340"/>
      <c r="BR155" s="340"/>
      <c r="BS155" s="340"/>
      <c r="BT155" s="340"/>
      <c r="BU155" s="340"/>
      <c r="BV155" s="340"/>
      <c r="BW155" s="340"/>
      <c r="BX155" s="251"/>
      <c r="BY155" s="345"/>
      <c r="BZ155" s="345"/>
      <c r="CA155" s="345"/>
      <c r="CB155" s="346"/>
      <c r="CC155" s="345"/>
      <c r="CD155" s="345"/>
      <c r="CE155" s="345"/>
      <c r="CF155" s="345"/>
      <c r="CG155" s="345"/>
      <c r="CH155" s="345"/>
      <c r="CI155" s="345"/>
      <c r="CJ155" s="346"/>
      <c r="CK155" s="346"/>
    </row>
    <row r="156">
      <c r="A156" s="821"/>
      <c r="B156" s="241" t="s">
        <v>155</v>
      </c>
      <c r="C156" s="237" t="s">
        <v>155</v>
      </c>
      <c r="D156" s="238" t="s">
        <v>155</v>
      </c>
      <c r="E156" s="239" t="s">
        <v>155</v>
      </c>
      <c r="F156" s="240" t="s">
        <v>155</v>
      </c>
      <c r="G156" s="241" t="s">
        <v>155</v>
      </c>
      <c r="H156" s="308"/>
      <c r="I156" s="308"/>
      <c r="J156" s="308"/>
      <c r="K156" s="308"/>
      <c r="L156" s="308"/>
      <c r="M156" s="308"/>
      <c r="N156" s="308"/>
      <c r="O156" s="308"/>
      <c r="P156" s="251"/>
      <c r="Q156" s="353"/>
      <c r="R156" s="353"/>
      <c r="S156" s="353"/>
      <c r="T156" s="353"/>
      <c r="U156" s="353"/>
      <c r="V156" s="353"/>
      <c r="W156" s="251"/>
      <c r="X156" s="318"/>
      <c r="Y156" s="318"/>
      <c r="Z156" s="318"/>
      <c r="AA156" s="617"/>
      <c r="AB156" s="318"/>
      <c r="AC156" s="318"/>
      <c r="AD156" s="318"/>
      <c r="AE156" s="318"/>
      <c r="AF156" s="318"/>
      <c r="AG156" s="318"/>
      <c r="AH156" s="267"/>
      <c r="AI156" s="251"/>
      <c r="AJ156" s="323"/>
      <c r="AK156" s="323"/>
      <c r="AL156" s="323"/>
      <c r="AM156" s="323"/>
      <c r="AN156" s="323"/>
      <c r="AO156" s="323"/>
      <c r="AP156" s="323"/>
      <c r="AQ156" s="323"/>
      <c r="AR156" s="323"/>
      <c r="AS156" s="323"/>
      <c r="AT156" s="323"/>
      <c r="AU156" s="323"/>
      <c r="AV156" s="323"/>
      <c r="AW156" s="323"/>
      <c r="AX156" s="323"/>
      <c r="AY156" s="323"/>
      <c r="AZ156" s="351"/>
      <c r="BA156" s="326"/>
      <c r="BB156" s="326"/>
      <c r="BC156" s="326"/>
      <c r="BD156" s="326"/>
      <c r="BE156" s="326"/>
      <c r="BF156" s="351"/>
      <c r="BG156" s="332"/>
      <c r="BH156" s="332"/>
      <c r="BI156" s="332"/>
      <c r="BJ156" s="332"/>
      <c r="BK156" s="332"/>
      <c r="BL156" s="332"/>
      <c r="BM156" s="332"/>
      <c r="BN156" s="251"/>
      <c r="BO156" s="340"/>
      <c r="BP156" s="337"/>
      <c r="BQ156" s="340"/>
      <c r="BR156" s="340"/>
      <c r="BS156" s="340"/>
      <c r="BT156" s="340"/>
      <c r="BU156" s="340"/>
      <c r="BV156" s="340"/>
      <c r="BW156" s="340"/>
      <c r="BX156" s="251"/>
      <c r="BY156" s="345"/>
      <c r="BZ156" s="345"/>
      <c r="CA156" s="345"/>
      <c r="CB156" s="346"/>
      <c r="CC156" s="345"/>
      <c r="CD156" s="345"/>
      <c r="CE156" s="345"/>
      <c r="CF156" s="345"/>
      <c r="CG156" s="345"/>
      <c r="CH156" s="345"/>
      <c r="CI156" s="345"/>
      <c r="CJ156" s="346"/>
      <c r="CK156" s="346"/>
    </row>
    <row r="157">
      <c r="A157" s="821"/>
      <c r="B157" s="241" t="s">
        <v>155</v>
      </c>
      <c r="C157" s="237" t="s">
        <v>155</v>
      </c>
      <c r="D157" s="238" t="s">
        <v>155</v>
      </c>
      <c r="E157" s="239" t="s">
        <v>155</v>
      </c>
      <c r="F157" s="240" t="s">
        <v>155</v>
      </c>
      <c r="G157" s="241" t="s">
        <v>155</v>
      </c>
      <c r="H157" s="308"/>
      <c r="I157" s="308"/>
      <c r="J157" s="308"/>
      <c r="K157" s="308"/>
      <c r="L157" s="308"/>
      <c r="M157" s="308"/>
      <c r="N157" s="308"/>
      <c r="O157" s="308"/>
      <c r="P157" s="251"/>
      <c r="Q157" s="353"/>
      <c r="R157" s="353"/>
      <c r="S157" s="353"/>
      <c r="T157" s="353"/>
      <c r="U157" s="353"/>
      <c r="V157" s="353"/>
      <c r="W157" s="251"/>
      <c r="X157" s="318"/>
      <c r="Y157" s="318"/>
      <c r="Z157" s="318"/>
      <c r="AA157" s="617"/>
      <c r="AB157" s="318"/>
      <c r="AC157" s="318"/>
      <c r="AD157" s="318"/>
      <c r="AE157" s="318"/>
      <c r="AF157" s="318"/>
      <c r="AG157" s="318"/>
      <c r="AH157" s="267"/>
      <c r="AI157" s="251"/>
      <c r="AJ157" s="323"/>
      <c r="AK157" s="323"/>
      <c r="AL157" s="323"/>
      <c r="AM157" s="323"/>
      <c r="AN157" s="323"/>
      <c r="AO157" s="323"/>
      <c r="AP157" s="323"/>
      <c r="AQ157" s="323"/>
      <c r="AR157" s="323"/>
      <c r="AS157" s="323"/>
      <c r="AT157" s="323"/>
      <c r="AU157" s="323"/>
      <c r="AV157" s="323"/>
      <c r="AW157" s="323"/>
      <c r="AX157" s="323"/>
      <c r="AY157" s="323"/>
      <c r="AZ157" s="351"/>
      <c r="BA157" s="326"/>
      <c r="BB157" s="326"/>
      <c r="BC157" s="326"/>
      <c r="BD157" s="326"/>
      <c r="BE157" s="326"/>
      <c r="BF157" s="351"/>
      <c r="BG157" s="332"/>
      <c r="BH157" s="332"/>
      <c r="BI157" s="332"/>
      <c r="BJ157" s="332"/>
      <c r="BK157" s="332"/>
      <c r="BL157" s="332"/>
      <c r="BM157" s="332"/>
      <c r="BN157" s="251"/>
      <c r="BO157" s="340"/>
      <c r="BP157" s="337"/>
      <c r="BQ157" s="340"/>
      <c r="BR157" s="340"/>
      <c r="BS157" s="340"/>
      <c r="BT157" s="340"/>
      <c r="BU157" s="340"/>
      <c r="BV157" s="340"/>
      <c r="BW157" s="340"/>
      <c r="BX157" s="251"/>
      <c r="BY157" s="345"/>
      <c r="BZ157" s="345"/>
      <c r="CA157" s="345"/>
      <c r="CB157" s="346"/>
      <c r="CC157" s="345"/>
      <c r="CD157" s="345"/>
      <c r="CE157" s="345"/>
      <c r="CF157" s="345"/>
      <c r="CG157" s="345"/>
      <c r="CH157" s="345"/>
      <c r="CI157" s="345"/>
      <c r="CJ157" s="346"/>
      <c r="CK157" s="346"/>
    </row>
    <row r="158">
      <c r="A158" s="821"/>
      <c r="B158" s="241" t="s">
        <v>155</v>
      </c>
      <c r="C158" s="237" t="s">
        <v>155</v>
      </c>
      <c r="D158" s="238" t="s">
        <v>155</v>
      </c>
      <c r="E158" s="239" t="s">
        <v>155</v>
      </c>
      <c r="F158" s="240" t="s">
        <v>155</v>
      </c>
      <c r="G158" s="241" t="s">
        <v>155</v>
      </c>
      <c r="H158" s="308"/>
      <c r="I158" s="308"/>
      <c r="J158" s="308"/>
      <c r="K158" s="308"/>
      <c r="L158" s="308"/>
      <c r="M158" s="308"/>
      <c r="N158" s="308"/>
      <c r="O158" s="308"/>
      <c r="P158" s="251"/>
      <c r="Q158" s="353"/>
      <c r="R158" s="353"/>
      <c r="S158" s="353"/>
      <c r="T158" s="353"/>
      <c r="U158" s="353"/>
      <c r="V158" s="353"/>
      <c r="W158" s="251"/>
      <c r="X158" s="318"/>
      <c r="Y158" s="318"/>
      <c r="Z158" s="318"/>
      <c r="AA158" s="617"/>
      <c r="AB158" s="318"/>
      <c r="AC158" s="318"/>
      <c r="AD158" s="318"/>
      <c r="AE158" s="318"/>
      <c r="AF158" s="318"/>
      <c r="AG158" s="318"/>
      <c r="AH158" s="267"/>
      <c r="AI158" s="251"/>
      <c r="AJ158" s="323"/>
      <c r="AK158" s="323"/>
      <c r="AL158" s="323"/>
      <c r="AM158" s="323"/>
      <c r="AN158" s="323"/>
      <c r="AO158" s="323"/>
      <c r="AP158" s="323"/>
      <c r="AQ158" s="323"/>
      <c r="AR158" s="323"/>
      <c r="AS158" s="323"/>
      <c r="AT158" s="323"/>
      <c r="AU158" s="323"/>
      <c r="AV158" s="323"/>
      <c r="AW158" s="323"/>
      <c r="AX158" s="323"/>
      <c r="AY158" s="323"/>
      <c r="AZ158" s="351"/>
      <c r="BA158" s="326"/>
      <c r="BB158" s="326"/>
      <c r="BC158" s="326"/>
      <c r="BD158" s="326"/>
      <c r="BE158" s="326"/>
      <c r="BF158" s="351"/>
      <c r="BG158" s="332"/>
      <c r="BH158" s="332"/>
      <c r="BI158" s="332"/>
      <c r="BJ158" s="332"/>
      <c r="BK158" s="332"/>
      <c r="BL158" s="332"/>
      <c r="BM158" s="332"/>
      <c r="BN158" s="251"/>
      <c r="BO158" s="340"/>
      <c r="BP158" s="337"/>
      <c r="BQ158" s="340"/>
      <c r="BR158" s="340"/>
      <c r="BS158" s="340"/>
      <c r="BT158" s="340"/>
      <c r="BU158" s="340"/>
      <c r="BV158" s="340"/>
      <c r="BW158" s="340"/>
      <c r="BX158" s="251"/>
      <c r="BY158" s="345"/>
      <c r="BZ158" s="345"/>
      <c r="CA158" s="345"/>
      <c r="CB158" s="346"/>
      <c r="CC158" s="345"/>
      <c r="CD158" s="345"/>
      <c r="CE158" s="345"/>
      <c r="CF158" s="345"/>
      <c r="CG158" s="345"/>
      <c r="CH158" s="345"/>
      <c r="CI158" s="345"/>
      <c r="CJ158" s="346"/>
      <c r="CK158" s="346"/>
    </row>
    <row r="159">
      <c r="A159" s="821"/>
      <c r="B159" s="241" t="s">
        <v>155</v>
      </c>
      <c r="C159" s="237" t="s">
        <v>155</v>
      </c>
      <c r="D159" s="238" t="s">
        <v>155</v>
      </c>
      <c r="E159" s="239" t="s">
        <v>155</v>
      </c>
      <c r="F159" s="240" t="s">
        <v>155</v>
      </c>
      <c r="G159" s="241" t="s">
        <v>155</v>
      </c>
      <c r="H159" s="308"/>
      <c r="I159" s="308"/>
      <c r="J159" s="308"/>
      <c r="K159" s="308"/>
      <c r="L159" s="308"/>
      <c r="M159" s="308"/>
      <c r="N159" s="308"/>
      <c r="O159" s="308"/>
      <c r="P159" s="251"/>
      <c r="Q159" s="353"/>
      <c r="R159" s="353"/>
      <c r="S159" s="353"/>
      <c r="T159" s="353"/>
      <c r="U159" s="353"/>
      <c r="V159" s="353"/>
      <c r="W159" s="251"/>
      <c r="X159" s="318"/>
      <c r="Y159" s="318"/>
      <c r="Z159" s="318"/>
      <c r="AA159" s="617"/>
      <c r="AB159" s="318"/>
      <c r="AC159" s="318"/>
      <c r="AD159" s="318"/>
      <c r="AE159" s="318"/>
      <c r="AF159" s="318"/>
      <c r="AG159" s="318"/>
      <c r="AH159" s="267"/>
      <c r="AI159" s="251"/>
      <c r="AJ159" s="323"/>
      <c r="AK159" s="323"/>
      <c r="AL159" s="323"/>
      <c r="AM159" s="323"/>
      <c r="AN159" s="323"/>
      <c r="AO159" s="323"/>
      <c r="AP159" s="323"/>
      <c r="AQ159" s="323"/>
      <c r="AR159" s="323"/>
      <c r="AS159" s="323"/>
      <c r="AT159" s="323"/>
      <c r="AU159" s="323"/>
      <c r="AV159" s="323"/>
      <c r="AW159" s="323"/>
      <c r="AX159" s="323"/>
      <c r="AY159" s="323"/>
      <c r="AZ159" s="351"/>
      <c r="BA159" s="326"/>
      <c r="BB159" s="326"/>
      <c r="BC159" s="326"/>
      <c r="BD159" s="326"/>
      <c r="BE159" s="326"/>
      <c r="BF159" s="351"/>
      <c r="BG159" s="332"/>
      <c r="BH159" s="332"/>
      <c r="BI159" s="332"/>
      <c r="BJ159" s="332"/>
      <c r="BK159" s="332"/>
      <c r="BL159" s="332"/>
      <c r="BM159" s="332"/>
      <c r="BN159" s="251"/>
      <c r="BO159" s="340"/>
      <c r="BP159" s="337"/>
      <c r="BQ159" s="340"/>
      <c r="BR159" s="340"/>
      <c r="BS159" s="340"/>
      <c r="BT159" s="340"/>
      <c r="BU159" s="340"/>
      <c r="BV159" s="340"/>
      <c r="BW159" s="340"/>
      <c r="BX159" s="251"/>
      <c r="BY159" s="345"/>
      <c r="BZ159" s="345"/>
      <c r="CA159" s="345"/>
      <c r="CB159" s="346"/>
      <c r="CC159" s="345"/>
      <c r="CD159" s="345"/>
      <c r="CE159" s="345"/>
      <c r="CF159" s="345"/>
      <c r="CG159" s="345"/>
      <c r="CH159" s="345"/>
      <c r="CI159" s="345"/>
      <c r="CJ159" s="346"/>
      <c r="CK159" s="346"/>
    </row>
    <row r="160">
      <c r="A160" s="821"/>
      <c r="B160" s="241" t="s">
        <v>155</v>
      </c>
      <c r="C160" s="237" t="s">
        <v>155</v>
      </c>
      <c r="D160" s="238" t="s">
        <v>155</v>
      </c>
      <c r="E160" s="239" t="s">
        <v>155</v>
      </c>
      <c r="F160" s="240" t="s">
        <v>155</v>
      </c>
      <c r="G160" s="241" t="s">
        <v>155</v>
      </c>
      <c r="H160" s="308"/>
      <c r="I160" s="308"/>
      <c r="J160" s="308"/>
      <c r="K160" s="308"/>
      <c r="L160" s="308"/>
      <c r="M160" s="308"/>
      <c r="N160" s="308"/>
      <c r="O160" s="308"/>
      <c r="P160" s="251"/>
      <c r="Q160" s="353"/>
      <c r="R160" s="353"/>
      <c r="S160" s="353"/>
      <c r="T160" s="353"/>
      <c r="U160" s="353"/>
      <c r="V160" s="353"/>
      <c r="W160" s="251"/>
      <c r="X160" s="318"/>
      <c r="Y160" s="318"/>
      <c r="Z160" s="318"/>
      <c r="AA160" s="617"/>
      <c r="AB160" s="318"/>
      <c r="AC160" s="318"/>
      <c r="AD160" s="318"/>
      <c r="AE160" s="318"/>
      <c r="AF160" s="318"/>
      <c r="AG160" s="318"/>
      <c r="AH160" s="267"/>
      <c r="AI160" s="251"/>
      <c r="AJ160" s="323"/>
      <c r="AK160" s="323"/>
      <c r="AL160" s="323"/>
      <c r="AM160" s="323"/>
      <c r="AN160" s="323"/>
      <c r="AO160" s="323"/>
      <c r="AP160" s="323"/>
      <c r="AQ160" s="323"/>
      <c r="AR160" s="323"/>
      <c r="AS160" s="323"/>
      <c r="AT160" s="323"/>
      <c r="AU160" s="323"/>
      <c r="AV160" s="323"/>
      <c r="AW160" s="323"/>
      <c r="AX160" s="323"/>
      <c r="AY160" s="323"/>
      <c r="AZ160" s="351"/>
      <c r="BA160" s="326"/>
      <c r="BB160" s="326"/>
      <c r="BC160" s="326"/>
      <c r="BD160" s="326"/>
      <c r="BE160" s="326"/>
      <c r="BF160" s="351"/>
      <c r="BG160" s="332"/>
      <c r="BH160" s="332"/>
      <c r="BI160" s="332"/>
      <c r="BJ160" s="332"/>
      <c r="BK160" s="332"/>
      <c r="BL160" s="332"/>
      <c r="BM160" s="332"/>
      <c r="BN160" s="251"/>
      <c r="BO160" s="340"/>
      <c r="BP160" s="337"/>
      <c r="BQ160" s="340"/>
      <c r="BR160" s="340"/>
      <c r="BS160" s="340"/>
      <c r="BT160" s="340"/>
      <c r="BU160" s="340"/>
      <c r="BV160" s="340"/>
      <c r="BW160" s="340"/>
      <c r="BX160" s="251"/>
      <c r="BY160" s="345"/>
      <c r="BZ160" s="345"/>
      <c r="CA160" s="345"/>
      <c r="CB160" s="346"/>
      <c r="CC160" s="345"/>
      <c r="CD160" s="345"/>
      <c r="CE160" s="345"/>
      <c r="CF160" s="345"/>
      <c r="CG160" s="345"/>
      <c r="CH160" s="345"/>
      <c r="CI160" s="345"/>
      <c r="CJ160" s="346"/>
      <c r="CK160" s="346"/>
    </row>
    <row r="161">
      <c r="A161" s="821"/>
      <c r="B161" s="241" t="s">
        <v>155</v>
      </c>
      <c r="C161" s="237" t="s">
        <v>155</v>
      </c>
      <c r="D161" s="238" t="s">
        <v>155</v>
      </c>
      <c r="E161" s="239" t="s">
        <v>155</v>
      </c>
      <c r="F161" s="240" t="s">
        <v>155</v>
      </c>
      <c r="G161" s="241" t="s">
        <v>155</v>
      </c>
      <c r="H161" s="308"/>
      <c r="I161" s="308"/>
      <c r="J161" s="308"/>
      <c r="K161" s="308"/>
      <c r="L161" s="308"/>
      <c r="M161" s="308"/>
      <c r="N161" s="308"/>
      <c r="O161" s="308"/>
      <c r="P161" s="251"/>
      <c r="Q161" s="353"/>
      <c r="R161" s="353"/>
      <c r="S161" s="353"/>
      <c r="T161" s="353"/>
      <c r="U161" s="353"/>
      <c r="V161" s="353"/>
      <c r="W161" s="251"/>
      <c r="X161" s="318"/>
      <c r="Y161" s="318"/>
      <c r="Z161" s="318"/>
      <c r="AA161" s="617"/>
      <c r="AB161" s="318"/>
      <c r="AC161" s="318"/>
      <c r="AD161" s="318"/>
      <c r="AE161" s="318"/>
      <c r="AF161" s="318"/>
      <c r="AG161" s="318"/>
      <c r="AH161" s="267"/>
      <c r="AI161" s="251"/>
      <c r="AJ161" s="323"/>
      <c r="AK161" s="323"/>
      <c r="AL161" s="323"/>
      <c r="AM161" s="323"/>
      <c r="AN161" s="323"/>
      <c r="AO161" s="323"/>
      <c r="AP161" s="323"/>
      <c r="AQ161" s="323"/>
      <c r="AR161" s="323"/>
      <c r="AS161" s="323"/>
      <c r="AT161" s="323"/>
      <c r="AU161" s="323"/>
      <c r="AV161" s="323"/>
      <c r="AW161" s="323"/>
      <c r="AX161" s="323"/>
      <c r="AY161" s="323"/>
      <c r="AZ161" s="351"/>
      <c r="BA161" s="326"/>
      <c r="BB161" s="326"/>
      <c r="BC161" s="326"/>
      <c r="BD161" s="326"/>
      <c r="BE161" s="326"/>
      <c r="BF161" s="351"/>
      <c r="BG161" s="332"/>
      <c r="BH161" s="332"/>
      <c r="BI161" s="332"/>
      <c r="BJ161" s="332"/>
      <c r="BK161" s="332"/>
      <c r="BL161" s="332"/>
      <c r="BM161" s="332"/>
      <c r="BN161" s="251"/>
      <c r="BO161" s="340"/>
      <c r="BP161" s="337"/>
      <c r="BQ161" s="340"/>
      <c r="BR161" s="340"/>
      <c r="BS161" s="340"/>
      <c r="BT161" s="340"/>
      <c r="BU161" s="340"/>
      <c r="BV161" s="340"/>
      <c r="BW161" s="340"/>
      <c r="BX161" s="251"/>
      <c r="BY161" s="345"/>
      <c r="BZ161" s="345"/>
      <c r="CA161" s="345"/>
      <c r="CB161" s="346"/>
      <c r="CC161" s="345"/>
      <c r="CD161" s="345"/>
      <c r="CE161" s="345"/>
      <c r="CF161" s="345"/>
      <c r="CG161" s="345"/>
      <c r="CH161" s="345"/>
      <c r="CI161" s="345"/>
      <c r="CJ161" s="346"/>
      <c r="CK161" s="346"/>
    </row>
    <row r="162">
      <c r="A162" s="821"/>
      <c r="B162" s="241" t="s">
        <v>155</v>
      </c>
      <c r="C162" s="237" t="s">
        <v>155</v>
      </c>
      <c r="D162" s="238" t="s">
        <v>155</v>
      </c>
      <c r="E162" s="239" t="s">
        <v>155</v>
      </c>
      <c r="F162" s="240" t="s">
        <v>155</v>
      </c>
      <c r="G162" s="241" t="s">
        <v>155</v>
      </c>
      <c r="H162" s="308"/>
      <c r="I162" s="308"/>
      <c r="J162" s="308"/>
      <c r="K162" s="308"/>
      <c r="L162" s="308"/>
      <c r="M162" s="308"/>
      <c r="N162" s="308"/>
      <c r="O162" s="308"/>
      <c r="P162" s="251"/>
      <c r="Q162" s="353"/>
      <c r="R162" s="353"/>
      <c r="S162" s="353"/>
      <c r="T162" s="353"/>
      <c r="U162" s="353"/>
      <c r="V162" s="353"/>
      <c r="W162" s="251"/>
      <c r="X162" s="318"/>
      <c r="Y162" s="318"/>
      <c r="Z162" s="318"/>
      <c r="AA162" s="617"/>
      <c r="AB162" s="318"/>
      <c r="AC162" s="318"/>
      <c r="AD162" s="318"/>
      <c r="AE162" s="318"/>
      <c r="AF162" s="318"/>
      <c r="AG162" s="318"/>
      <c r="AH162" s="267"/>
      <c r="AI162" s="251"/>
      <c r="AJ162" s="323"/>
      <c r="AK162" s="323"/>
      <c r="AL162" s="323"/>
      <c r="AM162" s="323"/>
      <c r="AN162" s="323"/>
      <c r="AO162" s="323"/>
      <c r="AP162" s="323"/>
      <c r="AQ162" s="323"/>
      <c r="AR162" s="323"/>
      <c r="AS162" s="323"/>
      <c r="AT162" s="323"/>
      <c r="AU162" s="323"/>
      <c r="AV162" s="323"/>
      <c r="AW162" s="323"/>
      <c r="AX162" s="323"/>
      <c r="AY162" s="323"/>
      <c r="AZ162" s="351"/>
      <c r="BA162" s="326"/>
      <c r="BB162" s="326"/>
      <c r="BC162" s="326"/>
      <c r="BD162" s="326"/>
      <c r="BE162" s="326"/>
      <c r="BF162" s="351"/>
      <c r="BG162" s="332"/>
      <c r="BH162" s="332"/>
      <c r="BI162" s="332"/>
      <c r="BJ162" s="332"/>
      <c r="BK162" s="332"/>
      <c r="BL162" s="332"/>
      <c r="BM162" s="332"/>
      <c r="BN162" s="251"/>
      <c r="BO162" s="340"/>
      <c r="BP162" s="337"/>
      <c r="BQ162" s="340"/>
      <c r="BR162" s="340"/>
      <c r="BS162" s="340"/>
      <c r="BT162" s="340"/>
      <c r="BU162" s="340"/>
      <c r="BV162" s="340"/>
      <c r="BW162" s="340"/>
      <c r="BX162" s="251"/>
      <c r="BY162" s="345"/>
      <c r="BZ162" s="345"/>
      <c r="CA162" s="345"/>
      <c r="CB162" s="346"/>
      <c r="CC162" s="345"/>
      <c r="CD162" s="345"/>
      <c r="CE162" s="345"/>
      <c r="CF162" s="345"/>
      <c r="CG162" s="345"/>
      <c r="CH162" s="345"/>
      <c r="CI162" s="345"/>
      <c r="CJ162" s="346"/>
      <c r="CK162" s="346"/>
    </row>
    <row r="163">
      <c r="A163" s="821"/>
      <c r="B163" s="241" t="s">
        <v>155</v>
      </c>
      <c r="C163" s="237" t="s">
        <v>155</v>
      </c>
      <c r="D163" s="238" t="s">
        <v>155</v>
      </c>
      <c r="E163" s="239" t="s">
        <v>155</v>
      </c>
      <c r="F163" s="240" t="s">
        <v>155</v>
      </c>
      <c r="G163" s="241" t="s">
        <v>155</v>
      </c>
      <c r="H163" s="308"/>
      <c r="I163" s="308"/>
      <c r="J163" s="308"/>
      <c r="K163" s="308"/>
      <c r="L163" s="308"/>
      <c r="M163" s="308"/>
      <c r="N163" s="308"/>
      <c r="O163" s="308"/>
      <c r="P163" s="251"/>
      <c r="Q163" s="353"/>
      <c r="R163" s="353"/>
      <c r="S163" s="353"/>
      <c r="T163" s="353"/>
      <c r="U163" s="353"/>
      <c r="V163" s="353"/>
      <c r="W163" s="251"/>
      <c r="X163" s="318"/>
      <c r="Y163" s="318"/>
      <c r="Z163" s="318"/>
      <c r="AA163" s="617"/>
      <c r="AB163" s="318"/>
      <c r="AC163" s="318"/>
      <c r="AD163" s="318"/>
      <c r="AE163" s="318"/>
      <c r="AF163" s="318"/>
      <c r="AG163" s="318"/>
      <c r="AH163" s="267"/>
      <c r="AI163" s="251"/>
      <c r="AJ163" s="323"/>
      <c r="AK163" s="323"/>
      <c r="AL163" s="323"/>
      <c r="AM163" s="323"/>
      <c r="AN163" s="323"/>
      <c r="AO163" s="323"/>
      <c r="AP163" s="323"/>
      <c r="AQ163" s="323"/>
      <c r="AR163" s="323"/>
      <c r="AS163" s="323"/>
      <c r="AT163" s="323"/>
      <c r="AU163" s="323"/>
      <c r="AV163" s="323"/>
      <c r="AW163" s="323"/>
      <c r="AX163" s="323"/>
      <c r="AY163" s="323"/>
      <c r="AZ163" s="351"/>
      <c r="BA163" s="326"/>
      <c r="BB163" s="326"/>
      <c r="BC163" s="326"/>
      <c r="BD163" s="326"/>
      <c r="BE163" s="326"/>
      <c r="BF163" s="351"/>
      <c r="BG163" s="332"/>
      <c r="BH163" s="332"/>
      <c r="BI163" s="332"/>
      <c r="BJ163" s="332"/>
      <c r="BK163" s="332"/>
      <c r="BL163" s="332"/>
      <c r="BM163" s="332"/>
      <c r="BN163" s="251"/>
      <c r="BO163" s="340"/>
      <c r="BP163" s="337"/>
      <c r="BQ163" s="340"/>
      <c r="BR163" s="340"/>
      <c r="BS163" s="340"/>
      <c r="BT163" s="340"/>
      <c r="BU163" s="340"/>
      <c r="BV163" s="340"/>
      <c r="BW163" s="340"/>
      <c r="BX163" s="251"/>
      <c r="BY163" s="345"/>
      <c r="BZ163" s="345"/>
      <c r="CA163" s="345"/>
      <c r="CB163" s="346"/>
      <c r="CC163" s="345"/>
      <c r="CD163" s="345"/>
      <c r="CE163" s="345"/>
      <c r="CF163" s="345"/>
      <c r="CG163" s="345"/>
      <c r="CH163" s="345"/>
      <c r="CI163" s="345"/>
      <c r="CJ163" s="346"/>
      <c r="CK163" s="346"/>
    </row>
    <row r="164">
      <c r="A164" s="821"/>
      <c r="B164" s="241" t="s">
        <v>155</v>
      </c>
      <c r="C164" s="237" t="s">
        <v>155</v>
      </c>
      <c r="D164" s="238" t="s">
        <v>155</v>
      </c>
      <c r="E164" s="239" t="s">
        <v>155</v>
      </c>
      <c r="F164" s="240" t="s">
        <v>155</v>
      </c>
      <c r="G164" s="241" t="s">
        <v>155</v>
      </c>
      <c r="H164" s="308"/>
      <c r="I164" s="308"/>
      <c r="J164" s="308"/>
      <c r="K164" s="308"/>
      <c r="L164" s="308"/>
      <c r="M164" s="308"/>
      <c r="N164" s="308"/>
      <c r="O164" s="308"/>
      <c r="P164" s="251"/>
      <c r="Q164" s="353"/>
      <c r="R164" s="353"/>
      <c r="S164" s="353"/>
      <c r="T164" s="353"/>
      <c r="U164" s="353"/>
      <c r="V164" s="353"/>
      <c r="W164" s="251"/>
      <c r="X164" s="318"/>
      <c r="Y164" s="318"/>
      <c r="Z164" s="318"/>
      <c r="AA164" s="617"/>
      <c r="AB164" s="318"/>
      <c r="AC164" s="318"/>
      <c r="AD164" s="318"/>
      <c r="AE164" s="318"/>
      <c r="AF164" s="318"/>
      <c r="AG164" s="318"/>
      <c r="AH164" s="267"/>
      <c r="AI164" s="251"/>
      <c r="AJ164" s="323"/>
      <c r="AK164" s="323"/>
      <c r="AL164" s="323"/>
      <c r="AM164" s="323"/>
      <c r="AN164" s="323"/>
      <c r="AO164" s="323"/>
      <c r="AP164" s="323"/>
      <c r="AQ164" s="323"/>
      <c r="AR164" s="323"/>
      <c r="AS164" s="323"/>
      <c r="AT164" s="323"/>
      <c r="AU164" s="323"/>
      <c r="AV164" s="323"/>
      <c r="AW164" s="323"/>
      <c r="AX164" s="323"/>
      <c r="AY164" s="323"/>
      <c r="AZ164" s="351"/>
      <c r="BA164" s="326"/>
      <c r="BB164" s="326"/>
      <c r="BC164" s="326"/>
      <c r="BD164" s="326"/>
      <c r="BE164" s="326"/>
      <c r="BF164" s="351"/>
      <c r="BG164" s="332"/>
      <c r="BH164" s="332"/>
      <c r="BI164" s="332"/>
      <c r="BJ164" s="332"/>
      <c r="BK164" s="332"/>
      <c r="BL164" s="332"/>
      <c r="BM164" s="332"/>
      <c r="BN164" s="251"/>
      <c r="BO164" s="340"/>
      <c r="BP164" s="337"/>
      <c r="BQ164" s="340"/>
      <c r="BR164" s="340"/>
      <c r="BS164" s="340"/>
      <c r="BT164" s="340"/>
      <c r="BU164" s="340"/>
      <c r="BV164" s="340"/>
      <c r="BW164" s="340"/>
      <c r="BX164" s="251"/>
      <c r="BY164" s="345"/>
      <c r="BZ164" s="345"/>
      <c r="CA164" s="345"/>
      <c r="CB164" s="346"/>
      <c r="CC164" s="345"/>
      <c r="CD164" s="345"/>
      <c r="CE164" s="345"/>
      <c r="CF164" s="345"/>
      <c r="CG164" s="345"/>
      <c r="CH164" s="345"/>
      <c r="CI164" s="345"/>
      <c r="CJ164" s="346"/>
      <c r="CK164" s="346"/>
    </row>
    <row r="165">
      <c r="A165" s="821"/>
      <c r="B165" s="241" t="s">
        <v>155</v>
      </c>
      <c r="C165" s="237" t="s">
        <v>155</v>
      </c>
      <c r="D165" s="238" t="s">
        <v>155</v>
      </c>
      <c r="E165" s="239" t="s">
        <v>155</v>
      </c>
      <c r="F165" s="240" t="s">
        <v>155</v>
      </c>
      <c r="G165" s="241" t="s">
        <v>155</v>
      </c>
      <c r="H165" s="308"/>
      <c r="I165" s="308"/>
      <c r="J165" s="308"/>
      <c r="K165" s="308"/>
      <c r="L165" s="308"/>
      <c r="M165" s="308"/>
      <c r="N165" s="308"/>
      <c r="O165" s="308"/>
      <c r="P165" s="251"/>
      <c r="Q165" s="353"/>
      <c r="R165" s="353"/>
      <c r="S165" s="353"/>
      <c r="T165" s="353"/>
      <c r="U165" s="353"/>
      <c r="V165" s="353"/>
      <c r="W165" s="251"/>
      <c r="X165" s="318"/>
      <c r="Y165" s="318"/>
      <c r="Z165" s="318"/>
      <c r="AA165" s="617"/>
      <c r="AB165" s="318"/>
      <c r="AC165" s="318"/>
      <c r="AD165" s="318"/>
      <c r="AE165" s="318"/>
      <c r="AF165" s="318"/>
      <c r="AG165" s="318"/>
      <c r="AH165" s="267"/>
      <c r="AI165" s="251"/>
      <c r="AJ165" s="323"/>
      <c r="AK165" s="323"/>
      <c r="AL165" s="323"/>
      <c r="AM165" s="323"/>
      <c r="AN165" s="323"/>
      <c r="AO165" s="323"/>
      <c r="AP165" s="323"/>
      <c r="AQ165" s="323"/>
      <c r="AR165" s="323"/>
      <c r="AS165" s="323"/>
      <c r="AT165" s="323"/>
      <c r="AU165" s="323"/>
      <c r="AV165" s="323"/>
      <c r="AW165" s="323"/>
      <c r="AX165" s="323"/>
      <c r="AY165" s="323"/>
      <c r="AZ165" s="351"/>
      <c r="BA165" s="326"/>
      <c r="BB165" s="326"/>
      <c r="BC165" s="326"/>
      <c r="BD165" s="326"/>
      <c r="BE165" s="326"/>
      <c r="BF165" s="351"/>
      <c r="BG165" s="332"/>
      <c r="BH165" s="332"/>
      <c r="BI165" s="332"/>
      <c r="BJ165" s="332"/>
      <c r="BK165" s="332"/>
      <c r="BL165" s="332"/>
      <c r="BM165" s="332"/>
      <c r="BN165" s="251"/>
      <c r="BO165" s="340"/>
      <c r="BP165" s="337"/>
      <c r="BQ165" s="340"/>
      <c r="BR165" s="340"/>
      <c r="BS165" s="340"/>
      <c r="BT165" s="340"/>
      <c r="BU165" s="340"/>
      <c r="BV165" s="340"/>
      <c r="BW165" s="340"/>
      <c r="BX165" s="251"/>
      <c r="BY165" s="345"/>
      <c r="BZ165" s="345"/>
      <c r="CA165" s="345"/>
      <c r="CB165" s="346"/>
      <c r="CC165" s="345"/>
      <c r="CD165" s="345"/>
      <c r="CE165" s="345"/>
      <c r="CF165" s="345"/>
      <c r="CG165" s="345"/>
      <c r="CH165" s="345"/>
      <c r="CI165" s="345"/>
      <c r="CJ165" s="346"/>
      <c r="CK165" s="346"/>
    </row>
    <row r="166">
      <c r="A166" s="821"/>
      <c r="B166" s="241" t="s">
        <v>155</v>
      </c>
      <c r="C166" s="237" t="s">
        <v>155</v>
      </c>
      <c r="D166" s="238" t="s">
        <v>155</v>
      </c>
      <c r="E166" s="239" t="s">
        <v>155</v>
      </c>
      <c r="F166" s="240" t="s">
        <v>155</v>
      </c>
      <c r="G166" s="241" t="s">
        <v>155</v>
      </c>
      <c r="H166" s="308"/>
      <c r="I166" s="308"/>
      <c r="J166" s="308"/>
      <c r="K166" s="308"/>
      <c r="L166" s="308"/>
      <c r="M166" s="308"/>
      <c r="N166" s="308"/>
      <c r="O166" s="308"/>
      <c r="P166" s="251"/>
      <c r="Q166" s="353"/>
      <c r="R166" s="353"/>
      <c r="S166" s="353"/>
      <c r="T166" s="353"/>
      <c r="U166" s="353"/>
      <c r="V166" s="353"/>
      <c r="W166" s="251"/>
      <c r="X166" s="318"/>
      <c r="Y166" s="318"/>
      <c r="Z166" s="318"/>
      <c r="AA166" s="617"/>
      <c r="AB166" s="318"/>
      <c r="AC166" s="318"/>
      <c r="AD166" s="318"/>
      <c r="AE166" s="318"/>
      <c r="AF166" s="318"/>
      <c r="AG166" s="318"/>
      <c r="AH166" s="267"/>
      <c r="AI166" s="251"/>
      <c r="AJ166" s="323"/>
      <c r="AK166" s="323"/>
      <c r="AL166" s="323"/>
      <c r="AM166" s="323"/>
      <c r="AN166" s="323"/>
      <c r="AO166" s="323"/>
      <c r="AP166" s="323"/>
      <c r="AQ166" s="323"/>
      <c r="AR166" s="323"/>
      <c r="AS166" s="323"/>
      <c r="AT166" s="323"/>
      <c r="AU166" s="323"/>
      <c r="AV166" s="323"/>
      <c r="AW166" s="323"/>
      <c r="AX166" s="323"/>
      <c r="AY166" s="323"/>
      <c r="AZ166" s="351"/>
      <c r="BA166" s="326"/>
      <c r="BB166" s="326"/>
      <c r="BC166" s="326"/>
      <c r="BD166" s="326"/>
      <c r="BE166" s="326"/>
      <c r="BF166" s="351"/>
      <c r="BG166" s="332"/>
      <c r="BH166" s="332"/>
      <c r="BI166" s="332"/>
      <c r="BJ166" s="332"/>
      <c r="BK166" s="332"/>
      <c r="BL166" s="332"/>
      <c r="BM166" s="332"/>
      <c r="BN166" s="251"/>
      <c r="BO166" s="340"/>
      <c r="BP166" s="337"/>
      <c r="BQ166" s="340"/>
      <c r="BR166" s="340"/>
      <c r="BS166" s="340"/>
      <c r="BT166" s="340"/>
      <c r="BU166" s="340"/>
      <c r="BV166" s="340"/>
      <c r="BW166" s="340"/>
      <c r="BX166" s="251"/>
      <c r="BY166" s="345"/>
      <c r="BZ166" s="345"/>
      <c r="CA166" s="345"/>
      <c r="CB166" s="346"/>
      <c r="CC166" s="345"/>
      <c r="CD166" s="345"/>
      <c r="CE166" s="345"/>
      <c r="CF166" s="345"/>
      <c r="CG166" s="345"/>
      <c r="CH166" s="345"/>
      <c r="CI166" s="345"/>
      <c r="CJ166" s="346"/>
      <c r="CK166" s="346"/>
    </row>
    <row r="167">
      <c r="A167" s="821"/>
      <c r="B167" s="241" t="s">
        <v>155</v>
      </c>
      <c r="C167" s="237" t="s">
        <v>155</v>
      </c>
      <c r="D167" s="238" t="s">
        <v>155</v>
      </c>
      <c r="E167" s="239" t="s">
        <v>155</v>
      </c>
      <c r="F167" s="240" t="s">
        <v>155</v>
      </c>
      <c r="G167" s="241" t="s">
        <v>155</v>
      </c>
      <c r="H167" s="308"/>
      <c r="I167" s="308"/>
      <c r="J167" s="308"/>
      <c r="K167" s="308"/>
      <c r="L167" s="308"/>
      <c r="M167" s="308"/>
      <c r="N167" s="308"/>
      <c r="O167" s="308"/>
      <c r="P167" s="251"/>
      <c r="Q167" s="353"/>
      <c r="R167" s="353"/>
      <c r="S167" s="353"/>
      <c r="T167" s="353"/>
      <c r="U167" s="353"/>
      <c r="V167" s="353"/>
      <c r="W167" s="251"/>
      <c r="X167" s="318"/>
      <c r="Y167" s="318"/>
      <c r="Z167" s="318"/>
      <c r="AA167" s="617"/>
      <c r="AB167" s="318"/>
      <c r="AC167" s="318"/>
      <c r="AD167" s="318"/>
      <c r="AE167" s="318"/>
      <c r="AF167" s="318"/>
      <c r="AG167" s="318"/>
      <c r="AH167" s="267"/>
      <c r="AI167" s="251"/>
      <c r="AJ167" s="323"/>
      <c r="AK167" s="323"/>
      <c r="AL167" s="323"/>
      <c r="AM167" s="323"/>
      <c r="AN167" s="323"/>
      <c r="AO167" s="323"/>
      <c r="AP167" s="323"/>
      <c r="AQ167" s="323"/>
      <c r="AR167" s="323"/>
      <c r="AS167" s="323"/>
      <c r="AT167" s="323"/>
      <c r="AU167" s="323"/>
      <c r="AV167" s="323"/>
      <c r="AW167" s="323"/>
      <c r="AX167" s="323"/>
      <c r="AY167" s="323"/>
      <c r="AZ167" s="351"/>
      <c r="BA167" s="326"/>
      <c r="BB167" s="326"/>
      <c r="BC167" s="326"/>
      <c r="BD167" s="326"/>
      <c r="BE167" s="326"/>
      <c r="BF167" s="351"/>
      <c r="BG167" s="332"/>
      <c r="BH167" s="332"/>
      <c r="BI167" s="332"/>
      <c r="BJ167" s="332"/>
      <c r="BK167" s="332"/>
      <c r="BL167" s="332"/>
      <c r="BM167" s="332"/>
      <c r="BN167" s="251"/>
      <c r="BO167" s="340"/>
      <c r="BP167" s="337"/>
      <c r="BQ167" s="340"/>
      <c r="BR167" s="340"/>
      <c r="BS167" s="340"/>
      <c r="BT167" s="340"/>
      <c r="BU167" s="340"/>
      <c r="BV167" s="340"/>
      <c r="BW167" s="340"/>
      <c r="BX167" s="251"/>
      <c r="BY167" s="345"/>
      <c r="BZ167" s="345"/>
      <c r="CA167" s="345"/>
      <c r="CB167" s="346"/>
      <c r="CC167" s="345"/>
      <c r="CD167" s="345"/>
      <c r="CE167" s="345"/>
      <c r="CF167" s="345"/>
      <c r="CG167" s="345"/>
      <c r="CH167" s="345"/>
      <c r="CI167" s="345"/>
      <c r="CJ167" s="346"/>
      <c r="CK167" s="346"/>
    </row>
    <row r="168">
      <c r="A168" s="821"/>
      <c r="B168" s="241" t="s">
        <v>155</v>
      </c>
      <c r="C168" s="237" t="s">
        <v>155</v>
      </c>
      <c r="D168" s="238" t="s">
        <v>155</v>
      </c>
      <c r="E168" s="239" t="s">
        <v>155</v>
      </c>
      <c r="F168" s="240" t="s">
        <v>155</v>
      </c>
      <c r="G168" s="241" t="s">
        <v>155</v>
      </c>
      <c r="H168" s="308"/>
      <c r="I168" s="308"/>
      <c r="J168" s="308"/>
      <c r="K168" s="308"/>
      <c r="L168" s="308"/>
      <c r="M168" s="308"/>
      <c r="N168" s="308"/>
      <c r="O168" s="308"/>
      <c r="P168" s="251"/>
      <c r="Q168" s="353"/>
      <c r="R168" s="353"/>
      <c r="S168" s="353"/>
      <c r="T168" s="353"/>
      <c r="U168" s="353"/>
      <c r="V168" s="353"/>
      <c r="W168" s="251"/>
      <c r="X168" s="318"/>
      <c r="Y168" s="318"/>
      <c r="Z168" s="318"/>
      <c r="AA168" s="617"/>
      <c r="AB168" s="318"/>
      <c r="AC168" s="318"/>
      <c r="AD168" s="318"/>
      <c r="AE168" s="318"/>
      <c r="AF168" s="318"/>
      <c r="AG168" s="318"/>
      <c r="AH168" s="267"/>
      <c r="AI168" s="251"/>
      <c r="AJ168" s="323"/>
      <c r="AK168" s="323"/>
      <c r="AL168" s="323"/>
      <c r="AM168" s="323"/>
      <c r="AN168" s="323"/>
      <c r="AO168" s="323"/>
      <c r="AP168" s="323"/>
      <c r="AQ168" s="323"/>
      <c r="AR168" s="323"/>
      <c r="AS168" s="323"/>
      <c r="AT168" s="323"/>
      <c r="AU168" s="323"/>
      <c r="AV168" s="323"/>
      <c r="AW168" s="323"/>
      <c r="AX168" s="323"/>
      <c r="AY168" s="323"/>
      <c r="AZ168" s="351"/>
      <c r="BA168" s="326"/>
      <c r="BB168" s="326"/>
      <c r="BC168" s="326"/>
      <c r="BD168" s="326"/>
      <c r="BE168" s="326"/>
      <c r="BF168" s="351"/>
      <c r="BG168" s="332"/>
      <c r="BH168" s="332"/>
      <c r="BI168" s="332"/>
      <c r="BJ168" s="332"/>
      <c r="BK168" s="332"/>
      <c r="BL168" s="332"/>
      <c r="BM168" s="332"/>
      <c r="BN168" s="251"/>
      <c r="BO168" s="340"/>
      <c r="BP168" s="337"/>
      <c r="BQ168" s="340"/>
      <c r="BR168" s="340"/>
      <c r="BS168" s="340"/>
      <c r="BT168" s="340"/>
      <c r="BU168" s="340"/>
      <c r="BV168" s="340"/>
      <c r="BW168" s="340"/>
      <c r="BX168" s="251"/>
      <c r="BY168" s="345"/>
      <c r="BZ168" s="345"/>
      <c r="CA168" s="345"/>
      <c r="CB168" s="346"/>
      <c r="CC168" s="345"/>
      <c r="CD168" s="345"/>
      <c r="CE168" s="345"/>
      <c r="CF168" s="345"/>
      <c r="CG168" s="345"/>
      <c r="CH168" s="345"/>
      <c r="CI168" s="345"/>
      <c r="CJ168" s="346"/>
      <c r="CK168" s="346"/>
    </row>
    <row r="169">
      <c r="A169" s="821"/>
      <c r="B169" s="241" t="s">
        <v>155</v>
      </c>
      <c r="C169" s="237" t="s">
        <v>155</v>
      </c>
      <c r="D169" s="238" t="s">
        <v>155</v>
      </c>
      <c r="E169" s="239" t="s">
        <v>155</v>
      </c>
      <c r="F169" s="240" t="s">
        <v>155</v>
      </c>
      <c r="G169" s="241" t="s">
        <v>155</v>
      </c>
      <c r="H169" s="308"/>
      <c r="I169" s="308"/>
      <c r="J169" s="308"/>
      <c r="K169" s="308"/>
      <c r="L169" s="308"/>
      <c r="M169" s="308"/>
      <c r="N169" s="308"/>
      <c r="O169" s="308"/>
      <c r="P169" s="251"/>
      <c r="Q169" s="353"/>
      <c r="R169" s="353"/>
      <c r="S169" s="353"/>
      <c r="T169" s="353"/>
      <c r="U169" s="353"/>
      <c r="V169" s="353"/>
      <c r="W169" s="251"/>
      <c r="X169" s="318"/>
      <c r="Y169" s="318"/>
      <c r="Z169" s="318"/>
      <c r="AA169" s="617"/>
      <c r="AB169" s="318"/>
      <c r="AC169" s="318"/>
      <c r="AD169" s="318"/>
      <c r="AE169" s="318"/>
      <c r="AF169" s="318"/>
      <c r="AG169" s="318"/>
      <c r="AH169" s="267"/>
      <c r="AI169" s="251"/>
      <c r="AJ169" s="323"/>
      <c r="AK169" s="323"/>
      <c r="AL169" s="323"/>
      <c r="AM169" s="323"/>
      <c r="AN169" s="323"/>
      <c r="AO169" s="323"/>
      <c r="AP169" s="323"/>
      <c r="AQ169" s="323"/>
      <c r="AR169" s="323"/>
      <c r="AS169" s="323"/>
      <c r="AT169" s="323"/>
      <c r="AU169" s="323"/>
      <c r="AV169" s="323"/>
      <c r="AW169" s="323"/>
      <c r="AX169" s="323"/>
      <c r="AY169" s="323"/>
      <c r="AZ169" s="351"/>
      <c r="BA169" s="326"/>
      <c r="BB169" s="326"/>
      <c r="BC169" s="326"/>
      <c r="BD169" s="326"/>
      <c r="BE169" s="326"/>
      <c r="BF169" s="351"/>
      <c r="BG169" s="332"/>
      <c r="BH169" s="332"/>
      <c r="BI169" s="332"/>
      <c r="BJ169" s="332"/>
      <c r="BK169" s="332"/>
      <c r="BL169" s="332"/>
      <c r="BM169" s="332"/>
      <c r="BN169" s="251"/>
      <c r="BO169" s="340"/>
      <c r="BP169" s="337"/>
      <c r="BQ169" s="340"/>
      <c r="BR169" s="340"/>
      <c r="BS169" s="340"/>
      <c r="BT169" s="340"/>
      <c r="BU169" s="340"/>
      <c r="BV169" s="340"/>
      <c r="BW169" s="340"/>
      <c r="BX169" s="251"/>
      <c r="BY169" s="345"/>
      <c r="BZ169" s="345"/>
      <c r="CA169" s="345"/>
      <c r="CB169" s="346"/>
      <c r="CC169" s="345"/>
      <c r="CD169" s="345"/>
      <c r="CE169" s="345"/>
      <c r="CF169" s="345"/>
      <c r="CG169" s="345"/>
      <c r="CH169" s="345"/>
      <c r="CI169" s="345"/>
      <c r="CJ169" s="346"/>
      <c r="CK169" s="346"/>
    </row>
    <row r="170">
      <c r="A170" s="821"/>
      <c r="B170" s="241" t="s">
        <v>155</v>
      </c>
      <c r="C170" s="237" t="s">
        <v>155</v>
      </c>
      <c r="D170" s="238" t="s">
        <v>155</v>
      </c>
      <c r="E170" s="239" t="s">
        <v>155</v>
      </c>
      <c r="F170" s="240" t="s">
        <v>155</v>
      </c>
      <c r="G170" s="241" t="s">
        <v>155</v>
      </c>
      <c r="H170" s="308"/>
      <c r="I170" s="308"/>
      <c r="J170" s="308"/>
      <c r="K170" s="308"/>
      <c r="L170" s="308"/>
      <c r="M170" s="308"/>
      <c r="N170" s="308"/>
      <c r="O170" s="308"/>
      <c r="P170" s="251"/>
      <c r="Q170" s="353"/>
      <c r="R170" s="353"/>
      <c r="S170" s="353"/>
      <c r="T170" s="353"/>
      <c r="U170" s="353"/>
      <c r="V170" s="353"/>
      <c r="W170" s="251"/>
      <c r="X170" s="318"/>
      <c r="Y170" s="318"/>
      <c r="Z170" s="318"/>
      <c r="AA170" s="617"/>
      <c r="AB170" s="318"/>
      <c r="AC170" s="318"/>
      <c r="AD170" s="318"/>
      <c r="AE170" s="318"/>
      <c r="AF170" s="318"/>
      <c r="AG170" s="318"/>
      <c r="AH170" s="267"/>
      <c r="AI170" s="251"/>
      <c r="AJ170" s="323"/>
      <c r="AK170" s="323"/>
      <c r="AL170" s="323"/>
      <c r="AM170" s="323"/>
      <c r="AN170" s="323"/>
      <c r="AO170" s="323"/>
      <c r="AP170" s="323"/>
      <c r="AQ170" s="323"/>
      <c r="AR170" s="323"/>
      <c r="AS170" s="323"/>
      <c r="AT170" s="323"/>
      <c r="AU170" s="323"/>
      <c r="AV170" s="323"/>
      <c r="AW170" s="323"/>
      <c r="AX170" s="323"/>
      <c r="AY170" s="323"/>
      <c r="AZ170" s="351"/>
      <c r="BA170" s="326"/>
      <c r="BB170" s="326"/>
      <c r="BC170" s="326"/>
      <c r="BD170" s="326"/>
      <c r="BE170" s="326"/>
      <c r="BF170" s="351"/>
      <c r="BG170" s="332"/>
      <c r="BH170" s="332"/>
      <c r="BI170" s="332"/>
      <c r="BJ170" s="332"/>
      <c r="BK170" s="332"/>
      <c r="BL170" s="332"/>
      <c r="BM170" s="332"/>
      <c r="BN170" s="251"/>
      <c r="BO170" s="340"/>
      <c r="BP170" s="337"/>
      <c r="BQ170" s="340"/>
      <c r="BR170" s="340"/>
      <c r="BS170" s="340"/>
      <c r="BT170" s="340"/>
      <c r="BU170" s="340"/>
      <c r="BV170" s="340"/>
      <c r="BW170" s="340"/>
      <c r="BX170" s="251"/>
      <c r="BY170" s="345"/>
      <c r="BZ170" s="345"/>
      <c r="CA170" s="345"/>
      <c r="CB170" s="346"/>
      <c r="CC170" s="345"/>
      <c r="CD170" s="345"/>
      <c r="CE170" s="345"/>
      <c r="CF170" s="345"/>
      <c r="CG170" s="345"/>
      <c r="CH170" s="345"/>
      <c r="CI170" s="345"/>
      <c r="CJ170" s="346"/>
      <c r="CK170" s="346"/>
    </row>
    <row r="171">
      <c r="A171" s="821"/>
      <c r="B171" s="241" t="s">
        <v>155</v>
      </c>
      <c r="C171" s="237" t="s">
        <v>155</v>
      </c>
      <c r="D171" s="238" t="s">
        <v>155</v>
      </c>
      <c r="E171" s="239" t="s">
        <v>155</v>
      </c>
      <c r="F171" s="240" t="s">
        <v>155</v>
      </c>
      <c r="G171" s="241" t="s">
        <v>155</v>
      </c>
      <c r="H171" s="308"/>
      <c r="I171" s="308"/>
      <c r="J171" s="308"/>
      <c r="K171" s="308"/>
      <c r="L171" s="308"/>
      <c r="M171" s="308"/>
      <c r="N171" s="308"/>
      <c r="O171" s="308"/>
      <c r="P171" s="251"/>
      <c r="Q171" s="353"/>
      <c r="R171" s="353"/>
      <c r="S171" s="353"/>
      <c r="T171" s="353"/>
      <c r="U171" s="353"/>
      <c r="V171" s="353"/>
      <c r="W171" s="251"/>
      <c r="X171" s="318"/>
      <c r="Y171" s="318"/>
      <c r="Z171" s="318"/>
      <c r="AA171" s="617"/>
      <c r="AB171" s="318"/>
      <c r="AC171" s="318"/>
      <c r="AD171" s="318"/>
      <c r="AE171" s="318"/>
      <c r="AF171" s="318"/>
      <c r="AG171" s="318"/>
      <c r="AH171" s="267"/>
      <c r="AI171" s="251"/>
      <c r="AJ171" s="323"/>
      <c r="AK171" s="323"/>
      <c r="AL171" s="323"/>
      <c r="AM171" s="323"/>
      <c r="AN171" s="323"/>
      <c r="AO171" s="323"/>
      <c r="AP171" s="323"/>
      <c r="AQ171" s="323"/>
      <c r="AR171" s="323"/>
      <c r="AS171" s="323"/>
      <c r="AT171" s="323"/>
      <c r="AU171" s="323"/>
      <c r="AV171" s="323"/>
      <c r="AW171" s="323"/>
      <c r="AX171" s="323"/>
      <c r="AY171" s="323"/>
      <c r="AZ171" s="351"/>
      <c r="BA171" s="326"/>
      <c r="BB171" s="326"/>
      <c r="BC171" s="326"/>
      <c r="BD171" s="326"/>
      <c r="BE171" s="326"/>
      <c r="BF171" s="351"/>
      <c r="BG171" s="332"/>
      <c r="BH171" s="332"/>
      <c r="BI171" s="332"/>
      <c r="BJ171" s="332"/>
      <c r="BK171" s="332"/>
      <c r="BL171" s="332"/>
      <c r="BM171" s="332"/>
      <c r="BN171" s="251"/>
      <c r="BO171" s="340"/>
      <c r="BP171" s="337"/>
      <c r="BQ171" s="340"/>
      <c r="BR171" s="340"/>
      <c r="BS171" s="340"/>
      <c r="BT171" s="340"/>
      <c r="BU171" s="340"/>
      <c r="BV171" s="340"/>
      <c r="BW171" s="340"/>
      <c r="BX171" s="251"/>
      <c r="BY171" s="345"/>
      <c r="BZ171" s="345"/>
      <c r="CA171" s="345"/>
      <c r="CB171" s="346"/>
      <c r="CC171" s="345"/>
      <c r="CD171" s="345"/>
      <c r="CE171" s="345"/>
      <c r="CF171" s="345"/>
      <c r="CG171" s="345"/>
      <c r="CH171" s="345"/>
      <c r="CI171" s="345"/>
      <c r="CJ171" s="346"/>
      <c r="CK171" s="346"/>
    </row>
    <row r="172">
      <c r="A172" s="821"/>
      <c r="B172" s="241" t="s">
        <v>155</v>
      </c>
      <c r="C172" s="237" t="s">
        <v>155</v>
      </c>
      <c r="D172" s="238" t="s">
        <v>155</v>
      </c>
      <c r="E172" s="239" t="s">
        <v>155</v>
      </c>
      <c r="F172" s="240" t="s">
        <v>155</v>
      </c>
      <c r="G172" s="241" t="s">
        <v>155</v>
      </c>
      <c r="H172" s="308"/>
      <c r="I172" s="308"/>
      <c r="J172" s="308"/>
      <c r="K172" s="308"/>
      <c r="L172" s="308"/>
      <c r="M172" s="308"/>
      <c r="N172" s="308"/>
      <c r="O172" s="308"/>
      <c r="P172" s="251"/>
      <c r="Q172" s="353"/>
      <c r="R172" s="353"/>
      <c r="S172" s="353"/>
      <c r="T172" s="353"/>
      <c r="U172" s="353"/>
      <c r="V172" s="353"/>
      <c r="W172" s="251"/>
      <c r="X172" s="318"/>
      <c r="Y172" s="318"/>
      <c r="Z172" s="318"/>
      <c r="AA172" s="617"/>
      <c r="AB172" s="318"/>
      <c r="AC172" s="318"/>
      <c r="AD172" s="318"/>
      <c r="AE172" s="318"/>
      <c r="AF172" s="318"/>
      <c r="AG172" s="318"/>
      <c r="AH172" s="267"/>
      <c r="AI172" s="251"/>
      <c r="AJ172" s="323"/>
      <c r="AK172" s="323"/>
      <c r="AL172" s="323"/>
      <c r="AM172" s="323"/>
      <c r="AN172" s="323"/>
      <c r="AO172" s="323"/>
      <c r="AP172" s="323"/>
      <c r="AQ172" s="323"/>
      <c r="AR172" s="323"/>
      <c r="AS172" s="323"/>
      <c r="AT172" s="323"/>
      <c r="AU172" s="323"/>
      <c r="AV172" s="323"/>
      <c r="AW172" s="323"/>
      <c r="AX172" s="323"/>
      <c r="AY172" s="323"/>
      <c r="AZ172" s="351"/>
      <c r="BA172" s="326"/>
      <c r="BB172" s="326"/>
      <c r="BC172" s="326"/>
      <c r="BD172" s="326"/>
      <c r="BE172" s="326"/>
      <c r="BF172" s="351"/>
      <c r="BG172" s="332"/>
      <c r="BH172" s="332"/>
      <c r="BI172" s="332"/>
      <c r="BJ172" s="332"/>
      <c r="BK172" s="332"/>
      <c r="BL172" s="332"/>
      <c r="BM172" s="332"/>
      <c r="BN172" s="251"/>
      <c r="BO172" s="340"/>
      <c r="BP172" s="337"/>
      <c r="BQ172" s="340"/>
      <c r="BR172" s="340"/>
      <c r="BS172" s="340"/>
      <c r="BT172" s="340"/>
      <c r="BU172" s="340"/>
      <c r="BV172" s="340"/>
      <c r="BW172" s="340"/>
      <c r="BX172" s="251"/>
      <c r="BY172" s="345"/>
      <c r="BZ172" s="345"/>
      <c r="CA172" s="345"/>
      <c r="CB172" s="346"/>
      <c r="CC172" s="345"/>
      <c r="CD172" s="345"/>
      <c r="CE172" s="345"/>
      <c r="CF172" s="345"/>
      <c r="CG172" s="345"/>
      <c r="CH172" s="345"/>
      <c r="CI172" s="345"/>
      <c r="CJ172" s="346"/>
      <c r="CK172" s="346"/>
    </row>
    <row r="173">
      <c r="A173" s="821"/>
      <c r="B173" s="241" t="s">
        <v>155</v>
      </c>
      <c r="C173" s="237" t="s">
        <v>155</v>
      </c>
      <c r="D173" s="238" t="s">
        <v>155</v>
      </c>
      <c r="E173" s="239" t="s">
        <v>155</v>
      </c>
      <c r="F173" s="240" t="s">
        <v>155</v>
      </c>
      <c r="G173" s="241" t="s">
        <v>155</v>
      </c>
      <c r="H173" s="308"/>
      <c r="I173" s="308"/>
      <c r="J173" s="308"/>
      <c r="K173" s="308"/>
      <c r="L173" s="308"/>
      <c r="M173" s="308"/>
      <c r="N173" s="308"/>
      <c r="O173" s="308"/>
      <c r="P173" s="251"/>
      <c r="Q173" s="353"/>
      <c r="R173" s="353"/>
      <c r="S173" s="353"/>
      <c r="T173" s="353"/>
      <c r="U173" s="353"/>
      <c r="V173" s="353"/>
      <c r="W173" s="251"/>
      <c r="X173" s="318"/>
      <c r="Y173" s="318"/>
      <c r="Z173" s="318"/>
      <c r="AA173" s="617"/>
      <c r="AB173" s="318"/>
      <c r="AC173" s="318"/>
      <c r="AD173" s="318"/>
      <c r="AE173" s="318"/>
      <c r="AF173" s="318"/>
      <c r="AG173" s="318"/>
      <c r="AH173" s="267"/>
      <c r="AI173" s="251"/>
      <c r="AJ173" s="323"/>
      <c r="AK173" s="323"/>
      <c r="AL173" s="323"/>
      <c r="AM173" s="323"/>
      <c r="AN173" s="323"/>
      <c r="AO173" s="323"/>
      <c r="AP173" s="323"/>
      <c r="AQ173" s="323"/>
      <c r="AR173" s="323"/>
      <c r="AS173" s="323"/>
      <c r="AT173" s="323"/>
      <c r="AU173" s="323"/>
      <c r="AV173" s="323"/>
      <c r="AW173" s="323"/>
      <c r="AX173" s="323"/>
      <c r="AY173" s="323"/>
      <c r="AZ173" s="351"/>
      <c r="BA173" s="326"/>
      <c r="BB173" s="326"/>
      <c r="BC173" s="326"/>
      <c r="BD173" s="326"/>
      <c r="BE173" s="326"/>
      <c r="BF173" s="351"/>
      <c r="BG173" s="332"/>
      <c r="BH173" s="332"/>
      <c r="BI173" s="332"/>
      <c r="BJ173" s="332"/>
      <c r="BK173" s="332"/>
      <c r="BL173" s="332"/>
      <c r="BM173" s="332"/>
      <c r="BN173" s="251"/>
      <c r="BO173" s="340"/>
      <c r="BP173" s="337"/>
      <c r="BQ173" s="340"/>
      <c r="BR173" s="340"/>
      <c r="BS173" s="340"/>
      <c r="BT173" s="340"/>
      <c r="BU173" s="340"/>
      <c r="BV173" s="340"/>
      <c r="BW173" s="340"/>
      <c r="BX173" s="251"/>
      <c r="BY173" s="345"/>
      <c r="BZ173" s="345"/>
      <c r="CA173" s="345"/>
      <c r="CB173" s="346"/>
      <c r="CC173" s="345"/>
      <c r="CD173" s="345"/>
      <c r="CE173" s="345"/>
      <c r="CF173" s="345"/>
      <c r="CG173" s="345"/>
      <c r="CH173" s="345"/>
      <c r="CI173" s="345"/>
      <c r="CJ173" s="346"/>
      <c r="CK173" s="346"/>
    </row>
    <row r="174">
      <c r="A174" s="821"/>
      <c r="B174" s="241" t="s">
        <v>155</v>
      </c>
      <c r="C174" s="237" t="s">
        <v>155</v>
      </c>
      <c r="D174" s="238" t="s">
        <v>155</v>
      </c>
      <c r="E174" s="239" t="s">
        <v>155</v>
      </c>
      <c r="F174" s="240" t="s">
        <v>155</v>
      </c>
      <c r="G174" s="241" t="s">
        <v>155</v>
      </c>
      <c r="H174" s="308"/>
      <c r="I174" s="308"/>
      <c r="J174" s="308"/>
      <c r="K174" s="308"/>
      <c r="L174" s="308"/>
      <c r="M174" s="308"/>
      <c r="N174" s="308"/>
      <c r="O174" s="308"/>
      <c r="P174" s="251"/>
      <c r="Q174" s="353"/>
      <c r="R174" s="353"/>
      <c r="S174" s="353"/>
      <c r="T174" s="353"/>
      <c r="U174" s="353"/>
      <c r="V174" s="353"/>
      <c r="W174" s="251"/>
      <c r="X174" s="318"/>
      <c r="Y174" s="318"/>
      <c r="Z174" s="318"/>
      <c r="AA174" s="617"/>
      <c r="AB174" s="318"/>
      <c r="AC174" s="318"/>
      <c r="AD174" s="318"/>
      <c r="AE174" s="318"/>
      <c r="AF174" s="318"/>
      <c r="AG174" s="318"/>
      <c r="AH174" s="267"/>
      <c r="AI174" s="251"/>
      <c r="AJ174" s="323"/>
      <c r="AK174" s="323"/>
      <c r="AL174" s="323"/>
      <c r="AM174" s="323"/>
      <c r="AN174" s="323"/>
      <c r="AO174" s="323"/>
      <c r="AP174" s="323"/>
      <c r="AQ174" s="323"/>
      <c r="AR174" s="323"/>
      <c r="AS174" s="323"/>
      <c r="AT174" s="323"/>
      <c r="AU174" s="323"/>
      <c r="AV174" s="323"/>
      <c r="AW174" s="323"/>
      <c r="AX174" s="323"/>
      <c r="AY174" s="323"/>
      <c r="AZ174" s="351"/>
      <c r="BA174" s="326"/>
      <c r="BB174" s="326"/>
      <c r="BC174" s="326"/>
      <c r="BD174" s="326"/>
      <c r="BE174" s="326"/>
      <c r="BF174" s="351"/>
      <c r="BG174" s="332"/>
      <c r="BH174" s="332"/>
      <c r="BI174" s="332"/>
      <c r="BJ174" s="332"/>
      <c r="BK174" s="332"/>
      <c r="BL174" s="332"/>
      <c r="BM174" s="332"/>
      <c r="BN174" s="251"/>
      <c r="BO174" s="340"/>
      <c r="BP174" s="337"/>
      <c r="BQ174" s="340"/>
      <c r="BR174" s="340"/>
      <c r="BS174" s="340"/>
      <c r="BT174" s="340"/>
      <c r="BU174" s="340"/>
      <c r="BV174" s="340"/>
      <c r="BW174" s="340"/>
      <c r="BX174" s="251"/>
      <c r="BY174" s="345"/>
      <c r="BZ174" s="345"/>
      <c r="CA174" s="345"/>
      <c r="CB174" s="346"/>
      <c r="CC174" s="345"/>
      <c r="CD174" s="345"/>
      <c r="CE174" s="345"/>
      <c r="CF174" s="345"/>
      <c r="CG174" s="345"/>
      <c r="CH174" s="345"/>
      <c r="CI174" s="345"/>
      <c r="CJ174" s="346"/>
      <c r="CK174" s="346"/>
    </row>
    <row r="175">
      <c r="A175" s="821"/>
      <c r="B175" s="241" t="s">
        <v>155</v>
      </c>
      <c r="C175" s="237" t="s">
        <v>155</v>
      </c>
      <c r="D175" s="238" t="s">
        <v>155</v>
      </c>
      <c r="E175" s="239" t="s">
        <v>155</v>
      </c>
      <c r="F175" s="240" t="s">
        <v>155</v>
      </c>
      <c r="G175" s="241" t="s">
        <v>155</v>
      </c>
      <c r="H175" s="308"/>
      <c r="I175" s="308"/>
      <c r="J175" s="308"/>
      <c r="K175" s="308"/>
      <c r="L175" s="308"/>
      <c r="M175" s="308"/>
      <c r="N175" s="308"/>
      <c r="O175" s="308"/>
      <c r="P175" s="251"/>
      <c r="Q175" s="353"/>
      <c r="R175" s="353"/>
      <c r="S175" s="353"/>
      <c r="T175" s="353"/>
      <c r="U175" s="353"/>
      <c r="V175" s="353"/>
      <c r="W175" s="251"/>
      <c r="X175" s="318"/>
      <c r="Y175" s="318"/>
      <c r="Z175" s="318"/>
      <c r="AA175" s="617"/>
      <c r="AB175" s="318"/>
      <c r="AC175" s="318"/>
      <c r="AD175" s="318"/>
      <c r="AE175" s="318"/>
      <c r="AF175" s="318"/>
      <c r="AG175" s="318"/>
      <c r="AH175" s="267"/>
      <c r="AI175" s="251"/>
      <c r="AJ175" s="323"/>
      <c r="AK175" s="323"/>
      <c r="AL175" s="323"/>
      <c r="AM175" s="323"/>
      <c r="AN175" s="323"/>
      <c r="AO175" s="323"/>
      <c r="AP175" s="323"/>
      <c r="AQ175" s="323"/>
      <c r="AR175" s="323"/>
      <c r="AS175" s="323"/>
      <c r="AT175" s="323"/>
      <c r="AU175" s="323"/>
      <c r="AV175" s="323"/>
      <c r="AW175" s="323"/>
      <c r="AX175" s="323"/>
      <c r="AY175" s="323"/>
      <c r="AZ175" s="351"/>
      <c r="BA175" s="326"/>
      <c r="BB175" s="326"/>
      <c r="BC175" s="326"/>
      <c r="BD175" s="326"/>
      <c r="BE175" s="326"/>
      <c r="BF175" s="351"/>
      <c r="BG175" s="332"/>
      <c r="BH175" s="332"/>
      <c r="BI175" s="332"/>
      <c r="BJ175" s="332"/>
      <c r="BK175" s="332"/>
      <c r="BL175" s="332"/>
      <c r="BM175" s="332"/>
      <c r="BN175" s="251"/>
      <c r="BO175" s="340"/>
      <c r="BP175" s="337"/>
      <c r="BQ175" s="340"/>
      <c r="BR175" s="340"/>
      <c r="BS175" s="340"/>
      <c r="BT175" s="340"/>
      <c r="BU175" s="340"/>
      <c r="BV175" s="340"/>
      <c r="BW175" s="340"/>
      <c r="BX175" s="251"/>
      <c r="BY175" s="345"/>
      <c r="BZ175" s="345"/>
      <c r="CA175" s="345"/>
      <c r="CB175" s="346"/>
      <c r="CC175" s="345"/>
      <c r="CD175" s="345"/>
      <c r="CE175" s="345"/>
      <c r="CF175" s="345"/>
      <c r="CG175" s="345"/>
      <c r="CH175" s="345"/>
      <c r="CI175" s="345"/>
      <c r="CJ175" s="346"/>
      <c r="CK175" s="346"/>
    </row>
    <row r="176">
      <c r="A176" s="821"/>
      <c r="B176" s="241" t="s">
        <v>155</v>
      </c>
      <c r="C176" s="237" t="s">
        <v>155</v>
      </c>
      <c r="D176" s="238" t="s">
        <v>155</v>
      </c>
      <c r="E176" s="239" t="s">
        <v>155</v>
      </c>
      <c r="F176" s="240" t="s">
        <v>155</v>
      </c>
      <c r="G176" s="241" t="s">
        <v>155</v>
      </c>
      <c r="H176" s="308"/>
      <c r="I176" s="308"/>
      <c r="J176" s="308"/>
      <c r="K176" s="308"/>
      <c r="L176" s="308"/>
      <c r="M176" s="308"/>
      <c r="N176" s="308"/>
      <c r="O176" s="308"/>
      <c r="P176" s="251"/>
      <c r="Q176" s="353"/>
      <c r="R176" s="353"/>
      <c r="S176" s="353"/>
      <c r="T176" s="353"/>
      <c r="U176" s="353"/>
      <c r="V176" s="353"/>
      <c r="W176" s="251"/>
      <c r="X176" s="318"/>
      <c r="Y176" s="318"/>
      <c r="Z176" s="318"/>
      <c r="AA176" s="617"/>
      <c r="AB176" s="318"/>
      <c r="AC176" s="318"/>
      <c r="AD176" s="318"/>
      <c r="AE176" s="318"/>
      <c r="AF176" s="318"/>
      <c r="AG176" s="318"/>
      <c r="AH176" s="267"/>
      <c r="AI176" s="251"/>
      <c r="AJ176" s="323"/>
      <c r="AK176" s="323"/>
      <c r="AL176" s="323"/>
      <c r="AM176" s="323"/>
      <c r="AN176" s="323"/>
      <c r="AO176" s="323"/>
      <c r="AP176" s="323"/>
      <c r="AQ176" s="323"/>
      <c r="AR176" s="323"/>
      <c r="AS176" s="323"/>
      <c r="AT176" s="323"/>
      <c r="AU176" s="323"/>
      <c r="AV176" s="323"/>
      <c r="AW176" s="323"/>
      <c r="AX176" s="323"/>
      <c r="AY176" s="323"/>
      <c r="AZ176" s="351"/>
      <c r="BA176" s="326"/>
      <c r="BB176" s="326"/>
      <c r="BC176" s="326"/>
      <c r="BD176" s="326"/>
      <c r="BE176" s="326"/>
      <c r="BF176" s="351"/>
      <c r="BG176" s="332"/>
      <c r="BH176" s="332"/>
      <c r="BI176" s="332"/>
      <c r="BJ176" s="332"/>
      <c r="BK176" s="332"/>
      <c r="BL176" s="332"/>
      <c r="BM176" s="332"/>
      <c r="BN176" s="251"/>
      <c r="BO176" s="340"/>
      <c r="BP176" s="337"/>
      <c r="BQ176" s="340"/>
      <c r="BR176" s="340"/>
      <c r="BS176" s="340"/>
      <c r="BT176" s="340"/>
      <c r="BU176" s="340"/>
      <c r="BV176" s="340"/>
      <c r="BW176" s="340"/>
      <c r="BX176" s="251"/>
      <c r="BY176" s="345"/>
      <c r="BZ176" s="345"/>
      <c r="CA176" s="345"/>
      <c r="CB176" s="346"/>
      <c r="CC176" s="345"/>
      <c r="CD176" s="345"/>
      <c r="CE176" s="345"/>
      <c r="CF176" s="345"/>
      <c r="CG176" s="345"/>
      <c r="CH176" s="345"/>
      <c r="CI176" s="345"/>
      <c r="CJ176" s="346"/>
      <c r="CK176" s="346"/>
    </row>
    <row r="177">
      <c r="A177" s="821"/>
      <c r="B177" s="241" t="s">
        <v>155</v>
      </c>
      <c r="C177" s="237" t="s">
        <v>155</v>
      </c>
      <c r="D177" s="238" t="s">
        <v>155</v>
      </c>
      <c r="E177" s="239" t="s">
        <v>155</v>
      </c>
      <c r="F177" s="240" t="s">
        <v>155</v>
      </c>
      <c r="G177" s="241" t="s">
        <v>155</v>
      </c>
      <c r="H177" s="308"/>
      <c r="I177" s="308"/>
      <c r="J177" s="308"/>
      <c r="K177" s="308"/>
      <c r="L177" s="308"/>
      <c r="M177" s="308"/>
      <c r="N177" s="308"/>
      <c r="O177" s="308"/>
      <c r="P177" s="251"/>
      <c r="Q177" s="353"/>
      <c r="R177" s="353"/>
      <c r="S177" s="353"/>
      <c r="T177" s="353"/>
      <c r="U177" s="353"/>
      <c r="V177" s="353"/>
      <c r="W177" s="251"/>
      <c r="X177" s="318"/>
      <c r="Y177" s="318"/>
      <c r="Z177" s="318"/>
      <c r="AA177" s="617"/>
      <c r="AB177" s="318"/>
      <c r="AC177" s="318"/>
      <c r="AD177" s="318"/>
      <c r="AE177" s="318"/>
      <c r="AF177" s="318"/>
      <c r="AG177" s="318"/>
      <c r="AH177" s="267"/>
      <c r="AI177" s="251"/>
      <c r="AJ177" s="323"/>
      <c r="AK177" s="323"/>
      <c r="AL177" s="323"/>
      <c r="AM177" s="323"/>
      <c r="AN177" s="323"/>
      <c r="AO177" s="323"/>
      <c r="AP177" s="323"/>
      <c r="AQ177" s="323"/>
      <c r="AR177" s="323"/>
      <c r="AS177" s="323"/>
      <c r="AT177" s="323"/>
      <c r="AU177" s="323"/>
      <c r="AV177" s="323"/>
      <c r="AW177" s="323"/>
      <c r="AX177" s="323"/>
      <c r="AY177" s="323"/>
      <c r="AZ177" s="351"/>
      <c r="BA177" s="326"/>
      <c r="BB177" s="326"/>
      <c r="BC177" s="326"/>
      <c r="BD177" s="326"/>
      <c r="BE177" s="326"/>
      <c r="BF177" s="351"/>
      <c r="BG177" s="332"/>
      <c r="BH177" s="332"/>
      <c r="BI177" s="332"/>
      <c r="BJ177" s="332"/>
      <c r="BK177" s="332"/>
      <c r="BL177" s="332"/>
      <c r="BM177" s="332"/>
      <c r="BN177" s="251"/>
      <c r="BO177" s="340"/>
      <c r="BP177" s="337"/>
      <c r="BQ177" s="340"/>
      <c r="BR177" s="340"/>
      <c r="BS177" s="340"/>
      <c r="BT177" s="340"/>
      <c r="BU177" s="340"/>
      <c r="BV177" s="340"/>
      <c r="BW177" s="340"/>
      <c r="BX177" s="251"/>
      <c r="BY177" s="345"/>
      <c r="BZ177" s="345"/>
      <c r="CA177" s="345"/>
      <c r="CB177" s="346"/>
      <c r="CC177" s="345"/>
      <c r="CD177" s="345"/>
      <c r="CE177" s="345"/>
      <c r="CF177" s="345"/>
      <c r="CG177" s="345"/>
      <c r="CH177" s="345"/>
      <c r="CI177" s="345"/>
      <c r="CJ177" s="346"/>
      <c r="CK177" s="346"/>
    </row>
    <row r="178">
      <c r="A178" s="821"/>
      <c r="B178" s="241" t="s">
        <v>155</v>
      </c>
      <c r="C178" s="237" t="s">
        <v>155</v>
      </c>
      <c r="D178" s="238" t="s">
        <v>155</v>
      </c>
      <c r="E178" s="239" t="s">
        <v>155</v>
      </c>
      <c r="F178" s="240" t="s">
        <v>155</v>
      </c>
      <c r="G178" s="241" t="s">
        <v>155</v>
      </c>
      <c r="H178" s="308"/>
      <c r="I178" s="308"/>
      <c r="J178" s="308"/>
      <c r="K178" s="308"/>
      <c r="L178" s="308"/>
      <c r="M178" s="308"/>
      <c r="N178" s="308"/>
      <c r="O178" s="308"/>
      <c r="P178" s="251"/>
      <c r="Q178" s="353"/>
      <c r="R178" s="353"/>
      <c r="S178" s="353"/>
      <c r="T178" s="353"/>
      <c r="U178" s="353"/>
      <c r="V178" s="353"/>
      <c r="W178" s="251"/>
      <c r="X178" s="318"/>
      <c r="Y178" s="318"/>
      <c r="Z178" s="318"/>
      <c r="AA178" s="617"/>
      <c r="AB178" s="318"/>
      <c r="AC178" s="318"/>
      <c r="AD178" s="318"/>
      <c r="AE178" s="318"/>
      <c r="AF178" s="318"/>
      <c r="AG178" s="318"/>
      <c r="AH178" s="267"/>
      <c r="AI178" s="251"/>
      <c r="AJ178" s="323"/>
      <c r="AK178" s="323"/>
      <c r="AL178" s="323"/>
      <c r="AM178" s="323"/>
      <c r="AN178" s="323"/>
      <c r="AO178" s="323"/>
      <c r="AP178" s="323"/>
      <c r="AQ178" s="323"/>
      <c r="AR178" s="323"/>
      <c r="AS178" s="323"/>
      <c r="AT178" s="323"/>
      <c r="AU178" s="323"/>
      <c r="AV178" s="323"/>
      <c r="AW178" s="323"/>
      <c r="AX178" s="323"/>
      <c r="AY178" s="323"/>
      <c r="AZ178" s="351"/>
      <c r="BA178" s="326"/>
      <c r="BB178" s="326"/>
      <c r="BC178" s="326"/>
      <c r="BD178" s="326"/>
      <c r="BE178" s="326"/>
      <c r="BF178" s="351"/>
      <c r="BG178" s="332"/>
      <c r="BH178" s="332"/>
      <c r="BI178" s="332"/>
      <c r="BJ178" s="332"/>
      <c r="BK178" s="332"/>
      <c r="BL178" s="332"/>
      <c r="BM178" s="332"/>
      <c r="BN178" s="251"/>
      <c r="BO178" s="340"/>
      <c r="BP178" s="337"/>
      <c r="BQ178" s="340"/>
      <c r="BR178" s="340"/>
      <c r="BS178" s="340"/>
      <c r="BT178" s="340"/>
      <c r="BU178" s="340"/>
      <c r="BV178" s="340"/>
      <c r="BW178" s="340"/>
      <c r="BX178" s="251"/>
      <c r="BY178" s="345"/>
      <c r="BZ178" s="345"/>
      <c r="CA178" s="345"/>
      <c r="CB178" s="346"/>
      <c r="CC178" s="345"/>
      <c r="CD178" s="345"/>
      <c r="CE178" s="345"/>
      <c r="CF178" s="345"/>
      <c r="CG178" s="345"/>
      <c r="CH178" s="345"/>
      <c r="CI178" s="345"/>
      <c r="CJ178" s="346"/>
      <c r="CK178" s="346"/>
    </row>
    <row r="179">
      <c r="A179" s="821"/>
      <c r="B179" s="241" t="s">
        <v>155</v>
      </c>
      <c r="C179" s="237" t="s">
        <v>155</v>
      </c>
      <c r="D179" s="238" t="s">
        <v>155</v>
      </c>
      <c r="E179" s="239" t="s">
        <v>155</v>
      </c>
      <c r="F179" s="240" t="s">
        <v>155</v>
      </c>
      <c r="G179" s="241" t="s">
        <v>155</v>
      </c>
      <c r="H179" s="308"/>
      <c r="I179" s="308"/>
      <c r="J179" s="308"/>
      <c r="K179" s="308"/>
      <c r="L179" s="308"/>
      <c r="M179" s="308"/>
      <c r="N179" s="308"/>
      <c r="O179" s="308"/>
      <c r="P179" s="251"/>
      <c r="Q179" s="353"/>
      <c r="R179" s="353"/>
      <c r="S179" s="353"/>
      <c r="T179" s="353"/>
      <c r="U179" s="353"/>
      <c r="V179" s="353"/>
      <c r="W179" s="251"/>
      <c r="X179" s="318"/>
      <c r="Y179" s="318"/>
      <c r="Z179" s="318"/>
      <c r="AA179" s="617"/>
      <c r="AB179" s="318"/>
      <c r="AC179" s="318"/>
      <c r="AD179" s="318"/>
      <c r="AE179" s="318"/>
      <c r="AF179" s="318"/>
      <c r="AG179" s="318"/>
      <c r="AH179" s="267"/>
      <c r="AI179" s="251"/>
      <c r="AJ179" s="323"/>
      <c r="AK179" s="323"/>
      <c r="AL179" s="323"/>
      <c r="AM179" s="323"/>
      <c r="AN179" s="323"/>
      <c r="AO179" s="323"/>
      <c r="AP179" s="323"/>
      <c r="AQ179" s="323"/>
      <c r="AR179" s="323"/>
      <c r="AS179" s="323"/>
      <c r="AT179" s="323"/>
      <c r="AU179" s="323"/>
      <c r="AV179" s="323"/>
      <c r="AW179" s="323"/>
      <c r="AX179" s="323"/>
      <c r="AY179" s="323"/>
      <c r="AZ179" s="351"/>
      <c r="BA179" s="326"/>
      <c r="BB179" s="326"/>
      <c r="BC179" s="326"/>
      <c r="BD179" s="326"/>
      <c r="BE179" s="326"/>
      <c r="BF179" s="351"/>
      <c r="BG179" s="332"/>
      <c r="BH179" s="332"/>
      <c r="BI179" s="332"/>
      <c r="BJ179" s="332"/>
      <c r="BK179" s="332"/>
      <c r="BL179" s="332"/>
      <c r="BM179" s="332"/>
      <c r="BN179" s="251"/>
      <c r="BO179" s="340"/>
      <c r="BP179" s="337"/>
      <c r="BQ179" s="340"/>
      <c r="BR179" s="340"/>
      <c r="BS179" s="340"/>
      <c r="BT179" s="340"/>
      <c r="BU179" s="340"/>
      <c r="BV179" s="340"/>
      <c r="BW179" s="340"/>
      <c r="BX179" s="251"/>
      <c r="BY179" s="345"/>
      <c r="BZ179" s="345"/>
      <c r="CA179" s="345"/>
      <c r="CB179" s="346"/>
      <c r="CC179" s="345"/>
      <c r="CD179" s="345"/>
      <c r="CE179" s="345"/>
      <c r="CF179" s="345"/>
      <c r="CG179" s="345"/>
      <c r="CH179" s="345"/>
      <c r="CI179" s="345"/>
      <c r="CJ179" s="346"/>
      <c r="CK179" s="346"/>
    </row>
    <row r="180">
      <c r="A180" s="821"/>
      <c r="B180" s="241" t="s">
        <v>155</v>
      </c>
      <c r="C180" s="237" t="s">
        <v>155</v>
      </c>
      <c r="D180" s="238" t="s">
        <v>155</v>
      </c>
      <c r="E180" s="239" t="s">
        <v>155</v>
      </c>
      <c r="F180" s="240" t="s">
        <v>155</v>
      </c>
      <c r="G180" s="241" t="s">
        <v>155</v>
      </c>
      <c r="H180" s="308"/>
      <c r="I180" s="308"/>
      <c r="J180" s="308"/>
      <c r="K180" s="308"/>
      <c r="L180" s="308"/>
      <c r="M180" s="308"/>
      <c r="N180" s="308"/>
      <c r="O180" s="308"/>
      <c r="P180" s="251"/>
      <c r="Q180" s="353"/>
      <c r="R180" s="353"/>
      <c r="S180" s="353"/>
      <c r="T180" s="353"/>
      <c r="U180" s="353"/>
      <c r="V180" s="353"/>
      <c r="W180" s="251"/>
      <c r="X180" s="318"/>
      <c r="Y180" s="318"/>
      <c r="Z180" s="318"/>
      <c r="AA180" s="617"/>
      <c r="AB180" s="318"/>
      <c r="AC180" s="318"/>
      <c r="AD180" s="318"/>
      <c r="AE180" s="318"/>
      <c r="AF180" s="318"/>
      <c r="AG180" s="318"/>
      <c r="AH180" s="267"/>
      <c r="AI180" s="251"/>
      <c r="AJ180" s="323"/>
      <c r="AK180" s="323"/>
      <c r="AL180" s="323"/>
      <c r="AM180" s="323"/>
      <c r="AN180" s="323"/>
      <c r="AO180" s="323"/>
      <c r="AP180" s="323"/>
      <c r="AQ180" s="323"/>
      <c r="AR180" s="323"/>
      <c r="AS180" s="323"/>
      <c r="AT180" s="323"/>
      <c r="AU180" s="323"/>
      <c r="AV180" s="323"/>
      <c r="AW180" s="323"/>
      <c r="AX180" s="323"/>
      <c r="AY180" s="323"/>
      <c r="AZ180" s="351"/>
      <c r="BA180" s="326"/>
      <c r="BB180" s="326"/>
      <c r="BC180" s="326"/>
      <c r="BD180" s="326"/>
      <c r="BE180" s="326"/>
      <c r="BF180" s="351"/>
      <c r="BG180" s="332"/>
      <c r="BH180" s="332"/>
      <c r="BI180" s="332"/>
      <c r="BJ180" s="332"/>
      <c r="BK180" s="332"/>
      <c r="BL180" s="332"/>
      <c r="BM180" s="332"/>
      <c r="BN180" s="251"/>
      <c r="BO180" s="340"/>
      <c r="BP180" s="337"/>
      <c r="BQ180" s="340"/>
      <c r="BR180" s="340"/>
      <c r="BS180" s="340"/>
      <c r="BT180" s="340"/>
      <c r="BU180" s="340"/>
      <c r="BV180" s="340"/>
      <c r="BW180" s="340"/>
      <c r="BX180" s="251"/>
      <c r="BY180" s="345"/>
      <c r="BZ180" s="345"/>
      <c r="CA180" s="345"/>
      <c r="CB180" s="346"/>
      <c r="CC180" s="345"/>
      <c r="CD180" s="345"/>
      <c r="CE180" s="345"/>
      <c r="CF180" s="345"/>
      <c r="CG180" s="345"/>
      <c r="CH180" s="345"/>
      <c r="CI180" s="345"/>
      <c r="CJ180" s="346"/>
      <c r="CK180" s="346"/>
    </row>
    <row r="181">
      <c r="A181" s="821"/>
      <c r="B181" s="241" t="s">
        <v>155</v>
      </c>
      <c r="C181" s="237" t="s">
        <v>155</v>
      </c>
      <c r="D181" s="238" t="s">
        <v>155</v>
      </c>
      <c r="E181" s="239" t="s">
        <v>155</v>
      </c>
      <c r="F181" s="240" t="s">
        <v>155</v>
      </c>
      <c r="G181" s="241" t="s">
        <v>155</v>
      </c>
      <c r="H181" s="308"/>
      <c r="I181" s="308"/>
      <c r="J181" s="308"/>
      <c r="K181" s="308"/>
      <c r="L181" s="308"/>
      <c r="M181" s="308"/>
      <c r="N181" s="308"/>
      <c r="O181" s="308"/>
      <c r="P181" s="251"/>
      <c r="Q181" s="353"/>
      <c r="R181" s="353"/>
      <c r="S181" s="353"/>
      <c r="T181" s="353"/>
      <c r="U181" s="353"/>
      <c r="V181" s="353"/>
      <c r="W181" s="251"/>
      <c r="X181" s="318"/>
      <c r="Y181" s="318"/>
      <c r="Z181" s="318"/>
      <c r="AA181" s="617"/>
      <c r="AB181" s="318"/>
      <c r="AC181" s="318"/>
      <c r="AD181" s="318"/>
      <c r="AE181" s="318"/>
      <c r="AF181" s="318"/>
      <c r="AG181" s="318"/>
      <c r="AH181" s="267"/>
      <c r="AI181" s="251"/>
      <c r="AJ181" s="323"/>
      <c r="AK181" s="323"/>
      <c r="AL181" s="323"/>
      <c r="AM181" s="323"/>
      <c r="AN181" s="323"/>
      <c r="AO181" s="323"/>
      <c r="AP181" s="323"/>
      <c r="AQ181" s="323"/>
      <c r="AR181" s="323"/>
      <c r="AS181" s="323"/>
      <c r="AT181" s="323"/>
      <c r="AU181" s="323"/>
      <c r="AV181" s="323"/>
      <c r="AW181" s="323"/>
      <c r="AX181" s="323"/>
      <c r="AY181" s="323"/>
      <c r="AZ181" s="351"/>
      <c r="BA181" s="326"/>
      <c r="BB181" s="326"/>
      <c r="BC181" s="326"/>
      <c r="BD181" s="326"/>
      <c r="BE181" s="326"/>
      <c r="BF181" s="351"/>
      <c r="BG181" s="332"/>
      <c r="BH181" s="332"/>
      <c r="BI181" s="332"/>
      <c r="BJ181" s="332"/>
      <c r="BK181" s="332"/>
      <c r="BL181" s="332"/>
      <c r="BM181" s="332"/>
      <c r="BN181" s="251"/>
      <c r="BO181" s="340"/>
      <c r="BP181" s="337"/>
      <c r="BQ181" s="340"/>
      <c r="BR181" s="340"/>
      <c r="BS181" s="340"/>
      <c r="BT181" s="340"/>
      <c r="BU181" s="340"/>
      <c r="BV181" s="340"/>
      <c r="BW181" s="340"/>
      <c r="BX181" s="251"/>
      <c r="BY181" s="345"/>
      <c r="BZ181" s="345"/>
      <c r="CA181" s="345"/>
      <c r="CB181" s="346"/>
      <c r="CC181" s="345"/>
      <c r="CD181" s="345"/>
      <c r="CE181" s="345"/>
      <c r="CF181" s="345"/>
      <c r="CG181" s="345"/>
      <c r="CH181" s="345"/>
      <c r="CI181" s="345"/>
      <c r="CJ181" s="346"/>
      <c r="CK181" s="346"/>
    </row>
    <row r="182">
      <c r="A182" s="821"/>
      <c r="B182" s="241" t="s">
        <v>155</v>
      </c>
      <c r="C182" s="237" t="s">
        <v>155</v>
      </c>
      <c r="D182" s="238" t="s">
        <v>155</v>
      </c>
      <c r="E182" s="239" t="s">
        <v>155</v>
      </c>
      <c r="F182" s="240" t="s">
        <v>155</v>
      </c>
      <c r="G182" s="241" t="s">
        <v>155</v>
      </c>
      <c r="H182" s="308"/>
      <c r="I182" s="308"/>
      <c r="J182" s="308"/>
      <c r="K182" s="308"/>
      <c r="L182" s="308"/>
      <c r="M182" s="308"/>
      <c r="N182" s="308"/>
      <c r="O182" s="308"/>
      <c r="P182" s="251"/>
      <c r="Q182" s="353"/>
      <c r="R182" s="353"/>
      <c r="S182" s="353"/>
      <c r="T182" s="353"/>
      <c r="U182" s="353"/>
      <c r="V182" s="353"/>
      <c r="W182" s="251"/>
      <c r="X182" s="318"/>
      <c r="Y182" s="318"/>
      <c r="Z182" s="318"/>
      <c r="AA182" s="617"/>
      <c r="AB182" s="318"/>
      <c r="AC182" s="318"/>
      <c r="AD182" s="318"/>
      <c r="AE182" s="318"/>
      <c r="AF182" s="318"/>
      <c r="AG182" s="318"/>
      <c r="AH182" s="267"/>
      <c r="AI182" s="251"/>
      <c r="AJ182" s="323"/>
      <c r="AK182" s="323"/>
      <c r="AL182" s="323"/>
      <c r="AM182" s="323"/>
      <c r="AN182" s="323"/>
      <c r="AO182" s="323"/>
      <c r="AP182" s="323"/>
      <c r="AQ182" s="323"/>
      <c r="AR182" s="323"/>
      <c r="AS182" s="323"/>
      <c r="AT182" s="323"/>
      <c r="AU182" s="323"/>
      <c r="AV182" s="323"/>
      <c r="AW182" s="323"/>
      <c r="AX182" s="323"/>
      <c r="AY182" s="323"/>
      <c r="AZ182" s="351"/>
      <c r="BA182" s="326"/>
      <c r="BB182" s="326"/>
      <c r="BC182" s="326"/>
      <c r="BD182" s="326"/>
      <c r="BE182" s="326"/>
      <c r="BF182" s="351"/>
      <c r="BG182" s="332"/>
      <c r="BH182" s="332"/>
      <c r="BI182" s="332"/>
      <c r="BJ182" s="332"/>
      <c r="BK182" s="332"/>
      <c r="BL182" s="332"/>
      <c r="BM182" s="332"/>
      <c r="BN182" s="251"/>
      <c r="BO182" s="340"/>
      <c r="BP182" s="337"/>
      <c r="BQ182" s="340"/>
      <c r="BR182" s="340"/>
      <c r="BS182" s="340"/>
      <c r="BT182" s="340"/>
      <c r="BU182" s="340"/>
      <c r="BV182" s="340"/>
      <c r="BW182" s="340"/>
      <c r="BX182" s="251"/>
      <c r="BY182" s="345"/>
      <c r="BZ182" s="345"/>
      <c r="CA182" s="345"/>
      <c r="CB182" s="346"/>
      <c r="CC182" s="345"/>
      <c r="CD182" s="345"/>
      <c r="CE182" s="345"/>
      <c r="CF182" s="345"/>
      <c r="CG182" s="345"/>
      <c r="CH182" s="345"/>
      <c r="CI182" s="345"/>
      <c r="CJ182" s="346"/>
      <c r="CK182" s="346"/>
    </row>
    <row r="183">
      <c r="A183" s="821"/>
      <c r="B183" s="241" t="s">
        <v>155</v>
      </c>
      <c r="C183" s="237" t="s">
        <v>155</v>
      </c>
      <c r="D183" s="238" t="s">
        <v>155</v>
      </c>
      <c r="E183" s="239" t="s">
        <v>155</v>
      </c>
      <c r="F183" s="240" t="s">
        <v>155</v>
      </c>
      <c r="G183" s="241" t="s">
        <v>155</v>
      </c>
      <c r="H183" s="308"/>
      <c r="I183" s="308"/>
      <c r="J183" s="308"/>
      <c r="K183" s="308"/>
      <c r="L183" s="308"/>
      <c r="M183" s="308"/>
      <c r="N183" s="308"/>
      <c r="O183" s="308"/>
      <c r="P183" s="251"/>
      <c r="Q183" s="353"/>
      <c r="R183" s="353"/>
      <c r="S183" s="353"/>
      <c r="T183" s="353"/>
      <c r="U183" s="353"/>
      <c r="V183" s="353"/>
      <c r="W183" s="251"/>
      <c r="X183" s="318"/>
      <c r="Y183" s="318"/>
      <c r="Z183" s="318"/>
      <c r="AA183" s="617"/>
      <c r="AB183" s="318"/>
      <c r="AC183" s="318"/>
      <c r="AD183" s="318"/>
      <c r="AE183" s="318"/>
      <c r="AF183" s="318"/>
      <c r="AG183" s="318"/>
      <c r="AH183" s="267"/>
      <c r="AI183" s="251"/>
      <c r="AJ183" s="323"/>
      <c r="AK183" s="323"/>
      <c r="AL183" s="323"/>
      <c r="AM183" s="323"/>
      <c r="AN183" s="323"/>
      <c r="AO183" s="323"/>
      <c r="AP183" s="323"/>
      <c r="AQ183" s="323"/>
      <c r="AR183" s="323"/>
      <c r="AS183" s="323"/>
      <c r="AT183" s="323"/>
      <c r="AU183" s="323"/>
      <c r="AV183" s="323"/>
      <c r="AW183" s="323"/>
      <c r="AX183" s="323"/>
      <c r="AY183" s="323"/>
      <c r="AZ183" s="351"/>
      <c r="BA183" s="326"/>
      <c r="BB183" s="326"/>
      <c r="BC183" s="326"/>
      <c r="BD183" s="326"/>
      <c r="BE183" s="326"/>
      <c r="BF183" s="351"/>
      <c r="BG183" s="332"/>
      <c r="BH183" s="332"/>
      <c r="BI183" s="332"/>
      <c r="BJ183" s="332"/>
      <c r="BK183" s="332"/>
      <c r="BL183" s="332"/>
      <c r="BM183" s="332"/>
      <c r="BN183" s="251"/>
      <c r="BO183" s="340"/>
      <c r="BP183" s="337"/>
      <c r="BQ183" s="340"/>
      <c r="BR183" s="340"/>
      <c r="BS183" s="340"/>
      <c r="BT183" s="340"/>
      <c r="BU183" s="340"/>
      <c r="BV183" s="340"/>
      <c r="BW183" s="340"/>
      <c r="BX183" s="251"/>
      <c r="BY183" s="345"/>
      <c r="BZ183" s="345"/>
      <c r="CA183" s="345"/>
      <c r="CB183" s="346"/>
      <c r="CC183" s="345"/>
      <c r="CD183" s="345"/>
      <c r="CE183" s="345"/>
      <c r="CF183" s="345"/>
      <c r="CG183" s="345"/>
      <c r="CH183" s="345"/>
      <c r="CI183" s="345"/>
      <c r="CJ183" s="346"/>
      <c r="CK183" s="346"/>
    </row>
    <row r="184">
      <c r="A184" s="821"/>
      <c r="B184" s="241" t="s">
        <v>155</v>
      </c>
      <c r="C184" s="237" t="s">
        <v>155</v>
      </c>
      <c r="D184" s="238" t="s">
        <v>155</v>
      </c>
      <c r="E184" s="239" t="s">
        <v>155</v>
      </c>
      <c r="F184" s="240" t="s">
        <v>155</v>
      </c>
      <c r="G184" s="241" t="s">
        <v>155</v>
      </c>
      <c r="H184" s="308"/>
      <c r="I184" s="308"/>
      <c r="J184" s="308"/>
      <c r="K184" s="308"/>
      <c r="L184" s="308"/>
      <c r="M184" s="308"/>
      <c r="N184" s="308"/>
      <c r="O184" s="308"/>
      <c r="P184" s="251"/>
      <c r="Q184" s="353"/>
      <c r="R184" s="353"/>
      <c r="S184" s="353"/>
      <c r="T184" s="353"/>
      <c r="U184" s="353"/>
      <c r="V184" s="353"/>
      <c r="W184" s="251"/>
      <c r="X184" s="318"/>
      <c r="Y184" s="318"/>
      <c r="Z184" s="318"/>
      <c r="AA184" s="617"/>
      <c r="AB184" s="318"/>
      <c r="AC184" s="318"/>
      <c r="AD184" s="318"/>
      <c r="AE184" s="318"/>
      <c r="AF184" s="318"/>
      <c r="AG184" s="318"/>
      <c r="AH184" s="267"/>
      <c r="AI184" s="251"/>
      <c r="AJ184" s="323"/>
      <c r="AK184" s="323"/>
      <c r="AL184" s="323"/>
      <c r="AM184" s="323"/>
      <c r="AN184" s="323"/>
      <c r="AO184" s="323"/>
      <c r="AP184" s="323"/>
      <c r="AQ184" s="323"/>
      <c r="AR184" s="323"/>
      <c r="AS184" s="323"/>
      <c r="AT184" s="323"/>
      <c r="AU184" s="323"/>
      <c r="AV184" s="323"/>
      <c r="AW184" s="323"/>
      <c r="AX184" s="323"/>
      <c r="AY184" s="323"/>
      <c r="AZ184" s="351"/>
      <c r="BA184" s="326"/>
      <c r="BB184" s="326"/>
      <c r="BC184" s="326"/>
      <c r="BD184" s="326"/>
      <c r="BE184" s="326"/>
      <c r="BF184" s="351"/>
      <c r="BG184" s="332"/>
      <c r="BH184" s="332"/>
      <c r="BI184" s="332"/>
      <c r="BJ184" s="332"/>
      <c r="BK184" s="332"/>
      <c r="BL184" s="332"/>
      <c r="BM184" s="332"/>
      <c r="BN184" s="251"/>
      <c r="BO184" s="340"/>
      <c r="BP184" s="337"/>
      <c r="BQ184" s="340"/>
      <c r="BR184" s="340"/>
      <c r="BS184" s="340"/>
      <c r="BT184" s="340"/>
      <c r="BU184" s="340"/>
      <c r="BV184" s="340"/>
      <c r="BW184" s="340"/>
      <c r="BX184" s="251"/>
      <c r="BY184" s="345"/>
      <c r="BZ184" s="345"/>
      <c r="CA184" s="345"/>
      <c r="CB184" s="346"/>
      <c r="CC184" s="345"/>
      <c r="CD184" s="345"/>
      <c r="CE184" s="345"/>
      <c r="CF184" s="345"/>
      <c r="CG184" s="345"/>
      <c r="CH184" s="345"/>
      <c r="CI184" s="345"/>
      <c r="CJ184" s="346"/>
      <c r="CK184" s="346"/>
    </row>
    <row r="185">
      <c r="A185" s="821"/>
      <c r="B185" s="241" t="s">
        <v>155</v>
      </c>
      <c r="C185" s="237" t="s">
        <v>155</v>
      </c>
      <c r="D185" s="238" t="s">
        <v>155</v>
      </c>
      <c r="E185" s="239" t="s">
        <v>155</v>
      </c>
      <c r="F185" s="240" t="s">
        <v>155</v>
      </c>
      <c r="G185" s="241" t="s">
        <v>155</v>
      </c>
      <c r="H185" s="308"/>
      <c r="I185" s="308"/>
      <c r="J185" s="308"/>
      <c r="K185" s="308"/>
      <c r="L185" s="308"/>
      <c r="M185" s="308"/>
      <c r="N185" s="308"/>
      <c r="O185" s="308"/>
      <c r="P185" s="251"/>
      <c r="Q185" s="353"/>
      <c r="R185" s="353"/>
      <c r="S185" s="353"/>
      <c r="T185" s="353"/>
      <c r="U185" s="353"/>
      <c r="V185" s="353"/>
      <c r="W185" s="251"/>
      <c r="X185" s="318"/>
      <c r="Y185" s="318"/>
      <c r="Z185" s="318"/>
      <c r="AA185" s="617"/>
      <c r="AB185" s="318"/>
      <c r="AC185" s="318"/>
      <c r="AD185" s="318"/>
      <c r="AE185" s="318"/>
      <c r="AF185" s="318"/>
      <c r="AG185" s="318"/>
      <c r="AH185" s="267"/>
      <c r="AI185" s="251"/>
      <c r="AJ185" s="323"/>
      <c r="AK185" s="323"/>
      <c r="AL185" s="323"/>
      <c r="AM185" s="323"/>
      <c r="AN185" s="323"/>
      <c r="AO185" s="323"/>
      <c r="AP185" s="323"/>
      <c r="AQ185" s="323"/>
      <c r="AR185" s="323"/>
      <c r="AS185" s="323"/>
      <c r="AT185" s="323"/>
      <c r="AU185" s="323"/>
      <c r="AV185" s="323"/>
      <c r="AW185" s="323"/>
      <c r="AX185" s="323"/>
      <c r="AY185" s="323"/>
      <c r="AZ185" s="351"/>
      <c r="BA185" s="326"/>
      <c r="BB185" s="326"/>
      <c r="BC185" s="326"/>
      <c r="BD185" s="326"/>
      <c r="BE185" s="326"/>
      <c r="BF185" s="351"/>
      <c r="BG185" s="332"/>
      <c r="BH185" s="332"/>
      <c r="BI185" s="332"/>
      <c r="BJ185" s="332"/>
      <c r="BK185" s="332"/>
      <c r="BL185" s="332"/>
      <c r="BM185" s="332"/>
      <c r="BN185" s="251"/>
      <c r="BO185" s="340"/>
      <c r="BP185" s="337"/>
      <c r="BQ185" s="340"/>
      <c r="BR185" s="340"/>
      <c r="BS185" s="340"/>
      <c r="BT185" s="340"/>
      <c r="BU185" s="340"/>
      <c r="BV185" s="340"/>
      <c r="BW185" s="340"/>
      <c r="BX185" s="251"/>
      <c r="BY185" s="345"/>
      <c r="BZ185" s="345"/>
      <c r="CA185" s="345"/>
      <c r="CB185" s="346"/>
      <c r="CC185" s="345"/>
      <c r="CD185" s="345"/>
      <c r="CE185" s="345"/>
      <c r="CF185" s="345"/>
      <c r="CG185" s="345"/>
      <c r="CH185" s="345"/>
      <c r="CI185" s="345"/>
      <c r="CJ185" s="346"/>
      <c r="CK185" s="346"/>
    </row>
    <row r="186">
      <c r="A186" s="821"/>
      <c r="B186" s="241" t="s">
        <v>155</v>
      </c>
      <c r="C186" s="237" t="s">
        <v>155</v>
      </c>
      <c r="D186" s="238" t="s">
        <v>155</v>
      </c>
      <c r="E186" s="239" t="s">
        <v>155</v>
      </c>
      <c r="F186" s="240" t="s">
        <v>155</v>
      </c>
      <c r="G186" s="241" t="s">
        <v>155</v>
      </c>
      <c r="H186" s="308"/>
      <c r="I186" s="308"/>
      <c r="J186" s="308"/>
      <c r="K186" s="308"/>
      <c r="L186" s="308"/>
      <c r="M186" s="308"/>
      <c r="N186" s="308"/>
      <c r="O186" s="308"/>
      <c r="P186" s="251"/>
      <c r="Q186" s="353"/>
      <c r="R186" s="353"/>
      <c r="S186" s="353"/>
      <c r="T186" s="353"/>
      <c r="U186" s="353"/>
      <c r="V186" s="353"/>
      <c r="W186" s="251"/>
      <c r="X186" s="318"/>
      <c r="Y186" s="318"/>
      <c r="Z186" s="318"/>
      <c r="AA186" s="617"/>
      <c r="AB186" s="318"/>
      <c r="AC186" s="318"/>
      <c r="AD186" s="318"/>
      <c r="AE186" s="318"/>
      <c r="AF186" s="318"/>
      <c r="AG186" s="318"/>
      <c r="AH186" s="267"/>
      <c r="AI186" s="251"/>
      <c r="AJ186" s="323"/>
      <c r="AK186" s="323"/>
      <c r="AL186" s="323"/>
      <c r="AM186" s="323"/>
      <c r="AN186" s="323"/>
      <c r="AO186" s="323"/>
      <c r="AP186" s="323"/>
      <c r="AQ186" s="323"/>
      <c r="AR186" s="323"/>
      <c r="AS186" s="323"/>
      <c r="AT186" s="323"/>
      <c r="AU186" s="323"/>
      <c r="AV186" s="323"/>
      <c r="AW186" s="323"/>
      <c r="AX186" s="323"/>
      <c r="AY186" s="323"/>
      <c r="AZ186" s="351"/>
      <c r="BA186" s="326"/>
      <c r="BB186" s="326"/>
      <c r="BC186" s="326"/>
      <c r="BD186" s="326"/>
      <c r="BE186" s="326"/>
      <c r="BF186" s="351"/>
      <c r="BG186" s="332"/>
      <c r="BH186" s="332"/>
      <c r="BI186" s="332"/>
      <c r="BJ186" s="332"/>
      <c r="BK186" s="332"/>
      <c r="BL186" s="332"/>
      <c r="BM186" s="332"/>
      <c r="BN186" s="251"/>
      <c r="BO186" s="340"/>
      <c r="BP186" s="337"/>
      <c r="BQ186" s="340"/>
      <c r="BR186" s="340"/>
      <c r="BS186" s="340"/>
      <c r="BT186" s="340"/>
      <c r="BU186" s="340"/>
      <c r="BV186" s="340"/>
      <c r="BW186" s="340"/>
      <c r="BX186" s="251"/>
      <c r="BY186" s="345"/>
      <c r="BZ186" s="345"/>
      <c r="CA186" s="345"/>
      <c r="CB186" s="346"/>
      <c r="CC186" s="345"/>
      <c r="CD186" s="345"/>
      <c r="CE186" s="345"/>
      <c r="CF186" s="345"/>
      <c r="CG186" s="345"/>
      <c r="CH186" s="345"/>
      <c r="CI186" s="345"/>
      <c r="CJ186" s="346"/>
      <c r="CK186" s="346"/>
    </row>
    <row r="187">
      <c r="A187" s="821"/>
      <c r="B187" s="241" t="s">
        <v>155</v>
      </c>
      <c r="C187" s="237" t="s">
        <v>155</v>
      </c>
      <c r="D187" s="238" t="s">
        <v>155</v>
      </c>
      <c r="E187" s="239" t="s">
        <v>155</v>
      </c>
      <c r="F187" s="240" t="s">
        <v>155</v>
      </c>
      <c r="G187" s="241" t="s">
        <v>155</v>
      </c>
      <c r="H187" s="308"/>
      <c r="I187" s="308"/>
      <c r="J187" s="308"/>
      <c r="K187" s="308"/>
      <c r="L187" s="308"/>
      <c r="M187" s="308"/>
      <c r="N187" s="308"/>
      <c r="O187" s="308"/>
      <c r="P187" s="251"/>
      <c r="Q187" s="353"/>
      <c r="R187" s="353"/>
      <c r="S187" s="353"/>
      <c r="T187" s="353"/>
      <c r="U187" s="353"/>
      <c r="V187" s="353"/>
      <c r="W187" s="251"/>
      <c r="X187" s="318"/>
      <c r="Y187" s="318"/>
      <c r="Z187" s="318"/>
      <c r="AA187" s="617"/>
      <c r="AB187" s="318"/>
      <c r="AC187" s="318"/>
      <c r="AD187" s="318"/>
      <c r="AE187" s="318"/>
      <c r="AF187" s="318"/>
      <c r="AG187" s="318"/>
      <c r="AH187" s="267"/>
      <c r="AI187" s="251"/>
      <c r="AJ187" s="323"/>
      <c r="AK187" s="323"/>
      <c r="AL187" s="323"/>
      <c r="AM187" s="323"/>
      <c r="AN187" s="323"/>
      <c r="AO187" s="323"/>
      <c r="AP187" s="323"/>
      <c r="AQ187" s="323"/>
      <c r="AR187" s="323"/>
      <c r="AS187" s="323"/>
      <c r="AT187" s="323"/>
      <c r="AU187" s="323"/>
      <c r="AV187" s="323"/>
      <c r="AW187" s="323"/>
      <c r="AX187" s="323"/>
      <c r="AY187" s="323"/>
      <c r="AZ187" s="351"/>
      <c r="BA187" s="326"/>
      <c r="BB187" s="326"/>
      <c r="BC187" s="326"/>
      <c r="BD187" s="326"/>
      <c r="BE187" s="326"/>
      <c r="BF187" s="351"/>
      <c r="BG187" s="332"/>
      <c r="BH187" s="332"/>
      <c r="BI187" s="332"/>
      <c r="BJ187" s="332"/>
      <c r="BK187" s="332"/>
      <c r="BL187" s="332"/>
      <c r="BM187" s="332"/>
      <c r="BN187" s="251"/>
      <c r="BO187" s="340"/>
      <c r="BP187" s="337"/>
      <c r="BQ187" s="340"/>
      <c r="BR187" s="340"/>
      <c r="BS187" s="340"/>
      <c r="BT187" s="340"/>
      <c r="BU187" s="340"/>
      <c r="BV187" s="340"/>
      <c r="BW187" s="340"/>
      <c r="BX187" s="251"/>
      <c r="BY187" s="345"/>
      <c r="BZ187" s="345"/>
      <c r="CA187" s="345"/>
      <c r="CB187" s="346"/>
      <c r="CC187" s="345"/>
      <c r="CD187" s="345"/>
      <c r="CE187" s="345"/>
      <c r="CF187" s="345"/>
      <c r="CG187" s="345"/>
      <c r="CH187" s="345"/>
      <c r="CI187" s="345"/>
      <c r="CJ187" s="346"/>
      <c r="CK187" s="346"/>
    </row>
    <row r="188">
      <c r="A188" s="821"/>
      <c r="B188" s="241" t="s">
        <v>155</v>
      </c>
      <c r="C188" s="237" t="s">
        <v>155</v>
      </c>
      <c r="D188" s="238" t="s">
        <v>155</v>
      </c>
      <c r="E188" s="239" t="s">
        <v>155</v>
      </c>
      <c r="F188" s="240" t="s">
        <v>155</v>
      </c>
      <c r="G188" s="241" t="s">
        <v>155</v>
      </c>
      <c r="H188" s="308"/>
      <c r="I188" s="308"/>
      <c r="J188" s="308"/>
      <c r="K188" s="308"/>
      <c r="L188" s="308"/>
      <c r="M188" s="308"/>
      <c r="N188" s="308"/>
      <c r="O188" s="308"/>
      <c r="P188" s="251"/>
      <c r="Q188" s="353"/>
      <c r="R188" s="353"/>
      <c r="S188" s="353"/>
      <c r="T188" s="353"/>
      <c r="U188" s="353"/>
      <c r="V188" s="353"/>
      <c r="W188" s="251"/>
      <c r="X188" s="318"/>
      <c r="Y188" s="318"/>
      <c r="Z188" s="318"/>
      <c r="AA188" s="617"/>
      <c r="AB188" s="318"/>
      <c r="AC188" s="318"/>
      <c r="AD188" s="318"/>
      <c r="AE188" s="318"/>
      <c r="AF188" s="318"/>
      <c r="AG188" s="318"/>
      <c r="AH188" s="267"/>
      <c r="AI188" s="251"/>
      <c r="AJ188" s="323"/>
      <c r="AK188" s="323"/>
      <c r="AL188" s="323"/>
      <c r="AM188" s="323"/>
      <c r="AN188" s="323"/>
      <c r="AO188" s="323"/>
      <c r="AP188" s="323"/>
      <c r="AQ188" s="323"/>
      <c r="AR188" s="323"/>
      <c r="AS188" s="323"/>
      <c r="AT188" s="323"/>
      <c r="AU188" s="323"/>
      <c r="AV188" s="323"/>
      <c r="AW188" s="323"/>
      <c r="AX188" s="323"/>
      <c r="AY188" s="323"/>
      <c r="AZ188" s="351"/>
      <c r="BA188" s="326"/>
      <c r="BB188" s="326"/>
      <c r="BC188" s="326"/>
      <c r="BD188" s="326"/>
      <c r="BE188" s="326"/>
      <c r="BF188" s="351"/>
      <c r="BG188" s="332"/>
      <c r="BH188" s="332"/>
      <c r="BI188" s="332"/>
      <c r="BJ188" s="332"/>
      <c r="BK188" s="332"/>
      <c r="BL188" s="332"/>
      <c r="BM188" s="332"/>
      <c r="BN188" s="251"/>
      <c r="BO188" s="340"/>
      <c r="BP188" s="337"/>
      <c r="BQ188" s="340"/>
      <c r="BR188" s="340"/>
      <c r="BS188" s="340"/>
      <c r="BT188" s="340"/>
      <c r="BU188" s="340"/>
      <c r="BV188" s="340"/>
      <c r="BW188" s="340"/>
      <c r="BX188" s="251"/>
      <c r="BY188" s="345"/>
      <c r="BZ188" s="345"/>
      <c r="CA188" s="345"/>
      <c r="CB188" s="346"/>
      <c r="CC188" s="345"/>
      <c r="CD188" s="345"/>
      <c r="CE188" s="345"/>
      <c r="CF188" s="345"/>
      <c r="CG188" s="345"/>
      <c r="CH188" s="345"/>
      <c r="CI188" s="345"/>
      <c r="CJ188" s="346"/>
      <c r="CK188" s="346"/>
    </row>
    <row r="189">
      <c r="A189" s="821"/>
      <c r="B189" s="241" t="s">
        <v>155</v>
      </c>
      <c r="C189" s="237" t="s">
        <v>155</v>
      </c>
      <c r="D189" s="238" t="s">
        <v>155</v>
      </c>
      <c r="E189" s="239" t="s">
        <v>155</v>
      </c>
      <c r="F189" s="240" t="s">
        <v>155</v>
      </c>
      <c r="G189" s="241" t="s">
        <v>155</v>
      </c>
      <c r="H189" s="308"/>
      <c r="I189" s="308"/>
      <c r="J189" s="308"/>
      <c r="K189" s="308"/>
      <c r="L189" s="308"/>
      <c r="M189" s="308"/>
      <c r="N189" s="308"/>
      <c r="O189" s="308"/>
      <c r="P189" s="251"/>
      <c r="Q189" s="353"/>
      <c r="R189" s="353"/>
      <c r="S189" s="353"/>
      <c r="T189" s="353"/>
      <c r="U189" s="353"/>
      <c r="V189" s="353"/>
      <c r="W189" s="251"/>
      <c r="X189" s="318"/>
      <c r="Y189" s="318"/>
      <c r="Z189" s="318"/>
      <c r="AA189" s="617"/>
      <c r="AB189" s="318"/>
      <c r="AC189" s="318"/>
      <c r="AD189" s="318"/>
      <c r="AE189" s="318"/>
      <c r="AF189" s="318"/>
      <c r="AG189" s="318"/>
      <c r="AH189" s="267"/>
      <c r="AI189" s="251"/>
      <c r="AJ189" s="323"/>
      <c r="AK189" s="323"/>
      <c r="AL189" s="323"/>
      <c r="AM189" s="323"/>
      <c r="AN189" s="323"/>
      <c r="AO189" s="323"/>
      <c r="AP189" s="323"/>
      <c r="AQ189" s="323"/>
      <c r="AR189" s="323"/>
      <c r="AS189" s="323"/>
      <c r="AT189" s="323"/>
      <c r="AU189" s="323"/>
      <c r="AV189" s="323"/>
      <c r="AW189" s="323"/>
      <c r="AX189" s="323"/>
      <c r="AY189" s="323"/>
      <c r="AZ189" s="351"/>
      <c r="BA189" s="326"/>
      <c r="BB189" s="326"/>
      <c r="BC189" s="326"/>
      <c r="BD189" s="326"/>
      <c r="BE189" s="326"/>
      <c r="BF189" s="351"/>
      <c r="BG189" s="332"/>
      <c r="BH189" s="332"/>
      <c r="BI189" s="332"/>
      <c r="BJ189" s="332"/>
      <c r="BK189" s="332"/>
      <c r="BL189" s="332"/>
      <c r="BM189" s="332"/>
      <c r="BN189" s="251"/>
      <c r="BO189" s="340"/>
      <c r="BP189" s="337"/>
      <c r="BQ189" s="340"/>
      <c r="BR189" s="340"/>
      <c r="BS189" s="340"/>
      <c r="BT189" s="340"/>
      <c r="BU189" s="340"/>
      <c r="BV189" s="340"/>
      <c r="BW189" s="340"/>
      <c r="BX189" s="251"/>
      <c r="BY189" s="345"/>
      <c r="BZ189" s="345"/>
      <c r="CA189" s="345"/>
      <c r="CB189" s="346"/>
      <c r="CC189" s="345"/>
      <c r="CD189" s="345"/>
      <c r="CE189" s="345"/>
      <c r="CF189" s="345"/>
      <c r="CG189" s="345"/>
      <c r="CH189" s="345"/>
      <c r="CI189" s="345"/>
      <c r="CJ189" s="346"/>
      <c r="CK189" s="346"/>
    </row>
    <row r="190">
      <c r="A190" s="821"/>
      <c r="B190" s="241" t="s">
        <v>155</v>
      </c>
      <c r="C190" s="237" t="s">
        <v>155</v>
      </c>
      <c r="D190" s="238" t="s">
        <v>155</v>
      </c>
      <c r="E190" s="239" t="s">
        <v>155</v>
      </c>
      <c r="F190" s="240" t="s">
        <v>155</v>
      </c>
      <c r="G190" s="241" t="s">
        <v>155</v>
      </c>
      <c r="H190" s="308"/>
      <c r="I190" s="308"/>
      <c r="J190" s="308"/>
      <c r="K190" s="308"/>
      <c r="L190" s="308"/>
      <c r="M190" s="308"/>
      <c r="N190" s="308"/>
      <c r="O190" s="308"/>
      <c r="P190" s="251"/>
      <c r="Q190" s="353"/>
      <c r="R190" s="353"/>
      <c r="S190" s="353"/>
      <c r="T190" s="353"/>
      <c r="U190" s="353"/>
      <c r="V190" s="353"/>
      <c r="W190" s="251"/>
      <c r="X190" s="318"/>
      <c r="Y190" s="318"/>
      <c r="Z190" s="318"/>
      <c r="AA190" s="617"/>
      <c r="AB190" s="318"/>
      <c r="AC190" s="318"/>
      <c r="AD190" s="318"/>
      <c r="AE190" s="318"/>
      <c r="AF190" s="318"/>
      <c r="AG190" s="318"/>
      <c r="AH190" s="267"/>
      <c r="AI190" s="251"/>
      <c r="AJ190" s="323"/>
      <c r="AK190" s="323"/>
      <c r="AL190" s="323"/>
      <c r="AM190" s="323"/>
      <c r="AN190" s="323"/>
      <c r="AO190" s="323"/>
      <c r="AP190" s="323"/>
      <c r="AQ190" s="323"/>
      <c r="AR190" s="323"/>
      <c r="AS190" s="323"/>
      <c r="AT190" s="323"/>
      <c r="AU190" s="323"/>
      <c r="AV190" s="323"/>
      <c r="AW190" s="323"/>
      <c r="AX190" s="323"/>
      <c r="AY190" s="323"/>
      <c r="AZ190" s="351"/>
      <c r="BA190" s="326"/>
      <c r="BB190" s="326"/>
      <c r="BC190" s="326"/>
      <c r="BD190" s="326"/>
      <c r="BE190" s="326"/>
      <c r="BF190" s="351"/>
      <c r="BG190" s="332"/>
      <c r="BH190" s="332"/>
      <c r="BI190" s="332"/>
      <c r="BJ190" s="332"/>
      <c r="BK190" s="332"/>
      <c r="BL190" s="332"/>
      <c r="BM190" s="332"/>
      <c r="BN190" s="251"/>
      <c r="BO190" s="340"/>
      <c r="BP190" s="337"/>
      <c r="BQ190" s="340"/>
      <c r="BR190" s="340"/>
      <c r="BS190" s="340"/>
      <c r="BT190" s="340"/>
      <c r="BU190" s="340"/>
      <c r="BV190" s="340"/>
      <c r="BW190" s="340"/>
      <c r="BX190" s="251"/>
      <c r="BY190" s="345"/>
      <c r="BZ190" s="345"/>
      <c r="CA190" s="345"/>
      <c r="CB190" s="346"/>
      <c r="CC190" s="345"/>
      <c r="CD190" s="345"/>
      <c r="CE190" s="345"/>
      <c r="CF190" s="345"/>
      <c r="CG190" s="345"/>
      <c r="CH190" s="345"/>
      <c r="CI190" s="345"/>
      <c r="CJ190" s="346"/>
      <c r="CK190" s="346"/>
    </row>
    <row r="191">
      <c r="A191" s="821"/>
      <c r="B191" s="241" t="s">
        <v>155</v>
      </c>
      <c r="C191" s="237" t="s">
        <v>155</v>
      </c>
      <c r="D191" s="238" t="s">
        <v>155</v>
      </c>
      <c r="E191" s="239" t="s">
        <v>155</v>
      </c>
      <c r="F191" s="240" t="s">
        <v>155</v>
      </c>
      <c r="G191" s="241" t="s">
        <v>155</v>
      </c>
      <c r="H191" s="308"/>
      <c r="I191" s="308"/>
      <c r="J191" s="308"/>
      <c r="K191" s="308"/>
      <c r="L191" s="308"/>
      <c r="M191" s="308"/>
      <c r="N191" s="308"/>
      <c r="O191" s="308"/>
      <c r="P191" s="251"/>
      <c r="Q191" s="353"/>
      <c r="R191" s="353"/>
      <c r="S191" s="353"/>
      <c r="T191" s="353"/>
      <c r="U191" s="353"/>
      <c r="V191" s="353"/>
      <c r="W191" s="251"/>
      <c r="X191" s="318"/>
      <c r="Y191" s="318"/>
      <c r="Z191" s="318"/>
      <c r="AA191" s="617"/>
      <c r="AB191" s="318"/>
      <c r="AC191" s="318"/>
      <c r="AD191" s="318"/>
      <c r="AE191" s="318"/>
      <c r="AF191" s="318"/>
      <c r="AG191" s="318"/>
      <c r="AH191" s="267"/>
      <c r="AI191" s="251"/>
      <c r="AJ191" s="323"/>
      <c r="AK191" s="323"/>
      <c r="AL191" s="323"/>
      <c r="AM191" s="323"/>
      <c r="AN191" s="323"/>
      <c r="AO191" s="323"/>
      <c r="AP191" s="323"/>
      <c r="AQ191" s="323"/>
      <c r="AR191" s="323"/>
      <c r="AS191" s="323"/>
      <c r="AT191" s="323"/>
      <c r="AU191" s="323"/>
      <c r="AV191" s="323"/>
      <c r="AW191" s="323"/>
      <c r="AX191" s="323"/>
      <c r="AY191" s="323"/>
      <c r="AZ191" s="351"/>
      <c r="BA191" s="326"/>
      <c r="BB191" s="326"/>
      <c r="BC191" s="326"/>
      <c r="BD191" s="326"/>
      <c r="BE191" s="326"/>
      <c r="BF191" s="351"/>
      <c r="BG191" s="332"/>
      <c r="BH191" s="332"/>
      <c r="BI191" s="332"/>
      <c r="BJ191" s="332"/>
      <c r="BK191" s="332"/>
      <c r="BL191" s="332"/>
      <c r="BM191" s="332"/>
      <c r="BN191" s="251"/>
      <c r="BO191" s="340"/>
      <c r="BP191" s="337"/>
      <c r="BQ191" s="340"/>
      <c r="BR191" s="340"/>
      <c r="BS191" s="340"/>
      <c r="BT191" s="340"/>
      <c r="BU191" s="340"/>
      <c r="BV191" s="340"/>
      <c r="BW191" s="340"/>
      <c r="BX191" s="251"/>
      <c r="BY191" s="345"/>
      <c r="BZ191" s="345"/>
      <c r="CA191" s="345"/>
      <c r="CB191" s="346"/>
      <c r="CC191" s="345"/>
      <c r="CD191" s="345"/>
      <c r="CE191" s="345"/>
      <c r="CF191" s="345"/>
      <c r="CG191" s="345"/>
      <c r="CH191" s="345"/>
      <c r="CI191" s="345"/>
      <c r="CJ191" s="346"/>
      <c r="CK191" s="346"/>
    </row>
    <row r="192">
      <c r="A192" s="821"/>
      <c r="B192" s="241" t="s">
        <v>155</v>
      </c>
      <c r="C192" s="237" t="s">
        <v>155</v>
      </c>
      <c r="D192" s="238" t="s">
        <v>155</v>
      </c>
      <c r="E192" s="239" t="s">
        <v>155</v>
      </c>
      <c r="F192" s="240" t="s">
        <v>155</v>
      </c>
      <c r="G192" s="241" t="s">
        <v>155</v>
      </c>
      <c r="H192" s="308"/>
      <c r="I192" s="308"/>
      <c r="J192" s="308"/>
      <c r="K192" s="308"/>
      <c r="L192" s="308"/>
      <c r="M192" s="308"/>
      <c r="N192" s="308"/>
      <c r="O192" s="308"/>
      <c r="P192" s="251"/>
      <c r="Q192" s="353"/>
      <c r="R192" s="353"/>
      <c r="S192" s="353"/>
      <c r="T192" s="353"/>
      <c r="U192" s="353"/>
      <c r="V192" s="353"/>
      <c r="W192" s="251"/>
      <c r="X192" s="318"/>
      <c r="Y192" s="318"/>
      <c r="Z192" s="318"/>
      <c r="AA192" s="617"/>
      <c r="AB192" s="318"/>
      <c r="AC192" s="318"/>
      <c r="AD192" s="318"/>
      <c r="AE192" s="318"/>
      <c r="AF192" s="318"/>
      <c r="AG192" s="318"/>
      <c r="AH192" s="267"/>
      <c r="AI192" s="251"/>
      <c r="AJ192" s="323"/>
      <c r="AK192" s="323"/>
      <c r="AL192" s="323"/>
      <c r="AM192" s="323"/>
      <c r="AN192" s="323"/>
      <c r="AO192" s="323"/>
      <c r="AP192" s="323"/>
      <c r="AQ192" s="323"/>
      <c r="AR192" s="323"/>
      <c r="AS192" s="323"/>
      <c r="AT192" s="323"/>
      <c r="AU192" s="323"/>
      <c r="AV192" s="323"/>
      <c r="AW192" s="323"/>
      <c r="AX192" s="323"/>
      <c r="AY192" s="323"/>
      <c r="AZ192" s="351"/>
      <c r="BA192" s="326"/>
      <c r="BB192" s="326"/>
      <c r="BC192" s="326"/>
      <c r="BD192" s="326"/>
      <c r="BE192" s="326"/>
      <c r="BF192" s="351"/>
      <c r="BG192" s="332"/>
      <c r="BH192" s="332"/>
      <c r="BI192" s="332"/>
      <c r="BJ192" s="332"/>
      <c r="BK192" s="332"/>
      <c r="BL192" s="332"/>
      <c r="BM192" s="332"/>
      <c r="BN192" s="251"/>
      <c r="BO192" s="340"/>
      <c r="BP192" s="337"/>
      <c r="BQ192" s="340"/>
      <c r="BR192" s="340"/>
      <c r="BS192" s="340"/>
      <c r="BT192" s="340"/>
      <c r="BU192" s="340"/>
      <c r="BV192" s="340"/>
      <c r="BW192" s="340"/>
      <c r="BX192" s="251"/>
      <c r="BY192" s="345"/>
      <c r="BZ192" s="345"/>
      <c r="CA192" s="345"/>
      <c r="CB192" s="346"/>
      <c r="CC192" s="345"/>
      <c r="CD192" s="345"/>
      <c r="CE192" s="345"/>
      <c r="CF192" s="345"/>
      <c r="CG192" s="345"/>
      <c r="CH192" s="345"/>
      <c r="CI192" s="345"/>
      <c r="CJ192" s="346"/>
      <c r="CK192" s="346"/>
    </row>
    <row r="193">
      <c r="A193" s="821"/>
      <c r="B193" s="241" t="s">
        <v>155</v>
      </c>
      <c r="C193" s="237" t="s">
        <v>155</v>
      </c>
      <c r="D193" s="238" t="s">
        <v>155</v>
      </c>
      <c r="E193" s="239" t="s">
        <v>155</v>
      </c>
      <c r="F193" s="240" t="s">
        <v>155</v>
      </c>
      <c r="G193" s="241" t="s">
        <v>155</v>
      </c>
      <c r="H193" s="308"/>
      <c r="I193" s="308"/>
      <c r="J193" s="308"/>
      <c r="K193" s="308"/>
      <c r="L193" s="308"/>
      <c r="M193" s="308"/>
      <c r="N193" s="308"/>
      <c r="O193" s="308"/>
      <c r="P193" s="251"/>
      <c r="Q193" s="353"/>
      <c r="R193" s="353"/>
      <c r="S193" s="353"/>
      <c r="T193" s="353"/>
      <c r="U193" s="353"/>
      <c r="V193" s="353"/>
      <c r="W193" s="251"/>
      <c r="X193" s="318"/>
      <c r="Y193" s="318"/>
      <c r="Z193" s="318"/>
      <c r="AA193" s="617"/>
      <c r="AB193" s="318"/>
      <c r="AC193" s="318"/>
      <c r="AD193" s="318"/>
      <c r="AE193" s="318"/>
      <c r="AF193" s="318"/>
      <c r="AG193" s="318"/>
      <c r="AH193" s="267"/>
      <c r="AI193" s="251"/>
      <c r="AJ193" s="323"/>
      <c r="AK193" s="323"/>
      <c r="AL193" s="323"/>
      <c r="AM193" s="323"/>
      <c r="AN193" s="323"/>
      <c r="AO193" s="323"/>
      <c r="AP193" s="323"/>
      <c r="AQ193" s="323"/>
      <c r="AR193" s="323"/>
      <c r="AS193" s="323"/>
      <c r="AT193" s="323"/>
      <c r="AU193" s="323"/>
      <c r="AV193" s="323"/>
      <c r="AW193" s="323"/>
      <c r="AX193" s="323"/>
      <c r="AY193" s="323"/>
      <c r="AZ193" s="351"/>
      <c r="BA193" s="326"/>
      <c r="BB193" s="326"/>
      <c r="BC193" s="326"/>
      <c r="BD193" s="326"/>
      <c r="BE193" s="326"/>
      <c r="BF193" s="351"/>
      <c r="BG193" s="332"/>
      <c r="BH193" s="332"/>
      <c r="BI193" s="332"/>
      <c r="BJ193" s="332"/>
      <c r="BK193" s="332"/>
      <c r="BL193" s="332"/>
      <c r="BM193" s="332"/>
      <c r="BN193" s="251"/>
      <c r="BO193" s="340"/>
      <c r="BP193" s="337"/>
      <c r="BQ193" s="340"/>
      <c r="BR193" s="340"/>
      <c r="BS193" s="340"/>
      <c r="BT193" s="340"/>
      <c r="BU193" s="340"/>
      <c r="BV193" s="340"/>
      <c r="BW193" s="340"/>
      <c r="BX193" s="251"/>
      <c r="BY193" s="345"/>
      <c r="BZ193" s="345"/>
      <c r="CA193" s="345"/>
      <c r="CB193" s="346"/>
      <c r="CC193" s="345"/>
      <c r="CD193" s="345"/>
      <c r="CE193" s="345"/>
      <c r="CF193" s="345"/>
      <c r="CG193" s="345"/>
      <c r="CH193" s="345"/>
      <c r="CI193" s="345"/>
      <c r="CJ193" s="346"/>
      <c r="CK193" s="346"/>
    </row>
    <row r="194">
      <c r="A194" s="821"/>
      <c r="B194" s="241" t="s">
        <v>155</v>
      </c>
      <c r="C194" s="237" t="s">
        <v>155</v>
      </c>
      <c r="D194" s="238" t="s">
        <v>155</v>
      </c>
      <c r="E194" s="239" t="s">
        <v>155</v>
      </c>
      <c r="F194" s="240" t="s">
        <v>155</v>
      </c>
      <c r="G194" s="241" t="s">
        <v>155</v>
      </c>
      <c r="H194" s="308"/>
      <c r="I194" s="308"/>
      <c r="J194" s="308"/>
      <c r="K194" s="308"/>
      <c r="L194" s="308"/>
      <c r="M194" s="308"/>
      <c r="N194" s="308"/>
      <c r="O194" s="308"/>
      <c r="P194" s="251"/>
      <c r="Q194" s="353"/>
      <c r="R194" s="353"/>
      <c r="S194" s="353"/>
      <c r="T194" s="353"/>
      <c r="U194" s="353"/>
      <c r="V194" s="353"/>
      <c r="W194" s="251"/>
      <c r="X194" s="318"/>
      <c r="Y194" s="318"/>
      <c r="Z194" s="318"/>
      <c r="AA194" s="617"/>
      <c r="AB194" s="318"/>
      <c r="AC194" s="318"/>
      <c r="AD194" s="318"/>
      <c r="AE194" s="318"/>
      <c r="AF194" s="318"/>
      <c r="AG194" s="318"/>
      <c r="AH194" s="267"/>
      <c r="AI194" s="251"/>
      <c r="AJ194" s="323"/>
      <c r="AK194" s="323"/>
      <c r="AL194" s="323"/>
      <c r="AM194" s="323"/>
      <c r="AN194" s="323"/>
      <c r="AO194" s="323"/>
      <c r="AP194" s="323"/>
      <c r="AQ194" s="323"/>
      <c r="AR194" s="323"/>
      <c r="AS194" s="323"/>
      <c r="AT194" s="323"/>
      <c r="AU194" s="323"/>
      <c r="AV194" s="323"/>
      <c r="AW194" s="323"/>
      <c r="AX194" s="323"/>
      <c r="AY194" s="323"/>
      <c r="AZ194" s="351"/>
      <c r="BA194" s="326"/>
      <c r="BB194" s="326"/>
      <c r="BC194" s="326"/>
      <c r="BD194" s="326"/>
      <c r="BE194" s="326"/>
      <c r="BF194" s="351"/>
      <c r="BG194" s="332"/>
      <c r="BH194" s="332"/>
      <c r="BI194" s="332"/>
      <c r="BJ194" s="332"/>
      <c r="BK194" s="332"/>
      <c r="BL194" s="332"/>
      <c r="BM194" s="332"/>
      <c r="BN194" s="251"/>
      <c r="BO194" s="340"/>
      <c r="BP194" s="337"/>
      <c r="BQ194" s="340"/>
      <c r="BR194" s="340"/>
      <c r="BS194" s="340"/>
      <c r="BT194" s="340"/>
      <c r="BU194" s="340"/>
      <c r="BV194" s="340"/>
      <c r="BW194" s="340"/>
      <c r="BX194" s="251"/>
      <c r="BY194" s="345"/>
      <c r="BZ194" s="345"/>
      <c r="CA194" s="345"/>
      <c r="CB194" s="346"/>
      <c r="CC194" s="345"/>
      <c r="CD194" s="345"/>
      <c r="CE194" s="345"/>
      <c r="CF194" s="345"/>
      <c r="CG194" s="345"/>
      <c r="CH194" s="345"/>
      <c r="CI194" s="345"/>
      <c r="CJ194" s="346"/>
      <c r="CK194" s="346"/>
    </row>
    <row r="195">
      <c r="A195" s="821"/>
      <c r="B195" s="241" t="s">
        <v>155</v>
      </c>
      <c r="C195" s="237" t="s">
        <v>155</v>
      </c>
      <c r="D195" s="238" t="s">
        <v>155</v>
      </c>
      <c r="E195" s="239" t="s">
        <v>155</v>
      </c>
      <c r="F195" s="240" t="s">
        <v>155</v>
      </c>
      <c r="G195" s="241" t="s">
        <v>155</v>
      </c>
      <c r="H195" s="308"/>
      <c r="I195" s="308"/>
      <c r="J195" s="308"/>
      <c r="K195" s="308"/>
      <c r="L195" s="308"/>
      <c r="M195" s="308"/>
      <c r="N195" s="308"/>
      <c r="O195" s="308"/>
      <c r="P195" s="251"/>
      <c r="Q195" s="353"/>
      <c r="R195" s="353"/>
      <c r="S195" s="353"/>
      <c r="T195" s="353"/>
      <c r="U195" s="353"/>
      <c r="V195" s="353"/>
      <c r="W195" s="251"/>
      <c r="X195" s="318"/>
      <c r="Y195" s="318"/>
      <c r="Z195" s="318"/>
      <c r="AA195" s="617"/>
      <c r="AB195" s="318"/>
      <c r="AC195" s="318"/>
      <c r="AD195" s="318"/>
      <c r="AE195" s="318"/>
      <c r="AF195" s="318"/>
      <c r="AG195" s="318"/>
      <c r="AH195" s="267"/>
      <c r="AI195" s="251"/>
      <c r="AJ195" s="323"/>
      <c r="AK195" s="323"/>
      <c r="AL195" s="323"/>
      <c r="AM195" s="323"/>
      <c r="AN195" s="323"/>
      <c r="AO195" s="323"/>
      <c r="AP195" s="323"/>
      <c r="AQ195" s="323"/>
      <c r="AR195" s="323"/>
      <c r="AS195" s="323"/>
      <c r="AT195" s="323"/>
      <c r="AU195" s="323"/>
      <c r="AV195" s="323"/>
      <c r="AW195" s="323"/>
      <c r="AX195" s="323"/>
      <c r="AY195" s="323"/>
      <c r="AZ195" s="351"/>
      <c r="BA195" s="326"/>
      <c r="BB195" s="326"/>
      <c r="BC195" s="326"/>
      <c r="BD195" s="326"/>
      <c r="BE195" s="326"/>
      <c r="BF195" s="351"/>
      <c r="BG195" s="332"/>
      <c r="BH195" s="332"/>
      <c r="BI195" s="332"/>
      <c r="BJ195" s="332"/>
      <c r="BK195" s="332"/>
      <c r="BL195" s="332"/>
      <c r="BM195" s="332"/>
      <c r="BN195" s="251"/>
      <c r="BO195" s="340"/>
      <c r="BP195" s="337"/>
      <c r="BQ195" s="340"/>
      <c r="BR195" s="340"/>
      <c r="BS195" s="340"/>
      <c r="BT195" s="340"/>
      <c r="BU195" s="340"/>
      <c r="BV195" s="340"/>
      <c r="BW195" s="340"/>
      <c r="BX195" s="251"/>
      <c r="BY195" s="345"/>
      <c r="BZ195" s="345"/>
      <c r="CA195" s="345"/>
      <c r="CB195" s="346"/>
      <c r="CC195" s="345"/>
      <c r="CD195" s="345"/>
      <c r="CE195" s="345"/>
      <c r="CF195" s="345"/>
      <c r="CG195" s="345"/>
      <c r="CH195" s="345"/>
      <c r="CI195" s="345"/>
      <c r="CJ195" s="346"/>
      <c r="CK195" s="346"/>
    </row>
    <row r="196">
      <c r="A196" s="821"/>
      <c r="B196" s="241" t="s">
        <v>155</v>
      </c>
      <c r="C196" s="237" t="s">
        <v>155</v>
      </c>
      <c r="D196" s="238" t="s">
        <v>155</v>
      </c>
      <c r="E196" s="239" t="s">
        <v>155</v>
      </c>
      <c r="F196" s="240" t="s">
        <v>155</v>
      </c>
      <c r="G196" s="241" t="s">
        <v>155</v>
      </c>
      <c r="H196" s="308"/>
      <c r="I196" s="308"/>
      <c r="J196" s="308"/>
      <c r="K196" s="308"/>
      <c r="L196" s="308"/>
      <c r="M196" s="308"/>
      <c r="N196" s="308"/>
      <c r="O196" s="308"/>
      <c r="P196" s="251"/>
      <c r="Q196" s="353"/>
      <c r="R196" s="353"/>
      <c r="S196" s="353"/>
      <c r="T196" s="353"/>
      <c r="U196" s="353"/>
      <c r="V196" s="353"/>
      <c r="W196" s="251"/>
      <c r="X196" s="318"/>
      <c r="Y196" s="318"/>
      <c r="Z196" s="318"/>
      <c r="AA196" s="617"/>
      <c r="AB196" s="318"/>
      <c r="AC196" s="318"/>
      <c r="AD196" s="318"/>
      <c r="AE196" s="318"/>
      <c r="AF196" s="318"/>
      <c r="AG196" s="318"/>
      <c r="AH196" s="267"/>
      <c r="AI196" s="251"/>
      <c r="AJ196" s="323"/>
      <c r="AK196" s="323"/>
      <c r="AL196" s="323"/>
      <c r="AM196" s="323"/>
      <c r="AN196" s="323"/>
      <c r="AO196" s="323"/>
      <c r="AP196" s="323"/>
      <c r="AQ196" s="323"/>
      <c r="AR196" s="323"/>
      <c r="AS196" s="323"/>
      <c r="AT196" s="323"/>
      <c r="AU196" s="323"/>
      <c r="AV196" s="323"/>
      <c r="AW196" s="323"/>
      <c r="AX196" s="323"/>
      <c r="AY196" s="323"/>
      <c r="AZ196" s="351"/>
      <c r="BA196" s="326"/>
      <c r="BB196" s="326"/>
      <c r="BC196" s="326"/>
      <c r="BD196" s="326"/>
      <c r="BE196" s="326"/>
      <c r="BF196" s="351"/>
      <c r="BG196" s="332"/>
      <c r="BH196" s="332"/>
      <c r="BI196" s="332"/>
      <c r="BJ196" s="332"/>
      <c r="BK196" s="332"/>
      <c r="BL196" s="332"/>
      <c r="BM196" s="332"/>
      <c r="BN196" s="251"/>
      <c r="BO196" s="340"/>
      <c r="BP196" s="337"/>
      <c r="BQ196" s="340"/>
      <c r="BR196" s="340"/>
      <c r="BS196" s="340"/>
      <c r="BT196" s="340"/>
      <c r="BU196" s="340"/>
      <c r="BV196" s="340"/>
      <c r="BW196" s="340"/>
      <c r="BX196" s="251"/>
      <c r="BY196" s="345"/>
      <c r="BZ196" s="345"/>
      <c r="CA196" s="345"/>
      <c r="CB196" s="346"/>
      <c r="CC196" s="345"/>
      <c r="CD196" s="345"/>
      <c r="CE196" s="345"/>
      <c r="CF196" s="345"/>
      <c r="CG196" s="345"/>
      <c r="CH196" s="345"/>
      <c r="CI196" s="345"/>
      <c r="CJ196" s="346"/>
      <c r="CK196" s="346"/>
    </row>
    <row r="197">
      <c r="A197" s="821"/>
      <c r="B197" s="241" t="s">
        <v>155</v>
      </c>
      <c r="C197" s="237" t="s">
        <v>155</v>
      </c>
      <c r="D197" s="238" t="s">
        <v>155</v>
      </c>
      <c r="E197" s="239" t="s">
        <v>155</v>
      </c>
      <c r="F197" s="240" t="s">
        <v>155</v>
      </c>
      <c r="G197" s="241" t="s">
        <v>155</v>
      </c>
      <c r="H197" s="308"/>
      <c r="I197" s="308"/>
      <c r="J197" s="308"/>
      <c r="K197" s="308"/>
      <c r="L197" s="308"/>
      <c r="M197" s="308"/>
      <c r="N197" s="308"/>
      <c r="O197" s="308"/>
      <c r="P197" s="251"/>
      <c r="Q197" s="353"/>
      <c r="R197" s="353"/>
      <c r="S197" s="353"/>
      <c r="T197" s="353"/>
      <c r="U197" s="353"/>
      <c r="V197" s="353"/>
      <c r="W197" s="251"/>
      <c r="X197" s="318"/>
      <c r="Y197" s="318"/>
      <c r="Z197" s="318"/>
      <c r="AA197" s="617"/>
      <c r="AB197" s="318"/>
      <c r="AC197" s="318"/>
      <c r="AD197" s="318"/>
      <c r="AE197" s="318"/>
      <c r="AF197" s="318"/>
      <c r="AG197" s="318"/>
      <c r="AH197" s="267"/>
      <c r="AI197" s="251"/>
      <c r="AJ197" s="323"/>
      <c r="AK197" s="323"/>
      <c r="AL197" s="323"/>
      <c r="AM197" s="323"/>
      <c r="AN197" s="323"/>
      <c r="AO197" s="323"/>
      <c r="AP197" s="323"/>
      <c r="AQ197" s="323"/>
      <c r="AR197" s="323"/>
      <c r="AS197" s="323"/>
      <c r="AT197" s="323"/>
      <c r="AU197" s="323"/>
      <c r="AV197" s="323"/>
      <c r="AW197" s="323"/>
      <c r="AX197" s="323"/>
      <c r="AY197" s="323"/>
      <c r="AZ197" s="351"/>
      <c r="BA197" s="326"/>
      <c r="BB197" s="326"/>
      <c r="BC197" s="326"/>
      <c r="BD197" s="326"/>
      <c r="BE197" s="326"/>
      <c r="BF197" s="351"/>
      <c r="BG197" s="332"/>
      <c r="BH197" s="332"/>
      <c r="BI197" s="332"/>
      <c r="BJ197" s="332"/>
      <c r="BK197" s="332"/>
      <c r="BL197" s="332"/>
      <c r="BM197" s="332"/>
      <c r="BN197" s="251"/>
      <c r="BO197" s="340"/>
      <c r="BP197" s="337"/>
      <c r="BQ197" s="340"/>
      <c r="BR197" s="340"/>
      <c r="BS197" s="340"/>
      <c r="BT197" s="340"/>
      <c r="BU197" s="340"/>
      <c r="BV197" s="340"/>
      <c r="BW197" s="340"/>
      <c r="BX197" s="251"/>
      <c r="BY197" s="345"/>
      <c r="BZ197" s="345"/>
      <c r="CA197" s="345"/>
      <c r="CB197" s="346"/>
      <c r="CC197" s="345"/>
      <c r="CD197" s="345"/>
      <c r="CE197" s="345"/>
      <c r="CF197" s="345"/>
      <c r="CG197" s="345"/>
      <c r="CH197" s="345"/>
      <c r="CI197" s="345"/>
      <c r="CJ197" s="346"/>
      <c r="CK197" s="346"/>
    </row>
    <row r="198">
      <c r="A198" s="821"/>
      <c r="B198" s="241" t="s">
        <v>155</v>
      </c>
      <c r="C198" s="237" t="s">
        <v>155</v>
      </c>
      <c r="D198" s="238" t="s">
        <v>155</v>
      </c>
      <c r="E198" s="239" t="s">
        <v>155</v>
      </c>
      <c r="F198" s="240" t="s">
        <v>155</v>
      </c>
      <c r="G198" s="241" t="s">
        <v>155</v>
      </c>
      <c r="H198" s="308"/>
      <c r="I198" s="308"/>
      <c r="J198" s="308"/>
      <c r="K198" s="308"/>
      <c r="L198" s="308"/>
      <c r="M198" s="308"/>
      <c r="N198" s="308"/>
      <c r="O198" s="308"/>
      <c r="P198" s="251"/>
      <c r="Q198" s="353"/>
      <c r="R198" s="353"/>
      <c r="S198" s="353"/>
      <c r="T198" s="353"/>
      <c r="U198" s="353"/>
      <c r="V198" s="353"/>
      <c r="W198" s="251"/>
      <c r="X198" s="318"/>
      <c r="Y198" s="318"/>
      <c r="Z198" s="318"/>
      <c r="AA198" s="617"/>
      <c r="AB198" s="318"/>
      <c r="AC198" s="318"/>
      <c r="AD198" s="318"/>
      <c r="AE198" s="318"/>
      <c r="AF198" s="318"/>
      <c r="AG198" s="318"/>
      <c r="AH198" s="267"/>
      <c r="AI198" s="251"/>
      <c r="AJ198" s="323"/>
      <c r="AK198" s="323"/>
      <c r="AL198" s="323"/>
      <c r="AM198" s="323"/>
      <c r="AN198" s="323"/>
      <c r="AO198" s="323"/>
      <c r="AP198" s="323"/>
      <c r="AQ198" s="323"/>
      <c r="AR198" s="323"/>
      <c r="AS198" s="323"/>
      <c r="AT198" s="323"/>
      <c r="AU198" s="323"/>
      <c r="AV198" s="323"/>
      <c r="AW198" s="323"/>
      <c r="AX198" s="323"/>
      <c r="AY198" s="323"/>
      <c r="AZ198" s="351"/>
      <c r="BA198" s="326"/>
      <c r="BB198" s="326"/>
      <c r="BC198" s="326"/>
      <c r="BD198" s="326"/>
      <c r="BE198" s="326"/>
      <c r="BF198" s="351"/>
      <c r="BG198" s="332"/>
      <c r="BH198" s="332"/>
      <c r="BI198" s="332"/>
      <c r="BJ198" s="332"/>
      <c r="BK198" s="332"/>
      <c r="BL198" s="332"/>
      <c r="BM198" s="332"/>
      <c r="BN198" s="251"/>
      <c r="BO198" s="340"/>
      <c r="BP198" s="337"/>
      <c r="BQ198" s="340"/>
      <c r="BR198" s="340"/>
      <c r="BS198" s="340"/>
      <c r="BT198" s="340"/>
      <c r="BU198" s="340"/>
      <c r="BV198" s="340"/>
      <c r="BW198" s="340"/>
      <c r="BX198" s="251"/>
      <c r="BY198" s="345"/>
      <c r="BZ198" s="345"/>
      <c r="CA198" s="345"/>
      <c r="CB198" s="346"/>
      <c r="CC198" s="345"/>
      <c r="CD198" s="345"/>
      <c r="CE198" s="345"/>
      <c r="CF198" s="345"/>
      <c r="CG198" s="345"/>
      <c r="CH198" s="345"/>
      <c r="CI198" s="345"/>
      <c r="CJ198" s="346"/>
      <c r="CK198" s="346"/>
    </row>
    <row r="199">
      <c r="A199" s="821"/>
      <c r="B199" s="241" t="s">
        <v>155</v>
      </c>
      <c r="C199" s="237" t="s">
        <v>155</v>
      </c>
      <c r="D199" s="238" t="s">
        <v>155</v>
      </c>
      <c r="E199" s="239" t="s">
        <v>155</v>
      </c>
      <c r="F199" s="240" t="s">
        <v>155</v>
      </c>
      <c r="G199" s="241" t="s">
        <v>155</v>
      </c>
      <c r="H199" s="308"/>
      <c r="I199" s="308"/>
      <c r="J199" s="308"/>
      <c r="K199" s="308"/>
      <c r="L199" s="308"/>
      <c r="M199" s="308"/>
      <c r="N199" s="308"/>
      <c r="O199" s="308"/>
      <c r="P199" s="251"/>
      <c r="Q199" s="353"/>
      <c r="R199" s="353"/>
      <c r="S199" s="353"/>
      <c r="T199" s="353"/>
      <c r="U199" s="353"/>
      <c r="V199" s="353"/>
      <c r="W199" s="251"/>
      <c r="X199" s="318"/>
      <c r="Y199" s="318"/>
      <c r="Z199" s="318"/>
      <c r="AA199" s="617"/>
      <c r="AB199" s="318"/>
      <c r="AC199" s="318"/>
      <c r="AD199" s="318"/>
      <c r="AE199" s="318"/>
      <c r="AF199" s="318"/>
      <c r="AG199" s="318"/>
      <c r="AH199" s="267"/>
      <c r="AI199" s="251"/>
      <c r="AJ199" s="323"/>
      <c r="AK199" s="323"/>
      <c r="AL199" s="323"/>
      <c r="AM199" s="323"/>
      <c r="AN199" s="323"/>
      <c r="AO199" s="323"/>
      <c r="AP199" s="323"/>
      <c r="AQ199" s="323"/>
      <c r="AR199" s="323"/>
      <c r="AS199" s="323"/>
      <c r="AT199" s="323"/>
      <c r="AU199" s="323"/>
      <c r="AV199" s="323"/>
      <c r="AW199" s="323"/>
      <c r="AX199" s="323"/>
      <c r="AY199" s="323"/>
      <c r="AZ199" s="351"/>
      <c r="BA199" s="326"/>
      <c r="BB199" s="326"/>
      <c r="BC199" s="326"/>
      <c r="BD199" s="326"/>
      <c r="BE199" s="326"/>
      <c r="BF199" s="351"/>
      <c r="BG199" s="332"/>
      <c r="BH199" s="332"/>
      <c r="BI199" s="332"/>
      <c r="BJ199" s="332"/>
      <c r="BK199" s="332"/>
      <c r="BL199" s="332"/>
      <c r="BM199" s="332"/>
      <c r="BN199" s="251"/>
      <c r="BO199" s="340"/>
      <c r="BP199" s="337"/>
      <c r="BQ199" s="340"/>
      <c r="BR199" s="340"/>
      <c r="BS199" s="340"/>
      <c r="BT199" s="340"/>
      <c r="BU199" s="340"/>
      <c r="BV199" s="340"/>
      <c r="BW199" s="340"/>
      <c r="BX199" s="251"/>
      <c r="BY199" s="345"/>
      <c r="BZ199" s="345"/>
      <c r="CA199" s="345"/>
      <c r="CB199" s="346"/>
      <c r="CC199" s="345"/>
      <c r="CD199" s="345"/>
      <c r="CE199" s="345"/>
      <c r="CF199" s="345"/>
      <c r="CG199" s="345"/>
      <c r="CH199" s="345"/>
      <c r="CI199" s="345"/>
      <c r="CJ199" s="346"/>
      <c r="CK199" s="346"/>
    </row>
    <row r="200">
      <c r="A200" s="821"/>
      <c r="B200" s="241" t="s">
        <v>155</v>
      </c>
      <c r="C200" s="237" t="s">
        <v>155</v>
      </c>
      <c r="D200" s="238" t="s">
        <v>155</v>
      </c>
      <c r="E200" s="239" t="s">
        <v>155</v>
      </c>
      <c r="F200" s="240" t="s">
        <v>155</v>
      </c>
      <c r="G200" s="241" t="s">
        <v>155</v>
      </c>
      <c r="H200" s="308"/>
      <c r="I200" s="308"/>
      <c r="J200" s="308"/>
      <c r="K200" s="308"/>
      <c r="L200" s="308"/>
      <c r="M200" s="308"/>
      <c r="N200" s="308"/>
      <c r="O200" s="308"/>
      <c r="P200" s="251"/>
      <c r="Q200" s="353"/>
      <c r="R200" s="353"/>
      <c r="S200" s="353"/>
      <c r="T200" s="353"/>
      <c r="U200" s="353"/>
      <c r="V200" s="353"/>
      <c r="W200" s="251"/>
      <c r="X200" s="318"/>
      <c r="Y200" s="318"/>
      <c r="Z200" s="318"/>
      <c r="AA200" s="617"/>
      <c r="AB200" s="318"/>
      <c r="AC200" s="318"/>
      <c r="AD200" s="318"/>
      <c r="AE200" s="318"/>
      <c r="AF200" s="318"/>
      <c r="AG200" s="318"/>
      <c r="AH200" s="267"/>
      <c r="AI200" s="251"/>
      <c r="AJ200" s="323"/>
      <c r="AK200" s="323"/>
      <c r="AL200" s="323"/>
      <c r="AM200" s="323"/>
      <c r="AN200" s="323"/>
      <c r="AO200" s="323"/>
      <c r="AP200" s="323"/>
      <c r="AQ200" s="323"/>
      <c r="AR200" s="323"/>
      <c r="AS200" s="323"/>
      <c r="AT200" s="323"/>
      <c r="AU200" s="323"/>
      <c r="AV200" s="323"/>
      <c r="AW200" s="323"/>
      <c r="AX200" s="323"/>
      <c r="AY200" s="323"/>
      <c r="AZ200" s="351"/>
      <c r="BA200" s="326"/>
      <c r="BB200" s="326"/>
      <c r="BC200" s="326"/>
      <c r="BD200" s="326"/>
      <c r="BE200" s="326"/>
      <c r="BF200" s="351"/>
      <c r="BG200" s="332"/>
      <c r="BH200" s="332"/>
      <c r="BI200" s="332"/>
      <c r="BJ200" s="332"/>
      <c r="BK200" s="332"/>
      <c r="BL200" s="332"/>
      <c r="BM200" s="332"/>
      <c r="BN200" s="251"/>
      <c r="BO200" s="340"/>
      <c r="BP200" s="337"/>
      <c r="BQ200" s="340"/>
      <c r="BR200" s="340"/>
      <c r="BS200" s="340"/>
      <c r="BT200" s="340"/>
      <c r="BU200" s="340"/>
      <c r="BV200" s="340"/>
      <c r="BW200" s="340"/>
      <c r="BX200" s="251"/>
      <c r="BY200" s="345"/>
      <c r="BZ200" s="345"/>
      <c r="CA200" s="345"/>
      <c r="CB200" s="346"/>
      <c r="CC200" s="345"/>
      <c r="CD200" s="345"/>
      <c r="CE200" s="345"/>
      <c r="CF200" s="345"/>
      <c r="CG200" s="345"/>
      <c r="CH200" s="345"/>
      <c r="CI200" s="345"/>
      <c r="CJ200" s="346"/>
      <c r="CK200" s="346"/>
    </row>
    <row r="201">
      <c r="A201" s="821"/>
      <c r="B201" s="241" t="s">
        <v>155</v>
      </c>
      <c r="C201" s="237" t="s">
        <v>155</v>
      </c>
      <c r="D201" s="238" t="s">
        <v>155</v>
      </c>
      <c r="E201" s="239" t="s">
        <v>155</v>
      </c>
      <c r="F201" s="240" t="s">
        <v>155</v>
      </c>
      <c r="G201" s="241" t="s">
        <v>155</v>
      </c>
      <c r="H201" s="308"/>
      <c r="I201" s="308"/>
      <c r="J201" s="308"/>
      <c r="K201" s="308"/>
      <c r="L201" s="308"/>
      <c r="M201" s="308"/>
      <c r="N201" s="308"/>
      <c r="O201" s="308"/>
      <c r="P201" s="251"/>
      <c r="Q201" s="353"/>
      <c r="R201" s="353"/>
      <c r="S201" s="353"/>
      <c r="T201" s="353"/>
      <c r="U201" s="353"/>
      <c r="V201" s="353"/>
      <c r="W201" s="251"/>
      <c r="X201" s="318"/>
      <c r="Y201" s="318"/>
      <c r="Z201" s="318"/>
      <c r="AA201" s="617"/>
      <c r="AB201" s="318"/>
      <c r="AC201" s="318"/>
      <c r="AD201" s="318"/>
      <c r="AE201" s="318"/>
      <c r="AF201" s="318"/>
      <c r="AG201" s="318"/>
      <c r="AH201" s="267"/>
      <c r="AI201" s="251"/>
      <c r="AJ201" s="323"/>
      <c r="AK201" s="323"/>
      <c r="AL201" s="323"/>
      <c r="AM201" s="323"/>
      <c r="AN201" s="323"/>
      <c r="AO201" s="323"/>
      <c r="AP201" s="323"/>
      <c r="AQ201" s="323"/>
      <c r="AR201" s="323"/>
      <c r="AS201" s="323"/>
      <c r="AT201" s="323"/>
      <c r="AU201" s="323"/>
      <c r="AV201" s="323"/>
      <c r="AW201" s="323"/>
      <c r="AX201" s="323"/>
      <c r="AY201" s="323"/>
      <c r="AZ201" s="351"/>
      <c r="BA201" s="326"/>
      <c r="BB201" s="326"/>
      <c r="BC201" s="326"/>
      <c r="BD201" s="326"/>
      <c r="BE201" s="326"/>
      <c r="BF201" s="351"/>
      <c r="BG201" s="332"/>
      <c r="BH201" s="332"/>
      <c r="BI201" s="332"/>
      <c r="BJ201" s="332"/>
      <c r="BK201" s="332"/>
      <c r="BL201" s="332"/>
      <c r="BM201" s="332"/>
      <c r="BN201" s="251"/>
      <c r="BO201" s="340"/>
      <c r="BP201" s="337"/>
      <c r="BQ201" s="340"/>
      <c r="BR201" s="340"/>
      <c r="BS201" s="340"/>
      <c r="BT201" s="340"/>
      <c r="BU201" s="340"/>
      <c r="BV201" s="340"/>
      <c r="BW201" s="340"/>
      <c r="BX201" s="251"/>
      <c r="BY201" s="345"/>
      <c r="BZ201" s="345"/>
      <c r="CA201" s="345"/>
      <c r="CB201" s="346"/>
      <c r="CC201" s="345"/>
      <c r="CD201" s="345"/>
      <c r="CE201" s="345"/>
      <c r="CF201" s="345"/>
      <c r="CG201" s="345"/>
      <c r="CH201" s="345"/>
      <c r="CI201" s="345"/>
      <c r="CJ201" s="346"/>
      <c r="CK201" s="346"/>
    </row>
    <row r="202">
      <c r="A202" s="821"/>
      <c r="B202" s="241" t="s">
        <v>155</v>
      </c>
      <c r="C202" s="237" t="s">
        <v>155</v>
      </c>
      <c r="D202" s="238" t="s">
        <v>155</v>
      </c>
      <c r="E202" s="239" t="s">
        <v>155</v>
      </c>
      <c r="F202" s="240" t="s">
        <v>155</v>
      </c>
      <c r="G202" s="241" t="s">
        <v>155</v>
      </c>
      <c r="H202" s="308"/>
      <c r="I202" s="308"/>
      <c r="J202" s="308"/>
      <c r="K202" s="308"/>
      <c r="L202" s="308"/>
      <c r="M202" s="308"/>
      <c r="N202" s="308"/>
      <c r="O202" s="308"/>
      <c r="P202" s="251"/>
      <c r="Q202" s="353"/>
      <c r="R202" s="353"/>
      <c r="S202" s="353"/>
      <c r="T202" s="353"/>
      <c r="U202" s="353"/>
      <c r="V202" s="353"/>
      <c r="W202" s="251"/>
      <c r="X202" s="318"/>
      <c r="Y202" s="318"/>
      <c r="Z202" s="318"/>
      <c r="AA202" s="617"/>
      <c r="AB202" s="318"/>
      <c r="AC202" s="318"/>
      <c r="AD202" s="318"/>
      <c r="AE202" s="318"/>
      <c r="AF202" s="318"/>
      <c r="AG202" s="318"/>
      <c r="AH202" s="267"/>
      <c r="AI202" s="251"/>
      <c r="AJ202" s="323"/>
      <c r="AK202" s="323"/>
      <c r="AL202" s="323"/>
      <c r="AM202" s="323"/>
      <c r="AN202" s="323"/>
      <c r="AO202" s="323"/>
      <c r="AP202" s="323"/>
      <c r="AQ202" s="323"/>
      <c r="AR202" s="323"/>
      <c r="AS202" s="323"/>
      <c r="AT202" s="323"/>
      <c r="AU202" s="323"/>
      <c r="AV202" s="323"/>
      <c r="AW202" s="323"/>
      <c r="AX202" s="323"/>
      <c r="AY202" s="323"/>
      <c r="AZ202" s="351"/>
      <c r="BA202" s="326"/>
      <c r="BB202" s="326"/>
      <c r="BC202" s="326"/>
      <c r="BD202" s="326"/>
      <c r="BE202" s="326"/>
      <c r="BF202" s="351"/>
      <c r="BG202" s="332"/>
      <c r="BH202" s="332"/>
      <c r="BI202" s="332"/>
      <c r="BJ202" s="332"/>
      <c r="BK202" s="332"/>
      <c r="BL202" s="332"/>
      <c r="BM202" s="332"/>
      <c r="BN202" s="251"/>
      <c r="BO202" s="340"/>
      <c r="BP202" s="337"/>
      <c r="BQ202" s="340"/>
      <c r="BR202" s="340"/>
      <c r="BS202" s="340"/>
      <c r="BT202" s="340"/>
      <c r="BU202" s="340"/>
      <c r="BV202" s="340"/>
      <c r="BW202" s="340"/>
      <c r="BX202" s="251"/>
      <c r="BY202" s="345"/>
      <c r="BZ202" s="345"/>
      <c r="CA202" s="345"/>
      <c r="CB202" s="346"/>
      <c r="CC202" s="345"/>
      <c r="CD202" s="345"/>
      <c r="CE202" s="345"/>
      <c r="CF202" s="345"/>
      <c r="CG202" s="345"/>
      <c r="CH202" s="345"/>
      <c r="CI202" s="345"/>
      <c r="CJ202" s="346"/>
      <c r="CK202" s="346"/>
    </row>
    <row r="203">
      <c r="A203" s="821"/>
      <c r="B203" s="241" t="s">
        <v>155</v>
      </c>
      <c r="C203" s="237" t="s">
        <v>155</v>
      </c>
      <c r="D203" s="238" t="s">
        <v>155</v>
      </c>
      <c r="E203" s="239" t="s">
        <v>155</v>
      </c>
      <c r="F203" s="240" t="s">
        <v>155</v>
      </c>
      <c r="G203" s="241" t="s">
        <v>155</v>
      </c>
      <c r="H203" s="308"/>
      <c r="I203" s="308"/>
      <c r="J203" s="308"/>
      <c r="K203" s="308"/>
      <c r="L203" s="308"/>
      <c r="M203" s="308"/>
      <c r="N203" s="308"/>
      <c r="O203" s="308"/>
      <c r="P203" s="251"/>
      <c r="Q203" s="353"/>
      <c r="R203" s="353"/>
      <c r="S203" s="353"/>
      <c r="T203" s="353"/>
      <c r="U203" s="353"/>
      <c r="V203" s="353"/>
      <c r="W203" s="251"/>
      <c r="X203" s="318"/>
      <c r="Y203" s="318"/>
      <c r="Z203" s="318"/>
      <c r="AA203" s="617"/>
      <c r="AB203" s="318"/>
      <c r="AC203" s="318"/>
      <c r="AD203" s="318"/>
      <c r="AE203" s="318"/>
      <c r="AF203" s="318"/>
      <c r="AG203" s="318"/>
      <c r="AH203" s="267"/>
      <c r="AI203" s="251"/>
      <c r="AJ203" s="323"/>
      <c r="AK203" s="323"/>
      <c r="AL203" s="323"/>
      <c r="AM203" s="323"/>
      <c r="AN203" s="323"/>
      <c r="AO203" s="323"/>
      <c r="AP203" s="323"/>
      <c r="AQ203" s="323"/>
      <c r="AR203" s="323"/>
      <c r="AS203" s="323"/>
      <c r="AT203" s="323"/>
      <c r="AU203" s="323"/>
      <c r="AV203" s="323"/>
      <c r="AW203" s="323"/>
      <c r="AX203" s="323"/>
      <c r="AY203" s="323"/>
      <c r="AZ203" s="351"/>
      <c r="BA203" s="326"/>
      <c r="BB203" s="326"/>
      <c r="BC203" s="326"/>
      <c r="BD203" s="326"/>
      <c r="BE203" s="326"/>
      <c r="BF203" s="351"/>
      <c r="BG203" s="332"/>
      <c r="BH203" s="332"/>
      <c r="BI203" s="332"/>
      <c r="BJ203" s="332"/>
      <c r="BK203" s="332"/>
      <c r="BL203" s="332"/>
      <c r="BM203" s="332"/>
      <c r="BN203" s="251"/>
      <c r="BO203" s="340"/>
      <c r="BP203" s="337"/>
      <c r="BQ203" s="340"/>
      <c r="BR203" s="340"/>
      <c r="BS203" s="340"/>
      <c r="BT203" s="340"/>
      <c r="BU203" s="340"/>
      <c r="BV203" s="340"/>
      <c r="BW203" s="340"/>
      <c r="BX203" s="251"/>
      <c r="BY203" s="345"/>
      <c r="BZ203" s="345"/>
      <c r="CA203" s="345"/>
      <c r="CB203" s="346"/>
      <c r="CC203" s="345"/>
      <c r="CD203" s="345"/>
      <c r="CE203" s="345"/>
      <c r="CF203" s="345"/>
      <c r="CG203" s="345"/>
      <c r="CH203" s="345"/>
      <c r="CI203" s="345"/>
      <c r="CJ203" s="346"/>
      <c r="CK203" s="346"/>
    </row>
    <row r="204">
      <c r="A204" s="821"/>
      <c r="B204" s="241" t="s">
        <v>155</v>
      </c>
      <c r="C204" s="237" t="s">
        <v>155</v>
      </c>
      <c r="D204" s="238" t="s">
        <v>155</v>
      </c>
      <c r="E204" s="239" t="s">
        <v>155</v>
      </c>
      <c r="F204" s="240" t="s">
        <v>155</v>
      </c>
      <c r="G204" s="241" t="s">
        <v>155</v>
      </c>
      <c r="H204" s="308"/>
      <c r="I204" s="308"/>
      <c r="J204" s="308"/>
      <c r="K204" s="308"/>
      <c r="L204" s="308"/>
      <c r="M204" s="308"/>
      <c r="N204" s="308"/>
      <c r="O204" s="308"/>
      <c r="P204" s="251"/>
      <c r="Q204" s="353"/>
      <c r="R204" s="353"/>
      <c r="S204" s="353"/>
      <c r="T204" s="353"/>
      <c r="U204" s="353"/>
      <c r="V204" s="353"/>
      <c r="W204" s="251"/>
      <c r="X204" s="318"/>
      <c r="Y204" s="318"/>
      <c r="Z204" s="318"/>
      <c r="AA204" s="617"/>
      <c r="AB204" s="318"/>
      <c r="AC204" s="318"/>
      <c r="AD204" s="318"/>
      <c r="AE204" s="318"/>
      <c r="AF204" s="318"/>
      <c r="AG204" s="318"/>
      <c r="AH204" s="267"/>
      <c r="AI204" s="251"/>
      <c r="AJ204" s="323"/>
      <c r="AK204" s="323"/>
      <c r="AL204" s="323"/>
      <c r="AM204" s="323"/>
      <c r="AN204" s="323"/>
      <c r="AO204" s="323"/>
      <c r="AP204" s="323"/>
      <c r="AQ204" s="323"/>
      <c r="AR204" s="323"/>
      <c r="AS204" s="323"/>
      <c r="AT204" s="323"/>
      <c r="AU204" s="323"/>
      <c r="AV204" s="323"/>
      <c r="AW204" s="323"/>
      <c r="AX204" s="323"/>
      <c r="AY204" s="323"/>
      <c r="AZ204" s="351"/>
      <c r="BA204" s="326"/>
      <c r="BB204" s="326"/>
      <c r="BC204" s="326"/>
      <c r="BD204" s="326"/>
      <c r="BE204" s="326"/>
      <c r="BF204" s="351"/>
      <c r="BG204" s="332"/>
      <c r="BH204" s="332"/>
      <c r="BI204" s="332"/>
      <c r="BJ204" s="332"/>
      <c r="BK204" s="332"/>
      <c r="BL204" s="332"/>
      <c r="BM204" s="332"/>
      <c r="BN204" s="251"/>
      <c r="BO204" s="340"/>
      <c r="BP204" s="337"/>
      <c r="BQ204" s="340"/>
      <c r="BR204" s="340"/>
      <c r="BS204" s="340"/>
      <c r="BT204" s="340"/>
      <c r="BU204" s="340"/>
      <c r="BV204" s="340"/>
      <c r="BW204" s="340"/>
      <c r="BX204" s="251"/>
      <c r="BY204" s="345"/>
      <c r="BZ204" s="345"/>
      <c r="CA204" s="345"/>
      <c r="CB204" s="346"/>
      <c r="CC204" s="345"/>
      <c r="CD204" s="345"/>
      <c r="CE204" s="345"/>
      <c r="CF204" s="345"/>
      <c r="CG204" s="345"/>
      <c r="CH204" s="345"/>
      <c r="CI204" s="345"/>
      <c r="CJ204" s="346"/>
      <c r="CK204" s="346"/>
    </row>
    <row r="205">
      <c r="A205" s="821"/>
      <c r="B205" s="241" t="s">
        <v>155</v>
      </c>
      <c r="C205" s="237" t="s">
        <v>155</v>
      </c>
      <c r="D205" s="238" t="s">
        <v>155</v>
      </c>
      <c r="E205" s="239" t="s">
        <v>155</v>
      </c>
      <c r="F205" s="240" t="s">
        <v>155</v>
      </c>
      <c r="G205" s="241" t="s">
        <v>155</v>
      </c>
      <c r="H205" s="308"/>
      <c r="I205" s="308"/>
      <c r="J205" s="308"/>
      <c r="K205" s="308"/>
      <c r="L205" s="308"/>
      <c r="M205" s="308"/>
      <c r="N205" s="308"/>
      <c r="O205" s="308"/>
      <c r="P205" s="251"/>
      <c r="Q205" s="353"/>
      <c r="R205" s="353"/>
      <c r="S205" s="353"/>
      <c r="T205" s="353"/>
      <c r="U205" s="353"/>
      <c r="V205" s="353"/>
      <c r="W205" s="251"/>
      <c r="X205" s="318"/>
      <c r="Y205" s="318"/>
      <c r="Z205" s="318"/>
      <c r="AA205" s="617"/>
      <c r="AB205" s="318"/>
      <c r="AC205" s="318"/>
      <c r="AD205" s="318"/>
      <c r="AE205" s="318"/>
      <c r="AF205" s="318"/>
      <c r="AG205" s="318"/>
      <c r="AH205" s="267"/>
      <c r="AI205" s="251"/>
      <c r="AJ205" s="323"/>
      <c r="AK205" s="323"/>
      <c r="AL205" s="323"/>
      <c r="AM205" s="323"/>
      <c r="AN205" s="323"/>
      <c r="AO205" s="323"/>
      <c r="AP205" s="323"/>
      <c r="AQ205" s="323"/>
      <c r="AR205" s="323"/>
      <c r="AS205" s="323"/>
      <c r="AT205" s="323"/>
      <c r="AU205" s="323"/>
      <c r="AV205" s="323"/>
      <c r="AW205" s="323"/>
      <c r="AX205" s="323"/>
      <c r="AY205" s="323"/>
      <c r="AZ205" s="351"/>
      <c r="BA205" s="326"/>
      <c r="BB205" s="326"/>
      <c r="BC205" s="326"/>
      <c r="BD205" s="326"/>
      <c r="BE205" s="326"/>
      <c r="BF205" s="351"/>
      <c r="BG205" s="332"/>
      <c r="BH205" s="332"/>
      <c r="BI205" s="332"/>
      <c r="BJ205" s="332"/>
      <c r="BK205" s="332"/>
      <c r="BL205" s="332"/>
      <c r="BM205" s="332"/>
      <c r="BN205" s="251"/>
      <c r="BO205" s="340"/>
      <c r="BP205" s="337"/>
      <c r="BQ205" s="340"/>
      <c r="BR205" s="340"/>
      <c r="BS205" s="340"/>
      <c r="BT205" s="340"/>
      <c r="BU205" s="340"/>
      <c r="BV205" s="340"/>
      <c r="BW205" s="340"/>
      <c r="BX205" s="251"/>
      <c r="BY205" s="345"/>
      <c r="BZ205" s="345"/>
      <c r="CA205" s="345"/>
      <c r="CB205" s="346"/>
      <c r="CC205" s="345"/>
      <c r="CD205" s="345"/>
      <c r="CE205" s="345"/>
      <c r="CF205" s="345"/>
      <c r="CG205" s="345"/>
      <c r="CH205" s="345"/>
      <c r="CI205" s="345"/>
      <c r="CJ205" s="346"/>
      <c r="CK205" s="346"/>
    </row>
    <row r="206">
      <c r="A206" s="821"/>
      <c r="B206" s="241" t="s">
        <v>155</v>
      </c>
      <c r="C206" s="237" t="s">
        <v>155</v>
      </c>
      <c r="D206" s="238" t="s">
        <v>155</v>
      </c>
      <c r="E206" s="239" t="s">
        <v>155</v>
      </c>
      <c r="F206" s="240" t="s">
        <v>155</v>
      </c>
      <c r="G206" s="241" t="s">
        <v>155</v>
      </c>
      <c r="H206" s="308"/>
      <c r="I206" s="308"/>
      <c r="J206" s="308"/>
      <c r="K206" s="308"/>
      <c r="L206" s="308"/>
      <c r="M206" s="308"/>
      <c r="N206" s="308"/>
      <c r="O206" s="308"/>
      <c r="P206" s="251"/>
      <c r="Q206" s="353"/>
      <c r="R206" s="353"/>
      <c r="S206" s="353"/>
      <c r="T206" s="353"/>
      <c r="U206" s="353"/>
      <c r="V206" s="353"/>
      <c r="W206" s="251"/>
      <c r="X206" s="318"/>
      <c r="Y206" s="318"/>
      <c r="Z206" s="318"/>
      <c r="AA206" s="617"/>
      <c r="AB206" s="318"/>
      <c r="AC206" s="318"/>
      <c r="AD206" s="318"/>
      <c r="AE206" s="318"/>
      <c r="AF206" s="318"/>
      <c r="AG206" s="318"/>
      <c r="AH206" s="267"/>
      <c r="AI206" s="251"/>
      <c r="AJ206" s="323"/>
      <c r="AK206" s="323"/>
      <c r="AL206" s="323"/>
      <c r="AM206" s="323"/>
      <c r="AN206" s="323"/>
      <c r="AO206" s="323"/>
      <c r="AP206" s="323"/>
      <c r="AQ206" s="323"/>
      <c r="AR206" s="323"/>
      <c r="AS206" s="323"/>
      <c r="AT206" s="323"/>
      <c r="AU206" s="323"/>
      <c r="AV206" s="323"/>
      <c r="AW206" s="323"/>
      <c r="AX206" s="323"/>
      <c r="AY206" s="323"/>
      <c r="AZ206" s="351"/>
      <c r="BA206" s="326"/>
      <c r="BB206" s="326"/>
      <c r="BC206" s="326"/>
      <c r="BD206" s="326"/>
      <c r="BE206" s="326"/>
      <c r="BF206" s="351"/>
      <c r="BG206" s="332"/>
      <c r="BH206" s="332"/>
      <c r="BI206" s="332"/>
      <c r="BJ206" s="332"/>
      <c r="BK206" s="332"/>
      <c r="BL206" s="332"/>
      <c r="BM206" s="332"/>
      <c r="BN206" s="251"/>
      <c r="BO206" s="340"/>
      <c r="BP206" s="337"/>
      <c r="BQ206" s="340"/>
      <c r="BR206" s="340"/>
      <c r="BS206" s="340"/>
      <c r="BT206" s="340"/>
      <c r="BU206" s="340"/>
      <c r="BV206" s="340"/>
      <c r="BW206" s="340"/>
      <c r="BX206" s="251"/>
      <c r="BY206" s="345"/>
      <c r="BZ206" s="345"/>
      <c r="CA206" s="345"/>
      <c r="CB206" s="346"/>
      <c r="CC206" s="345"/>
      <c r="CD206" s="345"/>
      <c r="CE206" s="345"/>
      <c r="CF206" s="345"/>
      <c r="CG206" s="345"/>
      <c r="CH206" s="345"/>
      <c r="CI206" s="345"/>
      <c r="CJ206" s="346"/>
      <c r="CK206" s="346"/>
    </row>
    <row r="207">
      <c r="A207" s="821"/>
      <c r="B207" s="241" t="s">
        <v>155</v>
      </c>
      <c r="C207" s="237" t="s">
        <v>155</v>
      </c>
      <c r="D207" s="238" t="s">
        <v>155</v>
      </c>
      <c r="E207" s="239" t="s">
        <v>155</v>
      </c>
      <c r="F207" s="240" t="s">
        <v>155</v>
      </c>
      <c r="G207" s="241" t="s">
        <v>155</v>
      </c>
      <c r="H207" s="308"/>
      <c r="I207" s="308"/>
      <c r="J207" s="308"/>
      <c r="K207" s="308"/>
      <c r="L207" s="308"/>
      <c r="M207" s="308"/>
      <c r="N207" s="308"/>
      <c r="O207" s="308"/>
      <c r="P207" s="251"/>
      <c r="Q207" s="353"/>
      <c r="R207" s="353"/>
      <c r="S207" s="353"/>
      <c r="T207" s="353"/>
      <c r="U207" s="353"/>
      <c r="V207" s="353"/>
      <c r="W207" s="251"/>
      <c r="X207" s="318"/>
      <c r="Y207" s="318"/>
      <c r="Z207" s="318"/>
      <c r="AA207" s="617"/>
      <c r="AB207" s="318"/>
      <c r="AC207" s="318"/>
      <c r="AD207" s="318"/>
      <c r="AE207" s="318"/>
      <c r="AF207" s="318"/>
      <c r="AG207" s="318"/>
      <c r="AH207" s="267"/>
      <c r="AI207" s="251"/>
      <c r="AJ207" s="323"/>
      <c r="AK207" s="323"/>
      <c r="AL207" s="323"/>
      <c r="AM207" s="323"/>
      <c r="AN207" s="323"/>
      <c r="AO207" s="323"/>
      <c r="AP207" s="323"/>
      <c r="AQ207" s="323"/>
      <c r="AR207" s="323"/>
      <c r="AS207" s="323"/>
      <c r="AT207" s="323"/>
      <c r="AU207" s="323"/>
      <c r="AV207" s="323"/>
      <c r="AW207" s="323"/>
      <c r="AX207" s="323"/>
      <c r="AY207" s="323"/>
      <c r="AZ207" s="351"/>
      <c r="BA207" s="326"/>
      <c r="BB207" s="326"/>
      <c r="BC207" s="326"/>
      <c r="BD207" s="326"/>
      <c r="BE207" s="326"/>
      <c r="BF207" s="351"/>
      <c r="BG207" s="332"/>
      <c r="BH207" s="332"/>
      <c r="BI207" s="332"/>
      <c r="BJ207" s="332"/>
      <c r="BK207" s="332"/>
      <c r="BL207" s="332"/>
      <c r="BM207" s="332"/>
      <c r="BN207" s="251"/>
      <c r="BO207" s="340"/>
      <c r="BP207" s="337"/>
      <c r="BQ207" s="340"/>
      <c r="BR207" s="340"/>
      <c r="BS207" s="340"/>
      <c r="BT207" s="340"/>
      <c r="BU207" s="340"/>
      <c r="BV207" s="340"/>
      <c r="BW207" s="340"/>
      <c r="BX207" s="251"/>
      <c r="BY207" s="345"/>
      <c r="BZ207" s="345"/>
      <c r="CA207" s="345"/>
      <c r="CB207" s="346"/>
      <c r="CC207" s="345"/>
      <c r="CD207" s="345"/>
      <c r="CE207" s="345"/>
      <c r="CF207" s="345"/>
      <c r="CG207" s="345"/>
      <c r="CH207" s="345"/>
      <c r="CI207" s="345"/>
      <c r="CJ207" s="346"/>
      <c r="CK207" s="346"/>
    </row>
    <row r="208">
      <c r="A208" s="821"/>
      <c r="B208" s="241" t="s">
        <v>155</v>
      </c>
      <c r="C208" s="237" t="s">
        <v>155</v>
      </c>
      <c r="D208" s="238" t="s">
        <v>155</v>
      </c>
      <c r="E208" s="239" t="s">
        <v>155</v>
      </c>
      <c r="F208" s="240" t="s">
        <v>155</v>
      </c>
      <c r="G208" s="241" t="s">
        <v>155</v>
      </c>
      <c r="H208" s="308"/>
      <c r="I208" s="308"/>
      <c r="J208" s="308"/>
      <c r="K208" s="308"/>
      <c r="L208" s="308"/>
      <c r="M208" s="308"/>
      <c r="N208" s="308"/>
      <c r="O208" s="308"/>
      <c r="P208" s="251"/>
      <c r="Q208" s="353"/>
      <c r="R208" s="353"/>
      <c r="S208" s="353"/>
      <c r="T208" s="353"/>
      <c r="U208" s="353"/>
      <c r="V208" s="353"/>
      <c r="W208" s="251"/>
      <c r="X208" s="318"/>
      <c r="Y208" s="318"/>
      <c r="Z208" s="318"/>
      <c r="AA208" s="617"/>
      <c r="AB208" s="318"/>
      <c r="AC208" s="318"/>
      <c r="AD208" s="318"/>
      <c r="AE208" s="318"/>
      <c r="AF208" s="318"/>
      <c r="AG208" s="318"/>
      <c r="AH208" s="267"/>
      <c r="AI208" s="251"/>
      <c r="AJ208" s="323"/>
      <c r="AK208" s="323"/>
      <c r="AL208" s="323"/>
      <c r="AM208" s="323"/>
      <c r="AN208" s="323"/>
      <c r="AO208" s="323"/>
      <c r="AP208" s="323"/>
      <c r="AQ208" s="323"/>
      <c r="AR208" s="323"/>
      <c r="AS208" s="323"/>
      <c r="AT208" s="323"/>
      <c r="AU208" s="323"/>
      <c r="AV208" s="323"/>
      <c r="AW208" s="323"/>
      <c r="AX208" s="323"/>
      <c r="AY208" s="323"/>
      <c r="AZ208" s="351"/>
      <c r="BA208" s="326"/>
      <c r="BB208" s="326"/>
      <c r="BC208" s="326"/>
      <c r="BD208" s="326"/>
      <c r="BE208" s="326"/>
      <c r="BF208" s="351"/>
      <c r="BG208" s="332"/>
      <c r="BH208" s="332"/>
      <c r="BI208" s="332"/>
      <c r="BJ208" s="332"/>
      <c r="BK208" s="332"/>
      <c r="BL208" s="332"/>
      <c r="BM208" s="332"/>
      <c r="BN208" s="251"/>
      <c r="BO208" s="340"/>
      <c r="BP208" s="337"/>
      <c r="BQ208" s="340"/>
      <c r="BR208" s="340"/>
      <c r="BS208" s="340"/>
      <c r="BT208" s="340"/>
      <c r="BU208" s="340"/>
      <c r="BV208" s="340"/>
      <c r="BW208" s="340"/>
      <c r="BX208" s="251"/>
      <c r="BY208" s="345"/>
      <c r="BZ208" s="345"/>
      <c r="CA208" s="345"/>
      <c r="CB208" s="346"/>
      <c r="CC208" s="345"/>
      <c r="CD208" s="345"/>
      <c r="CE208" s="345"/>
      <c r="CF208" s="345"/>
      <c r="CG208" s="345"/>
      <c r="CH208" s="345"/>
      <c r="CI208" s="345"/>
      <c r="CJ208" s="346"/>
      <c r="CK208" s="346"/>
    </row>
    <row r="209">
      <c r="A209" s="821"/>
      <c r="B209" s="241" t="s">
        <v>155</v>
      </c>
      <c r="C209" s="237" t="s">
        <v>155</v>
      </c>
      <c r="D209" s="238" t="s">
        <v>155</v>
      </c>
      <c r="E209" s="239" t="s">
        <v>155</v>
      </c>
      <c r="F209" s="240" t="s">
        <v>155</v>
      </c>
      <c r="G209" s="241" t="s">
        <v>155</v>
      </c>
      <c r="H209" s="308"/>
      <c r="I209" s="308"/>
      <c r="J209" s="308"/>
      <c r="K209" s="308"/>
      <c r="L209" s="308"/>
      <c r="M209" s="308"/>
      <c r="N209" s="308"/>
      <c r="O209" s="308"/>
      <c r="P209" s="251"/>
      <c r="Q209" s="353"/>
      <c r="R209" s="353"/>
      <c r="S209" s="353"/>
      <c r="T209" s="353"/>
      <c r="U209" s="353"/>
      <c r="V209" s="353"/>
      <c r="W209" s="251"/>
      <c r="X209" s="318"/>
      <c r="Y209" s="318"/>
      <c r="Z209" s="318"/>
      <c r="AA209" s="617"/>
      <c r="AB209" s="318"/>
      <c r="AC209" s="318"/>
      <c r="AD209" s="318"/>
      <c r="AE209" s="318"/>
      <c r="AF209" s="318"/>
      <c r="AG209" s="318"/>
      <c r="AH209" s="267"/>
      <c r="AI209" s="251"/>
      <c r="AJ209" s="323"/>
      <c r="AK209" s="323"/>
      <c r="AL209" s="323"/>
      <c r="AM209" s="323"/>
      <c r="AN209" s="323"/>
      <c r="AO209" s="323"/>
      <c r="AP209" s="323"/>
      <c r="AQ209" s="323"/>
      <c r="AR209" s="323"/>
      <c r="AS209" s="323"/>
      <c r="AT209" s="323"/>
      <c r="AU209" s="323"/>
      <c r="AV209" s="323"/>
      <c r="AW209" s="323"/>
      <c r="AX209" s="323"/>
      <c r="AY209" s="323"/>
      <c r="AZ209" s="351"/>
      <c r="BA209" s="326"/>
      <c r="BB209" s="326"/>
      <c r="BC209" s="326"/>
      <c r="BD209" s="326"/>
      <c r="BE209" s="326"/>
      <c r="BF209" s="351"/>
      <c r="BG209" s="332"/>
      <c r="BH209" s="332"/>
      <c r="BI209" s="332"/>
      <c r="BJ209" s="332"/>
      <c r="BK209" s="332"/>
      <c r="BL209" s="332"/>
      <c r="BM209" s="332"/>
      <c r="BN209" s="251"/>
      <c r="BO209" s="340"/>
      <c r="BP209" s="337"/>
      <c r="BQ209" s="340"/>
      <c r="BR209" s="340"/>
      <c r="BS209" s="340"/>
      <c r="BT209" s="340"/>
      <c r="BU209" s="340"/>
      <c r="BV209" s="340"/>
      <c r="BW209" s="340"/>
      <c r="BX209" s="251"/>
      <c r="BY209" s="345"/>
      <c r="BZ209" s="345"/>
      <c r="CA209" s="345"/>
      <c r="CB209" s="346"/>
      <c r="CC209" s="345"/>
      <c r="CD209" s="345"/>
      <c r="CE209" s="345"/>
      <c r="CF209" s="345"/>
      <c r="CG209" s="345"/>
      <c r="CH209" s="345"/>
      <c r="CI209" s="345"/>
      <c r="CJ209" s="346"/>
      <c r="CK209" s="346"/>
    </row>
    <row r="210">
      <c r="A210" s="821"/>
      <c r="B210" s="241" t="s">
        <v>155</v>
      </c>
      <c r="C210" s="237" t="s">
        <v>155</v>
      </c>
      <c r="D210" s="238" t="s">
        <v>155</v>
      </c>
      <c r="E210" s="239" t="s">
        <v>155</v>
      </c>
      <c r="F210" s="240" t="s">
        <v>155</v>
      </c>
      <c r="G210" s="241" t="s">
        <v>155</v>
      </c>
      <c r="H210" s="308"/>
      <c r="I210" s="308"/>
      <c r="J210" s="308"/>
      <c r="K210" s="308"/>
      <c r="L210" s="308"/>
      <c r="M210" s="308"/>
      <c r="N210" s="308"/>
      <c r="O210" s="308"/>
      <c r="P210" s="251"/>
      <c r="Q210" s="353"/>
      <c r="R210" s="353"/>
      <c r="S210" s="353"/>
      <c r="T210" s="353"/>
      <c r="U210" s="353"/>
      <c r="V210" s="353"/>
      <c r="W210" s="251"/>
      <c r="X210" s="318"/>
      <c r="Y210" s="318"/>
      <c r="Z210" s="318"/>
      <c r="AA210" s="617"/>
      <c r="AB210" s="318"/>
      <c r="AC210" s="318"/>
      <c r="AD210" s="318"/>
      <c r="AE210" s="318"/>
      <c r="AF210" s="318"/>
      <c r="AG210" s="318"/>
      <c r="AH210" s="267"/>
      <c r="AI210" s="251"/>
      <c r="AJ210" s="323"/>
      <c r="AK210" s="323"/>
      <c r="AL210" s="323"/>
      <c r="AM210" s="323"/>
      <c r="AN210" s="323"/>
      <c r="AO210" s="323"/>
      <c r="AP210" s="323"/>
      <c r="AQ210" s="323"/>
      <c r="AR210" s="323"/>
      <c r="AS210" s="323"/>
      <c r="AT210" s="323"/>
      <c r="AU210" s="323"/>
      <c r="AV210" s="323"/>
      <c r="AW210" s="323"/>
      <c r="AX210" s="323"/>
      <c r="AY210" s="323"/>
      <c r="AZ210" s="351"/>
      <c r="BA210" s="326"/>
      <c r="BB210" s="326"/>
      <c r="BC210" s="326"/>
      <c r="BD210" s="326"/>
      <c r="BE210" s="326"/>
      <c r="BF210" s="351"/>
      <c r="BG210" s="332"/>
      <c r="BH210" s="332"/>
      <c r="BI210" s="332"/>
      <c r="BJ210" s="332"/>
      <c r="BK210" s="332"/>
      <c r="BL210" s="332"/>
      <c r="BM210" s="332"/>
      <c r="BN210" s="251"/>
      <c r="BO210" s="340"/>
      <c r="BP210" s="337"/>
      <c r="BQ210" s="340"/>
      <c r="BR210" s="340"/>
      <c r="BS210" s="340"/>
      <c r="BT210" s="340"/>
      <c r="BU210" s="340"/>
      <c r="BV210" s="340"/>
      <c r="BW210" s="340"/>
      <c r="BX210" s="251"/>
      <c r="BY210" s="345"/>
      <c r="BZ210" s="345"/>
      <c r="CA210" s="345"/>
      <c r="CB210" s="346"/>
      <c r="CC210" s="345"/>
      <c r="CD210" s="345"/>
      <c r="CE210" s="345"/>
      <c r="CF210" s="345"/>
      <c r="CG210" s="345"/>
      <c r="CH210" s="345"/>
      <c r="CI210" s="345"/>
      <c r="CJ210" s="346"/>
      <c r="CK210" s="346"/>
    </row>
    <row r="211">
      <c r="A211" s="821"/>
      <c r="B211" s="241" t="s">
        <v>155</v>
      </c>
      <c r="C211" s="237" t="s">
        <v>155</v>
      </c>
      <c r="D211" s="238" t="s">
        <v>155</v>
      </c>
      <c r="E211" s="239" t="s">
        <v>155</v>
      </c>
      <c r="F211" s="240" t="s">
        <v>155</v>
      </c>
      <c r="G211" s="241" t="s">
        <v>155</v>
      </c>
      <c r="H211" s="308"/>
      <c r="I211" s="308"/>
      <c r="J211" s="308"/>
      <c r="K211" s="308"/>
      <c r="L211" s="308"/>
      <c r="M211" s="308"/>
      <c r="N211" s="308"/>
      <c r="O211" s="308"/>
      <c r="P211" s="251"/>
      <c r="Q211" s="353"/>
      <c r="R211" s="353"/>
      <c r="S211" s="353"/>
      <c r="T211" s="353"/>
      <c r="U211" s="353"/>
      <c r="V211" s="353"/>
      <c r="W211" s="251"/>
      <c r="X211" s="318"/>
      <c r="Y211" s="318"/>
      <c r="Z211" s="318"/>
      <c r="AA211" s="617"/>
      <c r="AB211" s="318"/>
      <c r="AC211" s="318"/>
      <c r="AD211" s="318"/>
      <c r="AE211" s="318"/>
      <c r="AF211" s="318"/>
      <c r="AG211" s="318"/>
      <c r="AH211" s="267"/>
      <c r="AI211" s="251"/>
      <c r="AJ211" s="323"/>
      <c r="AK211" s="323"/>
      <c r="AL211" s="323"/>
      <c r="AM211" s="323"/>
      <c r="AN211" s="323"/>
      <c r="AO211" s="323"/>
      <c r="AP211" s="323"/>
      <c r="AQ211" s="323"/>
      <c r="AR211" s="323"/>
      <c r="AS211" s="323"/>
      <c r="AT211" s="323"/>
      <c r="AU211" s="323"/>
      <c r="AV211" s="323"/>
      <c r="AW211" s="323"/>
      <c r="AX211" s="323"/>
      <c r="AY211" s="323"/>
      <c r="AZ211" s="351"/>
      <c r="BA211" s="326"/>
      <c r="BB211" s="326"/>
      <c r="BC211" s="326"/>
      <c r="BD211" s="326"/>
      <c r="BE211" s="326"/>
      <c r="BF211" s="351"/>
      <c r="BG211" s="332"/>
      <c r="BH211" s="332"/>
      <c r="BI211" s="332"/>
      <c r="BJ211" s="332"/>
      <c r="BK211" s="332"/>
      <c r="BL211" s="332"/>
      <c r="BM211" s="332"/>
      <c r="BN211" s="251"/>
      <c r="BO211" s="340"/>
      <c r="BP211" s="337"/>
      <c r="BQ211" s="340"/>
      <c r="BR211" s="340"/>
      <c r="BS211" s="340"/>
      <c r="BT211" s="340"/>
      <c r="BU211" s="340"/>
      <c r="BV211" s="340"/>
      <c r="BW211" s="340"/>
      <c r="BX211" s="251"/>
      <c r="BY211" s="345"/>
      <c r="BZ211" s="345"/>
      <c r="CA211" s="345"/>
      <c r="CB211" s="346"/>
      <c r="CC211" s="345"/>
      <c r="CD211" s="345"/>
      <c r="CE211" s="345"/>
      <c r="CF211" s="345"/>
      <c r="CG211" s="345"/>
      <c r="CH211" s="345"/>
      <c r="CI211" s="345"/>
      <c r="CJ211" s="346"/>
      <c r="CK211" s="346"/>
    </row>
    <row r="212">
      <c r="A212" s="821"/>
      <c r="B212" s="241" t="s">
        <v>155</v>
      </c>
      <c r="C212" s="237" t="s">
        <v>155</v>
      </c>
      <c r="D212" s="238" t="s">
        <v>155</v>
      </c>
      <c r="E212" s="239" t="s">
        <v>155</v>
      </c>
      <c r="F212" s="240" t="s">
        <v>155</v>
      </c>
      <c r="G212" s="241" t="s">
        <v>155</v>
      </c>
      <c r="H212" s="308"/>
      <c r="I212" s="308"/>
      <c r="J212" s="308"/>
      <c r="K212" s="308"/>
      <c r="L212" s="308"/>
      <c r="M212" s="308"/>
      <c r="N212" s="308"/>
      <c r="O212" s="308"/>
      <c r="P212" s="251"/>
      <c r="Q212" s="353"/>
      <c r="R212" s="353"/>
      <c r="S212" s="353"/>
      <c r="T212" s="353"/>
      <c r="U212" s="353"/>
      <c r="V212" s="353"/>
      <c r="W212" s="251"/>
      <c r="X212" s="318"/>
      <c r="Y212" s="318"/>
      <c r="Z212" s="318"/>
      <c r="AA212" s="617"/>
      <c r="AB212" s="318"/>
      <c r="AC212" s="318"/>
      <c r="AD212" s="318"/>
      <c r="AE212" s="318"/>
      <c r="AF212" s="318"/>
      <c r="AG212" s="318"/>
      <c r="AH212" s="267"/>
      <c r="AI212" s="251"/>
      <c r="AJ212" s="323"/>
      <c r="AK212" s="323"/>
      <c r="AL212" s="323"/>
      <c r="AM212" s="323"/>
      <c r="AN212" s="323"/>
      <c r="AO212" s="323"/>
      <c r="AP212" s="323"/>
      <c r="AQ212" s="323"/>
      <c r="AR212" s="323"/>
      <c r="AS212" s="323"/>
      <c r="AT212" s="323"/>
      <c r="AU212" s="323"/>
      <c r="AV212" s="323"/>
      <c r="AW212" s="323"/>
      <c r="AX212" s="323"/>
      <c r="AY212" s="323"/>
      <c r="AZ212" s="351"/>
      <c r="BA212" s="326"/>
      <c r="BB212" s="326"/>
      <c r="BC212" s="326"/>
      <c r="BD212" s="326"/>
      <c r="BE212" s="326"/>
      <c r="BF212" s="351"/>
      <c r="BG212" s="332"/>
      <c r="BH212" s="332"/>
      <c r="BI212" s="332"/>
      <c r="BJ212" s="332"/>
      <c r="BK212" s="332"/>
      <c r="BL212" s="332"/>
      <c r="BM212" s="332"/>
      <c r="BN212" s="251"/>
      <c r="BO212" s="340"/>
      <c r="BP212" s="337"/>
      <c r="BQ212" s="340"/>
      <c r="BR212" s="340"/>
      <c r="BS212" s="340"/>
      <c r="BT212" s="340"/>
      <c r="BU212" s="340"/>
      <c r="BV212" s="340"/>
      <c r="BW212" s="340"/>
      <c r="BX212" s="251"/>
      <c r="BY212" s="345"/>
      <c r="BZ212" s="345"/>
      <c r="CA212" s="345"/>
      <c r="CB212" s="346"/>
      <c r="CC212" s="345"/>
      <c r="CD212" s="345"/>
      <c r="CE212" s="345"/>
      <c r="CF212" s="345"/>
      <c r="CG212" s="345"/>
      <c r="CH212" s="345"/>
      <c r="CI212" s="345"/>
      <c r="CJ212" s="346"/>
      <c r="CK212" s="346"/>
    </row>
    <row r="213">
      <c r="A213" s="821"/>
      <c r="B213" s="241" t="s">
        <v>155</v>
      </c>
      <c r="C213" s="237" t="s">
        <v>155</v>
      </c>
      <c r="D213" s="238" t="s">
        <v>155</v>
      </c>
      <c r="E213" s="239" t="s">
        <v>155</v>
      </c>
      <c r="F213" s="240" t="s">
        <v>155</v>
      </c>
      <c r="G213" s="241" t="s">
        <v>155</v>
      </c>
      <c r="H213" s="308"/>
      <c r="I213" s="308"/>
      <c r="J213" s="308"/>
      <c r="K213" s="308"/>
      <c r="L213" s="308"/>
      <c r="M213" s="308"/>
      <c r="N213" s="308"/>
      <c r="O213" s="308"/>
      <c r="P213" s="251"/>
      <c r="Q213" s="353"/>
      <c r="R213" s="353"/>
      <c r="S213" s="353"/>
      <c r="T213" s="353"/>
      <c r="U213" s="353"/>
      <c r="V213" s="353"/>
      <c r="W213" s="251"/>
      <c r="X213" s="318"/>
      <c r="Y213" s="318"/>
      <c r="Z213" s="318"/>
      <c r="AA213" s="617"/>
      <c r="AB213" s="318"/>
      <c r="AC213" s="318"/>
      <c r="AD213" s="318"/>
      <c r="AE213" s="318"/>
      <c r="AF213" s="318"/>
      <c r="AG213" s="318"/>
      <c r="AH213" s="267"/>
      <c r="AI213" s="251"/>
      <c r="AJ213" s="323"/>
      <c r="AK213" s="323"/>
      <c r="AL213" s="323"/>
      <c r="AM213" s="323"/>
      <c r="AN213" s="323"/>
      <c r="AO213" s="323"/>
      <c r="AP213" s="323"/>
      <c r="AQ213" s="323"/>
      <c r="AR213" s="323"/>
      <c r="AS213" s="323"/>
      <c r="AT213" s="323"/>
      <c r="AU213" s="323"/>
      <c r="AV213" s="323"/>
      <c r="AW213" s="323"/>
      <c r="AX213" s="323"/>
      <c r="AY213" s="323"/>
      <c r="AZ213" s="351"/>
      <c r="BA213" s="326"/>
      <c r="BB213" s="326"/>
      <c r="BC213" s="326"/>
      <c r="BD213" s="326"/>
      <c r="BE213" s="326"/>
      <c r="BF213" s="351"/>
      <c r="BG213" s="332"/>
      <c r="BH213" s="332"/>
      <c r="BI213" s="332"/>
      <c r="BJ213" s="332"/>
      <c r="BK213" s="332"/>
      <c r="BL213" s="332"/>
      <c r="BM213" s="332"/>
      <c r="BN213" s="251"/>
      <c r="BO213" s="340"/>
      <c r="BP213" s="337"/>
      <c r="BQ213" s="340"/>
      <c r="BR213" s="340"/>
      <c r="BS213" s="340"/>
      <c r="BT213" s="340"/>
      <c r="BU213" s="340"/>
      <c r="BV213" s="340"/>
      <c r="BW213" s="340"/>
      <c r="BX213" s="251"/>
      <c r="BY213" s="345"/>
      <c r="BZ213" s="345"/>
      <c r="CA213" s="345"/>
      <c r="CB213" s="346"/>
      <c r="CC213" s="345"/>
      <c r="CD213" s="345"/>
      <c r="CE213" s="345"/>
      <c r="CF213" s="345"/>
      <c r="CG213" s="345"/>
      <c r="CH213" s="345"/>
      <c r="CI213" s="345"/>
      <c r="CJ213" s="346"/>
      <c r="CK213" s="346"/>
    </row>
    <row r="214">
      <c r="A214" s="821"/>
      <c r="B214" s="241" t="s">
        <v>155</v>
      </c>
      <c r="C214" s="237" t="s">
        <v>155</v>
      </c>
      <c r="D214" s="238" t="s">
        <v>155</v>
      </c>
      <c r="E214" s="239" t="s">
        <v>155</v>
      </c>
      <c r="F214" s="240" t="s">
        <v>155</v>
      </c>
      <c r="G214" s="241" t="s">
        <v>155</v>
      </c>
      <c r="H214" s="308"/>
      <c r="I214" s="308"/>
      <c r="J214" s="308"/>
      <c r="K214" s="308"/>
      <c r="L214" s="308"/>
      <c r="M214" s="308"/>
      <c r="N214" s="308"/>
      <c r="O214" s="308"/>
      <c r="P214" s="251"/>
      <c r="Q214" s="353"/>
      <c r="R214" s="353"/>
      <c r="S214" s="353"/>
      <c r="T214" s="353"/>
      <c r="U214" s="353"/>
      <c r="V214" s="353"/>
      <c r="W214" s="251"/>
      <c r="X214" s="318"/>
      <c r="Y214" s="318"/>
      <c r="Z214" s="318"/>
      <c r="AA214" s="617"/>
      <c r="AB214" s="318"/>
      <c r="AC214" s="318"/>
      <c r="AD214" s="318"/>
      <c r="AE214" s="318"/>
      <c r="AF214" s="318"/>
      <c r="AG214" s="318"/>
      <c r="AH214" s="267"/>
      <c r="AI214" s="251"/>
      <c r="AJ214" s="323"/>
      <c r="AK214" s="323"/>
      <c r="AL214" s="323"/>
      <c r="AM214" s="323"/>
      <c r="AN214" s="323"/>
      <c r="AO214" s="323"/>
      <c r="AP214" s="323"/>
      <c r="AQ214" s="323"/>
      <c r="AR214" s="323"/>
      <c r="AS214" s="323"/>
      <c r="AT214" s="323"/>
      <c r="AU214" s="323"/>
      <c r="AV214" s="323"/>
      <c r="AW214" s="323"/>
      <c r="AX214" s="323"/>
      <c r="AY214" s="323"/>
      <c r="AZ214" s="351"/>
      <c r="BA214" s="326"/>
      <c r="BB214" s="326"/>
      <c r="BC214" s="326"/>
      <c r="BD214" s="326"/>
      <c r="BE214" s="326"/>
      <c r="BF214" s="351"/>
      <c r="BG214" s="332"/>
      <c r="BH214" s="332"/>
      <c r="BI214" s="332"/>
      <c r="BJ214" s="332"/>
      <c r="BK214" s="332"/>
      <c r="BL214" s="332"/>
      <c r="BM214" s="332"/>
      <c r="BN214" s="251"/>
      <c r="BO214" s="340"/>
      <c r="BP214" s="337"/>
      <c r="BQ214" s="340"/>
      <c r="BR214" s="340"/>
      <c r="BS214" s="340"/>
      <c r="BT214" s="340"/>
      <c r="BU214" s="340"/>
      <c r="BV214" s="340"/>
      <c r="BW214" s="340"/>
      <c r="BX214" s="251"/>
      <c r="BY214" s="345"/>
      <c r="BZ214" s="345"/>
      <c r="CA214" s="345"/>
      <c r="CB214" s="346"/>
      <c r="CC214" s="345"/>
      <c r="CD214" s="345"/>
      <c r="CE214" s="345"/>
      <c r="CF214" s="345"/>
      <c r="CG214" s="345"/>
      <c r="CH214" s="345"/>
      <c r="CI214" s="345"/>
      <c r="CJ214" s="346"/>
      <c r="CK214" s="346"/>
    </row>
    <row r="215">
      <c r="A215" s="821"/>
      <c r="B215" s="241" t="s">
        <v>155</v>
      </c>
      <c r="C215" s="237" t="s">
        <v>155</v>
      </c>
      <c r="D215" s="238" t="s">
        <v>155</v>
      </c>
      <c r="E215" s="239" t="s">
        <v>155</v>
      </c>
      <c r="F215" s="240" t="s">
        <v>155</v>
      </c>
      <c r="G215" s="241" t="s">
        <v>155</v>
      </c>
      <c r="H215" s="308"/>
      <c r="I215" s="308"/>
      <c r="J215" s="308"/>
      <c r="K215" s="308"/>
      <c r="L215" s="308"/>
      <c r="M215" s="308"/>
      <c r="N215" s="308"/>
      <c r="O215" s="308"/>
      <c r="P215" s="251"/>
      <c r="Q215" s="353"/>
      <c r="R215" s="353"/>
      <c r="S215" s="353"/>
      <c r="T215" s="353"/>
      <c r="U215" s="353"/>
      <c r="V215" s="353"/>
      <c r="W215" s="251"/>
      <c r="X215" s="318"/>
      <c r="Y215" s="318"/>
      <c r="Z215" s="318"/>
      <c r="AA215" s="617"/>
      <c r="AB215" s="318"/>
      <c r="AC215" s="318"/>
      <c r="AD215" s="318"/>
      <c r="AE215" s="318"/>
      <c r="AF215" s="318"/>
      <c r="AG215" s="318"/>
      <c r="AH215" s="267"/>
      <c r="AI215" s="251"/>
      <c r="AJ215" s="323"/>
      <c r="AK215" s="323"/>
      <c r="AL215" s="323"/>
      <c r="AM215" s="323"/>
      <c r="AN215" s="323"/>
      <c r="AO215" s="323"/>
      <c r="AP215" s="323"/>
      <c r="AQ215" s="323"/>
      <c r="AR215" s="323"/>
      <c r="AS215" s="323"/>
      <c r="AT215" s="323"/>
      <c r="AU215" s="323"/>
      <c r="AV215" s="323"/>
      <c r="AW215" s="323"/>
      <c r="AX215" s="323"/>
      <c r="AY215" s="323"/>
      <c r="AZ215" s="351"/>
      <c r="BA215" s="326"/>
      <c r="BB215" s="326"/>
      <c r="BC215" s="326"/>
      <c r="BD215" s="326"/>
      <c r="BE215" s="326"/>
      <c r="BF215" s="351"/>
      <c r="BG215" s="332"/>
      <c r="BH215" s="332"/>
      <c r="BI215" s="332"/>
      <c r="BJ215" s="332"/>
      <c r="BK215" s="332"/>
      <c r="BL215" s="332"/>
      <c r="BM215" s="332"/>
      <c r="BN215" s="251"/>
      <c r="BO215" s="340"/>
      <c r="BP215" s="337"/>
      <c r="BQ215" s="340"/>
      <c r="BR215" s="340"/>
      <c r="BS215" s="340"/>
      <c r="BT215" s="340"/>
      <c r="BU215" s="340"/>
      <c r="BV215" s="340"/>
      <c r="BW215" s="340"/>
      <c r="BX215" s="251"/>
      <c r="BY215" s="345"/>
      <c r="BZ215" s="345"/>
      <c r="CA215" s="345"/>
      <c r="CB215" s="346"/>
      <c r="CC215" s="345"/>
      <c r="CD215" s="345"/>
      <c r="CE215" s="345"/>
      <c r="CF215" s="345"/>
      <c r="CG215" s="345"/>
      <c r="CH215" s="345"/>
      <c r="CI215" s="345"/>
      <c r="CJ215" s="346"/>
      <c r="CK215" s="346"/>
    </row>
    <row r="216">
      <c r="A216" s="821"/>
      <c r="B216" s="241" t="s">
        <v>155</v>
      </c>
      <c r="C216" s="237" t="s">
        <v>155</v>
      </c>
      <c r="D216" s="238" t="s">
        <v>155</v>
      </c>
      <c r="E216" s="239" t="s">
        <v>155</v>
      </c>
      <c r="F216" s="240" t="s">
        <v>155</v>
      </c>
      <c r="G216" s="241" t="s">
        <v>155</v>
      </c>
      <c r="H216" s="308"/>
      <c r="I216" s="308"/>
      <c r="J216" s="308"/>
      <c r="K216" s="308"/>
      <c r="L216" s="308"/>
      <c r="M216" s="308"/>
      <c r="N216" s="308"/>
      <c r="O216" s="308"/>
      <c r="P216" s="251"/>
      <c r="Q216" s="353"/>
      <c r="R216" s="353"/>
      <c r="S216" s="353"/>
      <c r="T216" s="353"/>
      <c r="U216" s="353"/>
      <c r="V216" s="353"/>
      <c r="W216" s="251"/>
      <c r="X216" s="318"/>
      <c r="Y216" s="318"/>
      <c r="Z216" s="318"/>
      <c r="AA216" s="617"/>
      <c r="AB216" s="318"/>
      <c r="AC216" s="318"/>
      <c r="AD216" s="318"/>
      <c r="AE216" s="318"/>
      <c r="AF216" s="318"/>
      <c r="AG216" s="318"/>
      <c r="AH216" s="267"/>
      <c r="AI216" s="251"/>
      <c r="AJ216" s="323"/>
      <c r="AK216" s="323"/>
      <c r="AL216" s="323"/>
      <c r="AM216" s="323"/>
      <c r="AN216" s="323"/>
      <c r="AO216" s="323"/>
      <c r="AP216" s="323"/>
      <c r="AQ216" s="323"/>
      <c r="AR216" s="323"/>
      <c r="AS216" s="323"/>
      <c r="AT216" s="323"/>
      <c r="AU216" s="323"/>
      <c r="AV216" s="323"/>
      <c r="AW216" s="323"/>
      <c r="AX216" s="323"/>
      <c r="AY216" s="323"/>
      <c r="AZ216" s="351"/>
      <c r="BA216" s="326"/>
      <c r="BB216" s="326"/>
      <c r="BC216" s="326"/>
      <c r="BD216" s="326"/>
      <c r="BE216" s="326"/>
      <c r="BF216" s="351"/>
      <c r="BG216" s="332"/>
      <c r="BH216" s="332"/>
      <c r="BI216" s="332"/>
      <c r="BJ216" s="332"/>
      <c r="BK216" s="332"/>
      <c r="BL216" s="332"/>
      <c r="BM216" s="332"/>
      <c r="BN216" s="251"/>
      <c r="BO216" s="340"/>
      <c r="BP216" s="337"/>
      <c r="BQ216" s="340"/>
      <c r="BR216" s="340"/>
      <c r="BS216" s="340"/>
      <c r="BT216" s="340"/>
      <c r="BU216" s="340"/>
      <c r="BV216" s="340"/>
      <c r="BW216" s="340"/>
      <c r="BX216" s="251"/>
      <c r="BY216" s="345"/>
      <c r="BZ216" s="345"/>
      <c r="CA216" s="345"/>
      <c r="CB216" s="346"/>
      <c r="CC216" s="345"/>
      <c r="CD216" s="345"/>
      <c r="CE216" s="345"/>
      <c r="CF216" s="345"/>
      <c r="CG216" s="345"/>
      <c r="CH216" s="345"/>
      <c r="CI216" s="345"/>
      <c r="CJ216" s="346"/>
      <c r="CK216" s="346"/>
    </row>
    <row r="217">
      <c r="A217" s="821"/>
      <c r="B217" s="241" t="s">
        <v>155</v>
      </c>
      <c r="C217" s="237" t="s">
        <v>155</v>
      </c>
      <c r="D217" s="238" t="s">
        <v>155</v>
      </c>
      <c r="E217" s="239" t="s">
        <v>155</v>
      </c>
      <c r="F217" s="240" t="s">
        <v>155</v>
      </c>
      <c r="G217" s="241" t="s">
        <v>155</v>
      </c>
      <c r="H217" s="308"/>
      <c r="I217" s="308"/>
      <c r="J217" s="308"/>
      <c r="K217" s="308"/>
      <c r="L217" s="308"/>
      <c r="M217" s="308"/>
      <c r="N217" s="308"/>
      <c r="O217" s="308"/>
      <c r="P217" s="251"/>
      <c r="Q217" s="353"/>
      <c r="R217" s="353"/>
      <c r="S217" s="353"/>
      <c r="T217" s="353"/>
      <c r="U217" s="353"/>
      <c r="V217" s="353"/>
      <c r="W217" s="251"/>
      <c r="X217" s="318"/>
      <c r="Y217" s="318"/>
      <c r="Z217" s="318"/>
      <c r="AA217" s="617"/>
      <c r="AB217" s="318"/>
      <c r="AC217" s="318"/>
      <c r="AD217" s="318"/>
      <c r="AE217" s="318"/>
      <c r="AF217" s="318"/>
      <c r="AG217" s="318"/>
      <c r="AH217" s="267"/>
      <c r="AI217" s="251"/>
      <c r="AJ217" s="323"/>
      <c r="AK217" s="323"/>
      <c r="AL217" s="323"/>
      <c r="AM217" s="323"/>
      <c r="AN217" s="323"/>
      <c r="AO217" s="323"/>
      <c r="AP217" s="323"/>
      <c r="AQ217" s="323"/>
      <c r="AR217" s="323"/>
      <c r="AS217" s="323"/>
      <c r="AT217" s="323"/>
      <c r="AU217" s="323"/>
      <c r="AV217" s="323"/>
      <c r="AW217" s="323"/>
      <c r="AX217" s="323"/>
      <c r="AY217" s="323"/>
      <c r="AZ217" s="351"/>
      <c r="BA217" s="326"/>
      <c r="BB217" s="326"/>
      <c r="BC217" s="326"/>
      <c r="BD217" s="326"/>
      <c r="BE217" s="326"/>
      <c r="BF217" s="351"/>
      <c r="BG217" s="332"/>
      <c r="BH217" s="332"/>
      <c r="BI217" s="332"/>
      <c r="BJ217" s="332"/>
      <c r="BK217" s="332"/>
      <c r="BL217" s="332"/>
      <c r="BM217" s="332"/>
      <c r="BN217" s="251"/>
      <c r="BO217" s="340"/>
      <c r="BP217" s="337"/>
      <c r="BQ217" s="340"/>
      <c r="BR217" s="340"/>
      <c r="BS217" s="340"/>
      <c r="BT217" s="340"/>
      <c r="BU217" s="340"/>
      <c r="BV217" s="340"/>
      <c r="BW217" s="340"/>
      <c r="BX217" s="251"/>
      <c r="BY217" s="345"/>
      <c r="BZ217" s="345"/>
      <c r="CA217" s="345"/>
      <c r="CB217" s="346"/>
      <c r="CC217" s="345"/>
      <c r="CD217" s="345"/>
      <c r="CE217" s="345"/>
      <c r="CF217" s="345"/>
      <c r="CG217" s="345"/>
      <c r="CH217" s="345"/>
      <c r="CI217" s="345"/>
      <c r="CJ217" s="346"/>
      <c r="CK217" s="346"/>
    </row>
    <row r="218">
      <c r="A218" s="821"/>
      <c r="B218" s="241" t="s">
        <v>155</v>
      </c>
      <c r="C218" s="237" t="s">
        <v>155</v>
      </c>
      <c r="D218" s="238" t="s">
        <v>155</v>
      </c>
      <c r="E218" s="239" t="s">
        <v>155</v>
      </c>
      <c r="F218" s="240" t="s">
        <v>155</v>
      </c>
      <c r="G218" s="241" t="s">
        <v>155</v>
      </c>
      <c r="H218" s="308"/>
      <c r="I218" s="308"/>
      <c r="J218" s="308"/>
      <c r="K218" s="308"/>
      <c r="L218" s="308"/>
      <c r="M218" s="308"/>
      <c r="N218" s="308"/>
      <c r="O218" s="308"/>
      <c r="P218" s="251"/>
      <c r="Q218" s="353"/>
      <c r="R218" s="353"/>
      <c r="S218" s="353"/>
      <c r="T218" s="353"/>
      <c r="U218" s="353"/>
      <c r="V218" s="353"/>
      <c r="W218" s="251"/>
      <c r="X218" s="318"/>
      <c r="Y218" s="318"/>
      <c r="Z218" s="318"/>
      <c r="AA218" s="617"/>
      <c r="AB218" s="318"/>
      <c r="AC218" s="318"/>
      <c r="AD218" s="318"/>
      <c r="AE218" s="318"/>
      <c r="AF218" s="318"/>
      <c r="AG218" s="318"/>
      <c r="AH218" s="267"/>
      <c r="AI218" s="251"/>
      <c r="AJ218" s="323"/>
      <c r="AK218" s="323"/>
      <c r="AL218" s="323"/>
      <c r="AM218" s="323"/>
      <c r="AN218" s="323"/>
      <c r="AO218" s="323"/>
      <c r="AP218" s="323"/>
      <c r="AQ218" s="323"/>
      <c r="AR218" s="323"/>
      <c r="AS218" s="323"/>
      <c r="AT218" s="323"/>
      <c r="AU218" s="323"/>
      <c r="AV218" s="323"/>
      <c r="AW218" s="323"/>
      <c r="AX218" s="323"/>
      <c r="AY218" s="323"/>
      <c r="AZ218" s="351"/>
      <c r="BA218" s="326"/>
      <c r="BB218" s="326"/>
      <c r="BC218" s="326"/>
      <c r="BD218" s="326"/>
      <c r="BE218" s="326"/>
      <c r="BF218" s="351"/>
      <c r="BG218" s="332"/>
      <c r="BH218" s="332"/>
      <c r="BI218" s="332"/>
      <c r="BJ218" s="332"/>
      <c r="BK218" s="332"/>
      <c r="BL218" s="332"/>
      <c r="BM218" s="332"/>
      <c r="BN218" s="251"/>
      <c r="BO218" s="340"/>
      <c r="BP218" s="337"/>
      <c r="BQ218" s="340"/>
      <c r="BR218" s="340"/>
      <c r="BS218" s="340"/>
      <c r="BT218" s="340"/>
      <c r="BU218" s="340"/>
      <c r="BV218" s="340"/>
      <c r="BW218" s="340"/>
      <c r="BX218" s="251"/>
      <c r="BY218" s="345"/>
      <c r="BZ218" s="345"/>
      <c r="CA218" s="345"/>
      <c r="CB218" s="346"/>
      <c r="CC218" s="345"/>
      <c r="CD218" s="345"/>
      <c r="CE218" s="345"/>
      <c r="CF218" s="345"/>
      <c r="CG218" s="345"/>
      <c r="CH218" s="345"/>
      <c r="CI218" s="345"/>
      <c r="CJ218" s="346"/>
      <c r="CK218" s="346"/>
    </row>
    <row r="219">
      <c r="A219" s="821"/>
      <c r="B219" s="241" t="s">
        <v>155</v>
      </c>
      <c r="C219" s="237" t="s">
        <v>155</v>
      </c>
      <c r="D219" s="238" t="s">
        <v>155</v>
      </c>
      <c r="E219" s="239" t="s">
        <v>155</v>
      </c>
      <c r="F219" s="240" t="s">
        <v>155</v>
      </c>
      <c r="G219" s="241" t="s">
        <v>155</v>
      </c>
      <c r="H219" s="308"/>
      <c r="I219" s="308"/>
      <c r="J219" s="308"/>
      <c r="K219" s="308"/>
      <c r="L219" s="308"/>
      <c r="M219" s="308"/>
      <c r="N219" s="308"/>
      <c r="O219" s="308"/>
      <c r="P219" s="251"/>
      <c r="Q219" s="353"/>
      <c r="R219" s="353"/>
      <c r="S219" s="353"/>
      <c r="T219" s="353"/>
      <c r="U219" s="353"/>
      <c r="V219" s="353"/>
      <c r="W219" s="251"/>
      <c r="X219" s="318"/>
      <c r="Y219" s="318"/>
      <c r="Z219" s="318"/>
      <c r="AA219" s="617"/>
      <c r="AB219" s="318"/>
      <c r="AC219" s="318"/>
      <c r="AD219" s="318"/>
      <c r="AE219" s="318"/>
      <c r="AF219" s="318"/>
      <c r="AG219" s="318"/>
      <c r="AH219" s="267"/>
      <c r="AI219" s="251"/>
      <c r="AJ219" s="323"/>
      <c r="AK219" s="323"/>
      <c r="AL219" s="323"/>
      <c r="AM219" s="323"/>
      <c r="AN219" s="323"/>
      <c r="AO219" s="323"/>
      <c r="AP219" s="323"/>
      <c r="AQ219" s="323"/>
      <c r="AR219" s="323"/>
      <c r="AS219" s="323"/>
      <c r="AT219" s="323"/>
      <c r="AU219" s="323"/>
      <c r="AV219" s="323"/>
      <c r="AW219" s="323"/>
      <c r="AX219" s="323"/>
      <c r="AY219" s="323"/>
      <c r="AZ219" s="351"/>
      <c r="BA219" s="326"/>
      <c r="BB219" s="326"/>
      <c r="BC219" s="326"/>
      <c r="BD219" s="326"/>
      <c r="BE219" s="326"/>
      <c r="BF219" s="351"/>
      <c r="BG219" s="332"/>
      <c r="BH219" s="332"/>
      <c r="BI219" s="332"/>
      <c r="BJ219" s="332"/>
      <c r="BK219" s="332"/>
      <c r="BL219" s="332"/>
      <c r="BM219" s="332"/>
      <c r="BN219" s="251"/>
      <c r="BO219" s="340"/>
      <c r="BP219" s="337"/>
      <c r="BQ219" s="340"/>
      <c r="BR219" s="340"/>
      <c r="BS219" s="340"/>
      <c r="BT219" s="340"/>
      <c r="BU219" s="340"/>
      <c r="BV219" s="340"/>
      <c r="BW219" s="340"/>
      <c r="BX219" s="251"/>
      <c r="BY219" s="345"/>
      <c r="BZ219" s="345"/>
      <c r="CA219" s="345"/>
      <c r="CB219" s="346"/>
      <c r="CC219" s="345"/>
      <c r="CD219" s="345"/>
      <c r="CE219" s="345"/>
      <c r="CF219" s="345"/>
      <c r="CG219" s="345"/>
      <c r="CH219" s="345"/>
      <c r="CI219" s="345"/>
      <c r="CJ219" s="346"/>
      <c r="CK219" s="346"/>
    </row>
    <row r="220">
      <c r="A220" s="821"/>
      <c r="B220" s="241" t="s">
        <v>155</v>
      </c>
      <c r="C220" s="237" t="s">
        <v>155</v>
      </c>
      <c r="D220" s="238" t="s">
        <v>155</v>
      </c>
      <c r="E220" s="239" t="s">
        <v>155</v>
      </c>
      <c r="F220" s="240" t="s">
        <v>155</v>
      </c>
      <c r="G220" s="241" t="s">
        <v>155</v>
      </c>
      <c r="H220" s="308"/>
      <c r="I220" s="308"/>
      <c r="J220" s="308"/>
      <c r="K220" s="308"/>
      <c r="L220" s="308"/>
      <c r="M220" s="308"/>
      <c r="N220" s="308"/>
      <c r="O220" s="308"/>
      <c r="P220" s="251"/>
      <c r="Q220" s="353"/>
      <c r="R220" s="353"/>
      <c r="S220" s="353"/>
      <c r="T220" s="353"/>
      <c r="U220" s="353"/>
      <c r="V220" s="353"/>
      <c r="W220" s="251"/>
      <c r="X220" s="318"/>
      <c r="Y220" s="318"/>
      <c r="Z220" s="318"/>
      <c r="AA220" s="617"/>
      <c r="AB220" s="318"/>
      <c r="AC220" s="318"/>
      <c r="AD220" s="318"/>
      <c r="AE220" s="318"/>
      <c r="AF220" s="318"/>
      <c r="AG220" s="318"/>
      <c r="AH220" s="267"/>
      <c r="AI220" s="251"/>
      <c r="AJ220" s="323"/>
      <c r="AK220" s="323"/>
      <c r="AL220" s="323"/>
      <c r="AM220" s="323"/>
      <c r="AN220" s="323"/>
      <c r="AO220" s="323"/>
      <c r="AP220" s="323"/>
      <c r="AQ220" s="323"/>
      <c r="AR220" s="323"/>
      <c r="AS220" s="323"/>
      <c r="AT220" s="323"/>
      <c r="AU220" s="323"/>
      <c r="AV220" s="323"/>
      <c r="AW220" s="323"/>
      <c r="AX220" s="323"/>
      <c r="AY220" s="323"/>
      <c r="AZ220" s="351"/>
      <c r="BA220" s="326"/>
      <c r="BB220" s="326"/>
      <c r="BC220" s="326"/>
      <c r="BD220" s="326"/>
      <c r="BE220" s="326"/>
      <c r="BF220" s="351"/>
      <c r="BG220" s="332"/>
      <c r="BH220" s="332"/>
      <c r="BI220" s="332"/>
      <c r="BJ220" s="332"/>
      <c r="BK220" s="332"/>
      <c r="BL220" s="332"/>
      <c r="BM220" s="332"/>
      <c r="BN220" s="251"/>
      <c r="BO220" s="340"/>
      <c r="BP220" s="337"/>
      <c r="BQ220" s="340"/>
      <c r="BR220" s="340"/>
      <c r="BS220" s="340"/>
      <c r="BT220" s="340"/>
      <c r="BU220" s="340"/>
      <c r="BV220" s="340"/>
      <c r="BW220" s="340"/>
      <c r="BX220" s="251"/>
      <c r="BY220" s="345"/>
      <c r="BZ220" s="345"/>
      <c r="CA220" s="345"/>
      <c r="CB220" s="346"/>
      <c r="CC220" s="345"/>
      <c r="CD220" s="345"/>
      <c r="CE220" s="345"/>
      <c r="CF220" s="345"/>
      <c r="CG220" s="345"/>
      <c r="CH220" s="345"/>
      <c r="CI220" s="345"/>
      <c r="CJ220" s="346"/>
      <c r="CK220" s="346"/>
    </row>
    <row r="221">
      <c r="A221" s="821"/>
      <c r="B221" s="241" t="s">
        <v>155</v>
      </c>
      <c r="C221" s="237" t="s">
        <v>155</v>
      </c>
      <c r="D221" s="238" t="s">
        <v>155</v>
      </c>
      <c r="E221" s="239" t="s">
        <v>155</v>
      </c>
      <c r="F221" s="240" t="s">
        <v>155</v>
      </c>
      <c r="G221" s="241" t="s">
        <v>155</v>
      </c>
      <c r="H221" s="308"/>
      <c r="I221" s="308"/>
      <c r="J221" s="308"/>
      <c r="K221" s="308"/>
      <c r="L221" s="308"/>
      <c r="M221" s="308"/>
      <c r="N221" s="308"/>
      <c r="O221" s="308"/>
      <c r="P221" s="251"/>
      <c r="Q221" s="353"/>
      <c r="R221" s="353"/>
      <c r="S221" s="353"/>
      <c r="T221" s="353"/>
      <c r="U221" s="353"/>
      <c r="V221" s="353"/>
      <c r="W221" s="251"/>
      <c r="X221" s="318"/>
      <c r="Y221" s="318"/>
      <c r="Z221" s="318"/>
      <c r="AA221" s="617"/>
      <c r="AB221" s="318"/>
      <c r="AC221" s="318"/>
      <c r="AD221" s="318"/>
      <c r="AE221" s="318"/>
      <c r="AF221" s="318"/>
      <c r="AG221" s="318"/>
      <c r="AH221" s="267"/>
      <c r="AI221" s="251"/>
      <c r="AJ221" s="323"/>
      <c r="AK221" s="323"/>
      <c r="AL221" s="323"/>
      <c r="AM221" s="323"/>
      <c r="AN221" s="323"/>
      <c r="AO221" s="323"/>
      <c r="AP221" s="323"/>
      <c r="AQ221" s="323"/>
      <c r="AR221" s="323"/>
      <c r="AS221" s="323"/>
      <c r="AT221" s="323"/>
      <c r="AU221" s="323"/>
      <c r="AV221" s="323"/>
      <c r="AW221" s="323"/>
      <c r="AX221" s="323"/>
      <c r="AY221" s="323"/>
      <c r="AZ221" s="351"/>
      <c r="BA221" s="326"/>
      <c r="BB221" s="326"/>
      <c r="BC221" s="326"/>
      <c r="BD221" s="326"/>
      <c r="BE221" s="326"/>
      <c r="BF221" s="351"/>
      <c r="BG221" s="332"/>
      <c r="BH221" s="332"/>
      <c r="BI221" s="332"/>
      <c r="BJ221" s="332"/>
      <c r="BK221" s="332"/>
      <c r="BL221" s="332"/>
      <c r="BM221" s="332"/>
      <c r="BN221" s="251"/>
      <c r="BO221" s="340"/>
      <c r="BP221" s="337"/>
      <c r="BQ221" s="340"/>
      <c r="BR221" s="340"/>
      <c r="BS221" s="340"/>
      <c r="BT221" s="340"/>
      <c r="BU221" s="340"/>
      <c r="BV221" s="340"/>
      <c r="BW221" s="340"/>
      <c r="BX221" s="251"/>
      <c r="BY221" s="345"/>
      <c r="BZ221" s="345"/>
      <c r="CA221" s="345"/>
      <c r="CB221" s="346"/>
      <c r="CC221" s="345"/>
      <c r="CD221" s="345"/>
      <c r="CE221" s="345"/>
      <c r="CF221" s="345"/>
      <c r="CG221" s="345"/>
      <c r="CH221" s="345"/>
      <c r="CI221" s="345"/>
      <c r="CJ221" s="346"/>
      <c r="CK221" s="346"/>
    </row>
    <row r="222">
      <c r="A222" s="821"/>
      <c r="B222" s="241" t="s">
        <v>155</v>
      </c>
      <c r="C222" s="237" t="s">
        <v>155</v>
      </c>
      <c r="D222" s="238" t="s">
        <v>155</v>
      </c>
      <c r="E222" s="239" t="s">
        <v>155</v>
      </c>
      <c r="F222" s="240" t="s">
        <v>155</v>
      </c>
      <c r="G222" s="241" t="s">
        <v>155</v>
      </c>
      <c r="H222" s="308"/>
      <c r="I222" s="308"/>
      <c r="J222" s="308"/>
      <c r="K222" s="308"/>
      <c r="L222" s="308"/>
      <c r="M222" s="308"/>
      <c r="N222" s="308"/>
      <c r="O222" s="308"/>
      <c r="P222" s="251"/>
      <c r="Q222" s="353"/>
      <c r="R222" s="353"/>
      <c r="S222" s="353"/>
      <c r="T222" s="353"/>
      <c r="U222" s="353"/>
      <c r="V222" s="353"/>
      <c r="W222" s="251"/>
      <c r="X222" s="318"/>
      <c r="Y222" s="318"/>
      <c r="Z222" s="318"/>
      <c r="AA222" s="617"/>
      <c r="AB222" s="318"/>
      <c r="AC222" s="318"/>
      <c r="AD222" s="318"/>
      <c r="AE222" s="318"/>
      <c r="AF222" s="318"/>
      <c r="AG222" s="318"/>
      <c r="AH222" s="267"/>
      <c r="AI222" s="251"/>
      <c r="AJ222" s="323"/>
      <c r="AK222" s="323"/>
      <c r="AL222" s="323"/>
      <c r="AM222" s="323"/>
      <c r="AN222" s="323"/>
      <c r="AO222" s="323"/>
      <c r="AP222" s="323"/>
      <c r="AQ222" s="323"/>
      <c r="AR222" s="323"/>
      <c r="AS222" s="323"/>
      <c r="AT222" s="323"/>
      <c r="AU222" s="323"/>
      <c r="AV222" s="323"/>
      <c r="AW222" s="323"/>
      <c r="AX222" s="323"/>
      <c r="AY222" s="323"/>
      <c r="AZ222" s="351"/>
      <c r="BA222" s="326"/>
      <c r="BB222" s="326"/>
      <c r="BC222" s="326"/>
      <c r="BD222" s="326"/>
      <c r="BE222" s="326"/>
      <c r="BF222" s="351"/>
      <c r="BG222" s="332"/>
      <c r="BH222" s="332"/>
      <c r="BI222" s="332"/>
      <c r="BJ222" s="332"/>
      <c r="BK222" s="332"/>
      <c r="BL222" s="332"/>
      <c r="BM222" s="332"/>
      <c r="BN222" s="251"/>
      <c r="BO222" s="340"/>
      <c r="BP222" s="337"/>
      <c r="BQ222" s="340"/>
      <c r="BR222" s="340"/>
      <c r="BS222" s="340"/>
      <c r="BT222" s="340"/>
      <c r="BU222" s="340"/>
      <c r="BV222" s="340"/>
      <c r="BW222" s="340"/>
      <c r="BX222" s="251"/>
      <c r="BY222" s="345"/>
      <c r="BZ222" s="345"/>
      <c r="CA222" s="345"/>
      <c r="CB222" s="346"/>
      <c r="CC222" s="345"/>
      <c r="CD222" s="345"/>
      <c r="CE222" s="345"/>
      <c r="CF222" s="345"/>
      <c r="CG222" s="345"/>
      <c r="CH222" s="345"/>
      <c r="CI222" s="345"/>
      <c r="CJ222" s="346"/>
      <c r="CK222" s="346"/>
    </row>
    <row r="223">
      <c r="A223" s="821"/>
      <c r="B223" s="241" t="s">
        <v>155</v>
      </c>
      <c r="C223" s="237" t="s">
        <v>155</v>
      </c>
      <c r="D223" s="238" t="s">
        <v>155</v>
      </c>
      <c r="E223" s="239" t="s">
        <v>155</v>
      </c>
      <c r="F223" s="240" t="s">
        <v>155</v>
      </c>
      <c r="G223" s="241" t="s">
        <v>155</v>
      </c>
      <c r="H223" s="308"/>
      <c r="I223" s="308"/>
      <c r="J223" s="308"/>
      <c r="K223" s="308"/>
      <c r="L223" s="308"/>
      <c r="M223" s="308"/>
      <c r="N223" s="308"/>
      <c r="O223" s="308"/>
      <c r="P223" s="251"/>
      <c r="Q223" s="353"/>
      <c r="R223" s="353"/>
      <c r="S223" s="353"/>
      <c r="T223" s="353"/>
      <c r="U223" s="353"/>
      <c r="V223" s="353"/>
      <c r="W223" s="251"/>
      <c r="X223" s="318"/>
      <c r="Y223" s="318"/>
      <c r="Z223" s="318"/>
      <c r="AA223" s="617"/>
      <c r="AB223" s="318"/>
      <c r="AC223" s="318"/>
      <c r="AD223" s="318"/>
      <c r="AE223" s="318"/>
      <c r="AF223" s="318"/>
      <c r="AG223" s="318"/>
      <c r="AH223" s="267"/>
      <c r="AI223" s="251"/>
      <c r="AJ223" s="323"/>
      <c r="AK223" s="323"/>
      <c r="AL223" s="323"/>
      <c r="AM223" s="323"/>
      <c r="AN223" s="323"/>
      <c r="AO223" s="323"/>
      <c r="AP223" s="323"/>
      <c r="AQ223" s="323"/>
      <c r="AR223" s="323"/>
      <c r="AS223" s="323"/>
      <c r="AT223" s="323"/>
      <c r="AU223" s="323"/>
      <c r="AV223" s="323"/>
      <c r="AW223" s="323"/>
      <c r="AX223" s="323"/>
      <c r="AY223" s="323"/>
      <c r="AZ223" s="351"/>
      <c r="BA223" s="326"/>
      <c r="BB223" s="326"/>
      <c r="BC223" s="326"/>
      <c r="BD223" s="326"/>
      <c r="BE223" s="326"/>
      <c r="BF223" s="351"/>
      <c r="BG223" s="332"/>
      <c r="BH223" s="332"/>
      <c r="BI223" s="332"/>
      <c r="BJ223" s="332"/>
      <c r="BK223" s="332"/>
      <c r="BL223" s="332"/>
      <c r="BM223" s="332"/>
      <c r="BN223" s="251"/>
      <c r="BO223" s="340"/>
      <c r="BP223" s="337"/>
      <c r="BQ223" s="340"/>
      <c r="BR223" s="340"/>
      <c r="BS223" s="340"/>
      <c r="BT223" s="340"/>
      <c r="BU223" s="340"/>
      <c r="BV223" s="340"/>
      <c r="BW223" s="340"/>
      <c r="BX223" s="251"/>
      <c r="BY223" s="345"/>
      <c r="BZ223" s="345"/>
      <c r="CA223" s="345"/>
      <c r="CB223" s="346"/>
      <c r="CC223" s="345"/>
      <c r="CD223" s="345"/>
      <c r="CE223" s="345"/>
      <c r="CF223" s="345"/>
      <c r="CG223" s="345"/>
      <c r="CH223" s="345"/>
      <c r="CI223" s="345"/>
      <c r="CJ223" s="346"/>
      <c r="CK223" s="346"/>
    </row>
    <row r="224">
      <c r="A224" s="821"/>
      <c r="B224" s="241" t="s">
        <v>155</v>
      </c>
      <c r="C224" s="237" t="s">
        <v>155</v>
      </c>
      <c r="D224" s="238" t="s">
        <v>155</v>
      </c>
      <c r="E224" s="239" t="s">
        <v>155</v>
      </c>
      <c r="F224" s="240" t="s">
        <v>155</v>
      </c>
      <c r="G224" s="241" t="s">
        <v>155</v>
      </c>
      <c r="H224" s="308"/>
      <c r="I224" s="308"/>
      <c r="J224" s="308"/>
      <c r="K224" s="308"/>
      <c r="L224" s="308"/>
      <c r="M224" s="308"/>
      <c r="N224" s="308"/>
      <c r="O224" s="308"/>
      <c r="P224" s="251"/>
      <c r="Q224" s="353"/>
      <c r="R224" s="353"/>
      <c r="S224" s="353"/>
      <c r="T224" s="353"/>
      <c r="U224" s="353"/>
      <c r="V224" s="353"/>
      <c r="W224" s="251"/>
      <c r="X224" s="318"/>
      <c r="Y224" s="318"/>
      <c r="Z224" s="318"/>
      <c r="AA224" s="617"/>
      <c r="AB224" s="318"/>
      <c r="AC224" s="318"/>
      <c r="AD224" s="318"/>
      <c r="AE224" s="318"/>
      <c r="AF224" s="318"/>
      <c r="AG224" s="318"/>
      <c r="AH224" s="267"/>
      <c r="AI224" s="251"/>
      <c r="AJ224" s="323"/>
      <c r="AK224" s="323"/>
      <c r="AL224" s="323"/>
      <c r="AM224" s="323"/>
      <c r="AN224" s="323"/>
      <c r="AO224" s="323"/>
      <c r="AP224" s="323"/>
      <c r="AQ224" s="323"/>
      <c r="AR224" s="323"/>
      <c r="AS224" s="323"/>
      <c r="AT224" s="323"/>
      <c r="AU224" s="323"/>
      <c r="AV224" s="323"/>
      <c r="AW224" s="323"/>
      <c r="AX224" s="323"/>
      <c r="AY224" s="323"/>
      <c r="AZ224" s="351"/>
      <c r="BA224" s="326"/>
      <c r="BB224" s="326"/>
      <c r="BC224" s="326"/>
      <c r="BD224" s="326"/>
      <c r="BE224" s="326"/>
      <c r="BF224" s="351"/>
      <c r="BG224" s="332"/>
      <c r="BH224" s="332"/>
      <c r="BI224" s="332"/>
      <c r="BJ224" s="332"/>
      <c r="BK224" s="332"/>
      <c r="BL224" s="332"/>
      <c r="BM224" s="332"/>
      <c r="BN224" s="251"/>
      <c r="BO224" s="340"/>
      <c r="BP224" s="337"/>
      <c r="BQ224" s="340"/>
      <c r="BR224" s="340"/>
      <c r="BS224" s="340"/>
      <c r="BT224" s="340"/>
      <c r="BU224" s="340"/>
      <c r="BV224" s="340"/>
      <c r="BW224" s="340"/>
      <c r="BX224" s="251"/>
      <c r="BY224" s="345"/>
      <c r="BZ224" s="345"/>
      <c r="CA224" s="345"/>
      <c r="CB224" s="346"/>
      <c r="CC224" s="345"/>
      <c r="CD224" s="345"/>
      <c r="CE224" s="345"/>
      <c r="CF224" s="345"/>
      <c r="CG224" s="345"/>
      <c r="CH224" s="345"/>
      <c r="CI224" s="345"/>
      <c r="CJ224" s="346"/>
      <c r="CK224" s="346"/>
    </row>
    <row r="225">
      <c r="A225" s="821"/>
      <c r="B225" s="241" t="s">
        <v>155</v>
      </c>
      <c r="C225" s="237" t="s">
        <v>155</v>
      </c>
      <c r="D225" s="238" t="s">
        <v>155</v>
      </c>
      <c r="E225" s="239" t="s">
        <v>155</v>
      </c>
      <c r="F225" s="240" t="s">
        <v>155</v>
      </c>
      <c r="G225" s="241" t="s">
        <v>155</v>
      </c>
      <c r="H225" s="308"/>
      <c r="I225" s="308"/>
      <c r="J225" s="308"/>
      <c r="K225" s="308"/>
      <c r="L225" s="308"/>
      <c r="M225" s="308"/>
      <c r="N225" s="308"/>
      <c r="O225" s="308"/>
      <c r="P225" s="251"/>
      <c r="Q225" s="353"/>
      <c r="R225" s="353"/>
      <c r="S225" s="353"/>
      <c r="T225" s="353"/>
      <c r="U225" s="353"/>
      <c r="V225" s="353"/>
      <c r="W225" s="251"/>
      <c r="X225" s="318"/>
      <c r="Y225" s="318"/>
      <c r="Z225" s="318"/>
      <c r="AA225" s="617"/>
      <c r="AB225" s="318"/>
      <c r="AC225" s="318"/>
      <c r="AD225" s="318"/>
      <c r="AE225" s="318"/>
      <c r="AF225" s="318"/>
      <c r="AG225" s="318"/>
      <c r="AH225" s="267"/>
      <c r="AI225" s="251"/>
      <c r="AJ225" s="323"/>
      <c r="AK225" s="323"/>
      <c r="AL225" s="323"/>
      <c r="AM225" s="323"/>
      <c r="AN225" s="323"/>
      <c r="AO225" s="323"/>
      <c r="AP225" s="323"/>
      <c r="AQ225" s="323"/>
      <c r="AR225" s="323"/>
      <c r="AS225" s="323"/>
      <c r="AT225" s="323"/>
      <c r="AU225" s="323"/>
      <c r="AV225" s="323"/>
      <c r="AW225" s="323"/>
      <c r="AX225" s="323"/>
      <c r="AY225" s="323"/>
      <c r="AZ225" s="351"/>
      <c r="BA225" s="326"/>
      <c r="BB225" s="326"/>
      <c r="BC225" s="326"/>
      <c r="BD225" s="326"/>
      <c r="BE225" s="326"/>
      <c r="BF225" s="351"/>
      <c r="BG225" s="332"/>
      <c r="BH225" s="332"/>
      <c r="BI225" s="332"/>
      <c r="BJ225" s="332"/>
      <c r="BK225" s="332"/>
      <c r="BL225" s="332"/>
      <c r="BM225" s="332"/>
      <c r="BN225" s="251"/>
      <c r="BO225" s="340"/>
      <c r="BP225" s="337"/>
      <c r="BQ225" s="340"/>
      <c r="BR225" s="340"/>
      <c r="BS225" s="340"/>
      <c r="BT225" s="340"/>
      <c r="BU225" s="340"/>
      <c r="BV225" s="340"/>
      <c r="BW225" s="340"/>
      <c r="BX225" s="251"/>
      <c r="BY225" s="345"/>
      <c r="BZ225" s="345"/>
      <c r="CA225" s="345"/>
      <c r="CB225" s="346"/>
      <c r="CC225" s="345"/>
      <c r="CD225" s="345"/>
      <c r="CE225" s="345"/>
      <c r="CF225" s="345"/>
      <c r="CG225" s="345"/>
      <c r="CH225" s="345"/>
      <c r="CI225" s="345"/>
      <c r="CJ225" s="346"/>
      <c r="CK225" s="346"/>
    </row>
    <row r="226">
      <c r="A226" s="821"/>
      <c r="B226" s="241" t="s">
        <v>155</v>
      </c>
      <c r="C226" s="237" t="s">
        <v>155</v>
      </c>
      <c r="D226" s="238" t="s">
        <v>155</v>
      </c>
      <c r="E226" s="239" t="s">
        <v>155</v>
      </c>
      <c r="F226" s="240" t="s">
        <v>155</v>
      </c>
      <c r="G226" s="241" t="s">
        <v>155</v>
      </c>
      <c r="H226" s="308"/>
      <c r="I226" s="308"/>
      <c r="J226" s="308"/>
      <c r="K226" s="308"/>
      <c r="L226" s="308"/>
      <c r="M226" s="308"/>
      <c r="N226" s="308"/>
      <c r="O226" s="308"/>
      <c r="P226" s="251"/>
      <c r="Q226" s="353"/>
      <c r="R226" s="353"/>
      <c r="S226" s="353"/>
      <c r="T226" s="353"/>
      <c r="U226" s="353"/>
      <c r="V226" s="353"/>
      <c r="W226" s="251"/>
      <c r="X226" s="318"/>
      <c r="Y226" s="318"/>
      <c r="Z226" s="318"/>
      <c r="AA226" s="617"/>
      <c r="AB226" s="318"/>
      <c r="AC226" s="318"/>
      <c r="AD226" s="318"/>
      <c r="AE226" s="318"/>
      <c r="AF226" s="318"/>
      <c r="AG226" s="318"/>
      <c r="AH226" s="267"/>
      <c r="AI226" s="251"/>
      <c r="AJ226" s="323"/>
      <c r="AK226" s="323"/>
      <c r="AL226" s="323"/>
      <c r="AM226" s="323"/>
      <c r="AN226" s="323"/>
      <c r="AO226" s="323"/>
      <c r="AP226" s="323"/>
      <c r="AQ226" s="323"/>
      <c r="AR226" s="323"/>
      <c r="AS226" s="323"/>
      <c r="AT226" s="323"/>
      <c r="AU226" s="323"/>
      <c r="AV226" s="323"/>
      <c r="AW226" s="323"/>
      <c r="AX226" s="323"/>
      <c r="AY226" s="323"/>
      <c r="AZ226" s="351"/>
      <c r="BA226" s="326"/>
      <c r="BB226" s="326"/>
      <c r="BC226" s="326"/>
      <c r="BD226" s="326"/>
      <c r="BE226" s="326"/>
      <c r="BF226" s="351"/>
      <c r="BG226" s="332"/>
      <c r="BH226" s="332"/>
      <c r="BI226" s="332"/>
      <c r="BJ226" s="332"/>
      <c r="BK226" s="332"/>
      <c r="BL226" s="332"/>
      <c r="BM226" s="332"/>
      <c r="BN226" s="251"/>
      <c r="BO226" s="340"/>
      <c r="BP226" s="337"/>
      <c r="BQ226" s="340"/>
      <c r="BR226" s="340"/>
      <c r="BS226" s="340"/>
      <c r="BT226" s="340"/>
      <c r="BU226" s="340"/>
      <c r="BV226" s="340"/>
      <c r="BW226" s="340"/>
      <c r="BX226" s="251"/>
      <c r="BY226" s="345"/>
      <c r="BZ226" s="345"/>
      <c r="CA226" s="345"/>
      <c r="CB226" s="346"/>
      <c r="CC226" s="345"/>
      <c r="CD226" s="345"/>
      <c r="CE226" s="345"/>
      <c r="CF226" s="345"/>
      <c r="CG226" s="345"/>
      <c r="CH226" s="345"/>
      <c r="CI226" s="345"/>
      <c r="CJ226" s="346"/>
      <c r="CK226" s="346"/>
    </row>
    <row r="227">
      <c r="A227" s="821"/>
      <c r="B227" s="241" t="s">
        <v>155</v>
      </c>
      <c r="C227" s="237" t="s">
        <v>155</v>
      </c>
      <c r="D227" s="238" t="s">
        <v>155</v>
      </c>
      <c r="E227" s="239" t="s">
        <v>155</v>
      </c>
      <c r="F227" s="240" t="s">
        <v>155</v>
      </c>
      <c r="G227" s="241" t="s">
        <v>155</v>
      </c>
      <c r="H227" s="308"/>
      <c r="I227" s="308"/>
      <c r="J227" s="308"/>
      <c r="K227" s="308"/>
      <c r="L227" s="308"/>
      <c r="M227" s="308"/>
      <c r="N227" s="308"/>
      <c r="O227" s="308"/>
      <c r="P227" s="251"/>
      <c r="Q227" s="353"/>
      <c r="R227" s="353"/>
      <c r="S227" s="353"/>
      <c r="T227" s="353"/>
      <c r="U227" s="353"/>
      <c r="V227" s="353"/>
      <c r="W227" s="251"/>
      <c r="X227" s="318"/>
      <c r="Y227" s="318"/>
      <c r="Z227" s="318"/>
      <c r="AA227" s="617"/>
      <c r="AB227" s="318"/>
      <c r="AC227" s="318"/>
      <c r="AD227" s="318"/>
      <c r="AE227" s="318"/>
      <c r="AF227" s="318"/>
      <c r="AG227" s="318"/>
      <c r="AH227" s="267"/>
      <c r="AI227" s="251"/>
      <c r="AJ227" s="323"/>
      <c r="AK227" s="323"/>
      <c r="AL227" s="323"/>
      <c r="AM227" s="323"/>
      <c r="AN227" s="323"/>
      <c r="AO227" s="323"/>
      <c r="AP227" s="323"/>
      <c r="AQ227" s="323"/>
      <c r="AR227" s="323"/>
      <c r="AS227" s="323"/>
      <c r="AT227" s="323"/>
      <c r="AU227" s="323"/>
      <c r="AV227" s="323"/>
      <c r="AW227" s="323"/>
      <c r="AX227" s="323"/>
      <c r="AY227" s="323"/>
      <c r="AZ227" s="351"/>
      <c r="BA227" s="326"/>
      <c r="BB227" s="326"/>
      <c r="BC227" s="326"/>
      <c r="BD227" s="326"/>
      <c r="BE227" s="326"/>
      <c r="BF227" s="351"/>
      <c r="BG227" s="332"/>
      <c r="BH227" s="332"/>
      <c r="BI227" s="332"/>
      <c r="BJ227" s="332"/>
      <c r="BK227" s="332"/>
      <c r="BL227" s="332"/>
      <c r="BM227" s="332"/>
      <c r="BN227" s="251"/>
      <c r="BO227" s="340"/>
      <c r="BP227" s="337"/>
      <c r="BQ227" s="340"/>
      <c r="BR227" s="340"/>
      <c r="BS227" s="340"/>
      <c r="BT227" s="340"/>
      <c r="BU227" s="340"/>
      <c r="BV227" s="340"/>
      <c r="BW227" s="340"/>
      <c r="BX227" s="251"/>
      <c r="BY227" s="345"/>
      <c r="BZ227" s="345"/>
      <c r="CA227" s="345"/>
      <c r="CB227" s="346"/>
      <c r="CC227" s="345"/>
      <c r="CD227" s="345"/>
      <c r="CE227" s="345"/>
      <c r="CF227" s="345"/>
      <c r="CG227" s="345"/>
      <c r="CH227" s="345"/>
      <c r="CI227" s="345"/>
      <c r="CJ227" s="346"/>
      <c r="CK227" s="346"/>
    </row>
    <row r="228">
      <c r="A228" s="821"/>
      <c r="B228" s="241" t="s">
        <v>155</v>
      </c>
      <c r="C228" s="237" t="s">
        <v>155</v>
      </c>
      <c r="D228" s="238" t="s">
        <v>155</v>
      </c>
      <c r="E228" s="239" t="s">
        <v>155</v>
      </c>
      <c r="F228" s="240" t="s">
        <v>155</v>
      </c>
      <c r="G228" s="241" t="s">
        <v>155</v>
      </c>
      <c r="H228" s="308"/>
      <c r="I228" s="308"/>
      <c r="J228" s="308"/>
      <c r="K228" s="308"/>
      <c r="L228" s="308"/>
      <c r="M228" s="308"/>
      <c r="N228" s="308"/>
      <c r="O228" s="308"/>
      <c r="P228" s="251"/>
      <c r="Q228" s="353"/>
      <c r="R228" s="353"/>
      <c r="S228" s="353"/>
      <c r="T228" s="353"/>
      <c r="U228" s="353"/>
      <c r="V228" s="353"/>
      <c r="W228" s="251"/>
      <c r="X228" s="318"/>
      <c r="Y228" s="318"/>
      <c r="Z228" s="318"/>
      <c r="AA228" s="617"/>
      <c r="AB228" s="318"/>
      <c r="AC228" s="318"/>
      <c r="AD228" s="318"/>
      <c r="AE228" s="318"/>
      <c r="AF228" s="318"/>
      <c r="AG228" s="318"/>
      <c r="AH228" s="267"/>
      <c r="AI228" s="251"/>
      <c r="AJ228" s="323"/>
      <c r="AK228" s="323"/>
      <c r="AL228" s="323"/>
      <c r="AM228" s="323"/>
      <c r="AN228" s="323"/>
      <c r="AO228" s="323"/>
      <c r="AP228" s="323"/>
      <c r="AQ228" s="323"/>
      <c r="AR228" s="323"/>
      <c r="AS228" s="323"/>
      <c r="AT228" s="323"/>
      <c r="AU228" s="323"/>
      <c r="AV228" s="323"/>
      <c r="AW228" s="323"/>
      <c r="AX228" s="323"/>
      <c r="AY228" s="323"/>
      <c r="AZ228" s="351"/>
      <c r="BA228" s="326"/>
      <c r="BB228" s="326"/>
      <c r="BC228" s="326"/>
      <c r="BD228" s="326"/>
      <c r="BE228" s="326"/>
      <c r="BF228" s="351"/>
      <c r="BG228" s="332"/>
      <c r="BH228" s="332"/>
      <c r="BI228" s="332"/>
      <c r="BJ228" s="332"/>
      <c r="BK228" s="332"/>
      <c r="BL228" s="332"/>
      <c r="BM228" s="332"/>
      <c r="BN228" s="251"/>
      <c r="BO228" s="340"/>
      <c r="BP228" s="337"/>
      <c r="BQ228" s="340"/>
      <c r="BR228" s="340"/>
      <c r="BS228" s="340"/>
      <c r="BT228" s="340"/>
      <c r="BU228" s="340"/>
      <c r="BV228" s="340"/>
      <c r="BW228" s="340"/>
      <c r="BX228" s="251"/>
      <c r="BY228" s="345"/>
      <c r="BZ228" s="345"/>
      <c r="CA228" s="345"/>
      <c r="CB228" s="346"/>
      <c r="CC228" s="345"/>
      <c r="CD228" s="345"/>
      <c r="CE228" s="345"/>
      <c r="CF228" s="345"/>
      <c r="CG228" s="345"/>
      <c r="CH228" s="345"/>
      <c r="CI228" s="345"/>
      <c r="CJ228" s="346"/>
      <c r="CK228" s="346"/>
    </row>
    <row r="229">
      <c r="A229" s="821"/>
      <c r="B229" s="241" t="s">
        <v>155</v>
      </c>
      <c r="C229" s="237" t="s">
        <v>155</v>
      </c>
      <c r="D229" s="238" t="s">
        <v>155</v>
      </c>
      <c r="E229" s="239" t="s">
        <v>155</v>
      </c>
      <c r="F229" s="240" t="s">
        <v>155</v>
      </c>
      <c r="G229" s="241" t="s">
        <v>155</v>
      </c>
      <c r="H229" s="308"/>
      <c r="I229" s="308"/>
      <c r="J229" s="308"/>
      <c r="K229" s="308"/>
      <c r="L229" s="308"/>
      <c r="M229" s="308"/>
      <c r="N229" s="308"/>
      <c r="O229" s="308"/>
      <c r="P229" s="251"/>
      <c r="Q229" s="353"/>
      <c r="R229" s="353"/>
      <c r="S229" s="353"/>
      <c r="T229" s="353"/>
      <c r="U229" s="353"/>
      <c r="V229" s="353"/>
      <c r="W229" s="251"/>
      <c r="X229" s="318"/>
      <c r="Y229" s="318"/>
      <c r="Z229" s="318"/>
      <c r="AA229" s="617"/>
      <c r="AB229" s="318"/>
      <c r="AC229" s="318"/>
      <c r="AD229" s="318"/>
      <c r="AE229" s="318"/>
      <c r="AF229" s="318"/>
      <c r="AG229" s="318"/>
      <c r="AH229" s="267"/>
      <c r="AI229" s="251"/>
      <c r="AJ229" s="323"/>
      <c r="AK229" s="323"/>
      <c r="AL229" s="323"/>
      <c r="AM229" s="323"/>
      <c r="AN229" s="323"/>
      <c r="AO229" s="323"/>
      <c r="AP229" s="323"/>
      <c r="AQ229" s="323"/>
      <c r="AR229" s="323"/>
      <c r="AS229" s="323"/>
      <c r="AT229" s="323"/>
      <c r="AU229" s="323"/>
      <c r="AV229" s="323"/>
      <c r="AW229" s="323"/>
      <c r="AX229" s="323"/>
      <c r="AY229" s="323"/>
      <c r="AZ229" s="351"/>
      <c r="BA229" s="326"/>
      <c r="BB229" s="326"/>
      <c r="BC229" s="326"/>
      <c r="BD229" s="326"/>
      <c r="BE229" s="326"/>
      <c r="BF229" s="351"/>
      <c r="BG229" s="332"/>
      <c r="BH229" s="332"/>
      <c r="BI229" s="332"/>
      <c r="BJ229" s="332"/>
      <c r="BK229" s="332"/>
      <c r="BL229" s="332"/>
      <c r="BM229" s="332"/>
      <c r="BN229" s="251"/>
      <c r="BO229" s="340"/>
      <c r="BP229" s="337"/>
      <c r="BQ229" s="340"/>
      <c r="BR229" s="340"/>
      <c r="BS229" s="340"/>
      <c r="BT229" s="340"/>
      <c r="BU229" s="340"/>
      <c r="BV229" s="340"/>
      <c r="BW229" s="340"/>
      <c r="BX229" s="251"/>
      <c r="BY229" s="345"/>
      <c r="BZ229" s="345"/>
      <c r="CA229" s="345"/>
      <c r="CB229" s="346"/>
      <c r="CC229" s="345"/>
      <c r="CD229" s="345"/>
      <c r="CE229" s="345"/>
      <c r="CF229" s="345"/>
      <c r="CG229" s="345"/>
      <c r="CH229" s="345"/>
      <c r="CI229" s="345"/>
      <c r="CJ229" s="346"/>
      <c r="CK229" s="346"/>
    </row>
    <row r="230">
      <c r="A230" s="821"/>
      <c r="B230" s="241" t="s">
        <v>155</v>
      </c>
      <c r="C230" s="237" t="s">
        <v>155</v>
      </c>
      <c r="D230" s="238" t="s">
        <v>155</v>
      </c>
      <c r="E230" s="239" t="s">
        <v>155</v>
      </c>
      <c r="F230" s="240" t="s">
        <v>155</v>
      </c>
      <c r="G230" s="241" t="s">
        <v>155</v>
      </c>
      <c r="H230" s="308"/>
      <c r="I230" s="308"/>
      <c r="J230" s="308"/>
      <c r="K230" s="308"/>
      <c r="L230" s="308"/>
      <c r="M230" s="308"/>
      <c r="N230" s="308"/>
      <c r="O230" s="308"/>
      <c r="P230" s="251"/>
      <c r="Q230" s="353"/>
      <c r="R230" s="353"/>
      <c r="S230" s="353"/>
      <c r="T230" s="353"/>
      <c r="U230" s="353"/>
      <c r="V230" s="353"/>
      <c r="W230" s="251"/>
      <c r="X230" s="318"/>
      <c r="Y230" s="318"/>
      <c r="Z230" s="318"/>
      <c r="AA230" s="617"/>
      <c r="AB230" s="318"/>
      <c r="AC230" s="318"/>
      <c r="AD230" s="318"/>
      <c r="AE230" s="318"/>
      <c r="AF230" s="318"/>
      <c r="AG230" s="318"/>
      <c r="AH230" s="267"/>
      <c r="AI230" s="251"/>
      <c r="AJ230" s="323"/>
      <c r="AK230" s="323"/>
      <c r="AL230" s="323"/>
      <c r="AM230" s="323"/>
      <c r="AN230" s="323"/>
      <c r="AO230" s="323"/>
      <c r="AP230" s="323"/>
      <c r="AQ230" s="323"/>
      <c r="AR230" s="323"/>
      <c r="AS230" s="323"/>
      <c r="AT230" s="323"/>
      <c r="AU230" s="323"/>
      <c r="AV230" s="323"/>
      <c r="AW230" s="323"/>
      <c r="AX230" s="323"/>
      <c r="AY230" s="323"/>
      <c r="AZ230" s="351"/>
      <c r="BA230" s="326"/>
      <c r="BB230" s="326"/>
      <c r="BC230" s="326"/>
      <c r="BD230" s="326"/>
      <c r="BE230" s="326"/>
      <c r="BF230" s="351"/>
      <c r="BG230" s="332"/>
      <c r="BH230" s="332"/>
      <c r="BI230" s="332"/>
      <c r="BJ230" s="332"/>
      <c r="BK230" s="332"/>
      <c r="BL230" s="332"/>
      <c r="BM230" s="332"/>
      <c r="BN230" s="251"/>
      <c r="BO230" s="340"/>
      <c r="BP230" s="337"/>
      <c r="BQ230" s="340"/>
      <c r="BR230" s="340"/>
      <c r="BS230" s="340"/>
      <c r="BT230" s="340"/>
      <c r="BU230" s="340"/>
      <c r="BV230" s="340"/>
      <c r="BW230" s="340"/>
      <c r="BX230" s="251"/>
      <c r="BY230" s="345"/>
      <c r="BZ230" s="345"/>
      <c r="CA230" s="345"/>
      <c r="CB230" s="346"/>
      <c r="CC230" s="345"/>
      <c r="CD230" s="345"/>
      <c r="CE230" s="345"/>
      <c r="CF230" s="345"/>
      <c r="CG230" s="345"/>
      <c r="CH230" s="345"/>
      <c r="CI230" s="345"/>
      <c r="CJ230" s="346"/>
      <c r="CK230" s="346"/>
    </row>
    <row r="231">
      <c r="A231" s="821"/>
      <c r="B231" s="241" t="s">
        <v>155</v>
      </c>
      <c r="C231" s="237" t="s">
        <v>155</v>
      </c>
      <c r="D231" s="238" t="s">
        <v>155</v>
      </c>
      <c r="E231" s="239" t="s">
        <v>155</v>
      </c>
      <c r="F231" s="240" t="s">
        <v>155</v>
      </c>
      <c r="G231" s="241" t="s">
        <v>155</v>
      </c>
      <c r="H231" s="308"/>
      <c r="I231" s="308"/>
      <c r="J231" s="308"/>
      <c r="K231" s="308"/>
      <c r="L231" s="308"/>
      <c r="M231" s="308"/>
      <c r="N231" s="308"/>
      <c r="O231" s="308"/>
      <c r="P231" s="251"/>
      <c r="Q231" s="353"/>
      <c r="R231" s="353"/>
      <c r="S231" s="353"/>
      <c r="T231" s="353"/>
      <c r="U231" s="353"/>
      <c r="V231" s="353"/>
      <c r="W231" s="251"/>
      <c r="X231" s="318"/>
      <c r="Y231" s="318"/>
      <c r="Z231" s="318"/>
      <c r="AA231" s="617"/>
      <c r="AB231" s="318"/>
      <c r="AC231" s="318"/>
      <c r="AD231" s="318"/>
      <c r="AE231" s="318"/>
      <c r="AF231" s="318"/>
      <c r="AG231" s="318"/>
      <c r="AH231" s="267"/>
      <c r="AI231" s="251"/>
      <c r="AJ231" s="323"/>
      <c r="AK231" s="323"/>
      <c r="AL231" s="323"/>
      <c r="AM231" s="323"/>
      <c r="AN231" s="323"/>
      <c r="AO231" s="323"/>
      <c r="AP231" s="323"/>
      <c r="AQ231" s="323"/>
      <c r="AR231" s="323"/>
      <c r="AS231" s="323"/>
      <c r="AT231" s="323"/>
      <c r="AU231" s="323"/>
      <c r="AV231" s="323"/>
      <c r="AW231" s="323"/>
      <c r="AX231" s="323"/>
      <c r="AY231" s="323"/>
      <c r="AZ231" s="351"/>
      <c r="BA231" s="326"/>
      <c r="BB231" s="326"/>
      <c r="BC231" s="326"/>
      <c r="BD231" s="326"/>
      <c r="BE231" s="326"/>
      <c r="BF231" s="351"/>
      <c r="BG231" s="332"/>
      <c r="BH231" s="332"/>
      <c r="BI231" s="332"/>
      <c r="BJ231" s="332"/>
      <c r="BK231" s="332"/>
      <c r="BL231" s="332"/>
      <c r="BM231" s="332"/>
      <c r="BN231" s="251"/>
      <c r="BO231" s="340"/>
      <c r="BP231" s="337"/>
      <c r="BQ231" s="340"/>
      <c r="BR231" s="340"/>
      <c r="BS231" s="340"/>
      <c r="BT231" s="340"/>
      <c r="BU231" s="340"/>
      <c r="BV231" s="340"/>
      <c r="BW231" s="340"/>
      <c r="BX231" s="251"/>
      <c r="BY231" s="345"/>
      <c r="BZ231" s="345"/>
      <c r="CA231" s="345"/>
      <c r="CB231" s="346"/>
      <c r="CC231" s="345"/>
      <c r="CD231" s="345"/>
      <c r="CE231" s="345"/>
      <c r="CF231" s="345"/>
      <c r="CG231" s="345"/>
      <c r="CH231" s="345"/>
      <c r="CI231" s="345"/>
      <c r="CJ231" s="346"/>
      <c r="CK231" s="346"/>
    </row>
    <row r="232">
      <c r="A232" s="821"/>
      <c r="B232" s="241" t="s">
        <v>155</v>
      </c>
      <c r="C232" s="237" t="s">
        <v>155</v>
      </c>
      <c r="D232" s="238" t="s">
        <v>155</v>
      </c>
      <c r="E232" s="239" t="s">
        <v>155</v>
      </c>
      <c r="F232" s="240" t="s">
        <v>155</v>
      </c>
      <c r="G232" s="241" t="s">
        <v>155</v>
      </c>
      <c r="H232" s="308"/>
      <c r="I232" s="308"/>
      <c r="J232" s="308"/>
      <c r="K232" s="308"/>
      <c r="L232" s="308"/>
      <c r="M232" s="308"/>
      <c r="N232" s="308"/>
      <c r="O232" s="308"/>
      <c r="P232" s="251"/>
      <c r="Q232" s="353"/>
      <c r="R232" s="353"/>
      <c r="S232" s="353"/>
      <c r="T232" s="353"/>
      <c r="U232" s="353"/>
      <c r="V232" s="353"/>
      <c r="W232" s="251"/>
      <c r="X232" s="318"/>
      <c r="Y232" s="318"/>
      <c r="Z232" s="318"/>
      <c r="AA232" s="617"/>
      <c r="AB232" s="318"/>
      <c r="AC232" s="318"/>
      <c r="AD232" s="318"/>
      <c r="AE232" s="318"/>
      <c r="AF232" s="318"/>
      <c r="AG232" s="318"/>
      <c r="AH232" s="267"/>
      <c r="AI232" s="251"/>
      <c r="AJ232" s="323"/>
      <c r="AK232" s="323"/>
      <c r="AL232" s="323"/>
      <c r="AM232" s="323"/>
      <c r="AN232" s="323"/>
      <c r="AO232" s="323"/>
      <c r="AP232" s="323"/>
      <c r="AQ232" s="323"/>
      <c r="AR232" s="323"/>
      <c r="AS232" s="323"/>
      <c r="AT232" s="323"/>
      <c r="AU232" s="323"/>
      <c r="AV232" s="323"/>
      <c r="AW232" s="323"/>
      <c r="AX232" s="323"/>
      <c r="AY232" s="323"/>
      <c r="AZ232" s="351"/>
      <c r="BA232" s="326"/>
      <c r="BB232" s="326"/>
      <c r="BC232" s="326"/>
      <c r="BD232" s="326"/>
      <c r="BE232" s="326"/>
      <c r="BF232" s="351"/>
      <c r="BG232" s="332"/>
      <c r="BH232" s="332"/>
      <c r="BI232" s="332"/>
      <c r="BJ232" s="332"/>
      <c r="BK232" s="332"/>
      <c r="BL232" s="332"/>
      <c r="BM232" s="332"/>
      <c r="BN232" s="251"/>
      <c r="BO232" s="340"/>
      <c r="BP232" s="337"/>
      <c r="BQ232" s="340"/>
      <c r="BR232" s="340"/>
      <c r="BS232" s="340"/>
      <c r="BT232" s="340"/>
      <c r="BU232" s="340"/>
      <c r="BV232" s="340"/>
      <c r="BW232" s="340"/>
      <c r="BX232" s="251"/>
      <c r="BY232" s="345"/>
      <c r="BZ232" s="345"/>
      <c r="CA232" s="345"/>
      <c r="CB232" s="346"/>
      <c r="CC232" s="345"/>
      <c r="CD232" s="345"/>
      <c r="CE232" s="345"/>
      <c r="CF232" s="345"/>
      <c r="CG232" s="345"/>
      <c r="CH232" s="345"/>
      <c r="CI232" s="345"/>
      <c r="CJ232" s="346"/>
      <c r="CK232" s="346"/>
    </row>
    <row r="233">
      <c r="A233" s="821"/>
      <c r="B233" s="241" t="s">
        <v>155</v>
      </c>
      <c r="C233" s="237" t="s">
        <v>155</v>
      </c>
      <c r="D233" s="238" t="s">
        <v>155</v>
      </c>
      <c r="E233" s="239" t="s">
        <v>155</v>
      </c>
      <c r="F233" s="240" t="s">
        <v>155</v>
      </c>
      <c r="G233" s="241" t="s">
        <v>155</v>
      </c>
      <c r="H233" s="308"/>
      <c r="I233" s="308"/>
      <c r="J233" s="308"/>
      <c r="K233" s="308"/>
      <c r="L233" s="308"/>
      <c r="M233" s="308"/>
      <c r="N233" s="308"/>
      <c r="O233" s="308"/>
      <c r="P233" s="251"/>
      <c r="Q233" s="353"/>
      <c r="R233" s="353"/>
      <c r="S233" s="353"/>
      <c r="T233" s="353"/>
      <c r="U233" s="353"/>
      <c r="V233" s="353"/>
      <c r="W233" s="251"/>
      <c r="X233" s="318"/>
      <c r="Y233" s="318"/>
      <c r="Z233" s="318"/>
      <c r="AA233" s="617"/>
      <c r="AB233" s="318"/>
      <c r="AC233" s="318"/>
      <c r="AD233" s="318"/>
      <c r="AE233" s="318"/>
      <c r="AF233" s="318"/>
      <c r="AG233" s="318"/>
      <c r="AH233" s="267"/>
      <c r="AI233" s="251"/>
      <c r="AJ233" s="323"/>
      <c r="AK233" s="323"/>
      <c r="AL233" s="323"/>
      <c r="AM233" s="323"/>
      <c r="AN233" s="323"/>
      <c r="AO233" s="323"/>
      <c r="AP233" s="323"/>
      <c r="AQ233" s="323"/>
      <c r="AR233" s="323"/>
      <c r="AS233" s="323"/>
      <c r="AT233" s="323"/>
      <c r="AU233" s="323"/>
      <c r="AV233" s="323"/>
      <c r="AW233" s="323"/>
      <c r="AX233" s="323"/>
      <c r="AY233" s="323"/>
      <c r="AZ233" s="351"/>
      <c r="BA233" s="326"/>
      <c r="BB233" s="326"/>
      <c r="BC233" s="326"/>
      <c r="BD233" s="326"/>
      <c r="BE233" s="326"/>
      <c r="BF233" s="351"/>
      <c r="BG233" s="332"/>
      <c r="BH233" s="332"/>
      <c r="BI233" s="332"/>
      <c r="BJ233" s="332"/>
      <c r="BK233" s="332"/>
      <c r="BL233" s="332"/>
      <c r="BM233" s="332"/>
      <c r="BN233" s="251"/>
      <c r="BO233" s="340"/>
      <c r="BP233" s="337"/>
      <c r="BQ233" s="340"/>
      <c r="BR233" s="340"/>
      <c r="BS233" s="340"/>
      <c r="BT233" s="340"/>
      <c r="BU233" s="340"/>
      <c r="BV233" s="340"/>
      <c r="BW233" s="340"/>
      <c r="BX233" s="251"/>
      <c r="BY233" s="345"/>
      <c r="BZ233" s="345"/>
      <c r="CA233" s="345"/>
      <c r="CB233" s="346"/>
      <c r="CC233" s="345"/>
      <c r="CD233" s="345"/>
      <c r="CE233" s="345"/>
      <c r="CF233" s="345"/>
      <c r="CG233" s="345"/>
      <c r="CH233" s="345"/>
      <c r="CI233" s="345"/>
      <c r="CJ233" s="346"/>
      <c r="CK233" s="346"/>
    </row>
    <row r="234">
      <c r="A234" s="821"/>
      <c r="B234" s="241" t="s">
        <v>155</v>
      </c>
      <c r="C234" s="237" t="s">
        <v>155</v>
      </c>
      <c r="D234" s="238" t="s">
        <v>155</v>
      </c>
      <c r="E234" s="239" t="s">
        <v>155</v>
      </c>
      <c r="F234" s="240" t="s">
        <v>155</v>
      </c>
      <c r="G234" s="241" t="s">
        <v>155</v>
      </c>
      <c r="H234" s="308"/>
      <c r="I234" s="308"/>
      <c r="J234" s="308"/>
      <c r="K234" s="308"/>
      <c r="L234" s="308"/>
      <c r="M234" s="308"/>
      <c r="N234" s="308"/>
      <c r="O234" s="308"/>
      <c r="P234" s="251"/>
      <c r="Q234" s="353"/>
      <c r="R234" s="353"/>
      <c r="S234" s="353"/>
      <c r="T234" s="353"/>
      <c r="U234" s="353"/>
      <c r="V234" s="353"/>
      <c r="W234" s="251"/>
      <c r="X234" s="318"/>
      <c r="Y234" s="318"/>
      <c r="Z234" s="318"/>
      <c r="AA234" s="617"/>
      <c r="AB234" s="318"/>
      <c r="AC234" s="318"/>
      <c r="AD234" s="318"/>
      <c r="AE234" s="318"/>
      <c r="AF234" s="318"/>
      <c r="AG234" s="318"/>
      <c r="AH234" s="267"/>
      <c r="AI234" s="251"/>
      <c r="AJ234" s="323"/>
      <c r="AK234" s="323"/>
      <c r="AL234" s="323"/>
      <c r="AM234" s="323"/>
      <c r="AN234" s="323"/>
      <c r="AO234" s="323"/>
      <c r="AP234" s="323"/>
      <c r="AQ234" s="323"/>
      <c r="AR234" s="323"/>
      <c r="AS234" s="323"/>
      <c r="AT234" s="323"/>
      <c r="AU234" s="323"/>
      <c r="AV234" s="323"/>
      <c r="AW234" s="323"/>
      <c r="AX234" s="323"/>
      <c r="AY234" s="323"/>
      <c r="AZ234" s="351"/>
      <c r="BA234" s="326"/>
      <c r="BB234" s="326"/>
      <c r="BC234" s="326"/>
      <c r="BD234" s="326"/>
      <c r="BE234" s="326"/>
      <c r="BF234" s="351"/>
      <c r="BG234" s="332"/>
      <c r="BH234" s="332"/>
      <c r="BI234" s="332"/>
      <c r="BJ234" s="332"/>
      <c r="BK234" s="332"/>
      <c r="BL234" s="332"/>
      <c r="BM234" s="332"/>
      <c r="BN234" s="251"/>
      <c r="BO234" s="340"/>
      <c r="BP234" s="337"/>
      <c r="BQ234" s="340"/>
      <c r="BR234" s="340"/>
      <c r="BS234" s="340"/>
      <c r="BT234" s="340"/>
      <c r="BU234" s="340"/>
      <c r="BV234" s="340"/>
      <c r="BW234" s="340"/>
      <c r="BX234" s="251"/>
      <c r="BY234" s="345"/>
      <c r="BZ234" s="345"/>
      <c r="CA234" s="345"/>
      <c r="CB234" s="346"/>
      <c r="CC234" s="345"/>
      <c r="CD234" s="345"/>
      <c r="CE234" s="345"/>
      <c r="CF234" s="345"/>
      <c r="CG234" s="345"/>
      <c r="CH234" s="345"/>
      <c r="CI234" s="345"/>
      <c r="CJ234" s="346"/>
      <c r="CK234" s="346"/>
    </row>
    <row r="235">
      <c r="A235" s="821"/>
      <c r="B235" s="241" t="s">
        <v>155</v>
      </c>
      <c r="C235" s="237" t="s">
        <v>155</v>
      </c>
      <c r="D235" s="238" t="s">
        <v>155</v>
      </c>
      <c r="E235" s="239" t="s">
        <v>155</v>
      </c>
      <c r="F235" s="240" t="s">
        <v>155</v>
      </c>
      <c r="G235" s="241" t="s">
        <v>155</v>
      </c>
      <c r="H235" s="308"/>
      <c r="I235" s="308"/>
      <c r="J235" s="308"/>
      <c r="K235" s="308"/>
      <c r="L235" s="308"/>
      <c r="M235" s="308"/>
      <c r="N235" s="308"/>
      <c r="O235" s="308"/>
      <c r="P235" s="251"/>
      <c r="Q235" s="353"/>
      <c r="R235" s="353"/>
      <c r="S235" s="353"/>
      <c r="T235" s="353"/>
      <c r="U235" s="353"/>
      <c r="V235" s="353"/>
      <c r="W235" s="251"/>
      <c r="X235" s="318"/>
      <c r="Y235" s="318"/>
      <c r="Z235" s="318"/>
      <c r="AA235" s="617"/>
      <c r="AB235" s="318"/>
      <c r="AC235" s="318"/>
      <c r="AD235" s="318"/>
      <c r="AE235" s="318"/>
      <c r="AF235" s="318"/>
      <c r="AG235" s="318"/>
      <c r="AH235" s="267"/>
      <c r="AI235" s="251"/>
      <c r="AJ235" s="323"/>
      <c r="AK235" s="323"/>
      <c r="AL235" s="323"/>
      <c r="AM235" s="323"/>
      <c r="AN235" s="323"/>
      <c r="AO235" s="323"/>
      <c r="AP235" s="323"/>
      <c r="AQ235" s="323"/>
      <c r="AR235" s="323"/>
      <c r="AS235" s="323"/>
      <c r="AT235" s="323"/>
      <c r="AU235" s="323"/>
      <c r="AV235" s="323"/>
      <c r="AW235" s="323"/>
      <c r="AX235" s="323"/>
      <c r="AY235" s="323"/>
      <c r="AZ235" s="351"/>
      <c r="BA235" s="326"/>
      <c r="BB235" s="326"/>
      <c r="BC235" s="326"/>
      <c r="BD235" s="326"/>
      <c r="BE235" s="326"/>
      <c r="BF235" s="351"/>
      <c r="BG235" s="332"/>
      <c r="BH235" s="332"/>
      <c r="BI235" s="332"/>
      <c r="BJ235" s="332"/>
      <c r="BK235" s="332"/>
      <c r="BL235" s="332"/>
      <c r="BM235" s="332"/>
      <c r="BN235" s="251"/>
      <c r="BO235" s="340"/>
      <c r="BP235" s="337"/>
      <c r="BQ235" s="340"/>
      <c r="BR235" s="340"/>
      <c r="BS235" s="340"/>
      <c r="BT235" s="340"/>
      <c r="BU235" s="340"/>
      <c r="BV235" s="340"/>
      <c r="BW235" s="340"/>
      <c r="BX235" s="251"/>
      <c r="BY235" s="345"/>
      <c r="BZ235" s="345"/>
      <c r="CA235" s="345"/>
      <c r="CB235" s="346"/>
      <c r="CC235" s="345"/>
      <c r="CD235" s="345"/>
      <c r="CE235" s="345"/>
      <c r="CF235" s="345"/>
      <c r="CG235" s="345"/>
      <c r="CH235" s="345"/>
      <c r="CI235" s="345"/>
      <c r="CJ235" s="346"/>
      <c r="CK235" s="346"/>
    </row>
    <row r="236">
      <c r="A236" s="821"/>
      <c r="B236" s="241" t="s">
        <v>155</v>
      </c>
      <c r="C236" s="237" t="s">
        <v>155</v>
      </c>
      <c r="D236" s="238" t="s">
        <v>155</v>
      </c>
      <c r="E236" s="239" t="s">
        <v>155</v>
      </c>
      <c r="F236" s="240" t="s">
        <v>155</v>
      </c>
      <c r="G236" s="241" t="s">
        <v>155</v>
      </c>
      <c r="H236" s="308"/>
      <c r="I236" s="308"/>
      <c r="J236" s="308"/>
      <c r="K236" s="308"/>
      <c r="L236" s="308"/>
      <c r="M236" s="308"/>
      <c r="N236" s="308"/>
      <c r="O236" s="308"/>
      <c r="P236" s="251"/>
      <c r="Q236" s="353"/>
      <c r="R236" s="353"/>
      <c r="S236" s="353"/>
      <c r="T236" s="353"/>
      <c r="U236" s="353"/>
      <c r="V236" s="353"/>
      <c r="W236" s="251"/>
      <c r="X236" s="318"/>
      <c r="Y236" s="318"/>
      <c r="Z236" s="318"/>
      <c r="AA236" s="617"/>
      <c r="AB236" s="318"/>
      <c r="AC236" s="318"/>
      <c r="AD236" s="318"/>
      <c r="AE236" s="318"/>
      <c r="AF236" s="318"/>
      <c r="AG236" s="318"/>
      <c r="AH236" s="267"/>
      <c r="AI236" s="251"/>
      <c r="AJ236" s="323"/>
      <c r="AK236" s="323"/>
      <c r="AL236" s="323"/>
      <c r="AM236" s="323"/>
      <c r="AN236" s="323"/>
      <c r="AO236" s="323"/>
      <c r="AP236" s="323"/>
      <c r="AQ236" s="323"/>
      <c r="AR236" s="323"/>
      <c r="AS236" s="323"/>
      <c r="AT236" s="323"/>
      <c r="AU236" s="323"/>
      <c r="AV236" s="323"/>
      <c r="AW236" s="323"/>
      <c r="AX236" s="323"/>
      <c r="AY236" s="323"/>
      <c r="AZ236" s="351"/>
      <c r="BA236" s="326"/>
      <c r="BB236" s="326"/>
      <c r="BC236" s="326"/>
      <c r="BD236" s="326"/>
      <c r="BE236" s="326"/>
      <c r="BF236" s="351"/>
      <c r="BG236" s="332"/>
      <c r="BH236" s="332"/>
      <c r="BI236" s="332"/>
      <c r="BJ236" s="332"/>
      <c r="BK236" s="332"/>
      <c r="BL236" s="332"/>
      <c r="BM236" s="332"/>
      <c r="BN236" s="251"/>
      <c r="BO236" s="340"/>
      <c r="BP236" s="337"/>
      <c r="BQ236" s="340"/>
      <c r="BR236" s="340"/>
      <c r="BS236" s="340"/>
      <c r="BT236" s="340"/>
      <c r="BU236" s="340"/>
      <c r="BV236" s="340"/>
      <c r="BW236" s="340"/>
      <c r="BX236" s="251"/>
      <c r="BY236" s="345"/>
      <c r="BZ236" s="345"/>
      <c r="CA236" s="345"/>
      <c r="CB236" s="346"/>
      <c r="CC236" s="345"/>
      <c r="CD236" s="345"/>
      <c r="CE236" s="345"/>
      <c r="CF236" s="345"/>
      <c r="CG236" s="345"/>
      <c r="CH236" s="345"/>
      <c r="CI236" s="345"/>
      <c r="CJ236" s="346"/>
      <c r="CK236" s="346"/>
    </row>
    <row r="237">
      <c r="A237" s="821"/>
      <c r="B237" s="241" t="s">
        <v>155</v>
      </c>
      <c r="C237" s="237" t="s">
        <v>155</v>
      </c>
      <c r="D237" s="238" t="s">
        <v>155</v>
      </c>
      <c r="E237" s="239" t="s">
        <v>155</v>
      </c>
      <c r="F237" s="240" t="s">
        <v>155</v>
      </c>
      <c r="G237" s="241" t="s">
        <v>155</v>
      </c>
      <c r="H237" s="308"/>
      <c r="I237" s="308"/>
      <c r="J237" s="308"/>
      <c r="K237" s="308"/>
      <c r="L237" s="308"/>
      <c r="M237" s="308"/>
      <c r="N237" s="308"/>
      <c r="O237" s="308"/>
      <c r="P237" s="251"/>
      <c r="Q237" s="353"/>
      <c r="R237" s="353"/>
      <c r="S237" s="353"/>
      <c r="T237" s="353"/>
      <c r="U237" s="353"/>
      <c r="V237" s="353"/>
      <c r="W237" s="251"/>
      <c r="X237" s="318"/>
      <c r="Y237" s="318"/>
      <c r="Z237" s="318"/>
      <c r="AA237" s="617"/>
      <c r="AB237" s="318"/>
      <c r="AC237" s="318"/>
      <c r="AD237" s="318"/>
      <c r="AE237" s="318"/>
      <c r="AF237" s="318"/>
      <c r="AG237" s="318"/>
      <c r="AH237" s="267"/>
      <c r="AI237" s="251"/>
      <c r="AJ237" s="323"/>
      <c r="AK237" s="323"/>
      <c r="AL237" s="323"/>
      <c r="AM237" s="323"/>
      <c r="AN237" s="323"/>
      <c r="AO237" s="323"/>
      <c r="AP237" s="323"/>
      <c r="AQ237" s="323"/>
      <c r="AR237" s="323"/>
      <c r="AS237" s="323"/>
      <c r="AT237" s="323"/>
      <c r="AU237" s="323"/>
      <c r="AV237" s="323"/>
      <c r="AW237" s="323"/>
      <c r="AX237" s="323"/>
      <c r="AY237" s="323"/>
      <c r="AZ237" s="351"/>
      <c r="BA237" s="326"/>
      <c r="BB237" s="326"/>
      <c r="BC237" s="326"/>
      <c r="BD237" s="326"/>
      <c r="BE237" s="326"/>
      <c r="BF237" s="351"/>
      <c r="BG237" s="332"/>
      <c r="BH237" s="332"/>
      <c r="BI237" s="332"/>
      <c r="BJ237" s="332"/>
      <c r="BK237" s="332"/>
      <c r="BL237" s="332"/>
      <c r="BM237" s="332"/>
      <c r="BN237" s="251"/>
      <c r="BO237" s="340"/>
      <c r="BP237" s="337"/>
      <c r="BQ237" s="340"/>
      <c r="BR237" s="340"/>
      <c r="BS237" s="340"/>
      <c r="BT237" s="340"/>
      <c r="BU237" s="340"/>
      <c r="BV237" s="340"/>
      <c r="BW237" s="340"/>
      <c r="BX237" s="251"/>
      <c r="BY237" s="345"/>
      <c r="BZ237" s="345"/>
      <c r="CA237" s="345"/>
      <c r="CB237" s="346"/>
      <c r="CC237" s="345"/>
      <c r="CD237" s="345"/>
      <c r="CE237" s="345"/>
      <c r="CF237" s="345"/>
      <c r="CG237" s="345"/>
      <c r="CH237" s="345"/>
      <c r="CI237" s="345"/>
      <c r="CJ237" s="346"/>
      <c r="CK237" s="346"/>
    </row>
    <row r="238">
      <c r="A238" s="821"/>
      <c r="B238" s="241" t="s">
        <v>155</v>
      </c>
      <c r="C238" s="237" t="s">
        <v>155</v>
      </c>
      <c r="D238" s="238" t="s">
        <v>155</v>
      </c>
      <c r="E238" s="239" t="s">
        <v>155</v>
      </c>
      <c r="F238" s="240" t="s">
        <v>155</v>
      </c>
      <c r="G238" s="241" t="s">
        <v>155</v>
      </c>
      <c r="H238" s="308"/>
      <c r="I238" s="308"/>
      <c r="J238" s="308"/>
      <c r="K238" s="308"/>
      <c r="L238" s="308"/>
      <c r="M238" s="308"/>
      <c r="N238" s="308"/>
      <c r="O238" s="308"/>
      <c r="P238" s="251"/>
      <c r="Q238" s="353"/>
      <c r="R238" s="353"/>
      <c r="S238" s="353"/>
      <c r="T238" s="353"/>
      <c r="U238" s="353"/>
      <c r="V238" s="353"/>
      <c r="W238" s="251"/>
      <c r="X238" s="318"/>
      <c r="Y238" s="318"/>
      <c r="Z238" s="318"/>
      <c r="AA238" s="617"/>
      <c r="AB238" s="318"/>
      <c r="AC238" s="318"/>
      <c r="AD238" s="318"/>
      <c r="AE238" s="318"/>
      <c r="AF238" s="318"/>
      <c r="AG238" s="318"/>
      <c r="AH238" s="267"/>
      <c r="AI238" s="251"/>
      <c r="AJ238" s="323"/>
      <c r="AK238" s="323"/>
      <c r="AL238" s="323"/>
      <c r="AM238" s="323"/>
      <c r="AN238" s="323"/>
      <c r="AO238" s="323"/>
      <c r="AP238" s="323"/>
      <c r="AQ238" s="323"/>
      <c r="AR238" s="323"/>
      <c r="AS238" s="323"/>
      <c r="AT238" s="323"/>
      <c r="AU238" s="323"/>
      <c r="AV238" s="323"/>
      <c r="AW238" s="323"/>
      <c r="AX238" s="323"/>
      <c r="AY238" s="323"/>
      <c r="AZ238" s="351"/>
      <c r="BA238" s="326"/>
      <c r="BB238" s="326"/>
      <c r="BC238" s="326"/>
      <c r="BD238" s="326"/>
      <c r="BE238" s="326"/>
      <c r="BF238" s="351"/>
      <c r="BG238" s="332"/>
      <c r="BH238" s="332"/>
      <c r="BI238" s="332"/>
      <c r="BJ238" s="332"/>
      <c r="BK238" s="332"/>
      <c r="BL238" s="332"/>
      <c r="BM238" s="332"/>
      <c r="BN238" s="251"/>
      <c r="BO238" s="340"/>
      <c r="BP238" s="337"/>
      <c r="BQ238" s="340"/>
      <c r="BR238" s="340"/>
      <c r="BS238" s="340"/>
      <c r="BT238" s="340"/>
      <c r="BU238" s="340"/>
      <c r="BV238" s="340"/>
      <c r="BW238" s="340"/>
      <c r="BX238" s="251"/>
      <c r="BY238" s="345"/>
      <c r="BZ238" s="345"/>
      <c r="CA238" s="345"/>
      <c r="CB238" s="346"/>
      <c r="CC238" s="345"/>
      <c r="CD238" s="345"/>
      <c r="CE238" s="345"/>
      <c r="CF238" s="345"/>
      <c r="CG238" s="345"/>
      <c r="CH238" s="345"/>
      <c r="CI238" s="345"/>
      <c r="CJ238" s="346"/>
      <c r="CK238" s="346"/>
    </row>
    <row r="239">
      <c r="A239" s="821"/>
      <c r="B239" s="241" t="s">
        <v>155</v>
      </c>
      <c r="C239" s="237" t="s">
        <v>155</v>
      </c>
      <c r="D239" s="238" t="s">
        <v>155</v>
      </c>
      <c r="E239" s="239" t="s">
        <v>155</v>
      </c>
      <c r="F239" s="240" t="s">
        <v>155</v>
      </c>
      <c r="G239" s="241" t="s">
        <v>155</v>
      </c>
      <c r="H239" s="308"/>
      <c r="I239" s="308"/>
      <c r="J239" s="308"/>
      <c r="K239" s="308"/>
      <c r="L239" s="308"/>
      <c r="M239" s="308"/>
      <c r="N239" s="308"/>
      <c r="O239" s="308"/>
      <c r="P239" s="251"/>
      <c r="Q239" s="353"/>
      <c r="R239" s="353"/>
      <c r="S239" s="353"/>
      <c r="T239" s="353"/>
      <c r="U239" s="353"/>
      <c r="V239" s="353"/>
      <c r="W239" s="251"/>
      <c r="X239" s="318"/>
      <c r="Y239" s="318"/>
      <c r="Z239" s="318"/>
      <c r="AA239" s="617"/>
      <c r="AB239" s="318"/>
      <c r="AC239" s="318"/>
      <c r="AD239" s="318"/>
      <c r="AE239" s="318"/>
      <c r="AF239" s="318"/>
      <c r="AG239" s="318"/>
      <c r="AH239" s="267"/>
      <c r="AI239" s="251"/>
      <c r="AJ239" s="323"/>
      <c r="AK239" s="323"/>
      <c r="AL239" s="323"/>
      <c r="AM239" s="323"/>
      <c r="AN239" s="323"/>
      <c r="AO239" s="323"/>
      <c r="AP239" s="323"/>
      <c r="AQ239" s="323"/>
      <c r="AR239" s="323"/>
      <c r="AS239" s="323"/>
      <c r="AT239" s="323"/>
      <c r="AU239" s="323"/>
      <c r="AV239" s="323"/>
      <c r="AW239" s="323"/>
      <c r="AX239" s="323"/>
      <c r="AY239" s="323"/>
      <c r="AZ239" s="351"/>
      <c r="BA239" s="326"/>
      <c r="BB239" s="326"/>
      <c r="BC239" s="326"/>
      <c r="BD239" s="326"/>
      <c r="BE239" s="326"/>
      <c r="BF239" s="351"/>
      <c r="BG239" s="332"/>
      <c r="BH239" s="332"/>
      <c r="BI239" s="332"/>
      <c r="BJ239" s="332"/>
      <c r="BK239" s="332"/>
      <c r="BL239" s="332"/>
      <c r="BM239" s="332"/>
      <c r="BN239" s="251"/>
      <c r="BO239" s="340"/>
      <c r="BP239" s="337"/>
      <c r="BQ239" s="340"/>
      <c r="BR239" s="340"/>
      <c r="BS239" s="340"/>
      <c r="BT239" s="340"/>
      <c r="BU239" s="340"/>
      <c r="BV239" s="340"/>
      <c r="BW239" s="340"/>
      <c r="BX239" s="251"/>
      <c r="BY239" s="345"/>
      <c r="BZ239" s="345"/>
      <c r="CA239" s="345"/>
      <c r="CB239" s="346"/>
      <c r="CC239" s="345"/>
      <c r="CD239" s="345"/>
      <c r="CE239" s="345"/>
      <c r="CF239" s="345"/>
      <c r="CG239" s="345"/>
      <c r="CH239" s="345"/>
      <c r="CI239" s="345"/>
      <c r="CJ239" s="346"/>
      <c r="CK239" s="346"/>
    </row>
    <row r="240">
      <c r="A240" s="821"/>
      <c r="B240" s="241" t="s">
        <v>155</v>
      </c>
      <c r="C240" s="237" t="s">
        <v>155</v>
      </c>
      <c r="D240" s="238" t="s">
        <v>155</v>
      </c>
      <c r="E240" s="239" t="s">
        <v>155</v>
      </c>
      <c r="F240" s="240" t="s">
        <v>155</v>
      </c>
      <c r="G240" s="241" t="s">
        <v>155</v>
      </c>
      <c r="H240" s="308"/>
      <c r="I240" s="308"/>
      <c r="J240" s="308"/>
      <c r="K240" s="308"/>
      <c r="L240" s="308"/>
      <c r="M240" s="308"/>
      <c r="N240" s="308"/>
      <c r="O240" s="308"/>
      <c r="P240" s="251"/>
      <c r="Q240" s="353"/>
      <c r="R240" s="353"/>
      <c r="S240" s="353"/>
      <c r="T240" s="353"/>
      <c r="U240" s="353"/>
      <c r="V240" s="353"/>
      <c r="W240" s="251"/>
      <c r="X240" s="318"/>
      <c r="Y240" s="318"/>
      <c r="Z240" s="318"/>
      <c r="AA240" s="617"/>
      <c r="AB240" s="318"/>
      <c r="AC240" s="318"/>
      <c r="AD240" s="318"/>
      <c r="AE240" s="318"/>
      <c r="AF240" s="318"/>
      <c r="AG240" s="318"/>
      <c r="AH240" s="267"/>
      <c r="AI240" s="251"/>
      <c r="AJ240" s="323"/>
      <c r="AK240" s="323"/>
      <c r="AL240" s="323"/>
      <c r="AM240" s="323"/>
      <c r="AN240" s="323"/>
      <c r="AO240" s="323"/>
      <c r="AP240" s="323"/>
      <c r="AQ240" s="323"/>
      <c r="AR240" s="323"/>
      <c r="AS240" s="323"/>
      <c r="AT240" s="323"/>
      <c r="AU240" s="323"/>
      <c r="AV240" s="323"/>
      <c r="AW240" s="323"/>
      <c r="AX240" s="323"/>
      <c r="AY240" s="323"/>
      <c r="AZ240" s="351"/>
      <c r="BA240" s="326"/>
      <c r="BB240" s="326"/>
      <c r="BC240" s="326"/>
      <c r="BD240" s="326"/>
      <c r="BE240" s="326"/>
      <c r="BF240" s="351"/>
      <c r="BG240" s="332"/>
      <c r="BH240" s="332"/>
      <c r="BI240" s="332"/>
      <c r="BJ240" s="332"/>
      <c r="BK240" s="332"/>
      <c r="BL240" s="332"/>
      <c r="BM240" s="332"/>
      <c r="BN240" s="251"/>
      <c r="BO240" s="340"/>
      <c r="BP240" s="337"/>
      <c r="BQ240" s="340"/>
      <c r="BR240" s="340"/>
      <c r="BS240" s="340"/>
      <c r="BT240" s="340"/>
      <c r="BU240" s="340"/>
      <c r="BV240" s="340"/>
      <c r="BW240" s="340"/>
      <c r="BX240" s="251"/>
      <c r="BY240" s="345"/>
      <c r="BZ240" s="345"/>
      <c r="CA240" s="345"/>
      <c r="CB240" s="346"/>
      <c r="CC240" s="345"/>
      <c r="CD240" s="345"/>
      <c r="CE240" s="345"/>
      <c r="CF240" s="345"/>
      <c r="CG240" s="345"/>
      <c r="CH240" s="345"/>
      <c r="CI240" s="345"/>
      <c r="CJ240" s="346"/>
      <c r="CK240" s="346"/>
    </row>
    <row r="241">
      <c r="A241" s="821"/>
      <c r="B241" s="241" t="s">
        <v>155</v>
      </c>
      <c r="C241" s="237" t="s">
        <v>155</v>
      </c>
      <c r="D241" s="238" t="s">
        <v>155</v>
      </c>
      <c r="E241" s="239" t="s">
        <v>155</v>
      </c>
      <c r="F241" s="240" t="s">
        <v>155</v>
      </c>
      <c r="G241" s="241" t="s">
        <v>155</v>
      </c>
      <c r="H241" s="308"/>
      <c r="I241" s="308"/>
      <c r="J241" s="308"/>
      <c r="K241" s="308"/>
      <c r="L241" s="308"/>
      <c r="M241" s="308"/>
      <c r="N241" s="308"/>
      <c r="O241" s="308"/>
      <c r="P241" s="251"/>
      <c r="Q241" s="353"/>
      <c r="R241" s="353"/>
      <c r="S241" s="353"/>
      <c r="T241" s="353"/>
      <c r="U241" s="353"/>
      <c r="V241" s="353"/>
      <c r="W241" s="251"/>
      <c r="X241" s="318"/>
      <c r="Y241" s="318"/>
      <c r="Z241" s="318"/>
      <c r="AA241" s="617"/>
      <c r="AB241" s="318"/>
      <c r="AC241" s="318"/>
      <c r="AD241" s="318"/>
      <c r="AE241" s="318"/>
      <c r="AF241" s="318"/>
      <c r="AG241" s="318"/>
      <c r="AH241" s="267"/>
      <c r="AI241" s="251"/>
      <c r="AJ241" s="323"/>
      <c r="AK241" s="323"/>
      <c r="AL241" s="323"/>
      <c r="AM241" s="323"/>
      <c r="AN241" s="323"/>
      <c r="AO241" s="323"/>
      <c r="AP241" s="323"/>
      <c r="AQ241" s="323"/>
      <c r="AR241" s="323"/>
      <c r="AS241" s="323"/>
      <c r="AT241" s="323"/>
      <c r="AU241" s="323"/>
      <c r="AV241" s="323"/>
      <c r="AW241" s="323"/>
      <c r="AX241" s="323"/>
      <c r="AY241" s="323"/>
      <c r="AZ241" s="351"/>
      <c r="BA241" s="326"/>
      <c r="BB241" s="326"/>
      <c r="BC241" s="326"/>
      <c r="BD241" s="326"/>
      <c r="BE241" s="326"/>
      <c r="BF241" s="351"/>
      <c r="BG241" s="332"/>
      <c r="BH241" s="332"/>
      <c r="BI241" s="332"/>
      <c r="BJ241" s="332"/>
      <c r="BK241" s="332"/>
      <c r="BL241" s="332"/>
      <c r="BM241" s="332"/>
      <c r="BN241" s="251"/>
      <c r="BO241" s="340"/>
      <c r="BP241" s="337"/>
      <c r="BQ241" s="340"/>
      <c r="BR241" s="340"/>
      <c r="BS241" s="340"/>
      <c r="BT241" s="340"/>
      <c r="BU241" s="340"/>
      <c r="BV241" s="340"/>
      <c r="BW241" s="340"/>
      <c r="BX241" s="251"/>
      <c r="BY241" s="345"/>
      <c r="BZ241" s="345"/>
      <c r="CA241" s="345"/>
      <c r="CB241" s="346"/>
      <c r="CC241" s="345"/>
      <c r="CD241" s="345"/>
      <c r="CE241" s="345"/>
      <c r="CF241" s="345"/>
      <c r="CG241" s="345"/>
      <c r="CH241" s="345"/>
      <c r="CI241" s="345"/>
      <c r="CJ241" s="346"/>
      <c r="CK241" s="346"/>
    </row>
    <row r="242">
      <c r="A242" s="821"/>
      <c r="B242" s="241" t="s">
        <v>155</v>
      </c>
      <c r="C242" s="237" t="s">
        <v>155</v>
      </c>
      <c r="D242" s="238" t="s">
        <v>155</v>
      </c>
      <c r="E242" s="239" t="s">
        <v>155</v>
      </c>
      <c r="F242" s="240" t="s">
        <v>155</v>
      </c>
      <c r="G242" s="241" t="s">
        <v>155</v>
      </c>
      <c r="H242" s="308"/>
      <c r="I242" s="308"/>
      <c r="J242" s="308"/>
      <c r="K242" s="308"/>
      <c r="L242" s="308"/>
      <c r="M242" s="308"/>
      <c r="N242" s="308"/>
      <c r="O242" s="308"/>
      <c r="P242" s="251"/>
      <c r="Q242" s="353"/>
      <c r="R242" s="353"/>
      <c r="S242" s="353"/>
      <c r="T242" s="353"/>
      <c r="U242" s="353"/>
      <c r="V242" s="353"/>
      <c r="W242" s="251"/>
      <c r="X242" s="318"/>
      <c r="Y242" s="318"/>
      <c r="Z242" s="318"/>
      <c r="AA242" s="617"/>
      <c r="AB242" s="318"/>
      <c r="AC242" s="318"/>
      <c r="AD242" s="318"/>
      <c r="AE242" s="318"/>
      <c r="AF242" s="318"/>
      <c r="AG242" s="318"/>
      <c r="AH242" s="267"/>
      <c r="AI242" s="251"/>
      <c r="AJ242" s="323"/>
      <c r="AK242" s="323"/>
      <c r="AL242" s="323"/>
      <c r="AM242" s="323"/>
      <c r="AN242" s="323"/>
      <c r="AO242" s="323"/>
      <c r="AP242" s="323"/>
      <c r="AQ242" s="323"/>
      <c r="AR242" s="323"/>
      <c r="AS242" s="323"/>
      <c r="AT242" s="323"/>
      <c r="AU242" s="323"/>
      <c r="AV242" s="323"/>
      <c r="AW242" s="323"/>
      <c r="AX242" s="323"/>
      <c r="AY242" s="323"/>
      <c r="AZ242" s="351"/>
      <c r="BA242" s="326"/>
      <c r="BB242" s="326"/>
      <c r="BC242" s="326"/>
      <c r="BD242" s="326"/>
      <c r="BE242" s="326"/>
      <c r="BF242" s="351"/>
      <c r="BG242" s="332"/>
      <c r="BH242" s="332"/>
      <c r="BI242" s="332"/>
      <c r="BJ242" s="332"/>
      <c r="BK242" s="332"/>
      <c r="BL242" s="332"/>
      <c r="BM242" s="332"/>
      <c r="BN242" s="251"/>
      <c r="BO242" s="340"/>
      <c r="BP242" s="337"/>
      <c r="BQ242" s="340"/>
      <c r="BR242" s="340"/>
      <c r="BS242" s="340"/>
      <c r="BT242" s="340"/>
      <c r="BU242" s="340"/>
      <c r="BV242" s="340"/>
      <c r="BW242" s="340"/>
      <c r="BX242" s="251"/>
      <c r="BY242" s="345"/>
      <c r="BZ242" s="345"/>
      <c r="CA242" s="345"/>
      <c r="CB242" s="346"/>
      <c r="CC242" s="345"/>
      <c r="CD242" s="345"/>
      <c r="CE242" s="345"/>
      <c r="CF242" s="345"/>
      <c r="CG242" s="345"/>
      <c r="CH242" s="345"/>
      <c r="CI242" s="345"/>
      <c r="CJ242" s="346"/>
      <c r="CK242" s="346"/>
    </row>
    <row r="243">
      <c r="A243" s="821"/>
      <c r="B243" s="241" t="s">
        <v>155</v>
      </c>
      <c r="C243" s="237" t="s">
        <v>155</v>
      </c>
      <c r="D243" s="238" t="s">
        <v>155</v>
      </c>
      <c r="E243" s="239" t="s">
        <v>155</v>
      </c>
      <c r="F243" s="240" t="s">
        <v>155</v>
      </c>
      <c r="G243" s="241" t="s">
        <v>155</v>
      </c>
      <c r="H243" s="308"/>
      <c r="I243" s="308"/>
      <c r="J243" s="308"/>
      <c r="K243" s="308"/>
      <c r="L243" s="308"/>
      <c r="M243" s="308"/>
      <c r="N243" s="308"/>
      <c r="O243" s="308"/>
      <c r="P243" s="251"/>
      <c r="Q243" s="353"/>
      <c r="R243" s="353"/>
      <c r="S243" s="353"/>
      <c r="T243" s="353"/>
      <c r="U243" s="353"/>
      <c r="V243" s="353"/>
      <c r="W243" s="251"/>
      <c r="X243" s="318"/>
      <c r="Y243" s="318"/>
      <c r="Z243" s="318"/>
      <c r="AA243" s="617"/>
      <c r="AB243" s="318"/>
      <c r="AC243" s="318"/>
      <c r="AD243" s="318"/>
      <c r="AE243" s="318"/>
      <c r="AF243" s="318"/>
      <c r="AG243" s="318"/>
      <c r="AH243" s="267"/>
      <c r="AI243" s="251"/>
      <c r="AJ243" s="323"/>
      <c r="AK243" s="323"/>
      <c r="AL243" s="323"/>
      <c r="AM243" s="323"/>
      <c r="AN243" s="323"/>
      <c r="AO243" s="323"/>
      <c r="AP243" s="323"/>
      <c r="AQ243" s="323"/>
      <c r="AR243" s="323"/>
      <c r="AS243" s="323"/>
      <c r="AT243" s="323"/>
      <c r="AU243" s="323"/>
      <c r="AV243" s="323"/>
      <c r="AW243" s="323"/>
      <c r="AX243" s="323"/>
      <c r="AY243" s="323"/>
      <c r="AZ243" s="351"/>
      <c r="BA243" s="326"/>
      <c r="BB243" s="326"/>
      <c r="BC243" s="326"/>
      <c r="BD243" s="326"/>
      <c r="BE243" s="326"/>
      <c r="BF243" s="351"/>
      <c r="BG243" s="332"/>
      <c r="BH243" s="332"/>
      <c r="BI243" s="332"/>
      <c r="BJ243" s="332"/>
      <c r="BK243" s="332"/>
      <c r="BL243" s="332"/>
      <c r="BM243" s="332"/>
      <c r="BN243" s="251"/>
      <c r="BO243" s="340"/>
      <c r="BP243" s="337"/>
      <c r="BQ243" s="340"/>
      <c r="BR243" s="340"/>
      <c r="BS243" s="340"/>
      <c r="BT243" s="340"/>
      <c r="BU243" s="340"/>
      <c r="BV243" s="340"/>
      <c r="BW243" s="340"/>
      <c r="BX243" s="251"/>
      <c r="BY243" s="345"/>
      <c r="BZ243" s="345"/>
      <c r="CA243" s="345"/>
      <c r="CB243" s="346"/>
      <c r="CC243" s="345"/>
      <c r="CD243" s="345"/>
      <c r="CE243" s="345"/>
      <c r="CF243" s="345"/>
      <c r="CG243" s="345"/>
      <c r="CH243" s="345"/>
      <c r="CI243" s="345"/>
      <c r="CJ243" s="346"/>
      <c r="CK243" s="346"/>
    </row>
    <row r="244">
      <c r="A244" s="821"/>
      <c r="B244" s="241" t="s">
        <v>155</v>
      </c>
      <c r="C244" s="237" t="s">
        <v>155</v>
      </c>
      <c r="D244" s="238" t="s">
        <v>155</v>
      </c>
      <c r="E244" s="239" t="s">
        <v>155</v>
      </c>
      <c r="F244" s="240" t="s">
        <v>155</v>
      </c>
      <c r="G244" s="241" t="s">
        <v>155</v>
      </c>
      <c r="H244" s="308"/>
      <c r="I244" s="308"/>
      <c r="J244" s="308"/>
      <c r="K244" s="308"/>
      <c r="L244" s="308"/>
      <c r="M244" s="308"/>
      <c r="N244" s="308"/>
      <c r="O244" s="308"/>
      <c r="P244" s="251"/>
      <c r="Q244" s="353"/>
      <c r="R244" s="353"/>
      <c r="S244" s="353"/>
      <c r="T244" s="353"/>
      <c r="U244" s="353"/>
      <c r="V244" s="353"/>
      <c r="W244" s="251"/>
      <c r="X244" s="318"/>
      <c r="Y244" s="318"/>
      <c r="Z244" s="318"/>
      <c r="AA244" s="617"/>
      <c r="AB244" s="318"/>
      <c r="AC244" s="318"/>
      <c r="AD244" s="318"/>
      <c r="AE244" s="318"/>
      <c r="AF244" s="318"/>
      <c r="AG244" s="318"/>
      <c r="AH244" s="267"/>
      <c r="AI244" s="251"/>
      <c r="AJ244" s="323"/>
      <c r="AK244" s="323"/>
      <c r="AL244" s="323"/>
      <c r="AM244" s="323"/>
      <c r="AN244" s="323"/>
      <c r="AO244" s="323"/>
      <c r="AP244" s="323"/>
      <c r="AQ244" s="323"/>
      <c r="AR244" s="323"/>
      <c r="AS244" s="323"/>
      <c r="AT244" s="323"/>
      <c r="AU244" s="323"/>
      <c r="AV244" s="323"/>
      <c r="AW244" s="323"/>
      <c r="AX244" s="323"/>
      <c r="AY244" s="323"/>
      <c r="AZ244" s="351"/>
      <c r="BA244" s="326"/>
      <c r="BB244" s="326"/>
      <c r="BC244" s="326"/>
      <c r="BD244" s="326"/>
      <c r="BE244" s="326"/>
      <c r="BF244" s="351"/>
      <c r="BG244" s="332"/>
      <c r="BH244" s="332"/>
      <c r="BI244" s="332"/>
      <c r="BJ244" s="332"/>
      <c r="BK244" s="332"/>
      <c r="BL244" s="332"/>
      <c r="BM244" s="332"/>
      <c r="BN244" s="251"/>
      <c r="BO244" s="340"/>
      <c r="BP244" s="337"/>
      <c r="BQ244" s="340"/>
      <c r="BR244" s="340"/>
      <c r="BS244" s="340"/>
      <c r="BT244" s="340"/>
      <c r="BU244" s="340"/>
      <c r="BV244" s="340"/>
      <c r="BW244" s="340"/>
      <c r="BX244" s="251"/>
      <c r="BY244" s="345"/>
      <c r="BZ244" s="345"/>
      <c r="CA244" s="345"/>
      <c r="CB244" s="346"/>
      <c r="CC244" s="345"/>
      <c r="CD244" s="345"/>
      <c r="CE244" s="345"/>
      <c r="CF244" s="345"/>
      <c r="CG244" s="345"/>
      <c r="CH244" s="345"/>
      <c r="CI244" s="345"/>
      <c r="CJ244" s="346"/>
      <c r="CK244" s="346"/>
    </row>
    <row r="245">
      <c r="A245" s="821"/>
      <c r="B245" s="241" t="s">
        <v>155</v>
      </c>
      <c r="C245" s="237" t="s">
        <v>155</v>
      </c>
      <c r="D245" s="238" t="s">
        <v>155</v>
      </c>
      <c r="E245" s="239" t="s">
        <v>155</v>
      </c>
      <c r="F245" s="240" t="s">
        <v>155</v>
      </c>
      <c r="G245" s="241" t="s">
        <v>155</v>
      </c>
      <c r="H245" s="308"/>
      <c r="I245" s="308"/>
      <c r="J245" s="308"/>
      <c r="K245" s="308"/>
      <c r="L245" s="308"/>
      <c r="M245" s="308"/>
      <c r="N245" s="308"/>
      <c r="O245" s="308"/>
      <c r="P245" s="251"/>
      <c r="Q245" s="353"/>
      <c r="R245" s="353"/>
      <c r="S245" s="353"/>
      <c r="T245" s="353"/>
      <c r="U245" s="353"/>
      <c r="V245" s="353"/>
      <c r="W245" s="251"/>
      <c r="X245" s="318"/>
      <c r="Y245" s="318"/>
      <c r="Z245" s="318"/>
      <c r="AA245" s="617"/>
      <c r="AB245" s="318"/>
      <c r="AC245" s="318"/>
      <c r="AD245" s="318"/>
      <c r="AE245" s="318"/>
      <c r="AF245" s="318"/>
      <c r="AG245" s="318"/>
      <c r="AH245" s="267"/>
      <c r="AI245" s="251"/>
      <c r="AJ245" s="323"/>
      <c r="AK245" s="323"/>
      <c r="AL245" s="323"/>
      <c r="AM245" s="323"/>
      <c r="AN245" s="323"/>
      <c r="AO245" s="323"/>
      <c r="AP245" s="323"/>
      <c r="AQ245" s="323"/>
      <c r="AR245" s="323"/>
      <c r="AS245" s="323"/>
      <c r="AT245" s="323"/>
      <c r="AU245" s="323"/>
      <c r="AV245" s="323"/>
      <c r="AW245" s="323"/>
      <c r="AX245" s="323"/>
      <c r="AY245" s="323"/>
      <c r="AZ245" s="351"/>
      <c r="BA245" s="326"/>
      <c r="BB245" s="326"/>
      <c r="BC245" s="326"/>
      <c r="BD245" s="326"/>
      <c r="BE245" s="326"/>
      <c r="BF245" s="351"/>
      <c r="BG245" s="332"/>
      <c r="BH245" s="332"/>
      <c r="BI245" s="332"/>
      <c r="BJ245" s="332"/>
      <c r="BK245" s="332"/>
      <c r="BL245" s="332"/>
      <c r="BM245" s="332"/>
      <c r="BN245" s="251"/>
      <c r="BO245" s="340"/>
      <c r="BP245" s="337"/>
      <c r="BQ245" s="340"/>
      <c r="BR245" s="340"/>
      <c r="BS245" s="340"/>
      <c r="BT245" s="340"/>
      <c r="BU245" s="340"/>
      <c r="BV245" s="340"/>
      <c r="BW245" s="340"/>
      <c r="BX245" s="251"/>
      <c r="BY245" s="345"/>
      <c r="BZ245" s="345"/>
      <c r="CA245" s="345"/>
      <c r="CB245" s="346"/>
      <c r="CC245" s="345"/>
      <c r="CD245" s="345"/>
      <c r="CE245" s="345"/>
      <c r="CF245" s="345"/>
      <c r="CG245" s="345"/>
      <c r="CH245" s="345"/>
      <c r="CI245" s="345"/>
      <c r="CJ245" s="346"/>
      <c r="CK245" s="346"/>
    </row>
    <row r="246">
      <c r="A246" s="821"/>
      <c r="B246" s="241" t="s">
        <v>155</v>
      </c>
      <c r="C246" s="237" t="s">
        <v>155</v>
      </c>
      <c r="D246" s="238" t="s">
        <v>155</v>
      </c>
      <c r="E246" s="239" t="s">
        <v>155</v>
      </c>
      <c r="F246" s="240" t="s">
        <v>155</v>
      </c>
      <c r="G246" s="241" t="s">
        <v>155</v>
      </c>
      <c r="H246" s="308"/>
      <c r="I246" s="308"/>
      <c r="J246" s="308"/>
      <c r="K246" s="308"/>
      <c r="L246" s="308"/>
      <c r="M246" s="308"/>
      <c r="N246" s="308"/>
      <c r="O246" s="308"/>
      <c r="P246" s="251"/>
      <c r="Q246" s="353"/>
      <c r="R246" s="353"/>
      <c r="S246" s="353"/>
      <c r="T246" s="353"/>
      <c r="U246" s="353"/>
      <c r="V246" s="353"/>
      <c r="W246" s="251"/>
      <c r="X246" s="318"/>
      <c r="Y246" s="318"/>
      <c r="Z246" s="318"/>
      <c r="AA246" s="617"/>
      <c r="AB246" s="318"/>
      <c r="AC246" s="318"/>
      <c r="AD246" s="318"/>
      <c r="AE246" s="318"/>
      <c r="AF246" s="318"/>
      <c r="AG246" s="318"/>
      <c r="AH246" s="267"/>
      <c r="AI246" s="251"/>
      <c r="AJ246" s="323"/>
      <c r="AK246" s="323"/>
      <c r="AL246" s="323"/>
      <c r="AM246" s="323"/>
      <c r="AN246" s="323"/>
      <c r="AO246" s="323"/>
      <c r="AP246" s="323"/>
      <c r="AQ246" s="323"/>
      <c r="AR246" s="323"/>
      <c r="AS246" s="323"/>
      <c r="AT246" s="323"/>
      <c r="AU246" s="323"/>
      <c r="AV246" s="323"/>
      <c r="AW246" s="323"/>
      <c r="AX246" s="323"/>
      <c r="AY246" s="323"/>
      <c r="AZ246" s="351"/>
      <c r="BA246" s="326"/>
      <c r="BB246" s="326"/>
      <c r="BC246" s="326"/>
      <c r="BD246" s="326"/>
      <c r="BE246" s="326"/>
      <c r="BF246" s="351"/>
      <c r="BG246" s="332"/>
      <c r="BH246" s="332"/>
      <c r="BI246" s="332"/>
      <c r="BJ246" s="332"/>
      <c r="BK246" s="332"/>
      <c r="BL246" s="332"/>
      <c r="BM246" s="332"/>
      <c r="BN246" s="251"/>
      <c r="BO246" s="340"/>
      <c r="BP246" s="337"/>
      <c r="BQ246" s="340"/>
      <c r="BR246" s="340"/>
      <c r="BS246" s="340"/>
      <c r="BT246" s="340"/>
      <c r="BU246" s="340"/>
      <c r="BV246" s="340"/>
      <c r="BW246" s="340"/>
      <c r="BX246" s="251"/>
      <c r="BY246" s="345"/>
      <c r="BZ246" s="345"/>
      <c r="CA246" s="345"/>
      <c r="CB246" s="346"/>
      <c r="CC246" s="345"/>
      <c r="CD246" s="345"/>
      <c r="CE246" s="345"/>
      <c r="CF246" s="345"/>
      <c r="CG246" s="345"/>
      <c r="CH246" s="345"/>
      <c r="CI246" s="345"/>
      <c r="CJ246" s="346"/>
      <c r="CK246" s="346"/>
    </row>
    <row r="247">
      <c r="A247" s="821"/>
      <c r="B247" s="241" t="s">
        <v>155</v>
      </c>
      <c r="C247" s="237" t="s">
        <v>155</v>
      </c>
      <c r="D247" s="238" t="s">
        <v>155</v>
      </c>
      <c r="E247" s="239" t="s">
        <v>155</v>
      </c>
      <c r="F247" s="240" t="s">
        <v>155</v>
      </c>
      <c r="G247" s="241" t="s">
        <v>155</v>
      </c>
      <c r="H247" s="308"/>
      <c r="I247" s="308"/>
      <c r="J247" s="308"/>
      <c r="K247" s="308"/>
      <c r="L247" s="308"/>
      <c r="M247" s="308"/>
      <c r="N247" s="308"/>
      <c r="O247" s="308"/>
      <c r="P247" s="251"/>
      <c r="Q247" s="353"/>
      <c r="R247" s="353"/>
      <c r="S247" s="353"/>
      <c r="T247" s="353"/>
      <c r="U247" s="353"/>
      <c r="V247" s="353"/>
      <c r="W247" s="251"/>
      <c r="X247" s="318"/>
      <c r="Y247" s="318"/>
      <c r="Z247" s="318"/>
      <c r="AA247" s="617"/>
      <c r="AB247" s="318"/>
      <c r="AC247" s="318"/>
      <c r="AD247" s="318"/>
      <c r="AE247" s="318"/>
      <c r="AF247" s="318"/>
      <c r="AG247" s="318"/>
      <c r="AH247" s="267"/>
      <c r="AI247" s="251"/>
      <c r="AJ247" s="323"/>
      <c r="AK247" s="323"/>
      <c r="AL247" s="323"/>
      <c r="AM247" s="323"/>
      <c r="AN247" s="323"/>
      <c r="AO247" s="323"/>
      <c r="AP247" s="323"/>
      <c r="AQ247" s="323"/>
      <c r="AR247" s="323"/>
      <c r="AS247" s="323"/>
      <c r="AT247" s="323"/>
      <c r="AU247" s="323"/>
      <c r="AV247" s="323"/>
      <c r="AW247" s="323"/>
      <c r="AX247" s="323"/>
      <c r="AY247" s="323"/>
      <c r="AZ247" s="351"/>
      <c r="BA247" s="326"/>
      <c r="BB247" s="326"/>
      <c r="BC247" s="326"/>
      <c r="BD247" s="326"/>
      <c r="BE247" s="326"/>
      <c r="BF247" s="351"/>
      <c r="BG247" s="332"/>
      <c r="BH247" s="332"/>
      <c r="BI247" s="332"/>
      <c r="BJ247" s="332"/>
      <c r="BK247" s="332"/>
      <c r="BL247" s="332"/>
      <c r="BM247" s="332"/>
      <c r="BN247" s="251"/>
      <c r="BO247" s="340"/>
      <c r="BP247" s="337"/>
      <c r="BQ247" s="340"/>
      <c r="BR247" s="340"/>
      <c r="BS247" s="340"/>
      <c r="BT247" s="340"/>
      <c r="BU247" s="340"/>
      <c r="BV247" s="340"/>
      <c r="BW247" s="340"/>
      <c r="BX247" s="251"/>
      <c r="BY247" s="345"/>
      <c r="BZ247" s="345"/>
      <c r="CA247" s="345"/>
      <c r="CB247" s="346"/>
      <c r="CC247" s="345"/>
      <c r="CD247" s="345"/>
      <c r="CE247" s="345"/>
      <c r="CF247" s="345"/>
      <c r="CG247" s="345"/>
      <c r="CH247" s="345"/>
      <c r="CI247" s="345"/>
      <c r="CJ247" s="346"/>
      <c r="CK247" s="346"/>
    </row>
    <row r="248">
      <c r="A248" s="821"/>
      <c r="B248" s="241" t="s">
        <v>155</v>
      </c>
      <c r="C248" s="237" t="s">
        <v>155</v>
      </c>
      <c r="D248" s="238" t="s">
        <v>155</v>
      </c>
      <c r="E248" s="239" t="s">
        <v>155</v>
      </c>
      <c r="F248" s="240" t="s">
        <v>155</v>
      </c>
      <c r="G248" s="241" t="s">
        <v>155</v>
      </c>
      <c r="H248" s="308"/>
      <c r="I248" s="308"/>
      <c r="J248" s="308"/>
      <c r="K248" s="308"/>
      <c r="L248" s="308"/>
      <c r="M248" s="308"/>
      <c r="N248" s="308"/>
      <c r="O248" s="308"/>
      <c r="P248" s="251"/>
      <c r="Q248" s="353"/>
      <c r="R248" s="353"/>
      <c r="S248" s="353"/>
      <c r="T248" s="353"/>
      <c r="U248" s="353"/>
      <c r="V248" s="353"/>
      <c r="W248" s="251"/>
      <c r="X248" s="318"/>
      <c r="Y248" s="318"/>
      <c r="Z248" s="318"/>
      <c r="AA248" s="617"/>
      <c r="AB248" s="318"/>
      <c r="AC248" s="318"/>
      <c r="AD248" s="318"/>
      <c r="AE248" s="318"/>
      <c r="AF248" s="318"/>
      <c r="AG248" s="318"/>
      <c r="AH248" s="267"/>
      <c r="AI248" s="251"/>
      <c r="AJ248" s="323"/>
      <c r="AK248" s="323"/>
      <c r="AL248" s="323"/>
      <c r="AM248" s="323"/>
      <c r="AN248" s="323"/>
      <c r="AO248" s="323"/>
      <c r="AP248" s="323"/>
      <c r="AQ248" s="323"/>
      <c r="AR248" s="323"/>
      <c r="AS248" s="323"/>
      <c r="AT248" s="323"/>
      <c r="AU248" s="323"/>
      <c r="AV248" s="323"/>
      <c r="AW248" s="323"/>
      <c r="AX248" s="323"/>
      <c r="AY248" s="323"/>
      <c r="AZ248" s="351"/>
      <c r="BA248" s="326"/>
      <c r="BB248" s="326"/>
      <c r="BC248" s="326"/>
      <c r="BD248" s="326"/>
      <c r="BE248" s="326"/>
      <c r="BF248" s="351"/>
      <c r="BG248" s="332"/>
      <c r="BH248" s="332"/>
      <c r="BI248" s="332"/>
      <c r="BJ248" s="332"/>
      <c r="BK248" s="332"/>
      <c r="BL248" s="332"/>
      <c r="BM248" s="332"/>
      <c r="BN248" s="251"/>
      <c r="BO248" s="340"/>
      <c r="BP248" s="337"/>
      <c r="BQ248" s="340"/>
      <c r="BR248" s="340"/>
      <c r="BS248" s="340"/>
      <c r="BT248" s="340"/>
      <c r="BU248" s="340"/>
      <c r="BV248" s="340"/>
      <c r="BW248" s="340"/>
      <c r="BX248" s="251"/>
      <c r="BY248" s="345"/>
      <c r="BZ248" s="345"/>
      <c r="CA248" s="345"/>
      <c r="CB248" s="346"/>
      <c r="CC248" s="345"/>
      <c r="CD248" s="345"/>
      <c r="CE248" s="345"/>
      <c r="CF248" s="345"/>
      <c r="CG248" s="345"/>
      <c r="CH248" s="345"/>
      <c r="CI248" s="345"/>
      <c r="CJ248" s="346"/>
      <c r="CK248" s="346"/>
    </row>
    <row r="249">
      <c r="A249" s="821"/>
      <c r="B249" s="241" t="s">
        <v>155</v>
      </c>
      <c r="C249" s="237" t="s">
        <v>155</v>
      </c>
      <c r="D249" s="238" t="s">
        <v>155</v>
      </c>
      <c r="E249" s="239" t="s">
        <v>155</v>
      </c>
      <c r="F249" s="240" t="s">
        <v>155</v>
      </c>
      <c r="G249" s="241" t="s">
        <v>155</v>
      </c>
      <c r="H249" s="308"/>
      <c r="I249" s="308"/>
      <c r="J249" s="308"/>
      <c r="K249" s="308"/>
      <c r="L249" s="308"/>
      <c r="M249" s="308"/>
      <c r="N249" s="308"/>
      <c r="O249" s="308"/>
      <c r="P249" s="251"/>
      <c r="Q249" s="353"/>
      <c r="R249" s="353"/>
      <c r="S249" s="353"/>
      <c r="T249" s="353"/>
      <c r="U249" s="353"/>
      <c r="V249" s="353"/>
      <c r="W249" s="251"/>
      <c r="X249" s="318"/>
      <c r="Y249" s="318"/>
      <c r="Z249" s="318"/>
      <c r="AA249" s="617"/>
      <c r="AB249" s="318"/>
      <c r="AC249" s="318"/>
      <c r="AD249" s="318"/>
      <c r="AE249" s="318"/>
      <c r="AF249" s="318"/>
      <c r="AG249" s="318"/>
      <c r="AH249" s="267"/>
      <c r="AI249" s="251"/>
      <c r="AJ249" s="323"/>
      <c r="AK249" s="323"/>
      <c r="AL249" s="323"/>
      <c r="AM249" s="323"/>
      <c r="AN249" s="323"/>
      <c r="AO249" s="323"/>
      <c r="AP249" s="323"/>
      <c r="AQ249" s="323"/>
      <c r="AR249" s="323"/>
      <c r="AS249" s="323"/>
      <c r="AT249" s="323"/>
      <c r="AU249" s="323"/>
      <c r="AV249" s="323"/>
      <c r="AW249" s="323"/>
      <c r="AX249" s="323"/>
      <c r="AY249" s="323"/>
      <c r="AZ249" s="351"/>
      <c r="BA249" s="326"/>
      <c r="BB249" s="326"/>
      <c r="BC249" s="326"/>
      <c r="BD249" s="326"/>
      <c r="BE249" s="326"/>
      <c r="BF249" s="351"/>
      <c r="BG249" s="332"/>
      <c r="BH249" s="332"/>
      <c r="BI249" s="332"/>
      <c r="BJ249" s="332"/>
      <c r="BK249" s="332"/>
      <c r="BL249" s="332"/>
      <c r="BM249" s="332"/>
      <c r="BN249" s="251"/>
      <c r="BO249" s="340"/>
      <c r="BP249" s="337"/>
      <c r="BQ249" s="340"/>
      <c r="BR249" s="340"/>
      <c r="BS249" s="340"/>
      <c r="BT249" s="340"/>
      <c r="BU249" s="340"/>
      <c r="BV249" s="340"/>
      <c r="BW249" s="340"/>
      <c r="BX249" s="251"/>
      <c r="BY249" s="345"/>
      <c r="BZ249" s="345"/>
      <c r="CA249" s="345"/>
      <c r="CB249" s="346"/>
      <c r="CC249" s="345"/>
      <c r="CD249" s="345"/>
      <c r="CE249" s="345"/>
      <c r="CF249" s="345"/>
      <c r="CG249" s="345"/>
      <c r="CH249" s="345"/>
      <c r="CI249" s="345"/>
      <c r="CJ249" s="346"/>
      <c r="CK249" s="346"/>
    </row>
    <row r="250">
      <c r="A250" s="821"/>
      <c r="B250" s="241" t="s">
        <v>155</v>
      </c>
      <c r="C250" s="237" t="s">
        <v>155</v>
      </c>
      <c r="D250" s="238" t="s">
        <v>155</v>
      </c>
      <c r="E250" s="239" t="s">
        <v>155</v>
      </c>
      <c r="F250" s="240" t="s">
        <v>155</v>
      </c>
      <c r="G250" s="241" t="s">
        <v>155</v>
      </c>
      <c r="H250" s="308"/>
      <c r="I250" s="308"/>
      <c r="J250" s="308"/>
      <c r="K250" s="308"/>
      <c r="L250" s="308"/>
      <c r="M250" s="308"/>
      <c r="N250" s="308"/>
      <c r="O250" s="308"/>
      <c r="P250" s="251"/>
      <c r="Q250" s="353"/>
      <c r="R250" s="353"/>
      <c r="S250" s="353"/>
      <c r="T250" s="353"/>
      <c r="U250" s="353"/>
      <c r="V250" s="353"/>
      <c r="W250" s="251"/>
      <c r="X250" s="318"/>
      <c r="Y250" s="318"/>
      <c r="Z250" s="318"/>
      <c r="AA250" s="617"/>
      <c r="AB250" s="318"/>
      <c r="AC250" s="318"/>
      <c r="AD250" s="318"/>
      <c r="AE250" s="318"/>
      <c r="AF250" s="318"/>
      <c r="AG250" s="318"/>
      <c r="AH250" s="267"/>
      <c r="AI250" s="251"/>
      <c r="AJ250" s="323"/>
      <c r="AK250" s="323"/>
      <c r="AL250" s="323"/>
      <c r="AM250" s="323"/>
      <c r="AN250" s="323"/>
      <c r="AO250" s="323"/>
      <c r="AP250" s="323"/>
      <c r="AQ250" s="323"/>
      <c r="AR250" s="323"/>
      <c r="AS250" s="323"/>
      <c r="AT250" s="323"/>
      <c r="AU250" s="323"/>
      <c r="AV250" s="323"/>
      <c r="AW250" s="323"/>
      <c r="AX250" s="323"/>
      <c r="AY250" s="323"/>
      <c r="AZ250" s="351"/>
      <c r="BA250" s="326"/>
      <c r="BB250" s="326"/>
      <c r="BC250" s="326"/>
      <c r="BD250" s="326"/>
      <c r="BE250" s="326"/>
      <c r="BF250" s="351"/>
      <c r="BG250" s="332"/>
      <c r="BH250" s="332"/>
      <c r="BI250" s="332"/>
      <c r="BJ250" s="332"/>
      <c r="BK250" s="332"/>
      <c r="BL250" s="332"/>
      <c r="BM250" s="332"/>
      <c r="BN250" s="251"/>
      <c r="BO250" s="340"/>
      <c r="BP250" s="337"/>
      <c r="BQ250" s="340"/>
      <c r="BR250" s="340"/>
      <c r="BS250" s="340"/>
      <c r="BT250" s="340"/>
      <c r="BU250" s="340"/>
      <c r="BV250" s="340"/>
      <c r="BW250" s="340"/>
      <c r="BX250" s="251"/>
      <c r="BY250" s="345"/>
      <c r="BZ250" s="345"/>
      <c r="CA250" s="345"/>
      <c r="CB250" s="346"/>
      <c r="CC250" s="345"/>
      <c r="CD250" s="345"/>
      <c r="CE250" s="345"/>
      <c r="CF250" s="345"/>
      <c r="CG250" s="345"/>
      <c r="CH250" s="345"/>
      <c r="CI250" s="345"/>
      <c r="CJ250" s="346"/>
      <c r="CK250" s="346"/>
    </row>
    <row r="251">
      <c r="A251" s="821"/>
      <c r="B251" s="241" t="s">
        <v>155</v>
      </c>
      <c r="C251" s="237" t="s">
        <v>155</v>
      </c>
      <c r="D251" s="238" t="s">
        <v>155</v>
      </c>
      <c r="E251" s="239" t="s">
        <v>155</v>
      </c>
      <c r="F251" s="240" t="s">
        <v>155</v>
      </c>
      <c r="G251" s="241" t="s">
        <v>155</v>
      </c>
      <c r="H251" s="308"/>
      <c r="I251" s="308"/>
      <c r="J251" s="308"/>
      <c r="K251" s="308"/>
      <c r="L251" s="308"/>
      <c r="M251" s="308"/>
      <c r="N251" s="308"/>
      <c r="O251" s="308"/>
      <c r="P251" s="251"/>
      <c r="Q251" s="353"/>
      <c r="R251" s="353"/>
      <c r="S251" s="353"/>
      <c r="T251" s="353"/>
      <c r="U251" s="353"/>
      <c r="V251" s="353"/>
      <c r="W251" s="251"/>
      <c r="X251" s="318"/>
      <c r="Y251" s="318"/>
      <c r="Z251" s="318"/>
      <c r="AA251" s="617"/>
      <c r="AB251" s="318"/>
      <c r="AC251" s="318"/>
      <c r="AD251" s="318"/>
      <c r="AE251" s="318"/>
      <c r="AF251" s="318"/>
      <c r="AG251" s="318"/>
      <c r="AH251" s="267"/>
      <c r="AI251" s="251"/>
      <c r="AJ251" s="323"/>
      <c r="AK251" s="323"/>
      <c r="AL251" s="323"/>
      <c r="AM251" s="323"/>
      <c r="AN251" s="323"/>
      <c r="AO251" s="323"/>
      <c r="AP251" s="323"/>
      <c r="AQ251" s="323"/>
      <c r="AR251" s="323"/>
      <c r="AS251" s="323"/>
      <c r="AT251" s="323"/>
      <c r="AU251" s="323"/>
      <c r="AV251" s="323"/>
      <c r="AW251" s="323"/>
      <c r="AX251" s="323"/>
      <c r="AY251" s="323"/>
      <c r="AZ251" s="351"/>
      <c r="BA251" s="326"/>
      <c r="BB251" s="326"/>
      <c r="BC251" s="326"/>
      <c r="BD251" s="326"/>
      <c r="BE251" s="326"/>
      <c r="BF251" s="351"/>
      <c r="BG251" s="332"/>
      <c r="BH251" s="332"/>
      <c r="BI251" s="332"/>
      <c r="BJ251" s="332"/>
      <c r="BK251" s="332"/>
      <c r="BL251" s="332"/>
      <c r="BM251" s="332"/>
      <c r="BN251" s="251"/>
      <c r="BO251" s="340"/>
      <c r="BP251" s="337"/>
      <c r="BQ251" s="340"/>
      <c r="BR251" s="340"/>
      <c r="BS251" s="340"/>
      <c r="BT251" s="340"/>
      <c r="BU251" s="340"/>
      <c r="BV251" s="340"/>
      <c r="BW251" s="340"/>
      <c r="BX251" s="251"/>
      <c r="BY251" s="345"/>
      <c r="BZ251" s="345"/>
      <c r="CA251" s="345"/>
      <c r="CB251" s="346"/>
      <c r="CC251" s="345"/>
      <c r="CD251" s="345"/>
      <c r="CE251" s="345"/>
      <c r="CF251" s="345"/>
      <c r="CG251" s="345"/>
      <c r="CH251" s="345"/>
      <c r="CI251" s="345"/>
      <c r="CJ251" s="346"/>
      <c r="CK251" s="346"/>
    </row>
    <row r="252">
      <c r="A252" s="821"/>
      <c r="B252" s="241" t="s">
        <v>155</v>
      </c>
      <c r="C252" s="237" t="s">
        <v>155</v>
      </c>
      <c r="D252" s="238" t="s">
        <v>155</v>
      </c>
      <c r="E252" s="239" t="s">
        <v>155</v>
      </c>
      <c r="F252" s="240" t="s">
        <v>155</v>
      </c>
      <c r="G252" s="241" t="s">
        <v>155</v>
      </c>
      <c r="H252" s="308"/>
      <c r="I252" s="308"/>
      <c r="J252" s="308"/>
      <c r="K252" s="308"/>
      <c r="L252" s="308"/>
      <c r="M252" s="308"/>
      <c r="N252" s="308"/>
      <c r="O252" s="308"/>
      <c r="P252" s="251"/>
      <c r="Q252" s="353"/>
      <c r="R252" s="353"/>
      <c r="S252" s="353"/>
      <c r="T252" s="353"/>
      <c r="U252" s="353"/>
      <c r="V252" s="353"/>
      <c r="W252" s="251"/>
      <c r="X252" s="318"/>
      <c r="Y252" s="318"/>
      <c r="Z252" s="318"/>
      <c r="AA252" s="617"/>
      <c r="AB252" s="318"/>
      <c r="AC252" s="318"/>
      <c r="AD252" s="318"/>
      <c r="AE252" s="318"/>
      <c r="AF252" s="318"/>
      <c r="AG252" s="318"/>
      <c r="AH252" s="267"/>
      <c r="AI252" s="251"/>
      <c r="AJ252" s="323"/>
      <c r="AK252" s="323"/>
      <c r="AL252" s="323"/>
      <c r="AM252" s="323"/>
      <c r="AN252" s="323"/>
      <c r="AO252" s="323"/>
      <c r="AP252" s="323"/>
      <c r="AQ252" s="323"/>
      <c r="AR252" s="323"/>
      <c r="AS252" s="323"/>
      <c r="AT252" s="323"/>
      <c r="AU252" s="323"/>
      <c r="AV252" s="323"/>
      <c r="AW252" s="323"/>
      <c r="AX252" s="323"/>
      <c r="AY252" s="323"/>
      <c r="AZ252" s="351"/>
      <c r="BA252" s="326"/>
      <c r="BB252" s="326"/>
      <c r="BC252" s="326"/>
      <c r="BD252" s="326"/>
      <c r="BE252" s="326"/>
      <c r="BF252" s="351"/>
      <c r="BG252" s="332"/>
      <c r="BH252" s="332"/>
      <c r="BI252" s="332"/>
      <c r="BJ252" s="332"/>
      <c r="BK252" s="332"/>
      <c r="BL252" s="332"/>
      <c r="BM252" s="332"/>
      <c r="BN252" s="251"/>
      <c r="BO252" s="340"/>
      <c r="BP252" s="337"/>
      <c r="BQ252" s="340"/>
      <c r="BR252" s="340"/>
      <c r="BS252" s="340"/>
      <c r="BT252" s="340"/>
      <c r="BU252" s="340"/>
      <c r="BV252" s="340"/>
      <c r="BW252" s="340"/>
      <c r="BX252" s="251"/>
      <c r="BY252" s="345"/>
      <c r="BZ252" s="345"/>
      <c r="CA252" s="345"/>
      <c r="CB252" s="346"/>
      <c r="CC252" s="345"/>
      <c r="CD252" s="345"/>
      <c r="CE252" s="345"/>
      <c r="CF252" s="345"/>
      <c r="CG252" s="345"/>
      <c r="CH252" s="345"/>
      <c r="CI252" s="345"/>
      <c r="CJ252" s="346"/>
      <c r="CK252" s="346"/>
    </row>
    <row r="253">
      <c r="A253" s="821"/>
      <c r="B253" s="241" t="s">
        <v>155</v>
      </c>
      <c r="C253" s="237" t="s">
        <v>155</v>
      </c>
      <c r="D253" s="238" t="s">
        <v>155</v>
      </c>
      <c r="E253" s="239" t="s">
        <v>155</v>
      </c>
      <c r="F253" s="240" t="s">
        <v>155</v>
      </c>
      <c r="G253" s="241" t="s">
        <v>155</v>
      </c>
      <c r="H253" s="308"/>
      <c r="I253" s="308"/>
      <c r="J253" s="308"/>
      <c r="K253" s="308"/>
      <c r="L253" s="308"/>
      <c r="M253" s="308"/>
      <c r="N253" s="308"/>
      <c r="O253" s="308"/>
      <c r="P253" s="251"/>
      <c r="Q253" s="353"/>
      <c r="R253" s="353"/>
      <c r="S253" s="353"/>
      <c r="T253" s="353"/>
      <c r="U253" s="353"/>
      <c r="V253" s="353"/>
      <c r="W253" s="251"/>
      <c r="X253" s="318"/>
      <c r="Y253" s="318"/>
      <c r="Z253" s="318"/>
      <c r="AA253" s="617"/>
      <c r="AB253" s="318"/>
      <c r="AC253" s="318"/>
      <c r="AD253" s="318"/>
      <c r="AE253" s="318"/>
      <c r="AF253" s="318"/>
      <c r="AG253" s="318"/>
      <c r="AH253" s="267"/>
      <c r="AI253" s="251"/>
      <c r="AJ253" s="323"/>
      <c r="AK253" s="323"/>
      <c r="AL253" s="323"/>
      <c r="AM253" s="323"/>
      <c r="AN253" s="323"/>
      <c r="AO253" s="323"/>
      <c r="AP253" s="323"/>
      <c r="AQ253" s="323"/>
      <c r="AR253" s="323"/>
      <c r="AS253" s="323"/>
      <c r="AT253" s="323"/>
      <c r="AU253" s="323"/>
      <c r="AV253" s="323"/>
      <c r="AW253" s="323"/>
      <c r="AX253" s="323"/>
      <c r="AY253" s="323"/>
      <c r="AZ253" s="351"/>
      <c r="BA253" s="326"/>
      <c r="BB253" s="326"/>
      <c r="BC253" s="326"/>
      <c r="BD253" s="326"/>
      <c r="BE253" s="326"/>
      <c r="BF253" s="351"/>
      <c r="BG253" s="332"/>
      <c r="BH253" s="332"/>
      <c r="BI253" s="332"/>
      <c r="BJ253" s="332"/>
      <c r="BK253" s="332"/>
      <c r="BL253" s="332"/>
      <c r="BM253" s="332"/>
      <c r="BN253" s="251"/>
      <c r="BO253" s="340"/>
      <c r="BP253" s="337"/>
      <c r="BQ253" s="340"/>
      <c r="BR253" s="340"/>
      <c r="BS253" s="340"/>
      <c r="BT253" s="340"/>
      <c r="BU253" s="340"/>
      <c r="BV253" s="340"/>
      <c r="BW253" s="340"/>
      <c r="BX253" s="251"/>
      <c r="BY253" s="345"/>
      <c r="BZ253" s="345"/>
      <c r="CA253" s="345"/>
      <c r="CB253" s="346"/>
      <c r="CC253" s="345"/>
      <c r="CD253" s="345"/>
      <c r="CE253" s="345"/>
      <c r="CF253" s="345"/>
      <c r="CG253" s="345"/>
      <c r="CH253" s="345"/>
      <c r="CI253" s="345"/>
      <c r="CJ253" s="346"/>
      <c r="CK253" s="346"/>
    </row>
    <row r="254">
      <c r="A254" s="821"/>
      <c r="B254" s="241" t="s">
        <v>155</v>
      </c>
      <c r="C254" s="237" t="s">
        <v>155</v>
      </c>
      <c r="D254" s="238" t="s">
        <v>155</v>
      </c>
      <c r="E254" s="239" t="s">
        <v>155</v>
      </c>
      <c r="F254" s="240" t="s">
        <v>155</v>
      </c>
      <c r="G254" s="241" t="s">
        <v>155</v>
      </c>
      <c r="H254" s="308"/>
      <c r="I254" s="308"/>
      <c r="J254" s="308"/>
      <c r="K254" s="308"/>
      <c r="L254" s="308"/>
      <c r="M254" s="308"/>
      <c r="N254" s="308"/>
      <c r="O254" s="308"/>
      <c r="P254" s="251"/>
      <c r="Q254" s="353"/>
      <c r="R254" s="353"/>
      <c r="S254" s="353"/>
      <c r="T254" s="353"/>
      <c r="U254" s="353"/>
      <c r="V254" s="353"/>
      <c r="W254" s="251"/>
      <c r="X254" s="318"/>
      <c r="Y254" s="318"/>
      <c r="Z254" s="318"/>
      <c r="AA254" s="617"/>
      <c r="AB254" s="318"/>
      <c r="AC254" s="318"/>
      <c r="AD254" s="318"/>
      <c r="AE254" s="318"/>
      <c r="AF254" s="318"/>
      <c r="AG254" s="318"/>
      <c r="AH254" s="267"/>
      <c r="AI254" s="251"/>
      <c r="AJ254" s="323"/>
      <c r="AK254" s="323"/>
      <c r="AL254" s="323"/>
      <c r="AM254" s="323"/>
      <c r="AN254" s="323"/>
      <c r="AO254" s="323"/>
      <c r="AP254" s="323"/>
      <c r="AQ254" s="323"/>
      <c r="AR254" s="323"/>
      <c r="AS254" s="323"/>
      <c r="AT254" s="323"/>
      <c r="AU254" s="323"/>
      <c r="AV254" s="323"/>
      <c r="AW254" s="323"/>
      <c r="AX254" s="323"/>
      <c r="AY254" s="323"/>
      <c r="AZ254" s="351"/>
      <c r="BA254" s="326"/>
      <c r="BB254" s="326"/>
      <c r="BC254" s="326"/>
      <c r="BD254" s="326"/>
      <c r="BE254" s="326"/>
      <c r="BF254" s="351"/>
      <c r="BG254" s="332"/>
      <c r="BH254" s="332"/>
      <c r="BI254" s="332"/>
      <c r="BJ254" s="332"/>
      <c r="BK254" s="332"/>
      <c r="BL254" s="332"/>
      <c r="BM254" s="332"/>
      <c r="BN254" s="251"/>
      <c r="BO254" s="340"/>
      <c r="BP254" s="337"/>
      <c r="BQ254" s="340"/>
      <c r="BR254" s="340"/>
      <c r="BS254" s="340"/>
      <c r="BT254" s="340"/>
      <c r="BU254" s="340"/>
      <c r="BV254" s="340"/>
      <c r="BW254" s="340"/>
      <c r="BX254" s="251"/>
      <c r="BY254" s="345"/>
      <c r="BZ254" s="345"/>
      <c r="CA254" s="345"/>
      <c r="CB254" s="346"/>
      <c r="CC254" s="345"/>
      <c r="CD254" s="345"/>
      <c r="CE254" s="345"/>
      <c r="CF254" s="345"/>
      <c r="CG254" s="345"/>
      <c r="CH254" s="345"/>
      <c r="CI254" s="345"/>
      <c r="CJ254" s="346"/>
      <c r="CK254" s="346"/>
    </row>
    <row r="255">
      <c r="A255" s="821"/>
      <c r="B255" s="241" t="s">
        <v>155</v>
      </c>
      <c r="C255" s="237" t="s">
        <v>155</v>
      </c>
      <c r="D255" s="238" t="s">
        <v>155</v>
      </c>
      <c r="E255" s="239" t="s">
        <v>155</v>
      </c>
      <c r="F255" s="240" t="s">
        <v>155</v>
      </c>
      <c r="G255" s="241" t="s">
        <v>155</v>
      </c>
      <c r="H255" s="308"/>
      <c r="I255" s="308"/>
      <c r="J255" s="308"/>
      <c r="K255" s="308"/>
      <c r="L255" s="308"/>
      <c r="M255" s="308"/>
      <c r="N255" s="308"/>
      <c r="O255" s="308"/>
      <c r="P255" s="251"/>
      <c r="Q255" s="353"/>
      <c r="R255" s="353"/>
      <c r="S255" s="353"/>
      <c r="T255" s="353"/>
      <c r="U255" s="353"/>
      <c r="V255" s="353"/>
      <c r="W255" s="251"/>
      <c r="X255" s="318"/>
      <c r="Y255" s="318"/>
      <c r="Z255" s="318"/>
      <c r="AA255" s="617"/>
      <c r="AB255" s="318"/>
      <c r="AC255" s="318"/>
      <c r="AD255" s="318"/>
      <c r="AE255" s="318"/>
      <c r="AF255" s="318"/>
      <c r="AG255" s="318"/>
      <c r="AH255" s="267"/>
      <c r="AI255" s="251"/>
      <c r="AJ255" s="323"/>
      <c r="AK255" s="323"/>
      <c r="AL255" s="323"/>
      <c r="AM255" s="323"/>
      <c r="AN255" s="323"/>
      <c r="AO255" s="323"/>
      <c r="AP255" s="323"/>
      <c r="AQ255" s="323"/>
      <c r="AR255" s="323"/>
      <c r="AS255" s="323"/>
      <c r="AT255" s="323"/>
      <c r="AU255" s="323"/>
      <c r="AV255" s="323"/>
      <c r="AW255" s="323"/>
      <c r="AX255" s="323"/>
      <c r="AY255" s="323"/>
      <c r="AZ255" s="351"/>
      <c r="BA255" s="326"/>
      <c r="BB255" s="326"/>
      <c r="BC255" s="326"/>
      <c r="BD255" s="326"/>
      <c r="BE255" s="326"/>
      <c r="BF255" s="351"/>
      <c r="BG255" s="332"/>
      <c r="BH255" s="332"/>
      <c r="BI255" s="332"/>
      <c r="BJ255" s="332"/>
      <c r="BK255" s="332"/>
      <c r="BL255" s="332"/>
      <c r="BM255" s="332"/>
      <c r="BN255" s="251"/>
      <c r="BO255" s="340"/>
      <c r="BP255" s="337"/>
      <c r="BQ255" s="340"/>
      <c r="BR255" s="340"/>
      <c r="BS255" s="340"/>
      <c r="BT255" s="340"/>
      <c r="BU255" s="340"/>
      <c r="BV255" s="340"/>
      <c r="BW255" s="340"/>
      <c r="BX255" s="251"/>
      <c r="BY255" s="345"/>
      <c r="BZ255" s="345"/>
      <c r="CA255" s="345"/>
      <c r="CB255" s="346"/>
      <c r="CC255" s="345"/>
      <c r="CD255" s="345"/>
      <c r="CE255" s="345"/>
      <c r="CF255" s="345"/>
      <c r="CG255" s="345"/>
      <c r="CH255" s="345"/>
      <c r="CI255" s="345"/>
      <c r="CJ255" s="346"/>
      <c r="CK255" s="346"/>
    </row>
    <row r="256">
      <c r="A256" s="821"/>
      <c r="B256" s="241" t="s">
        <v>155</v>
      </c>
      <c r="C256" s="237" t="s">
        <v>155</v>
      </c>
      <c r="D256" s="238" t="s">
        <v>155</v>
      </c>
      <c r="E256" s="239" t="s">
        <v>155</v>
      </c>
      <c r="F256" s="240" t="s">
        <v>155</v>
      </c>
      <c r="G256" s="241" t="s">
        <v>155</v>
      </c>
      <c r="H256" s="308"/>
      <c r="I256" s="308"/>
      <c r="J256" s="308"/>
      <c r="K256" s="308"/>
      <c r="L256" s="308"/>
      <c r="M256" s="308"/>
      <c r="N256" s="308"/>
      <c r="O256" s="308"/>
      <c r="P256" s="251"/>
      <c r="Q256" s="353"/>
      <c r="R256" s="353"/>
      <c r="S256" s="353"/>
      <c r="T256" s="353"/>
      <c r="U256" s="353"/>
      <c r="V256" s="353"/>
      <c r="W256" s="251"/>
      <c r="X256" s="318"/>
      <c r="Y256" s="318"/>
      <c r="Z256" s="318"/>
      <c r="AA256" s="617"/>
      <c r="AB256" s="318"/>
      <c r="AC256" s="318"/>
      <c r="AD256" s="318"/>
      <c r="AE256" s="318"/>
      <c r="AF256" s="318"/>
      <c r="AG256" s="318"/>
      <c r="AH256" s="267"/>
      <c r="AI256" s="251"/>
      <c r="AJ256" s="323"/>
      <c r="AK256" s="323"/>
      <c r="AL256" s="323"/>
      <c r="AM256" s="323"/>
      <c r="AN256" s="323"/>
      <c r="AO256" s="323"/>
      <c r="AP256" s="323"/>
      <c r="AQ256" s="323"/>
      <c r="AR256" s="323"/>
      <c r="AS256" s="323"/>
      <c r="AT256" s="323"/>
      <c r="AU256" s="323"/>
      <c r="AV256" s="323"/>
      <c r="AW256" s="323"/>
      <c r="AX256" s="323"/>
      <c r="AY256" s="323"/>
      <c r="AZ256" s="351"/>
      <c r="BA256" s="326"/>
      <c r="BB256" s="326"/>
      <c r="BC256" s="326"/>
      <c r="BD256" s="326"/>
      <c r="BE256" s="326"/>
      <c r="BF256" s="351"/>
      <c r="BG256" s="332"/>
      <c r="BH256" s="332"/>
      <c r="BI256" s="332"/>
      <c r="BJ256" s="332"/>
      <c r="BK256" s="332"/>
      <c r="BL256" s="332"/>
      <c r="BM256" s="332"/>
      <c r="BN256" s="251"/>
      <c r="BO256" s="340"/>
      <c r="BP256" s="337"/>
      <c r="BQ256" s="340"/>
      <c r="BR256" s="340"/>
      <c r="BS256" s="340"/>
      <c r="BT256" s="340"/>
      <c r="BU256" s="340"/>
      <c r="BV256" s="340"/>
      <c r="BW256" s="340"/>
      <c r="BX256" s="251"/>
      <c r="BY256" s="345"/>
      <c r="BZ256" s="345"/>
      <c r="CA256" s="345"/>
      <c r="CB256" s="346"/>
      <c r="CC256" s="345"/>
      <c r="CD256" s="345"/>
      <c r="CE256" s="345"/>
      <c r="CF256" s="345"/>
      <c r="CG256" s="345"/>
      <c r="CH256" s="345"/>
      <c r="CI256" s="345"/>
      <c r="CJ256" s="346"/>
      <c r="CK256" s="346"/>
    </row>
    <row r="257">
      <c r="A257" s="821"/>
      <c r="B257" s="241" t="s">
        <v>155</v>
      </c>
      <c r="C257" s="237" t="s">
        <v>155</v>
      </c>
      <c r="D257" s="238" t="s">
        <v>155</v>
      </c>
      <c r="E257" s="239" t="s">
        <v>155</v>
      </c>
      <c r="F257" s="240" t="s">
        <v>155</v>
      </c>
      <c r="G257" s="241" t="s">
        <v>155</v>
      </c>
      <c r="H257" s="308"/>
      <c r="I257" s="308"/>
      <c r="J257" s="308"/>
      <c r="K257" s="308"/>
      <c r="L257" s="308"/>
      <c r="M257" s="308"/>
      <c r="N257" s="308"/>
      <c r="O257" s="308"/>
      <c r="P257" s="251"/>
      <c r="Q257" s="353"/>
      <c r="R257" s="353"/>
      <c r="S257" s="353"/>
      <c r="T257" s="353"/>
      <c r="U257" s="353"/>
      <c r="V257" s="353"/>
      <c r="W257" s="251"/>
      <c r="X257" s="318"/>
      <c r="Y257" s="318"/>
      <c r="Z257" s="318"/>
      <c r="AA257" s="617"/>
      <c r="AB257" s="318"/>
      <c r="AC257" s="318"/>
      <c r="AD257" s="318"/>
      <c r="AE257" s="318"/>
      <c r="AF257" s="318"/>
      <c r="AG257" s="318"/>
      <c r="AH257" s="267"/>
      <c r="AI257" s="251"/>
      <c r="AJ257" s="323"/>
      <c r="AK257" s="323"/>
      <c r="AL257" s="323"/>
      <c r="AM257" s="323"/>
      <c r="AN257" s="323"/>
      <c r="AO257" s="323"/>
      <c r="AP257" s="323"/>
      <c r="AQ257" s="323"/>
      <c r="AR257" s="323"/>
      <c r="AS257" s="323"/>
      <c r="AT257" s="323"/>
      <c r="AU257" s="323"/>
      <c r="AV257" s="323"/>
      <c r="AW257" s="323"/>
      <c r="AX257" s="323"/>
      <c r="AY257" s="323"/>
      <c r="AZ257" s="351"/>
      <c r="BA257" s="326"/>
      <c r="BB257" s="326"/>
      <c r="BC257" s="326"/>
      <c r="BD257" s="326"/>
      <c r="BE257" s="326"/>
      <c r="BF257" s="351"/>
      <c r="BG257" s="332"/>
      <c r="BH257" s="332"/>
      <c r="BI257" s="332"/>
      <c r="BJ257" s="332"/>
      <c r="BK257" s="332"/>
      <c r="BL257" s="332"/>
      <c r="BM257" s="332"/>
      <c r="BN257" s="251"/>
      <c r="BO257" s="340"/>
      <c r="BP257" s="337"/>
      <c r="BQ257" s="340"/>
      <c r="BR257" s="340"/>
      <c r="BS257" s="340"/>
      <c r="BT257" s="340"/>
      <c r="BU257" s="340"/>
      <c r="BV257" s="340"/>
      <c r="BW257" s="340"/>
      <c r="BX257" s="251"/>
      <c r="BY257" s="345"/>
      <c r="BZ257" s="345"/>
      <c r="CA257" s="345"/>
      <c r="CB257" s="346"/>
      <c r="CC257" s="345"/>
      <c r="CD257" s="345"/>
      <c r="CE257" s="345"/>
      <c r="CF257" s="345"/>
      <c r="CG257" s="345"/>
      <c r="CH257" s="345"/>
      <c r="CI257" s="345"/>
      <c r="CJ257" s="346"/>
      <c r="CK257" s="346"/>
    </row>
    <row r="258">
      <c r="A258" s="821"/>
      <c r="B258" s="241" t="s">
        <v>155</v>
      </c>
      <c r="C258" s="237" t="s">
        <v>155</v>
      </c>
      <c r="D258" s="238" t="s">
        <v>155</v>
      </c>
      <c r="E258" s="239" t="s">
        <v>155</v>
      </c>
      <c r="F258" s="240" t="s">
        <v>155</v>
      </c>
      <c r="G258" s="241" t="s">
        <v>155</v>
      </c>
      <c r="H258" s="308"/>
      <c r="I258" s="308"/>
      <c r="J258" s="308"/>
      <c r="K258" s="308"/>
      <c r="L258" s="308"/>
      <c r="M258" s="308"/>
      <c r="N258" s="308"/>
      <c r="O258" s="308"/>
      <c r="P258" s="251"/>
      <c r="Q258" s="353"/>
      <c r="R258" s="353"/>
      <c r="S258" s="353"/>
      <c r="T258" s="353"/>
      <c r="U258" s="353"/>
      <c r="V258" s="353"/>
      <c r="W258" s="251"/>
      <c r="X258" s="318"/>
      <c r="Y258" s="318"/>
      <c r="Z258" s="318"/>
      <c r="AA258" s="617"/>
      <c r="AB258" s="318"/>
      <c r="AC258" s="318"/>
      <c r="AD258" s="318"/>
      <c r="AE258" s="318"/>
      <c r="AF258" s="318"/>
      <c r="AG258" s="318"/>
      <c r="AH258" s="267"/>
      <c r="AI258" s="251"/>
      <c r="AJ258" s="323"/>
      <c r="AK258" s="323"/>
      <c r="AL258" s="323"/>
      <c r="AM258" s="323"/>
      <c r="AN258" s="323"/>
      <c r="AO258" s="323"/>
      <c r="AP258" s="323"/>
      <c r="AQ258" s="323"/>
      <c r="AR258" s="323"/>
      <c r="AS258" s="323"/>
      <c r="AT258" s="323"/>
      <c r="AU258" s="323"/>
      <c r="AV258" s="323"/>
      <c r="AW258" s="323"/>
      <c r="AX258" s="323"/>
      <c r="AY258" s="323"/>
      <c r="AZ258" s="351"/>
      <c r="BA258" s="326"/>
      <c r="BB258" s="326"/>
      <c r="BC258" s="326"/>
      <c r="BD258" s="326"/>
      <c r="BE258" s="326"/>
      <c r="BF258" s="351"/>
      <c r="BG258" s="332"/>
      <c r="BH258" s="332"/>
      <c r="BI258" s="332"/>
      <c r="BJ258" s="332"/>
      <c r="BK258" s="332"/>
      <c r="BL258" s="332"/>
      <c r="BM258" s="332"/>
      <c r="BN258" s="251"/>
      <c r="BO258" s="340"/>
      <c r="BP258" s="337"/>
      <c r="BQ258" s="340"/>
      <c r="BR258" s="340"/>
      <c r="BS258" s="340"/>
      <c r="BT258" s="340"/>
      <c r="BU258" s="340"/>
      <c r="BV258" s="340"/>
      <c r="BW258" s="340"/>
      <c r="BX258" s="251"/>
      <c r="BY258" s="345"/>
      <c r="BZ258" s="345"/>
      <c r="CA258" s="345"/>
      <c r="CB258" s="346"/>
      <c r="CC258" s="345"/>
      <c r="CD258" s="345"/>
      <c r="CE258" s="345"/>
      <c r="CF258" s="345"/>
      <c r="CG258" s="345"/>
      <c r="CH258" s="345"/>
      <c r="CI258" s="345"/>
      <c r="CJ258" s="346"/>
      <c r="CK258" s="346"/>
    </row>
    <row r="259">
      <c r="A259" s="821"/>
      <c r="B259" s="241" t="s">
        <v>155</v>
      </c>
      <c r="C259" s="237" t="s">
        <v>155</v>
      </c>
      <c r="D259" s="238" t="s">
        <v>155</v>
      </c>
      <c r="E259" s="239" t="s">
        <v>155</v>
      </c>
      <c r="F259" s="240" t="s">
        <v>155</v>
      </c>
      <c r="G259" s="241" t="s">
        <v>155</v>
      </c>
      <c r="H259" s="308"/>
      <c r="I259" s="308"/>
      <c r="J259" s="308"/>
      <c r="K259" s="308"/>
      <c r="L259" s="308"/>
      <c r="M259" s="308"/>
      <c r="N259" s="308"/>
      <c r="O259" s="308"/>
      <c r="P259" s="251"/>
      <c r="Q259" s="353"/>
      <c r="R259" s="353"/>
      <c r="S259" s="353"/>
      <c r="T259" s="353"/>
      <c r="U259" s="353"/>
      <c r="V259" s="353"/>
      <c r="W259" s="251"/>
      <c r="X259" s="318"/>
      <c r="Y259" s="318"/>
      <c r="Z259" s="318"/>
      <c r="AA259" s="617"/>
      <c r="AB259" s="318"/>
      <c r="AC259" s="318"/>
      <c r="AD259" s="318"/>
      <c r="AE259" s="318"/>
      <c r="AF259" s="318"/>
      <c r="AG259" s="318"/>
      <c r="AH259" s="267"/>
      <c r="AI259" s="251"/>
      <c r="AJ259" s="323"/>
      <c r="AK259" s="323"/>
      <c r="AL259" s="323"/>
      <c r="AM259" s="323"/>
      <c r="AN259" s="323"/>
      <c r="AO259" s="323"/>
      <c r="AP259" s="323"/>
      <c r="AQ259" s="323"/>
      <c r="AR259" s="323"/>
      <c r="AS259" s="323"/>
      <c r="AT259" s="323"/>
      <c r="AU259" s="323"/>
      <c r="AV259" s="323"/>
      <c r="AW259" s="323"/>
      <c r="AX259" s="323"/>
      <c r="AY259" s="323"/>
      <c r="AZ259" s="351"/>
      <c r="BA259" s="326"/>
      <c r="BB259" s="326"/>
      <c r="BC259" s="326"/>
      <c r="BD259" s="326"/>
      <c r="BE259" s="326"/>
      <c r="BF259" s="351"/>
      <c r="BG259" s="332"/>
      <c r="BH259" s="332"/>
      <c r="BI259" s="332"/>
      <c r="BJ259" s="332"/>
      <c r="BK259" s="332"/>
      <c r="BL259" s="332"/>
      <c r="BM259" s="332"/>
      <c r="BN259" s="251"/>
      <c r="BO259" s="340"/>
      <c r="BP259" s="337"/>
      <c r="BQ259" s="340"/>
      <c r="BR259" s="340"/>
      <c r="BS259" s="340"/>
      <c r="BT259" s="340"/>
      <c r="BU259" s="340"/>
      <c r="BV259" s="340"/>
      <c r="BW259" s="340"/>
      <c r="BX259" s="251"/>
      <c r="BY259" s="345"/>
      <c r="BZ259" s="345"/>
      <c r="CA259" s="345"/>
      <c r="CB259" s="346"/>
      <c r="CC259" s="345"/>
      <c r="CD259" s="345"/>
      <c r="CE259" s="345"/>
      <c r="CF259" s="345"/>
      <c r="CG259" s="345"/>
      <c r="CH259" s="345"/>
      <c r="CI259" s="345"/>
      <c r="CJ259" s="346"/>
      <c r="CK259" s="346"/>
    </row>
    <row r="260">
      <c r="A260" s="821"/>
      <c r="B260" s="241" t="s">
        <v>155</v>
      </c>
      <c r="C260" s="237" t="s">
        <v>155</v>
      </c>
      <c r="D260" s="238" t="s">
        <v>155</v>
      </c>
      <c r="E260" s="239" t="s">
        <v>155</v>
      </c>
      <c r="F260" s="240" t="s">
        <v>155</v>
      </c>
      <c r="G260" s="241" t="s">
        <v>155</v>
      </c>
      <c r="H260" s="308"/>
      <c r="I260" s="308"/>
      <c r="J260" s="308"/>
      <c r="K260" s="308"/>
      <c r="L260" s="308"/>
      <c r="M260" s="308"/>
      <c r="N260" s="308"/>
      <c r="O260" s="308"/>
      <c r="P260" s="251"/>
      <c r="Q260" s="353"/>
      <c r="R260" s="353"/>
      <c r="S260" s="353"/>
      <c r="T260" s="353"/>
      <c r="U260" s="353"/>
      <c r="V260" s="353"/>
      <c r="W260" s="251"/>
      <c r="X260" s="318"/>
      <c r="Y260" s="318"/>
      <c r="Z260" s="318"/>
      <c r="AA260" s="617"/>
      <c r="AB260" s="318"/>
      <c r="AC260" s="318"/>
      <c r="AD260" s="318"/>
      <c r="AE260" s="318"/>
      <c r="AF260" s="318"/>
      <c r="AG260" s="318"/>
      <c r="AH260" s="267"/>
      <c r="AI260" s="251"/>
      <c r="AJ260" s="323"/>
      <c r="AK260" s="323"/>
      <c r="AL260" s="323"/>
      <c r="AM260" s="323"/>
      <c r="AN260" s="323"/>
      <c r="AO260" s="323"/>
      <c r="AP260" s="323"/>
      <c r="AQ260" s="323"/>
      <c r="AR260" s="323"/>
      <c r="AS260" s="323"/>
      <c r="AT260" s="323"/>
      <c r="AU260" s="323"/>
      <c r="AV260" s="323"/>
      <c r="AW260" s="323"/>
      <c r="AX260" s="323"/>
      <c r="AY260" s="323"/>
      <c r="AZ260" s="351"/>
      <c r="BA260" s="326"/>
      <c r="BB260" s="326"/>
      <c r="BC260" s="326"/>
      <c r="BD260" s="326"/>
      <c r="BE260" s="326"/>
      <c r="BF260" s="351"/>
      <c r="BG260" s="332"/>
      <c r="BH260" s="332"/>
      <c r="BI260" s="332"/>
      <c r="BJ260" s="332"/>
      <c r="BK260" s="332"/>
      <c r="BL260" s="332"/>
      <c r="BM260" s="332"/>
      <c r="BN260" s="251"/>
      <c r="BO260" s="340"/>
      <c r="BP260" s="337"/>
      <c r="BQ260" s="340"/>
      <c r="BR260" s="340"/>
      <c r="BS260" s="340"/>
      <c r="BT260" s="340"/>
      <c r="BU260" s="340"/>
      <c r="BV260" s="340"/>
      <c r="BW260" s="340"/>
      <c r="BX260" s="251"/>
      <c r="BY260" s="345"/>
      <c r="BZ260" s="345"/>
      <c r="CA260" s="345"/>
      <c r="CB260" s="346"/>
      <c r="CC260" s="345"/>
      <c r="CD260" s="345"/>
      <c r="CE260" s="345"/>
      <c r="CF260" s="345"/>
      <c r="CG260" s="345"/>
      <c r="CH260" s="345"/>
      <c r="CI260" s="345"/>
      <c r="CJ260" s="346"/>
      <c r="CK260" s="346"/>
    </row>
    <row r="261">
      <c r="A261" s="821"/>
      <c r="B261" s="241" t="s">
        <v>155</v>
      </c>
      <c r="C261" s="237" t="s">
        <v>155</v>
      </c>
      <c r="D261" s="238" t="s">
        <v>155</v>
      </c>
      <c r="E261" s="239" t="s">
        <v>155</v>
      </c>
      <c r="F261" s="240" t="s">
        <v>155</v>
      </c>
      <c r="G261" s="241" t="s">
        <v>155</v>
      </c>
      <c r="H261" s="308"/>
      <c r="I261" s="308"/>
      <c r="J261" s="308"/>
      <c r="K261" s="308"/>
      <c r="L261" s="308"/>
      <c r="M261" s="308"/>
      <c r="N261" s="308"/>
      <c r="O261" s="308"/>
      <c r="P261" s="251"/>
      <c r="Q261" s="353"/>
      <c r="R261" s="353"/>
      <c r="S261" s="353"/>
      <c r="T261" s="353"/>
      <c r="U261" s="353"/>
      <c r="V261" s="353"/>
      <c r="W261" s="251"/>
      <c r="X261" s="318"/>
      <c r="Y261" s="318"/>
      <c r="Z261" s="318"/>
      <c r="AA261" s="617"/>
      <c r="AB261" s="318"/>
      <c r="AC261" s="318"/>
      <c r="AD261" s="318"/>
      <c r="AE261" s="318"/>
      <c r="AF261" s="318"/>
      <c r="AG261" s="318"/>
      <c r="AH261" s="267"/>
      <c r="AI261" s="251"/>
      <c r="AJ261" s="323"/>
      <c r="AK261" s="323"/>
      <c r="AL261" s="323"/>
      <c r="AM261" s="323"/>
      <c r="AN261" s="323"/>
      <c r="AO261" s="323"/>
      <c r="AP261" s="323"/>
      <c r="AQ261" s="323"/>
      <c r="AR261" s="323"/>
      <c r="AS261" s="323"/>
      <c r="AT261" s="323"/>
      <c r="AU261" s="323"/>
      <c r="AV261" s="323"/>
      <c r="AW261" s="323"/>
      <c r="AX261" s="323"/>
      <c r="AY261" s="323"/>
      <c r="AZ261" s="351"/>
      <c r="BA261" s="326"/>
      <c r="BB261" s="326"/>
      <c r="BC261" s="326"/>
      <c r="BD261" s="326"/>
      <c r="BE261" s="326"/>
      <c r="BF261" s="351"/>
      <c r="BG261" s="332"/>
      <c r="BH261" s="332"/>
      <c r="BI261" s="332"/>
      <c r="BJ261" s="332"/>
      <c r="BK261" s="332"/>
      <c r="BL261" s="332"/>
      <c r="BM261" s="332"/>
      <c r="BN261" s="251"/>
      <c r="BO261" s="340"/>
      <c r="BP261" s="337"/>
      <c r="BQ261" s="340"/>
      <c r="BR261" s="340"/>
      <c r="BS261" s="340"/>
      <c r="BT261" s="340"/>
      <c r="BU261" s="340"/>
      <c r="BV261" s="340"/>
      <c r="BW261" s="340"/>
      <c r="BX261" s="251"/>
      <c r="BY261" s="345"/>
      <c r="BZ261" s="345"/>
      <c r="CA261" s="345"/>
      <c r="CB261" s="346"/>
      <c r="CC261" s="345"/>
      <c r="CD261" s="345"/>
      <c r="CE261" s="345"/>
      <c r="CF261" s="345"/>
      <c r="CG261" s="345"/>
      <c r="CH261" s="345"/>
      <c r="CI261" s="345"/>
      <c r="CJ261" s="346"/>
      <c r="CK261" s="346"/>
    </row>
    <row r="262">
      <c r="A262" s="821"/>
      <c r="B262" s="241" t="s">
        <v>155</v>
      </c>
      <c r="C262" s="237" t="s">
        <v>155</v>
      </c>
      <c r="D262" s="238" t="s">
        <v>155</v>
      </c>
      <c r="E262" s="239" t="s">
        <v>155</v>
      </c>
      <c r="F262" s="240" t="s">
        <v>155</v>
      </c>
      <c r="G262" s="241" t="s">
        <v>155</v>
      </c>
      <c r="H262" s="308"/>
      <c r="I262" s="308"/>
      <c r="J262" s="308"/>
      <c r="K262" s="308"/>
      <c r="L262" s="308"/>
      <c r="M262" s="308"/>
      <c r="N262" s="308"/>
      <c r="O262" s="308"/>
      <c r="P262" s="251"/>
      <c r="Q262" s="353"/>
      <c r="R262" s="353"/>
      <c r="S262" s="353"/>
      <c r="T262" s="353"/>
      <c r="U262" s="353"/>
      <c r="V262" s="353"/>
      <c r="W262" s="251"/>
      <c r="X262" s="318"/>
      <c r="Y262" s="318"/>
      <c r="Z262" s="318"/>
      <c r="AA262" s="617"/>
      <c r="AB262" s="318"/>
      <c r="AC262" s="318"/>
      <c r="AD262" s="318"/>
      <c r="AE262" s="318"/>
      <c r="AF262" s="318"/>
      <c r="AG262" s="318"/>
      <c r="AH262" s="267"/>
      <c r="AI262" s="251"/>
      <c r="AJ262" s="323"/>
      <c r="AK262" s="323"/>
      <c r="AL262" s="323"/>
      <c r="AM262" s="323"/>
      <c r="AN262" s="323"/>
      <c r="AO262" s="323"/>
      <c r="AP262" s="323"/>
      <c r="AQ262" s="323"/>
      <c r="AR262" s="323"/>
      <c r="AS262" s="323"/>
      <c r="AT262" s="323"/>
      <c r="AU262" s="323"/>
      <c r="AV262" s="323"/>
      <c r="AW262" s="323"/>
      <c r="AX262" s="323"/>
      <c r="AY262" s="323"/>
      <c r="AZ262" s="351"/>
      <c r="BA262" s="326"/>
      <c r="BB262" s="326"/>
      <c r="BC262" s="326"/>
      <c r="BD262" s="326"/>
      <c r="BE262" s="326"/>
      <c r="BF262" s="351"/>
      <c r="BG262" s="332"/>
      <c r="BH262" s="332"/>
      <c r="BI262" s="332"/>
      <c r="BJ262" s="332"/>
      <c r="BK262" s="332"/>
      <c r="BL262" s="332"/>
      <c r="BM262" s="332"/>
      <c r="BN262" s="251"/>
      <c r="BO262" s="340"/>
      <c r="BP262" s="337"/>
      <c r="BQ262" s="340"/>
      <c r="BR262" s="340"/>
      <c r="BS262" s="340"/>
      <c r="BT262" s="340"/>
      <c r="BU262" s="340"/>
      <c r="BV262" s="340"/>
      <c r="BW262" s="340"/>
      <c r="BX262" s="251"/>
      <c r="BY262" s="345"/>
      <c r="BZ262" s="345"/>
      <c r="CA262" s="345"/>
      <c r="CB262" s="346"/>
      <c r="CC262" s="345"/>
      <c r="CD262" s="345"/>
      <c r="CE262" s="345"/>
      <c r="CF262" s="345"/>
      <c r="CG262" s="345"/>
      <c r="CH262" s="345"/>
      <c r="CI262" s="345"/>
      <c r="CJ262" s="346"/>
      <c r="CK262" s="346"/>
    </row>
    <row r="263">
      <c r="A263" s="821"/>
      <c r="B263" s="241" t="s">
        <v>155</v>
      </c>
      <c r="C263" s="237" t="s">
        <v>155</v>
      </c>
      <c r="D263" s="238" t="s">
        <v>155</v>
      </c>
      <c r="E263" s="239" t="s">
        <v>155</v>
      </c>
      <c r="F263" s="240" t="s">
        <v>155</v>
      </c>
      <c r="G263" s="241" t="s">
        <v>155</v>
      </c>
      <c r="H263" s="308"/>
      <c r="I263" s="308"/>
      <c r="J263" s="308"/>
      <c r="K263" s="308"/>
      <c r="L263" s="308"/>
      <c r="M263" s="308"/>
      <c r="N263" s="308"/>
      <c r="O263" s="308"/>
      <c r="P263" s="251"/>
      <c r="Q263" s="353"/>
      <c r="R263" s="353"/>
      <c r="S263" s="353"/>
      <c r="T263" s="353"/>
      <c r="U263" s="353"/>
      <c r="V263" s="353"/>
      <c r="W263" s="251"/>
      <c r="X263" s="318"/>
      <c r="Y263" s="318"/>
      <c r="Z263" s="318"/>
      <c r="AA263" s="617"/>
      <c r="AB263" s="318"/>
      <c r="AC263" s="318"/>
      <c r="AD263" s="318"/>
      <c r="AE263" s="318"/>
      <c r="AF263" s="318"/>
      <c r="AG263" s="318"/>
      <c r="AH263" s="267"/>
      <c r="AI263" s="251"/>
      <c r="AJ263" s="323"/>
      <c r="AK263" s="323"/>
      <c r="AL263" s="323"/>
      <c r="AM263" s="323"/>
      <c r="AN263" s="323"/>
      <c r="AO263" s="323"/>
      <c r="AP263" s="323"/>
      <c r="AQ263" s="323"/>
      <c r="AR263" s="323"/>
      <c r="AS263" s="323"/>
      <c r="AT263" s="323"/>
      <c r="AU263" s="323"/>
      <c r="AV263" s="323"/>
      <c r="AW263" s="323"/>
      <c r="AX263" s="323"/>
      <c r="AY263" s="323"/>
      <c r="AZ263" s="351"/>
      <c r="BA263" s="326"/>
      <c r="BB263" s="326"/>
      <c r="BC263" s="326"/>
      <c r="BD263" s="326"/>
      <c r="BE263" s="326"/>
      <c r="BF263" s="351"/>
      <c r="BG263" s="332"/>
      <c r="BH263" s="332"/>
      <c r="BI263" s="332"/>
      <c r="BJ263" s="332"/>
      <c r="BK263" s="332"/>
      <c r="BL263" s="332"/>
      <c r="BM263" s="332"/>
      <c r="BN263" s="251"/>
      <c r="BO263" s="340"/>
      <c r="BP263" s="337"/>
      <c r="BQ263" s="340"/>
      <c r="BR263" s="340"/>
      <c r="BS263" s="340"/>
      <c r="BT263" s="340"/>
      <c r="BU263" s="340"/>
      <c r="BV263" s="340"/>
      <c r="BW263" s="340"/>
      <c r="BX263" s="251"/>
      <c r="BY263" s="345"/>
      <c r="BZ263" s="345"/>
      <c r="CA263" s="345"/>
      <c r="CB263" s="346"/>
      <c r="CC263" s="345"/>
      <c r="CD263" s="345"/>
      <c r="CE263" s="345"/>
      <c r="CF263" s="345"/>
      <c r="CG263" s="345"/>
      <c r="CH263" s="345"/>
      <c r="CI263" s="345"/>
      <c r="CJ263" s="346"/>
      <c r="CK263" s="346"/>
    </row>
    <row r="264">
      <c r="A264" s="821"/>
      <c r="B264" s="241" t="s">
        <v>155</v>
      </c>
      <c r="C264" s="237" t="s">
        <v>155</v>
      </c>
      <c r="D264" s="238" t="s">
        <v>155</v>
      </c>
      <c r="E264" s="239" t="s">
        <v>155</v>
      </c>
      <c r="F264" s="240" t="s">
        <v>155</v>
      </c>
      <c r="G264" s="241" t="s">
        <v>155</v>
      </c>
      <c r="H264" s="308"/>
      <c r="I264" s="308"/>
      <c r="J264" s="308"/>
      <c r="K264" s="308"/>
      <c r="L264" s="308"/>
      <c r="M264" s="308"/>
      <c r="N264" s="308"/>
      <c r="O264" s="308"/>
      <c r="P264" s="251"/>
      <c r="Q264" s="353"/>
      <c r="R264" s="353"/>
      <c r="S264" s="353"/>
      <c r="T264" s="353"/>
      <c r="U264" s="353"/>
      <c r="V264" s="353"/>
      <c r="W264" s="251"/>
      <c r="X264" s="318"/>
      <c r="Y264" s="318"/>
      <c r="Z264" s="318"/>
      <c r="AA264" s="617"/>
      <c r="AB264" s="318"/>
      <c r="AC264" s="318"/>
      <c r="AD264" s="318"/>
      <c r="AE264" s="318"/>
      <c r="AF264" s="318"/>
      <c r="AG264" s="318"/>
      <c r="AH264" s="267"/>
      <c r="AI264" s="251"/>
      <c r="AJ264" s="323"/>
      <c r="AK264" s="323"/>
      <c r="AL264" s="323"/>
      <c r="AM264" s="323"/>
      <c r="AN264" s="323"/>
      <c r="AO264" s="323"/>
      <c r="AP264" s="323"/>
      <c r="AQ264" s="323"/>
      <c r="AR264" s="323"/>
      <c r="AS264" s="323"/>
      <c r="AT264" s="323"/>
      <c r="AU264" s="323"/>
      <c r="AV264" s="323"/>
      <c r="AW264" s="323"/>
      <c r="AX264" s="323"/>
      <c r="AY264" s="323"/>
      <c r="AZ264" s="351"/>
      <c r="BA264" s="326"/>
      <c r="BB264" s="326"/>
      <c r="BC264" s="326"/>
      <c r="BD264" s="326"/>
      <c r="BE264" s="326"/>
      <c r="BF264" s="351"/>
      <c r="BG264" s="332"/>
      <c r="BH264" s="332"/>
      <c r="BI264" s="332"/>
      <c r="BJ264" s="332"/>
      <c r="BK264" s="332"/>
      <c r="BL264" s="332"/>
      <c r="BM264" s="332"/>
      <c r="BN264" s="251"/>
      <c r="BO264" s="340"/>
      <c r="BP264" s="337"/>
      <c r="BQ264" s="340"/>
      <c r="BR264" s="340"/>
      <c r="BS264" s="340"/>
      <c r="BT264" s="340"/>
      <c r="BU264" s="340"/>
      <c r="BV264" s="340"/>
      <c r="BW264" s="340"/>
      <c r="BX264" s="251"/>
      <c r="BY264" s="345"/>
      <c r="BZ264" s="345"/>
      <c r="CA264" s="345"/>
      <c r="CB264" s="346"/>
      <c r="CC264" s="345"/>
      <c r="CD264" s="345"/>
      <c r="CE264" s="345"/>
      <c r="CF264" s="345"/>
      <c r="CG264" s="345"/>
      <c r="CH264" s="345"/>
      <c r="CI264" s="345"/>
      <c r="CJ264" s="346"/>
      <c r="CK264" s="346"/>
    </row>
    <row r="265">
      <c r="A265" s="821"/>
      <c r="B265" s="241" t="s">
        <v>155</v>
      </c>
      <c r="C265" s="237" t="s">
        <v>155</v>
      </c>
      <c r="D265" s="238" t="s">
        <v>155</v>
      </c>
      <c r="E265" s="239" t="s">
        <v>155</v>
      </c>
      <c r="F265" s="240" t="s">
        <v>155</v>
      </c>
      <c r="G265" s="241" t="s">
        <v>155</v>
      </c>
      <c r="H265" s="308"/>
      <c r="I265" s="308"/>
      <c r="J265" s="308"/>
      <c r="K265" s="308"/>
      <c r="L265" s="308"/>
      <c r="M265" s="308"/>
      <c r="N265" s="308"/>
      <c r="O265" s="308"/>
      <c r="P265" s="251"/>
      <c r="Q265" s="353"/>
      <c r="R265" s="353"/>
      <c r="S265" s="353"/>
      <c r="T265" s="353"/>
      <c r="U265" s="353"/>
      <c r="V265" s="353"/>
      <c r="W265" s="251"/>
      <c r="X265" s="318"/>
      <c r="Y265" s="318"/>
      <c r="Z265" s="318"/>
      <c r="AA265" s="617"/>
      <c r="AB265" s="318"/>
      <c r="AC265" s="318"/>
      <c r="AD265" s="318"/>
      <c r="AE265" s="318"/>
      <c r="AF265" s="318"/>
      <c r="AG265" s="318"/>
      <c r="AH265" s="267"/>
      <c r="AI265" s="251"/>
      <c r="AJ265" s="323"/>
      <c r="AK265" s="323"/>
      <c r="AL265" s="323"/>
      <c r="AM265" s="323"/>
      <c r="AN265" s="323"/>
      <c r="AO265" s="323"/>
      <c r="AP265" s="323"/>
      <c r="AQ265" s="323"/>
      <c r="AR265" s="323"/>
      <c r="AS265" s="323"/>
      <c r="AT265" s="323"/>
      <c r="AU265" s="323"/>
      <c r="AV265" s="323"/>
      <c r="AW265" s="323"/>
      <c r="AX265" s="323"/>
      <c r="AY265" s="323"/>
      <c r="AZ265" s="351"/>
      <c r="BA265" s="326"/>
      <c r="BB265" s="326"/>
      <c r="BC265" s="326"/>
      <c r="BD265" s="326"/>
      <c r="BE265" s="326"/>
      <c r="BF265" s="351"/>
      <c r="BG265" s="332"/>
      <c r="BH265" s="332"/>
      <c r="BI265" s="332"/>
      <c r="BJ265" s="332"/>
      <c r="BK265" s="332"/>
      <c r="BL265" s="332"/>
      <c r="BM265" s="332"/>
      <c r="BN265" s="251"/>
      <c r="BO265" s="340"/>
      <c r="BP265" s="337"/>
      <c r="BQ265" s="340"/>
      <c r="BR265" s="340"/>
      <c r="BS265" s="340"/>
      <c r="BT265" s="340"/>
      <c r="BU265" s="340"/>
      <c r="BV265" s="340"/>
      <c r="BW265" s="340"/>
      <c r="BX265" s="251"/>
      <c r="BY265" s="345"/>
      <c r="BZ265" s="345"/>
      <c r="CA265" s="345"/>
      <c r="CB265" s="346"/>
      <c r="CC265" s="345"/>
      <c r="CD265" s="345"/>
      <c r="CE265" s="345"/>
      <c r="CF265" s="345"/>
      <c r="CG265" s="345"/>
      <c r="CH265" s="345"/>
      <c r="CI265" s="345"/>
      <c r="CJ265" s="346"/>
      <c r="CK265" s="346"/>
    </row>
    <row r="266">
      <c r="A266" s="821"/>
      <c r="B266" s="241" t="s">
        <v>155</v>
      </c>
      <c r="C266" s="237" t="s">
        <v>155</v>
      </c>
      <c r="D266" s="238" t="s">
        <v>155</v>
      </c>
      <c r="E266" s="239" t="s">
        <v>155</v>
      </c>
      <c r="F266" s="240" t="s">
        <v>155</v>
      </c>
      <c r="G266" s="241" t="s">
        <v>155</v>
      </c>
      <c r="H266" s="308"/>
      <c r="I266" s="308"/>
      <c r="J266" s="308"/>
      <c r="K266" s="308"/>
      <c r="L266" s="308"/>
      <c r="M266" s="308"/>
      <c r="N266" s="308"/>
      <c r="O266" s="308"/>
      <c r="P266" s="251"/>
      <c r="Q266" s="353"/>
      <c r="R266" s="353"/>
      <c r="S266" s="353"/>
      <c r="T266" s="353"/>
      <c r="U266" s="353"/>
      <c r="V266" s="353"/>
      <c r="W266" s="251"/>
      <c r="X266" s="318"/>
      <c r="Y266" s="318"/>
      <c r="Z266" s="318"/>
      <c r="AA266" s="617"/>
      <c r="AB266" s="318"/>
      <c r="AC266" s="318"/>
      <c r="AD266" s="318"/>
      <c r="AE266" s="318"/>
      <c r="AF266" s="318"/>
      <c r="AG266" s="318"/>
      <c r="AH266" s="267"/>
      <c r="AI266" s="251"/>
      <c r="AJ266" s="323"/>
      <c r="AK266" s="323"/>
      <c r="AL266" s="323"/>
      <c r="AM266" s="323"/>
      <c r="AN266" s="323"/>
      <c r="AO266" s="323"/>
      <c r="AP266" s="323"/>
      <c r="AQ266" s="323"/>
      <c r="AR266" s="323"/>
      <c r="AS266" s="323"/>
      <c r="AT266" s="323"/>
      <c r="AU266" s="323"/>
      <c r="AV266" s="323"/>
      <c r="AW266" s="323"/>
      <c r="AX266" s="323"/>
      <c r="AY266" s="323"/>
      <c r="AZ266" s="351"/>
      <c r="BA266" s="326"/>
      <c r="BB266" s="326"/>
      <c r="BC266" s="326"/>
      <c r="BD266" s="326"/>
      <c r="BE266" s="326"/>
      <c r="BF266" s="351"/>
      <c r="BG266" s="332"/>
      <c r="BH266" s="332"/>
      <c r="BI266" s="332"/>
      <c r="BJ266" s="332"/>
      <c r="BK266" s="332"/>
      <c r="BL266" s="332"/>
      <c r="BM266" s="332"/>
      <c r="BN266" s="251"/>
      <c r="BO266" s="340"/>
      <c r="BP266" s="337"/>
      <c r="BQ266" s="340"/>
      <c r="BR266" s="340"/>
      <c r="BS266" s="340"/>
      <c r="BT266" s="340"/>
      <c r="BU266" s="340"/>
      <c r="BV266" s="340"/>
      <c r="BW266" s="340"/>
      <c r="BX266" s="251"/>
      <c r="BY266" s="345"/>
      <c r="BZ266" s="345"/>
      <c r="CA266" s="345"/>
      <c r="CB266" s="346"/>
      <c r="CC266" s="345"/>
      <c r="CD266" s="345"/>
      <c r="CE266" s="345"/>
      <c r="CF266" s="345"/>
      <c r="CG266" s="345"/>
      <c r="CH266" s="345"/>
      <c r="CI266" s="345"/>
      <c r="CJ266" s="346"/>
      <c r="CK266" s="346"/>
    </row>
    <row r="267">
      <c r="A267" s="821"/>
      <c r="B267" s="241" t="s">
        <v>155</v>
      </c>
      <c r="C267" s="237" t="s">
        <v>155</v>
      </c>
      <c r="D267" s="238" t="s">
        <v>155</v>
      </c>
      <c r="E267" s="239" t="s">
        <v>155</v>
      </c>
      <c r="F267" s="240" t="s">
        <v>155</v>
      </c>
      <c r="G267" s="241" t="s">
        <v>155</v>
      </c>
      <c r="H267" s="308"/>
      <c r="I267" s="308"/>
      <c r="J267" s="308"/>
      <c r="K267" s="308"/>
      <c r="L267" s="308"/>
      <c r="M267" s="308"/>
      <c r="N267" s="308"/>
      <c r="O267" s="308"/>
      <c r="P267" s="251"/>
      <c r="Q267" s="353"/>
      <c r="R267" s="353"/>
      <c r="S267" s="353"/>
      <c r="T267" s="353"/>
      <c r="U267" s="353"/>
      <c r="V267" s="353"/>
      <c r="W267" s="251"/>
      <c r="X267" s="318"/>
      <c r="Y267" s="318"/>
      <c r="Z267" s="318"/>
      <c r="AA267" s="617"/>
      <c r="AB267" s="318"/>
      <c r="AC267" s="318"/>
      <c r="AD267" s="318"/>
      <c r="AE267" s="318"/>
      <c r="AF267" s="318"/>
      <c r="AG267" s="318"/>
      <c r="AH267" s="267"/>
      <c r="AI267" s="251"/>
      <c r="AJ267" s="323"/>
      <c r="AK267" s="323"/>
      <c r="AL267" s="323"/>
      <c r="AM267" s="323"/>
      <c r="AN267" s="323"/>
      <c r="AO267" s="323"/>
      <c r="AP267" s="323"/>
      <c r="AQ267" s="323"/>
      <c r="AR267" s="323"/>
      <c r="AS267" s="323"/>
      <c r="AT267" s="323"/>
      <c r="AU267" s="323"/>
      <c r="AV267" s="323"/>
      <c r="AW267" s="323"/>
      <c r="AX267" s="323"/>
      <c r="AY267" s="323"/>
      <c r="AZ267" s="351"/>
      <c r="BA267" s="326"/>
      <c r="BB267" s="326"/>
      <c r="BC267" s="326"/>
      <c r="BD267" s="326"/>
      <c r="BE267" s="326"/>
      <c r="BF267" s="351"/>
      <c r="BG267" s="332"/>
      <c r="BH267" s="332"/>
      <c r="BI267" s="332"/>
      <c r="BJ267" s="332"/>
      <c r="BK267" s="332"/>
      <c r="BL267" s="332"/>
      <c r="BM267" s="332"/>
      <c r="BN267" s="251"/>
      <c r="BO267" s="340"/>
      <c r="BP267" s="337"/>
      <c r="BQ267" s="340"/>
      <c r="BR267" s="340"/>
      <c r="BS267" s="340"/>
      <c r="BT267" s="340"/>
      <c r="BU267" s="340"/>
      <c r="BV267" s="340"/>
      <c r="BW267" s="340"/>
      <c r="BX267" s="251"/>
      <c r="BY267" s="345"/>
      <c r="BZ267" s="345"/>
      <c r="CA267" s="345"/>
      <c r="CB267" s="346"/>
      <c r="CC267" s="345"/>
      <c r="CD267" s="345"/>
      <c r="CE267" s="345"/>
      <c r="CF267" s="345"/>
      <c r="CG267" s="345"/>
      <c r="CH267" s="345"/>
      <c r="CI267" s="345"/>
      <c r="CJ267" s="346"/>
      <c r="CK267" s="346"/>
    </row>
    <row r="268">
      <c r="A268" s="821"/>
      <c r="B268" s="241" t="s">
        <v>155</v>
      </c>
      <c r="C268" s="237" t="s">
        <v>155</v>
      </c>
      <c r="D268" s="238" t="s">
        <v>155</v>
      </c>
      <c r="E268" s="239" t="s">
        <v>155</v>
      </c>
      <c r="F268" s="240" t="s">
        <v>155</v>
      </c>
      <c r="G268" s="241" t="s">
        <v>155</v>
      </c>
      <c r="H268" s="308"/>
      <c r="I268" s="308"/>
      <c r="J268" s="308"/>
      <c r="K268" s="308"/>
      <c r="L268" s="308"/>
      <c r="M268" s="308"/>
      <c r="N268" s="308"/>
      <c r="O268" s="308"/>
      <c r="P268" s="251"/>
      <c r="Q268" s="353"/>
      <c r="R268" s="353"/>
      <c r="S268" s="353"/>
      <c r="T268" s="353"/>
      <c r="U268" s="353"/>
      <c r="V268" s="353"/>
      <c r="W268" s="251"/>
      <c r="X268" s="318"/>
      <c r="Y268" s="318"/>
      <c r="Z268" s="318"/>
      <c r="AA268" s="617"/>
      <c r="AB268" s="318"/>
      <c r="AC268" s="318"/>
      <c r="AD268" s="318"/>
      <c r="AE268" s="318"/>
      <c r="AF268" s="318"/>
      <c r="AG268" s="318"/>
      <c r="AH268" s="267"/>
      <c r="AI268" s="251"/>
      <c r="AJ268" s="323"/>
      <c r="AK268" s="323"/>
      <c r="AL268" s="323"/>
      <c r="AM268" s="323"/>
      <c r="AN268" s="323"/>
      <c r="AO268" s="323"/>
      <c r="AP268" s="323"/>
      <c r="AQ268" s="323"/>
      <c r="AR268" s="323"/>
      <c r="AS268" s="323"/>
      <c r="AT268" s="323"/>
      <c r="AU268" s="323"/>
      <c r="AV268" s="323"/>
      <c r="AW268" s="323"/>
      <c r="AX268" s="323"/>
      <c r="AY268" s="323"/>
      <c r="AZ268" s="351"/>
      <c r="BA268" s="326"/>
      <c r="BB268" s="326"/>
      <c r="BC268" s="326"/>
      <c r="BD268" s="326"/>
      <c r="BE268" s="326"/>
      <c r="BF268" s="351"/>
      <c r="BG268" s="332"/>
      <c r="BH268" s="332"/>
      <c r="BI268" s="332"/>
      <c r="BJ268" s="332"/>
      <c r="BK268" s="332"/>
      <c r="BL268" s="332"/>
      <c r="BM268" s="332"/>
      <c r="BN268" s="251"/>
      <c r="BO268" s="340"/>
      <c r="BP268" s="337"/>
      <c r="BQ268" s="340"/>
      <c r="BR268" s="340"/>
      <c r="BS268" s="340"/>
      <c r="BT268" s="340"/>
      <c r="BU268" s="340"/>
      <c r="BV268" s="340"/>
      <c r="BW268" s="340"/>
      <c r="BX268" s="251"/>
      <c r="BY268" s="345"/>
      <c r="BZ268" s="345"/>
      <c r="CA268" s="345"/>
      <c r="CB268" s="346"/>
      <c r="CC268" s="345"/>
      <c r="CD268" s="345"/>
      <c r="CE268" s="345"/>
      <c r="CF268" s="345"/>
      <c r="CG268" s="345"/>
      <c r="CH268" s="345"/>
      <c r="CI268" s="345"/>
      <c r="CJ268" s="346"/>
      <c r="CK268" s="346"/>
    </row>
    <row r="269">
      <c r="A269" s="821"/>
      <c r="B269" s="241" t="s">
        <v>155</v>
      </c>
      <c r="C269" s="237" t="s">
        <v>155</v>
      </c>
      <c r="D269" s="238" t="s">
        <v>155</v>
      </c>
      <c r="E269" s="239" t="s">
        <v>155</v>
      </c>
      <c r="F269" s="240" t="s">
        <v>155</v>
      </c>
      <c r="G269" s="241" t="s">
        <v>155</v>
      </c>
      <c r="H269" s="308"/>
      <c r="I269" s="308"/>
      <c r="J269" s="308"/>
      <c r="K269" s="308"/>
      <c r="L269" s="308"/>
      <c r="M269" s="308"/>
      <c r="N269" s="308"/>
      <c r="O269" s="308"/>
      <c r="P269" s="251"/>
      <c r="Q269" s="353"/>
      <c r="R269" s="353"/>
      <c r="S269" s="353"/>
      <c r="T269" s="353"/>
      <c r="U269" s="353"/>
      <c r="V269" s="353"/>
      <c r="W269" s="251"/>
      <c r="X269" s="318"/>
      <c r="Y269" s="318"/>
      <c r="Z269" s="318"/>
      <c r="AA269" s="617"/>
      <c r="AB269" s="318"/>
      <c r="AC269" s="318"/>
      <c r="AD269" s="318"/>
      <c r="AE269" s="318"/>
      <c r="AF269" s="318"/>
      <c r="AG269" s="318"/>
      <c r="AH269" s="267"/>
      <c r="AI269" s="251"/>
      <c r="AJ269" s="323"/>
      <c r="AK269" s="323"/>
      <c r="AL269" s="323"/>
      <c r="AM269" s="323"/>
      <c r="AN269" s="323"/>
      <c r="AO269" s="323"/>
      <c r="AP269" s="323"/>
      <c r="AQ269" s="323"/>
      <c r="AR269" s="323"/>
      <c r="AS269" s="323"/>
      <c r="AT269" s="323"/>
      <c r="AU269" s="323"/>
      <c r="AV269" s="323"/>
      <c r="AW269" s="323"/>
      <c r="AX269" s="323"/>
      <c r="AY269" s="323"/>
      <c r="AZ269" s="351"/>
      <c r="BA269" s="326"/>
      <c r="BB269" s="326"/>
      <c r="BC269" s="326"/>
      <c r="BD269" s="326"/>
      <c r="BE269" s="326"/>
      <c r="BF269" s="351"/>
      <c r="BG269" s="332"/>
      <c r="BH269" s="332"/>
      <c r="BI269" s="332"/>
      <c r="BJ269" s="332"/>
      <c r="BK269" s="332"/>
      <c r="BL269" s="332"/>
      <c r="BM269" s="332"/>
      <c r="BN269" s="251"/>
      <c r="BO269" s="340"/>
      <c r="BP269" s="337"/>
      <c r="BQ269" s="340"/>
      <c r="BR269" s="340"/>
      <c r="BS269" s="340"/>
      <c r="BT269" s="340"/>
      <c r="BU269" s="340"/>
      <c r="BV269" s="340"/>
      <c r="BW269" s="340"/>
      <c r="BX269" s="251"/>
      <c r="BY269" s="345"/>
      <c r="BZ269" s="345"/>
      <c r="CA269" s="345"/>
      <c r="CB269" s="346"/>
      <c r="CC269" s="345"/>
      <c r="CD269" s="345"/>
      <c r="CE269" s="345"/>
      <c r="CF269" s="345"/>
      <c r="CG269" s="345"/>
      <c r="CH269" s="345"/>
      <c r="CI269" s="345"/>
      <c r="CJ269" s="346"/>
      <c r="CK269" s="346"/>
    </row>
    <row r="270">
      <c r="A270" s="821"/>
      <c r="B270" s="241" t="s">
        <v>155</v>
      </c>
      <c r="C270" s="237" t="s">
        <v>155</v>
      </c>
      <c r="D270" s="238" t="s">
        <v>155</v>
      </c>
      <c r="E270" s="239" t="s">
        <v>155</v>
      </c>
      <c r="F270" s="240" t="s">
        <v>155</v>
      </c>
      <c r="G270" s="241" t="s">
        <v>155</v>
      </c>
      <c r="H270" s="308"/>
      <c r="I270" s="308"/>
      <c r="J270" s="308"/>
      <c r="K270" s="308"/>
      <c r="L270" s="308"/>
      <c r="M270" s="308"/>
      <c r="N270" s="308"/>
      <c r="O270" s="308"/>
      <c r="P270" s="251"/>
      <c r="Q270" s="353"/>
      <c r="R270" s="353"/>
      <c r="S270" s="353"/>
      <c r="T270" s="353"/>
      <c r="U270" s="353"/>
      <c r="V270" s="353"/>
      <c r="W270" s="251"/>
      <c r="X270" s="318"/>
      <c r="Y270" s="318"/>
      <c r="Z270" s="318"/>
      <c r="AA270" s="617"/>
      <c r="AB270" s="318"/>
      <c r="AC270" s="318"/>
      <c r="AD270" s="318"/>
      <c r="AE270" s="318"/>
      <c r="AF270" s="318"/>
      <c r="AG270" s="318"/>
      <c r="AH270" s="267"/>
      <c r="AI270" s="251"/>
      <c r="AJ270" s="323"/>
      <c r="AK270" s="323"/>
      <c r="AL270" s="323"/>
      <c r="AM270" s="323"/>
      <c r="AN270" s="323"/>
      <c r="AO270" s="323"/>
      <c r="AP270" s="323"/>
      <c r="AQ270" s="323"/>
      <c r="AR270" s="323"/>
      <c r="AS270" s="323"/>
      <c r="AT270" s="323"/>
      <c r="AU270" s="323"/>
      <c r="AV270" s="323"/>
      <c r="AW270" s="323"/>
      <c r="AX270" s="323"/>
      <c r="AY270" s="323"/>
      <c r="AZ270" s="351"/>
      <c r="BA270" s="326"/>
      <c r="BB270" s="326"/>
      <c r="BC270" s="326"/>
      <c r="BD270" s="326"/>
      <c r="BE270" s="326"/>
      <c r="BF270" s="351"/>
      <c r="BG270" s="332"/>
      <c r="BH270" s="332"/>
      <c r="BI270" s="332"/>
      <c r="BJ270" s="332"/>
      <c r="BK270" s="332"/>
      <c r="BL270" s="332"/>
      <c r="BM270" s="332"/>
      <c r="BN270" s="251"/>
      <c r="BO270" s="340"/>
      <c r="BP270" s="337"/>
      <c r="BQ270" s="340"/>
      <c r="BR270" s="340"/>
      <c r="BS270" s="340"/>
      <c r="BT270" s="340"/>
      <c r="BU270" s="340"/>
      <c r="BV270" s="340"/>
      <c r="BW270" s="340"/>
      <c r="BX270" s="251"/>
      <c r="BY270" s="345"/>
      <c r="BZ270" s="345"/>
      <c r="CA270" s="345"/>
      <c r="CB270" s="346"/>
      <c r="CC270" s="345"/>
      <c r="CD270" s="345"/>
      <c r="CE270" s="345"/>
      <c r="CF270" s="345"/>
      <c r="CG270" s="345"/>
      <c r="CH270" s="345"/>
      <c r="CI270" s="345"/>
      <c r="CJ270" s="346"/>
      <c r="CK270" s="346"/>
    </row>
    <row r="271">
      <c r="A271" s="821"/>
      <c r="B271" s="241" t="s">
        <v>155</v>
      </c>
      <c r="C271" s="237" t="s">
        <v>155</v>
      </c>
      <c r="D271" s="238" t="s">
        <v>155</v>
      </c>
      <c r="E271" s="239" t="s">
        <v>155</v>
      </c>
      <c r="F271" s="240" t="s">
        <v>155</v>
      </c>
      <c r="G271" s="241" t="s">
        <v>155</v>
      </c>
      <c r="H271" s="308"/>
      <c r="I271" s="308"/>
      <c r="J271" s="308"/>
      <c r="K271" s="308"/>
      <c r="L271" s="308"/>
      <c r="M271" s="308"/>
      <c r="N271" s="308"/>
      <c r="O271" s="308"/>
      <c r="P271" s="251"/>
      <c r="Q271" s="353"/>
      <c r="R271" s="353"/>
      <c r="S271" s="353"/>
      <c r="T271" s="353"/>
      <c r="U271" s="353"/>
      <c r="V271" s="353"/>
      <c r="W271" s="251"/>
      <c r="X271" s="318"/>
      <c r="Y271" s="318"/>
      <c r="Z271" s="318"/>
      <c r="AA271" s="617"/>
      <c r="AB271" s="318"/>
      <c r="AC271" s="318"/>
      <c r="AD271" s="318"/>
      <c r="AE271" s="318"/>
      <c r="AF271" s="318"/>
      <c r="AG271" s="318"/>
      <c r="AH271" s="267"/>
      <c r="AI271" s="251"/>
      <c r="AJ271" s="323"/>
      <c r="AK271" s="323"/>
      <c r="AL271" s="323"/>
      <c r="AM271" s="323"/>
      <c r="AN271" s="323"/>
      <c r="AO271" s="323"/>
      <c r="AP271" s="323"/>
      <c r="AQ271" s="323"/>
      <c r="AR271" s="323"/>
      <c r="AS271" s="323"/>
      <c r="AT271" s="323"/>
      <c r="AU271" s="323"/>
      <c r="AV271" s="323"/>
      <c r="AW271" s="323"/>
      <c r="AX271" s="323"/>
      <c r="AY271" s="323"/>
      <c r="AZ271" s="351"/>
      <c r="BA271" s="326"/>
      <c r="BB271" s="326"/>
      <c r="BC271" s="326"/>
      <c r="BD271" s="326"/>
      <c r="BE271" s="326"/>
      <c r="BF271" s="351"/>
      <c r="BG271" s="332"/>
      <c r="BH271" s="332"/>
      <c r="BI271" s="332"/>
      <c r="BJ271" s="332"/>
      <c r="BK271" s="332"/>
      <c r="BL271" s="332"/>
      <c r="BM271" s="332"/>
      <c r="BN271" s="251"/>
      <c r="BO271" s="340"/>
      <c r="BP271" s="337"/>
      <c r="BQ271" s="340"/>
      <c r="BR271" s="340"/>
      <c r="BS271" s="340"/>
      <c r="BT271" s="340"/>
      <c r="BU271" s="340"/>
      <c r="BV271" s="340"/>
      <c r="BW271" s="340"/>
      <c r="BX271" s="251"/>
      <c r="BY271" s="345"/>
      <c r="BZ271" s="345"/>
      <c r="CA271" s="345"/>
      <c r="CB271" s="346"/>
      <c r="CC271" s="345"/>
      <c r="CD271" s="345"/>
      <c r="CE271" s="345"/>
      <c r="CF271" s="345"/>
      <c r="CG271" s="345"/>
      <c r="CH271" s="345"/>
      <c r="CI271" s="345"/>
      <c r="CJ271" s="346"/>
      <c r="CK271" s="346"/>
    </row>
    <row r="272">
      <c r="A272" s="821"/>
      <c r="B272" s="241" t="s">
        <v>155</v>
      </c>
      <c r="C272" s="237" t="s">
        <v>155</v>
      </c>
      <c r="D272" s="238" t="s">
        <v>155</v>
      </c>
      <c r="E272" s="239" t="s">
        <v>155</v>
      </c>
      <c r="F272" s="240" t="s">
        <v>155</v>
      </c>
      <c r="G272" s="241" t="s">
        <v>155</v>
      </c>
      <c r="H272" s="308"/>
      <c r="I272" s="308"/>
      <c r="J272" s="308"/>
      <c r="K272" s="308"/>
      <c r="L272" s="308"/>
      <c r="M272" s="308"/>
      <c r="N272" s="308"/>
      <c r="O272" s="308"/>
      <c r="P272" s="251"/>
      <c r="Q272" s="353"/>
      <c r="R272" s="353"/>
      <c r="S272" s="353"/>
      <c r="T272" s="353"/>
      <c r="U272" s="353"/>
      <c r="V272" s="353"/>
      <c r="W272" s="251"/>
      <c r="X272" s="318"/>
      <c r="Y272" s="318"/>
      <c r="Z272" s="318"/>
      <c r="AA272" s="617"/>
      <c r="AB272" s="318"/>
      <c r="AC272" s="318"/>
      <c r="AD272" s="318"/>
      <c r="AE272" s="318"/>
      <c r="AF272" s="318"/>
      <c r="AG272" s="318"/>
      <c r="AH272" s="267"/>
      <c r="AI272" s="251"/>
      <c r="AJ272" s="323"/>
      <c r="AK272" s="323"/>
      <c r="AL272" s="323"/>
      <c r="AM272" s="323"/>
      <c r="AN272" s="323"/>
      <c r="AO272" s="323"/>
      <c r="AP272" s="323"/>
      <c r="AQ272" s="323"/>
      <c r="AR272" s="323"/>
      <c r="AS272" s="323"/>
      <c r="AT272" s="323"/>
      <c r="AU272" s="323"/>
      <c r="AV272" s="323"/>
      <c r="AW272" s="323"/>
      <c r="AX272" s="323"/>
      <c r="AY272" s="323"/>
      <c r="AZ272" s="351"/>
      <c r="BA272" s="326"/>
      <c r="BB272" s="326"/>
      <c r="BC272" s="326"/>
      <c r="BD272" s="326"/>
      <c r="BE272" s="326"/>
      <c r="BF272" s="351"/>
      <c r="BG272" s="332"/>
      <c r="BH272" s="332"/>
      <c r="BI272" s="332"/>
      <c r="BJ272" s="332"/>
      <c r="BK272" s="332"/>
      <c r="BL272" s="332"/>
      <c r="BM272" s="332"/>
      <c r="BN272" s="251"/>
      <c r="BO272" s="340"/>
      <c r="BP272" s="337"/>
      <c r="BQ272" s="340"/>
      <c r="BR272" s="340"/>
      <c r="BS272" s="340"/>
      <c r="BT272" s="340"/>
      <c r="BU272" s="340"/>
      <c r="BV272" s="340"/>
      <c r="BW272" s="340"/>
      <c r="BX272" s="251"/>
      <c r="BY272" s="345"/>
      <c r="BZ272" s="345"/>
      <c r="CA272" s="345"/>
      <c r="CB272" s="346"/>
      <c r="CC272" s="345"/>
      <c r="CD272" s="345"/>
      <c r="CE272" s="345"/>
      <c r="CF272" s="345"/>
      <c r="CG272" s="345"/>
      <c r="CH272" s="345"/>
      <c r="CI272" s="345"/>
      <c r="CJ272" s="346"/>
      <c r="CK272" s="346"/>
    </row>
    <row r="273">
      <c r="A273" s="821"/>
      <c r="B273" s="241" t="s">
        <v>155</v>
      </c>
      <c r="C273" s="237" t="s">
        <v>155</v>
      </c>
      <c r="D273" s="238" t="s">
        <v>155</v>
      </c>
      <c r="E273" s="239" t="s">
        <v>155</v>
      </c>
      <c r="F273" s="240" t="s">
        <v>155</v>
      </c>
      <c r="G273" s="241" t="s">
        <v>155</v>
      </c>
      <c r="H273" s="308"/>
      <c r="I273" s="308"/>
      <c r="J273" s="308"/>
      <c r="K273" s="308"/>
      <c r="L273" s="308"/>
      <c r="M273" s="308"/>
      <c r="N273" s="308"/>
      <c r="O273" s="308"/>
      <c r="P273" s="251"/>
      <c r="Q273" s="353"/>
      <c r="R273" s="353"/>
      <c r="S273" s="353"/>
      <c r="T273" s="353"/>
      <c r="U273" s="353"/>
      <c r="V273" s="353"/>
      <c r="W273" s="251"/>
      <c r="X273" s="318"/>
      <c r="Y273" s="318"/>
      <c r="Z273" s="318"/>
      <c r="AA273" s="617"/>
      <c r="AB273" s="318"/>
      <c r="AC273" s="318"/>
      <c r="AD273" s="318"/>
      <c r="AE273" s="318"/>
      <c r="AF273" s="318"/>
      <c r="AG273" s="318"/>
      <c r="AH273" s="267"/>
      <c r="AI273" s="251"/>
      <c r="AJ273" s="323"/>
      <c r="AK273" s="323"/>
      <c r="AL273" s="323"/>
      <c r="AM273" s="323"/>
      <c r="AN273" s="323"/>
      <c r="AO273" s="323"/>
      <c r="AP273" s="323"/>
      <c r="AQ273" s="323"/>
      <c r="AR273" s="323"/>
      <c r="AS273" s="323"/>
      <c r="AT273" s="323"/>
      <c r="AU273" s="323"/>
      <c r="AV273" s="323"/>
      <c r="AW273" s="323"/>
      <c r="AX273" s="323"/>
      <c r="AY273" s="323"/>
      <c r="AZ273" s="351"/>
      <c r="BA273" s="326"/>
      <c r="BB273" s="326"/>
      <c r="BC273" s="326"/>
      <c r="BD273" s="326"/>
      <c r="BE273" s="326"/>
      <c r="BF273" s="351"/>
      <c r="BG273" s="332"/>
      <c r="BH273" s="332"/>
      <c r="BI273" s="332"/>
      <c r="BJ273" s="332"/>
      <c r="BK273" s="332"/>
      <c r="BL273" s="332"/>
      <c r="BM273" s="332"/>
      <c r="BN273" s="251"/>
      <c r="BO273" s="340"/>
      <c r="BP273" s="337"/>
      <c r="BQ273" s="340"/>
      <c r="BR273" s="340"/>
      <c r="BS273" s="340"/>
      <c r="BT273" s="340"/>
      <c r="BU273" s="340"/>
      <c r="BV273" s="340"/>
      <c r="BW273" s="340"/>
      <c r="BX273" s="251"/>
      <c r="BY273" s="345"/>
      <c r="BZ273" s="345"/>
      <c r="CA273" s="345"/>
      <c r="CB273" s="346"/>
      <c r="CC273" s="345"/>
      <c r="CD273" s="345"/>
      <c r="CE273" s="345"/>
      <c r="CF273" s="345"/>
      <c r="CG273" s="345"/>
      <c r="CH273" s="345"/>
      <c r="CI273" s="345"/>
      <c r="CJ273" s="346"/>
      <c r="CK273" s="346"/>
    </row>
    <row r="274">
      <c r="A274" s="821"/>
      <c r="B274" s="241" t="s">
        <v>155</v>
      </c>
      <c r="C274" s="237" t="s">
        <v>155</v>
      </c>
      <c r="D274" s="238" t="s">
        <v>155</v>
      </c>
      <c r="E274" s="239" t="s">
        <v>155</v>
      </c>
      <c r="F274" s="240" t="s">
        <v>155</v>
      </c>
      <c r="G274" s="241" t="s">
        <v>155</v>
      </c>
      <c r="H274" s="308"/>
      <c r="I274" s="308"/>
      <c r="J274" s="308"/>
      <c r="K274" s="308"/>
      <c r="L274" s="308"/>
      <c r="M274" s="308"/>
      <c r="N274" s="308"/>
      <c r="O274" s="308"/>
      <c r="P274" s="251"/>
      <c r="Q274" s="353"/>
      <c r="R274" s="353"/>
      <c r="S274" s="353"/>
      <c r="T274" s="353"/>
      <c r="U274" s="353"/>
      <c r="V274" s="353"/>
      <c r="W274" s="251"/>
      <c r="X274" s="318"/>
      <c r="Y274" s="318"/>
      <c r="Z274" s="318"/>
      <c r="AA274" s="617"/>
      <c r="AB274" s="318"/>
      <c r="AC274" s="318"/>
      <c r="AD274" s="318"/>
      <c r="AE274" s="318"/>
      <c r="AF274" s="318"/>
      <c r="AG274" s="318"/>
      <c r="AH274" s="267"/>
      <c r="AI274" s="251"/>
      <c r="AJ274" s="323"/>
      <c r="AK274" s="323"/>
      <c r="AL274" s="323"/>
      <c r="AM274" s="323"/>
      <c r="AN274" s="323"/>
      <c r="AO274" s="323"/>
      <c r="AP274" s="323"/>
      <c r="AQ274" s="323"/>
      <c r="AR274" s="323"/>
      <c r="AS274" s="323"/>
      <c r="AT274" s="323"/>
      <c r="AU274" s="323"/>
      <c r="AV274" s="323"/>
      <c r="AW274" s="323"/>
      <c r="AX274" s="323"/>
      <c r="AY274" s="323"/>
      <c r="AZ274" s="351"/>
      <c r="BA274" s="326"/>
      <c r="BB274" s="326"/>
      <c r="BC274" s="326"/>
      <c r="BD274" s="326"/>
      <c r="BE274" s="326"/>
      <c r="BF274" s="351"/>
      <c r="BG274" s="332"/>
      <c r="BH274" s="332"/>
      <c r="BI274" s="332"/>
      <c r="BJ274" s="332"/>
      <c r="BK274" s="332"/>
      <c r="BL274" s="332"/>
      <c r="BM274" s="332"/>
      <c r="BN274" s="251"/>
      <c r="BO274" s="340"/>
      <c r="BP274" s="337"/>
      <c r="BQ274" s="340"/>
      <c r="BR274" s="340"/>
      <c r="BS274" s="340"/>
      <c r="BT274" s="340"/>
      <c r="BU274" s="340"/>
      <c r="BV274" s="340"/>
      <c r="BW274" s="340"/>
      <c r="BX274" s="251"/>
      <c r="BY274" s="345"/>
      <c r="BZ274" s="345"/>
      <c r="CA274" s="345"/>
      <c r="CB274" s="346"/>
      <c r="CC274" s="345"/>
      <c r="CD274" s="345"/>
      <c r="CE274" s="345"/>
      <c r="CF274" s="345"/>
      <c r="CG274" s="345"/>
      <c r="CH274" s="345"/>
      <c r="CI274" s="345"/>
      <c r="CJ274" s="346"/>
      <c r="CK274" s="346"/>
    </row>
    <row r="275">
      <c r="A275" s="821"/>
      <c r="B275" s="241" t="s">
        <v>155</v>
      </c>
      <c r="C275" s="237" t="s">
        <v>155</v>
      </c>
      <c r="D275" s="238" t="s">
        <v>155</v>
      </c>
      <c r="E275" s="239" t="s">
        <v>155</v>
      </c>
      <c r="F275" s="240" t="s">
        <v>155</v>
      </c>
      <c r="G275" s="241" t="s">
        <v>155</v>
      </c>
      <c r="H275" s="308"/>
      <c r="I275" s="308"/>
      <c r="J275" s="308"/>
      <c r="K275" s="308"/>
      <c r="L275" s="308"/>
      <c r="M275" s="308"/>
      <c r="N275" s="308"/>
      <c r="O275" s="308"/>
      <c r="P275" s="251"/>
      <c r="Q275" s="353"/>
      <c r="R275" s="353"/>
      <c r="S275" s="353"/>
      <c r="T275" s="353"/>
      <c r="U275" s="353"/>
      <c r="V275" s="353"/>
      <c r="W275" s="251"/>
      <c r="X275" s="318"/>
      <c r="Y275" s="318"/>
      <c r="Z275" s="318"/>
      <c r="AA275" s="617"/>
      <c r="AB275" s="318"/>
      <c r="AC275" s="318"/>
      <c r="AD275" s="318"/>
      <c r="AE275" s="318"/>
      <c r="AF275" s="318"/>
      <c r="AG275" s="318"/>
      <c r="AH275" s="267"/>
      <c r="AI275" s="251"/>
      <c r="AJ275" s="323"/>
      <c r="AK275" s="323"/>
      <c r="AL275" s="323"/>
      <c r="AM275" s="323"/>
      <c r="AN275" s="323"/>
      <c r="AO275" s="323"/>
      <c r="AP275" s="323"/>
      <c r="AQ275" s="323"/>
      <c r="AR275" s="323"/>
      <c r="AS275" s="323"/>
      <c r="AT275" s="323"/>
      <c r="AU275" s="323"/>
      <c r="AV275" s="323"/>
      <c r="AW275" s="323"/>
      <c r="AX275" s="323"/>
      <c r="AY275" s="323"/>
      <c r="AZ275" s="351"/>
      <c r="BA275" s="326"/>
      <c r="BB275" s="326"/>
      <c r="BC275" s="326"/>
      <c r="BD275" s="326"/>
      <c r="BE275" s="326"/>
      <c r="BF275" s="351"/>
      <c r="BG275" s="332"/>
      <c r="BH275" s="332"/>
      <c r="BI275" s="332"/>
      <c r="BJ275" s="332"/>
      <c r="BK275" s="332"/>
      <c r="BL275" s="332"/>
      <c r="BM275" s="332"/>
      <c r="BN275" s="251"/>
      <c r="BO275" s="340"/>
      <c r="BP275" s="337"/>
      <c r="BQ275" s="340"/>
      <c r="BR275" s="340"/>
      <c r="BS275" s="340"/>
      <c r="BT275" s="340"/>
      <c r="BU275" s="340"/>
      <c r="BV275" s="340"/>
      <c r="BW275" s="340"/>
      <c r="BX275" s="251"/>
      <c r="BY275" s="345"/>
      <c r="BZ275" s="345"/>
      <c r="CA275" s="345"/>
      <c r="CB275" s="346"/>
      <c r="CC275" s="345"/>
      <c r="CD275" s="345"/>
      <c r="CE275" s="345"/>
      <c r="CF275" s="345"/>
      <c r="CG275" s="345"/>
      <c r="CH275" s="345"/>
      <c r="CI275" s="345"/>
      <c r="CJ275" s="346"/>
      <c r="CK275" s="346"/>
    </row>
    <row r="276">
      <c r="A276" s="821"/>
      <c r="B276" s="241" t="s">
        <v>155</v>
      </c>
      <c r="C276" s="237" t="s">
        <v>155</v>
      </c>
      <c r="D276" s="238" t="s">
        <v>155</v>
      </c>
      <c r="E276" s="239" t="s">
        <v>155</v>
      </c>
      <c r="F276" s="240" t="s">
        <v>155</v>
      </c>
      <c r="G276" s="241" t="s">
        <v>155</v>
      </c>
      <c r="H276" s="308"/>
      <c r="I276" s="308"/>
      <c r="J276" s="308"/>
      <c r="K276" s="308"/>
      <c r="L276" s="308"/>
      <c r="M276" s="308"/>
      <c r="N276" s="308"/>
      <c r="O276" s="308"/>
      <c r="P276" s="251"/>
      <c r="Q276" s="353"/>
      <c r="R276" s="353"/>
      <c r="S276" s="353"/>
      <c r="T276" s="353"/>
      <c r="U276" s="353"/>
      <c r="V276" s="353"/>
      <c r="W276" s="251"/>
      <c r="X276" s="318"/>
      <c r="Y276" s="318"/>
      <c r="Z276" s="318"/>
      <c r="AA276" s="617"/>
      <c r="AB276" s="318"/>
      <c r="AC276" s="318"/>
      <c r="AD276" s="318"/>
      <c r="AE276" s="318"/>
      <c r="AF276" s="318"/>
      <c r="AG276" s="318"/>
      <c r="AH276" s="267"/>
      <c r="AI276" s="251"/>
      <c r="AJ276" s="323"/>
      <c r="AK276" s="323"/>
      <c r="AL276" s="323"/>
      <c r="AM276" s="323"/>
      <c r="AN276" s="323"/>
      <c r="AO276" s="323"/>
      <c r="AP276" s="323"/>
      <c r="AQ276" s="323"/>
      <c r="AR276" s="323"/>
      <c r="AS276" s="323"/>
      <c r="AT276" s="323"/>
      <c r="AU276" s="323"/>
      <c r="AV276" s="323"/>
      <c r="AW276" s="323"/>
      <c r="AX276" s="323"/>
      <c r="AY276" s="323"/>
      <c r="AZ276" s="351"/>
      <c r="BA276" s="326"/>
      <c r="BB276" s="326"/>
      <c r="BC276" s="326"/>
      <c r="BD276" s="326"/>
      <c r="BE276" s="326"/>
      <c r="BF276" s="351"/>
      <c r="BG276" s="332"/>
      <c r="BH276" s="332"/>
      <c r="BI276" s="332"/>
      <c r="BJ276" s="332"/>
      <c r="BK276" s="332"/>
      <c r="BL276" s="332"/>
      <c r="BM276" s="332"/>
      <c r="BN276" s="251"/>
      <c r="BO276" s="340"/>
      <c r="BP276" s="337"/>
      <c r="BQ276" s="340"/>
      <c r="BR276" s="340"/>
      <c r="BS276" s="340"/>
      <c r="BT276" s="340"/>
      <c r="BU276" s="340"/>
      <c r="BV276" s="340"/>
      <c r="BW276" s="340"/>
      <c r="BX276" s="251"/>
      <c r="BY276" s="345"/>
      <c r="BZ276" s="345"/>
      <c r="CA276" s="345"/>
      <c r="CB276" s="346"/>
      <c r="CC276" s="345"/>
      <c r="CD276" s="345"/>
      <c r="CE276" s="345"/>
      <c r="CF276" s="345"/>
      <c r="CG276" s="345"/>
      <c r="CH276" s="345"/>
      <c r="CI276" s="345"/>
      <c r="CJ276" s="346"/>
      <c r="CK276" s="346"/>
    </row>
    <row r="277">
      <c r="A277" s="821"/>
      <c r="B277" s="241" t="s">
        <v>155</v>
      </c>
      <c r="C277" s="237" t="s">
        <v>155</v>
      </c>
      <c r="D277" s="238" t="s">
        <v>155</v>
      </c>
      <c r="E277" s="239" t="s">
        <v>155</v>
      </c>
      <c r="F277" s="240" t="s">
        <v>155</v>
      </c>
      <c r="G277" s="241" t="s">
        <v>155</v>
      </c>
      <c r="H277" s="308"/>
      <c r="I277" s="308"/>
      <c r="J277" s="308"/>
      <c r="K277" s="308"/>
      <c r="L277" s="308"/>
      <c r="M277" s="308"/>
      <c r="N277" s="308"/>
      <c r="O277" s="308"/>
      <c r="P277" s="251"/>
      <c r="Q277" s="353"/>
      <c r="R277" s="353"/>
      <c r="S277" s="353"/>
      <c r="T277" s="353"/>
      <c r="U277" s="353"/>
      <c r="V277" s="353"/>
      <c r="W277" s="251"/>
      <c r="X277" s="318"/>
      <c r="Y277" s="318"/>
      <c r="Z277" s="318"/>
      <c r="AA277" s="617"/>
      <c r="AB277" s="318"/>
      <c r="AC277" s="318"/>
      <c r="AD277" s="318"/>
      <c r="AE277" s="318"/>
      <c r="AF277" s="318"/>
      <c r="AG277" s="318"/>
      <c r="AH277" s="267"/>
      <c r="AI277" s="251"/>
      <c r="AJ277" s="323"/>
      <c r="AK277" s="323"/>
      <c r="AL277" s="323"/>
      <c r="AM277" s="323"/>
      <c r="AN277" s="323"/>
      <c r="AO277" s="323"/>
      <c r="AP277" s="323"/>
      <c r="AQ277" s="323"/>
      <c r="AR277" s="323"/>
      <c r="AS277" s="323"/>
      <c r="AT277" s="323"/>
      <c r="AU277" s="323"/>
      <c r="AV277" s="323"/>
      <c r="AW277" s="323"/>
      <c r="AX277" s="323"/>
      <c r="AY277" s="323"/>
      <c r="AZ277" s="351"/>
      <c r="BA277" s="326"/>
      <c r="BB277" s="326"/>
      <c r="BC277" s="326"/>
      <c r="BD277" s="326"/>
      <c r="BE277" s="326"/>
      <c r="BF277" s="351"/>
      <c r="BG277" s="332"/>
      <c r="BH277" s="332"/>
      <c r="BI277" s="332"/>
      <c r="BJ277" s="332"/>
      <c r="BK277" s="332"/>
      <c r="BL277" s="332"/>
      <c r="BM277" s="332"/>
      <c r="BN277" s="251"/>
      <c r="BO277" s="340"/>
      <c r="BP277" s="337"/>
      <c r="BQ277" s="340"/>
      <c r="BR277" s="340"/>
      <c r="BS277" s="340"/>
      <c r="BT277" s="340"/>
      <c r="BU277" s="340"/>
      <c r="BV277" s="340"/>
      <c r="BW277" s="340"/>
      <c r="BX277" s="251"/>
      <c r="BY277" s="345"/>
      <c r="BZ277" s="345"/>
      <c r="CA277" s="345"/>
      <c r="CB277" s="346"/>
      <c r="CC277" s="345"/>
      <c r="CD277" s="345"/>
      <c r="CE277" s="345"/>
      <c r="CF277" s="345"/>
      <c r="CG277" s="345"/>
      <c r="CH277" s="345"/>
      <c r="CI277" s="345"/>
      <c r="CJ277" s="346"/>
      <c r="CK277" s="346"/>
    </row>
    <row r="278">
      <c r="A278" s="821"/>
      <c r="B278" s="241" t="s">
        <v>155</v>
      </c>
      <c r="C278" s="237" t="s">
        <v>155</v>
      </c>
      <c r="D278" s="238" t="s">
        <v>155</v>
      </c>
      <c r="E278" s="239" t="s">
        <v>155</v>
      </c>
      <c r="F278" s="240" t="s">
        <v>155</v>
      </c>
      <c r="G278" s="241" t="s">
        <v>155</v>
      </c>
      <c r="H278" s="308"/>
      <c r="I278" s="308"/>
      <c r="J278" s="308"/>
      <c r="K278" s="308"/>
      <c r="L278" s="308"/>
      <c r="M278" s="308"/>
      <c r="N278" s="308"/>
      <c r="O278" s="308"/>
      <c r="P278" s="251"/>
      <c r="Q278" s="353"/>
      <c r="R278" s="353"/>
      <c r="S278" s="353"/>
      <c r="T278" s="353"/>
      <c r="U278" s="353"/>
      <c r="V278" s="353"/>
      <c r="W278" s="251"/>
      <c r="X278" s="318"/>
      <c r="Y278" s="318"/>
      <c r="Z278" s="318"/>
      <c r="AA278" s="617"/>
      <c r="AB278" s="318"/>
      <c r="AC278" s="318"/>
      <c r="AD278" s="318"/>
      <c r="AE278" s="318"/>
      <c r="AF278" s="318"/>
      <c r="AG278" s="318"/>
      <c r="AH278" s="267"/>
      <c r="AI278" s="251"/>
      <c r="AJ278" s="323"/>
      <c r="AK278" s="323"/>
      <c r="AL278" s="323"/>
      <c r="AM278" s="323"/>
      <c r="AN278" s="323"/>
      <c r="AO278" s="323"/>
      <c r="AP278" s="323"/>
      <c r="AQ278" s="323"/>
      <c r="AR278" s="323"/>
      <c r="AS278" s="323"/>
      <c r="AT278" s="323"/>
      <c r="AU278" s="323"/>
      <c r="AV278" s="323"/>
      <c r="AW278" s="323"/>
      <c r="AX278" s="323"/>
      <c r="AY278" s="323"/>
      <c r="AZ278" s="351"/>
      <c r="BA278" s="326"/>
      <c r="BB278" s="326"/>
      <c r="BC278" s="326"/>
      <c r="BD278" s="326"/>
      <c r="BE278" s="326"/>
      <c r="BF278" s="351"/>
      <c r="BG278" s="332"/>
      <c r="BH278" s="332"/>
      <c r="BI278" s="332"/>
      <c r="BJ278" s="332"/>
      <c r="BK278" s="332"/>
      <c r="BL278" s="332"/>
      <c r="BM278" s="332"/>
      <c r="BN278" s="251"/>
      <c r="BO278" s="340"/>
      <c r="BP278" s="337"/>
      <c r="BQ278" s="340"/>
      <c r="BR278" s="340"/>
      <c r="BS278" s="340"/>
      <c r="BT278" s="340"/>
      <c r="BU278" s="340"/>
      <c r="BV278" s="340"/>
      <c r="BW278" s="340"/>
      <c r="BX278" s="251"/>
      <c r="BY278" s="345"/>
      <c r="BZ278" s="345"/>
      <c r="CA278" s="345"/>
      <c r="CB278" s="346"/>
      <c r="CC278" s="345"/>
      <c r="CD278" s="345"/>
      <c r="CE278" s="345"/>
      <c r="CF278" s="345"/>
      <c r="CG278" s="345"/>
      <c r="CH278" s="345"/>
      <c r="CI278" s="345"/>
      <c r="CJ278" s="346"/>
      <c r="CK278" s="346"/>
    </row>
    <row r="279">
      <c r="A279" s="821"/>
      <c r="B279" s="241" t="s">
        <v>155</v>
      </c>
      <c r="C279" s="237" t="s">
        <v>155</v>
      </c>
      <c r="D279" s="238" t="s">
        <v>155</v>
      </c>
      <c r="E279" s="239" t="s">
        <v>155</v>
      </c>
      <c r="F279" s="240" t="s">
        <v>155</v>
      </c>
      <c r="G279" s="241" t="s">
        <v>155</v>
      </c>
      <c r="H279" s="308"/>
      <c r="I279" s="308"/>
      <c r="J279" s="308"/>
      <c r="K279" s="308"/>
      <c r="L279" s="308"/>
      <c r="M279" s="308"/>
      <c r="N279" s="308"/>
      <c r="O279" s="308"/>
      <c r="P279" s="251"/>
      <c r="Q279" s="353"/>
      <c r="R279" s="353"/>
      <c r="S279" s="353"/>
      <c r="T279" s="353"/>
      <c r="U279" s="353"/>
      <c r="V279" s="353"/>
      <c r="W279" s="251"/>
      <c r="X279" s="318"/>
      <c r="Y279" s="318"/>
      <c r="Z279" s="318"/>
      <c r="AA279" s="617"/>
      <c r="AB279" s="318"/>
      <c r="AC279" s="318"/>
      <c r="AD279" s="318"/>
      <c r="AE279" s="318"/>
      <c r="AF279" s="318"/>
      <c r="AG279" s="318"/>
      <c r="AH279" s="267"/>
      <c r="AI279" s="251"/>
      <c r="AJ279" s="323"/>
      <c r="AK279" s="323"/>
      <c r="AL279" s="323"/>
      <c r="AM279" s="323"/>
      <c r="AN279" s="323"/>
      <c r="AO279" s="323"/>
      <c r="AP279" s="323"/>
      <c r="AQ279" s="323"/>
      <c r="AR279" s="323"/>
      <c r="AS279" s="323"/>
      <c r="AT279" s="323"/>
      <c r="AU279" s="323"/>
      <c r="AV279" s="323"/>
      <c r="AW279" s="323"/>
      <c r="AX279" s="323"/>
      <c r="AY279" s="323"/>
      <c r="AZ279" s="351"/>
      <c r="BA279" s="326"/>
      <c r="BB279" s="326"/>
      <c r="BC279" s="326"/>
      <c r="BD279" s="326"/>
      <c r="BE279" s="326"/>
      <c r="BF279" s="351"/>
      <c r="BG279" s="332"/>
      <c r="BH279" s="332"/>
      <c r="BI279" s="332"/>
      <c r="BJ279" s="332"/>
      <c r="BK279" s="332"/>
      <c r="BL279" s="332"/>
      <c r="BM279" s="332"/>
      <c r="BN279" s="251"/>
      <c r="BO279" s="340"/>
      <c r="BP279" s="337"/>
      <c r="BQ279" s="340"/>
      <c r="BR279" s="340"/>
      <c r="BS279" s="340"/>
      <c r="BT279" s="340"/>
      <c r="BU279" s="340"/>
      <c r="BV279" s="340"/>
      <c r="BW279" s="340"/>
      <c r="BX279" s="251"/>
      <c r="BY279" s="345"/>
      <c r="BZ279" s="345"/>
      <c r="CA279" s="345"/>
      <c r="CB279" s="346"/>
      <c r="CC279" s="345"/>
      <c r="CD279" s="345"/>
      <c r="CE279" s="345"/>
      <c r="CF279" s="345"/>
      <c r="CG279" s="345"/>
      <c r="CH279" s="345"/>
      <c r="CI279" s="345"/>
      <c r="CJ279" s="346"/>
      <c r="CK279" s="346"/>
    </row>
    <row r="280">
      <c r="A280" s="821"/>
      <c r="B280" s="241" t="s">
        <v>155</v>
      </c>
      <c r="C280" s="237" t="s">
        <v>155</v>
      </c>
      <c r="D280" s="238" t="s">
        <v>155</v>
      </c>
      <c r="E280" s="239" t="s">
        <v>155</v>
      </c>
      <c r="F280" s="240" t="s">
        <v>155</v>
      </c>
      <c r="G280" s="241" t="s">
        <v>155</v>
      </c>
      <c r="H280" s="308"/>
      <c r="I280" s="308"/>
      <c r="J280" s="308"/>
      <c r="K280" s="308"/>
      <c r="L280" s="308"/>
      <c r="M280" s="308"/>
      <c r="N280" s="308"/>
      <c r="O280" s="308"/>
      <c r="P280" s="251"/>
      <c r="Q280" s="353"/>
      <c r="R280" s="353"/>
      <c r="S280" s="353"/>
      <c r="T280" s="353"/>
      <c r="U280" s="353"/>
      <c r="V280" s="353"/>
      <c r="W280" s="251"/>
      <c r="X280" s="318"/>
      <c r="Y280" s="318"/>
      <c r="Z280" s="318"/>
      <c r="AA280" s="617"/>
      <c r="AB280" s="318"/>
      <c r="AC280" s="318"/>
      <c r="AD280" s="318"/>
      <c r="AE280" s="318"/>
      <c r="AF280" s="318"/>
      <c r="AG280" s="318"/>
      <c r="AH280" s="267"/>
      <c r="AI280" s="251"/>
      <c r="AJ280" s="323"/>
      <c r="AK280" s="323"/>
      <c r="AL280" s="323"/>
      <c r="AM280" s="323"/>
      <c r="AN280" s="323"/>
      <c r="AO280" s="323"/>
      <c r="AP280" s="323"/>
      <c r="AQ280" s="323"/>
      <c r="AR280" s="323"/>
      <c r="AS280" s="323"/>
      <c r="AT280" s="323"/>
      <c r="AU280" s="323"/>
      <c r="AV280" s="323"/>
      <c r="AW280" s="323"/>
      <c r="AX280" s="323"/>
      <c r="AY280" s="323"/>
      <c r="AZ280" s="351"/>
      <c r="BA280" s="326"/>
      <c r="BB280" s="326"/>
      <c r="BC280" s="326"/>
      <c r="BD280" s="326"/>
      <c r="BE280" s="326"/>
      <c r="BF280" s="351"/>
      <c r="BG280" s="332"/>
      <c r="BH280" s="332"/>
      <c r="BI280" s="332"/>
      <c r="BJ280" s="332"/>
      <c r="BK280" s="332"/>
      <c r="BL280" s="332"/>
      <c r="BM280" s="332"/>
      <c r="BN280" s="251"/>
      <c r="BO280" s="340"/>
      <c r="BP280" s="337"/>
      <c r="BQ280" s="340"/>
      <c r="BR280" s="340"/>
      <c r="BS280" s="340"/>
      <c r="BT280" s="340"/>
      <c r="BU280" s="340"/>
      <c r="BV280" s="340"/>
      <c r="BW280" s="340"/>
      <c r="BX280" s="251"/>
      <c r="BY280" s="345"/>
      <c r="BZ280" s="345"/>
      <c r="CA280" s="345"/>
      <c r="CB280" s="346"/>
      <c r="CC280" s="345"/>
      <c r="CD280" s="345"/>
      <c r="CE280" s="345"/>
      <c r="CF280" s="345"/>
      <c r="CG280" s="345"/>
      <c r="CH280" s="345"/>
      <c r="CI280" s="345"/>
      <c r="CJ280" s="346"/>
      <c r="CK280" s="346"/>
    </row>
    <row r="281">
      <c r="A281" s="821"/>
      <c r="B281" s="241" t="s">
        <v>155</v>
      </c>
      <c r="C281" s="237" t="s">
        <v>155</v>
      </c>
      <c r="D281" s="238" t="s">
        <v>155</v>
      </c>
      <c r="E281" s="239" t="s">
        <v>155</v>
      </c>
      <c r="F281" s="240" t="s">
        <v>155</v>
      </c>
      <c r="G281" s="241" t="s">
        <v>155</v>
      </c>
      <c r="H281" s="308"/>
      <c r="I281" s="308"/>
      <c r="J281" s="308"/>
      <c r="K281" s="308"/>
      <c r="L281" s="308"/>
      <c r="M281" s="308"/>
      <c r="N281" s="308"/>
      <c r="O281" s="308"/>
      <c r="P281" s="251"/>
      <c r="Q281" s="353"/>
      <c r="R281" s="353"/>
      <c r="S281" s="353"/>
      <c r="T281" s="353"/>
      <c r="U281" s="353"/>
      <c r="V281" s="353"/>
      <c r="W281" s="251"/>
      <c r="X281" s="318"/>
      <c r="Y281" s="318"/>
      <c r="Z281" s="318"/>
      <c r="AA281" s="617"/>
      <c r="AB281" s="318"/>
      <c r="AC281" s="318"/>
      <c r="AD281" s="318"/>
      <c r="AE281" s="318"/>
      <c r="AF281" s="318"/>
      <c r="AG281" s="318"/>
      <c r="AH281" s="267"/>
      <c r="AI281" s="251"/>
      <c r="AJ281" s="323"/>
      <c r="AK281" s="323"/>
      <c r="AL281" s="323"/>
      <c r="AM281" s="323"/>
      <c r="AN281" s="323"/>
      <c r="AO281" s="323"/>
      <c r="AP281" s="323"/>
      <c r="AQ281" s="323"/>
      <c r="AR281" s="323"/>
      <c r="AS281" s="323"/>
      <c r="AT281" s="323"/>
      <c r="AU281" s="323"/>
      <c r="AV281" s="323"/>
      <c r="AW281" s="323"/>
      <c r="AX281" s="323"/>
      <c r="AY281" s="323"/>
      <c r="AZ281" s="351"/>
      <c r="BA281" s="326"/>
      <c r="BB281" s="326"/>
      <c r="BC281" s="326"/>
      <c r="BD281" s="326"/>
      <c r="BE281" s="326"/>
      <c r="BF281" s="351"/>
      <c r="BG281" s="332"/>
      <c r="BH281" s="332"/>
      <c r="BI281" s="332"/>
      <c r="BJ281" s="332"/>
      <c r="BK281" s="332"/>
      <c r="BL281" s="332"/>
      <c r="BM281" s="332"/>
      <c r="BN281" s="251"/>
      <c r="BO281" s="340"/>
      <c r="BP281" s="337"/>
      <c r="BQ281" s="340"/>
      <c r="BR281" s="340"/>
      <c r="BS281" s="340"/>
      <c r="BT281" s="340"/>
      <c r="BU281" s="340"/>
      <c r="BV281" s="340"/>
      <c r="BW281" s="340"/>
      <c r="BX281" s="251"/>
      <c r="BY281" s="345"/>
      <c r="BZ281" s="345"/>
      <c r="CA281" s="345"/>
      <c r="CB281" s="346"/>
      <c r="CC281" s="345"/>
      <c r="CD281" s="345"/>
      <c r="CE281" s="345"/>
      <c r="CF281" s="345"/>
      <c r="CG281" s="345"/>
      <c r="CH281" s="345"/>
      <c r="CI281" s="345"/>
      <c r="CJ281" s="346"/>
      <c r="CK281" s="346"/>
    </row>
    <row r="282">
      <c r="A282" s="821"/>
      <c r="B282" s="241" t="s">
        <v>155</v>
      </c>
      <c r="C282" s="237" t="s">
        <v>155</v>
      </c>
      <c r="D282" s="238" t="s">
        <v>155</v>
      </c>
      <c r="E282" s="239" t="s">
        <v>155</v>
      </c>
      <c r="F282" s="240" t="s">
        <v>155</v>
      </c>
      <c r="G282" s="241" t="s">
        <v>155</v>
      </c>
      <c r="H282" s="308"/>
      <c r="I282" s="308"/>
      <c r="J282" s="308"/>
      <c r="K282" s="308"/>
      <c r="L282" s="308"/>
      <c r="M282" s="308"/>
      <c r="N282" s="308"/>
      <c r="O282" s="308"/>
      <c r="P282" s="251"/>
      <c r="Q282" s="353"/>
      <c r="R282" s="353"/>
      <c r="S282" s="353"/>
      <c r="T282" s="353"/>
      <c r="U282" s="353"/>
      <c r="V282" s="353"/>
      <c r="W282" s="251"/>
      <c r="X282" s="318"/>
      <c r="Y282" s="318"/>
      <c r="Z282" s="318"/>
      <c r="AA282" s="617"/>
      <c r="AB282" s="318"/>
      <c r="AC282" s="318"/>
      <c r="AD282" s="318"/>
      <c r="AE282" s="318"/>
      <c r="AF282" s="318"/>
      <c r="AG282" s="318"/>
      <c r="AH282" s="267"/>
      <c r="AI282" s="251"/>
      <c r="AJ282" s="323"/>
      <c r="AK282" s="323"/>
      <c r="AL282" s="323"/>
      <c r="AM282" s="323"/>
      <c r="AN282" s="323"/>
      <c r="AO282" s="323"/>
      <c r="AP282" s="323"/>
      <c r="AQ282" s="323"/>
      <c r="AR282" s="323"/>
      <c r="AS282" s="323"/>
      <c r="AT282" s="323"/>
      <c r="AU282" s="323"/>
      <c r="AV282" s="323"/>
      <c r="AW282" s="323"/>
      <c r="AX282" s="323"/>
      <c r="AY282" s="323"/>
      <c r="AZ282" s="351"/>
      <c r="BA282" s="326"/>
      <c r="BB282" s="326"/>
      <c r="BC282" s="326"/>
      <c r="BD282" s="326"/>
      <c r="BE282" s="326"/>
      <c r="BF282" s="351"/>
      <c r="BG282" s="332"/>
      <c r="BH282" s="332"/>
      <c r="BI282" s="332"/>
      <c r="BJ282" s="332"/>
      <c r="BK282" s="332"/>
      <c r="BL282" s="332"/>
      <c r="BM282" s="332"/>
      <c r="BN282" s="251"/>
      <c r="BO282" s="340"/>
      <c r="BP282" s="337"/>
      <c r="BQ282" s="340"/>
      <c r="BR282" s="340"/>
      <c r="BS282" s="340"/>
      <c r="BT282" s="340"/>
      <c r="BU282" s="340"/>
      <c r="BV282" s="340"/>
      <c r="BW282" s="340"/>
      <c r="BX282" s="251"/>
      <c r="BY282" s="345"/>
      <c r="BZ282" s="345"/>
      <c r="CA282" s="345"/>
      <c r="CB282" s="346"/>
      <c r="CC282" s="345"/>
      <c r="CD282" s="345"/>
      <c r="CE282" s="345"/>
      <c r="CF282" s="345"/>
      <c r="CG282" s="345"/>
      <c r="CH282" s="345"/>
      <c r="CI282" s="345"/>
      <c r="CJ282" s="346"/>
      <c r="CK282" s="346"/>
    </row>
    <row r="283">
      <c r="A283" s="821"/>
      <c r="B283" s="241" t="s">
        <v>155</v>
      </c>
      <c r="C283" s="237" t="s">
        <v>155</v>
      </c>
      <c r="D283" s="238" t="s">
        <v>155</v>
      </c>
      <c r="E283" s="239" t="s">
        <v>155</v>
      </c>
      <c r="F283" s="240" t="s">
        <v>155</v>
      </c>
      <c r="G283" s="241" t="s">
        <v>155</v>
      </c>
      <c r="H283" s="308"/>
      <c r="I283" s="308"/>
      <c r="J283" s="308"/>
      <c r="K283" s="308"/>
      <c r="L283" s="308"/>
      <c r="M283" s="308"/>
      <c r="N283" s="308"/>
      <c r="O283" s="308"/>
      <c r="P283" s="251"/>
      <c r="Q283" s="353"/>
      <c r="R283" s="353"/>
      <c r="S283" s="353"/>
      <c r="T283" s="353"/>
      <c r="U283" s="353"/>
      <c r="V283" s="353"/>
      <c r="W283" s="251"/>
      <c r="X283" s="318"/>
      <c r="Y283" s="318"/>
      <c r="Z283" s="318"/>
      <c r="AA283" s="617"/>
      <c r="AB283" s="318"/>
      <c r="AC283" s="318"/>
      <c r="AD283" s="318"/>
      <c r="AE283" s="318"/>
      <c r="AF283" s="318"/>
      <c r="AG283" s="318"/>
      <c r="AH283" s="267"/>
      <c r="AI283" s="251"/>
      <c r="AJ283" s="323"/>
      <c r="AK283" s="323"/>
      <c r="AL283" s="323"/>
      <c r="AM283" s="323"/>
      <c r="AN283" s="323"/>
      <c r="AO283" s="323"/>
      <c r="AP283" s="323"/>
      <c r="AQ283" s="323"/>
      <c r="AR283" s="323"/>
      <c r="AS283" s="323"/>
      <c r="AT283" s="323"/>
      <c r="AU283" s="323"/>
      <c r="AV283" s="323"/>
      <c r="AW283" s="323"/>
      <c r="AX283" s="323"/>
      <c r="AY283" s="323"/>
      <c r="AZ283" s="351"/>
      <c r="BA283" s="326"/>
      <c r="BB283" s="326"/>
      <c r="BC283" s="326"/>
      <c r="BD283" s="326"/>
      <c r="BE283" s="326"/>
      <c r="BF283" s="351"/>
      <c r="BG283" s="332"/>
      <c r="BH283" s="332"/>
      <c r="BI283" s="332"/>
      <c r="BJ283" s="332"/>
      <c r="BK283" s="332"/>
      <c r="BL283" s="332"/>
      <c r="BM283" s="332"/>
      <c r="BN283" s="251"/>
      <c r="BO283" s="340"/>
      <c r="BP283" s="337"/>
      <c r="BQ283" s="340"/>
      <c r="BR283" s="340"/>
      <c r="BS283" s="340"/>
      <c r="BT283" s="340"/>
      <c r="BU283" s="340"/>
      <c r="BV283" s="340"/>
      <c r="BW283" s="340"/>
      <c r="BX283" s="251"/>
      <c r="BY283" s="345"/>
      <c r="BZ283" s="345"/>
      <c r="CA283" s="345"/>
      <c r="CB283" s="346"/>
      <c r="CC283" s="345"/>
      <c r="CD283" s="345"/>
      <c r="CE283" s="345"/>
      <c r="CF283" s="345"/>
      <c r="CG283" s="345"/>
      <c r="CH283" s="345"/>
      <c r="CI283" s="345"/>
      <c r="CJ283" s="346"/>
      <c r="CK283" s="346"/>
    </row>
    <row r="284">
      <c r="A284" s="821"/>
      <c r="B284" s="241" t="s">
        <v>155</v>
      </c>
      <c r="C284" s="237" t="s">
        <v>155</v>
      </c>
      <c r="D284" s="238" t="s">
        <v>155</v>
      </c>
      <c r="E284" s="239" t="s">
        <v>155</v>
      </c>
      <c r="F284" s="240" t="s">
        <v>155</v>
      </c>
      <c r="G284" s="241" t="s">
        <v>155</v>
      </c>
      <c r="H284" s="308"/>
      <c r="I284" s="308"/>
      <c r="J284" s="308"/>
      <c r="K284" s="308"/>
      <c r="L284" s="308"/>
      <c r="M284" s="308"/>
      <c r="N284" s="308"/>
      <c r="O284" s="308"/>
      <c r="P284" s="251"/>
      <c r="Q284" s="353"/>
      <c r="R284" s="353"/>
      <c r="S284" s="353"/>
      <c r="T284" s="353"/>
      <c r="U284" s="353"/>
      <c r="V284" s="353"/>
      <c r="W284" s="251"/>
      <c r="X284" s="318"/>
      <c r="Y284" s="318"/>
      <c r="Z284" s="318"/>
      <c r="AA284" s="617"/>
      <c r="AB284" s="318"/>
      <c r="AC284" s="318"/>
      <c r="AD284" s="318"/>
      <c r="AE284" s="318"/>
      <c r="AF284" s="318"/>
      <c r="AG284" s="318"/>
      <c r="AH284" s="267"/>
      <c r="AI284" s="251"/>
      <c r="AJ284" s="323"/>
      <c r="AK284" s="323"/>
      <c r="AL284" s="323"/>
      <c r="AM284" s="323"/>
      <c r="AN284" s="323"/>
      <c r="AO284" s="323"/>
      <c r="AP284" s="323"/>
      <c r="AQ284" s="323"/>
      <c r="AR284" s="323"/>
      <c r="AS284" s="323"/>
      <c r="AT284" s="323"/>
      <c r="AU284" s="323"/>
      <c r="AV284" s="323"/>
      <c r="AW284" s="323"/>
      <c r="AX284" s="323"/>
      <c r="AY284" s="323"/>
      <c r="AZ284" s="351"/>
      <c r="BA284" s="326"/>
      <c r="BB284" s="326"/>
      <c r="BC284" s="326"/>
      <c r="BD284" s="326"/>
      <c r="BE284" s="326"/>
      <c r="BF284" s="351"/>
      <c r="BG284" s="332"/>
      <c r="BH284" s="332"/>
      <c r="BI284" s="332"/>
      <c r="BJ284" s="332"/>
      <c r="BK284" s="332"/>
      <c r="BL284" s="332"/>
      <c r="BM284" s="332"/>
      <c r="BN284" s="251"/>
      <c r="BO284" s="340"/>
      <c r="BP284" s="337"/>
      <c r="BQ284" s="340"/>
      <c r="BR284" s="340"/>
      <c r="BS284" s="340"/>
      <c r="BT284" s="340"/>
      <c r="BU284" s="340"/>
      <c r="BV284" s="340"/>
      <c r="BW284" s="340"/>
      <c r="BX284" s="251"/>
      <c r="BY284" s="345"/>
      <c r="BZ284" s="345"/>
      <c r="CA284" s="345"/>
      <c r="CB284" s="346"/>
      <c r="CC284" s="345"/>
      <c r="CD284" s="345"/>
      <c r="CE284" s="345"/>
      <c r="CF284" s="345"/>
      <c r="CG284" s="345"/>
      <c r="CH284" s="345"/>
      <c r="CI284" s="345"/>
      <c r="CJ284" s="346"/>
      <c r="CK284" s="346"/>
    </row>
    <row r="285">
      <c r="A285" s="821"/>
      <c r="B285" s="241" t="s">
        <v>155</v>
      </c>
      <c r="C285" s="237" t="s">
        <v>155</v>
      </c>
      <c r="D285" s="238" t="s">
        <v>155</v>
      </c>
      <c r="E285" s="239" t="s">
        <v>155</v>
      </c>
      <c r="F285" s="240" t="s">
        <v>155</v>
      </c>
      <c r="G285" s="241" t="s">
        <v>155</v>
      </c>
      <c r="H285" s="308"/>
      <c r="I285" s="308"/>
      <c r="J285" s="308"/>
      <c r="K285" s="308"/>
      <c r="L285" s="308"/>
      <c r="M285" s="308"/>
      <c r="N285" s="308"/>
      <c r="O285" s="308"/>
      <c r="P285" s="251"/>
      <c r="Q285" s="353"/>
      <c r="R285" s="353"/>
      <c r="S285" s="353"/>
      <c r="T285" s="353"/>
      <c r="U285" s="353"/>
      <c r="V285" s="353"/>
      <c r="W285" s="251"/>
      <c r="X285" s="318"/>
      <c r="Y285" s="318"/>
      <c r="Z285" s="318"/>
      <c r="AA285" s="617"/>
      <c r="AB285" s="318"/>
      <c r="AC285" s="318"/>
      <c r="AD285" s="318"/>
      <c r="AE285" s="318"/>
      <c r="AF285" s="318"/>
      <c r="AG285" s="318"/>
      <c r="AH285" s="267"/>
      <c r="AI285" s="251"/>
      <c r="AJ285" s="323"/>
      <c r="AK285" s="323"/>
      <c r="AL285" s="323"/>
      <c r="AM285" s="323"/>
      <c r="AN285" s="323"/>
      <c r="AO285" s="323"/>
      <c r="AP285" s="323"/>
      <c r="AQ285" s="323"/>
      <c r="AR285" s="323"/>
      <c r="AS285" s="323"/>
      <c r="AT285" s="323"/>
      <c r="AU285" s="323"/>
      <c r="AV285" s="323"/>
      <c r="AW285" s="323"/>
      <c r="AX285" s="323"/>
      <c r="AY285" s="323"/>
      <c r="AZ285" s="351"/>
      <c r="BA285" s="326"/>
      <c r="BB285" s="326"/>
      <c r="BC285" s="326"/>
      <c r="BD285" s="326"/>
      <c r="BE285" s="326"/>
      <c r="BF285" s="351"/>
      <c r="BG285" s="332"/>
      <c r="BH285" s="332"/>
      <c r="BI285" s="332"/>
      <c r="BJ285" s="332"/>
      <c r="BK285" s="332"/>
      <c r="BL285" s="332"/>
      <c r="BM285" s="332"/>
      <c r="BN285" s="251"/>
      <c r="BO285" s="340"/>
      <c r="BP285" s="337"/>
      <c r="BQ285" s="340"/>
      <c r="BR285" s="340"/>
      <c r="BS285" s="340"/>
      <c r="BT285" s="340"/>
      <c r="BU285" s="340"/>
      <c r="BV285" s="340"/>
      <c r="BW285" s="340"/>
      <c r="BX285" s="251"/>
      <c r="BY285" s="345"/>
      <c r="BZ285" s="345"/>
      <c r="CA285" s="345"/>
      <c r="CB285" s="346"/>
      <c r="CC285" s="345"/>
      <c r="CD285" s="345"/>
      <c r="CE285" s="345"/>
      <c r="CF285" s="345"/>
      <c r="CG285" s="345"/>
      <c r="CH285" s="345"/>
      <c r="CI285" s="345"/>
      <c r="CJ285" s="346"/>
      <c r="CK285" s="346"/>
    </row>
    <row r="286">
      <c r="A286" s="821"/>
      <c r="B286" s="241" t="s">
        <v>155</v>
      </c>
      <c r="C286" s="237" t="s">
        <v>155</v>
      </c>
      <c r="D286" s="238" t="s">
        <v>155</v>
      </c>
      <c r="E286" s="239" t="s">
        <v>155</v>
      </c>
      <c r="F286" s="240" t="s">
        <v>155</v>
      </c>
      <c r="G286" s="241" t="s">
        <v>155</v>
      </c>
      <c r="H286" s="308"/>
      <c r="I286" s="308"/>
      <c r="J286" s="308"/>
      <c r="K286" s="308"/>
      <c r="L286" s="308"/>
      <c r="M286" s="308"/>
      <c r="N286" s="308"/>
      <c r="O286" s="308"/>
      <c r="P286" s="251"/>
      <c r="Q286" s="353"/>
      <c r="R286" s="353"/>
      <c r="S286" s="353"/>
      <c r="T286" s="353"/>
      <c r="U286" s="353"/>
      <c r="V286" s="353"/>
      <c r="W286" s="251"/>
      <c r="X286" s="318"/>
      <c r="Y286" s="318"/>
      <c r="Z286" s="318"/>
      <c r="AA286" s="617"/>
      <c r="AB286" s="318"/>
      <c r="AC286" s="318"/>
      <c r="AD286" s="318"/>
      <c r="AE286" s="318"/>
      <c r="AF286" s="318"/>
      <c r="AG286" s="318"/>
      <c r="AH286" s="267"/>
      <c r="AI286" s="251"/>
      <c r="AJ286" s="323"/>
      <c r="AK286" s="323"/>
      <c r="AL286" s="323"/>
      <c r="AM286" s="323"/>
      <c r="AN286" s="323"/>
      <c r="AO286" s="323"/>
      <c r="AP286" s="323"/>
      <c r="AQ286" s="323"/>
      <c r="AR286" s="323"/>
      <c r="AS286" s="323"/>
      <c r="AT286" s="323"/>
      <c r="AU286" s="323"/>
      <c r="AV286" s="323"/>
      <c r="AW286" s="323"/>
      <c r="AX286" s="323"/>
      <c r="AY286" s="323"/>
      <c r="AZ286" s="351"/>
      <c r="BA286" s="326"/>
      <c r="BB286" s="326"/>
      <c r="BC286" s="326"/>
      <c r="BD286" s="326"/>
      <c r="BE286" s="326"/>
      <c r="BF286" s="351"/>
      <c r="BG286" s="332"/>
      <c r="BH286" s="332"/>
      <c r="BI286" s="332"/>
      <c r="BJ286" s="332"/>
      <c r="BK286" s="332"/>
      <c r="BL286" s="332"/>
      <c r="BM286" s="332"/>
      <c r="BN286" s="251"/>
      <c r="BO286" s="340"/>
      <c r="BP286" s="337"/>
      <c r="BQ286" s="340"/>
      <c r="BR286" s="340"/>
      <c r="BS286" s="340"/>
      <c r="BT286" s="340"/>
      <c r="BU286" s="340"/>
      <c r="BV286" s="340"/>
      <c r="BW286" s="340"/>
      <c r="BX286" s="251"/>
      <c r="BY286" s="345"/>
      <c r="BZ286" s="345"/>
      <c r="CA286" s="345"/>
      <c r="CB286" s="346"/>
      <c r="CC286" s="345"/>
      <c r="CD286" s="345"/>
      <c r="CE286" s="345"/>
      <c r="CF286" s="345"/>
      <c r="CG286" s="345"/>
      <c r="CH286" s="345"/>
      <c r="CI286" s="345"/>
      <c r="CJ286" s="346"/>
      <c r="CK286" s="346"/>
    </row>
    <row r="287">
      <c r="A287" s="821"/>
      <c r="B287" s="241" t="s">
        <v>155</v>
      </c>
      <c r="C287" s="237" t="s">
        <v>155</v>
      </c>
      <c r="D287" s="238" t="s">
        <v>155</v>
      </c>
      <c r="E287" s="239" t="s">
        <v>155</v>
      </c>
      <c r="F287" s="240" t="s">
        <v>155</v>
      </c>
      <c r="G287" s="241" t="s">
        <v>155</v>
      </c>
      <c r="H287" s="308"/>
      <c r="I287" s="308"/>
      <c r="J287" s="308"/>
      <c r="K287" s="308"/>
      <c r="L287" s="308"/>
      <c r="M287" s="308"/>
      <c r="N287" s="308"/>
      <c r="O287" s="308"/>
      <c r="P287" s="251"/>
      <c r="Q287" s="353"/>
      <c r="R287" s="353"/>
      <c r="S287" s="353"/>
      <c r="T287" s="353"/>
      <c r="U287" s="353"/>
      <c r="V287" s="353"/>
      <c r="W287" s="251"/>
      <c r="X287" s="318"/>
      <c r="Y287" s="318"/>
      <c r="Z287" s="318"/>
      <c r="AA287" s="617"/>
      <c r="AB287" s="318"/>
      <c r="AC287" s="318"/>
      <c r="AD287" s="318"/>
      <c r="AE287" s="318"/>
      <c r="AF287" s="318"/>
      <c r="AG287" s="318"/>
      <c r="AH287" s="267"/>
      <c r="AI287" s="251"/>
      <c r="AJ287" s="323"/>
      <c r="AK287" s="323"/>
      <c r="AL287" s="323"/>
      <c r="AM287" s="323"/>
      <c r="AN287" s="323"/>
      <c r="AO287" s="323"/>
      <c r="AP287" s="323"/>
      <c r="AQ287" s="323"/>
      <c r="AR287" s="323"/>
      <c r="AS287" s="323"/>
      <c r="AT287" s="323"/>
      <c r="AU287" s="323"/>
      <c r="AV287" s="323"/>
      <c r="AW287" s="323"/>
      <c r="AX287" s="323"/>
      <c r="AY287" s="323"/>
      <c r="AZ287" s="351"/>
      <c r="BA287" s="326"/>
      <c r="BB287" s="326"/>
      <c r="BC287" s="326"/>
      <c r="BD287" s="326"/>
      <c r="BE287" s="326"/>
      <c r="BF287" s="351"/>
      <c r="BG287" s="332"/>
      <c r="BH287" s="332"/>
      <c r="BI287" s="332"/>
      <c r="BJ287" s="332"/>
      <c r="BK287" s="332"/>
      <c r="BL287" s="332"/>
      <c r="BM287" s="332"/>
      <c r="BN287" s="251"/>
      <c r="BO287" s="340"/>
      <c r="BP287" s="337"/>
      <c r="BQ287" s="340"/>
      <c r="BR287" s="340"/>
      <c r="BS287" s="340"/>
      <c r="BT287" s="340"/>
      <c r="BU287" s="340"/>
      <c r="BV287" s="340"/>
      <c r="BW287" s="340"/>
      <c r="BX287" s="251"/>
      <c r="BY287" s="345"/>
      <c r="BZ287" s="345"/>
      <c r="CA287" s="345"/>
      <c r="CB287" s="346"/>
      <c r="CC287" s="345"/>
      <c r="CD287" s="345"/>
      <c r="CE287" s="345"/>
      <c r="CF287" s="345"/>
      <c r="CG287" s="345"/>
      <c r="CH287" s="345"/>
      <c r="CI287" s="345"/>
      <c r="CJ287" s="346"/>
      <c r="CK287" s="346"/>
    </row>
    <row r="288">
      <c r="A288" s="821"/>
      <c r="B288" s="241" t="s">
        <v>155</v>
      </c>
      <c r="C288" s="237" t="s">
        <v>155</v>
      </c>
      <c r="D288" s="238" t="s">
        <v>155</v>
      </c>
      <c r="E288" s="239" t="s">
        <v>155</v>
      </c>
      <c r="F288" s="240" t="s">
        <v>155</v>
      </c>
      <c r="G288" s="241" t="s">
        <v>155</v>
      </c>
      <c r="H288" s="308"/>
      <c r="I288" s="308"/>
      <c r="J288" s="308"/>
      <c r="K288" s="308"/>
      <c r="L288" s="308"/>
      <c r="M288" s="308"/>
      <c r="N288" s="308"/>
      <c r="O288" s="308"/>
      <c r="P288" s="251"/>
      <c r="Q288" s="353"/>
      <c r="R288" s="353"/>
      <c r="S288" s="353"/>
      <c r="T288" s="353"/>
      <c r="U288" s="353"/>
      <c r="V288" s="353"/>
      <c r="W288" s="251"/>
      <c r="X288" s="318"/>
      <c r="Y288" s="318"/>
      <c r="Z288" s="318"/>
      <c r="AA288" s="617"/>
      <c r="AB288" s="318"/>
      <c r="AC288" s="318"/>
      <c r="AD288" s="318"/>
      <c r="AE288" s="318"/>
      <c r="AF288" s="318"/>
      <c r="AG288" s="318"/>
      <c r="AH288" s="267"/>
      <c r="AI288" s="251"/>
      <c r="AJ288" s="323"/>
      <c r="AK288" s="323"/>
      <c r="AL288" s="323"/>
      <c r="AM288" s="323"/>
      <c r="AN288" s="323"/>
      <c r="AO288" s="323"/>
      <c r="AP288" s="323"/>
      <c r="AQ288" s="323"/>
      <c r="AR288" s="323"/>
      <c r="AS288" s="323"/>
      <c r="AT288" s="323"/>
      <c r="AU288" s="323"/>
      <c r="AV288" s="323"/>
      <c r="AW288" s="323"/>
      <c r="AX288" s="323"/>
      <c r="AY288" s="323"/>
      <c r="AZ288" s="351"/>
      <c r="BA288" s="326"/>
      <c r="BB288" s="326"/>
      <c r="BC288" s="326"/>
      <c r="BD288" s="326"/>
      <c r="BE288" s="326"/>
      <c r="BF288" s="351"/>
      <c r="BG288" s="332"/>
      <c r="BH288" s="332"/>
      <c r="BI288" s="332"/>
      <c r="BJ288" s="332"/>
      <c r="BK288" s="332"/>
      <c r="BL288" s="332"/>
      <c r="BM288" s="332"/>
      <c r="BN288" s="251"/>
      <c r="BO288" s="340"/>
      <c r="BP288" s="337"/>
      <c r="BQ288" s="340"/>
      <c r="BR288" s="340"/>
      <c r="BS288" s="340"/>
      <c r="BT288" s="340"/>
      <c r="BU288" s="340"/>
      <c r="BV288" s="340"/>
      <c r="BW288" s="340"/>
      <c r="BX288" s="251"/>
      <c r="BY288" s="345"/>
      <c r="BZ288" s="345"/>
      <c r="CA288" s="345"/>
      <c r="CB288" s="346"/>
      <c r="CC288" s="345"/>
      <c r="CD288" s="345"/>
      <c r="CE288" s="345"/>
      <c r="CF288" s="345"/>
      <c r="CG288" s="345"/>
      <c r="CH288" s="345"/>
      <c r="CI288" s="345"/>
      <c r="CJ288" s="346"/>
      <c r="CK288" s="346"/>
    </row>
    <row r="289">
      <c r="A289" s="821"/>
      <c r="B289" s="241" t="s">
        <v>155</v>
      </c>
      <c r="C289" s="237" t="s">
        <v>155</v>
      </c>
      <c r="D289" s="238" t="s">
        <v>155</v>
      </c>
      <c r="E289" s="239" t="s">
        <v>155</v>
      </c>
      <c r="F289" s="240" t="s">
        <v>155</v>
      </c>
      <c r="G289" s="241" t="s">
        <v>155</v>
      </c>
      <c r="H289" s="308"/>
      <c r="I289" s="308"/>
      <c r="J289" s="308"/>
      <c r="K289" s="308"/>
      <c r="L289" s="308"/>
      <c r="M289" s="308"/>
      <c r="N289" s="308"/>
      <c r="O289" s="308"/>
      <c r="P289" s="251"/>
      <c r="Q289" s="353"/>
      <c r="R289" s="353"/>
      <c r="S289" s="353"/>
      <c r="T289" s="353"/>
      <c r="U289" s="353"/>
      <c r="V289" s="353"/>
      <c r="W289" s="251"/>
      <c r="X289" s="318"/>
      <c r="Y289" s="318"/>
      <c r="Z289" s="318"/>
      <c r="AA289" s="617"/>
      <c r="AB289" s="318"/>
      <c r="AC289" s="318"/>
      <c r="AD289" s="318"/>
      <c r="AE289" s="318"/>
      <c r="AF289" s="318"/>
      <c r="AG289" s="318"/>
      <c r="AH289" s="267"/>
      <c r="AI289" s="251"/>
      <c r="AJ289" s="323"/>
      <c r="AK289" s="323"/>
      <c r="AL289" s="323"/>
      <c r="AM289" s="323"/>
      <c r="AN289" s="323"/>
      <c r="AO289" s="323"/>
      <c r="AP289" s="323"/>
      <c r="AQ289" s="323"/>
      <c r="AR289" s="323"/>
      <c r="AS289" s="323"/>
      <c r="AT289" s="323"/>
      <c r="AU289" s="323"/>
      <c r="AV289" s="323"/>
      <c r="AW289" s="323"/>
      <c r="AX289" s="323"/>
      <c r="AY289" s="323"/>
      <c r="AZ289" s="351"/>
      <c r="BA289" s="326"/>
      <c r="BB289" s="326"/>
      <c r="BC289" s="326"/>
      <c r="BD289" s="326"/>
      <c r="BE289" s="326"/>
      <c r="BF289" s="351"/>
      <c r="BG289" s="332"/>
      <c r="BH289" s="332"/>
      <c r="BI289" s="332"/>
      <c r="BJ289" s="332"/>
      <c r="BK289" s="332"/>
      <c r="BL289" s="332"/>
      <c r="BM289" s="332"/>
      <c r="BN289" s="251"/>
      <c r="BO289" s="340"/>
      <c r="BP289" s="337"/>
      <c r="BQ289" s="340"/>
      <c r="BR289" s="340"/>
      <c r="BS289" s="340"/>
      <c r="BT289" s="340"/>
      <c r="BU289" s="340"/>
      <c r="BV289" s="340"/>
      <c r="BW289" s="340"/>
      <c r="BX289" s="251"/>
      <c r="BY289" s="345"/>
      <c r="BZ289" s="345"/>
      <c r="CA289" s="345"/>
      <c r="CB289" s="346"/>
      <c r="CC289" s="345"/>
      <c r="CD289" s="345"/>
      <c r="CE289" s="345"/>
      <c r="CF289" s="345"/>
      <c r="CG289" s="345"/>
      <c r="CH289" s="345"/>
      <c r="CI289" s="345"/>
      <c r="CJ289" s="346"/>
      <c r="CK289" s="346"/>
    </row>
    <row r="290">
      <c r="A290" s="821"/>
      <c r="B290" s="241" t="s">
        <v>155</v>
      </c>
      <c r="C290" s="237" t="s">
        <v>155</v>
      </c>
      <c r="D290" s="238" t="s">
        <v>155</v>
      </c>
      <c r="E290" s="239" t="s">
        <v>155</v>
      </c>
      <c r="F290" s="240" t="s">
        <v>155</v>
      </c>
      <c r="G290" s="241" t="s">
        <v>155</v>
      </c>
      <c r="H290" s="308"/>
      <c r="I290" s="308"/>
      <c r="J290" s="308"/>
      <c r="K290" s="308"/>
      <c r="L290" s="308"/>
      <c r="M290" s="308"/>
      <c r="N290" s="308"/>
      <c r="O290" s="308"/>
      <c r="P290" s="251"/>
      <c r="Q290" s="353"/>
      <c r="R290" s="353"/>
      <c r="S290" s="353"/>
      <c r="T290" s="353"/>
      <c r="U290" s="353"/>
      <c r="V290" s="353"/>
      <c r="W290" s="251"/>
      <c r="X290" s="318"/>
      <c r="Y290" s="318"/>
      <c r="Z290" s="318"/>
      <c r="AA290" s="617"/>
      <c r="AB290" s="318"/>
      <c r="AC290" s="318"/>
      <c r="AD290" s="318"/>
      <c r="AE290" s="318"/>
      <c r="AF290" s="318"/>
      <c r="AG290" s="318"/>
      <c r="AH290" s="267"/>
      <c r="AI290" s="251"/>
      <c r="AJ290" s="323"/>
      <c r="AK290" s="323"/>
      <c r="AL290" s="323"/>
      <c r="AM290" s="323"/>
      <c r="AN290" s="323"/>
      <c r="AO290" s="323"/>
      <c r="AP290" s="323"/>
      <c r="AQ290" s="323"/>
      <c r="AR290" s="323"/>
      <c r="AS290" s="323"/>
      <c r="AT290" s="323"/>
      <c r="AU290" s="323"/>
      <c r="AV290" s="323"/>
      <c r="AW290" s="323"/>
      <c r="AX290" s="323"/>
      <c r="AY290" s="323"/>
      <c r="AZ290" s="351"/>
      <c r="BA290" s="326"/>
      <c r="BB290" s="326"/>
      <c r="BC290" s="326"/>
      <c r="BD290" s="326"/>
      <c r="BE290" s="326"/>
      <c r="BF290" s="351"/>
      <c r="BG290" s="332"/>
      <c r="BH290" s="332"/>
      <c r="BI290" s="332"/>
      <c r="BJ290" s="332"/>
      <c r="BK290" s="332"/>
      <c r="BL290" s="332"/>
      <c r="BM290" s="332"/>
      <c r="BN290" s="251"/>
      <c r="BO290" s="340"/>
      <c r="BP290" s="337"/>
      <c r="BQ290" s="340"/>
      <c r="BR290" s="340"/>
      <c r="BS290" s="340"/>
      <c r="BT290" s="340"/>
      <c r="BU290" s="340"/>
      <c r="BV290" s="340"/>
      <c r="BW290" s="340"/>
      <c r="BX290" s="251"/>
      <c r="BY290" s="345"/>
      <c r="BZ290" s="345"/>
      <c r="CA290" s="345"/>
      <c r="CB290" s="346"/>
      <c r="CC290" s="345"/>
      <c r="CD290" s="345"/>
      <c r="CE290" s="345"/>
      <c r="CF290" s="345"/>
      <c r="CG290" s="345"/>
      <c r="CH290" s="345"/>
      <c r="CI290" s="345"/>
      <c r="CJ290" s="346"/>
      <c r="CK290" s="346"/>
    </row>
    <row r="291">
      <c r="A291" s="821"/>
      <c r="B291" s="241" t="s">
        <v>155</v>
      </c>
      <c r="C291" s="237" t="s">
        <v>155</v>
      </c>
      <c r="D291" s="238" t="s">
        <v>155</v>
      </c>
      <c r="E291" s="239" t="s">
        <v>155</v>
      </c>
      <c r="F291" s="240" t="s">
        <v>155</v>
      </c>
      <c r="G291" s="241" t="s">
        <v>155</v>
      </c>
      <c r="H291" s="308"/>
      <c r="I291" s="308"/>
      <c r="J291" s="308"/>
      <c r="K291" s="308"/>
      <c r="L291" s="308"/>
      <c r="M291" s="308"/>
      <c r="N291" s="308"/>
      <c r="O291" s="308"/>
      <c r="P291" s="251"/>
      <c r="Q291" s="353"/>
      <c r="R291" s="353"/>
      <c r="S291" s="353"/>
      <c r="T291" s="353"/>
      <c r="U291" s="353"/>
      <c r="V291" s="353"/>
      <c r="W291" s="251"/>
      <c r="X291" s="318"/>
      <c r="Y291" s="318"/>
      <c r="Z291" s="318"/>
      <c r="AA291" s="617"/>
      <c r="AB291" s="318"/>
      <c r="AC291" s="318"/>
      <c r="AD291" s="318"/>
      <c r="AE291" s="318"/>
      <c r="AF291" s="318"/>
      <c r="AG291" s="318"/>
      <c r="AH291" s="267"/>
      <c r="AI291" s="251"/>
      <c r="AJ291" s="323"/>
      <c r="AK291" s="323"/>
      <c r="AL291" s="323"/>
      <c r="AM291" s="323"/>
      <c r="AN291" s="323"/>
      <c r="AO291" s="323"/>
      <c r="AP291" s="323"/>
      <c r="AQ291" s="323"/>
      <c r="AR291" s="323"/>
      <c r="AS291" s="323"/>
      <c r="AT291" s="323"/>
      <c r="AU291" s="323"/>
      <c r="AV291" s="323"/>
      <c r="AW291" s="323"/>
      <c r="AX291" s="323"/>
      <c r="AY291" s="323"/>
      <c r="AZ291" s="351"/>
      <c r="BA291" s="326"/>
      <c r="BB291" s="326"/>
      <c r="BC291" s="326"/>
      <c r="BD291" s="326"/>
      <c r="BE291" s="326"/>
      <c r="BF291" s="351"/>
      <c r="BG291" s="332"/>
      <c r="BH291" s="332"/>
      <c r="BI291" s="332"/>
      <c r="BJ291" s="332"/>
      <c r="BK291" s="332"/>
      <c r="BL291" s="332"/>
      <c r="BM291" s="332"/>
      <c r="BN291" s="251"/>
      <c r="BO291" s="340"/>
      <c r="BP291" s="337"/>
      <c r="BQ291" s="340"/>
      <c r="BR291" s="340"/>
      <c r="BS291" s="340"/>
      <c r="BT291" s="340"/>
      <c r="BU291" s="340"/>
      <c r="BV291" s="340"/>
      <c r="BW291" s="340"/>
      <c r="BX291" s="251"/>
      <c r="BY291" s="345"/>
      <c r="BZ291" s="345"/>
      <c r="CA291" s="345"/>
      <c r="CB291" s="346"/>
      <c r="CC291" s="345"/>
      <c r="CD291" s="345"/>
      <c r="CE291" s="345"/>
      <c r="CF291" s="345"/>
      <c r="CG291" s="345"/>
      <c r="CH291" s="345"/>
      <c r="CI291" s="345"/>
      <c r="CJ291" s="346"/>
      <c r="CK291" s="346"/>
    </row>
    <row r="292">
      <c r="A292" s="821"/>
      <c r="B292" s="241" t="s">
        <v>155</v>
      </c>
      <c r="C292" s="237" t="s">
        <v>155</v>
      </c>
      <c r="D292" s="238" t="s">
        <v>155</v>
      </c>
      <c r="E292" s="239" t="s">
        <v>155</v>
      </c>
      <c r="F292" s="240" t="s">
        <v>155</v>
      </c>
      <c r="G292" s="241" t="s">
        <v>155</v>
      </c>
      <c r="H292" s="308"/>
      <c r="I292" s="308"/>
      <c r="J292" s="308"/>
      <c r="K292" s="308"/>
      <c r="L292" s="308"/>
      <c r="M292" s="308"/>
      <c r="N292" s="308"/>
      <c r="O292" s="308"/>
      <c r="P292" s="251"/>
      <c r="Q292" s="353"/>
      <c r="R292" s="353"/>
      <c r="S292" s="353"/>
      <c r="T292" s="353"/>
      <c r="U292" s="353"/>
      <c r="V292" s="353"/>
      <c r="W292" s="251"/>
      <c r="X292" s="318"/>
      <c r="Y292" s="318"/>
      <c r="Z292" s="318"/>
      <c r="AA292" s="617"/>
      <c r="AB292" s="318"/>
      <c r="AC292" s="318"/>
      <c r="AD292" s="318"/>
      <c r="AE292" s="318"/>
      <c r="AF292" s="318"/>
      <c r="AG292" s="318"/>
      <c r="AH292" s="267"/>
      <c r="AI292" s="251"/>
      <c r="AJ292" s="323"/>
      <c r="AK292" s="323"/>
      <c r="AL292" s="323"/>
      <c r="AM292" s="323"/>
      <c r="AN292" s="323"/>
      <c r="AO292" s="323"/>
      <c r="AP292" s="323"/>
      <c r="AQ292" s="323"/>
      <c r="AR292" s="323"/>
      <c r="AS292" s="323"/>
      <c r="AT292" s="323"/>
      <c r="AU292" s="323"/>
      <c r="AV292" s="323"/>
      <c r="AW292" s="323"/>
      <c r="AX292" s="323"/>
      <c r="AY292" s="323"/>
      <c r="AZ292" s="351"/>
      <c r="BA292" s="326"/>
      <c r="BB292" s="326"/>
      <c r="BC292" s="326"/>
      <c r="BD292" s="326"/>
      <c r="BE292" s="326"/>
      <c r="BF292" s="351"/>
      <c r="BG292" s="332"/>
      <c r="BH292" s="332"/>
      <c r="BI292" s="332"/>
      <c r="BJ292" s="332"/>
      <c r="BK292" s="332"/>
      <c r="BL292" s="332"/>
      <c r="BM292" s="332"/>
      <c r="BN292" s="251"/>
      <c r="BO292" s="340"/>
      <c r="BP292" s="337"/>
      <c r="BQ292" s="340"/>
      <c r="BR292" s="340"/>
      <c r="BS292" s="340"/>
      <c r="BT292" s="340"/>
      <c r="BU292" s="340"/>
      <c r="BV292" s="340"/>
      <c r="BW292" s="340"/>
      <c r="BX292" s="251"/>
      <c r="BY292" s="345"/>
      <c r="BZ292" s="345"/>
      <c r="CA292" s="345"/>
      <c r="CB292" s="346"/>
      <c r="CC292" s="345"/>
      <c r="CD292" s="345"/>
      <c r="CE292" s="345"/>
      <c r="CF292" s="345"/>
      <c r="CG292" s="345"/>
      <c r="CH292" s="345"/>
      <c r="CI292" s="345"/>
      <c r="CJ292" s="346"/>
      <c r="CK292" s="346"/>
    </row>
    <row r="293">
      <c r="A293" s="821"/>
      <c r="B293" s="241" t="s">
        <v>155</v>
      </c>
      <c r="C293" s="237" t="s">
        <v>155</v>
      </c>
      <c r="D293" s="238" t="s">
        <v>155</v>
      </c>
      <c r="E293" s="239" t="s">
        <v>155</v>
      </c>
      <c r="F293" s="240" t="s">
        <v>155</v>
      </c>
      <c r="G293" s="241" t="s">
        <v>155</v>
      </c>
      <c r="H293" s="308"/>
      <c r="I293" s="308"/>
      <c r="J293" s="308"/>
      <c r="K293" s="308"/>
      <c r="L293" s="308"/>
      <c r="M293" s="308"/>
      <c r="N293" s="308"/>
      <c r="O293" s="308"/>
      <c r="P293" s="251"/>
      <c r="Q293" s="353"/>
      <c r="R293" s="353"/>
      <c r="S293" s="353"/>
      <c r="T293" s="353"/>
      <c r="U293" s="353"/>
      <c r="V293" s="353"/>
      <c r="W293" s="251"/>
      <c r="X293" s="318"/>
      <c r="Y293" s="318"/>
      <c r="Z293" s="318"/>
      <c r="AA293" s="617"/>
      <c r="AB293" s="318"/>
      <c r="AC293" s="318"/>
      <c r="AD293" s="318"/>
      <c r="AE293" s="318"/>
      <c r="AF293" s="318"/>
      <c r="AG293" s="318"/>
      <c r="AH293" s="267"/>
      <c r="AI293" s="251"/>
      <c r="AJ293" s="323"/>
      <c r="AK293" s="323"/>
      <c r="AL293" s="323"/>
      <c r="AM293" s="323"/>
      <c r="AN293" s="323"/>
      <c r="AO293" s="323"/>
      <c r="AP293" s="323"/>
      <c r="AQ293" s="323"/>
      <c r="AR293" s="323"/>
      <c r="AS293" s="323"/>
      <c r="AT293" s="323"/>
      <c r="AU293" s="323"/>
      <c r="AV293" s="323"/>
      <c r="AW293" s="323"/>
      <c r="AX293" s="323"/>
      <c r="AY293" s="323"/>
      <c r="AZ293" s="351"/>
      <c r="BA293" s="326"/>
      <c r="BB293" s="326"/>
      <c r="BC293" s="326"/>
      <c r="BD293" s="326"/>
      <c r="BE293" s="326"/>
      <c r="BF293" s="351"/>
      <c r="BG293" s="332"/>
      <c r="BH293" s="332"/>
      <c r="BI293" s="332"/>
      <c r="BJ293" s="332"/>
      <c r="BK293" s="332"/>
      <c r="BL293" s="332"/>
      <c r="BM293" s="332"/>
      <c r="BN293" s="251"/>
      <c r="BO293" s="340"/>
      <c r="BP293" s="337"/>
      <c r="BQ293" s="340"/>
      <c r="BR293" s="340"/>
      <c r="BS293" s="340"/>
      <c r="BT293" s="340"/>
      <c r="BU293" s="340"/>
      <c r="BV293" s="340"/>
      <c r="BW293" s="340"/>
      <c r="BX293" s="251"/>
      <c r="BY293" s="345"/>
      <c r="BZ293" s="345"/>
      <c r="CA293" s="345"/>
      <c r="CB293" s="346"/>
      <c r="CC293" s="345"/>
      <c r="CD293" s="345"/>
      <c r="CE293" s="345"/>
      <c r="CF293" s="345"/>
      <c r="CG293" s="345"/>
      <c r="CH293" s="345"/>
      <c r="CI293" s="345"/>
      <c r="CJ293" s="346"/>
      <c r="CK293" s="346"/>
    </row>
    <row r="294">
      <c r="A294" s="821"/>
      <c r="B294" s="241" t="s">
        <v>155</v>
      </c>
      <c r="C294" s="237" t="s">
        <v>155</v>
      </c>
      <c r="D294" s="238" t="s">
        <v>155</v>
      </c>
      <c r="E294" s="239" t="s">
        <v>155</v>
      </c>
      <c r="F294" s="240" t="s">
        <v>155</v>
      </c>
      <c r="G294" s="241" t="s">
        <v>155</v>
      </c>
      <c r="H294" s="308"/>
      <c r="I294" s="308"/>
      <c r="J294" s="308"/>
      <c r="K294" s="308"/>
      <c r="L294" s="308"/>
      <c r="M294" s="308"/>
      <c r="N294" s="308"/>
      <c r="O294" s="308"/>
      <c r="P294" s="251"/>
      <c r="Q294" s="353"/>
      <c r="R294" s="353"/>
      <c r="S294" s="353"/>
      <c r="T294" s="353"/>
      <c r="U294" s="353"/>
      <c r="V294" s="353"/>
      <c r="W294" s="251"/>
      <c r="X294" s="318"/>
      <c r="Y294" s="318"/>
      <c r="Z294" s="318"/>
      <c r="AA294" s="617"/>
      <c r="AB294" s="318"/>
      <c r="AC294" s="318"/>
      <c r="AD294" s="318"/>
      <c r="AE294" s="318"/>
      <c r="AF294" s="318"/>
      <c r="AG294" s="318"/>
      <c r="AH294" s="267"/>
      <c r="AI294" s="251"/>
      <c r="AJ294" s="323"/>
      <c r="AK294" s="323"/>
      <c r="AL294" s="323"/>
      <c r="AM294" s="323"/>
      <c r="AN294" s="323"/>
      <c r="AO294" s="323"/>
      <c r="AP294" s="323"/>
      <c r="AQ294" s="323"/>
      <c r="AR294" s="323"/>
      <c r="AS294" s="323"/>
      <c r="AT294" s="323"/>
      <c r="AU294" s="323"/>
      <c r="AV294" s="323"/>
      <c r="AW294" s="323"/>
      <c r="AX294" s="323"/>
      <c r="AY294" s="323"/>
      <c r="AZ294" s="351"/>
      <c r="BA294" s="326"/>
      <c r="BB294" s="326"/>
      <c r="BC294" s="326"/>
      <c r="BD294" s="326"/>
      <c r="BE294" s="326"/>
      <c r="BF294" s="351"/>
      <c r="BG294" s="332"/>
      <c r="BH294" s="332"/>
      <c r="BI294" s="332"/>
      <c r="BJ294" s="332"/>
      <c r="BK294" s="332"/>
      <c r="BL294" s="332"/>
      <c r="BM294" s="332"/>
      <c r="BN294" s="251"/>
      <c r="BO294" s="340"/>
      <c r="BP294" s="337"/>
      <c r="BQ294" s="340"/>
      <c r="BR294" s="340"/>
      <c r="BS294" s="340"/>
      <c r="BT294" s="340"/>
      <c r="BU294" s="340"/>
      <c r="BV294" s="340"/>
      <c r="BW294" s="340"/>
      <c r="BX294" s="251"/>
      <c r="BY294" s="345"/>
      <c r="BZ294" s="345"/>
      <c r="CA294" s="345"/>
      <c r="CB294" s="346"/>
      <c r="CC294" s="345"/>
      <c r="CD294" s="345"/>
      <c r="CE294" s="345"/>
      <c r="CF294" s="345"/>
      <c r="CG294" s="345"/>
      <c r="CH294" s="345"/>
      <c r="CI294" s="345"/>
      <c r="CJ294" s="346"/>
      <c r="CK294" s="346"/>
    </row>
    <row r="295">
      <c r="A295" s="821"/>
      <c r="B295" s="241" t="s">
        <v>155</v>
      </c>
      <c r="C295" s="237" t="s">
        <v>155</v>
      </c>
      <c r="D295" s="238" t="s">
        <v>155</v>
      </c>
      <c r="E295" s="239" t="s">
        <v>155</v>
      </c>
      <c r="F295" s="240" t="s">
        <v>155</v>
      </c>
      <c r="G295" s="241" t="s">
        <v>155</v>
      </c>
      <c r="H295" s="308"/>
      <c r="I295" s="308"/>
      <c r="J295" s="308"/>
      <c r="K295" s="308"/>
      <c r="L295" s="308"/>
      <c r="M295" s="308"/>
      <c r="N295" s="308"/>
      <c r="O295" s="308"/>
      <c r="P295" s="251"/>
      <c r="Q295" s="353"/>
      <c r="R295" s="353"/>
      <c r="S295" s="353"/>
      <c r="T295" s="353"/>
      <c r="U295" s="353"/>
      <c r="V295" s="353"/>
      <c r="W295" s="251"/>
      <c r="X295" s="318"/>
      <c r="Y295" s="318"/>
      <c r="Z295" s="318"/>
      <c r="AA295" s="617"/>
      <c r="AB295" s="318"/>
      <c r="AC295" s="318"/>
      <c r="AD295" s="318"/>
      <c r="AE295" s="318"/>
      <c r="AF295" s="318"/>
      <c r="AG295" s="318"/>
      <c r="AH295" s="267"/>
      <c r="AI295" s="251"/>
      <c r="AJ295" s="323"/>
      <c r="AK295" s="323"/>
      <c r="AL295" s="323"/>
      <c r="AM295" s="323"/>
      <c r="AN295" s="323"/>
      <c r="AO295" s="323"/>
      <c r="AP295" s="323"/>
      <c r="AQ295" s="323"/>
      <c r="AR295" s="323"/>
      <c r="AS295" s="323"/>
      <c r="AT295" s="323"/>
      <c r="AU295" s="323"/>
      <c r="AV295" s="323"/>
      <c r="AW295" s="323"/>
      <c r="AX295" s="323"/>
      <c r="AY295" s="323"/>
      <c r="AZ295" s="351"/>
      <c r="BA295" s="326"/>
      <c r="BB295" s="326"/>
      <c r="BC295" s="326"/>
      <c r="BD295" s="326"/>
      <c r="BE295" s="326"/>
      <c r="BF295" s="351"/>
      <c r="BG295" s="332"/>
      <c r="BH295" s="332"/>
      <c r="BI295" s="332"/>
      <c r="BJ295" s="332"/>
      <c r="BK295" s="332"/>
      <c r="BL295" s="332"/>
      <c r="BM295" s="332"/>
      <c r="BN295" s="251"/>
      <c r="BO295" s="340"/>
      <c r="BP295" s="337"/>
      <c r="BQ295" s="340"/>
      <c r="BR295" s="340"/>
      <c r="BS295" s="340"/>
      <c r="BT295" s="340"/>
      <c r="BU295" s="340"/>
      <c r="BV295" s="340"/>
      <c r="BW295" s="340"/>
      <c r="BX295" s="251"/>
      <c r="BY295" s="345"/>
      <c r="BZ295" s="345"/>
      <c r="CA295" s="345"/>
      <c r="CB295" s="346"/>
      <c r="CC295" s="345"/>
      <c r="CD295" s="345"/>
      <c r="CE295" s="345"/>
      <c r="CF295" s="345"/>
      <c r="CG295" s="345"/>
      <c r="CH295" s="345"/>
      <c r="CI295" s="345"/>
      <c r="CJ295" s="346"/>
      <c r="CK295" s="346"/>
    </row>
    <row r="296">
      <c r="A296" s="821"/>
      <c r="B296" s="241" t="s">
        <v>155</v>
      </c>
      <c r="C296" s="237" t="s">
        <v>155</v>
      </c>
      <c r="D296" s="238" t="s">
        <v>155</v>
      </c>
      <c r="E296" s="239" t="s">
        <v>155</v>
      </c>
      <c r="F296" s="240" t="s">
        <v>155</v>
      </c>
      <c r="G296" s="241" t="s">
        <v>155</v>
      </c>
      <c r="H296" s="308"/>
      <c r="I296" s="308"/>
      <c r="J296" s="308"/>
      <c r="K296" s="308"/>
      <c r="L296" s="308"/>
      <c r="M296" s="308"/>
      <c r="N296" s="308"/>
      <c r="O296" s="308"/>
      <c r="P296" s="251"/>
      <c r="Q296" s="353"/>
      <c r="R296" s="353"/>
      <c r="S296" s="353"/>
      <c r="T296" s="353"/>
      <c r="U296" s="353"/>
      <c r="V296" s="353"/>
      <c r="W296" s="251"/>
      <c r="X296" s="318"/>
      <c r="Y296" s="318"/>
      <c r="Z296" s="318"/>
      <c r="AA296" s="617"/>
      <c r="AB296" s="318"/>
      <c r="AC296" s="318"/>
      <c r="AD296" s="318"/>
      <c r="AE296" s="318"/>
      <c r="AF296" s="318"/>
      <c r="AG296" s="318"/>
      <c r="AH296" s="267"/>
      <c r="AI296" s="251"/>
      <c r="AJ296" s="323"/>
      <c r="AK296" s="323"/>
      <c r="AL296" s="323"/>
      <c r="AM296" s="323"/>
      <c r="AN296" s="323"/>
      <c r="AO296" s="323"/>
      <c r="AP296" s="323"/>
      <c r="AQ296" s="323"/>
      <c r="AR296" s="323"/>
      <c r="AS296" s="323"/>
      <c r="AT296" s="323"/>
      <c r="AU296" s="323"/>
      <c r="AV296" s="323"/>
      <c r="AW296" s="323"/>
      <c r="AX296" s="323"/>
      <c r="AY296" s="323"/>
      <c r="AZ296" s="351"/>
      <c r="BA296" s="326"/>
      <c r="BB296" s="326"/>
      <c r="BC296" s="326"/>
      <c r="BD296" s="326"/>
      <c r="BE296" s="326"/>
      <c r="BF296" s="351"/>
      <c r="BG296" s="332"/>
      <c r="BH296" s="332"/>
      <c r="BI296" s="332"/>
      <c r="BJ296" s="332"/>
      <c r="BK296" s="332"/>
      <c r="BL296" s="332"/>
      <c r="BM296" s="332"/>
      <c r="BN296" s="251"/>
      <c r="BO296" s="340"/>
      <c r="BP296" s="337"/>
      <c r="BQ296" s="340"/>
      <c r="BR296" s="340"/>
      <c r="BS296" s="340"/>
      <c r="BT296" s="340"/>
      <c r="BU296" s="340"/>
      <c r="BV296" s="340"/>
      <c r="BW296" s="340"/>
      <c r="BX296" s="251"/>
      <c r="BY296" s="345"/>
      <c r="BZ296" s="345"/>
      <c r="CA296" s="345"/>
      <c r="CB296" s="346"/>
      <c r="CC296" s="345"/>
      <c r="CD296" s="345"/>
      <c r="CE296" s="345"/>
      <c r="CF296" s="345"/>
      <c r="CG296" s="345"/>
      <c r="CH296" s="345"/>
      <c r="CI296" s="345"/>
      <c r="CJ296" s="346"/>
      <c r="CK296" s="346"/>
    </row>
    <row r="297">
      <c r="A297" s="821"/>
      <c r="B297" s="241" t="s">
        <v>155</v>
      </c>
      <c r="C297" s="237" t="s">
        <v>155</v>
      </c>
      <c r="D297" s="238" t="s">
        <v>155</v>
      </c>
      <c r="E297" s="239" t="s">
        <v>155</v>
      </c>
      <c r="F297" s="240" t="s">
        <v>155</v>
      </c>
      <c r="G297" s="241" t="s">
        <v>155</v>
      </c>
      <c r="H297" s="308"/>
      <c r="I297" s="308"/>
      <c r="J297" s="308"/>
      <c r="K297" s="308"/>
      <c r="L297" s="308"/>
      <c r="M297" s="308"/>
      <c r="N297" s="308"/>
      <c r="O297" s="308"/>
      <c r="P297" s="251"/>
      <c r="Q297" s="353"/>
      <c r="R297" s="353"/>
      <c r="S297" s="353"/>
      <c r="T297" s="353"/>
      <c r="U297" s="353"/>
      <c r="V297" s="353"/>
      <c r="W297" s="251"/>
      <c r="X297" s="318"/>
      <c r="Y297" s="318"/>
      <c r="Z297" s="318"/>
      <c r="AA297" s="617"/>
      <c r="AB297" s="318"/>
      <c r="AC297" s="318"/>
      <c r="AD297" s="318"/>
      <c r="AE297" s="318"/>
      <c r="AF297" s="318"/>
      <c r="AG297" s="318"/>
      <c r="AH297" s="267"/>
      <c r="AI297" s="251"/>
      <c r="AJ297" s="323"/>
      <c r="AK297" s="323"/>
      <c r="AL297" s="323"/>
      <c r="AM297" s="323"/>
      <c r="AN297" s="323"/>
      <c r="AO297" s="323"/>
      <c r="AP297" s="323"/>
      <c r="AQ297" s="323"/>
      <c r="AR297" s="323"/>
      <c r="AS297" s="323"/>
      <c r="AT297" s="323"/>
      <c r="AU297" s="323"/>
      <c r="AV297" s="323"/>
      <c r="AW297" s="323"/>
      <c r="AX297" s="323"/>
      <c r="AY297" s="323"/>
      <c r="AZ297" s="351"/>
      <c r="BA297" s="326"/>
      <c r="BB297" s="326"/>
      <c r="BC297" s="326"/>
      <c r="BD297" s="326"/>
      <c r="BE297" s="326"/>
      <c r="BF297" s="351"/>
      <c r="BG297" s="332"/>
      <c r="BH297" s="332"/>
      <c r="BI297" s="332"/>
      <c r="BJ297" s="332"/>
      <c r="BK297" s="332"/>
      <c r="BL297" s="332"/>
      <c r="BM297" s="332"/>
      <c r="BN297" s="251"/>
      <c r="BO297" s="340"/>
      <c r="BP297" s="337"/>
      <c r="BQ297" s="340"/>
      <c r="BR297" s="340"/>
      <c r="BS297" s="340"/>
      <c r="BT297" s="340"/>
      <c r="BU297" s="340"/>
      <c r="BV297" s="340"/>
      <c r="BW297" s="340"/>
      <c r="BX297" s="251"/>
      <c r="BY297" s="345"/>
      <c r="BZ297" s="345"/>
      <c r="CA297" s="345"/>
      <c r="CB297" s="346"/>
      <c r="CC297" s="345"/>
      <c r="CD297" s="345"/>
      <c r="CE297" s="345"/>
      <c r="CF297" s="345"/>
      <c r="CG297" s="345"/>
      <c r="CH297" s="345"/>
      <c r="CI297" s="345"/>
      <c r="CJ297" s="346"/>
      <c r="CK297" s="346"/>
    </row>
    <row r="298">
      <c r="A298" s="821"/>
      <c r="B298" s="241" t="s">
        <v>155</v>
      </c>
      <c r="C298" s="237" t="s">
        <v>155</v>
      </c>
      <c r="D298" s="238" t="s">
        <v>155</v>
      </c>
      <c r="E298" s="239" t="s">
        <v>155</v>
      </c>
      <c r="F298" s="240" t="s">
        <v>155</v>
      </c>
      <c r="G298" s="241" t="s">
        <v>155</v>
      </c>
      <c r="H298" s="308"/>
      <c r="I298" s="308"/>
      <c r="J298" s="308"/>
      <c r="K298" s="308"/>
      <c r="L298" s="308"/>
      <c r="M298" s="308"/>
      <c r="N298" s="308"/>
      <c r="O298" s="308"/>
      <c r="P298" s="251"/>
      <c r="Q298" s="353"/>
      <c r="R298" s="353"/>
      <c r="S298" s="353"/>
      <c r="T298" s="353"/>
      <c r="U298" s="353"/>
      <c r="V298" s="353"/>
      <c r="W298" s="251"/>
      <c r="X298" s="318"/>
      <c r="Y298" s="318"/>
      <c r="Z298" s="318"/>
      <c r="AA298" s="617"/>
      <c r="AB298" s="318"/>
      <c r="AC298" s="318"/>
      <c r="AD298" s="318"/>
      <c r="AE298" s="318"/>
      <c r="AF298" s="318"/>
      <c r="AG298" s="318"/>
      <c r="AH298" s="267"/>
      <c r="AI298" s="251"/>
      <c r="AJ298" s="323"/>
      <c r="AK298" s="323"/>
      <c r="AL298" s="323"/>
      <c r="AM298" s="323"/>
      <c r="AN298" s="323"/>
      <c r="AO298" s="323"/>
      <c r="AP298" s="323"/>
      <c r="AQ298" s="323"/>
      <c r="AR298" s="323"/>
      <c r="AS298" s="323"/>
      <c r="AT298" s="323"/>
      <c r="AU298" s="323"/>
      <c r="AV298" s="323"/>
      <c r="AW298" s="323"/>
      <c r="AX298" s="323"/>
      <c r="AY298" s="323"/>
      <c r="AZ298" s="351"/>
      <c r="BA298" s="326"/>
      <c r="BB298" s="326"/>
      <c r="BC298" s="326"/>
      <c r="BD298" s="326"/>
      <c r="BE298" s="326"/>
      <c r="BF298" s="351"/>
      <c r="BG298" s="332"/>
      <c r="BH298" s="332"/>
      <c r="BI298" s="332"/>
      <c r="BJ298" s="332"/>
      <c r="BK298" s="332"/>
      <c r="BL298" s="332"/>
      <c r="BM298" s="332"/>
      <c r="BN298" s="251"/>
      <c r="BO298" s="340"/>
      <c r="BP298" s="337"/>
      <c r="BQ298" s="340"/>
      <c r="BR298" s="340"/>
      <c r="BS298" s="340"/>
      <c r="BT298" s="340"/>
      <c r="BU298" s="340"/>
      <c r="BV298" s="340"/>
      <c r="BW298" s="340"/>
      <c r="BX298" s="251"/>
      <c r="BY298" s="345"/>
      <c r="BZ298" s="345"/>
      <c r="CA298" s="345"/>
      <c r="CB298" s="346"/>
      <c r="CC298" s="345"/>
      <c r="CD298" s="345"/>
      <c r="CE298" s="345"/>
      <c r="CF298" s="345"/>
      <c r="CG298" s="345"/>
      <c r="CH298" s="345"/>
      <c r="CI298" s="345"/>
      <c r="CJ298" s="346"/>
      <c r="CK298" s="346"/>
    </row>
    <row r="299">
      <c r="A299" s="821"/>
      <c r="B299" s="241" t="s">
        <v>155</v>
      </c>
      <c r="C299" s="237" t="s">
        <v>155</v>
      </c>
      <c r="D299" s="238" t="s">
        <v>155</v>
      </c>
      <c r="E299" s="239" t="s">
        <v>155</v>
      </c>
      <c r="F299" s="240" t="s">
        <v>155</v>
      </c>
      <c r="G299" s="241" t="s">
        <v>155</v>
      </c>
      <c r="H299" s="308"/>
      <c r="I299" s="308"/>
      <c r="J299" s="308"/>
      <c r="K299" s="308"/>
      <c r="L299" s="308"/>
      <c r="M299" s="308"/>
      <c r="N299" s="308"/>
      <c r="O299" s="308"/>
      <c r="P299" s="251"/>
      <c r="Q299" s="353"/>
      <c r="R299" s="353"/>
      <c r="S299" s="353"/>
      <c r="T299" s="353"/>
      <c r="U299" s="353"/>
      <c r="V299" s="353"/>
      <c r="W299" s="251"/>
      <c r="X299" s="318"/>
      <c r="Y299" s="318"/>
      <c r="Z299" s="318"/>
      <c r="AA299" s="617"/>
      <c r="AB299" s="318"/>
      <c r="AC299" s="318"/>
      <c r="AD299" s="318"/>
      <c r="AE299" s="318"/>
      <c r="AF299" s="318"/>
      <c r="AG299" s="318"/>
      <c r="AH299" s="267"/>
      <c r="AI299" s="251"/>
      <c r="AJ299" s="323"/>
      <c r="AK299" s="323"/>
      <c r="AL299" s="323"/>
      <c r="AM299" s="323"/>
      <c r="AN299" s="323"/>
      <c r="AO299" s="323"/>
      <c r="AP299" s="323"/>
      <c r="AQ299" s="323"/>
      <c r="AR299" s="323"/>
      <c r="AS299" s="323"/>
      <c r="AT299" s="323"/>
      <c r="AU299" s="323"/>
      <c r="AV299" s="323"/>
      <c r="AW299" s="323"/>
      <c r="AX299" s="323"/>
      <c r="AY299" s="323"/>
      <c r="AZ299" s="351"/>
      <c r="BA299" s="326"/>
      <c r="BB299" s="326"/>
      <c r="BC299" s="326"/>
      <c r="BD299" s="326"/>
      <c r="BE299" s="326"/>
      <c r="BF299" s="351"/>
      <c r="BG299" s="332"/>
      <c r="BH299" s="332"/>
      <c r="BI299" s="332"/>
      <c r="BJ299" s="332"/>
      <c r="BK299" s="332"/>
      <c r="BL299" s="332"/>
      <c r="BM299" s="332"/>
      <c r="BN299" s="251"/>
      <c r="BO299" s="340"/>
      <c r="BP299" s="337"/>
      <c r="BQ299" s="340"/>
      <c r="BR299" s="340"/>
      <c r="BS299" s="340"/>
      <c r="BT299" s="340"/>
      <c r="BU299" s="340"/>
      <c r="BV299" s="340"/>
      <c r="BW299" s="340"/>
      <c r="BX299" s="251"/>
      <c r="BY299" s="345"/>
      <c r="BZ299" s="345"/>
      <c r="CA299" s="345"/>
      <c r="CB299" s="346"/>
      <c r="CC299" s="345"/>
      <c r="CD299" s="345"/>
      <c r="CE299" s="345"/>
      <c r="CF299" s="345"/>
      <c r="CG299" s="345"/>
      <c r="CH299" s="345"/>
      <c r="CI299" s="345"/>
      <c r="CJ299" s="346"/>
      <c r="CK299" s="346"/>
    </row>
    <row r="300">
      <c r="A300" s="821"/>
      <c r="B300" s="241" t="s">
        <v>155</v>
      </c>
      <c r="C300" s="237" t="s">
        <v>155</v>
      </c>
      <c r="D300" s="238" t="s">
        <v>155</v>
      </c>
      <c r="E300" s="239" t="s">
        <v>155</v>
      </c>
      <c r="F300" s="240" t="s">
        <v>155</v>
      </c>
      <c r="G300" s="241" t="s">
        <v>155</v>
      </c>
      <c r="H300" s="308"/>
      <c r="I300" s="308"/>
      <c r="J300" s="308"/>
      <c r="K300" s="308"/>
      <c r="L300" s="308"/>
      <c r="M300" s="308"/>
      <c r="N300" s="308"/>
      <c r="O300" s="308"/>
      <c r="P300" s="251"/>
      <c r="Q300" s="353"/>
      <c r="R300" s="353"/>
      <c r="S300" s="353"/>
      <c r="T300" s="353"/>
      <c r="U300" s="353"/>
      <c r="V300" s="353"/>
      <c r="W300" s="251"/>
      <c r="X300" s="318"/>
      <c r="Y300" s="318"/>
      <c r="Z300" s="318"/>
      <c r="AA300" s="617"/>
      <c r="AB300" s="318"/>
      <c r="AC300" s="318"/>
      <c r="AD300" s="318"/>
      <c r="AE300" s="318"/>
      <c r="AF300" s="318"/>
      <c r="AG300" s="318"/>
      <c r="AH300" s="267"/>
      <c r="AI300" s="251"/>
      <c r="AJ300" s="323"/>
      <c r="AK300" s="323"/>
      <c r="AL300" s="323"/>
      <c r="AM300" s="323"/>
      <c r="AN300" s="323"/>
      <c r="AO300" s="323"/>
      <c r="AP300" s="323"/>
      <c r="AQ300" s="323"/>
      <c r="AR300" s="323"/>
      <c r="AS300" s="323"/>
      <c r="AT300" s="323"/>
      <c r="AU300" s="323"/>
      <c r="AV300" s="323"/>
      <c r="AW300" s="323"/>
      <c r="AX300" s="323"/>
      <c r="AY300" s="323"/>
      <c r="AZ300" s="351"/>
      <c r="BA300" s="326"/>
      <c r="BB300" s="326"/>
      <c r="BC300" s="326"/>
      <c r="BD300" s="326"/>
      <c r="BE300" s="326"/>
      <c r="BF300" s="351"/>
      <c r="BG300" s="332"/>
      <c r="BH300" s="332"/>
      <c r="BI300" s="332"/>
      <c r="BJ300" s="332"/>
      <c r="BK300" s="332"/>
      <c r="BL300" s="332"/>
      <c r="BM300" s="332"/>
      <c r="BN300" s="251"/>
      <c r="BO300" s="340"/>
      <c r="BP300" s="337"/>
      <c r="BQ300" s="340"/>
      <c r="BR300" s="340"/>
      <c r="BS300" s="340"/>
      <c r="BT300" s="340"/>
      <c r="BU300" s="340"/>
      <c r="BV300" s="340"/>
      <c r="BW300" s="340"/>
      <c r="BX300" s="251"/>
      <c r="BY300" s="345"/>
      <c r="BZ300" s="345"/>
      <c r="CA300" s="345"/>
      <c r="CB300" s="346"/>
      <c r="CC300" s="345"/>
      <c r="CD300" s="345"/>
      <c r="CE300" s="345"/>
      <c r="CF300" s="345"/>
      <c r="CG300" s="345"/>
      <c r="CH300" s="345"/>
      <c r="CI300" s="345"/>
      <c r="CJ300" s="346"/>
      <c r="CK300" s="346"/>
    </row>
    <row r="301">
      <c r="A301" s="821"/>
      <c r="B301" s="241" t="s">
        <v>155</v>
      </c>
      <c r="C301" s="237" t="s">
        <v>155</v>
      </c>
      <c r="D301" s="238" t="s">
        <v>155</v>
      </c>
      <c r="E301" s="239" t="s">
        <v>155</v>
      </c>
      <c r="F301" s="240" t="s">
        <v>155</v>
      </c>
      <c r="G301" s="241" t="s">
        <v>155</v>
      </c>
      <c r="H301" s="308"/>
      <c r="I301" s="308"/>
      <c r="J301" s="308"/>
      <c r="K301" s="308"/>
      <c r="L301" s="308"/>
      <c r="M301" s="308"/>
      <c r="N301" s="308"/>
      <c r="O301" s="308"/>
      <c r="P301" s="251"/>
      <c r="Q301" s="353"/>
      <c r="R301" s="353"/>
      <c r="S301" s="353"/>
      <c r="T301" s="353"/>
      <c r="U301" s="353"/>
      <c r="V301" s="353"/>
      <c r="W301" s="251"/>
      <c r="X301" s="318"/>
      <c r="Y301" s="318"/>
      <c r="Z301" s="318"/>
      <c r="AA301" s="617"/>
      <c r="AB301" s="318"/>
      <c r="AC301" s="318"/>
      <c r="AD301" s="318"/>
      <c r="AE301" s="318"/>
      <c r="AF301" s="318"/>
      <c r="AG301" s="318"/>
      <c r="AH301" s="318"/>
      <c r="AI301" s="251"/>
      <c r="AJ301" s="323"/>
      <c r="AK301" s="323"/>
      <c r="AL301" s="323"/>
      <c r="AM301" s="323"/>
      <c r="AN301" s="323"/>
      <c r="AO301" s="323"/>
      <c r="AP301" s="323"/>
      <c r="AQ301" s="323"/>
      <c r="AR301" s="323"/>
      <c r="AS301" s="323"/>
      <c r="AT301" s="323"/>
      <c r="AU301" s="323"/>
      <c r="AV301" s="323"/>
      <c r="AW301" s="323"/>
      <c r="AX301" s="323"/>
      <c r="AY301" s="323"/>
      <c r="AZ301" s="351"/>
      <c r="BA301" s="326"/>
      <c r="BB301" s="326"/>
      <c r="BC301" s="326"/>
      <c r="BD301" s="326"/>
      <c r="BE301" s="326"/>
      <c r="BF301" s="351"/>
      <c r="BG301" s="332"/>
      <c r="BH301" s="332"/>
      <c r="BI301" s="332"/>
      <c r="BJ301" s="332"/>
      <c r="BK301" s="332"/>
      <c r="BL301" s="332"/>
      <c r="BM301" s="332"/>
      <c r="BN301" s="251"/>
      <c r="BO301" s="340"/>
      <c r="BP301" s="337"/>
      <c r="BQ301" s="340"/>
      <c r="BR301" s="340"/>
      <c r="BS301" s="340"/>
      <c r="BT301" s="340"/>
      <c r="BU301" s="340"/>
      <c r="BV301" s="340"/>
      <c r="BW301" s="340"/>
      <c r="BX301" s="251"/>
      <c r="BY301" s="345"/>
      <c r="BZ301" s="345"/>
      <c r="CA301" s="345"/>
      <c r="CB301" s="346"/>
      <c r="CC301" s="345"/>
      <c r="CD301" s="345"/>
      <c r="CE301" s="345"/>
      <c r="CF301" s="345"/>
      <c r="CG301" s="345"/>
      <c r="CH301" s="345"/>
      <c r="CI301" s="345"/>
      <c r="CJ301" s="346"/>
      <c r="CK301" s="346"/>
    </row>
    <row r="302">
      <c r="A302" s="821"/>
      <c r="B302" s="241" t="s">
        <v>155</v>
      </c>
      <c r="C302" s="237" t="s">
        <v>155</v>
      </c>
      <c r="D302" s="238" t="s">
        <v>155</v>
      </c>
      <c r="E302" s="239" t="s">
        <v>155</v>
      </c>
      <c r="F302" s="240" t="s">
        <v>155</v>
      </c>
      <c r="G302" s="241" t="s">
        <v>155</v>
      </c>
      <c r="H302" s="308"/>
      <c r="I302" s="308"/>
      <c r="J302" s="308"/>
      <c r="K302" s="308"/>
      <c r="L302" s="308"/>
      <c r="M302" s="308"/>
      <c r="N302" s="308"/>
      <c r="O302" s="308"/>
      <c r="P302" s="251"/>
      <c r="Q302" s="353"/>
      <c r="R302" s="353"/>
      <c r="S302" s="353"/>
      <c r="T302" s="353"/>
      <c r="U302" s="353"/>
      <c r="V302" s="353"/>
      <c r="W302" s="251"/>
      <c r="X302" s="318"/>
      <c r="Y302" s="318"/>
      <c r="Z302" s="318"/>
      <c r="AA302" s="617"/>
      <c r="AB302" s="318"/>
      <c r="AC302" s="318"/>
      <c r="AD302" s="318"/>
      <c r="AE302" s="318"/>
      <c r="AF302" s="318"/>
      <c r="AG302" s="318"/>
      <c r="AH302" s="318"/>
      <c r="AI302" s="251"/>
      <c r="AJ302" s="323"/>
      <c r="AK302" s="323"/>
      <c r="AL302" s="323"/>
      <c r="AM302" s="323"/>
      <c r="AN302" s="323"/>
      <c r="AO302" s="323"/>
      <c r="AP302" s="323"/>
      <c r="AQ302" s="323"/>
      <c r="AR302" s="323"/>
      <c r="AS302" s="323"/>
      <c r="AT302" s="323"/>
      <c r="AU302" s="323"/>
      <c r="AV302" s="323"/>
      <c r="AW302" s="323"/>
      <c r="AX302" s="323"/>
      <c r="AY302" s="323"/>
      <c r="AZ302" s="351"/>
      <c r="BA302" s="326"/>
      <c r="BB302" s="326"/>
      <c r="BC302" s="326"/>
      <c r="BD302" s="326"/>
      <c r="BE302" s="326"/>
      <c r="BF302" s="351"/>
      <c r="BG302" s="332"/>
      <c r="BH302" s="332"/>
      <c r="BI302" s="332"/>
      <c r="BJ302" s="332"/>
      <c r="BK302" s="332"/>
      <c r="BL302" s="332"/>
      <c r="BM302" s="332"/>
      <c r="BN302" s="251"/>
      <c r="BO302" s="340"/>
      <c r="BP302" s="337"/>
      <c r="BQ302" s="340"/>
      <c r="BR302" s="340"/>
      <c r="BS302" s="340"/>
      <c r="BT302" s="340"/>
      <c r="BU302" s="340"/>
      <c r="BV302" s="340"/>
      <c r="BW302" s="340"/>
      <c r="BX302" s="251"/>
      <c r="BY302" s="345"/>
      <c r="BZ302" s="345"/>
      <c r="CA302" s="345"/>
      <c r="CB302" s="346"/>
      <c r="CC302" s="345"/>
      <c r="CD302" s="345"/>
      <c r="CE302" s="345"/>
      <c r="CF302" s="345"/>
      <c r="CG302" s="345"/>
      <c r="CH302" s="345"/>
      <c r="CI302" s="345"/>
      <c r="CJ302" s="346"/>
      <c r="CK302" s="346"/>
    </row>
    <row r="303">
      <c r="A303" s="821"/>
      <c r="B303" s="241" t="s">
        <v>155</v>
      </c>
      <c r="C303" s="237" t="s">
        <v>155</v>
      </c>
      <c r="D303" s="238" t="s">
        <v>155</v>
      </c>
      <c r="E303" s="239" t="s">
        <v>155</v>
      </c>
      <c r="F303" s="240" t="s">
        <v>155</v>
      </c>
      <c r="G303" s="241" t="s">
        <v>155</v>
      </c>
      <c r="H303" s="308"/>
      <c r="I303" s="308"/>
      <c r="J303" s="308"/>
      <c r="K303" s="308"/>
      <c r="L303" s="308"/>
      <c r="M303" s="308"/>
      <c r="N303" s="308"/>
      <c r="O303" s="308"/>
      <c r="P303" s="251"/>
      <c r="Q303" s="353"/>
      <c r="R303" s="353"/>
      <c r="S303" s="353"/>
      <c r="T303" s="353"/>
      <c r="U303" s="353"/>
      <c r="V303" s="353"/>
      <c r="W303" s="251"/>
      <c r="X303" s="318"/>
      <c r="Y303" s="318"/>
      <c r="Z303" s="318"/>
      <c r="AA303" s="617"/>
      <c r="AB303" s="318"/>
      <c r="AC303" s="318"/>
      <c r="AD303" s="318"/>
      <c r="AE303" s="318"/>
      <c r="AF303" s="318"/>
      <c r="AG303" s="318"/>
      <c r="AH303" s="318"/>
      <c r="AI303" s="251"/>
      <c r="AJ303" s="323"/>
      <c r="AK303" s="323"/>
      <c r="AL303" s="323"/>
      <c r="AM303" s="323"/>
      <c r="AN303" s="323"/>
      <c r="AO303" s="323"/>
      <c r="AP303" s="323"/>
      <c r="AQ303" s="323"/>
      <c r="AR303" s="323"/>
      <c r="AS303" s="323"/>
      <c r="AT303" s="323"/>
      <c r="AU303" s="323"/>
      <c r="AV303" s="323"/>
      <c r="AW303" s="323"/>
      <c r="AX303" s="323"/>
      <c r="AY303" s="323"/>
      <c r="AZ303" s="351"/>
      <c r="BA303" s="326"/>
      <c r="BB303" s="326"/>
      <c r="BC303" s="326"/>
      <c r="BD303" s="326"/>
      <c r="BE303" s="326"/>
      <c r="BF303" s="351"/>
      <c r="BG303" s="332"/>
      <c r="BH303" s="332"/>
      <c r="BI303" s="332"/>
      <c r="BJ303" s="332"/>
      <c r="BK303" s="332"/>
      <c r="BL303" s="332"/>
      <c r="BM303" s="332"/>
      <c r="BN303" s="251"/>
      <c r="BO303" s="340"/>
      <c r="BP303" s="337"/>
      <c r="BQ303" s="340"/>
      <c r="BR303" s="340"/>
      <c r="BS303" s="340"/>
      <c r="BT303" s="340"/>
      <c r="BU303" s="340"/>
      <c r="BV303" s="340"/>
      <c r="BW303" s="340"/>
      <c r="BX303" s="251"/>
      <c r="BY303" s="345"/>
      <c r="BZ303" s="345"/>
      <c r="CA303" s="345"/>
      <c r="CB303" s="346"/>
      <c r="CC303" s="345"/>
      <c r="CD303" s="345"/>
      <c r="CE303" s="345"/>
      <c r="CF303" s="345"/>
      <c r="CG303" s="345"/>
      <c r="CH303" s="345"/>
      <c r="CI303" s="345"/>
      <c r="CJ303" s="346"/>
      <c r="CK303" s="346"/>
    </row>
    <row r="304">
      <c r="A304" s="821"/>
      <c r="B304" s="241"/>
      <c r="C304" s="237"/>
      <c r="D304" s="238"/>
      <c r="E304" s="239"/>
      <c r="F304" s="240"/>
      <c r="G304" s="241"/>
      <c r="H304" s="308"/>
      <c r="I304" s="308"/>
      <c r="J304" s="308"/>
      <c r="K304" s="308"/>
      <c r="L304" s="308"/>
      <c r="M304" s="308"/>
      <c r="N304" s="308"/>
      <c r="O304" s="308"/>
      <c r="P304" s="251"/>
      <c r="Q304" s="353"/>
      <c r="R304" s="353"/>
      <c r="S304" s="353"/>
      <c r="T304" s="353"/>
      <c r="U304" s="353"/>
      <c r="V304" s="353"/>
      <c r="W304" s="251"/>
      <c r="X304" s="318"/>
      <c r="Y304" s="318"/>
      <c r="Z304" s="318"/>
      <c r="AA304" s="617"/>
      <c r="AB304" s="318"/>
      <c r="AC304" s="318"/>
      <c r="AD304" s="318"/>
      <c r="AE304" s="318"/>
      <c r="AF304" s="318"/>
      <c r="AG304" s="318"/>
      <c r="AH304" s="318"/>
      <c r="AI304" s="251"/>
      <c r="AJ304" s="323"/>
      <c r="AK304" s="323"/>
      <c r="AL304" s="323"/>
      <c r="AM304" s="323"/>
      <c r="AN304" s="323"/>
      <c r="AO304" s="323"/>
      <c r="AP304" s="323"/>
      <c r="AQ304" s="323"/>
      <c r="AR304" s="323"/>
      <c r="AS304" s="323"/>
      <c r="AT304" s="409"/>
      <c r="AU304" s="323"/>
      <c r="AV304" s="323"/>
      <c r="AW304" s="323"/>
      <c r="AX304" s="323"/>
      <c r="AY304" s="323"/>
      <c r="AZ304" s="251"/>
      <c r="BA304" s="326"/>
      <c r="BB304" s="326"/>
      <c r="BC304" s="326"/>
      <c r="BD304" s="326"/>
      <c r="BE304" s="326"/>
      <c r="BF304" s="251"/>
      <c r="BG304" s="332"/>
      <c r="BH304" s="332"/>
      <c r="BI304" s="332"/>
      <c r="BJ304" s="981"/>
      <c r="BK304" s="332"/>
      <c r="BL304" s="332"/>
      <c r="BM304" s="332"/>
      <c r="BN304" s="251"/>
      <c r="BO304" s="340"/>
      <c r="BP304" s="337"/>
      <c r="BQ304" s="340"/>
      <c r="BR304" s="340"/>
      <c r="BS304" s="340"/>
      <c r="BT304" s="340"/>
      <c r="BU304" s="340"/>
      <c r="BV304" s="340"/>
      <c r="BW304" s="340"/>
      <c r="BX304" s="251"/>
      <c r="BY304" s="345"/>
      <c r="BZ304" s="345"/>
      <c r="CA304" s="346"/>
      <c r="CB304" s="346"/>
      <c r="CC304" s="346"/>
      <c r="CD304" s="345"/>
      <c r="CE304" s="345"/>
      <c r="CF304" s="345"/>
      <c r="CG304" s="345"/>
      <c r="CH304" s="345"/>
      <c r="CI304" s="345"/>
      <c r="CJ304" s="346"/>
      <c r="CK304" s="346"/>
    </row>
    <row r="305">
      <c r="A305" s="692"/>
      <c r="B305" s="982"/>
      <c r="C305" s="983"/>
      <c r="D305" s="984"/>
      <c r="E305" s="985"/>
      <c r="F305" s="986"/>
      <c r="G305" s="982"/>
      <c r="H305" s="308"/>
      <c r="I305" s="308"/>
      <c r="J305" s="308"/>
      <c r="K305" s="308"/>
      <c r="L305" s="308"/>
      <c r="M305" s="308"/>
      <c r="N305" s="308"/>
      <c r="O305" s="308"/>
      <c r="P305" s="251"/>
      <c r="Q305" s="353"/>
      <c r="R305" s="353"/>
      <c r="S305" s="353"/>
      <c r="T305" s="353"/>
      <c r="U305" s="353"/>
      <c r="V305" s="353"/>
      <c r="W305" s="251"/>
      <c r="X305" s="318"/>
      <c r="Y305" s="318"/>
      <c r="Z305" s="318"/>
      <c r="AA305" s="617"/>
      <c r="AB305" s="318"/>
      <c r="AC305" s="318"/>
      <c r="AD305" s="318"/>
      <c r="AE305" s="318"/>
      <c r="AF305" s="318"/>
      <c r="AG305" s="318"/>
      <c r="AH305" s="318"/>
      <c r="AI305" s="251"/>
      <c r="AJ305" s="323"/>
      <c r="AK305" s="323"/>
      <c r="AL305" s="323"/>
      <c r="AM305" s="323"/>
      <c r="AN305" s="323"/>
      <c r="AO305" s="323"/>
      <c r="AP305" s="323"/>
      <c r="AQ305" s="323"/>
      <c r="AR305" s="323"/>
      <c r="AS305" s="323"/>
      <c r="AT305" s="409"/>
      <c r="AU305" s="323"/>
      <c r="AV305" s="323"/>
      <c r="AW305" s="323"/>
      <c r="AX305" s="323"/>
      <c r="AY305" s="323"/>
      <c r="AZ305" s="251"/>
      <c r="BA305" s="326"/>
      <c r="BB305" s="326"/>
      <c r="BC305" s="326"/>
      <c r="BD305" s="326"/>
      <c r="BE305" s="326"/>
      <c r="BF305" s="251"/>
      <c r="BG305" s="332"/>
      <c r="BH305" s="332"/>
      <c r="BI305" s="332"/>
      <c r="BJ305" s="981"/>
      <c r="BK305" s="332"/>
      <c r="BL305" s="332"/>
      <c r="BM305" s="332"/>
      <c r="BN305" s="251"/>
      <c r="BO305" s="340"/>
      <c r="BP305" s="337"/>
      <c r="BQ305" s="340"/>
      <c r="BR305" s="340"/>
      <c r="BS305" s="340"/>
      <c r="BT305" s="340"/>
      <c r="BU305" s="340"/>
      <c r="BV305" s="340"/>
      <c r="BW305" s="340"/>
      <c r="BX305" s="251"/>
      <c r="BY305" s="345"/>
      <c r="BZ305" s="345"/>
      <c r="CA305" s="346"/>
      <c r="CB305" s="346"/>
      <c r="CC305" s="346"/>
      <c r="CD305" s="345"/>
      <c r="CE305" s="345"/>
      <c r="CF305" s="345"/>
      <c r="CG305" s="345"/>
      <c r="CH305" s="345"/>
      <c r="CI305" s="345"/>
      <c r="CJ305" s="346"/>
      <c r="CK305" s="346"/>
    </row>
    <row r="306">
      <c r="A306" s="692"/>
      <c r="B306" s="982"/>
      <c r="C306" s="983"/>
      <c r="D306" s="984"/>
      <c r="E306" s="985"/>
      <c r="F306" s="986"/>
      <c r="G306" s="982"/>
      <c r="H306" s="308"/>
      <c r="I306" s="308"/>
      <c r="J306" s="308"/>
      <c r="K306" s="308"/>
      <c r="L306" s="308"/>
      <c r="M306" s="308"/>
      <c r="N306" s="308"/>
      <c r="O306" s="308"/>
      <c r="P306" s="251"/>
      <c r="Q306" s="353"/>
      <c r="R306" s="353"/>
      <c r="S306" s="353"/>
      <c r="T306" s="353"/>
      <c r="U306" s="353"/>
      <c r="V306" s="353"/>
      <c r="W306" s="251"/>
      <c r="X306" s="318"/>
      <c r="Y306" s="318"/>
      <c r="Z306" s="318"/>
      <c r="AA306" s="617"/>
      <c r="AB306" s="318"/>
      <c r="AC306" s="318"/>
      <c r="AD306" s="318"/>
      <c r="AE306" s="318"/>
      <c r="AF306" s="318"/>
      <c r="AG306" s="318"/>
      <c r="AH306" s="318"/>
      <c r="AI306" s="251"/>
      <c r="AJ306" s="323"/>
      <c r="AK306" s="323"/>
      <c r="AL306" s="323"/>
      <c r="AM306" s="323"/>
      <c r="AN306" s="323"/>
      <c r="AO306" s="323"/>
      <c r="AP306" s="323"/>
      <c r="AQ306" s="323"/>
      <c r="AR306" s="323"/>
      <c r="AS306" s="323"/>
      <c r="AT306" s="409"/>
      <c r="AU306" s="323"/>
      <c r="AV306" s="323"/>
      <c r="AW306" s="323"/>
      <c r="AX306" s="323"/>
      <c r="AY306" s="323"/>
      <c r="AZ306" s="251"/>
      <c r="BA306" s="326"/>
      <c r="BB306" s="326"/>
      <c r="BC306" s="326"/>
      <c r="BD306" s="326"/>
      <c r="BE306" s="326"/>
      <c r="BF306" s="251"/>
      <c r="BG306" s="332"/>
      <c r="BH306" s="332"/>
      <c r="BI306" s="332"/>
      <c r="BJ306" s="981"/>
      <c r="BK306" s="332"/>
      <c r="BL306" s="332"/>
      <c r="BM306" s="332"/>
      <c r="BN306" s="251"/>
      <c r="BO306" s="340"/>
      <c r="BP306" s="337"/>
      <c r="BQ306" s="340"/>
      <c r="BR306" s="340"/>
      <c r="BS306" s="340"/>
      <c r="BT306" s="340"/>
      <c r="BU306" s="340"/>
      <c r="BV306" s="340"/>
      <c r="BW306" s="340"/>
      <c r="BX306" s="251"/>
      <c r="BY306" s="345"/>
      <c r="BZ306" s="345"/>
      <c r="CA306" s="346"/>
      <c r="CB306" s="346"/>
      <c r="CC306" s="346"/>
      <c r="CD306" s="345"/>
      <c r="CE306" s="345"/>
      <c r="CF306" s="345"/>
      <c r="CG306" s="345"/>
      <c r="CH306" s="345"/>
      <c r="CI306" s="345"/>
      <c r="CJ306" s="346"/>
      <c r="CK306" s="346"/>
    </row>
    <row r="307">
      <c r="A307" s="692"/>
      <c r="B307" s="982"/>
      <c r="C307" s="983"/>
      <c r="D307" s="984"/>
      <c r="E307" s="985"/>
      <c r="F307" s="986"/>
      <c r="G307" s="982"/>
      <c r="H307" s="308"/>
      <c r="I307" s="308"/>
      <c r="J307" s="308"/>
      <c r="K307" s="308"/>
      <c r="L307" s="308"/>
      <c r="M307" s="308"/>
      <c r="N307" s="308"/>
      <c r="O307" s="308"/>
      <c r="P307" s="251"/>
      <c r="Q307" s="353"/>
      <c r="R307" s="353"/>
      <c r="S307" s="353"/>
      <c r="T307" s="353"/>
      <c r="U307" s="353"/>
      <c r="V307" s="353"/>
      <c r="W307" s="251"/>
      <c r="X307" s="318"/>
      <c r="Y307" s="318"/>
      <c r="Z307" s="318"/>
      <c r="AA307" s="617"/>
      <c r="AB307" s="318"/>
      <c r="AC307" s="318"/>
      <c r="AD307" s="318"/>
      <c r="AE307" s="318"/>
      <c r="AF307" s="318"/>
      <c r="AG307" s="318"/>
      <c r="AH307" s="318"/>
      <c r="AI307" s="251"/>
      <c r="AJ307" s="323"/>
      <c r="AK307" s="323"/>
      <c r="AL307" s="323"/>
      <c r="AM307" s="323"/>
      <c r="AN307" s="323"/>
      <c r="AO307" s="323"/>
      <c r="AP307" s="323"/>
      <c r="AQ307" s="323"/>
      <c r="AR307" s="323"/>
      <c r="AS307" s="323"/>
      <c r="AT307" s="409"/>
      <c r="AU307" s="323"/>
      <c r="AV307" s="323"/>
      <c r="AW307" s="323"/>
      <c r="AX307" s="323"/>
      <c r="AY307" s="323"/>
      <c r="AZ307" s="251"/>
      <c r="BA307" s="326"/>
      <c r="BB307" s="326"/>
      <c r="BC307" s="326"/>
      <c r="BD307" s="326"/>
      <c r="BE307" s="326"/>
      <c r="BF307" s="251"/>
      <c r="BG307" s="332"/>
      <c r="BH307" s="332"/>
      <c r="BI307" s="332"/>
      <c r="BJ307" s="981"/>
      <c r="BK307" s="332"/>
      <c r="BL307" s="332"/>
      <c r="BM307" s="332"/>
      <c r="BN307" s="251"/>
      <c r="BO307" s="340"/>
      <c r="BP307" s="337"/>
      <c r="BQ307" s="340"/>
      <c r="BR307" s="340"/>
      <c r="BS307" s="340"/>
      <c r="BT307" s="340"/>
      <c r="BU307" s="340"/>
      <c r="BV307" s="340"/>
      <c r="BW307" s="340"/>
      <c r="BX307" s="251"/>
      <c r="BY307" s="345"/>
      <c r="BZ307" s="345"/>
      <c r="CA307" s="346"/>
      <c r="CB307" s="346"/>
      <c r="CC307" s="346"/>
      <c r="CD307" s="345"/>
      <c r="CE307" s="345"/>
      <c r="CF307" s="345"/>
      <c r="CG307" s="345"/>
      <c r="CH307" s="345"/>
      <c r="CI307" s="345"/>
      <c r="CJ307" s="346"/>
      <c r="CK307" s="346"/>
    </row>
    <row r="308">
      <c r="A308" s="692"/>
      <c r="B308" s="982"/>
      <c r="C308" s="983"/>
      <c r="D308" s="984"/>
      <c r="E308" s="985"/>
      <c r="F308" s="986"/>
      <c r="G308" s="982"/>
      <c r="H308" s="308"/>
      <c r="I308" s="308"/>
      <c r="J308" s="308"/>
      <c r="K308" s="308"/>
      <c r="L308" s="308"/>
      <c r="M308" s="308"/>
      <c r="N308" s="308"/>
      <c r="O308" s="308"/>
      <c r="P308" s="251"/>
      <c r="Q308" s="353"/>
      <c r="R308" s="353"/>
      <c r="S308" s="353"/>
      <c r="T308" s="353"/>
      <c r="U308" s="353"/>
      <c r="V308" s="353"/>
      <c r="W308" s="251"/>
      <c r="X308" s="318"/>
      <c r="Y308" s="318"/>
      <c r="Z308" s="318"/>
      <c r="AA308" s="617"/>
      <c r="AB308" s="318"/>
      <c r="AC308" s="318"/>
      <c r="AD308" s="318"/>
      <c r="AE308" s="318"/>
      <c r="AF308" s="318"/>
      <c r="AG308" s="318"/>
      <c r="AH308" s="318"/>
      <c r="AI308" s="251"/>
      <c r="AJ308" s="323"/>
      <c r="AK308" s="323"/>
      <c r="AL308" s="323"/>
      <c r="AM308" s="323"/>
      <c r="AN308" s="323"/>
      <c r="AO308" s="323"/>
      <c r="AP308" s="323"/>
      <c r="AQ308" s="323"/>
      <c r="AR308" s="323"/>
      <c r="AS308" s="323"/>
      <c r="AT308" s="409"/>
      <c r="AU308" s="323"/>
      <c r="AV308" s="323"/>
      <c r="AW308" s="323"/>
      <c r="AX308" s="323"/>
      <c r="AY308" s="323"/>
      <c r="AZ308" s="251"/>
      <c r="BA308" s="326"/>
      <c r="BB308" s="326"/>
      <c r="BC308" s="326"/>
      <c r="BD308" s="326"/>
      <c r="BE308" s="326"/>
      <c r="BF308" s="251"/>
      <c r="BG308" s="332"/>
      <c r="BH308" s="332"/>
      <c r="BI308" s="332"/>
      <c r="BJ308" s="981"/>
      <c r="BK308" s="332"/>
      <c r="BL308" s="332"/>
      <c r="BM308" s="332"/>
      <c r="BN308" s="251"/>
      <c r="BO308" s="340"/>
      <c r="BP308" s="337"/>
      <c r="BQ308" s="340"/>
      <c r="BR308" s="340"/>
      <c r="BS308" s="340"/>
      <c r="BT308" s="340"/>
      <c r="BU308" s="340"/>
      <c r="BV308" s="340"/>
      <c r="BW308" s="340"/>
      <c r="BX308" s="251"/>
      <c r="BY308" s="345"/>
      <c r="BZ308" s="345"/>
      <c r="CA308" s="346"/>
      <c r="CB308" s="346"/>
      <c r="CC308" s="346"/>
      <c r="CD308" s="345"/>
      <c r="CE308" s="345"/>
      <c r="CF308" s="345"/>
      <c r="CG308" s="345"/>
      <c r="CH308" s="345"/>
      <c r="CI308" s="345"/>
      <c r="CJ308" s="346"/>
      <c r="CK308" s="346"/>
    </row>
    <row r="309">
      <c r="A309" s="692"/>
      <c r="B309" s="982"/>
      <c r="C309" s="983"/>
      <c r="D309" s="984"/>
      <c r="E309" s="985"/>
      <c r="F309" s="986"/>
      <c r="G309" s="982"/>
      <c r="H309" s="308"/>
      <c r="I309" s="308"/>
      <c r="J309" s="308"/>
      <c r="K309" s="308"/>
      <c r="L309" s="308"/>
      <c r="M309" s="308"/>
      <c r="N309" s="308"/>
      <c r="O309" s="308"/>
      <c r="P309" s="251"/>
      <c r="Q309" s="353"/>
      <c r="R309" s="353"/>
      <c r="S309" s="353"/>
      <c r="T309" s="353"/>
      <c r="U309" s="353"/>
      <c r="V309" s="353"/>
      <c r="W309" s="251"/>
      <c r="X309" s="318"/>
      <c r="Y309" s="318"/>
      <c r="Z309" s="318"/>
      <c r="AA309" s="617"/>
      <c r="AB309" s="318"/>
      <c r="AC309" s="318"/>
      <c r="AD309" s="318"/>
      <c r="AE309" s="318"/>
      <c r="AF309" s="318"/>
      <c r="AG309" s="318"/>
      <c r="AH309" s="318"/>
      <c r="AI309" s="251"/>
      <c r="AJ309" s="323"/>
      <c r="AK309" s="323"/>
      <c r="AL309" s="323"/>
      <c r="AM309" s="323"/>
      <c r="AN309" s="323"/>
      <c r="AO309" s="323"/>
      <c r="AP309" s="323"/>
      <c r="AQ309" s="323"/>
      <c r="AR309" s="323"/>
      <c r="AS309" s="323"/>
      <c r="AT309" s="409"/>
      <c r="AU309" s="323"/>
      <c r="AV309" s="323"/>
      <c r="AW309" s="323"/>
      <c r="AX309" s="323"/>
      <c r="AY309" s="323"/>
      <c r="AZ309" s="251"/>
      <c r="BA309" s="326"/>
      <c r="BB309" s="326"/>
      <c r="BC309" s="326"/>
      <c r="BD309" s="326"/>
      <c r="BE309" s="326"/>
      <c r="BF309" s="251"/>
      <c r="BG309" s="332"/>
      <c r="BH309" s="332"/>
      <c r="BI309" s="332"/>
      <c r="BJ309" s="981"/>
      <c r="BK309" s="332"/>
      <c r="BL309" s="332"/>
      <c r="BM309" s="332"/>
      <c r="BN309" s="251"/>
      <c r="BO309" s="340"/>
      <c r="BP309" s="337"/>
      <c r="BQ309" s="340"/>
      <c r="BR309" s="340"/>
      <c r="BS309" s="340"/>
      <c r="BT309" s="340"/>
      <c r="BU309" s="340"/>
      <c r="BV309" s="340"/>
      <c r="BW309" s="340"/>
      <c r="BX309" s="251"/>
      <c r="BY309" s="345"/>
      <c r="BZ309" s="345"/>
      <c r="CA309" s="346"/>
      <c r="CB309" s="346"/>
      <c r="CC309" s="346"/>
      <c r="CD309" s="345"/>
      <c r="CE309" s="345"/>
      <c r="CF309" s="345"/>
      <c r="CG309" s="345"/>
      <c r="CH309" s="345"/>
      <c r="CI309" s="345"/>
      <c r="CJ309" s="346"/>
      <c r="CK309" s="346"/>
    </row>
  </sheetData>
  <mergeCells count="68">
    <mergeCell ref="BQ2:BQ3"/>
    <mergeCell ref="BR2:BS2"/>
    <mergeCell ref="BG2:BG3"/>
    <mergeCell ref="BH2:BH3"/>
    <mergeCell ref="BI2:BJ2"/>
    <mergeCell ref="BK2:BK3"/>
    <mergeCell ref="BL2:BM2"/>
    <mergeCell ref="BO2:BO3"/>
    <mergeCell ref="BP2:BP3"/>
    <mergeCell ref="CE2:CE3"/>
    <mergeCell ref="CF2:CF3"/>
    <mergeCell ref="BT2:BT3"/>
    <mergeCell ref="BU2:BV2"/>
    <mergeCell ref="BW2:BW3"/>
    <mergeCell ref="BY2:BY3"/>
    <mergeCell ref="BZ2:BZ3"/>
    <mergeCell ref="CA2:CC2"/>
    <mergeCell ref="CD2:CD3"/>
    <mergeCell ref="BA1:BE1"/>
    <mergeCell ref="BG1:BM1"/>
    <mergeCell ref="BO1:BW1"/>
    <mergeCell ref="BY1:CJ1"/>
    <mergeCell ref="A1:B1"/>
    <mergeCell ref="C1:E1"/>
    <mergeCell ref="F1:G1"/>
    <mergeCell ref="H1:O1"/>
    <mergeCell ref="Q1:V1"/>
    <mergeCell ref="X1:AH1"/>
    <mergeCell ref="AK1:AY1"/>
    <mergeCell ref="A2:A3"/>
    <mergeCell ref="B2:B3"/>
    <mergeCell ref="C2:E3"/>
    <mergeCell ref="F2:G3"/>
    <mergeCell ref="H2:H3"/>
    <mergeCell ref="I2:I3"/>
    <mergeCell ref="K2:M2"/>
    <mergeCell ref="N2:O2"/>
    <mergeCell ref="Q2:Q3"/>
    <mergeCell ref="R2:R3"/>
    <mergeCell ref="S2:S3"/>
    <mergeCell ref="T2:T3"/>
    <mergeCell ref="U2:U3"/>
    <mergeCell ref="V2:V3"/>
    <mergeCell ref="X2:X3"/>
    <mergeCell ref="Y2:Y3"/>
    <mergeCell ref="Z2:Z3"/>
    <mergeCell ref="AA2:AB2"/>
    <mergeCell ref="AC2:AC3"/>
    <mergeCell ref="AD2:AD3"/>
    <mergeCell ref="AE2:AE3"/>
    <mergeCell ref="AG2:AH2"/>
    <mergeCell ref="AJ2:AJ3"/>
    <mergeCell ref="AK2:AL2"/>
    <mergeCell ref="AM2:AO2"/>
    <mergeCell ref="AP2:AQ2"/>
    <mergeCell ref="AR2:AU2"/>
    <mergeCell ref="AV2:AV3"/>
    <mergeCell ref="CG2:CG3"/>
    <mergeCell ref="CH2:CH3"/>
    <mergeCell ref="CI2:CI3"/>
    <mergeCell ref="CJ2:CK2"/>
    <mergeCell ref="AW2:AW3"/>
    <mergeCell ref="AX2:AY2"/>
    <mergeCell ref="BA2:BA3"/>
    <mergeCell ref="BB2:BB3"/>
    <mergeCell ref="BC2:BC3"/>
    <mergeCell ref="BD2:BD3"/>
    <mergeCell ref="BE2:BE3"/>
  </mergeCells>
  <conditionalFormatting sqref="W43">
    <cfRule type="containsBlanks" dxfId="17" priority="1">
      <formula>LEN(TRIM(W43))=0</formula>
    </cfRule>
  </conditionalFormatting>
  <conditionalFormatting sqref="B4 B6 B8:B309">
    <cfRule type="expression" dxfId="18" priority="2">
      <formula>VALUE(INDIRECT("B"&amp;ROW()-1))&lt;VALUE(INDIRECT("B"&amp;ROW()))</formula>
    </cfRule>
  </conditionalFormatting>
  <conditionalFormatting sqref="B2:B3">
    <cfRule type="expression" dxfId="14" priority="3">
      <formula>ARRAYFORMULA(OR(VALUE(INDIRECT("B4:B"&amp;(counta(B7:B309)+3)))&lt;VALUE(INDIRECT("B5:B"&amp;(counta(B7:B309)+4)))))</formula>
    </cfRule>
  </conditionalFormatting>
  <conditionalFormatting sqref="J46">
    <cfRule type="notContainsBlanks" dxfId="19" priority="4">
      <formula>LEN(TRIM(J46))&gt;0</formula>
    </cfRule>
  </conditionalFormatting>
  <hyperlinks>
    <hyperlink r:id="rId2" ref="C1"/>
    <hyperlink r:id="rId3" ref="F1"/>
    <hyperlink r:id="rId4" ref="H4"/>
    <hyperlink r:id="rId5" ref="J4"/>
    <hyperlink r:id="rId6" ref="N4"/>
    <hyperlink r:id="rId7" ref="O4"/>
    <hyperlink r:id="rId8" ref="Q4"/>
    <hyperlink r:id="rId9" ref="R4"/>
    <hyperlink r:id="rId10" ref="V4"/>
    <hyperlink r:id="rId11" ref="Y4"/>
    <hyperlink r:id="rId12" ref="Z4"/>
    <hyperlink r:id="rId13" ref="AA4"/>
    <hyperlink r:id="rId14" ref="AC4"/>
    <hyperlink r:id="rId15" ref="AG4"/>
    <hyperlink r:id="rId16" ref="AH4"/>
    <hyperlink r:id="rId17" ref="AM4"/>
    <hyperlink r:id="rId18" ref="AN4"/>
    <hyperlink r:id="rId19" ref="AP4"/>
    <hyperlink r:id="rId20" ref="AS4"/>
    <hyperlink r:id="rId21" ref="AW4"/>
    <hyperlink r:id="rId22" ref="AX4"/>
    <hyperlink r:id="rId23" ref="AY4"/>
    <hyperlink r:id="rId24" ref="BA4"/>
    <hyperlink r:id="rId25" ref="BB4"/>
    <hyperlink r:id="rId26" ref="BE4"/>
    <hyperlink r:id="rId27" ref="BG4"/>
    <hyperlink r:id="rId28" ref="BH4"/>
    <hyperlink r:id="rId29" ref="BK4"/>
    <hyperlink r:id="rId30" ref="BL4"/>
    <hyperlink r:id="rId31" ref="BM4"/>
    <hyperlink r:id="rId32" ref="BS4"/>
    <hyperlink r:id="rId33" ref="BV4"/>
    <hyperlink r:id="rId34" ref="BW4"/>
    <hyperlink r:id="rId35" ref="BY4"/>
    <hyperlink r:id="rId36" ref="CE4"/>
    <hyperlink r:id="rId37" ref="CF4"/>
    <hyperlink r:id="rId38" ref="CG4"/>
    <hyperlink r:id="rId39" ref="CH4"/>
    <hyperlink r:id="rId40" ref="CI4"/>
    <hyperlink r:id="rId41" ref="CJ4"/>
    <hyperlink r:id="rId42" ref="H5"/>
    <hyperlink r:id="rId43" ref="J5"/>
    <hyperlink r:id="rId44" ref="K5"/>
    <hyperlink r:id="rId45" ref="L5"/>
    <hyperlink r:id="rId46" ref="O5"/>
    <hyperlink r:id="rId47" ref="Q5"/>
    <hyperlink r:id="rId48" ref="R5"/>
    <hyperlink r:id="rId49" ref="V5"/>
    <hyperlink r:id="rId50" ref="X5"/>
    <hyperlink r:id="rId51" ref="Y5"/>
    <hyperlink r:id="rId52" ref="Z5"/>
    <hyperlink r:id="rId53" ref="AA5"/>
    <hyperlink r:id="rId54" ref="AB5"/>
    <hyperlink r:id="rId55" ref="AC5"/>
    <hyperlink r:id="rId56" ref="AD5"/>
    <hyperlink r:id="rId57" ref="AE5"/>
    <hyperlink r:id="rId58" ref="AG5"/>
    <hyperlink r:id="rId59" ref="AM5"/>
    <hyperlink r:id="rId60" ref="AP5"/>
    <hyperlink r:id="rId61" ref="AW5"/>
    <hyperlink r:id="rId62" ref="AX5"/>
    <hyperlink r:id="rId63" ref="AY5"/>
    <hyperlink r:id="rId64" ref="BA5"/>
    <hyperlink r:id="rId65" ref="BB5"/>
    <hyperlink r:id="rId66" ref="BD5"/>
    <hyperlink r:id="rId67" ref="BE5"/>
    <hyperlink r:id="rId68" ref="BG5"/>
    <hyperlink r:id="rId69" ref="BH5"/>
    <hyperlink r:id="rId70" ref="BI5"/>
    <hyperlink r:id="rId71" ref="BJ5"/>
    <hyperlink r:id="rId72" ref="BK5"/>
    <hyperlink r:id="rId73" ref="BM5"/>
    <hyperlink r:id="rId74" ref="BO5"/>
    <hyperlink r:id="rId75" ref="BQ5"/>
    <hyperlink r:id="rId76" ref="BR5"/>
    <hyperlink r:id="rId77" ref="BT5"/>
    <hyperlink r:id="rId78" ref="BU5"/>
    <hyperlink r:id="rId79" ref="BW5"/>
    <hyperlink r:id="rId80" ref="BY5"/>
    <hyperlink r:id="rId81" ref="CA5"/>
    <hyperlink r:id="rId82" ref="CD5"/>
    <hyperlink r:id="rId83" ref="CE5"/>
    <hyperlink r:id="rId84" ref="CF5"/>
    <hyperlink r:id="rId85" ref="CG5"/>
    <hyperlink r:id="rId86" ref="CI5"/>
    <hyperlink r:id="rId87" ref="CJ5"/>
    <hyperlink r:id="rId88" ref="CK5"/>
    <hyperlink r:id="rId89" ref="H6"/>
    <hyperlink r:id="rId90" ref="J6"/>
    <hyperlink r:id="rId91" ref="K6"/>
    <hyperlink r:id="rId92" ref="O6"/>
    <hyperlink r:id="rId93" ref="R6"/>
    <hyperlink r:id="rId94" ref="S6"/>
    <hyperlink r:id="rId95" ref="T6"/>
    <hyperlink r:id="rId96" ref="U6"/>
    <hyperlink r:id="rId97" ref="V6"/>
    <hyperlink r:id="rId98" ref="Z6"/>
    <hyperlink r:id="rId99" ref="AA6"/>
    <hyperlink r:id="rId100" ref="AD6"/>
    <hyperlink r:id="rId101" ref="AE6"/>
    <hyperlink r:id="rId102" ref="AG6"/>
    <hyperlink r:id="rId103" ref="AM6"/>
    <hyperlink r:id="rId104" ref="AN6"/>
    <hyperlink r:id="rId105" ref="AR6"/>
    <hyperlink r:id="rId106" ref="AT6"/>
    <hyperlink r:id="rId107" ref="AW6"/>
    <hyperlink r:id="rId108" ref="AX6"/>
    <hyperlink r:id="rId109" ref="AY6"/>
    <hyperlink r:id="rId110" ref="BB6"/>
    <hyperlink r:id="rId111" ref="BC6"/>
    <hyperlink r:id="rId112" ref="BE6"/>
    <hyperlink r:id="rId113" ref="BH6"/>
    <hyperlink r:id="rId114" ref="BI6"/>
    <hyperlink r:id="rId115" ref="BJ6"/>
    <hyperlink r:id="rId116" ref="BK6"/>
    <hyperlink r:id="rId117" ref="BM6"/>
    <hyperlink r:id="rId118" ref="BO6"/>
    <hyperlink r:id="rId119" ref="BQ6"/>
    <hyperlink r:id="rId120" ref="BT6"/>
    <hyperlink r:id="rId121" ref="BU6"/>
    <hyperlink r:id="rId122" ref="BW6"/>
    <hyperlink r:id="rId123" ref="BZ6"/>
    <hyperlink r:id="rId124" ref="CF6"/>
    <hyperlink r:id="rId125" ref="CG6"/>
    <hyperlink r:id="rId126" ref="CH6"/>
    <hyperlink r:id="rId127" ref="CI6"/>
    <hyperlink r:id="rId128" ref="K7"/>
    <hyperlink r:id="rId129" ref="O7"/>
    <hyperlink r:id="rId130" ref="V7"/>
    <hyperlink r:id="rId131" ref="AA7"/>
    <hyperlink r:id="rId132" ref="AB7"/>
    <hyperlink r:id="rId133" ref="AC7"/>
    <hyperlink r:id="rId134" ref="AD7"/>
    <hyperlink r:id="rId135" ref="AE7"/>
    <hyperlink r:id="rId136" ref="AG7"/>
    <hyperlink r:id="rId137" ref="AO7"/>
    <hyperlink r:id="rId138" ref="AX7"/>
    <hyperlink r:id="rId139" ref="BB7"/>
    <hyperlink r:id="rId140" ref="BC7"/>
    <hyperlink r:id="rId141" ref="BE7"/>
    <hyperlink r:id="rId142" ref="BG7"/>
    <hyperlink r:id="rId143" ref="BK7"/>
    <hyperlink r:id="rId144" ref="BT7"/>
    <hyperlink r:id="rId145" ref="BV7"/>
    <hyperlink r:id="rId146" ref="BW7"/>
    <hyperlink r:id="rId147" ref="CE7"/>
    <hyperlink r:id="rId148" ref="H8"/>
    <hyperlink r:id="rId149" ref="I8"/>
    <hyperlink r:id="rId150" ref="L8"/>
    <hyperlink r:id="rId151" ref="O8"/>
    <hyperlink r:id="rId152" ref="Q8"/>
    <hyperlink r:id="rId153" ref="R8"/>
    <hyperlink r:id="rId154" ref="T8"/>
    <hyperlink r:id="rId155" ref="X8"/>
    <hyperlink r:id="rId156" ref="Y8"/>
    <hyperlink r:id="rId157" ref="Z8"/>
    <hyperlink r:id="rId158" ref="AD8"/>
    <hyperlink r:id="rId159" ref="AE8"/>
    <hyperlink r:id="rId160" ref="AN8"/>
    <hyperlink r:id="rId161" ref="AQ8"/>
    <hyperlink r:id="rId162" ref="AT8"/>
    <hyperlink r:id="rId163" ref="AW8"/>
    <hyperlink r:id="rId164" ref="AX8"/>
    <hyperlink r:id="rId165" ref="BB8"/>
    <hyperlink r:id="rId166" ref="BC8"/>
    <hyperlink r:id="rId167" ref="BG8"/>
    <hyperlink r:id="rId168" ref="BH8"/>
    <hyperlink r:id="rId169" ref="BK8"/>
    <hyperlink r:id="rId170" ref="BO8"/>
    <hyperlink r:id="rId171" ref="BQ8"/>
    <hyperlink r:id="rId172" ref="BT8"/>
    <hyperlink r:id="rId173" ref="BY8"/>
    <hyperlink r:id="rId174" ref="H9"/>
    <hyperlink r:id="rId175" ref="I9"/>
    <hyperlink r:id="rId176" ref="J9"/>
    <hyperlink r:id="rId177" ref="K9"/>
    <hyperlink r:id="rId178" ref="M9"/>
    <hyperlink r:id="rId179" ref="N9"/>
    <hyperlink r:id="rId180" ref="O9"/>
    <hyperlink r:id="rId181" ref="Q9"/>
    <hyperlink r:id="rId182" ref="R9"/>
    <hyperlink r:id="rId183" ref="T9"/>
    <hyperlink r:id="rId184" ref="U9"/>
    <hyperlink r:id="rId185" ref="X9"/>
    <hyperlink r:id="rId186" ref="Y9"/>
    <hyperlink r:id="rId187" ref="Z9"/>
    <hyperlink r:id="rId188" ref="AA9"/>
    <hyperlink r:id="rId189" ref="AB9"/>
    <hyperlink r:id="rId190" ref="AC9"/>
    <hyperlink r:id="rId191" ref="AD9"/>
    <hyperlink r:id="rId192" ref="AE9"/>
    <hyperlink r:id="rId193" ref="AK9"/>
    <hyperlink r:id="rId194" ref="AL9"/>
    <hyperlink r:id="rId195" ref="AM9"/>
    <hyperlink r:id="rId196" ref="AP9"/>
    <hyperlink r:id="rId197" ref="AR9"/>
    <hyperlink r:id="rId198" ref="AS9"/>
    <hyperlink r:id="rId199" ref="AT9"/>
    <hyperlink r:id="rId200" ref="AU9"/>
    <hyperlink r:id="rId201" ref="AV9"/>
    <hyperlink r:id="rId202" ref="AW9"/>
    <hyperlink r:id="rId203" ref="AX9"/>
    <hyperlink r:id="rId204" ref="AY9"/>
    <hyperlink r:id="rId205" ref="BA9"/>
    <hyperlink r:id="rId206" ref="BB9"/>
    <hyperlink r:id="rId207" ref="BC9"/>
    <hyperlink r:id="rId208" ref="BE9"/>
    <hyperlink r:id="rId209" ref="BG9"/>
    <hyperlink r:id="rId210" ref="BI9"/>
    <hyperlink r:id="rId211" ref="BK9"/>
    <hyperlink r:id="rId212" ref="BL9"/>
    <hyperlink r:id="rId213" ref="BM9"/>
    <hyperlink r:id="rId214" ref="BO9"/>
    <hyperlink r:id="rId215" ref="BP9"/>
    <hyperlink r:id="rId216" ref="BQ9"/>
    <hyperlink r:id="rId217" ref="BR9"/>
    <hyperlink r:id="rId218" ref="BS9"/>
    <hyperlink r:id="rId219" ref="BT9"/>
    <hyperlink r:id="rId220" ref="BU9"/>
    <hyperlink r:id="rId221" ref="BV9"/>
    <hyperlink r:id="rId222" ref="BW9"/>
    <hyperlink r:id="rId223" ref="BY9"/>
    <hyperlink r:id="rId224" ref="BZ9"/>
    <hyperlink r:id="rId225" ref="CA9"/>
    <hyperlink r:id="rId226" ref="CB9"/>
    <hyperlink r:id="rId227" ref="CE9"/>
    <hyperlink r:id="rId228" ref="CG9"/>
    <hyperlink r:id="rId229" ref="CH9"/>
    <hyperlink r:id="rId230" ref="CI9"/>
    <hyperlink r:id="rId231" ref="CJ9"/>
    <hyperlink r:id="rId232" ref="I10"/>
    <hyperlink r:id="rId233" ref="K10"/>
    <hyperlink r:id="rId234" ref="L10"/>
    <hyperlink r:id="rId235" ref="Q10"/>
    <hyperlink r:id="rId236" ref="X10"/>
    <hyperlink r:id="rId237" ref="AB10"/>
    <hyperlink r:id="rId238" ref="AE10"/>
    <hyperlink r:id="rId239" ref="AG10"/>
    <hyperlink r:id="rId240" ref="AH10"/>
    <hyperlink r:id="rId241" ref="AL10"/>
    <hyperlink r:id="rId242" ref="AM10"/>
    <hyperlink r:id="rId243" ref="AO10"/>
    <hyperlink r:id="rId244" ref="AQ10"/>
    <hyperlink r:id="rId245" ref="BC10"/>
    <hyperlink r:id="rId246" ref="BE10"/>
    <hyperlink r:id="rId247" ref="BG10"/>
    <hyperlink r:id="rId248" ref="BM10"/>
    <hyperlink r:id="rId249" ref="BO10"/>
    <hyperlink r:id="rId250" ref="BR10"/>
    <hyperlink r:id="rId251" ref="BW10"/>
    <hyperlink r:id="rId252" ref="BZ10"/>
    <hyperlink r:id="rId253" ref="CD10"/>
    <hyperlink r:id="rId254" ref="CF10"/>
    <hyperlink r:id="rId255" ref="I11"/>
    <hyperlink r:id="rId256" ref="L11"/>
    <hyperlink r:id="rId257" ref="N11"/>
    <hyperlink r:id="rId258" ref="Q11"/>
    <hyperlink r:id="rId259" ref="R11"/>
    <hyperlink r:id="rId260" ref="U11"/>
    <hyperlink r:id="rId261" ref="X11"/>
    <hyperlink r:id="rId262" ref="AA11"/>
    <hyperlink r:id="rId263" ref="AD11"/>
    <hyperlink r:id="rId264" ref="AM11"/>
    <hyperlink r:id="rId265" ref="AO11"/>
    <hyperlink r:id="rId266" ref="AP11"/>
    <hyperlink r:id="rId267" ref="AQ11"/>
    <hyperlink r:id="rId268" ref="AW11"/>
    <hyperlink r:id="rId269" ref="BC11"/>
    <hyperlink r:id="rId270" ref="BG11"/>
    <hyperlink r:id="rId271" ref="BH11"/>
    <hyperlink r:id="rId272" ref="BI11"/>
    <hyperlink r:id="rId273" ref="BO11"/>
    <hyperlink r:id="rId274" ref="BT11"/>
    <hyperlink r:id="rId275" ref="BZ11"/>
    <hyperlink r:id="rId276" ref="H12"/>
    <hyperlink r:id="rId277" ref="I12"/>
    <hyperlink r:id="rId278" ref="J12"/>
    <hyperlink r:id="rId279" ref="K12"/>
    <hyperlink r:id="rId280" ref="O12"/>
    <hyperlink r:id="rId281" ref="Q12"/>
    <hyperlink r:id="rId282" ref="S12"/>
    <hyperlink r:id="rId283" ref="T12"/>
    <hyperlink r:id="rId284" ref="U12"/>
    <hyperlink r:id="rId285" ref="V12"/>
    <hyperlink r:id="rId286" ref="X12"/>
    <hyperlink r:id="rId287" ref="Y12"/>
    <hyperlink r:id="rId288" ref="Z12"/>
    <hyperlink r:id="rId289" ref="AA12"/>
    <hyperlink r:id="rId290" ref="AB12"/>
    <hyperlink r:id="rId291" ref="AC12"/>
    <hyperlink r:id="rId292" ref="AD12"/>
    <hyperlink r:id="rId293" ref="AE12"/>
    <hyperlink r:id="rId294" ref="AG12"/>
    <hyperlink r:id="rId295" ref="AK12"/>
    <hyperlink r:id="rId296" ref="AM12"/>
    <hyperlink r:id="rId297" ref="AP12"/>
    <hyperlink r:id="rId298" ref="AR12"/>
    <hyperlink r:id="rId299" ref="AS12"/>
    <hyperlink r:id="rId300" ref="AU12"/>
    <hyperlink r:id="rId301" ref="AW12"/>
    <hyperlink r:id="rId302" ref="AX12"/>
    <hyperlink r:id="rId303" ref="AY12"/>
    <hyperlink r:id="rId304" ref="BA12"/>
    <hyperlink r:id="rId305" ref="BB12"/>
    <hyperlink r:id="rId306" ref="BC12"/>
    <hyperlink r:id="rId307" ref="BE12"/>
    <hyperlink r:id="rId308" ref="BG12"/>
    <hyperlink r:id="rId309" ref="BH12"/>
    <hyperlink r:id="rId310" ref="BI12"/>
    <hyperlink r:id="rId311" ref="BJ12"/>
    <hyperlink r:id="rId312" ref="BK12"/>
    <hyperlink r:id="rId313" ref="BM12"/>
    <hyperlink r:id="rId314" ref="BQ12"/>
    <hyperlink r:id="rId315" ref="BR12"/>
    <hyperlink r:id="rId316" ref="BT12"/>
    <hyperlink r:id="rId317" ref="BV12"/>
    <hyperlink r:id="rId318" ref="BW12"/>
    <hyperlink r:id="rId319" ref="BY12"/>
    <hyperlink r:id="rId320" ref="BZ12"/>
    <hyperlink r:id="rId321" ref="CA12"/>
    <hyperlink r:id="rId322" ref="CD12"/>
    <hyperlink r:id="rId323" ref="CE12"/>
    <hyperlink r:id="rId324" ref="CF12"/>
    <hyperlink r:id="rId325" ref="CG12"/>
    <hyperlink r:id="rId326" ref="CI12"/>
    <hyperlink r:id="rId327" ref="I13"/>
    <hyperlink r:id="rId328" ref="J13"/>
    <hyperlink r:id="rId329" ref="K13"/>
    <hyperlink r:id="rId330" ref="Q13"/>
    <hyperlink r:id="rId331" ref="T13"/>
    <hyperlink r:id="rId332" ref="AB13"/>
    <hyperlink r:id="rId333" ref="AD13"/>
    <hyperlink r:id="rId334" ref="AE13"/>
    <hyperlink r:id="rId335" ref="AK13"/>
    <hyperlink r:id="rId336" ref="AO13"/>
    <hyperlink r:id="rId337" ref="AS13"/>
    <hyperlink r:id="rId338" ref="AV13"/>
    <hyperlink r:id="rId339" ref="AW13"/>
    <hyperlink r:id="rId340" ref="BB13"/>
    <hyperlink r:id="rId341" ref="BC13"/>
    <hyperlink r:id="rId342" ref="BG13"/>
    <hyperlink r:id="rId343" ref="BH13"/>
    <hyperlink r:id="rId344" ref="BO13"/>
    <hyperlink r:id="rId345" ref="BQ13"/>
    <hyperlink r:id="rId346" ref="BT13"/>
    <hyperlink r:id="rId347" ref="CB13"/>
    <hyperlink r:id="rId348" ref="CH13"/>
    <hyperlink r:id="rId349" ref="H14"/>
    <hyperlink r:id="rId350" ref="I14"/>
    <hyperlink r:id="rId351" ref="AD14"/>
    <hyperlink r:id="rId352" ref="AF14"/>
    <hyperlink r:id="rId353" ref="AN14"/>
    <hyperlink r:id="rId354" ref="AR14"/>
    <hyperlink r:id="rId355" ref="BE14"/>
    <hyperlink r:id="rId356" ref="BI14"/>
    <hyperlink r:id="rId357" ref="BJ14"/>
    <hyperlink r:id="rId358" ref="BO14"/>
    <hyperlink r:id="rId359" ref="BT14"/>
    <hyperlink r:id="rId360" ref="CH14"/>
    <hyperlink r:id="rId361" ref="K15"/>
    <hyperlink r:id="rId362" ref="O15"/>
    <hyperlink r:id="rId363" ref="S15"/>
    <hyperlink r:id="rId364" ref="V15"/>
    <hyperlink r:id="rId365" ref="X15"/>
    <hyperlink r:id="rId366" ref="AA15"/>
    <hyperlink r:id="rId367" ref="AC15"/>
    <hyperlink r:id="rId368" ref="AG15"/>
    <hyperlink r:id="rId369" ref="AM15"/>
    <hyperlink r:id="rId370" ref="AX15"/>
    <hyperlink r:id="rId371" ref="BC15"/>
    <hyperlink r:id="rId372" ref="BH15"/>
    <hyperlink r:id="rId373" ref="BK15"/>
    <hyperlink r:id="rId374" ref="BM15"/>
    <hyperlink r:id="rId375" ref="BR15"/>
    <hyperlink r:id="rId376" ref="BT15"/>
    <hyperlink r:id="rId377" ref="BV15"/>
    <hyperlink r:id="rId378" ref="BW15"/>
    <hyperlink r:id="rId379" ref="BY15"/>
    <hyperlink r:id="rId380" ref="H16"/>
    <hyperlink r:id="rId381" ref="I16"/>
    <hyperlink r:id="rId382" ref="L16"/>
    <hyperlink r:id="rId383" ref="N16"/>
    <hyperlink r:id="rId384" ref="Q16"/>
    <hyperlink r:id="rId385" ref="S16"/>
    <hyperlink r:id="rId386" ref="T16"/>
    <hyperlink r:id="rId387" ref="V16"/>
    <hyperlink r:id="rId388" ref="X16"/>
    <hyperlink r:id="rId389" ref="Y16"/>
    <hyperlink r:id="rId390" ref="Z16"/>
    <hyperlink r:id="rId391" ref="AA16"/>
    <hyperlink r:id="rId392" ref="AB16"/>
    <hyperlink r:id="rId393" ref="AC16"/>
    <hyperlink r:id="rId394" ref="AD16"/>
    <hyperlink r:id="rId395" ref="AE16"/>
    <hyperlink r:id="rId396" ref="AK16"/>
    <hyperlink r:id="rId397" ref="AL16"/>
    <hyperlink r:id="rId398" ref="AM16"/>
    <hyperlink r:id="rId399" ref="AP16"/>
    <hyperlink r:id="rId400" ref="AR16"/>
    <hyperlink r:id="rId401" ref="AS16"/>
    <hyperlink r:id="rId402" ref="AT16"/>
    <hyperlink r:id="rId403" ref="AU16"/>
    <hyperlink r:id="rId404" ref="AW16"/>
    <hyperlink r:id="rId405" ref="AX16"/>
    <hyperlink r:id="rId406" ref="AY16"/>
    <hyperlink r:id="rId407" ref="BB16"/>
    <hyperlink r:id="rId408" ref="BC16"/>
    <hyperlink r:id="rId409" ref="BE16"/>
    <hyperlink r:id="rId410" ref="BI16"/>
    <hyperlink r:id="rId411" ref="BO16"/>
    <hyperlink r:id="rId412" ref="BT16"/>
    <hyperlink r:id="rId413" ref="BY16"/>
    <hyperlink r:id="rId414" ref="L18"/>
    <hyperlink r:id="rId415" ref="V18"/>
    <hyperlink r:id="rId416" ref="Y18"/>
    <hyperlink r:id="rId417" ref="AW18"/>
    <hyperlink r:id="rId418" ref="BC18"/>
    <hyperlink r:id="rId419" ref="BM18"/>
    <hyperlink r:id="rId420" ref="BZ18"/>
    <hyperlink r:id="rId421" ref="L20"/>
    <hyperlink r:id="rId422" ref="N20"/>
    <hyperlink r:id="rId423" ref="X20"/>
    <hyperlink r:id="rId424" ref="AA20"/>
    <hyperlink r:id="rId425" ref="AF20"/>
    <hyperlink r:id="rId426" ref="AH20"/>
    <hyperlink r:id="rId427" ref="AX20"/>
    <hyperlink r:id="rId428" ref="BS20"/>
    <hyperlink r:id="rId429" ref="BU20"/>
    <hyperlink r:id="rId430" ref="BR21"/>
    <hyperlink r:id="rId431" ref="AH22"/>
    <hyperlink r:id="rId432" ref="AW22"/>
    <hyperlink r:id="rId433" ref="BB22"/>
    <hyperlink r:id="rId434" ref="BS22"/>
    <hyperlink r:id="rId435" ref="AL23"/>
    <hyperlink r:id="rId436" ref="BM24"/>
    <hyperlink r:id="rId437" ref="CC25"/>
    <hyperlink r:id="rId438" ref="H26"/>
    <hyperlink r:id="rId439" ref="I26"/>
    <hyperlink r:id="rId440" ref="K26"/>
    <hyperlink r:id="rId441" ref="AQ26"/>
    <hyperlink r:id="rId442" ref="AW26"/>
    <hyperlink r:id="rId443" ref="BY26"/>
    <hyperlink r:id="rId444" ref="CE26"/>
    <hyperlink r:id="rId445" ref="AC27"/>
    <hyperlink r:id="rId446" ref="BS27"/>
    <hyperlink r:id="rId447" ref="AK28"/>
    <hyperlink r:id="rId448" ref="BL28"/>
    <hyperlink r:id="rId449" ref="BM28"/>
    <hyperlink r:id="rId450" ref="CE28"/>
    <hyperlink r:id="rId451" ref="V29"/>
    <hyperlink r:id="rId452" ref="BE29"/>
    <hyperlink r:id="rId453" ref="BM29"/>
    <hyperlink r:id="rId454" ref="BW29"/>
    <hyperlink r:id="rId455" ref="AG30"/>
    <hyperlink r:id="rId456" ref="CI30"/>
    <hyperlink r:id="rId457" ref="N31"/>
    <hyperlink r:id="rId458" ref="U31"/>
    <hyperlink r:id="rId459" ref="V31"/>
    <hyperlink r:id="rId460" ref="AC31"/>
    <hyperlink r:id="rId461" ref="AG31"/>
    <hyperlink r:id="rId462" ref="U32"/>
    <hyperlink r:id="rId463" ref="AC32"/>
    <hyperlink r:id="rId464" ref="AP32"/>
    <hyperlink r:id="rId465" ref="BC32"/>
    <hyperlink r:id="rId466" ref="AK33"/>
    <hyperlink r:id="rId467" ref="N36"/>
    <hyperlink r:id="rId468" ref="Q36"/>
    <hyperlink r:id="rId469" ref="U36"/>
    <hyperlink r:id="rId470" ref="V36"/>
    <hyperlink r:id="rId471" ref="AH36"/>
    <hyperlink r:id="rId472" ref="BD36"/>
    <hyperlink r:id="rId473" ref="BE36"/>
    <hyperlink r:id="rId474" ref="BU36"/>
    <hyperlink r:id="rId475" ref="CI36"/>
    <hyperlink r:id="rId476" ref="BL37"/>
    <hyperlink r:id="rId477" ref="AR38"/>
    <hyperlink r:id="rId478" ref="BO38"/>
    <hyperlink r:id="rId479" ref="BQ38"/>
    <hyperlink r:id="rId480" ref="BZ38"/>
    <hyperlink r:id="rId481" ref="I39"/>
    <hyperlink r:id="rId482" ref="L39"/>
    <hyperlink r:id="rId483" ref="N39"/>
    <hyperlink r:id="rId484" ref="V39"/>
    <hyperlink r:id="rId485" ref="AE39"/>
    <hyperlink r:id="rId486" ref="AG39"/>
    <hyperlink r:id="rId487" ref="AM39"/>
    <hyperlink r:id="rId488" ref="BE39"/>
    <hyperlink r:id="rId489" ref="BL39"/>
    <hyperlink r:id="rId490" ref="BW39"/>
    <hyperlink r:id="rId491" ref="N40"/>
    <hyperlink r:id="rId492" ref="S40"/>
    <hyperlink r:id="rId493" ref="AA40"/>
    <hyperlink r:id="rId494" ref="AH40"/>
    <hyperlink r:id="rId495" ref="CI41"/>
    <hyperlink r:id="rId496" ref="X43"/>
    <hyperlink r:id="rId497" ref="AB43"/>
    <hyperlink r:id="rId498" ref="AG43"/>
    <hyperlink r:id="rId499" ref="AE44"/>
    <hyperlink r:id="rId500" ref="AM44"/>
    <hyperlink r:id="rId501" ref="AN44"/>
    <hyperlink r:id="rId502" ref="BG44"/>
    <hyperlink r:id="rId503" ref="BW46"/>
    <hyperlink r:id="rId504" ref="BE54"/>
    <hyperlink r:id="rId505" ref="Z61"/>
    <hyperlink r:id="rId506" ref="L63"/>
    <hyperlink r:id="rId507" ref="BU63"/>
  </hyperlinks>
  <drawing r:id="rId508"/>
  <legacyDrawing r:id="rId509"/>
  <tableParts count="9">
    <tablePart r:id="rId519"/>
    <tablePart r:id="rId520"/>
    <tablePart r:id="rId521"/>
    <tablePart r:id="rId522"/>
    <tablePart r:id="rId523"/>
    <tablePart r:id="rId524"/>
    <tablePart r:id="rId525"/>
    <tablePart r:id="rId526"/>
    <tablePart r:id="rId52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5.63"/>
    <col customWidth="1" min="2" max="2" width="6.13"/>
    <col customWidth="1" min="3" max="5" width="3.63"/>
    <col customWidth="1" min="6" max="7" width="5.13"/>
    <col customWidth="1" min="8" max="34" width="7.63"/>
  </cols>
  <sheetData>
    <row r="1">
      <c r="A1" s="22" t="s">
        <v>33</v>
      </c>
      <c r="C1" s="23" t="s">
        <v>10</v>
      </c>
      <c r="F1" s="23" t="s">
        <v>34</v>
      </c>
      <c r="H1" s="24" t="s">
        <v>35</v>
      </c>
      <c r="K1" s="25" t="s">
        <v>36</v>
      </c>
      <c r="O1" s="26" t="s">
        <v>37</v>
      </c>
      <c r="R1" s="27" t="s">
        <v>38</v>
      </c>
      <c r="U1" s="28" t="s">
        <v>39</v>
      </c>
      <c r="X1" s="29" t="s">
        <v>40</v>
      </c>
      <c r="AA1" s="30" t="s">
        <v>41</v>
      </c>
      <c r="AD1" s="31" t="s">
        <v>42</v>
      </c>
      <c r="AG1" s="32"/>
      <c r="AH1" s="32"/>
    </row>
    <row r="2" ht="38.25" customHeight="1">
      <c r="A2" s="33" t="s">
        <v>43</v>
      </c>
      <c r="B2" s="34" t="s">
        <v>44</v>
      </c>
      <c r="C2" s="34" t="s">
        <v>45</v>
      </c>
      <c r="F2" s="34" t="s">
        <v>46</v>
      </c>
      <c r="H2" s="36" t="s">
        <v>47</v>
      </c>
      <c r="I2" s="38"/>
      <c r="J2" s="38"/>
      <c r="K2" s="39" t="s">
        <v>48</v>
      </c>
      <c r="L2" s="41" t="s">
        <v>50</v>
      </c>
      <c r="M2" s="39" t="s">
        <v>51</v>
      </c>
      <c r="N2" s="39" t="s">
        <v>53</v>
      </c>
      <c r="O2" s="43" t="s">
        <v>54</v>
      </c>
      <c r="P2" s="43" t="s">
        <v>56</v>
      </c>
      <c r="Q2" s="43"/>
      <c r="R2" s="45" t="s">
        <v>57</v>
      </c>
      <c r="S2" s="45" t="s">
        <v>59</v>
      </c>
      <c r="T2" s="45"/>
      <c r="U2" s="46" t="s">
        <v>60</v>
      </c>
      <c r="V2" s="46" t="s">
        <v>61</v>
      </c>
      <c r="W2" s="46" t="s">
        <v>62</v>
      </c>
      <c r="X2" s="48" t="s">
        <v>63</v>
      </c>
      <c r="Y2" s="48"/>
      <c r="Z2" s="48"/>
      <c r="AA2" s="49" t="s">
        <v>64</v>
      </c>
      <c r="AB2" s="50" t="s">
        <v>66</v>
      </c>
      <c r="AC2" s="49"/>
      <c r="AD2" s="51" t="s">
        <v>68</v>
      </c>
      <c r="AE2" s="51"/>
      <c r="AF2" s="51"/>
      <c r="AG2" s="52"/>
      <c r="AH2" s="52"/>
    </row>
    <row r="3">
      <c r="A3" s="53" t="s">
        <v>73</v>
      </c>
      <c r="B3" s="54" t="s">
        <v>74</v>
      </c>
      <c r="C3" s="56" t="s">
        <v>76</v>
      </c>
      <c r="D3" s="57" t="s">
        <v>76</v>
      </c>
      <c r="E3" s="58" t="s">
        <v>76</v>
      </c>
      <c r="F3" s="59" t="s">
        <v>79</v>
      </c>
      <c r="G3" s="54" t="s">
        <v>81</v>
      </c>
      <c r="H3" s="60"/>
      <c r="I3" s="61"/>
      <c r="J3" s="62"/>
      <c r="K3" s="60"/>
      <c r="L3" s="63" t="s">
        <v>83</v>
      </c>
      <c r="M3" s="63" t="s">
        <v>85</v>
      </c>
      <c r="N3" s="63" t="s">
        <v>86</v>
      </c>
      <c r="O3" s="60"/>
      <c r="P3" s="60"/>
      <c r="Q3" s="60"/>
      <c r="R3" s="66" t="s">
        <v>87</v>
      </c>
      <c r="S3" s="60"/>
      <c r="T3" s="60"/>
      <c r="U3" s="67" t="s">
        <v>97</v>
      </c>
      <c r="V3" s="68"/>
      <c r="W3" s="68"/>
      <c r="X3" s="69" t="s">
        <v>105</v>
      </c>
      <c r="Y3" s="68"/>
      <c r="Z3" s="68"/>
      <c r="AA3" s="70" t="s">
        <v>114</v>
      </c>
      <c r="AB3" s="68"/>
      <c r="AC3" s="60"/>
      <c r="AD3" s="68"/>
      <c r="AE3" s="68"/>
      <c r="AF3" s="68"/>
      <c r="AG3" s="71"/>
      <c r="AH3" s="71"/>
    </row>
    <row r="4">
      <c r="A4" s="73" t="s">
        <v>123</v>
      </c>
      <c r="B4" s="54" t="s">
        <v>125</v>
      </c>
      <c r="C4" s="56" t="s">
        <v>76</v>
      </c>
      <c r="D4" s="57" t="s">
        <v>76</v>
      </c>
      <c r="E4" s="58" t="s">
        <v>127</v>
      </c>
      <c r="F4" s="59" t="s">
        <v>79</v>
      </c>
      <c r="G4" s="54" t="s">
        <v>79</v>
      </c>
      <c r="H4" s="74"/>
      <c r="I4" s="75"/>
      <c r="J4" s="76"/>
      <c r="K4" s="77"/>
      <c r="L4" s="60"/>
      <c r="M4" s="60"/>
      <c r="N4" s="60"/>
      <c r="O4" s="60"/>
      <c r="P4" s="60"/>
      <c r="Q4" s="60"/>
      <c r="R4" s="69" t="s">
        <v>133</v>
      </c>
      <c r="S4" s="74"/>
      <c r="T4" s="74"/>
      <c r="U4" s="80" t="s">
        <v>142</v>
      </c>
      <c r="V4" s="68"/>
      <c r="W4" s="68"/>
      <c r="X4" s="80" t="s">
        <v>149</v>
      </c>
      <c r="Y4" s="68"/>
      <c r="Z4" s="68"/>
      <c r="AA4" s="88" t="s">
        <v>152</v>
      </c>
      <c r="AB4" s="68"/>
      <c r="AC4" s="60"/>
      <c r="AD4" s="68"/>
      <c r="AE4" s="68"/>
      <c r="AF4" s="68"/>
      <c r="AG4" s="71"/>
      <c r="AH4" s="71"/>
    </row>
    <row r="5">
      <c r="A5" s="73" t="s">
        <v>96</v>
      </c>
      <c r="B5" s="54" t="s">
        <v>154</v>
      </c>
      <c r="C5" s="56" t="s">
        <v>155</v>
      </c>
      <c r="D5" s="57" t="s">
        <v>76</v>
      </c>
      <c r="E5" s="58" t="s">
        <v>155</v>
      </c>
      <c r="F5" s="59" t="s">
        <v>156</v>
      </c>
      <c r="G5" s="54" t="s">
        <v>157</v>
      </c>
      <c r="H5" s="60"/>
      <c r="I5" s="61"/>
      <c r="J5" s="62"/>
      <c r="K5" s="60"/>
      <c r="L5" s="60"/>
      <c r="M5" s="60"/>
      <c r="N5" s="60"/>
      <c r="O5" s="60"/>
      <c r="P5" s="60"/>
      <c r="Q5" s="60"/>
      <c r="R5" s="67" t="s">
        <v>158</v>
      </c>
      <c r="S5" s="92" t="s">
        <v>159</v>
      </c>
      <c r="T5" s="60"/>
      <c r="U5" s="70" t="s">
        <v>160</v>
      </c>
      <c r="V5" s="68"/>
      <c r="W5" s="68"/>
      <c r="X5" s="70" t="s">
        <v>163</v>
      </c>
      <c r="Y5" s="68"/>
      <c r="Z5" s="68"/>
      <c r="AA5" s="95" t="s">
        <v>167</v>
      </c>
      <c r="AB5" s="68"/>
      <c r="AC5" s="60"/>
      <c r="AD5" s="68"/>
      <c r="AE5" s="68"/>
      <c r="AF5" s="68"/>
      <c r="AG5" s="71"/>
      <c r="AH5" s="71"/>
    </row>
    <row r="6">
      <c r="A6" s="73" t="s">
        <v>170</v>
      </c>
      <c r="B6" s="54" t="s">
        <v>154</v>
      </c>
      <c r="C6" s="56" t="s">
        <v>76</v>
      </c>
      <c r="D6" s="57" t="s">
        <v>76</v>
      </c>
      <c r="E6" s="58" t="s">
        <v>155</v>
      </c>
      <c r="F6" s="59" t="s">
        <v>156</v>
      </c>
      <c r="G6" s="54" t="s">
        <v>156</v>
      </c>
      <c r="H6" s="60"/>
      <c r="I6" s="61"/>
      <c r="J6" s="76"/>
      <c r="K6" s="60"/>
      <c r="L6" s="60"/>
      <c r="M6" s="60"/>
      <c r="N6" s="60"/>
      <c r="O6" s="60"/>
      <c r="P6" s="60"/>
      <c r="Q6" s="60"/>
      <c r="R6" s="68"/>
      <c r="S6" s="60"/>
      <c r="T6" s="60"/>
      <c r="U6" s="101" t="s">
        <v>174</v>
      </c>
      <c r="V6" s="61"/>
      <c r="W6" s="104" t="s">
        <v>176</v>
      </c>
      <c r="X6" s="60"/>
      <c r="Y6" s="68"/>
      <c r="Z6" s="68"/>
      <c r="AA6" s="60"/>
      <c r="AB6" s="68"/>
      <c r="AC6" s="60"/>
      <c r="AD6" s="70" t="s">
        <v>179</v>
      </c>
      <c r="AE6" s="68"/>
      <c r="AF6" s="68"/>
      <c r="AG6" s="71"/>
      <c r="AH6" s="71"/>
    </row>
    <row r="7">
      <c r="A7" s="73" t="s">
        <v>65</v>
      </c>
      <c r="B7" s="54" t="s">
        <v>154</v>
      </c>
      <c r="C7" s="56" t="s">
        <v>76</v>
      </c>
      <c r="D7" s="57" t="s">
        <v>127</v>
      </c>
      <c r="E7" s="58" t="s">
        <v>76</v>
      </c>
      <c r="F7" s="59" t="s">
        <v>79</v>
      </c>
      <c r="G7" s="54" t="s">
        <v>79</v>
      </c>
      <c r="H7" s="60"/>
      <c r="I7" s="61"/>
      <c r="J7" s="62"/>
      <c r="K7" s="67" t="s">
        <v>181</v>
      </c>
      <c r="L7" s="66" t="s">
        <v>184</v>
      </c>
      <c r="M7" s="60"/>
      <c r="N7" s="60"/>
      <c r="O7" s="60"/>
      <c r="P7" s="67" t="s">
        <v>185</v>
      </c>
      <c r="Q7" s="60"/>
      <c r="R7" s="68"/>
      <c r="S7" s="60"/>
      <c r="T7" s="60"/>
      <c r="U7" s="68"/>
      <c r="V7" s="68"/>
      <c r="W7" s="68"/>
      <c r="X7" s="69" t="s">
        <v>105</v>
      </c>
      <c r="Y7" s="68"/>
      <c r="Z7" s="68"/>
      <c r="AA7" s="60"/>
      <c r="AB7" s="68"/>
      <c r="AC7" s="60"/>
      <c r="AD7" s="68"/>
      <c r="AE7" s="68"/>
      <c r="AF7" s="68"/>
      <c r="AG7" s="71"/>
      <c r="AH7" s="71"/>
    </row>
    <row r="8">
      <c r="A8" s="73" t="s">
        <v>82</v>
      </c>
      <c r="B8" s="54" t="s">
        <v>191</v>
      </c>
      <c r="C8" s="56" t="s">
        <v>127</v>
      </c>
      <c r="D8" s="57" t="s">
        <v>76</v>
      </c>
      <c r="E8" s="58" t="s">
        <v>155</v>
      </c>
      <c r="F8" s="59" t="s">
        <v>156</v>
      </c>
      <c r="G8" s="54" t="s">
        <v>156</v>
      </c>
      <c r="H8" s="60"/>
      <c r="I8" s="61"/>
      <c r="J8" s="62"/>
      <c r="K8" s="74"/>
      <c r="L8" s="74"/>
      <c r="M8" s="74"/>
      <c r="N8" s="63"/>
      <c r="O8" s="121"/>
      <c r="P8" s="60"/>
      <c r="Q8" s="60"/>
      <c r="R8" s="68"/>
      <c r="S8" s="67" t="s">
        <v>194</v>
      </c>
      <c r="T8" s="60"/>
      <c r="U8" s="68"/>
      <c r="V8" s="68"/>
      <c r="W8" s="68"/>
      <c r="X8" s="60"/>
      <c r="Y8" s="68"/>
      <c r="Z8" s="68"/>
      <c r="AA8" s="69" t="s">
        <v>202</v>
      </c>
      <c r="AB8" s="69" t="s">
        <v>206</v>
      </c>
      <c r="AC8" s="60"/>
      <c r="AD8" s="68"/>
      <c r="AE8" s="68"/>
      <c r="AF8" s="68"/>
      <c r="AG8" s="71"/>
      <c r="AH8" s="71"/>
    </row>
    <row r="9">
      <c r="A9" s="130" t="s">
        <v>209</v>
      </c>
      <c r="B9" s="54" t="s">
        <v>211</v>
      </c>
      <c r="C9" s="56" t="s">
        <v>155</v>
      </c>
      <c r="D9" s="57" t="s">
        <v>155</v>
      </c>
      <c r="E9" s="58" t="s">
        <v>155</v>
      </c>
      <c r="F9" s="59" t="s">
        <v>79</v>
      </c>
      <c r="G9" s="54" t="s">
        <v>79</v>
      </c>
      <c r="H9" s="74"/>
      <c r="I9" s="75"/>
      <c r="J9" s="76"/>
      <c r="K9" s="77"/>
      <c r="L9" s="77"/>
      <c r="M9" s="77"/>
      <c r="N9" s="134"/>
      <c r="O9" s="134"/>
      <c r="P9" s="134"/>
      <c r="Q9" s="134"/>
      <c r="R9" s="70" t="s">
        <v>217</v>
      </c>
      <c r="S9" s="74"/>
      <c r="T9" s="74"/>
      <c r="U9" s="142" t="s">
        <v>222</v>
      </c>
      <c r="V9" s="68"/>
      <c r="W9" s="68"/>
      <c r="X9" s="142" t="s">
        <v>229</v>
      </c>
      <c r="Y9" s="145"/>
      <c r="Z9" s="145"/>
      <c r="AA9" s="142" t="s">
        <v>239</v>
      </c>
      <c r="AB9" s="145"/>
      <c r="AC9" s="134"/>
      <c r="AD9" s="68"/>
      <c r="AE9" s="145"/>
      <c r="AF9" s="145"/>
      <c r="AG9" s="149"/>
      <c r="AH9" s="149"/>
    </row>
    <row r="10">
      <c r="A10" s="73" t="s">
        <v>246</v>
      </c>
      <c r="B10" s="54" t="s">
        <v>211</v>
      </c>
      <c r="C10" s="56" t="s">
        <v>156</v>
      </c>
      <c r="D10" s="57" t="s">
        <v>155</v>
      </c>
      <c r="E10" s="58" t="s">
        <v>155</v>
      </c>
      <c r="F10" s="59" t="s">
        <v>156</v>
      </c>
      <c r="G10" s="54" t="s">
        <v>156</v>
      </c>
      <c r="H10" s="60"/>
      <c r="I10" s="61"/>
      <c r="J10" s="62"/>
      <c r="K10" s="69" t="s">
        <v>249</v>
      </c>
      <c r="L10" s="69" t="s">
        <v>257</v>
      </c>
      <c r="M10" s="69" t="s">
        <v>265</v>
      </c>
      <c r="N10" s="60"/>
      <c r="O10" s="60"/>
      <c r="P10" s="60"/>
      <c r="Q10" s="60"/>
      <c r="R10" s="68"/>
      <c r="S10" s="60"/>
      <c r="T10" s="60"/>
      <c r="U10" s="68"/>
      <c r="V10" s="68"/>
      <c r="W10" s="68"/>
      <c r="X10" s="60"/>
      <c r="Y10" s="68"/>
      <c r="Z10" s="68"/>
      <c r="AA10" s="155"/>
      <c r="AB10" s="68"/>
      <c r="AC10" s="60"/>
      <c r="AD10" s="68"/>
      <c r="AE10" s="68"/>
      <c r="AF10" s="68"/>
      <c r="AG10" s="71"/>
      <c r="AH10" s="71"/>
    </row>
    <row r="11">
      <c r="A11" s="158" t="s">
        <v>274</v>
      </c>
      <c r="B11" s="54" t="s">
        <v>81</v>
      </c>
      <c r="C11" s="56" t="s">
        <v>155</v>
      </c>
      <c r="D11" s="57" t="s">
        <v>76</v>
      </c>
      <c r="E11" s="58" t="s">
        <v>155</v>
      </c>
      <c r="F11" s="59" t="s">
        <v>127</v>
      </c>
      <c r="G11" s="54" t="s">
        <v>127</v>
      </c>
      <c r="H11" s="159"/>
      <c r="I11" s="61"/>
      <c r="J11" s="62"/>
      <c r="K11" s="60"/>
      <c r="L11" s="60"/>
      <c r="M11" s="60"/>
      <c r="N11" s="60"/>
      <c r="O11" s="60"/>
      <c r="P11" s="60"/>
      <c r="Q11" s="60"/>
      <c r="R11" s="161"/>
      <c r="S11" s="159"/>
      <c r="T11" s="159"/>
      <c r="U11" s="163"/>
      <c r="V11" s="61"/>
      <c r="W11" s="67" t="s">
        <v>281</v>
      </c>
      <c r="X11" s="60"/>
      <c r="Y11" s="68"/>
      <c r="Z11" s="68"/>
      <c r="AA11" s="60"/>
      <c r="AB11" s="68"/>
      <c r="AC11" s="60"/>
      <c r="AD11" s="67" t="s">
        <v>288</v>
      </c>
      <c r="AE11" s="68"/>
      <c r="AF11" s="68"/>
      <c r="AG11" s="71"/>
      <c r="AH11" s="71"/>
    </row>
    <row r="12">
      <c r="A12" s="73" t="s">
        <v>89</v>
      </c>
      <c r="B12" s="54" t="s">
        <v>81</v>
      </c>
      <c r="C12" s="56" t="s">
        <v>155</v>
      </c>
      <c r="D12" s="57" t="s">
        <v>155</v>
      </c>
      <c r="E12" s="58" t="s">
        <v>76</v>
      </c>
      <c r="F12" s="59" t="s">
        <v>127</v>
      </c>
      <c r="G12" s="54" t="s">
        <v>127</v>
      </c>
      <c r="H12" s="60"/>
      <c r="I12" s="61"/>
      <c r="J12" s="62"/>
      <c r="K12" s="60"/>
      <c r="L12" s="70" t="s">
        <v>293</v>
      </c>
      <c r="M12" s="60"/>
      <c r="N12" s="60"/>
      <c r="O12" s="60"/>
      <c r="P12" s="60"/>
      <c r="Q12" s="60"/>
      <c r="R12" s="68"/>
      <c r="S12" s="60"/>
      <c r="T12" s="60"/>
      <c r="U12" s="68"/>
      <c r="V12" s="68"/>
      <c r="W12" s="68"/>
      <c r="X12" s="60"/>
      <c r="Y12" s="68"/>
      <c r="Z12" s="68"/>
      <c r="AA12" s="66" t="s">
        <v>299</v>
      </c>
      <c r="AB12" s="68"/>
      <c r="AC12" s="60"/>
      <c r="AD12" s="68"/>
      <c r="AE12" s="68"/>
      <c r="AF12" s="68"/>
      <c r="AG12" s="71"/>
      <c r="AH12" s="71"/>
    </row>
    <row r="13">
      <c r="A13" s="158" t="s">
        <v>305</v>
      </c>
      <c r="B13" s="54" t="s">
        <v>306</v>
      </c>
      <c r="C13" s="56" t="s">
        <v>76</v>
      </c>
      <c r="D13" s="57" t="s">
        <v>155</v>
      </c>
      <c r="E13" s="58" t="s">
        <v>155</v>
      </c>
      <c r="F13" s="59" t="s">
        <v>76</v>
      </c>
      <c r="G13" s="54" t="s">
        <v>76</v>
      </c>
      <c r="H13" s="60"/>
      <c r="I13" s="61"/>
      <c r="J13" s="62"/>
      <c r="K13" s="60"/>
      <c r="L13" s="60"/>
      <c r="M13" s="60"/>
      <c r="N13" s="60"/>
      <c r="O13" s="60"/>
      <c r="P13" s="60"/>
      <c r="Q13" s="60"/>
      <c r="R13" s="68"/>
      <c r="S13" s="60"/>
      <c r="T13" s="60"/>
      <c r="U13" s="68"/>
      <c r="V13" s="61"/>
      <c r="W13" s="68"/>
      <c r="X13" s="60"/>
      <c r="Y13" s="68"/>
      <c r="Z13" s="68"/>
      <c r="AA13" s="60"/>
      <c r="AB13" s="68"/>
      <c r="AC13" s="60"/>
      <c r="AD13" s="179" t="s">
        <v>311</v>
      </c>
      <c r="AE13" s="68"/>
      <c r="AF13" s="68"/>
      <c r="AG13" s="71"/>
      <c r="AH13" s="71"/>
    </row>
    <row r="14">
      <c r="A14" s="130" t="s">
        <v>317</v>
      </c>
      <c r="B14" s="54" t="s">
        <v>306</v>
      </c>
      <c r="C14" s="56" t="s">
        <v>76</v>
      </c>
      <c r="D14" s="57" t="s">
        <v>155</v>
      </c>
      <c r="E14" s="58" t="s">
        <v>155</v>
      </c>
      <c r="F14" s="59" t="s">
        <v>76</v>
      </c>
      <c r="G14" s="54" t="s">
        <v>76</v>
      </c>
      <c r="H14" s="60"/>
      <c r="I14" s="61"/>
      <c r="J14" s="62"/>
      <c r="K14" s="60"/>
      <c r="L14" s="60"/>
      <c r="M14" s="60"/>
      <c r="N14" s="60"/>
      <c r="O14" s="60"/>
      <c r="P14" s="60"/>
      <c r="Q14" s="60"/>
      <c r="R14" s="68"/>
      <c r="S14" s="60"/>
      <c r="T14" s="60"/>
      <c r="U14" s="163"/>
      <c r="V14" s="68"/>
      <c r="W14" s="70" t="s">
        <v>320</v>
      </c>
      <c r="X14" s="60"/>
      <c r="Y14" s="68"/>
      <c r="Z14" s="68"/>
      <c r="AA14" s="60"/>
      <c r="AB14" s="68"/>
      <c r="AC14" s="60"/>
      <c r="AD14" s="68"/>
      <c r="AE14" s="68"/>
      <c r="AF14" s="68"/>
      <c r="AG14" s="71"/>
      <c r="AH14" s="71"/>
    </row>
    <row r="15">
      <c r="A15" s="73" t="s">
        <v>327</v>
      </c>
      <c r="B15" s="54" t="s">
        <v>157</v>
      </c>
      <c r="C15" s="56" t="s">
        <v>76</v>
      </c>
      <c r="D15" s="57" t="s">
        <v>155</v>
      </c>
      <c r="E15" s="58" t="s">
        <v>155</v>
      </c>
      <c r="F15" s="59" t="s">
        <v>76</v>
      </c>
      <c r="G15" s="54" t="s">
        <v>76</v>
      </c>
      <c r="H15" s="60"/>
      <c r="I15" s="61"/>
      <c r="J15" s="62"/>
      <c r="K15" s="60"/>
      <c r="L15" s="69" t="s">
        <v>257</v>
      </c>
      <c r="M15" s="60"/>
      <c r="N15" s="60"/>
      <c r="O15" s="60"/>
      <c r="P15" s="60"/>
      <c r="Q15" s="60"/>
      <c r="R15" s="68"/>
      <c r="S15" s="60"/>
      <c r="T15" s="60"/>
      <c r="U15" s="68"/>
      <c r="V15" s="68"/>
      <c r="W15" s="68"/>
      <c r="X15" s="60"/>
      <c r="Y15" s="68"/>
      <c r="Z15" s="68"/>
      <c r="AA15" s="60"/>
      <c r="AB15" s="68"/>
      <c r="AC15" s="60"/>
      <c r="AD15" s="68"/>
      <c r="AE15" s="68"/>
      <c r="AF15" s="68"/>
      <c r="AG15" s="71"/>
      <c r="AH15" s="71"/>
    </row>
    <row r="16">
      <c r="A16" s="73" t="s">
        <v>332</v>
      </c>
      <c r="B16" s="54" t="s">
        <v>79</v>
      </c>
      <c r="C16" s="56" t="s">
        <v>155</v>
      </c>
      <c r="D16" s="57" t="s">
        <v>155</v>
      </c>
      <c r="E16" s="58" t="s">
        <v>76</v>
      </c>
      <c r="F16" s="59" t="s">
        <v>76</v>
      </c>
      <c r="G16" s="54" t="s">
        <v>76</v>
      </c>
      <c r="H16" s="60"/>
      <c r="I16" s="61"/>
      <c r="J16" s="62"/>
      <c r="K16" s="74"/>
      <c r="L16" s="63"/>
      <c r="M16" s="63"/>
      <c r="N16" s="121"/>
      <c r="O16" s="60"/>
      <c r="P16" s="60"/>
      <c r="Q16" s="60"/>
      <c r="R16" s="68"/>
      <c r="S16" s="60"/>
      <c r="T16" s="60"/>
      <c r="U16" s="68"/>
      <c r="V16" s="61"/>
      <c r="W16" s="68"/>
      <c r="X16" s="60"/>
      <c r="Y16" s="68"/>
      <c r="Z16" s="68"/>
      <c r="AA16" s="60"/>
      <c r="AB16" s="68"/>
      <c r="AC16" s="60"/>
      <c r="AD16" s="66" t="s">
        <v>338</v>
      </c>
      <c r="AE16" s="68"/>
      <c r="AF16" s="68"/>
      <c r="AG16" s="71"/>
      <c r="AH16" s="71"/>
    </row>
    <row r="17">
      <c r="A17" s="73" t="s">
        <v>136</v>
      </c>
      <c r="B17" s="54" t="s">
        <v>79</v>
      </c>
      <c r="C17" s="56" t="s">
        <v>155</v>
      </c>
      <c r="D17" s="57" t="s">
        <v>155</v>
      </c>
      <c r="E17" s="58" t="s">
        <v>76</v>
      </c>
      <c r="F17" s="59" t="s">
        <v>76</v>
      </c>
      <c r="G17" s="54" t="s">
        <v>76</v>
      </c>
      <c r="H17" s="60"/>
      <c r="I17" s="61"/>
      <c r="J17" s="62"/>
      <c r="K17" s="60"/>
      <c r="L17" s="60"/>
      <c r="M17" s="60"/>
      <c r="N17" s="60"/>
      <c r="O17" s="60"/>
      <c r="P17" s="60"/>
      <c r="Q17" s="60"/>
      <c r="R17" s="68"/>
      <c r="S17" s="60"/>
      <c r="T17" s="60"/>
      <c r="U17" s="163"/>
      <c r="V17" s="61"/>
      <c r="W17" s="70" t="s">
        <v>343</v>
      </c>
      <c r="X17" s="60"/>
      <c r="Y17" s="68"/>
      <c r="Z17" s="68"/>
      <c r="AA17" s="60"/>
      <c r="AB17" s="68"/>
      <c r="AC17" s="60"/>
      <c r="AD17" s="68"/>
      <c r="AE17" s="68"/>
      <c r="AF17" s="68"/>
      <c r="AG17" s="71"/>
      <c r="AH17" s="71"/>
    </row>
    <row r="18">
      <c r="A18" s="73" t="s">
        <v>347</v>
      </c>
      <c r="B18" s="54" t="s">
        <v>79</v>
      </c>
      <c r="C18" s="56" t="s">
        <v>76</v>
      </c>
      <c r="D18" s="57" t="s">
        <v>155</v>
      </c>
      <c r="E18" s="58" t="s">
        <v>155</v>
      </c>
      <c r="F18" s="59" t="s">
        <v>76</v>
      </c>
      <c r="G18" s="54" t="s">
        <v>76</v>
      </c>
      <c r="H18" s="60"/>
      <c r="I18" s="61"/>
      <c r="J18" s="62"/>
      <c r="K18" s="60"/>
      <c r="L18" s="60"/>
      <c r="M18" s="60"/>
      <c r="N18" s="60"/>
      <c r="O18" s="60"/>
      <c r="P18" s="60"/>
      <c r="Q18" s="60"/>
      <c r="R18" s="68"/>
      <c r="S18" s="69" t="s">
        <v>348</v>
      </c>
      <c r="T18" s="60"/>
      <c r="U18" s="68"/>
      <c r="V18" s="68"/>
      <c r="W18" s="68"/>
      <c r="X18" s="60"/>
      <c r="Y18" s="68"/>
      <c r="Z18" s="68"/>
      <c r="AA18" s="60"/>
      <c r="AB18" s="68"/>
      <c r="AC18" s="60"/>
      <c r="AD18" s="68"/>
      <c r="AE18" s="68"/>
      <c r="AF18" s="68"/>
      <c r="AG18" s="71"/>
      <c r="AH18" s="71"/>
    </row>
    <row r="19">
      <c r="A19" s="130" t="s">
        <v>132</v>
      </c>
      <c r="B19" s="54" t="s">
        <v>156</v>
      </c>
      <c r="C19" s="56" t="s">
        <v>155</v>
      </c>
      <c r="D19" s="57" t="s">
        <v>155</v>
      </c>
      <c r="E19" s="58" t="s">
        <v>155</v>
      </c>
      <c r="F19" s="59" t="s">
        <v>156</v>
      </c>
      <c r="G19" s="54" t="s">
        <v>156</v>
      </c>
      <c r="H19" s="74"/>
      <c r="I19" s="76"/>
      <c r="J19" s="76"/>
      <c r="K19" s="77"/>
      <c r="L19" s="77"/>
      <c r="M19" s="77"/>
      <c r="N19" s="77"/>
      <c r="O19" s="77"/>
      <c r="P19" s="77"/>
      <c r="Q19" s="77"/>
      <c r="R19" s="70" t="s">
        <v>359</v>
      </c>
      <c r="S19" s="74"/>
      <c r="T19" s="74"/>
      <c r="U19" s="142" t="s">
        <v>362</v>
      </c>
      <c r="V19" s="60"/>
      <c r="W19" s="60"/>
      <c r="X19" s="142" t="s">
        <v>365</v>
      </c>
      <c r="Y19" s="77"/>
      <c r="Z19" s="77"/>
      <c r="AA19" s="134"/>
      <c r="AB19" s="77"/>
      <c r="AC19" s="77"/>
      <c r="AD19" s="63"/>
      <c r="AE19" s="200"/>
      <c r="AF19" s="200"/>
      <c r="AG19" s="201"/>
      <c r="AH19" s="202"/>
    </row>
    <row r="20">
      <c r="A20" s="158" t="s">
        <v>373</v>
      </c>
      <c r="B20" s="54" t="s">
        <v>156</v>
      </c>
      <c r="C20" s="56" t="s">
        <v>155</v>
      </c>
      <c r="D20" s="57" t="s">
        <v>155</v>
      </c>
      <c r="E20" s="58" t="s">
        <v>155</v>
      </c>
      <c r="F20" s="59" t="s">
        <v>76</v>
      </c>
      <c r="G20" s="54" t="s">
        <v>76</v>
      </c>
      <c r="H20" s="60"/>
      <c r="I20" s="61"/>
      <c r="J20" s="62"/>
      <c r="K20" s="60"/>
      <c r="L20" s="74"/>
      <c r="M20" s="74"/>
      <c r="N20" s="74"/>
      <c r="O20" s="74"/>
      <c r="P20" s="60"/>
      <c r="Q20" s="60"/>
      <c r="R20" s="68"/>
      <c r="S20" s="60"/>
      <c r="T20" s="60"/>
      <c r="U20" s="68"/>
      <c r="V20" s="61"/>
      <c r="W20" s="68"/>
      <c r="X20" s="60"/>
      <c r="Y20" s="68"/>
      <c r="Z20" s="68"/>
      <c r="AA20" s="60"/>
      <c r="AB20" s="95"/>
      <c r="AC20" s="60"/>
      <c r="AD20" s="104" t="s">
        <v>384</v>
      </c>
      <c r="AE20" s="68"/>
      <c r="AF20" s="68"/>
      <c r="AG20" s="71"/>
      <c r="AH20" s="71"/>
    </row>
    <row r="21">
      <c r="A21" s="158" t="s">
        <v>399</v>
      </c>
      <c r="B21" s="54" t="s">
        <v>156</v>
      </c>
      <c r="C21" s="56" t="s">
        <v>155</v>
      </c>
      <c r="D21" s="57" t="s">
        <v>155</v>
      </c>
      <c r="E21" s="58" t="s">
        <v>155</v>
      </c>
      <c r="F21" s="59" t="s">
        <v>76</v>
      </c>
      <c r="G21" s="54" t="s">
        <v>76</v>
      </c>
      <c r="H21" s="60"/>
      <c r="I21" s="61"/>
      <c r="J21" s="76"/>
      <c r="K21" s="74"/>
      <c r="L21" s="63"/>
      <c r="M21" s="63"/>
      <c r="N21" s="121"/>
      <c r="O21" s="60"/>
      <c r="P21" s="60"/>
      <c r="Q21" s="60"/>
      <c r="R21" s="68"/>
      <c r="S21" s="60"/>
      <c r="T21" s="60"/>
      <c r="U21" s="163"/>
      <c r="V21" s="61"/>
      <c r="W21" s="66" t="s">
        <v>409</v>
      </c>
      <c r="X21" s="60"/>
      <c r="Y21" s="68"/>
      <c r="Z21" s="68"/>
      <c r="AA21" s="60"/>
      <c r="AB21" s="68"/>
      <c r="AC21" s="60"/>
      <c r="AD21" s="68"/>
      <c r="AE21" s="68"/>
      <c r="AF21" s="68"/>
      <c r="AG21" s="71"/>
      <c r="AH21" s="71"/>
    </row>
    <row r="22">
      <c r="A22" s="73" t="s">
        <v>116</v>
      </c>
      <c r="B22" s="54" t="s">
        <v>156</v>
      </c>
      <c r="C22" s="56" t="s">
        <v>76</v>
      </c>
      <c r="D22" s="57" t="s">
        <v>155</v>
      </c>
      <c r="E22" s="58" t="s">
        <v>155</v>
      </c>
      <c r="F22" s="59" t="s">
        <v>76</v>
      </c>
      <c r="G22" s="54" t="s">
        <v>76</v>
      </c>
      <c r="H22" s="60"/>
      <c r="I22" s="61"/>
      <c r="J22" s="62"/>
      <c r="K22" s="60"/>
      <c r="L22" s="60"/>
      <c r="M22" s="60"/>
      <c r="N22" s="60"/>
      <c r="O22" s="60"/>
      <c r="P22" s="60"/>
      <c r="Q22" s="60"/>
      <c r="R22" s="68"/>
      <c r="S22" s="60"/>
      <c r="T22" s="60"/>
      <c r="U22" s="68"/>
      <c r="V22" s="61"/>
      <c r="W22" s="68"/>
      <c r="X22" s="60"/>
      <c r="Y22" s="68"/>
      <c r="Z22" s="68"/>
      <c r="AA22" s="60"/>
      <c r="AB22" s="68"/>
      <c r="AC22" s="60"/>
      <c r="AD22" s="104" t="s">
        <v>443</v>
      </c>
      <c r="AE22" s="68"/>
      <c r="AF22" s="68"/>
      <c r="AG22" s="71"/>
      <c r="AH22" s="71"/>
    </row>
    <row r="23">
      <c r="A23" s="73" t="s">
        <v>71</v>
      </c>
      <c r="B23" s="54" t="s">
        <v>127</v>
      </c>
      <c r="C23" s="56" t="s">
        <v>155</v>
      </c>
      <c r="D23" s="57" t="s">
        <v>155</v>
      </c>
      <c r="E23" s="58" t="s">
        <v>155</v>
      </c>
      <c r="F23" s="59" t="s">
        <v>76</v>
      </c>
      <c r="G23" s="54" t="s">
        <v>76</v>
      </c>
      <c r="H23" s="60"/>
      <c r="I23" s="61"/>
      <c r="J23" s="62"/>
      <c r="K23" s="60"/>
      <c r="L23" s="60"/>
      <c r="M23" s="60"/>
      <c r="N23" s="60"/>
      <c r="O23" s="60"/>
      <c r="P23" s="60"/>
      <c r="Q23" s="60"/>
      <c r="R23" s="68"/>
      <c r="S23" s="66" t="s">
        <v>458</v>
      </c>
      <c r="T23" s="60"/>
      <c r="U23" s="68"/>
      <c r="V23" s="68"/>
      <c r="W23" s="68"/>
      <c r="X23" s="60"/>
      <c r="Y23" s="68"/>
      <c r="Z23" s="68"/>
      <c r="AA23" s="60"/>
      <c r="AB23" s="68"/>
      <c r="AC23" s="60"/>
      <c r="AD23" s="68"/>
      <c r="AE23" s="68"/>
      <c r="AF23" s="68"/>
      <c r="AG23" s="71"/>
      <c r="AH23" s="71"/>
    </row>
    <row r="24">
      <c r="A24" s="73" t="s">
        <v>108</v>
      </c>
      <c r="B24" s="54" t="s">
        <v>127</v>
      </c>
      <c r="C24" s="56" t="s">
        <v>155</v>
      </c>
      <c r="D24" s="57" t="s">
        <v>155</v>
      </c>
      <c r="E24" s="58" t="s">
        <v>76</v>
      </c>
      <c r="F24" s="59" t="s">
        <v>76</v>
      </c>
      <c r="G24" s="54" t="s">
        <v>76</v>
      </c>
      <c r="H24" s="159"/>
      <c r="I24" s="61"/>
      <c r="J24" s="62"/>
      <c r="K24" s="60"/>
      <c r="L24" s="60"/>
      <c r="M24" s="60"/>
      <c r="N24" s="60"/>
      <c r="O24" s="60"/>
      <c r="P24" s="60"/>
      <c r="Q24" s="60"/>
      <c r="R24" s="161"/>
      <c r="S24" s="159"/>
      <c r="T24" s="159"/>
      <c r="U24" s="216"/>
      <c r="V24" s="61"/>
      <c r="W24" s="101" t="s">
        <v>482</v>
      </c>
      <c r="X24" s="60"/>
      <c r="Y24" s="68"/>
      <c r="Z24" s="68"/>
      <c r="AA24" s="60"/>
      <c r="AB24" s="68"/>
      <c r="AC24" s="60"/>
      <c r="AD24" s="68"/>
      <c r="AE24" s="68"/>
      <c r="AF24" s="68"/>
      <c r="AG24" s="71"/>
      <c r="AH24" s="71"/>
    </row>
    <row r="25">
      <c r="A25" s="73" t="s">
        <v>490</v>
      </c>
      <c r="B25" s="54" t="s">
        <v>76</v>
      </c>
      <c r="C25" s="56" t="s">
        <v>155</v>
      </c>
      <c r="D25" s="57" t="s">
        <v>155</v>
      </c>
      <c r="E25" s="58" t="s">
        <v>155</v>
      </c>
      <c r="F25" s="59" t="s">
        <v>76</v>
      </c>
      <c r="G25" s="54" t="s">
        <v>76</v>
      </c>
      <c r="H25" s="60"/>
      <c r="I25" s="61"/>
      <c r="J25" s="62"/>
      <c r="K25" s="60"/>
      <c r="L25" s="60"/>
      <c r="M25" s="60"/>
      <c r="N25" s="60"/>
      <c r="O25" s="60"/>
      <c r="P25" s="60"/>
      <c r="Q25" s="60"/>
      <c r="R25" s="68"/>
      <c r="S25" s="60"/>
      <c r="T25" s="60"/>
      <c r="U25" s="68"/>
      <c r="V25" s="69" t="s">
        <v>497</v>
      </c>
      <c r="W25" s="68"/>
      <c r="X25" s="60"/>
      <c r="Y25" s="68"/>
      <c r="Z25" s="68"/>
      <c r="AA25" s="60"/>
      <c r="AB25" s="68"/>
      <c r="AC25" s="60"/>
      <c r="AD25" s="68"/>
      <c r="AE25" s="68"/>
      <c r="AF25" s="68"/>
      <c r="AG25" s="71"/>
      <c r="AH25" s="71"/>
    </row>
    <row r="26">
      <c r="A26" s="226" t="s">
        <v>506</v>
      </c>
      <c r="B26" s="54" t="s">
        <v>76</v>
      </c>
      <c r="C26" s="56" t="s">
        <v>76</v>
      </c>
      <c r="D26" s="57" t="s">
        <v>155</v>
      </c>
      <c r="E26" s="58" t="s">
        <v>155</v>
      </c>
      <c r="F26" s="59" t="s">
        <v>76</v>
      </c>
      <c r="G26" s="54" t="s">
        <v>76</v>
      </c>
      <c r="H26" s="60"/>
      <c r="I26" s="61"/>
      <c r="J26" s="62"/>
      <c r="K26" s="60"/>
      <c r="L26" s="60"/>
      <c r="M26" s="60"/>
      <c r="N26" s="60"/>
      <c r="O26" s="60"/>
      <c r="P26" s="66" t="s">
        <v>512</v>
      </c>
      <c r="Q26" s="60"/>
      <c r="R26" s="68"/>
      <c r="S26" s="60"/>
      <c r="T26" s="60"/>
      <c r="U26" s="68"/>
      <c r="V26" s="68"/>
      <c r="W26" s="68"/>
      <c r="X26" s="60"/>
      <c r="Y26" s="68"/>
      <c r="Z26" s="68"/>
      <c r="AA26" s="60"/>
      <c r="AB26" s="68"/>
      <c r="AC26" s="60"/>
      <c r="AD26" s="68"/>
      <c r="AE26" s="68"/>
      <c r="AF26" s="68"/>
      <c r="AG26" s="71"/>
      <c r="AH26" s="71"/>
    </row>
    <row r="27">
      <c r="A27" s="227" t="s">
        <v>518</v>
      </c>
      <c r="B27" s="54" t="s">
        <v>76</v>
      </c>
      <c r="C27" s="56" t="s">
        <v>155</v>
      </c>
      <c r="D27" s="57" t="s">
        <v>155</v>
      </c>
      <c r="E27" s="58" t="s">
        <v>76</v>
      </c>
      <c r="F27" s="59" t="s">
        <v>76</v>
      </c>
      <c r="G27" s="54" t="s">
        <v>76</v>
      </c>
      <c r="H27" s="60"/>
      <c r="I27" s="61"/>
      <c r="J27" s="62"/>
      <c r="K27" s="60"/>
      <c r="L27" s="70" t="s">
        <v>520</v>
      </c>
      <c r="M27" s="60"/>
      <c r="N27" s="60"/>
      <c r="O27" s="60"/>
      <c r="P27" s="60"/>
      <c r="Q27" s="60"/>
      <c r="R27" s="68"/>
      <c r="S27" s="60"/>
      <c r="T27" s="60"/>
      <c r="U27" s="68"/>
      <c r="V27" s="68"/>
      <c r="W27" s="68"/>
      <c r="X27" s="60"/>
      <c r="Y27" s="68"/>
      <c r="Z27" s="68"/>
      <c r="AA27" s="60"/>
      <c r="AB27" s="68"/>
      <c r="AC27" s="60"/>
      <c r="AD27" s="68"/>
      <c r="AE27" s="68"/>
      <c r="AF27" s="68"/>
      <c r="AG27" s="71"/>
      <c r="AH27" s="71"/>
    </row>
    <row r="28">
      <c r="A28" s="130" t="s">
        <v>528</v>
      </c>
      <c r="B28" s="54" t="s">
        <v>76</v>
      </c>
      <c r="C28" s="56" t="s">
        <v>155</v>
      </c>
      <c r="D28" s="57" t="s">
        <v>155</v>
      </c>
      <c r="E28" s="58" t="s">
        <v>155</v>
      </c>
      <c r="F28" s="59" t="s">
        <v>76</v>
      </c>
      <c r="G28" s="54" t="s">
        <v>76</v>
      </c>
      <c r="H28" s="60"/>
      <c r="I28" s="61"/>
      <c r="J28" s="62"/>
      <c r="K28" s="60"/>
      <c r="L28" s="60"/>
      <c r="M28" s="60"/>
      <c r="N28" s="60"/>
      <c r="O28" s="74"/>
      <c r="P28" s="60"/>
      <c r="Q28" s="60"/>
      <c r="R28" s="68"/>
      <c r="S28" s="60"/>
      <c r="T28" s="60"/>
      <c r="U28" s="68"/>
      <c r="V28" s="68"/>
      <c r="W28" s="68"/>
      <c r="X28" s="60"/>
      <c r="Y28" s="68"/>
      <c r="Z28" s="68"/>
      <c r="AA28" s="60"/>
      <c r="AB28" s="68"/>
      <c r="AC28" s="60"/>
      <c r="AD28" s="68"/>
      <c r="AE28" s="68"/>
      <c r="AF28" s="68"/>
      <c r="AG28" s="71"/>
      <c r="AH28" s="71"/>
    </row>
    <row r="29">
      <c r="A29" s="73"/>
      <c r="B29" s="54" t="s">
        <v>155</v>
      </c>
      <c r="C29" s="56" t="s">
        <v>155</v>
      </c>
      <c r="D29" s="57" t="s">
        <v>155</v>
      </c>
      <c r="E29" s="58" t="s">
        <v>155</v>
      </c>
      <c r="F29" s="59" t="s">
        <v>155</v>
      </c>
      <c r="G29" s="54" t="s">
        <v>155</v>
      </c>
      <c r="H29" s="60"/>
      <c r="I29" s="61"/>
      <c r="J29" s="62"/>
      <c r="K29" s="60"/>
      <c r="L29" s="60"/>
      <c r="M29" s="60"/>
      <c r="N29" s="60"/>
      <c r="O29" s="60"/>
      <c r="P29" s="60"/>
      <c r="Q29" s="60"/>
      <c r="R29" s="68"/>
      <c r="S29" s="60"/>
      <c r="T29" s="60"/>
      <c r="U29" s="68"/>
      <c r="V29" s="68"/>
      <c r="W29" s="68"/>
      <c r="X29" s="60"/>
      <c r="Y29" s="68"/>
      <c r="Z29" s="68"/>
      <c r="AA29" s="60"/>
      <c r="AB29" s="68"/>
      <c r="AC29" s="60"/>
      <c r="AD29" s="68"/>
      <c r="AE29" s="68"/>
      <c r="AF29" s="68"/>
      <c r="AG29" s="71"/>
      <c r="AH29" s="71"/>
    </row>
    <row r="30">
      <c r="A30" s="73"/>
      <c r="B30" s="54" t="s">
        <v>155</v>
      </c>
      <c r="C30" s="56" t="s">
        <v>155</v>
      </c>
      <c r="D30" s="57" t="s">
        <v>155</v>
      </c>
      <c r="E30" s="58" t="s">
        <v>155</v>
      </c>
      <c r="F30" s="59" t="s">
        <v>155</v>
      </c>
      <c r="G30" s="54" t="s">
        <v>155</v>
      </c>
      <c r="H30" s="60"/>
      <c r="I30" s="61"/>
      <c r="J30" s="62"/>
      <c r="K30" s="60"/>
      <c r="L30" s="60"/>
      <c r="M30" s="60"/>
      <c r="N30" s="60"/>
      <c r="O30" s="60"/>
      <c r="P30" s="60"/>
      <c r="Q30" s="60"/>
      <c r="R30" s="68"/>
      <c r="S30" s="60"/>
      <c r="T30" s="60"/>
      <c r="U30" s="68"/>
      <c r="V30" s="68"/>
      <c r="W30" s="68"/>
      <c r="X30" s="60"/>
      <c r="Y30" s="68"/>
      <c r="Z30" s="68"/>
      <c r="AA30" s="60"/>
      <c r="AB30" s="68"/>
      <c r="AC30" s="60"/>
      <c r="AD30" s="68"/>
      <c r="AE30" s="68"/>
      <c r="AF30" s="68"/>
      <c r="AG30" s="71"/>
      <c r="AH30" s="71"/>
    </row>
    <row r="31">
      <c r="A31" s="73"/>
      <c r="B31" s="54" t="s">
        <v>155</v>
      </c>
      <c r="C31" s="56" t="s">
        <v>155</v>
      </c>
      <c r="D31" s="57" t="s">
        <v>155</v>
      </c>
      <c r="E31" s="58" t="s">
        <v>155</v>
      </c>
      <c r="F31" s="59" t="s">
        <v>155</v>
      </c>
      <c r="G31" s="54" t="s">
        <v>155</v>
      </c>
      <c r="H31" s="60"/>
      <c r="I31" s="61"/>
      <c r="J31" s="62"/>
      <c r="K31" s="60"/>
      <c r="L31" s="60"/>
      <c r="M31" s="60"/>
      <c r="N31" s="60"/>
      <c r="O31" s="60"/>
      <c r="P31" s="60"/>
      <c r="Q31" s="60"/>
      <c r="R31" s="68"/>
      <c r="S31" s="60"/>
      <c r="T31" s="60"/>
      <c r="U31" s="68"/>
      <c r="V31" s="68"/>
      <c r="W31" s="68"/>
      <c r="X31" s="60"/>
      <c r="Y31" s="68"/>
      <c r="Z31" s="68"/>
      <c r="AA31" s="60"/>
      <c r="AB31" s="68"/>
      <c r="AC31" s="60"/>
      <c r="AD31" s="68"/>
      <c r="AE31" s="68"/>
      <c r="AF31" s="68"/>
      <c r="AG31" s="71"/>
      <c r="AH31" s="71"/>
    </row>
    <row r="32">
      <c r="A32" s="73"/>
      <c r="B32" s="54" t="s">
        <v>155</v>
      </c>
      <c r="C32" s="56" t="s">
        <v>155</v>
      </c>
      <c r="D32" s="57" t="s">
        <v>155</v>
      </c>
      <c r="E32" s="58" t="s">
        <v>155</v>
      </c>
      <c r="F32" s="59" t="s">
        <v>155</v>
      </c>
      <c r="G32" s="54" t="s">
        <v>155</v>
      </c>
      <c r="H32" s="60"/>
      <c r="I32" s="61"/>
      <c r="J32" s="62"/>
      <c r="K32" s="60"/>
      <c r="L32" s="60"/>
      <c r="M32" s="60"/>
      <c r="N32" s="60"/>
      <c r="O32" s="60"/>
      <c r="P32" s="60"/>
      <c r="Q32" s="60"/>
      <c r="R32" s="68"/>
      <c r="S32" s="60"/>
      <c r="T32" s="60"/>
      <c r="U32" s="68"/>
      <c r="V32" s="68"/>
      <c r="W32" s="68"/>
      <c r="X32" s="60"/>
      <c r="Y32" s="68"/>
      <c r="Z32" s="68"/>
      <c r="AA32" s="60"/>
      <c r="AB32" s="68"/>
      <c r="AC32" s="60"/>
      <c r="AD32" s="68"/>
      <c r="AE32" s="68"/>
      <c r="AF32" s="68"/>
      <c r="AG32" s="71"/>
      <c r="AH32" s="71"/>
    </row>
    <row r="33">
      <c r="A33" s="73"/>
      <c r="B33" s="54" t="s">
        <v>155</v>
      </c>
      <c r="C33" s="56" t="s">
        <v>155</v>
      </c>
      <c r="D33" s="57" t="s">
        <v>155</v>
      </c>
      <c r="E33" s="58" t="s">
        <v>155</v>
      </c>
      <c r="F33" s="59" t="s">
        <v>155</v>
      </c>
      <c r="G33" s="54" t="s">
        <v>155</v>
      </c>
      <c r="H33" s="60"/>
      <c r="I33" s="61"/>
      <c r="J33" s="62"/>
      <c r="K33" s="60"/>
      <c r="L33" s="60"/>
      <c r="M33" s="60"/>
      <c r="N33" s="60"/>
      <c r="O33" s="60"/>
      <c r="P33" s="60"/>
      <c r="Q33" s="60"/>
      <c r="R33" s="68"/>
      <c r="S33" s="60"/>
      <c r="T33" s="60"/>
      <c r="U33" s="68"/>
      <c r="V33" s="68"/>
      <c r="W33" s="68"/>
      <c r="X33" s="60"/>
      <c r="Y33" s="68"/>
      <c r="Z33" s="68"/>
      <c r="AA33" s="60"/>
      <c r="AB33" s="68"/>
      <c r="AC33" s="60"/>
      <c r="AD33" s="68"/>
      <c r="AE33" s="68"/>
      <c r="AF33" s="68"/>
      <c r="AG33" s="71"/>
      <c r="AH33" s="71"/>
    </row>
    <row r="34">
      <c r="A34" s="73"/>
      <c r="B34" s="54" t="s">
        <v>155</v>
      </c>
      <c r="C34" s="56" t="s">
        <v>155</v>
      </c>
      <c r="D34" s="57" t="s">
        <v>155</v>
      </c>
      <c r="E34" s="58" t="s">
        <v>155</v>
      </c>
      <c r="F34" s="59" t="s">
        <v>155</v>
      </c>
      <c r="G34" s="54" t="s">
        <v>155</v>
      </c>
      <c r="H34" s="60"/>
      <c r="I34" s="61"/>
      <c r="J34" s="62"/>
      <c r="K34" s="60"/>
      <c r="L34" s="60"/>
      <c r="M34" s="60"/>
      <c r="N34" s="60"/>
      <c r="O34" s="60"/>
      <c r="P34" s="60"/>
      <c r="Q34" s="60"/>
      <c r="R34" s="68"/>
      <c r="S34" s="60"/>
      <c r="T34" s="60"/>
      <c r="U34" s="68"/>
      <c r="V34" s="68"/>
      <c r="W34" s="68"/>
      <c r="X34" s="60"/>
      <c r="Y34" s="68"/>
      <c r="Z34" s="68"/>
      <c r="AA34" s="60"/>
      <c r="AB34" s="68"/>
      <c r="AC34" s="60"/>
      <c r="AD34" s="68"/>
      <c r="AE34" s="68"/>
      <c r="AF34" s="68"/>
      <c r="AG34" s="71"/>
      <c r="AH34" s="71"/>
    </row>
    <row r="35">
      <c r="A35" s="73"/>
      <c r="B35" s="54" t="s">
        <v>155</v>
      </c>
      <c r="C35" s="56" t="s">
        <v>155</v>
      </c>
      <c r="D35" s="57" t="s">
        <v>155</v>
      </c>
      <c r="E35" s="58" t="s">
        <v>155</v>
      </c>
      <c r="F35" s="59" t="s">
        <v>155</v>
      </c>
      <c r="G35" s="54" t="s">
        <v>155</v>
      </c>
      <c r="H35" s="60"/>
      <c r="I35" s="61"/>
      <c r="J35" s="62"/>
      <c r="K35" s="60"/>
      <c r="L35" s="60"/>
      <c r="M35" s="60"/>
      <c r="N35" s="60"/>
      <c r="O35" s="60"/>
      <c r="P35" s="60"/>
      <c r="Q35" s="60"/>
      <c r="R35" s="68"/>
      <c r="S35" s="60"/>
      <c r="T35" s="60"/>
      <c r="U35" s="68"/>
      <c r="V35" s="68"/>
      <c r="W35" s="68"/>
      <c r="X35" s="60"/>
      <c r="Y35" s="68"/>
      <c r="Z35" s="68"/>
      <c r="AA35" s="60"/>
      <c r="AB35" s="68"/>
      <c r="AC35" s="60"/>
      <c r="AD35" s="68"/>
      <c r="AE35" s="68"/>
      <c r="AF35" s="68"/>
      <c r="AG35" s="71"/>
      <c r="AH35" s="71"/>
    </row>
    <row r="36">
      <c r="A36" s="73"/>
      <c r="B36" s="54" t="s">
        <v>155</v>
      </c>
      <c r="C36" s="56" t="s">
        <v>155</v>
      </c>
      <c r="D36" s="57" t="s">
        <v>155</v>
      </c>
      <c r="E36" s="58" t="s">
        <v>155</v>
      </c>
      <c r="F36" s="59" t="s">
        <v>155</v>
      </c>
      <c r="G36" s="54" t="s">
        <v>155</v>
      </c>
      <c r="H36" s="60"/>
      <c r="I36" s="61"/>
      <c r="J36" s="62"/>
      <c r="K36" s="60"/>
      <c r="L36" s="60"/>
      <c r="M36" s="60"/>
      <c r="N36" s="60"/>
      <c r="O36" s="60"/>
      <c r="P36" s="60"/>
      <c r="Q36" s="60"/>
      <c r="R36" s="68"/>
      <c r="S36" s="60"/>
      <c r="T36" s="60"/>
      <c r="U36" s="68"/>
      <c r="V36" s="68"/>
      <c r="W36" s="68"/>
      <c r="X36" s="60"/>
      <c r="Y36" s="68"/>
      <c r="Z36" s="68"/>
      <c r="AA36" s="60"/>
      <c r="AB36" s="68"/>
      <c r="AC36" s="60"/>
      <c r="AD36" s="68"/>
      <c r="AE36" s="68"/>
      <c r="AF36" s="68"/>
      <c r="AG36" s="71"/>
      <c r="AH36" s="71"/>
    </row>
    <row r="37">
      <c r="A37" s="73"/>
      <c r="B37" s="54" t="s">
        <v>155</v>
      </c>
      <c r="C37" s="56" t="s">
        <v>155</v>
      </c>
      <c r="D37" s="57" t="s">
        <v>155</v>
      </c>
      <c r="E37" s="58" t="s">
        <v>155</v>
      </c>
      <c r="F37" s="59" t="s">
        <v>155</v>
      </c>
      <c r="G37" s="54" t="s">
        <v>155</v>
      </c>
      <c r="H37" s="60"/>
      <c r="I37" s="61"/>
      <c r="J37" s="62"/>
      <c r="K37" s="60"/>
      <c r="L37" s="60"/>
      <c r="M37" s="60"/>
      <c r="N37" s="60"/>
      <c r="O37" s="60"/>
      <c r="P37" s="60"/>
      <c r="Q37" s="60"/>
      <c r="R37" s="68"/>
      <c r="S37" s="60"/>
      <c r="T37" s="60"/>
      <c r="U37" s="68"/>
      <c r="V37" s="68"/>
      <c r="W37" s="68"/>
      <c r="X37" s="60"/>
      <c r="Y37" s="68"/>
      <c r="Z37" s="68"/>
      <c r="AA37" s="60"/>
      <c r="AB37" s="68"/>
      <c r="AC37" s="60"/>
      <c r="AD37" s="68"/>
      <c r="AE37" s="68"/>
      <c r="AF37" s="68"/>
      <c r="AG37" s="71"/>
      <c r="AH37" s="71"/>
    </row>
    <row r="38">
      <c r="A38" s="73"/>
      <c r="B38" s="54" t="s">
        <v>155</v>
      </c>
      <c r="C38" s="56" t="s">
        <v>155</v>
      </c>
      <c r="D38" s="57" t="s">
        <v>155</v>
      </c>
      <c r="E38" s="58" t="s">
        <v>155</v>
      </c>
      <c r="F38" s="59" t="s">
        <v>155</v>
      </c>
      <c r="G38" s="54" t="s">
        <v>155</v>
      </c>
      <c r="H38" s="60"/>
      <c r="I38" s="61"/>
      <c r="J38" s="62"/>
      <c r="K38" s="60"/>
      <c r="L38" s="60"/>
      <c r="M38" s="60"/>
      <c r="N38" s="60"/>
      <c r="O38" s="60"/>
      <c r="P38" s="60"/>
      <c r="Q38" s="60"/>
      <c r="R38" s="68"/>
      <c r="S38" s="60"/>
      <c r="T38" s="60"/>
      <c r="U38" s="68"/>
      <c r="V38" s="68"/>
      <c r="W38" s="68"/>
      <c r="X38" s="60"/>
      <c r="Y38" s="68"/>
      <c r="Z38" s="68"/>
      <c r="AA38" s="60"/>
      <c r="AB38" s="68"/>
      <c r="AC38" s="60"/>
      <c r="AD38" s="68"/>
      <c r="AE38" s="68"/>
      <c r="AF38" s="68"/>
      <c r="AG38" s="71"/>
      <c r="AH38" s="71"/>
    </row>
    <row r="39">
      <c r="A39" s="73"/>
      <c r="B39" s="54" t="s">
        <v>155</v>
      </c>
      <c r="C39" s="56" t="s">
        <v>155</v>
      </c>
      <c r="D39" s="57" t="s">
        <v>155</v>
      </c>
      <c r="E39" s="58" t="s">
        <v>155</v>
      </c>
      <c r="F39" s="59" t="s">
        <v>155</v>
      </c>
      <c r="G39" s="54" t="s">
        <v>155</v>
      </c>
      <c r="H39" s="60"/>
      <c r="I39" s="61"/>
      <c r="J39" s="62"/>
      <c r="K39" s="60"/>
      <c r="L39" s="60"/>
      <c r="M39" s="60"/>
      <c r="N39" s="60"/>
      <c r="O39" s="60"/>
      <c r="P39" s="60"/>
      <c r="Q39" s="60"/>
      <c r="R39" s="68"/>
      <c r="S39" s="60"/>
      <c r="T39" s="60"/>
      <c r="U39" s="68"/>
      <c r="V39" s="68"/>
      <c r="W39" s="68"/>
      <c r="X39" s="60"/>
      <c r="Y39" s="68"/>
      <c r="Z39" s="68"/>
      <c r="AA39" s="60"/>
      <c r="AB39" s="68"/>
      <c r="AC39" s="60"/>
      <c r="AD39" s="68"/>
      <c r="AE39" s="68"/>
      <c r="AF39" s="68"/>
      <c r="AG39" s="71"/>
      <c r="AH39" s="71"/>
    </row>
    <row r="40">
      <c r="A40" s="73"/>
      <c r="B40" s="54" t="s">
        <v>155</v>
      </c>
      <c r="C40" s="56" t="s">
        <v>155</v>
      </c>
      <c r="D40" s="57" t="s">
        <v>155</v>
      </c>
      <c r="E40" s="58" t="s">
        <v>155</v>
      </c>
      <c r="F40" s="59" t="s">
        <v>155</v>
      </c>
      <c r="G40" s="54" t="s">
        <v>155</v>
      </c>
      <c r="H40" s="60"/>
      <c r="I40" s="61"/>
      <c r="J40" s="62"/>
      <c r="K40" s="60"/>
      <c r="L40" s="60"/>
      <c r="M40" s="60"/>
      <c r="N40" s="60"/>
      <c r="O40" s="60"/>
      <c r="P40" s="60"/>
      <c r="Q40" s="60"/>
      <c r="R40" s="68"/>
      <c r="S40" s="60"/>
      <c r="T40" s="60"/>
      <c r="U40" s="68"/>
      <c r="V40" s="68"/>
      <c r="W40" s="68"/>
      <c r="X40" s="60"/>
      <c r="Y40" s="68"/>
      <c r="Z40" s="68"/>
      <c r="AA40" s="60"/>
      <c r="AB40" s="68"/>
      <c r="AC40" s="60"/>
      <c r="AD40" s="68"/>
      <c r="AE40" s="68"/>
      <c r="AF40" s="68"/>
      <c r="AG40" s="71"/>
      <c r="AH40" s="71"/>
    </row>
    <row r="41">
      <c r="A41" s="73"/>
      <c r="B41" s="54" t="s">
        <v>155</v>
      </c>
      <c r="C41" s="56" t="s">
        <v>155</v>
      </c>
      <c r="D41" s="57" t="s">
        <v>155</v>
      </c>
      <c r="E41" s="58" t="s">
        <v>155</v>
      </c>
      <c r="F41" s="59" t="s">
        <v>155</v>
      </c>
      <c r="G41" s="54" t="s">
        <v>155</v>
      </c>
      <c r="H41" s="60"/>
      <c r="I41" s="61"/>
      <c r="J41" s="62"/>
      <c r="K41" s="60"/>
      <c r="L41" s="60"/>
      <c r="M41" s="60"/>
      <c r="N41" s="60"/>
      <c r="O41" s="60"/>
      <c r="P41" s="60"/>
      <c r="Q41" s="60"/>
      <c r="R41" s="68"/>
      <c r="S41" s="60"/>
      <c r="T41" s="60"/>
      <c r="U41" s="68"/>
      <c r="V41" s="68"/>
      <c r="W41" s="68"/>
      <c r="X41" s="60"/>
      <c r="Y41" s="68"/>
      <c r="Z41" s="68"/>
      <c r="AA41" s="60"/>
      <c r="AB41" s="68"/>
      <c r="AC41" s="60"/>
      <c r="AD41" s="68"/>
      <c r="AE41" s="68"/>
      <c r="AF41" s="68"/>
      <c r="AG41" s="71"/>
      <c r="AH41" s="71"/>
    </row>
    <row r="42">
      <c r="A42" s="73"/>
      <c r="B42" s="54" t="s">
        <v>155</v>
      </c>
      <c r="C42" s="56" t="s">
        <v>155</v>
      </c>
      <c r="D42" s="57" t="s">
        <v>155</v>
      </c>
      <c r="E42" s="58" t="s">
        <v>155</v>
      </c>
      <c r="F42" s="59" t="s">
        <v>155</v>
      </c>
      <c r="G42" s="54" t="s">
        <v>155</v>
      </c>
      <c r="H42" s="60"/>
      <c r="I42" s="61"/>
      <c r="J42" s="62"/>
      <c r="K42" s="60"/>
      <c r="L42" s="60"/>
      <c r="M42" s="60"/>
      <c r="N42" s="60"/>
      <c r="O42" s="60"/>
      <c r="P42" s="60"/>
      <c r="Q42" s="60"/>
      <c r="R42" s="68"/>
      <c r="S42" s="60"/>
      <c r="T42" s="60"/>
      <c r="U42" s="68"/>
      <c r="V42" s="68"/>
      <c r="W42" s="68"/>
      <c r="X42" s="60"/>
      <c r="Y42" s="68"/>
      <c r="Z42" s="68"/>
      <c r="AA42" s="60"/>
      <c r="AB42" s="68"/>
      <c r="AC42" s="60"/>
      <c r="AD42" s="68"/>
      <c r="AE42" s="68"/>
      <c r="AF42" s="68"/>
      <c r="AG42" s="71"/>
      <c r="AH42" s="71"/>
    </row>
    <row r="43">
      <c r="A43" s="73"/>
      <c r="B43" s="54" t="s">
        <v>155</v>
      </c>
      <c r="C43" s="56" t="s">
        <v>155</v>
      </c>
      <c r="D43" s="57" t="s">
        <v>155</v>
      </c>
      <c r="E43" s="58" t="s">
        <v>155</v>
      </c>
      <c r="F43" s="59" t="s">
        <v>155</v>
      </c>
      <c r="G43" s="54" t="s">
        <v>155</v>
      </c>
      <c r="H43" s="60"/>
      <c r="I43" s="61"/>
      <c r="J43" s="62"/>
      <c r="K43" s="60"/>
      <c r="L43" s="60"/>
      <c r="M43" s="60"/>
      <c r="N43" s="60"/>
      <c r="O43" s="60"/>
      <c r="P43" s="60"/>
      <c r="Q43" s="60"/>
      <c r="R43" s="68"/>
      <c r="S43" s="60"/>
      <c r="T43" s="60"/>
      <c r="U43" s="68"/>
      <c r="V43" s="68"/>
      <c r="W43" s="68"/>
      <c r="X43" s="60"/>
      <c r="Y43" s="68"/>
      <c r="Z43" s="68"/>
      <c r="AA43" s="60"/>
      <c r="AB43" s="68"/>
      <c r="AC43" s="60"/>
      <c r="AD43" s="68"/>
      <c r="AE43" s="68"/>
      <c r="AF43" s="68"/>
      <c r="AG43" s="71"/>
      <c r="AH43" s="71"/>
    </row>
    <row r="44">
      <c r="A44" s="73"/>
      <c r="B44" s="54" t="s">
        <v>155</v>
      </c>
      <c r="C44" s="56" t="s">
        <v>155</v>
      </c>
      <c r="D44" s="57" t="s">
        <v>155</v>
      </c>
      <c r="E44" s="58" t="s">
        <v>155</v>
      </c>
      <c r="F44" s="59" t="s">
        <v>155</v>
      </c>
      <c r="G44" s="54" t="s">
        <v>155</v>
      </c>
      <c r="H44" s="60"/>
      <c r="I44" s="61"/>
      <c r="J44" s="62"/>
      <c r="K44" s="60"/>
      <c r="L44" s="60"/>
      <c r="M44" s="60"/>
      <c r="N44" s="60"/>
      <c r="O44" s="60"/>
      <c r="P44" s="60"/>
      <c r="Q44" s="60"/>
      <c r="R44" s="68"/>
      <c r="S44" s="60"/>
      <c r="T44" s="60"/>
      <c r="U44" s="68"/>
      <c r="V44" s="68"/>
      <c r="W44" s="68"/>
      <c r="X44" s="60"/>
      <c r="Y44" s="68"/>
      <c r="Z44" s="68"/>
      <c r="AA44" s="60"/>
      <c r="AB44" s="68"/>
      <c r="AC44" s="60"/>
      <c r="AD44" s="68"/>
      <c r="AE44" s="68"/>
      <c r="AF44" s="68"/>
      <c r="AG44" s="71"/>
      <c r="AH44" s="71"/>
    </row>
    <row r="45">
      <c r="A45" s="73"/>
      <c r="B45" s="54" t="s">
        <v>155</v>
      </c>
      <c r="C45" s="56" t="s">
        <v>155</v>
      </c>
      <c r="D45" s="57" t="s">
        <v>155</v>
      </c>
      <c r="E45" s="58" t="s">
        <v>155</v>
      </c>
      <c r="F45" s="59" t="s">
        <v>155</v>
      </c>
      <c r="G45" s="54" t="s">
        <v>155</v>
      </c>
      <c r="H45" s="60"/>
      <c r="I45" s="61"/>
      <c r="J45" s="62"/>
      <c r="K45" s="60"/>
      <c r="L45" s="60"/>
      <c r="M45" s="60"/>
      <c r="N45" s="60"/>
      <c r="O45" s="60"/>
      <c r="P45" s="60"/>
      <c r="Q45" s="60"/>
      <c r="R45" s="68"/>
      <c r="S45" s="60"/>
      <c r="T45" s="60"/>
      <c r="U45" s="68"/>
      <c r="V45" s="68"/>
      <c r="W45" s="68"/>
      <c r="X45" s="60"/>
      <c r="Y45" s="68"/>
      <c r="Z45" s="68"/>
      <c r="AA45" s="60"/>
      <c r="AB45" s="68"/>
      <c r="AC45" s="60"/>
      <c r="AD45" s="68"/>
      <c r="AE45" s="68"/>
      <c r="AF45" s="68"/>
      <c r="AG45" s="71"/>
      <c r="AH45" s="71"/>
    </row>
    <row r="46">
      <c r="A46" s="73"/>
      <c r="B46" s="54" t="s">
        <v>155</v>
      </c>
      <c r="C46" s="56" t="s">
        <v>155</v>
      </c>
      <c r="D46" s="57" t="s">
        <v>155</v>
      </c>
      <c r="E46" s="58" t="s">
        <v>155</v>
      </c>
      <c r="F46" s="59" t="s">
        <v>155</v>
      </c>
      <c r="G46" s="54" t="s">
        <v>155</v>
      </c>
      <c r="H46" s="60"/>
      <c r="I46" s="61"/>
      <c r="J46" s="62"/>
      <c r="K46" s="60"/>
      <c r="L46" s="60"/>
      <c r="M46" s="60"/>
      <c r="N46" s="60"/>
      <c r="O46" s="60"/>
      <c r="P46" s="60"/>
      <c r="Q46" s="60"/>
      <c r="R46" s="68"/>
      <c r="S46" s="60"/>
      <c r="T46" s="60"/>
      <c r="U46" s="68"/>
      <c r="V46" s="68"/>
      <c r="W46" s="68"/>
      <c r="X46" s="60"/>
      <c r="Y46" s="68"/>
      <c r="Z46" s="68"/>
      <c r="AA46" s="60"/>
      <c r="AB46" s="68"/>
      <c r="AC46" s="60"/>
      <c r="AD46" s="68"/>
      <c r="AE46" s="68"/>
      <c r="AF46" s="68"/>
      <c r="AG46" s="71"/>
      <c r="AH46" s="71"/>
    </row>
    <row r="47">
      <c r="A47" s="73"/>
      <c r="B47" s="54" t="s">
        <v>155</v>
      </c>
      <c r="C47" s="56" t="s">
        <v>155</v>
      </c>
      <c r="D47" s="57" t="s">
        <v>155</v>
      </c>
      <c r="E47" s="58" t="s">
        <v>155</v>
      </c>
      <c r="F47" s="59" t="s">
        <v>155</v>
      </c>
      <c r="G47" s="54" t="s">
        <v>155</v>
      </c>
      <c r="H47" s="60"/>
      <c r="I47" s="61"/>
      <c r="J47" s="62"/>
      <c r="K47" s="60"/>
      <c r="L47" s="60"/>
      <c r="M47" s="60"/>
      <c r="N47" s="60"/>
      <c r="O47" s="60"/>
      <c r="P47" s="60"/>
      <c r="Q47" s="60"/>
      <c r="R47" s="68"/>
      <c r="S47" s="60"/>
      <c r="T47" s="60"/>
      <c r="U47" s="68"/>
      <c r="V47" s="68"/>
      <c r="W47" s="68"/>
      <c r="X47" s="60"/>
      <c r="Y47" s="68"/>
      <c r="Z47" s="68"/>
      <c r="AA47" s="60"/>
      <c r="AB47" s="68"/>
      <c r="AC47" s="60"/>
      <c r="AD47" s="68"/>
      <c r="AE47" s="68"/>
      <c r="AF47" s="68"/>
      <c r="AG47" s="71"/>
      <c r="AH47" s="71"/>
    </row>
    <row r="48">
      <c r="A48" s="73"/>
      <c r="B48" s="54" t="s">
        <v>155</v>
      </c>
      <c r="C48" s="56" t="s">
        <v>155</v>
      </c>
      <c r="D48" s="57" t="s">
        <v>155</v>
      </c>
      <c r="E48" s="58" t="s">
        <v>155</v>
      </c>
      <c r="F48" s="59" t="s">
        <v>155</v>
      </c>
      <c r="G48" s="54" t="s">
        <v>155</v>
      </c>
      <c r="H48" s="60"/>
      <c r="I48" s="61"/>
      <c r="J48" s="62"/>
      <c r="K48" s="60"/>
      <c r="L48" s="60"/>
      <c r="M48" s="60"/>
      <c r="N48" s="60"/>
      <c r="O48" s="60"/>
      <c r="P48" s="60"/>
      <c r="Q48" s="60"/>
      <c r="R48" s="68"/>
      <c r="S48" s="60"/>
      <c r="T48" s="60"/>
      <c r="U48" s="68"/>
      <c r="V48" s="68"/>
      <c r="W48" s="68"/>
      <c r="X48" s="60"/>
      <c r="Y48" s="68"/>
      <c r="Z48" s="68"/>
      <c r="AA48" s="60"/>
      <c r="AB48" s="68"/>
      <c r="AC48" s="60"/>
      <c r="AD48" s="68"/>
      <c r="AE48" s="68"/>
      <c r="AF48" s="68"/>
      <c r="AG48" s="71"/>
      <c r="AH48" s="71"/>
    </row>
    <row r="49">
      <c r="A49" s="73"/>
      <c r="B49" s="54" t="s">
        <v>155</v>
      </c>
      <c r="C49" s="56" t="s">
        <v>155</v>
      </c>
      <c r="D49" s="57" t="s">
        <v>155</v>
      </c>
      <c r="E49" s="58" t="s">
        <v>155</v>
      </c>
      <c r="F49" s="59" t="s">
        <v>155</v>
      </c>
      <c r="G49" s="54" t="s">
        <v>155</v>
      </c>
      <c r="H49" s="60"/>
      <c r="I49" s="61"/>
      <c r="J49" s="62"/>
      <c r="K49" s="60"/>
      <c r="L49" s="60"/>
      <c r="M49" s="60"/>
      <c r="N49" s="60"/>
      <c r="O49" s="60"/>
      <c r="P49" s="60"/>
      <c r="Q49" s="60"/>
      <c r="R49" s="68"/>
      <c r="S49" s="60"/>
      <c r="T49" s="60"/>
      <c r="U49" s="68"/>
      <c r="V49" s="68"/>
      <c r="W49" s="68"/>
      <c r="X49" s="60"/>
      <c r="Y49" s="68"/>
      <c r="Z49" s="68"/>
      <c r="AA49" s="60"/>
      <c r="AB49" s="68"/>
      <c r="AC49" s="60"/>
      <c r="AD49" s="68"/>
      <c r="AE49" s="68"/>
      <c r="AF49" s="68"/>
      <c r="AG49" s="71"/>
      <c r="AH49" s="71"/>
    </row>
    <row r="50">
      <c r="A50" s="73"/>
      <c r="B50" s="54" t="s">
        <v>155</v>
      </c>
      <c r="C50" s="56" t="s">
        <v>155</v>
      </c>
      <c r="D50" s="57" t="s">
        <v>155</v>
      </c>
      <c r="E50" s="58" t="s">
        <v>155</v>
      </c>
      <c r="F50" s="59" t="s">
        <v>155</v>
      </c>
      <c r="G50" s="54" t="s">
        <v>155</v>
      </c>
      <c r="H50" s="60"/>
      <c r="I50" s="61"/>
      <c r="J50" s="62"/>
      <c r="K50" s="60"/>
      <c r="L50" s="60"/>
      <c r="M50" s="60"/>
      <c r="N50" s="60"/>
      <c r="O50" s="60"/>
      <c r="P50" s="60"/>
      <c r="Q50" s="60"/>
      <c r="R50" s="68"/>
      <c r="S50" s="60"/>
      <c r="T50" s="60"/>
      <c r="U50" s="68"/>
      <c r="V50" s="68"/>
      <c r="W50" s="68"/>
      <c r="X50" s="60"/>
      <c r="Y50" s="68"/>
      <c r="Z50" s="68"/>
      <c r="AA50" s="60"/>
      <c r="AB50" s="68"/>
      <c r="AC50" s="60"/>
      <c r="AD50" s="68"/>
      <c r="AE50" s="68"/>
      <c r="AF50" s="68"/>
      <c r="AG50" s="71"/>
      <c r="AH50" s="71"/>
    </row>
    <row r="51">
      <c r="A51" s="73"/>
      <c r="B51" s="54" t="s">
        <v>155</v>
      </c>
      <c r="C51" s="56" t="s">
        <v>155</v>
      </c>
      <c r="D51" s="57" t="s">
        <v>155</v>
      </c>
      <c r="E51" s="58" t="s">
        <v>155</v>
      </c>
      <c r="F51" s="59" t="s">
        <v>155</v>
      </c>
      <c r="G51" s="54" t="s">
        <v>155</v>
      </c>
      <c r="H51" s="68"/>
      <c r="I51" s="61"/>
      <c r="J51" s="61"/>
      <c r="K51" s="68"/>
      <c r="L51" s="68"/>
      <c r="M51" s="68"/>
      <c r="N51" s="68"/>
      <c r="O51" s="68"/>
      <c r="P51" s="68"/>
      <c r="Q51" s="68"/>
      <c r="R51" s="68"/>
      <c r="S51" s="60"/>
      <c r="T51" s="68"/>
      <c r="U51" s="68"/>
      <c r="V51" s="68"/>
      <c r="W51" s="68"/>
      <c r="X51" s="68"/>
      <c r="Y51" s="68"/>
      <c r="Z51" s="68"/>
      <c r="AA51" s="68"/>
      <c r="AB51" s="68"/>
      <c r="AC51" s="68"/>
      <c r="AD51" s="68"/>
      <c r="AE51" s="68"/>
      <c r="AF51" s="68"/>
      <c r="AG51" s="71"/>
      <c r="AH51" s="71"/>
    </row>
    <row r="52">
      <c r="A52" s="73"/>
      <c r="B52" s="54"/>
      <c r="C52" s="56"/>
      <c r="D52" s="57"/>
      <c r="E52" s="58"/>
      <c r="F52" s="59"/>
      <c r="G52" s="54"/>
      <c r="H52" s="68"/>
      <c r="I52" s="61"/>
      <c r="J52" s="61"/>
      <c r="K52" s="68"/>
      <c r="L52" s="68"/>
      <c r="M52" s="68"/>
      <c r="N52" s="68"/>
      <c r="O52" s="68"/>
      <c r="P52" s="68"/>
      <c r="Q52" s="68"/>
      <c r="R52" s="68"/>
      <c r="S52" s="60"/>
      <c r="T52" s="68"/>
      <c r="U52" s="68"/>
      <c r="V52" s="68"/>
      <c r="W52" s="68"/>
      <c r="X52" s="68"/>
      <c r="Y52" s="68"/>
      <c r="Z52" s="68"/>
      <c r="AA52" s="68"/>
      <c r="AB52" s="68"/>
      <c r="AC52" s="68"/>
      <c r="AD52" s="68"/>
      <c r="AE52" s="68"/>
      <c r="AF52" s="68"/>
      <c r="AG52" s="71"/>
      <c r="AH52" s="71"/>
    </row>
    <row r="53">
      <c r="A53" s="73"/>
      <c r="B53" s="54"/>
      <c r="C53" s="56"/>
      <c r="D53" s="57"/>
      <c r="E53" s="58"/>
      <c r="F53" s="59"/>
      <c r="G53" s="54"/>
      <c r="H53" s="68"/>
      <c r="I53" s="61"/>
      <c r="J53" s="61"/>
      <c r="K53" s="68"/>
      <c r="L53" s="68"/>
      <c r="M53" s="68"/>
      <c r="N53" s="68"/>
      <c r="O53" s="68"/>
      <c r="P53" s="68"/>
      <c r="Q53" s="68"/>
      <c r="R53" s="68"/>
      <c r="S53" s="60"/>
      <c r="T53" s="68"/>
      <c r="U53" s="68"/>
      <c r="V53" s="68"/>
      <c r="W53" s="68"/>
      <c r="X53" s="68"/>
      <c r="Y53" s="68"/>
      <c r="Z53" s="68"/>
      <c r="AA53" s="68"/>
      <c r="AB53" s="68"/>
      <c r="AC53" s="68"/>
      <c r="AD53" s="68"/>
      <c r="AE53" s="68"/>
      <c r="AF53" s="68"/>
      <c r="AG53" s="71"/>
      <c r="AH53" s="71"/>
    </row>
    <row r="54">
      <c r="A54" s="73"/>
      <c r="B54" s="54"/>
      <c r="C54" s="56"/>
      <c r="D54" s="57"/>
      <c r="E54" s="58"/>
      <c r="F54" s="59"/>
      <c r="G54" s="54"/>
      <c r="H54" s="68"/>
      <c r="I54" s="61"/>
      <c r="J54" s="61"/>
      <c r="K54" s="68"/>
      <c r="L54" s="68"/>
      <c r="M54" s="68"/>
      <c r="N54" s="68"/>
      <c r="O54" s="68"/>
      <c r="P54" s="68"/>
      <c r="Q54" s="68"/>
      <c r="R54" s="68"/>
      <c r="S54" s="60"/>
      <c r="T54" s="68"/>
      <c r="U54" s="68"/>
      <c r="V54" s="68"/>
      <c r="W54" s="68"/>
      <c r="X54" s="68"/>
      <c r="Y54" s="68"/>
      <c r="Z54" s="68"/>
      <c r="AA54" s="68"/>
      <c r="AB54" s="68"/>
      <c r="AC54" s="68"/>
      <c r="AD54" s="68"/>
      <c r="AE54" s="68"/>
      <c r="AF54" s="68"/>
      <c r="AG54" s="71"/>
      <c r="AH54" s="71"/>
    </row>
    <row r="55">
      <c r="A55" s="73"/>
      <c r="B55" s="54"/>
      <c r="C55" s="56"/>
      <c r="D55" s="57"/>
      <c r="E55" s="58"/>
      <c r="F55" s="59"/>
      <c r="G55" s="54"/>
      <c r="H55" s="68"/>
      <c r="I55" s="61"/>
      <c r="J55" s="61"/>
      <c r="K55" s="68"/>
      <c r="L55" s="68"/>
      <c r="M55" s="68"/>
      <c r="N55" s="68"/>
      <c r="O55" s="68"/>
      <c r="P55" s="68"/>
      <c r="Q55" s="68"/>
      <c r="R55" s="68"/>
      <c r="S55" s="60"/>
      <c r="T55" s="68"/>
      <c r="U55" s="68"/>
      <c r="V55" s="68"/>
      <c r="W55" s="68"/>
      <c r="X55" s="68"/>
      <c r="Y55" s="68"/>
      <c r="Z55" s="68"/>
      <c r="AA55" s="68"/>
      <c r="AB55" s="68"/>
      <c r="AC55" s="68"/>
      <c r="AD55" s="68"/>
      <c r="AE55" s="68"/>
      <c r="AF55" s="68"/>
      <c r="AG55" s="71"/>
      <c r="AH55" s="71"/>
    </row>
    <row r="56">
      <c r="A56" s="73"/>
      <c r="B56" s="54"/>
      <c r="C56" s="56"/>
      <c r="D56" s="57"/>
      <c r="E56" s="58"/>
      <c r="F56" s="59"/>
      <c r="G56" s="54"/>
      <c r="H56" s="68"/>
      <c r="I56" s="61"/>
      <c r="J56" s="61"/>
      <c r="K56" s="68"/>
      <c r="L56" s="68"/>
      <c r="M56" s="68"/>
      <c r="N56" s="68"/>
      <c r="O56" s="68"/>
      <c r="P56" s="68"/>
      <c r="Q56" s="68"/>
      <c r="R56" s="68"/>
      <c r="S56" s="60"/>
      <c r="T56" s="68"/>
      <c r="U56" s="68"/>
      <c r="V56" s="68"/>
      <c r="W56" s="68"/>
      <c r="X56" s="68"/>
      <c r="Y56" s="68"/>
      <c r="Z56" s="68"/>
      <c r="AA56" s="68"/>
      <c r="AB56" s="68"/>
      <c r="AC56" s="68"/>
      <c r="AD56" s="68"/>
      <c r="AE56" s="68"/>
      <c r="AF56" s="68"/>
      <c r="AG56" s="71"/>
      <c r="AH56" s="71"/>
    </row>
    <row r="57">
      <c r="A57" s="73"/>
      <c r="B57" s="54"/>
      <c r="C57" s="56"/>
      <c r="D57" s="57"/>
      <c r="E57" s="58"/>
      <c r="F57" s="59"/>
      <c r="G57" s="54"/>
      <c r="H57" s="68"/>
      <c r="I57" s="61"/>
      <c r="J57" s="61"/>
      <c r="K57" s="68"/>
      <c r="L57" s="68"/>
      <c r="M57" s="68"/>
      <c r="N57" s="68"/>
      <c r="O57" s="68"/>
      <c r="P57" s="68"/>
      <c r="Q57" s="68"/>
      <c r="R57" s="68"/>
      <c r="S57" s="60"/>
      <c r="T57" s="68"/>
      <c r="U57" s="68"/>
      <c r="V57" s="68"/>
      <c r="W57" s="68"/>
      <c r="X57" s="68"/>
      <c r="Y57" s="68"/>
      <c r="Z57" s="68"/>
      <c r="AA57" s="68"/>
      <c r="AB57" s="68"/>
      <c r="AC57" s="68"/>
      <c r="AD57" s="68"/>
      <c r="AE57" s="68"/>
      <c r="AF57" s="68"/>
      <c r="AG57" s="71"/>
      <c r="AH57" s="71"/>
    </row>
    <row r="58">
      <c r="A58" s="73"/>
      <c r="B58" s="54"/>
      <c r="C58" s="56"/>
      <c r="D58" s="57"/>
      <c r="E58" s="58"/>
      <c r="F58" s="59"/>
      <c r="G58" s="54"/>
      <c r="H58" s="68"/>
      <c r="I58" s="61"/>
      <c r="J58" s="61"/>
      <c r="K58" s="68"/>
      <c r="L58" s="68"/>
      <c r="M58" s="68"/>
      <c r="N58" s="68"/>
      <c r="O58" s="68"/>
      <c r="P58" s="68"/>
      <c r="Q58" s="68"/>
      <c r="R58" s="68"/>
      <c r="S58" s="60"/>
      <c r="T58" s="68"/>
      <c r="U58" s="68"/>
      <c r="V58" s="68"/>
      <c r="W58" s="68"/>
      <c r="X58" s="68"/>
      <c r="Y58" s="68"/>
      <c r="Z58" s="68"/>
      <c r="AA58" s="68"/>
      <c r="AB58" s="68"/>
      <c r="AC58" s="68"/>
      <c r="AD58" s="68"/>
      <c r="AE58" s="68"/>
      <c r="AF58" s="68"/>
      <c r="AG58" s="71"/>
      <c r="AH58" s="71"/>
    </row>
    <row r="59">
      <c r="A59" s="73"/>
      <c r="B59" s="54"/>
      <c r="C59" s="56"/>
      <c r="D59" s="57"/>
      <c r="E59" s="58"/>
      <c r="F59" s="59"/>
      <c r="G59" s="54"/>
      <c r="H59" s="68"/>
      <c r="I59" s="61"/>
      <c r="J59" s="61"/>
      <c r="K59" s="68"/>
      <c r="L59" s="68"/>
      <c r="M59" s="68"/>
      <c r="N59" s="68"/>
      <c r="O59" s="68"/>
      <c r="P59" s="68"/>
      <c r="Q59" s="68"/>
      <c r="R59" s="68"/>
      <c r="S59" s="60"/>
      <c r="T59" s="68"/>
      <c r="U59" s="68"/>
      <c r="V59" s="68"/>
      <c r="W59" s="68"/>
      <c r="X59" s="68"/>
      <c r="Y59" s="68"/>
      <c r="Z59" s="68"/>
      <c r="AA59" s="68"/>
      <c r="AB59" s="68"/>
      <c r="AC59" s="68"/>
      <c r="AD59" s="68"/>
      <c r="AE59" s="68"/>
      <c r="AF59" s="68"/>
      <c r="AG59" s="71"/>
      <c r="AH59" s="71"/>
    </row>
    <row r="60">
      <c r="A60" s="73"/>
      <c r="B60" s="54"/>
      <c r="C60" s="56"/>
      <c r="D60" s="57"/>
      <c r="E60" s="58"/>
      <c r="F60" s="59"/>
      <c r="G60" s="54"/>
      <c r="H60" s="68"/>
      <c r="I60" s="61"/>
      <c r="J60" s="61"/>
      <c r="K60" s="68"/>
      <c r="L60" s="68"/>
      <c r="M60" s="68"/>
      <c r="N60" s="68"/>
      <c r="O60" s="68"/>
      <c r="P60" s="68"/>
      <c r="Q60" s="68"/>
      <c r="R60" s="68"/>
      <c r="S60" s="60"/>
      <c r="T60" s="68"/>
      <c r="U60" s="68"/>
      <c r="V60" s="68"/>
      <c r="W60" s="68"/>
      <c r="X60" s="68"/>
      <c r="Y60" s="68"/>
      <c r="Z60" s="68"/>
      <c r="AA60" s="68"/>
      <c r="AB60" s="68"/>
      <c r="AC60" s="68"/>
      <c r="AD60" s="68"/>
      <c r="AE60" s="68"/>
      <c r="AF60" s="68"/>
      <c r="AG60" s="71"/>
      <c r="AH60" s="71"/>
    </row>
    <row r="61">
      <c r="A61" s="73"/>
      <c r="B61" s="54"/>
      <c r="C61" s="56"/>
      <c r="D61" s="57"/>
      <c r="E61" s="58"/>
      <c r="F61" s="59"/>
      <c r="G61" s="54"/>
      <c r="H61" s="68"/>
      <c r="I61" s="61"/>
      <c r="J61" s="61"/>
      <c r="K61" s="68"/>
      <c r="L61" s="68"/>
      <c r="M61" s="68"/>
      <c r="N61" s="68"/>
      <c r="O61" s="68"/>
      <c r="P61" s="68"/>
      <c r="Q61" s="68"/>
      <c r="R61" s="68"/>
      <c r="S61" s="60"/>
      <c r="T61" s="68"/>
      <c r="U61" s="68"/>
      <c r="V61" s="68"/>
      <c r="W61" s="68"/>
      <c r="X61" s="68"/>
      <c r="Y61" s="68"/>
      <c r="Z61" s="68"/>
      <c r="AA61" s="68"/>
      <c r="AB61" s="68"/>
      <c r="AC61" s="68"/>
      <c r="AD61" s="68"/>
      <c r="AE61" s="68"/>
      <c r="AF61" s="68"/>
      <c r="AG61" s="71"/>
      <c r="AH61" s="71"/>
    </row>
    <row r="62">
      <c r="A62" s="73"/>
      <c r="B62" s="54"/>
      <c r="C62" s="56"/>
      <c r="D62" s="57"/>
      <c r="E62" s="58"/>
      <c r="F62" s="59"/>
      <c r="G62" s="54"/>
      <c r="H62" s="68"/>
      <c r="I62" s="61"/>
      <c r="J62" s="61"/>
      <c r="K62" s="68"/>
      <c r="L62" s="68"/>
      <c r="M62" s="68"/>
      <c r="N62" s="68"/>
      <c r="O62" s="68"/>
      <c r="P62" s="68"/>
      <c r="Q62" s="68"/>
      <c r="R62" s="68"/>
      <c r="S62" s="60"/>
      <c r="T62" s="68"/>
      <c r="U62" s="68"/>
      <c r="V62" s="68"/>
      <c r="W62" s="68"/>
      <c r="X62" s="68"/>
      <c r="Y62" s="68"/>
      <c r="Z62" s="68"/>
      <c r="AA62" s="68"/>
      <c r="AB62" s="68"/>
      <c r="AC62" s="68"/>
      <c r="AD62" s="68"/>
      <c r="AE62" s="68"/>
      <c r="AF62" s="68"/>
      <c r="AG62" s="71"/>
      <c r="AH62" s="71"/>
    </row>
    <row r="63">
      <c r="A63" s="73"/>
      <c r="B63" s="54"/>
      <c r="C63" s="56"/>
      <c r="D63" s="57"/>
      <c r="E63" s="58"/>
      <c r="F63" s="59"/>
      <c r="G63" s="54"/>
      <c r="H63" s="68"/>
      <c r="I63" s="61"/>
      <c r="J63" s="61"/>
      <c r="K63" s="68"/>
      <c r="L63" s="68"/>
      <c r="M63" s="68"/>
      <c r="N63" s="68"/>
      <c r="O63" s="68"/>
      <c r="P63" s="68"/>
      <c r="Q63" s="68"/>
      <c r="R63" s="68"/>
      <c r="S63" s="60"/>
      <c r="T63" s="68"/>
      <c r="U63" s="68"/>
      <c r="V63" s="68"/>
      <c r="W63" s="68"/>
      <c r="X63" s="68"/>
      <c r="Y63" s="68"/>
      <c r="Z63" s="68"/>
      <c r="AA63" s="68"/>
      <c r="AB63" s="68"/>
      <c r="AC63" s="68"/>
      <c r="AD63" s="68"/>
      <c r="AE63" s="68"/>
      <c r="AF63" s="68"/>
      <c r="AG63" s="71"/>
      <c r="AH63" s="71"/>
    </row>
    <row r="64">
      <c r="A64" s="73"/>
      <c r="B64" s="54"/>
      <c r="C64" s="56"/>
      <c r="D64" s="57"/>
      <c r="E64" s="58"/>
      <c r="F64" s="59"/>
      <c r="G64" s="54"/>
      <c r="H64" s="68"/>
      <c r="I64" s="61"/>
      <c r="J64" s="61"/>
      <c r="K64" s="68"/>
      <c r="L64" s="68"/>
      <c r="M64" s="68"/>
      <c r="N64" s="68"/>
      <c r="O64" s="68"/>
      <c r="P64" s="68"/>
      <c r="Q64" s="68"/>
      <c r="R64" s="68"/>
      <c r="S64" s="60"/>
      <c r="T64" s="68"/>
      <c r="U64" s="68"/>
      <c r="V64" s="68"/>
      <c r="W64" s="68"/>
      <c r="X64" s="68"/>
      <c r="Y64" s="68"/>
      <c r="Z64" s="68"/>
      <c r="AA64" s="68"/>
      <c r="AB64" s="68"/>
      <c r="AC64" s="68"/>
      <c r="AD64" s="68"/>
      <c r="AE64" s="68"/>
      <c r="AF64" s="68"/>
      <c r="AG64" s="71"/>
      <c r="AH64" s="71"/>
    </row>
    <row r="65">
      <c r="A65" s="73"/>
      <c r="B65" s="54"/>
      <c r="C65" s="56"/>
      <c r="D65" s="57"/>
      <c r="E65" s="58"/>
      <c r="F65" s="59"/>
      <c r="G65" s="54"/>
      <c r="H65" s="68"/>
      <c r="I65" s="61"/>
      <c r="J65" s="61"/>
      <c r="K65" s="68"/>
      <c r="L65" s="68"/>
      <c r="M65" s="68"/>
      <c r="N65" s="68"/>
      <c r="O65" s="68"/>
      <c r="P65" s="68"/>
      <c r="Q65" s="68"/>
      <c r="R65" s="68"/>
      <c r="S65" s="60"/>
      <c r="T65" s="68"/>
      <c r="U65" s="68"/>
      <c r="V65" s="68"/>
      <c r="W65" s="68"/>
      <c r="X65" s="68"/>
      <c r="Y65" s="68"/>
      <c r="Z65" s="68"/>
      <c r="AA65" s="68"/>
      <c r="AB65" s="68"/>
      <c r="AC65" s="68"/>
      <c r="AD65" s="68"/>
      <c r="AE65" s="68"/>
      <c r="AF65" s="68"/>
      <c r="AG65" s="71"/>
      <c r="AH65" s="71"/>
    </row>
    <row r="66">
      <c r="A66" s="73"/>
      <c r="B66" s="54"/>
      <c r="C66" s="56"/>
      <c r="D66" s="57"/>
      <c r="E66" s="58"/>
      <c r="F66" s="59"/>
      <c r="G66" s="54"/>
      <c r="H66" s="68"/>
      <c r="I66" s="61"/>
      <c r="J66" s="61"/>
      <c r="K66" s="68"/>
      <c r="L66" s="68"/>
      <c r="M66" s="68"/>
      <c r="N66" s="68"/>
      <c r="O66" s="68"/>
      <c r="P66" s="68"/>
      <c r="Q66" s="68"/>
      <c r="R66" s="68"/>
      <c r="S66" s="60"/>
      <c r="T66" s="68"/>
      <c r="U66" s="68"/>
      <c r="V66" s="68"/>
      <c r="W66" s="68"/>
      <c r="X66" s="68"/>
      <c r="Y66" s="68"/>
      <c r="Z66" s="68"/>
      <c r="AA66" s="68"/>
      <c r="AB66" s="68"/>
      <c r="AC66" s="68"/>
      <c r="AD66" s="68"/>
      <c r="AE66" s="68"/>
      <c r="AF66" s="68"/>
      <c r="AG66" s="71"/>
      <c r="AH66" s="71"/>
    </row>
    <row r="67">
      <c r="A67" s="73"/>
      <c r="B67" s="54"/>
      <c r="C67" s="56"/>
      <c r="D67" s="57"/>
      <c r="E67" s="58"/>
      <c r="F67" s="59"/>
      <c r="G67" s="54"/>
      <c r="H67" s="68"/>
      <c r="I67" s="61"/>
      <c r="J67" s="61"/>
      <c r="K67" s="68"/>
      <c r="L67" s="68"/>
      <c r="M67" s="68"/>
      <c r="N67" s="68"/>
      <c r="O67" s="68"/>
      <c r="P67" s="68"/>
      <c r="Q67" s="68"/>
      <c r="R67" s="68"/>
      <c r="S67" s="60"/>
      <c r="T67" s="68"/>
      <c r="U67" s="68"/>
      <c r="V67" s="68"/>
      <c r="W67" s="68"/>
      <c r="X67" s="68"/>
      <c r="Y67" s="68"/>
      <c r="Z67" s="68"/>
      <c r="AA67" s="68"/>
      <c r="AB67" s="68"/>
      <c r="AC67" s="68"/>
      <c r="AD67" s="68"/>
      <c r="AE67" s="68"/>
      <c r="AF67" s="68"/>
      <c r="AG67" s="71"/>
      <c r="AH67" s="71"/>
    </row>
    <row r="68">
      <c r="A68" s="73"/>
      <c r="B68" s="54"/>
      <c r="C68" s="56"/>
      <c r="D68" s="57"/>
      <c r="E68" s="58"/>
      <c r="F68" s="59"/>
      <c r="G68" s="54"/>
      <c r="H68" s="68"/>
      <c r="I68" s="61"/>
      <c r="J68" s="61"/>
      <c r="K68" s="68"/>
      <c r="L68" s="68"/>
      <c r="M68" s="68"/>
      <c r="N68" s="68"/>
      <c r="O68" s="68"/>
      <c r="P68" s="68"/>
      <c r="Q68" s="68"/>
      <c r="R68" s="68"/>
      <c r="S68" s="60"/>
      <c r="T68" s="68"/>
      <c r="U68" s="68"/>
      <c r="V68" s="68"/>
      <c r="W68" s="68"/>
      <c r="X68" s="68"/>
      <c r="Y68" s="68"/>
      <c r="Z68" s="68"/>
      <c r="AA68" s="68"/>
      <c r="AB68" s="68"/>
      <c r="AC68" s="68"/>
      <c r="AD68" s="68"/>
      <c r="AE68" s="68"/>
      <c r="AF68" s="68"/>
      <c r="AG68" s="71"/>
      <c r="AH68" s="71"/>
    </row>
    <row r="69">
      <c r="A69" s="73"/>
      <c r="B69" s="54"/>
      <c r="C69" s="56"/>
      <c r="D69" s="57"/>
      <c r="E69" s="58"/>
      <c r="F69" s="59"/>
      <c r="G69" s="54"/>
      <c r="H69" s="68"/>
      <c r="I69" s="61"/>
      <c r="J69" s="61"/>
      <c r="K69" s="68"/>
      <c r="L69" s="68"/>
      <c r="M69" s="68"/>
      <c r="N69" s="68"/>
      <c r="O69" s="68"/>
      <c r="P69" s="68"/>
      <c r="Q69" s="68"/>
      <c r="R69" s="68"/>
      <c r="S69" s="60"/>
      <c r="T69" s="68"/>
      <c r="U69" s="68"/>
      <c r="V69" s="68"/>
      <c r="W69" s="68"/>
      <c r="X69" s="68"/>
      <c r="Y69" s="68"/>
      <c r="Z69" s="68"/>
      <c r="AA69" s="68"/>
      <c r="AB69" s="68"/>
      <c r="AC69" s="68"/>
      <c r="AD69" s="68"/>
      <c r="AE69" s="68"/>
      <c r="AF69" s="68"/>
      <c r="AG69" s="71"/>
      <c r="AH69" s="71"/>
    </row>
    <row r="70">
      <c r="A70" s="73"/>
      <c r="B70" s="54"/>
      <c r="C70" s="56"/>
      <c r="D70" s="57"/>
      <c r="E70" s="58"/>
      <c r="F70" s="59"/>
      <c r="G70" s="54"/>
      <c r="H70" s="68"/>
      <c r="I70" s="61"/>
      <c r="J70" s="61"/>
      <c r="K70" s="68"/>
      <c r="L70" s="68"/>
      <c r="M70" s="68"/>
      <c r="N70" s="68"/>
      <c r="O70" s="68"/>
      <c r="P70" s="68"/>
      <c r="Q70" s="68"/>
      <c r="R70" s="68"/>
      <c r="S70" s="60"/>
      <c r="T70" s="68"/>
      <c r="U70" s="68"/>
      <c r="V70" s="68"/>
      <c r="W70" s="68"/>
      <c r="X70" s="68"/>
      <c r="Y70" s="68"/>
      <c r="Z70" s="68"/>
      <c r="AA70" s="68"/>
      <c r="AB70" s="68"/>
      <c r="AC70" s="68"/>
      <c r="AD70" s="68"/>
      <c r="AE70" s="68"/>
      <c r="AF70" s="68"/>
      <c r="AG70" s="71"/>
      <c r="AH70" s="71"/>
    </row>
    <row r="71">
      <c r="A71" s="73"/>
      <c r="B71" s="54"/>
      <c r="C71" s="56"/>
      <c r="D71" s="57"/>
      <c r="E71" s="58"/>
      <c r="F71" s="59"/>
      <c r="G71" s="54"/>
      <c r="H71" s="68"/>
      <c r="I71" s="61"/>
      <c r="J71" s="61"/>
      <c r="K71" s="68"/>
      <c r="L71" s="68"/>
      <c r="M71" s="68"/>
      <c r="N71" s="68"/>
      <c r="O71" s="68"/>
      <c r="P71" s="68"/>
      <c r="Q71" s="68"/>
      <c r="R71" s="68"/>
      <c r="S71" s="60"/>
      <c r="T71" s="68"/>
      <c r="U71" s="68"/>
      <c r="V71" s="68"/>
      <c r="W71" s="68"/>
      <c r="X71" s="68"/>
      <c r="Y71" s="68"/>
      <c r="Z71" s="68"/>
      <c r="AA71" s="68"/>
      <c r="AB71" s="68"/>
      <c r="AC71" s="68"/>
      <c r="AD71" s="68"/>
      <c r="AE71" s="68"/>
      <c r="AF71" s="68"/>
      <c r="AG71" s="71"/>
      <c r="AH71" s="71"/>
    </row>
    <row r="72">
      <c r="A72" s="73"/>
      <c r="B72" s="54"/>
      <c r="C72" s="56"/>
      <c r="D72" s="57"/>
      <c r="E72" s="58"/>
      <c r="F72" s="59"/>
      <c r="G72" s="54"/>
      <c r="H72" s="68"/>
      <c r="I72" s="61"/>
      <c r="J72" s="61"/>
      <c r="K72" s="68"/>
      <c r="L72" s="68"/>
      <c r="M72" s="68"/>
      <c r="N72" s="68"/>
      <c r="O72" s="68"/>
      <c r="P72" s="68"/>
      <c r="Q72" s="68"/>
      <c r="R72" s="68"/>
      <c r="S72" s="60"/>
      <c r="T72" s="68"/>
      <c r="U72" s="68"/>
      <c r="V72" s="68"/>
      <c r="W72" s="68"/>
      <c r="X72" s="68"/>
      <c r="Y72" s="68"/>
      <c r="Z72" s="68"/>
      <c r="AA72" s="68"/>
      <c r="AB72" s="68"/>
      <c r="AC72" s="68"/>
      <c r="AD72" s="68"/>
      <c r="AE72" s="68"/>
      <c r="AF72" s="68"/>
      <c r="AG72" s="71"/>
      <c r="AH72" s="71"/>
    </row>
    <row r="73">
      <c r="A73" s="73"/>
      <c r="B73" s="54"/>
      <c r="C73" s="56"/>
      <c r="D73" s="57"/>
      <c r="E73" s="58"/>
      <c r="F73" s="59"/>
      <c r="G73" s="54"/>
      <c r="H73" s="68"/>
      <c r="I73" s="61"/>
      <c r="J73" s="61"/>
      <c r="K73" s="68"/>
      <c r="L73" s="68"/>
      <c r="M73" s="68"/>
      <c r="N73" s="68"/>
      <c r="O73" s="68"/>
      <c r="P73" s="68"/>
      <c r="Q73" s="68"/>
      <c r="R73" s="68"/>
      <c r="S73" s="60"/>
      <c r="T73" s="68"/>
      <c r="U73" s="68"/>
      <c r="V73" s="68"/>
      <c r="W73" s="68"/>
      <c r="X73" s="68"/>
      <c r="Y73" s="68"/>
      <c r="Z73" s="68"/>
      <c r="AA73" s="68"/>
      <c r="AB73" s="68"/>
      <c r="AC73" s="68"/>
      <c r="AD73" s="68"/>
      <c r="AE73" s="68"/>
      <c r="AF73" s="68"/>
      <c r="AG73" s="71"/>
      <c r="AH73" s="71"/>
    </row>
    <row r="74">
      <c r="A74" s="73"/>
      <c r="B74" s="54"/>
      <c r="C74" s="56"/>
      <c r="D74" s="57"/>
      <c r="E74" s="58"/>
      <c r="F74" s="59"/>
      <c r="G74" s="54"/>
      <c r="H74" s="68"/>
      <c r="I74" s="61"/>
      <c r="J74" s="61"/>
      <c r="K74" s="68"/>
      <c r="L74" s="68"/>
      <c r="M74" s="68"/>
      <c r="N74" s="68"/>
      <c r="O74" s="68"/>
      <c r="P74" s="68"/>
      <c r="Q74" s="68"/>
      <c r="R74" s="68"/>
      <c r="S74" s="60"/>
      <c r="T74" s="68"/>
      <c r="U74" s="68"/>
      <c r="V74" s="68"/>
      <c r="W74" s="68"/>
      <c r="X74" s="68"/>
      <c r="Y74" s="68"/>
      <c r="Z74" s="68"/>
      <c r="AA74" s="68"/>
      <c r="AB74" s="68"/>
      <c r="AC74" s="68"/>
      <c r="AD74" s="68"/>
      <c r="AE74" s="68"/>
      <c r="AF74" s="68"/>
      <c r="AG74" s="71"/>
      <c r="AH74" s="71"/>
    </row>
    <row r="75">
      <c r="A75" s="73"/>
      <c r="B75" s="54"/>
      <c r="C75" s="56"/>
      <c r="D75" s="57"/>
      <c r="E75" s="58"/>
      <c r="F75" s="59"/>
      <c r="G75" s="54"/>
      <c r="H75" s="68"/>
      <c r="I75" s="61"/>
      <c r="J75" s="61"/>
      <c r="K75" s="68"/>
      <c r="L75" s="68"/>
      <c r="M75" s="68"/>
      <c r="N75" s="68"/>
      <c r="O75" s="68"/>
      <c r="P75" s="68"/>
      <c r="Q75" s="68"/>
      <c r="R75" s="68"/>
      <c r="S75" s="60"/>
      <c r="T75" s="68"/>
      <c r="U75" s="68"/>
      <c r="V75" s="68"/>
      <c r="W75" s="68"/>
      <c r="X75" s="68"/>
      <c r="Y75" s="68"/>
      <c r="Z75" s="68"/>
      <c r="AA75" s="68"/>
      <c r="AB75" s="68"/>
      <c r="AC75" s="68"/>
      <c r="AD75" s="68"/>
      <c r="AE75" s="68"/>
      <c r="AF75" s="68"/>
      <c r="AG75" s="71"/>
      <c r="AH75" s="71"/>
    </row>
    <row r="76">
      <c r="A76" s="73"/>
      <c r="B76" s="54"/>
      <c r="C76" s="56"/>
      <c r="D76" s="57"/>
      <c r="E76" s="58"/>
      <c r="F76" s="59"/>
      <c r="G76" s="54"/>
      <c r="H76" s="68"/>
      <c r="I76" s="61"/>
      <c r="J76" s="61"/>
      <c r="K76" s="68"/>
      <c r="L76" s="68"/>
      <c r="M76" s="68"/>
      <c r="N76" s="68"/>
      <c r="O76" s="68"/>
      <c r="P76" s="68"/>
      <c r="Q76" s="68"/>
      <c r="R76" s="68"/>
      <c r="S76" s="60"/>
      <c r="T76" s="68"/>
      <c r="U76" s="68"/>
      <c r="V76" s="68"/>
      <c r="W76" s="68"/>
      <c r="X76" s="68"/>
      <c r="Y76" s="68"/>
      <c r="Z76" s="68"/>
      <c r="AA76" s="68"/>
      <c r="AB76" s="68"/>
      <c r="AC76" s="68"/>
      <c r="AD76" s="68"/>
      <c r="AE76" s="68"/>
      <c r="AF76" s="68"/>
      <c r="AG76" s="71"/>
      <c r="AH76" s="71"/>
    </row>
    <row r="77">
      <c r="A77" s="73"/>
      <c r="B77" s="54"/>
      <c r="C77" s="56"/>
      <c r="D77" s="57"/>
      <c r="E77" s="58"/>
      <c r="F77" s="59"/>
      <c r="G77" s="54"/>
      <c r="H77" s="68"/>
      <c r="I77" s="61"/>
      <c r="J77" s="61"/>
      <c r="K77" s="68"/>
      <c r="L77" s="68"/>
      <c r="M77" s="68"/>
      <c r="N77" s="68"/>
      <c r="O77" s="68"/>
      <c r="P77" s="68"/>
      <c r="Q77" s="68"/>
      <c r="R77" s="68"/>
      <c r="S77" s="60"/>
      <c r="T77" s="68"/>
      <c r="U77" s="68"/>
      <c r="V77" s="68"/>
      <c r="W77" s="68"/>
      <c r="X77" s="68"/>
      <c r="Y77" s="68"/>
      <c r="Z77" s="68"/>
      <c r="AA77" s="68"/>
      <c r="AB77" s="68"/>
      <c r="AC77" s="68"/>
      <c r="AD77" s="68"/>
      <c r="AE77" s="68"/>
      <c r="AF77" s="68"/>
      <c r="AG77" s="71"/>
      <c r="AH77" s="71"/>
    </row>
    <row r="78">
      <c r="A78" s="73"/>
      <c r="B78" s="54"/>
      <c r="C78" s="56"/>
      <c r="D78" s="57"/>
      <c r="E78" s="58"/>
      <c r="F78" s="59"/>
      <c r="G78" s="54"/>
      <c r="H78" s="68"/>
      <c r="I78" s="61"/>
      <c r="J78" s="61"/>
      <c r="K78" s="68"/>
      <c r="L78" s="68"/>
      <c r="M78" s="68"/>
      <c r="N78" s="68"/>
      <c r="O78" s="68"/>
      <c r="P78" s="68"/>
      <c r="Q78" s="68"/>
      <c r="R78" s="68"/>
      <c r="S78" s="60"/>
      <c r="T78" s="68"/>
      <c r="U78" s="68"/>
      <c r="V78" s="68"/>
      <c r="W78" s="68"/>
      <c r="X78" s="68"/>
      <c r="Y78" s="68"/>
      <c r="Z78" s="68"/>
      <c r="AA78" s="68"/>
      <c r="AB78" s="68"/>
      <c r="AC78" s="68"/>
      <c r="AD78" s="68"/>
      <c r="AE78" s="68"/>
      <c r="AF78" s="68"/>
      <c r="AG78" s="71"/>
      <c r="AH78" s="71"/>
    </row>
    <row r="79">
      <c r="A79" s="73"/>
      <c r="B79" s="54"/>
      <c r="C79" s="56"/>
      <c r="D79" s="57"/>
      <c r="E79" s="58"/>
      <c r="F79" s="59"/>
      <c r="G79" s="54"/>
      <c r="H79" s="68"/>
      <c r="I79" s="61"/>
      <c r="J79" s="61"/>
      <c r="K79" s="68"/>
      <c r="L79" s="68"/>
      <c r="M79" s="68"/>
      <c r="N79" s="68"/>
      <c r="O79" s="68"/>
      <c r="P79" s="68"/>
      <c r="Q79" s="68"/>
      <c r="R79" s="68"/>
      <c r="S79" s="60"/>
      <c r="T79" s="68"/>
      <c r="U79" s="68"/>
      <c r="V79" s="68"/>
      <c r="W79" s="68"/>
      <c r="X79" s="68"/>
      <c r="Y79" s="68"/>
      <c r="Z79" s="68"/>
      <c r="AA79" s="68"/>
      <c r="AB79" s="68"/>
      <c r="AC79" s="68"/>
      <c r="AD79" s="68"/>
      <c r="AE79" s="68"/>
      <c r="AF79" s="68"/>
      <c r="AG79" s="71"/>
      <c r="AH79" s="71"/>
    </row>
    <row r="80">
      <c r="A80" s="73"/>
      <c r="B80" s="54"/>
      <c r="C80" s="56"/>
      <c r="D80" s="57"/>
      <c r="E80" s="58"/>
      <c r="F80" s="59"/>
      <c r="G80" s="54"/>
      <c r="H80" s="68"/>
      <c r="I80" s="61"/>
      <c r="J80" s="61"/>
      <c r="K80" s="68"/>
      <c r="L80" s="68"/>
      <c r="M80" s="68"/>
      <c r="N80" s="68"/>
      <c r="O80" s="68"/>
      <c r="P80" s="68"/>
      <c r="Q80" s="68"/>
      <c r="R80" s="68"/>
      <c r="S80" s="60"/>
      <c r="T80" s="68"/>
      <c r="U80" s="68"/>
      <c r="V80" s="68"/>
      <c r="W80" s="68"/>
      <c r="X80" s="68"/>
      <c r="Y80" s="68"/>
      <c r="Z80" s="68"/>
      <c r="AA80" s="68"/>
      <c r="AB80" s="68"/>
      <c r="AC80" s="68"/>
      <c r="AD80" s="68"/>
      <c r="AE80" s="68"/>
      <c r="AF80" s="68"/>
      <c r="AG80" s="71"/>
      <c r="AH80" s="71"/>
    </row>
    <row r="81">
      <c r="A81" s="73"/>
      <c r="B81" s="54"/>
      <c r="C81" s="56"/>
      <c r="D81" s="57"/>
      <c r="E81" s="58"/>
      <c r="F81" s="59"/>
      <c r="G81" s="54"/>
      <c r="H81" s="68"/>
      <c r="I81" s="61"/>
      <c r="J81" s="61"/>
      <c r="K81" s="68"/>
      <c r="L81" s="68"/>
      <c r="M81" s="68"/>
      <c r="N81" s="68"/>
      <c r="O81" s="68"/>
      <c r="P81" s="68"/>
      <c r="Q81" s="68"/>
      <c r="R81" s="68"/>
      <c r="S81" s="60"/>
      <c r="T81" s="68"/>
      <c r="U81" s="68"/>
      <c r="V81" s="68"/>
      <c r="W81" s="68"/>
      <c r="X81" s="68"/>
      <c r="Y81" s="68"/>
      <c r="Z81" s="68"/>
      <c r="AA81" s="68"/>
      <c r="AB81" s="68"/>
      <c r="AC81" s="68"/>
      <c r="AD81" s="68"/>
      <c r="AE81" s="68"/>
      <c r="AF81" s="68"/>
      <c r="AG81" s="71"/>
      <c r="AH81" s="71"/>
    </row>
    <row r="82">
      <c r="A82" s="73"/>
      <c r="B82" s="54"/>
      <c r="C82" s="56"/>
      <c r="D82" s="57"/>
      <c r="E82" s="58"/>
      <c r="F82" s="59"/>
      <c r="G82" s="54"/>
      <c r="H82" s="68"/>
      <c r="I82" s="61"/>
      <c r="J82" s="61"/>
      <c r="K82" s="68"/>
      <c r="L82" s="68"/>
      <c r="M82" s="68"/>
      <c r="N82" s="68"/>
      <c r="O82" s="68"/>
      <c r="P82" s="68"/>
      <c r="Q82" s="68"/>
      <c r="R82" s="68"/>
      <c r="S82" s="60"/>
      <c r="T82" s="68"/>
      <c r="U82" s="68"/>
      <c r="V82" s="68"/>
      <c r="W82" s="68"/>
      <c r="X82" s="68"/>
      <c r="Y82" s="68"/>
      <c r="Z82" s="68"/>
      <c r="AA82" s="68"/>
      <c r="AB82" s="68"/>
      <c r="AC82" s="68"/>
      <c r="AD82" s="68"/>
      <c r="AE82" s="68"/>
      <c r="AF82" s="68"/>
      <c r="AG82" s="71"/>
      <c r="AH82" s="71"/>
    </row>
    <row r="83">
      <c r="A83" s="73"/>
      <c r="B83" s="54"/>
      <c r="C83" s="56"/>
      <c r="D83" s="57"/>
      <c r="E83" s="58"/>
      <c r="F83" s="59"/>
      <c r="G83" s="54"/>
      <c r="H83" s="68"/>
      <c r="I83" s="61"/>
      <c r="J83" s="61"/>
      <c r="K83" s="68"/>
      <c r="L83" s="68"/>
      <c r="M83" s="68"/>
      <c r="N83" s="68"/>
      <c r="O83" s="68"/>
      <c r="P83" s="68"/>
      <c r="Q83" s="68"/>
      <c r="R83" s="68"/>
      <c r="S83" s="60"/>
      <c r="T83" s="68"/>
      <c r="U83" s="68"/>
      <c r="V83" s="68"/>
      <c r="W83" s="68"/>
      <c r="X83" s="68"/>
      <c r="Y83" s="68"/>
      <c r="Z83" s="68"/>
      <c r="AA83" s="68"/>
      <c r="AB83" s="68"/>
      <c r="AC83" s="68"/>
      <c r="AD83" s="68"/>
      <c r="AE83" s="68"/>
      <c r="AF83" s="68"/>
      <c r="AG83" s="71"/>
      <c r="AH83" s="71"/>
    </row>
    <row r="84">
      <c r="A84" s="73"/>
      <c r="B84" s="54"/>
      <c r="C84" s="56"/>
      <c r="D84" s="57"/>
      <c r="E84" s="58"/>
      <c r="F84" s="59"/>
      <c r="G84" s="54"/>
      <c r="H84" s="68"/>
      <c r="I84" s="61"/>
      <c r="J84" s="61"/>
      <c r="K84" s="68"/>
      <c r="L84" s="68"/>
      <c r="M84" s="68"/>
      <c r="N84" s="68"/>
      <c r="O84" s="68"/>
      <c r="P84" s="68"/>
      <c r="Q84" s="68"/>
      <c r="R84" s="68"/>
      <c r="S84" s="60"/>
      <c r="T84" s="68"/>
      <c r="U84" s="68"/>
      <c r="V84" s="68"/>
      <c r="W84" s="68"/>
      <c r="X84" s="68"/>
      <c r="Y84" s="68"/>
      <c r="Z84" s="68"/>
      <c r="AA84" s="68"/>
      <c r="AB84" s="68"/>
      <c r="AC84" s="68"/>
      <c r="AD84" s="68"/>
      <c r="AE84" s="68"/>
      <c r="AF84" s="68"/>
      <c r="AG84" s="71"/>
      <c r="AH84" s="71"/>
    </row>
    <row r="85">
      <c r="A85" s="73"/>
      <c r="B85" s="54"/>
      <c r="C85" s="56"/>
      <c r="D85" s="57"/>
      <c r="E85" s="58"/>
      <c r="F85" s="59"/>
      <c r="G85" s="54"/>
      <c r="H85" s="68"/>
      <c r="I85" s="61"/>
      <c r="J85" s="61"/>
      <c r="K85" s="68"/>
      <c r="L85" s="68"/>
      <c r="M85" s="68"/>
      <c r="N85" s="68"/>
      <c r="O85" s="68"/>
      <c r="P85" s="68"/>
      <c r="Q85" s="68"/>
      <c r="R85" s="68"/>
      <c r="S85" s="60"/>
      <c r="T85" s="68"/>
      <c r="U85" s="68"/>
      <c r="V85" s="68"/>
      <c r="W85" s="68"/>
      <c r="X85" s="68"/>
      <c r="Y85" s="68"/>
      <c r="Z85" s="68"/>
      <c r="AA85" s="68"/>
      <c r="AB85" s="68"/>
      <c r="AC85" s="68"/>
      <c r="AD85" s="68"/>
      <c r="AE85" s="68"/>
      <c r="AF85" s="68"/>
      <c r="AG85" s="71"/>
      <c r="AH85" s="71"/>
    </row>
    <row r="86">
      <c r="A86" s="73"/>
      <c r="B86" s="54"/>
      <c r="C86" s="56"/>
      <c r="D86" s="57"/>
      <c r="E86" s="58"/>
      <c r="F86" s="59"/>
      <c r="G86" s="54"/>
      <c r="H86" s="68"/>
      <c r="I86" s="61"/>
      <c r="J86" s="61"/>
      <c r="K86" s="68"/>
      <c r="L86" s="68"/>
      <c r="M86" s="68"/>
      <c r="N86" s="68"/>
      <c r="O86" s="68"/>
      <c r="P86" s="68"/>
      <c r="Q86" s="68"/>
      <c r="R86" s="68"/>
      <c r="S86" s="60"/>
      <c r="T86" s="68"/>
      <c r="U86" s="68"/>
      <c r="V86" s="68"/>
      <c r="W86" s="68"/>
      <c r="X86" s="68"/>
      <c r="Y86" s="68"/>
      <c r="Z86" s="68"/>
      <c r="AA86" s="68"/>
      <c r="AB86" s="68"/>
      <c r="AC86" s="68"/>
      <c r="AD86" s="68"/>
      <c r="AE86" s="68"/>
      <c r="AF86" s="68"/>
      <c r="AG86" s="71"/>
      <c r="AH86" s="71"/>
    </row>
    <row r="87">
      <c r="A87" s="73"/>
      <c r="B87" s="54"/>
      <c r="C87" s="56"/>
      <c r="D87" s="57"/>
      <c r="E87" s="58"/>
      <c r="F87" s="59"/>
      <c r="G87" s="54"/>
      <c r="H87" s="68"/>
      <c r="I87" s="61"/>
      <c r="J87" s="61"/>
      <c r="K87" s="68"/>
      <c r="L87" s="68"/>
      <c r="M87" s="68"/>
      <c r="N87" s="68"/>
      <c r="O87" s="68"/>
      <c r="P87" s="68"/>
      <c r="Q87" s="68"/>
      <c r="R87" s="68"/>
      <c r="S87" s="60"/>
      <c r="T87" s="68"/>
      <c r="U87" s="68"/>
      <c r="V87" s="68"/>
      <c r="W87" s="68"/>
      <c r="X87" s="68"/>
      <c r="Y87" s="68"/>
      <c r="Z87" s="68"/>
      <c r="AA87" s="68"/>
      <c r="AB87" s="68"/>
      <c r="AC87" s="68"/>
      <c r="AD87" s="68"/>
      <c r="AE87" s="68"/>
      <c r="AF87" s="68"/>
      <c r="AG87" s="71"/>
      <c r="AH87" s="71"/>
    </row>
    <row r="88">
      <c r="A88" s="73"/>
      <c r="B88" s="54"/>
      <c r="C88" s="56"/>
      <c r="D88" s="57"/>
      <c r="E88" s="58"/>
      <c r="F88" s="59"/>
      <c r="G88" s="54"/>
      <c r="H88" s="68"/>
      <c r="I88" s="61"/>
      <c r="J88" s="61"/>
      <c r="K88" s="68"/>
      <c r="L88" s="68"/>
      <c r="M88" s="68"/>
      <c r="N88" s="68"/>
      <c r="O88" s="68"/>
      <c r="P88" s="68"/>
      <c r="Q88" s="68"/>
      <c r="R88" s="68"/>
      <c r="S88" s="60"/>
      <c r="T88" s="68"/>
      <c r="U88" s="68"/>
      <c r="V88" s="68"/>
      <c r="W88" s="68"/>
      <c r="X88" s="68"/>
      <c r="Y88" s="68"/>
      <c r="Z88" s="68"/>
      <c r="AA88" s="68"/>
      <c r="AB88" s="68"/>
      <c r="AC88" s="68"/>
      <c r="AD88" s="68"/>
      <c r="AE88" s="68"/>
      <c r="AF88" s="68"/>
      <c r="AG88" s="71"/>
      <c r="AH88" s="71"/>
    </row>
    <row r="89">
      <c r="A89" s="73"/>
      <c r="B89" s="54"/>
      <c r="C89" s="56"/>
      <c r="D89" s="57"/>
      <c r="E89" s="58"/>
      <c r="F89" s="59"/>
      <c r="G89" s="54"/>
      <c r="H89" s="68"/>
      <c r="I89" s="61"/>
      <c r="J89" s="61"/>
      <c r="K89" s="68"/>
      <c r="L89" s="68"/>
      <c r="M89" s="68"/>
      <c r="N89" s="68"/>
      <c r="O89" s="68"/>
      <c r="P89" s="68"/>
      <c r="Q89" s="68"/>
      <c r="R89" s="68"/>
      <c r="S89" s="60"/>
      <c r="T89" s="68"/>
      <c r="U89" s="68"/>
      <c r="V89" s="68"/>
      <c r="W89" s="68"/>
      <c r="X89" s="68"/>
      <c r="Y89" s="68"/>
      <c r="Z89" s="68"/>
      <c r="AA89" s="68"/>
      <c r="AB89" s="68"/>
      <c r="AC89" s="68"/>
      <c r="AD89" s="68"/>
      <c r="AE89" s="68"/>
      <c r="AF89" s="68"/>
      <c r="AG89" s="71"/>
      <c r="AH89" s="71"/>
    </row>
    <row r="90">
      <c r="A90" s="73"/>
      <c r="B90" s="54"/>
      <c r="C90" s="56"/>
      <c r="D90" s="57"/>
      <c r="E90" s="58"/>
      <c r="F90" s="59"/>
      <c r="G90" s="54"/>
      <c r="H90" s="68"/>
      <c r="I90" s="61"/>
      <c r="J90" s="61"/>
      <c r="K90" s="68"/>
      <c r="L90" s="68"/>
      <c r="M90" s="68"/>
      <c r="N90" s="68"/>
      <c r="O90" s="68"/>
      <c r="P90" s="68"/>
      <c r="Q90" s="68"/>
      <c r="R90" s="68"/>
      <c r="S90" s="60"/>
      <c r="T90" s="68"/>
      <c r="U90" s="68"/>
      <c r="V90" s="68"/>
      <c r="W90" s="68"/>
      <c r="X90" s="68"/>
      <c r="Y90" s="68"/>
      <c r="Z90" s="68"/>
      <c r="AA90" s="68"/>
      <c r="AB90" s="68"/>
      <c r="AC90" s="68"/>
      <c r="AD90" s="68"/>
      <c r="AE90" s="68"/>
      <c r="AF90" s="68"/>
      <c r="AG90" s="71"/>
      <c r="AH90" s="71"/>
    </row>
    <row r="91">
      <c r="A91" s="73"/>
      <c r="B91" s="54"/>
      <c r="C91" s="56"/>
      <c r="D91" s="57"/>
      <c r="E91" s="58"/>
      <c r="F91" s="59"/>
      <c r="G91" s="54"/>
      <c r="H91" s="68"/>
      <c r="I91" s="61"/>
      <c r="J91" s="61"/>
      <c r="K91" s="68"/>
      <c r="L91" s="68"/>
      <c r="M91" s="68"/>
      <c r="N91" s="68"/>
      <c r="O91" s="68"/>
      <c r="P91" s="68"/>
      <c r="Q91" s="68"/>
      <c r="R91" s="68"/>
      <c r="S91" s="60"/>
      <c r="T91" s="68"/>
      <c r="U91" s="68"/>
      <c r="V91" s="68"/>
      <c r="W91" s="68"/>
      <c r="X91" s="68"/>
      <c r="Y91" s="68"/>
      <c r="Z91" s="68"/>
      <c r="AA91" s="68"/>
      <c r="AB91" s="68"/>
      <c r="AC91" s="68"/>
      <c r="AD91" s="68"/>
      <c r="AE91" s="68"/>
      <c r="AF91" s="68"/>
      <c r="AG91" s="71"/>
      <c r="AH91" s="71"/>
    </row>
    <row r="92">
      <c r="A92" s="73"/>
      <c r="B92" s="54"/>
      <c r="C92" s="56"/>
      <c r="D92" s="57"/>
      <c r="E92" s="58"/>
      <c r="F92" s="59"/>
      <c r="G92" s="54"/>
      <c r="H92" s="68"/>
      <c r="I92" s="61"/>
      <c r="J92" s="61"/>
      <c r="K92" s="68"/>
      <c r="L92" s="68"/>
      <c r="M92" s="68"/>
      <c r="N92" s="68"/>
      <c r="O92" s="68"/>
      <c r="P92" s="68"/>
      <c r="Q92" s="68"/>
      <c r="R92" s="68"/>
      <c r="S92" s="60"/>
      <c r="T92" s="68"/>
      <c r="U92" s="68"/>
      <c r="V92" s="68"/>
      <c r="W92" s="68"/>
      <c r="X92" s="68"/>
      <c r="Y92" s="68"/>
      <c r="Z92" s="68"/>
      <c r="AA92" s="68"/>
      <c r="AB92" s="68"/>
      <c r="AC92" s="68"/>
      <c r="AD92" s="68"/>
      <c r="AE92" s="68"/>
      <c r="AF92" s="68"/>
      <c r="AG92" s="71"/>
      <c r="AH92" s="71"/>
    </row>
    <row r="93">
      <c r="A93" s="73"/>
      <c r="B93" s="54"/>
      <c r="C93" s="56"/>
      <c r="D93" s="57"/>
      <c r="E93" s="58"/>
      <c r="F93" s="59"/>
      <c r="G93" s="54"/>
      <c r="H93" s="68"/>
      <c r="I93" s="61"/>
      <c r="J93" s="61"/>
      <c r="K93" s="68"/>
      <c r="L93" s="68"/>
      <c r="M93" s="68"/>
      <c r="N93" s="68"/>
      <c r="O93" s="68"/>
      <c r="P93" s="68"/>
      <c r="Q93" s="68"/>
      <c r="R93" s="68"/>
      <c r="S93" s="60"/>
      <c r="T93" s="68"/>
      <c r="U93" s="68"/>
      <c r="V93" s="68"/>
      <c r="W93" s="68"/>
      <c r="X93" s="68"/>
      <c r="Y93" s="68"/>
      <c r="Z93" s="68"/>
      <c r="AA93" s="68"/>
      <c r="AB93" s="68"/>
      <c r="AC93" s="68"/>
      <c r="AD93" s="68"/>
      <c r="AE93" s="68"/>
      <c r="AF93" s="68"/>
      <c r="AG93" s="71"/>
      <c r="AH93" s="71"/>
    </row>
    <row r="94">
      <c r="A94" s="73"/>
      <c r="B94" s="54"/>
      <c r="C94" s="56"/>
      <c r="D94" s="57"/>
      <c r="E94" s="58"/>
      <c r="F94" s="59"/>
      <c r="G94" s="54"/>
      <c r="H94" s="68"/>
      <c r="I94" s="61"/>
      <c r="J94" s="61"/>
      <c r="K94" s="68"/>
      <c r="L94" s="68"/>
      <c r="M94" s="68"/>
      <c r="N94" s="68"/>
      <c r="O94" s="68"/>
      <c r="P94" s="68"/>
      <c r="Q94" s="68"/>
      <c r="R94" s="68"/>
      <c r="S94" s="60"/>
      <c r="T94" s="68"/>
      <c r="U94" s="68"/>
      <c r="V94" s="68"/>
      <c r="W94" s="68"/>
      <c r="X94" s="68"/>
      <c r="Y94" s="68"/>
      <c r="Z94" s="68"/>
      <c r="AA94" s="68"/>
      <c r="AB94" s="68"/>
      <c r="AC94" s="68"/>
      <c r="AD94" s="68"/>
      <c r="AE94" s="68"/>
      <c r="AF94" s="68"/>
      <c r="AG94" s="71"/>
      <c r="AH94" s="71"/>
    </row>
    <row r="95">
      <c r="A95" s="73"/>
      <c r="B95" s="54"/>
      <c r="C95" s="56"/>
      <c r="D95" s="57"/>
      <c r="E95" s="58"/>
      <c r="F95" s="59"/>
      <c r="G95" s="54"/>
      <c r="H95" s="68"/>
      <c r="I95" s="61"/>
      <c r="J95" s="61"/>
      <c r="K95" s="68"/>
      <c r="L95" s="68"/>
      <c r="M95" s="68"/>
      <c r="N95" s="68"/>
      <c r="O95" s="68"/>
      <c r="P95" s="68"/>
      <c r="Q95" s="68"/>
      <c r="R95" s="68"/>
      <c r="S95" s="60"/>
      <c r="T95" s="68"/>
      <c r="U95" s="68"/>
      <c r="V95" s="68"/>
      <c r="W95" s="68"/>
      <c r="X95" s="68"/>
      <c r="Y95" s="68"/>
      <c r="Z95" s="68"/>
      <c r="AA95" s="68"/>
      <c r="AB95" s="68"/>
      <c r="AC95" s="68"/>
      <c r="AD95" s="68"/>
      <c r="AE95" s="68"/>
      <c r="AF95" s="68"/>
      <c r="AG95" s="71"/>
      <c r="AH95" s="71"/>
    </row>
    <row r="96">
      <c r="A96" s="73"/>
      <c r="B96" s="54"/>
      <c r="C96" s="56"/>
      <c r="D96" s="57"/>
      <c r="E96" s="58"/>
      <c r="F96" s="59"/>
      <c r="G96" s="54"/>
      <c r="H96" s="68"/>
      <c r="I96" s="61"/>
      <c r="J96" s="61"/>
      <c r="K96" s="68"/>
      <c r="L96" s="68"/>
      <c r="M96" s="68"/>
      <c r="N96" s="68"/>
      <c r="O96" s="68"/>
      <c r="P96" s="68"/>
      <c r="Q96" s="68"/>
      <c r="R96" s="68"/>
      <c r="S96" s="60"/>
      <c r="T96" s="68"/>
      <c r="U96" s="68"/>
      <c r="V96" s="68"/>
      <c r="W96" s="68"/>
      <c r="X96" s="68"/>
      <c r="Y96" s="68"/>
      <c r="Z96" s="68"/>
      <c r="AA96" s="68"/>
      <c r="AB96" s="68"/>
      <c r="AC96" s="68"/>
      <c r="AD96" s="68"/>
      <c r="AE96" s="68"/>
      <c r="AF96" s="68"/>
      <c r="AG96" s="71"/>
      <c r="AH96" s="71"/>
    </row>
    <row r="97">
      <c r="A97" s="73"/>
      <c r="B97" s="54"/>
      <c r="C97" s="56"/>
      <c r="D97" s="57"/>
      <c r="E97" s="58"/>
      <c r="F97" s="59"/>
      <c r="G97" s="54"/>
      <c r="H97" s="68"/>
      <c r="I97" s="61"/>
      <c r="J97" s="61"/>
      <c r="K97" s="68"/>
      <c r="L97" s="68"/>
      <c r="M97" s="68"/>
      <c r="N97" s="68"/>
      <c r="O97" s="68"/>
      <c r="P97" s="68"/>
      <c r="Q97" s="68"/>
      <c r="R97" s="68"/>
      <c r="S97" s="60"/>
      <c r="T97" s="68"/>
      <c r="U97" s="68"/>
      <c r="V97" s="68"/>
      <c r="W97" s="68"/>
      <c r="X97" s="68"/>
      <c r="Y97" s="68"/>
      <c r="Z97" s="68"/>
      <c r="AA97" s="68"/>
      <c r="AB97" s="68"/>
      <c r="AC97" s="68"/>
      <c r="AD97" s="68"/>
      <c r="AE97" s="68"/>
      <c r="AF97" s="68"/>
      <c r="AG97" s="71"/>
      <c r="AH97" s="71"/>
    </row>
    <row r="98">
      <c r="A98" s="73"/>
      <c r="B98" s="54"/>
      <c r="C98" s="56"/>
      <c r="D98" s="57"/>
      <c r="E98" s="58"/>
      <c r="F98" s="59"/>
      <c r="G98" s="54"/>
      <c r="H98" s="68"/>
      <c r="I98" s="61"/>
      <c r="J98" s="61"/>
      <c r="K98" s="68"/>
      <c r="L98" s="68"/>
      <c r="M98" s="68"/>
      <c r="N98" s="68"/>
      <c r="O98" s="68"/>
      <c r="P98" s="68"/>
      <c r="Q98" s="68"/>
      <c r="R98" s="68"/>
      <c r="S98" s="60"/>
      <c r="T98" s="68"/>
      <c r="U98" s="68"/>
      <c r="V98" s="68"/>
      <c r="W98" s="68"/>
      <c r="X98" s="68"/>
      <c r="Y98" s="68"/>
      <c r="Z98" s="68"/>
      <c r="AA98" s="68"/>
      <c r="AB98" s="68"/>
      <c r="AC98" s="68"/>
      <c r="AD98" s="68"/>
      <c r="AE98" s="68"/>
      <c r="AF98" s="68"/>
      <c r="AG98" s="71"/>
      <c r="AH98" s="71"/>
    </row>
    <row r="99">
      <c r="A99" s="73"/>
      <c r="B99" s="54"/>
      <c r="C99" s="56"/>
      <c r="D99" s="57"/>
      <c r="E99" s="58"/>
      <c r="F99" s="59"/>
      <c r="G99" s="54"/>
      <c r="H99" s="68"/>
      <c r="I99" s="61"/>
      <c r="J99" s="61"/>
      <c r="K99" s="68"/>
      <c r="L99" s="68"/>
      <c r="M99" s="68"/>
      <c r="N99" s="68"/>
      <c r="O99" s="68"/>
      <c r="P99" s="68"/>
      <c r="Q99" s="68"/>
      <c r="R99" s="68"/>
      <c r="S99" s="60"/>
      <c r="T99" s="68"/>
      <c r="U99" s="68"/>
      <c r="V99" s="68"/>
      <c r="W99" s="68"/>
      <c r="X99" s="68"/>
      <c r="Y99" s="68"/>
      <c r="Z99" s="68"/>
      <c r="AA99" s="68"/>
      <c r="AB99" s="68"/>
      <c r="AC99" s="68"/>
      <c r="AD99" s="68"/>
      <c r="AE99" s="68"/>
      <c r="AF99" s="68"/>
      <c r="AG99" s="71"/>
      <c r="AH99" s="71"/>
    </row>
    <row r="100">
      <c r="A100" s="73"/>
      <c r="B100" s="54"/>
      <c r="C100" s="56"/>
      <c r="D100" s="57"/>
      <c r="E100" s="58"/>
      <c r="F100" s="59"/>
      <c r="G100" s="54"/>
      <c r="H100" s="68"/>
      <c r="I100" s="61"/>
      <c r="J100" s="61"/>
      <c r="K100" s="68"/>
      <c r="L100" s="68"/>
      <c r="M100" s="68"/>
      <c r="N100" s="68"/>
      <c r="O100" s="68"/>
      <c r="P100" s="68"/>
      <c r="Q100" s="68"/>
      <c r="R100" s="68"/>
      <c r="S100" s="60"/>
      <c r="T100" s="68"/>
      <c r="U100" s="68"/>
      <c r="V100" s="68"/>
      <c r="W100" s="68"/>
      <c r="X100" s="68"/>
      <c r="Y100" s="68"/>
      <c r="Z100" s="68"/>
      <c r="AA100" s="68"/>
      <c r="AB100" s="68"/>
      <c r="AC100" s="68"/>
      <c r="AD100" s="68"/>
      <c r="AE100" s="68"/>
      <c r="AF100" s="68"/>
      <c r="AG100" s="71"/>
      <c r="AH100" s="71"/>
    </row>
    <row r="101">
      <c r="A101" s="73"/>
      <c r="B101" s="54"/>
      <c r="C101" s="56"/>
      <c r="D101" s="57"/>
      <c r="E101" s="58"/>
      <c r="F101" s="59"/>
      <c r="G101" s="54"/>
      <c r="H101" s="68"/>
      <c r="I101" s="61"/>
      <c r="J101" s="61"/>
      <c r="K101" s="68"/>
      <c r="L101" s="68"/>
      <c r="M101" s="68"/>
      <c r="N101" s="68"/>
      <c r="O101" s="68"/>
      <c r="P101" s="68"/>
      <c r="Q101" s="68"/>
      <c r="R101" s="68"/>
      <c r="S101" s="60"/>
      <c r="T101" s="68"/>
      <c r="U101" s="68"/>
      <c r="V101" s="68"/>
      <c r="W101" s="68"/>
      <c r="X101" s="68"/>
      <c r="Y101" s="68"/>
      <c r="Z101" s="68"/>
      <c r="AA101" s="68"/>
      <c r="AB101" s="68"/>
      <c r="AC101" s="68"/>
      <c r="AD101" s="68"/>
      <c r="AE101" s="68"/>
      <c r="AF101" s="68"/>
      <c r="AG101" s="71"/>
      <c r="AH101" s="71"/>
    </row>
    <row r="102">
      <c r="A102" s="73"/>
      <c r="B102" s="54"/>
      <c r="C102" s="56"/>
      <c r="D102" s="57"/>
      <c r="E102" s="58"/>
      <c r="F102" s="59"/>
      <c r="G102" s="54"/>
      <c r="H102" s="68"/>
      <c r="I102" s="61"/>
      <c r="J102" s="61"/>
      <c r="K102" s="68"/>
      <c r="L102" s="68"/>
      <c r="M102" s="68"/>
      <c r="N102" s="68"/>
      <c r="O102" s="68"/>
      <c r="P102" s="68"/>
      <c r="Q102" s="68"/>
      <c r="R102" s="68"/>
      <c r="S102" s="60"/>
      <c r="T102" s="68"/>
      <c r="U102" s="68"/>
      <c r="V102" s="68"/>
      <c r="W102" s="68"/>
      <c r="X102" s="68"/>
      <c r="Y102" s="68"/>
      <c r="Z102" s="68"/>
      <c r="AA102" s="68"/>
      <c r="AB102" s="68"/>
      <c r="AC102" s="68"/>
      <c r="AD102" s="68"/>
      <c r="AE102" s="68"/>
      <c r="AF102" s="68"/>
      <c r="AG102" s="71"/>
      <c r="AH102" s="71"/>
    </row>
    <row r="103">
      <c r="A103" s="73"/>
      <c r="B103" s="54"/>
      <c r="C103" s="56"/>
      <c r="D103" s="57"/>
      <c r="E103" s="58"/>
      <c r="F103" s="59"/>
      <c r="G103" s="54"/>
      <c r="H103" s="68"/>
      <c r="I103" s="61"/>
      <c r="J103" s="61"/>
      <c r="K103" s="68"/>
      <c r="L103" s="68"/>
      <c r="M103" s="68"/>
      <c r="N103" s="68"/>
      <c r="O103" s="68"/>
      <c r="P103" s="68"/>
      <c r="Q103" s="68"/>
      <c r="R103" s="68"/>
      <c r="S103" s="60"/>
      <c r="T103" s="68"/>
      <c r="U103" s="68"/>
      <c r="V103" s="68"/>
      <c r="W103" s="68"/>
      <c r="X103" s="68"/>
      <c r="Y103" s="68"/>
      <c r="Z103" s="68"/>
      <c r="AA103" s="68"/>
      <c r="AB103" s="68"/>
      <c r="AC103" s="68"/>
      <c r="AD103" s="68"/>
      <c r="AE103" s="68"/>
      <c r="AF103" s="68"/>
      <c r="AG103" s="71"/>
      <c r="AH103" s="71"/>
    </row>
    <row r="104">
      <c r="A104" s="73"/>
      <c r="B104" s="54"/>
      <c r="C104" s="56"/>
      <c r="D104" s="57"/>
      <c r="E104" s="58"/>
      <c r="F104" s="59"/>
      <c r="G104" s="54"/>
      <c r="H104" s="68"/>
      <c r="I104" s="61"/>
      <c r="J104" s="61"/>
      <c r="K104" s="68"/>
      <c r="L104" s="68"/>
      <c r="M104" s="68"/>
      <c r="N104" s="68"/>
      <c r="O104" s="68"/>
      <c r="P104" s="68"/>
      <c r="Q104" s="68"/>
      <c r="R104" s="68"/>
      <c r="S104" s="60"/>
      <c r="T104" s="68"/>
      <c r="U104" s="68"/>
      <c r="V104" s="68"/>
      <c r="W104" s="68"/>
      <c r="X104" s="68"/>
      <c r="Y104" s="68"/>
      <c r="Z104" s="68"/>
      <c r="AA104" s="68"/>
      <c r="AB104" s="68"/>
      <c r="AC104" s="68"/>
      <c r="AD104" s="68"/>
      <c r="AE104" s="68"/>
      <c r="AF104" s="68"/>
      <c r="AG104" s="71"/>
      <c r="AH104" s="71"/>
    </row>
    <row r="105">
      <c r="A105" s="73"/>
      <c r="B105" s="54"/>
      <c r="C105" s="56"/>
      <c r="D105" s="57"/>
      <c r="E105" s="58"/>
      <c r="F105" s="59"/>
      <c r="G105" s="54"/>
      <c r="H105" s="68"/>
      <c r="I105" s="61"/>
      <c r="J105" s="61"/>
      <c r="K105" s="68"/>
      <c r="L105" s="68"/>
      <c r="M105" s="68"/>
      <c r="N105" s="68"/>
      <c r="O105" s="68"/>
      <c r="P105" s="68"/>
      <c r="Q105" s="68"/>
      <c r="R105" s="68"/>
      <c r="S105" s="60"/>
      <c r="T105" s="68"/>
      <c r="U105" s="68"/>
      <c r="V105" s="68"/>
      <c r="W105" s="68"/>
      <c r="X105" s="68"/>
      <c r="Y105" s="68"/>
      <c r="Z105" s="68"/>
      <c r="AA105" s="68"/>
      <c r="AB105" s="68"/>
      <c r="AC105" s="68"/>
      <c r="AD105" s="68"/>
      <c r="AE105" s="68"/>
      <c r="AF105" s="68"/>
      <c r="AG105" s="71"/>
      <c r="AH105" s="71"/>
    </row>
    <row r="106">
      <c r="A106" s="73"/>
      <c r="B106" s="54"/>
      <c r="C106" s="56"/>
      <c r="D106" s="57"/>
      <c r="E106" s="58"/>
      <c r="F106" s="59"/>
      <c r="G106" s="54"/>
      <c r="H106" s="68"/>
      <c r="I106" s="61"/>
      <c r="J106" s="61"/>
      <c r="K106" s="68"/>
      <c r="L106" s="68"/>
      <c r="M106" s="68"/>
      <c r="N106" s="68"/>
      <c r="O106" s="68"/>
      <c r="P106" s="68"/>
      <c r="Q106" s="68"/>
      <c r="R106" s="68"/>
      <c r="S106" s="60"/>
      <c r="T106" s="68"/>
      <c r="U106" s="68"/>
      <c r="V106" s="68"/>
      <c r="W106" s="68"/>
      <c r="X106" s="68"/>
      <c r="Y106" s="68"/>
      <c r="Z106" s="68"/>
      <c r="AA106" s="68"/>
      <c r="AB106" s="68"/>
      <c r="AC106" s="68"/>
      <c r="AD106" s="68"/>
      <c r="AE106" s="68"/>
      <c r="AF106" s="68"/>
      <c r="AG106" s="71"/>
      <c r="AH106" s="71"/>
    </row>
    <row r="107">
      <c r="A107" s="73"/>
      <c r="B107" s="54"/>
      <c r="C107" s="56"/>
      <c r="D107" s="57"/>
      <c r="E107" s="58"/>
      <c r="F107" s="59"/>
      <c r="G107" s="54"/>
      <c r="H107" s="68"/>
      <c r="I107" s="61"/>
      <c r="J107" s="61"/>
      <c r="K107" s="68"/>
      <c r="L107" s="68"/>
      <c r="M107" s="68"/>
      <c r="N107" s="68"/>
      <c r="O107" s="68"/>
      <c r="P107" s="68"/>
      <c r="Q107" s="68"/>
      <c r="R107" s="68"/>
      <c r="S107" s="60"/>
      <c r="T107" s="68"/>
      <c r="U107" s="68"/>
      <c r="V107" s="68"/>
      <c r="W107" s="68"/>
      <c r="X107" s="68"/>
      <c r="Y107" s="68"/>
      <c r="Z107" s="68"/>
      <c r="AA107" s="68"/>
      <c r="AB107" s="68"/>
      <c r="AC107" s="68"/>
      <c r="AD107" s="68"/>
      <c r="AE107" s="68"/>
      <c r="AF107" s="68"/>
      <c r="AG107" s="71"/>
      <c r="AH107" s="71"/>
    </row>
    <row r="108">
      <c r="A108" s="73"/>
      <c r="B108" s="54"/>
      <c r="C108" s="56"/>
      <c r="D108" s="57"/>
      <c r="E108" s="58"/>
      <c r="F108" s="59"/>
      <c r="G108" s="54"/>
      <c r="H108" s="68"/>
      <c r="I108" s="61"/>
      <c r="J108" s="61"/>
      <c r="K108" s="68"/>
      <c r="L108" s="68"/>
      <c r="M108" s="68"/>
      <c r="N108" s="68"/>
      <c r="O108" s="68"/>
      <c r="P108" s="68"/>
      <c r="Q108" s="68"/>
      <c r="R108" s="68"/>
      <c r="S108" s="60"/>
      <c r="T108" s="68"/>
      <c r="U108" s="68"/>
      <c r="V108" s="68"/>
      <c r="W108" s="68"/>
      <c r="X108" s="68"/>
      <c r="Y108" s="68"/>
      <c r="Z108" s="68"/>
      <c r="AA108" s="68"/>
      <c r="AB108" s="68"/>
      <c r="AC108" s="68"/>
      <c r="AD108" s="68"/>
      <c r="AE108" s="68"/>
      <c r="AF108" s="68"/>
      <c r="AG108" s="71"/>
      <c r="AH108" s="71"/>
    </row>
    <row r="109">
      <c r="A109" s="73"/>
      <c r="B109" s="54"/>
      <c r="C109" s="56"/>
      <c r="D109" s="57"/>
      <c r="E109" s="58"/>
      <c r="F109" s="59"/>
      <c r="G109" s="54"/>
      <c r="H109" s="68"/>
      <c r="I109" s="61"/>
      <c r="J109" s="61"/>
      <c r="K109" s="68"/>
      <c r="L109" s="68"/>
      <c r="M109" s="68"/>
      <c r="N109" s="68"/>
      <c r="O109" s="68"/>
      <c r="P109" s="68"/>
      <c r="Q109" s="68"/>
      <c r="R109" s="68"/>
      <c r="S109" s="60"/>
      <c r="T109" s="68"/>
      <c r="U109" s="68"/>
      <c r="V109" s="68"/>
      <c r="W109" s="68"/>
      <c r="X109" s="68"/>
      <c r="Y109" s="68"/>
      <c r="Z109" s="68"/>
      <c r="AA109" s="68"/>
      <c r="AB109" s="68"/>
      <c r="AC109" s="68"/>
      <c r="AD109" s="68"/>
      <c r="AE109" s="68"/>
      <c r="AF109" s="68"/>
      <c r="AG109" s="71"/>
      <c r="AH109" s="71"/>
    </row>
    <row r="110">
      <c r="A110" s="73"/>
      <c r="B110" s="54"/>
      <c r="C110" s="56"/>
      <c r="D110" s="57"/>
      <c r="E110" s="58"/>
      <c r="F110" s="59"/>
      <c r="G110" s="54"/>
      <c r="H110" s="68"/>
      <c r="I110" s="61"/>
      <c r="J110" s="61"/>
      <c r="K110" s="68"/>
      <c r="L110" s="68"/>
      <c r="M110" s="68"/>
      <c r="N110" s="68"/>
      <c r="O110" s="68"/>
      <c r="P110" s="68"/>
      <c r="Q110" s="68"/>
      <c r="R110" s="68"/>
      <c r="S110" s="60"/>
      <c r="T110" s="68"/>
      <c r="U110" s="68"/>
      <c r="V110" s="68"/>
      <c r="W110" s="68"/>
      <c r="X110" s="68"/>
      <c r="Y110" s="68"/>
      <c r="Z110" s="68"/>
      <c r="AA110" s="68"/>
      <c r="AB110" s="68"/>
      <c r="AC110" s="68"/>
      <c r="AD110" s="68"/>
      <c r="AE110" s="68"/>
      <c r="AF110" s="68"/>
      <c r="AG110" s="71"/>
      <c r="AH110" s="71"/>
    </row>
    <row r="111">
      <c r="A111" s="73"/>
      <c r="B111" s="54"/>
      <c r="C111" s="56"/>
      <c r="D111" s="57"/>
      <c r="E111" s="58"/>
      <c r="F111" s="59"/>
      <c r="G111" s="54"/>
      <c r="H111" s="68"/>
      <c r="I111" s="61"/>
      <c r="J111" s="61"/>
      <c r="K111" s="68"/>
      <c r="L111" s="68"/>
      <c r="M111" s="68"/>
      <c r="N111" s="68"/>
      <c r="O111" s="68"/>
      <c r="P111" s="68"/>
      <c r="Q111" s="68"/>
      <c r="R111" s="68"/>
      <c r="S111" s="60"/>
      <c r="T111" s="68"/>
      <c r="U111" s="68"/>
      <c r="V111" s="68"/>
      <c r="W111" s="68"/>
      <c r="X111" s="68"/>
      <c r="Y111" s="68"/>
      <c r="Z111" s="68"/>
      <c r="AA111" s="68"/>
      <c r="AB111" s="68"/>
      <c r="AC111" s="68"/>
      <c r="AD111" s="68"/>
      <c r="AE111" s="68"/>
      <c r="AF111" s="68"/>
      <c r="AG111" s="71"/>
      <c r="AH111" s="71"/>
    </row>
    <row r="112">
      <c r="A112" s="73"/>
      <c r="B112" s="54"/>
      <c r="C112" s="56"/>
      <c r="D112" s="57"/>
      <c r="E112" s="58"/>
      <c r="F112" s="59"/>
      <c r="G112" s="54"/>
      <c r="H112" s="68"/>
      <c r="I112" s="61"/>
      <c r="J112" s="61"/>
      <c r="K112" s="68"/>
      <c r="L112" s="68"/>
      <c r="M112" s="68"/>
      <c r="N112" s="68"/>
      <c r="O112" s="68"/>
      <c r="P112" s="68"/>
      <c r="Q112" s="68"/>
      <c r="R112" s="68"/>
      <c r="S112" s="60"/>
      <c r="T112" s="68"/>
      <c r="U112" s="68"/>
      <c r="V112" s="68"/>
      <c r="W112" s="68"/>
      <c r="X112" s="68"/>
      <c r="Y112" s="68"/>
      <c r="Z112" s="68"/>
      <c r="AA112" s="68"/>
      <c r="AB112" s="68"/>
      <c r="AC112" s="68"/>
      <c r="AD112" s="68"/>
      <c r="AE112" s="68"/>
      <c r="AF112" s="68"/>
      <c r="AG112" s="71"/>
      <c r="AH112" s="71"/>
    </row>
    <row r="113">
      <c r="A113" s="73"/>
      <c r="B113" s="54"/>
      <c r="C113" s="56"/>
      <c r="D113" s="57"/>
      <c r="E113" s="58"/>
      <c r="F113" s="59"/>
      <c r="G113" s="54"/>
      <c r="H113" s="68"/>
      <c r="I113" s="61"/>
      <c r="J113" s="61"/>
      <c r="K113" s="68"/>
      <c r="L113" s="68"/>
      <c r="M113" s="68"/>
      <c r="N113" s="68"/>
      <c r="O113" s="68"/>
      <c r="P113" s="68"/>
      <c r="Q113" s="68"/>
      <c r="R113" s="68"/>
      <c r="S113" s="60"/>
      <c r="T113" s="68"/>
      <c r="U113" s="68"/>
      <c r="V113" s="68"/>
      <c r="W113" s="68"/>
      <c r="X113" s="68"/>
      <c r="Y113" s="68"/>
      <c r="Z113" s="68"/>
      <c r="AA113" s="68"/>
      <c r="AB113" s="68"/>
      <c r="AC113" s="68"/>
      <c r="AD113" s="68"/>
      <c r="AE113" s="68"/>
      <c r="AF113" s="68"/>
      <c r="AG113" s="71"/>
      <c r="AH113" s="71"/>
    </row>
    <row r="114">
      <c r="A114" s="73"/>
      <c r="B114" s="54"/>
      <c r="C114" s="56"/>
      <c r="D114" s="57"/>
      <c r="E114" s="58"/>
      <c r="F114" s="59"/>
      <c r="G114" s="54"/>
      <c r="H114" s="68"/>
      <c r="I114" s="61"/>
      <c r="J114" s="61"/>
      <c r="K114" s="68"/>
      <c r="L114" s="68"/>
      <c r="M114" s="68"/>
      <c r="N114" s="68"/>
      <c r="O114" s="68"/>
      <c r="P114" s="68"/>
      <c r="Q114" s="68"/>
      <c r="R114" s="68"/>
      <c r="S114" s="60"/>
      <c r="T114" s="68"/>
      <c r="U114" s="68"/>
      <c r="V114" s="68"/>
      <c r="W114" s="68"/>
      <c r="X114" s="68"/>
      <c r="Y114" s="68"/>
      <c r="Z114" s="68"/>
      <c r="AA114" s="68"/>
      <c r="AB114" s="68"/>
      <c r="AC114" s="68"/>
      <c r="AD114" s="68"/>
      <c r="AE114" s="68"/>
      <c r="AF114" s="68"/>
      <c r="AG114" s="71"/>
      <c r="AH114" s="71"/>
    </row>
    <row r="115">
      <c r="A115" s="73"/>
      <c r="B115" s="54"/>
      <c r="C115" s="56"/>
      <c r="D115" s="57"/>
      <c r="E115" s="58"/>
      <c r="F115" s="59"/>
      <c r="G115" s="54"/>
      <c r="H115" s="68"/>
      <c r="I115" s="61"/>
      <c r="J115" s="61"/>
      <c r="K115" s="68"/>
      <c r="L115" s="68"/>
      <c r="M115" s="68"/>
      <c r="N115" s="68"/>
      <c r="O115" s="68"/>
      <c r="P115" s="68"/>
      <c r="Q115" s="68"/>
      <c r="R115" s="68"/>
      <c r="S115" s="60"/>
      <c r="T115" s="68"/>
      <c r="U115" s="68"/>
      <c r="V115" s="68"/>
      <c r="W115" s="68"/>
      <c r="X115" s="68"/>
      <c r="Y115" s="68"/>
      <c r="Z115" s="68"/>
      <c r="AA115" s="68"/>
      <c r="AB115" s="68"/>
      <c r="AC115" s="68"/>
      <c r="AD115" s="68"/>
      <c r="AE115" s="68"/>
      <c r="AF115" s="68"/>
      <c r="AG115" s="71"/>
      <c r="AH115" s="71"/>
    </row>
    <row r="116">
      <c r="A116" s="73"/>
      <c r="B116" s="54"/>
      <c r="C116" s="56"/>
      <c r="D116" s="57"/>
      <c r="E116" s="58"/>
      <c r="F116" s="59"/>
      <c r="G116" s="54"/>
      <c r="H116" s="68"/>
      <c r="I116" s="61"/>
      <c r="J116" s="61"/>
      <c r="K116" s="68"/>
      <c r="L116" s="68"/>
      <c r="M116" s="68"/>
      <c r="N116" s="68"/>
      <c r="O116" s="68"/>
      <c r="P116" s="68"/>
      <c r="Q116" s="68"/>
      <c r="R116" s="68"/>
      <c r="S116" s="60"/>
      <c r="T116" s="68"/>
      <c r="U116" s="68"/>
      <c r="V116" s="68"/>
      <c r="W116" s="68"/>
      <c r="X116" s="68"/>
      <c r="Y116" s="68"/>
      <c r="Z116" s="68"/>
      <c r="AA116" s="68"/>
      <c r="AB116" s="68"/>
      <c r="AC116" s="68"/>
      <c r="AD116" s="68"/>
      <c r="AE116" s="68"/>
      <c r="AF116" s="68"/>
      <c r="AG116" s="71"/>
      <c r="AH116" s="71"/>
    </row>
    <row r="117">
      <c r="A117" s="73"/>
      <c r="B117" s="54"/>
      <c r="C117" s="56"/>
      <c r="D117" s="57"/>
      <c r="E117" s="58"/>
      <c r="F117" s="59"/>
      <c r="G117" s="54"/>
      <c r="H117" s="68"/>
      <c r="I117" s="61"/>
      <c r="J117" s="61"/>
      <c r="K117" s="68"/>
      <c r="L117" s="68"/>
      <c r="M117" s="68"/>
      <c r="N117" s="68"/>
      <c r="O117" s="68"/>
      <c r="P117" s="68"/>
      <c r="Q117" s="68"/>
      <c r="R117" s="68"/>
      <c r="S117" s="60"/>
      <c r="T117" s="68"/>
      <c r="U117" s="68"/>
      <c r="V117" s="68"/>
      <c r="W117" s="68"/>
      <c r="X117" s="68"/>
      <c r="Y117" s="68"/>
      <c r="Z117" s="68"/>
      <c r="AA117" s="68"/>
      <c r="AB117" s="68"/>
      <c r="AC117" s="68"/>
      <c r="AD117" s="68"/>
      <c r="AE117" s="68"/>
      <c r="AF117" s="68"/>
      <c r="AG117" s="71"/>
      <c r="AH117" s="71"/>
    </row>
    <row r="118">
      <c r="A118" s="73"/>
      <c r="B118" s="54"/>
      <c r="C118" s="56"/>
      <c r="D118" s="57"/>
      <c r="E118" s="58"/>
      <c r="F118" s="59"/>
      <c r="G118" s="54"/>
      <c r="H118" s="68"/>
      <c r="I118" s="61"/>
      <c r="J118" s="61"/>
      <c r="K118" s="68"/>
      <c r="L118" s="68"/>
      <c r="M118" s="68"/>
      <c r="N118" s="68"/>
      <c r="O118" s="68"/>
      <c r="P118" s="68"/>
      <c r="Q118" s="68"/>
      <c r="R118" s="68"/>
      <c r="S118" s="60"/>
      <c r="T118" s="68"/>
      <c r="U118" s="68"/>
      <c r="V118" s="68"/>
      <c r="W118" s="68"/>
      <c r="X118" s="68"/>
      <c r="Y118" s="68"/>
      <c r="Z118" s="68"/>
      <c r="AA118" s="68"/>
      <c r="AB118" s="68"/>
      <c r="AC118" s="68"/>
      <c r="AD118" s="68"/>
      <c r="AE118" s="68"/>
      <c r="AF118" s="68"/>
      <c r="AG118" s="71"/>
      <c r="AH118" s="71"/>
    </row>
    <row r="119">
      <c r="A119" s="73"/>
      <c r="B119" s="54"/>
      <c r="C119" s="56"/>
      <c r="D119" s="57"/>
      <c r="E119" s="58"/>
      <c r="F119" s="59"/>
      <c r="G119" s="54"/>
      <c r="H119" s="68"/>
      <c r="I119" s="61"/>
      <c r="J119" s="61"/>
      <c r="K119" s="68"/>
      <c r="L119" s="68"/>
      <c r="M119" s="68"/>
      <c r="N119" s="68"/>
      <c r="O119" s="68"/>
      <c r="P119" s="68"/>
      <c r="Q119" s="68"/>
      <c r="R119" s="68"/>
      <c r="S119" s="60"/>
      <c r="T119" s="68"/>
      <c r="U119" s="68"/>
      <c r="V119" s="68"/>
      <c r="W119" s="68"/>
      <c r="X119" s="68"/>
      <c r="Y119" s="68"/>
      <c r="Z119" s="68"/>
      <c r="AA119" s="68"/>
      <c r="AB119" s="68"/>
      <c r="AC119" s="68"/>
      <c r="AD119" s="68"/>
      <c r="AE119" s="68"/>
      <c r="AF119" s="68"/>
      <c r="AG119" s="71"/>
      <c r="AH119" s="71"/>
    </row>
    <row r="120">
      <c r="A120" s="73"/>
      <c r="B120" s="54"/>
      <c r="C120" s="56"/>
      <c r="D120" s="57"/>
      <c r="E120" s="58"/>
      <c r="F120" s="59"/>
      <c r="G120" s="54"/>
      <c r="H120" s="68"/>
      <c r="I120" s="61"/>
      <c r="J120" s="61"/>
      <c r="K120" s="68"/>
      <c r="L120" s="68"/>
      <c r="M120" s="68"/>
      <c r="N120" s="68"/>
      <c r="O120" s="68"/>
      <c r="P120" s="68"/>
      <c r="Q120" s="68"/>
      <c r="R120" s="68"/>
      <c r="S120" s="60"/>
      <c r="T120" s="68"/>
      <c r="U120" s="68"/>
      <c r="V120" s="68"/>
      <c r="W120" s="68"/>
      <c r="X120" s="68"/>
      <c r="Y120" s="68"/>
      <c r="Z120" s="68"/>
      <c r="AA120" s="68"/>
      <c r="AB120" s="68"/>
      <c r="AC120" s="68"/>
      <c r="AD120" s="68"/>
      <c r="AE120" s="68"/>
      <c r="AF120" s="68"/>
      <c r="AG120" s="71"/>
      <c r="AH120" s="71"/>
    </row>
    <row r="121">
      <c r="A121" s="73"/>
      <c r="B121" s="54"/>
      <c r="C121" s="56"/>
      <c r="D121" s="57"/>
      <c r="E121" s="58"/>
      <c r="F121" s="59"/>
      <c r="G121" s="54"/>
      <c r="H121" s="68"/>
      <c r="I121" s="61"/>
      <c r="J121" s="61"/>
      <c r="K121" s="68"/>
      <c r="L121" s="68"/>
      <c r="M121" s="68"/>
      <c r="N121" s="68"/>
      <c r="O121" s="68"/>
      <c r="P121" s="68"/>
      <c r="Q121" s="68"/>
      <c r="R121" s="68"/>
      <c r="S121" s="60"/>
      <c r="T121" s="68"/>
      <c r="U121" s="68"/>
      <c r="V121" s="68"/>
      <c r="W121" s="68"/>
      <c r="X121" s="68"/>
      <c r="Y121" s="68"/>
      <c r="Z121" s="68"/>
      <c r="AA121" s="68"/>
      <c r="AB121" s="68"/>
      <c r="AC121" s="68"/>
      <c r="AD121" s="68"/>
      <c r="AE121" s="68"/>
      <c r="AF121" s="68"/>
      <c r="AG121" s="71"/>
      <c r="AH121" s="71"/>
    </row>
    <row r="122">
      <c r="A122" s="73"/>
      <c r="B122" s="54"/>
      <c r="C122" s="56"/>
      <c r="D122" s="57"/>
      <c r="E122" s="58"/>
      <c r="F122" s="59"/>
      <c r="G122" s="54"/>
      <c r="H122" s="68"/>
      <c r="I122" s="61"/>
      <c r="J122" s="61"/>
      <c r="K122" s="68"/>
      <c r="L122" s="68"/>
      <c r="M122" s="68"/>
      <c r="N122" s="68"/>
      <c r="O122" s="68"/>
      <c r="P122" s="68"/>
      <c r="Q122" s="68"/>
      <c r="R122" s="68"/>
      <c r="S122" s="60"/>
      <c r="T122" s="68"/>
      <c r="U122" s="68"/>
      <c r="V122" s="68"/>
      <c r="W122" s="68"/>
      <c r="X122" s="68"/>
      <c r="Y122" s="68"/>
      <c r="Z122" s="68"/>
      <c r="AA122" s="68"/>
      <c r="AB122" s="68"/>
      <c r="AC122" s="68"/>
      <c r="AD122" s="68"/>
      <c r="AE122" s="68"/>
      <c r="AF122" s="68"/>
      <c r="AG122" s="71"/>
      <c r="AH122" s="71"/>
    </row>
    <row r="123">
      <c r="A123" s="73"/>
      <c r="B123" s="54"/>
      <c r="C123" s="56"/>
      <c r="D123" s="57"/>
      <c r="E123" s="58"/>
      <c r="F123" s="59"/>
      <c r="G123" s="54"/>
      <c r="H123" s="68"/>
      <c r="I123" s="61"/>
      <c r="J123" s="61"/>
      <c r="K123" s="68"/>
      <c r="L123" s="68"/>
      <c r="M123" s="68"/>
      <c r="N123" s="68"/>
      <c r="O123" s="68"/>
      <c r="P123" s="68"/>
      <c r="Q123" s="68"/>
      <c r="R123" s="68"/>
      <c r="S123" s="60"/>
      <c r="T123" s="68"/>
      <c r="U123" s="68"/>
      <c r="V123" s="68"/>
      <c r="W123" s="68"/>
      <c r="X123" s="68"/>
      <c r="Y123" s="68"/>
      <c r="Z123" s="68"/>
      <c r="AA123" s="68"/>
      <c r="AB123" s="68"/>
      <c r="AC123" s="68"/>
      <c r="AD123" s="68"/>
      <c r="AE123" s="68"/>
      <c r="AF123" s="68"/>
      <c r="AG123" s="71"/>
      <c r="AH123" s="71"/>
    </row>
    <row r="124">
      <c r="A124" s="73"/>
      <c r="B124" s="54"/>
      <c r="C124" s="56"/>
      <c r="D124" s="57"/>
      <c r="E124" s="58"/>
      <c r="F124" s="59"/>
      <c r="G124" s="54"/>
      <c r="H124" s="68"/>
      <c r="I124" s="61"/>
      <c r="J124" s="61"/>
      <c r="K124" s="68"/>
      <c r="L124" s="68"/>
      <c r="M124" s="68"/>
      <c r="N124" s="68"/>
      <c r="O124" s="68"/>
      <c r="P124" s="68"/>
      <c r="Q124" s="68"/>
      <c r="R124" s="68"/>
      <c r="S124" s="60"/>
      <c r="T124" s="68"/>
      <c r="U124" s="68"/>
      <c r="V124" s="68"/>
      <c r="W124" s="68"/>
      <c r="X124" s="68"/>
      <c r="Y124" s="68"/>
      <c r="Z124" s="68"/>
      <c r="AA124" s="68"/>
      <c r="AB124" s="68"/>
      <c r="AC124" s="68"/>
      <c r="AD124" s="68"/>
      <c r="AE124" s="68"/>
      <c r="AF124" s="68"/>
      <c r="AG124" s="71"/>
      <c r="AH124" s="71"/>
    </row>
    <row r="125">
      <c r="A125" s="73"/>
      <c r="B125" s="54"/>
      <c r="C125" s="56"/>
      <c r="D125" s="57"/>
      <c r="E125" s="58"/>
      <c r="F125" s="59"/>
      <c r="G125" s="54"/>
      <c r="H125" s="68"/>
      <c r="I125" s="61"/>
      <c r="J125" s="61"/>
      <c r="K125" s="68"/>
      <c r="L125" s="68"/>
      <c r="M125" s="68"/>
      <c r="N125" s="68"/>
      <c r="O125" s="68"/>
      <c r="P125" s="68"/>
      <c r="Q125" s="68"/>
      <c r="R125" s="68"/>
      <c r="S125" s="60"/>
      <c r="T125" s="68"/>
      <c r="U125" s="68"/>
      <c r="V125" s="68"/>
      <c r="W125" s="68"/>
      <c r="X125" s="68"/>
      <c r="Y125" s="68"/>
      <c r="Z125" s="68"/>
      <c r="AA125" s="68"/>
      <c r="AB125" s="68"/>
      <c r="AC125" s="68"/>
      <c r="AD125" s="68"/>
      <c r="AE125" s="68"/>
      <c r="AF125" s="68"/>
      <c r="AG125" s="71"/>
      <c r="AH125" s="71"/>
    </row>
    <row r="126">
      <c r="A126" s="73"/>
      <c r="B126" s="54"/>
      <c r="C126" s="56"/>
      <c r="D126" s="57"/>
      <c r="E126" s="58"/>
      <c r="F126" s="59"/>
      <c r="G126" s="54"/>
      <c r="H126" s="68"/>
      <c r="I126" s="61"/>
      <c r="J126" s="61"/>
      <c r="K126" s="68"/>
      <c r="L126" s="68"/>
      <c r="M126" s="68"/>
      <c r="N126" s="68"/>
      <c r="O126" s="68"/>
      <c r="P126" s="68"/>
      <c r="Q126" s="68"/>
      <c r="R126" s="68"/>
      <c r="S126" s="60"/>
      <c r="T126" s="68"/>
      <c r="U126" s="68"/>
      <c r="V126" s="68"/>
      <c r="W126" s="68"/>
      <c r="X126" s="68"/>
      <c r="Y126" s="68"/>
      <c r="Z126" s="68"/>
      <c r="AA126" s="68"/>
      <c r="AB126" s="68"/>
      <c r="AC126" s="68"/>
      <c r="AD126" s="68"/>
      <c r="AE126" s="68"/>
      <c r="AF126" s="68"/>
      <c r="AG126" s="71"/>
      <c r="AH126" s="71"/>
    </row>
    <row r="127">
      <c r="A127" s="73"/>
      <c r="B127" s="54"/>
      <c r="C127" s="56"/>
      <c r="D127" s="57"/>
      <c r="E127" s="58"/>
      <c r="F127" s="59"/>
      <c r="G127" s="54"/>
      <c r="H127" s="68"/>
      <c r="I127" s="61"/>
      <c r="J127" s="61"/>
      <c r="K127" s="68"/>
      <c r="L127" s="68"/>
      <c r="M127" s="68"/>
      <c r="N127" s="68"/>
      <c r="O127" s="68"/>
      <c r="P127" s="68"/>
      <c r="Q127" s="68"/>
      <c r="R127" s="68"/>
      <c r="S127" s="60"/>
      <c r="T127" s="68"/>
      <c r="U127" s="68"/>
      <c r="V127" s="68"/>
      <c r="W127" s="68"/>
      <c r="X127" s="68"/>
      <c r="Y127" s="68"/>
      <c r="Z127" s="68"/>
      <c r="AA127" s="68"/>
      <c r="AB127" s="68"/>
      <c r="AC127" s="68"/>
      <c r="AD127" s="68"/>
      <c r="AE127" s="68"/>
      <c r="AF127" s="68"/>
      <c r="AG127" s="71"/>
      <c r="AH127" s="71"/>
    </row>
    <row r="128">
      <c r="A128" s="73"/>
      <c r="B128" s="54"/>
      <c r="C128" s="56"/>
      <c r="D128" s="57"/>
      <c r="E128" s="58"/>
      <c r="F128" s="59"/>
      <c r="G128" s="54"/>
      <c r="H128" s="68"/>
      <c r="I128" s="61"/>
      <c r="J128" s="61"/>
      <c r="K128" s="68"/>
      <c r="L128" s="68"/>
      <c r="M128" s="68"/>
      <c r="N128" s="68"/>
      <c r="O128" s="68"/>
      <c r="P128" s="68"/>
      <c r="Q128" s="68"/>
      <c r="R128" s="68"/>
      <c r="S128" s="60"/>
      <c r="T128" s="68"/>
      <c r="U128" s="68"/>
      <c r="V128" s="68"/>
      <c r="W128" s="68"/>
      <c r="X128" s="68"/>
      <c r="Y128" s="68"/>
      <c r="Z128" s="68"/>
      <c r="AA128" s="68"/>
      <c r="AB128" s="68"/>
      <c r="AC128" s="68"/>
      <c r="AD128" s="68"/>
      <c r="AE128" s="68"/>
      <c r="AF128" s="68"/>
      <c r="AG128" s="71"/>
      <c r="AH128" s="71"/>
    </row>
    <row r="129">
      <c r="A129" s="73"/>
      <c r="B129" s="54"/>
      <c r="C129" s="56"/>
      <c r="D129" s="57"/>
      <c r="E129" s="58"/>
      <c r="F129" s="59"/>
      <c r="G129" s="54"/>
      <c r="H129" s="68"/>
      <c r="I129" s="61"/>
      <c r="J129" s="61"/>
      <c r="K129" s="68"/>
      <c r="L129" s="68"/>
      <c r="M129" s="68"/>
      <c r="N129" s="68"/>
      <c r="O129" s="68"/>
      <c r="P129" s="68"/>
      <c r="Q129" s="68"/>
      <c r="R129" s="68"/>
      <c r="S129" s="60"/>
      <c r="T129" s="68"/>
      <c r="U129" s="68"/>
      <c r="V129" s="68"/>
      <c r="W129" s="68"/>
      <c r="X129" s="68"/>
      <c r="Y129" s="68"/>
      <c r="Z129" s="68"/>
      <c r="AA129" s="68"/>
      <c r="AB129" s="68"/>
      <c r="AC129" s="68"/>
      <c r="AD129" s="68"/>
      <c r="AE129" s="68"/>
      <c r="AF129" s="68"/>
      <c r="AG129" s="71"/>
      <c r="AH129" s="71"/>
    </row>
    <row r="130">
      <c r="A130" s="73"/>
      <c r="B130" s="54"/>
      <c r="C130" s="56"/>
      <c r="D130" s="57"/>
      <c r="E130" s="58"/>
      <c r="F130" s="59"/>
      <c r="G130" s="54"/>
      <c r="H130" s="68"/>
      <c r="I130" s="61"/>
      <c r="J130" s="61"/>
      <c r="K130" s="68"/>
      <c r="L130" s="68"/>
      <c r="M130" s="68"/>
      <c r="N130" s="68"/>
      <c r="O130" s="68"/>
      <c r="P130" s="68"/>
      <c r="Q130" s="68"/>
      <c r="R130" s="68"/>
      <c r="S130" s="60"/>
      <c r="T130" s="68"/>
      <c r="U130" s="68"/>
      <c r="V130" s="68"/>
      <c r="W130" s="68"/>
      <c r="X130" s="68"/>
      <c r="Y130" s="68"/>
      <c r="Z130" s="68"/>
      <c r="AA130" s="68"/>
      <c r="AB130" s="68"/>
      <c r="AC130" s="68"/>
      <c r="AD130" s="68"/>
      <c r="AE130" s="68"/>
      <c r="AF130" s="68"/>
      <c r="AG130" s="71"/>
      <c r="AH130" s="71"/>
    </row>
    <row r="131">
      <c r="A131" s="73"/>
      <c r="B131" s="54"/>
      <c r="C131" s="56"/>
      <c r="D131" s="57"/>
      <c r="E131" s="58"/>
      <c r="F131" s="59"/>
      <c r="G131" s="54"/>
      <c r="H131" s="68"/>
      <c r="I131" s="61"/>
      <c r="J131" s="61"/>
      <c r="K131" s="68"/>
      <c r="L131" s="68"/>
      <c r="M131" s="68"/>
      <c r="N131" s="68"/>
      <c r="O131" s="68"/>
      <c r="P131" s="68"/>
      <c r="Q131" s="68"/>
      <c r="R131" s="68"/>
      <c r="S131" s="60"/>
      <c r="T131" s="68"/>
      <c r="U131" s="68"/>
      <c r="V131" s="68"/>
      <c r="W131" s="68"/>
      <c r="X131" s="68"/>
      <c r="Y131" s="68"/>
      <c r="Z131" s="68"/>
      <c r="AA131" s="68"/>
      <c r="AB131" s="68"/>
      <c r="AC131" s="68"/>
      <c r="AD131" s="68"/>
      <c r="AE131" s="68"/>
      <c r="AF131" s="68"/>
      <c r="AG131" s="71"/>
      <c r="AH131" s="71"/>
    </row>
    <row r="132">
      <c r="A132" s="73"/>
      <c r="B132" s="54"/>
      <c r="C132" s="56"/>
      <c r="D132" s="57"/>
      <c r="E132" s="58"/>
      <c r="F132" s="59"/>
      <c r="G132" s="54"/>
      <c r="H132" s="68"/>
      <c r="I132" s="61"/>
      <c r="J132" s="61"/>
      <c r="K132" s="68"/>
      <c r="L132" s="68"/>
      <c r="M132" s="68"/>
      <c r="N132" s="68"/>
      <c r="O132" s="68"/>
      <c r="P132" s="68"/>
      <c r="Q132" s="68"/>
      <c r="R132" s="68"/>
      <c r="S132" s="60"/>
      <c r="T132" s="68"/>
      <c r="U132" s="68"/>
      <c r="V132" s="68"/>
      <c r="W132" s="68"/>
      <c r="X132" s="68"/>
      <c r="Y132" s="68"/>
      <c r="Z132" s="68"/>
      <c r="AA132" s="68"/>
      <c r="AB132" s="68"/>
      <c r="AC132" s="68"/>
      <c r="AD132" s="68"/>
      <c r="AE132" s="68"/>
      <c r="AF132" s="68"/>
      <c r="AG132" s="71"/>
      <c r="AH132" s="71"/>
    </row>
    <row r="133">
      <c r="A133" s="73"/>
      <c r="B133" s="54"/>
      <c r="C133" s="56"/>
      <c r="D133" s="57"/>
      <c r="E133" s="58"/>
      <c r="F133" s="59"/>
      <c r="G133" s="54"/>
      <c r="H133" s="68"/>
      <c r="I133" s="61"/>
      <c r="J133" s="61"/>
      <c r="K133" s="68"/>
      <c r="L133" s="68"/>
      <c r="M133" s="68"/>
      <c r="N133" s="68"/>
      <c r="O133" s="68"/>
      <c r="P133" s="68"/>
      <c r="Q133" s="68"/>
      <c r="R133" s="68"/>
      <c r="S133" s="60"/>
      <c r="T133" s="68"/>
      <c r="U133" s="68"/>
      <c r="V133" s="68"/>
      <c r="W133" s="68"/>
      <c r="X133" s="68"/>
      <c r="Y133" s="68"/>
      <c r="Z133" s="68"/>
      <c r="AA133" s="68"/>
      <c r="AB133" s="68"/>
      <c r="AC133" s="68"/>
      <c r="AD133" s="68"/>
      <c r="AE133" s="68"/>
      <c r="AF133" s="68"/>
      <c r="AG133" s="71"/>
      <c r="AH133" s="71"/>
    </row>
    <row r="134">
      <c r="A134" s="73"/>
      <c r="B134" s="54"/>
      <c r="C134" s="56"/>
      <c r="D134" s="57"/>
      <c r="E134" s="58"/>
      <c r="F134" s="59"/>
      <c r="G134" s="54"/>
      <c r="H134" s="68"/>
      <c r="I134" s="61"/>
      <c r="J134" s="61"/>
      <c r="K134" s="68"/>
      <c r="L134" s="68"/>
      <c r="M134" s="68"/>
      <c r="N134" s="68"/>
      <c r="O134" s="68"/>
      <c r="P134" s="68"/>
      <c r="Q134" s="68"/>
      <c r="R134" s="68"/>
      <c r="S134" s="60"/>
      <c r="T134" s="68"/>
      <c r="U134" s="68"/>
      <c r="V134" s="68"/>
      <c r="W134" s="68"/>
      <c r="X134" s="68"/>
      <c r="Y134" s="68"/>
      <c r="Z134" s="68"/>
      <c r="AA134" s="68"/>
      <c r="AB134" s="68"/>
      <c r="AC134" s="68"/>
      <c r="AD134" s="68"/>
      <c r="AE134" s="68"/>
      <c r="AF134" s="68"/>
      <c r="AG134" s="71"/>
      <c r="AH134" s="71"/>
    </row>
    <row r="135">
      <c r="A135" s="73"/>
      <c r="B135" s="54"/>
      <c r="C135" s="56"/>
      <c r="D135" s="57"/>
      <c r="E135" s="58"/>
      <c r="F135" s="59"/>
      <c r="G135" s="54"/>
      <c r="H135" s="68"/>
      <c r="I135" s="61"/>
      <c r="J135" s="61"/>
      <c r="K135" s="68"/>
      <c r="L135" s="68"/>
      <c r="M135" s="68"/>
      <c r="N135" s="68"/>
      <c r="O135" s="68"/>
      <c r="P135" s="68"/>
      <c r="Q135" s="68"/>
      <c r="R135" s="68"/>
      <c r="S135" s="60"/>
      <c r="T135" s="68"/>
      <c r="U135" s="68"/>
      <c r="V135" s="68"/>
      <c r="W135" s="68"/>
      <c r="X135" s="68"/>
      <c r="Y135" s="68"/>
      <c r="Z135" s="68"/>
      <c r="AA135" s="68"/>
      <c r="AB135" s="68"/>
      <c r="AC135" s="68"/>
      <c r="AD135" s="68"/>
      <c r="AE135" s="68"/>
      <c r="AF135" s="68"/>
      <c r="AG135" s="71"/>
      <c r="AH135" s="71"/>
    </row>
    <row r="136">
      <c r="A136" s="73"/>
      <c r="B136" s="54"/>
      <c r="C136" s="56"/>
      <c r="D136" s="57"/>
      <c r="E136" s="58"/>
      <c r="F136" s="59"/>
      <c r="G136" s="54"/>
      <c r="H136" s="68"/>
      <c r="I136" s="61"/>
      <c r="J136" s="61"/>
      <c r="K136" s="68"/>
      <c r="L136" s="68"/>
      <c r="M136" s="68"/>
      <c r="N136" s="68"/>
      <c r="O136" s="68"/>
      <c r="P136" s="68"/>
      <c r="Q136" s="68"/>
      <c r="R136" s="68"/>
      <c r="S136" s="60"/>
      <c r="T136" s="68"/>
      <c r="U136" s="68"/>
      <c r="V136" s="68"/>
      <c r="W136" s="68"/>
      <c r="X136" s="68"/>
      <c r="Y136" s="68"/>
      <c r="Z136" s="68"/>
      <c r="AA136" s="68"/>
      <c r="AB136" s="68"/>
      <c r="AC136" s="68"/>
      <c r="AD136" s="68"/>
      <c r="AE136" s="68"/>
      <c r="AF136" s="68"/>
      <c r="AG136" s="71"/>
      <c r="AH136" s="71"/>
    </row>
    <row r="137">
      <c r="A137" s="73"/>
      <c r="B137" s="54"/>
      <c r="C137" s="56"/>
      <c r="D137" s="57"/>
      <c r="E137" s="58"/>
      <c r="F137" s="59"/>
      <c r="G137" s="54"/>
      <c r="H137" s="68"/>
      <c r="I137" s="61"/>
      <c r="J137" s="61"/>
      <c r="K137" s="68"/>
      <c r="L137" s="68"/>
      <c r="M137" s="68"/>
      <c r="N137" s="68"/>
      <c r="O137" s="68"/>
      <c r="P137" s="68"/>
      <c r="Q137" s="68"/>
      <c r="R137" s="68"/>
      <c r="S137" s="60"/>
      <c r="T137" s="68"/>
      <c r="U137" s="68"/>
      <c r="V137" s="68"/>
      <c r="W137" s="68"/>
      <c r="X137" s="68"/>
      <c r="Y137" s="68"/>
      <c r="Z137" s="68"/>
      <c r="AA137" s="68"/>
      <c r="AB137" s="68"/>
      <c r="AC137" s="68"/>
      <c r="AD137" s="68"/>
      <c r="AE137" s="68"/>
      <c r="AF137" s="68"/>
      <c r="AG137" s="71"/>
      <c r="AH137" s="71"/>
    </row>
    <row r="138">
      <c r="A138" s="73"/>
      <c r="B138" s="54"/>
      <c r="C138" s="56"/>
      <c r="D138" s="57"/>
      <c r="E138" s="58"/>
      <c r="F138" s="59"/>
      <c r="G138" s="54"/>
      <c r="H138" s="68"/>
      <c r="I138" s="61"/>
      <c r="J138" s="61"/>
      <c r="K138" s="68"/>
      <c r="L138" s="68"/>
      <c r="M138" s="68"/>
      <c r="N138" s="68"/>
      <c r="O138" s="68"/>
      <c r="P138" s="68"/>
      <c r="Q138" s="68"/>
      <c r="R138" s="68"/>
      <c r="S138" s="60"/>
      <c r="T138" s="68"/>
      <c r="U138" s="68"/>
      <c r="V138" s="68"/>
      <c r="W138" s="68"/>
      <c r="X138" s="68"/>
      <c r="Y138" s="68"/>
      <c r="Z138" s="68"/>
      <c r="AA138" s="68"/>
      <c r="AB138" s="68"/>
      <c r="AC138" s="68"/>
      <c r="AD138" s="68"/>
      <c r="AE138" s="68"/>
      <c r="AF138" s="68"/>
      <c r="AG138" s="71"/>
      <c r="AH138" s="71"/>
    </row>
    <row r="139">
      <c r="A139" s="73"/>
      <c r="B139" s="54"/>
      <c r="C139" s="56"/>
      <c r="D139" s="57"/>
      <c r="E139" s="58"/>
      <c r="F139" s="59"/>
      <c r="G139" s="54"/>
      <c r="H139" s="68"/>
      <c r="I139" s="61"/>
      <c r="J139" s="61"/>
      <c r="K139" s="68"/>
      <c r="L139" s="68"/>
      <c r="M139" s="68"/>
      <c r="N139" s="68"/>
      <c r="O139" s="68"/>
      <c r="P139" s="68"/>
      <c r="Q139" s="68"/>
      <c r="R139" s="68"/>
      <c r="S139" s="60"/>
      <c r="T139" s="68"/>
      <c r="U139" s="68"/>
      <c r="V139" s="68"/>
      <c r="W139" s="68"/>
      <c r="X139" s="68"/>
      <c r="Y139" s="68"/>
      <c r="Z139" s="68"/>
      <c r="AA139" s="68"/>
      <c r="AB139" s="68"/>
      <c r="AC139" s="68"/>
      <c r="AD139" s="68"/>
      <c r="AE139" s="68"/>
      <c r="AF139" s="68"/>
      <c r="AG139" s="71"/>
      <c r="AH139" s="71"/>
    </row>
  </sheetData>
  <mergeCells count="13">
    <mergeCell ref="U1:W1"/>
    <mergeCell ref="X1:Z1"/>
    <mergeCell ref="AA1:AC1"/>
    <mergeCell ref="AD1:AF1"/>
    <mergeCell ref="C2:E2"/>
    <mergeCell ref="F2:G2"/>
    <mergeCell ref="A1:B1"/>
    <mergeCell ref="C1:E1"/>
    <mergeCell ref="F1:G1"/>
    <mergeCell ref="H1:J1"/>
    <mergeCell ref="K1:N1"/>
    <mergeCell ref="O1:Q1"/>
    <mergeCell ref="R1:T1"/>
  </mergeCells>
  <conditionalFormatting sqref="B3:B10 B12:B139">
    <cfRule type="expression" dxfId="13" priority="1">
      <formula>VALUE(INDIRECT("B"&amp;ROW()-1))&lt;VALUE(INDIRECT("B"&amp;ROW()))</formula>
    </cfRule>
  </conditionalFormatting>
  <conditionalFormatting sqref="B2">
    <cfRule type="expression" dxfId="14" priority="2">
      <formula>ARRAYFORMULA(OR(VALUE(INDIRECT("B3:B"&amp;(counta(B17:B139)+2)))&lt;VALUE(INDIRECT("B4:B"&amp;(counta(B17:B139)+3)))))</formula>
    </cfRule>
  </conditionalFormatting>
  <hyperlinks>
    <hyperlink r:id="rId2" ref="C1"/>
    <hyperlink r:id="rId3" ref="F1"/>
    <hyperlink r:id="rId4" ref="R3"/>
    <hyperlink r:id="rId5" ref="U3"/>
    <hyperlink r:id="rId6" ref="X3"/>
    <hyperlink r:id="rId7" ref="AA3"/>
    <hyperlink r:id="rId8" ref="R4"/>
    <hyperlink r:id="rId9" ref="U4"/>
    <hyperlink r:id="rId10" ref="X4"/>
    <hyperlink r:id="rId11" ref="AA4"/>
    <hyperlink r:id="rId12" ref="R5"/>
    <hyperlink r:id="rId13" ref="U5"/>
    <hyperlink r:id="rId14" ref="X5"/>
    <hyperlink r:id="rId15" ref="U6"/>
    <hyperlink r:id="rId16" ref="W6"/>
    <hyperlink r:id="rId17" ref="AD6"/>
    <hyperlink r:id="rId18" ref="K7"/>
    <hyperlink r:id="rId19" ref="L7"/>
    <hyperlink r:id="rId20" ref="P7"/>
    <hyperlink r:id="rId21" ref="X7"/>
    <hyperlink r:id="rId22" ref="S8"/>
    <hyperlink r:id="rId23" ref="AA8"/>
    <hyperlink r:id="rId24" ref="AB8"/>
    <hyperlink r:id="rId25" ref="R9"/>
    <hyperlink r:id="rId26" ref="U9"/>
    <hyperlink r:id="rId27" ref="X9"/>
    <hyperlink r:id="rId28" ref="AA9"/>
    <hyperlink r:id="rId29" ref="K10"/>
    <hyperlink r:id="rId30" ref="L10"/>
    <hyperlink r:id="rId31" ref="M10"/>
    <hyperlink r:id="rId32" ref="W11"/>
    <hyperlink r:id="rId33" ref="AD11"/>
    <hyperlink r:id="rId34" ref="L12"/>
    <hyperlink r:id="rId35" ref="AA12"/>
    <hyperlink r:id="rId36" ref="AD13"/>
    <hyperlink r:id="rId37" ref="W14"/>
    <hyperlink r:id="rId38" ref="L15"/>
    <hyperlink r:id="rId39" ref="AD16"/>
    <hyperlink r:id="rId40" ref="W17"/>
    <hyperlink r:id="rId41" ref="S18"/>
    <hyperlink r:id="rId42" ref="R19"/>
    <hyperlink r:id="rId43" ref="U19"/>
    <hyperlink r:id="rId44" ref="X19"/>
    <hyperlink r:id="rId45" ref="AD20"/>
    <hyperlink r:id="rId46" ref="W21"/>
    <hyperlink r:id="rId47" ref="AD22"/>
    <hyperlink r:id="rId48" ref="S23"/>
    <hyperlink r:id="rId49" ref="W24"/>
    <hyperlink r:id="rId50" ref="V25"/>
    <hyperlink r:id="rId51" ref="P26"/>
    <hyperlink r:id="rId52" ref="L27"/>
  </hyperlinks>
  <drawing r:id="rId53"/>
  <legacyDrawing r:id="rId54"/>
  <tableParts count="9">
    <tablePart r:id="rId64"/>
    <tablePart r:id="rId65"/>
    <tablePart r:id="rId66"/>
    <tablePart r:id="rId67"/>
    <tablePart r:id="rId68"/>
    <tablePart r:id="rId69"/>
    <tablePart r:id="rId70"/>
    <tablePart r:id="rId71"/>
    <tablePart r:id="rId7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99" width="10.13"/>
  </cols>
  <sheetData>
    <row r="1">
      <c r="A1" s="22" t="s">
        <v>903</v>
      </c>
      <c r="C1" s="23" t="s">
        <v>10</v>
      </c>
      <c r="F1" s="23" t="s">
        <v>34</v>
      </c>
      <c r="H1" s="356" t="s">
        <v>913</v>
      </c>
      <c r="W1" s="357" t="s">
        <v>916</v>
      </c>
      <c r="AM1" s="359" t="s">
        <v>920</v>
      </c>
      <c r="BG1" s="360" t="s">
        <v>924</v>
      </c>
      <c r="BQ1" s="361" t="s">
        <v>925</v>
      </c>
      <c r="BV1" s="362" t="s">
        <v>927</v>
      </c>
      <c r="CE1" s="356" t="s">
        <v>929</v>
      </c>
      <c r="CM1" s="364" t="s">
        <v>932</v>
      </c>
      <c r="CP1" s="366" t="s">
        <v>935</v>
      </c>
      <c r="CT1" s="367" t="s">
        <v>939</v>
      </c>
      <c r="CU1" s="368" t="s">
        <v>941</v>
      </c>
    </row>
    <row r="2">
      <c r="A2" s="369" t="s">
        <v>43</v>
      </c>
      <c r="B2" s="34" t="s">
        <v>44</v>
      </c>
      <c r="C2" s="34" t="s">
        <v>45</v>
      </c>
      <c r="F2" s="34" t="s">
        <v>946</v>
      </c>
      <c r="H2" s="373" t="s">
        <v>948</v>
      </c>
      <c r="I2" s="373" t="s">
        <v>949</v>
      </c>
      <c r="J2" s="373" t="s">
        <v>950</v>
      </c>
      <c r="K2" s="373" t="s">
        <v>951</v>
      </c>
      <c r="L2" s="373" t="s">
        <v>953</v>
      </c>
      <c r="M2" s="373" t="s">
        <v>954</v>
      </c>
      <c r="N2" s="373" t="s">
        <v>955</v>
      </c>
      <c r="O2" s="373" t="s">
        <v>956</v>
      </c>
      <c r="P2" s="373" t="s">
        <v>957</v>
      </c>
      <c r="Q2" s="373" t="s">
        <v>958</v>
      </c>
      <c r="R2" s="373" t="s">
        <v>960</v>
      </c>
      <c r="S2" s="373" t="s">
        <v>961</v>
      </c>
      <c r="T2" s="373" t="s">
        <v>962</v>
      </c>
      <c r="U2" s="373" t="s">
        <v>963</v>
      </c>
      <c r="V2" s="373" t="s">
        <v>965</v>
      </c>
      <c r="W2" s="377" t="s">
        <v>966</v>
      </c>
      <c r="X2" s="377" t="s">
        <v>967</v>
      </c>
      <c r="Y2" s="377" t="s">
        <v>968</v>
      </c>
      <c r="Z2" s="377" t="s">
        <v>969</v>
      </c>
      <c r="AA2" s="377" t="s">
        <v>971</v>
      </c>
      <c r="AB2" s="377" t="s">
        <v>973</v>
      </c>
      <c r="AC2" s="377" t="s">
        <v>974</v>
      </c>
      <c r="AD2" s="377" t="s">
        <v>976</v>
      </c>
      <c r="AE2" s="377" t="s">
        <v>978</v>
      </c>
      <c r="AF2" s="377" t="s">
        <v>979</v>
      </c>
      <c r="AG2" s="377" t="s">
        <v>980</v>
      </c>
      <c r="AH2" s="377" t="s">
        <v>981</v>
      </c>
      <c r="AI2" s="377" t="s">
        <v>983</v>
      </c>
      <c r="AJ2" s="377" t="s">
        <v>985</v>
      </c>
      <c r="AK2" s="377" t="s">
        <v>986</v>
      </c>
      <c r="AL2" s="377" t="s">
        <v>987</v>
      </c>
      <c r="AM2" s="380" t="s">
        <v>990</v>
      </c>
      <c r="AN2" s="380" t="s">
        <v>991</v>
      </c>
      <c r="AO2" s="380" t="s">
        <v>992</v>
      </c>
      <c r="AP2" s="380" t="s">
        <v>994</v>
      </c>
      <c r="AQ2" s="380" t="s">
        <v>995</v>
      </c>
      <c r="AR2" s="380" t="s">
        <v>996</v>
      </c>
      <c r="AS2" s="380" t="s">
        <v>997</v>
      </c>
      <c r="AT2" s="380" t="s">
        <v>998</v>
      </c>
      <c r="AU2" s="380" t="s">
        <v>1000</v>
      </c>
      <c r="AV2" s="380" t="s">
        <v>1001</v>
      </c>
      <c r="AW2" s="380" t="s">
        <v>1003</v>
      </c>
      <c r="AX2" s="380" t="s">
        <v>1004</v>
      </c>
      <c r="AY2" s="380" t="s">
        <v>1005</v>
      </c>
      <c r="AZ2" s="380" t="s">
        <v>1006</v>
      </c>
      <c r="BA2" s="380" t="s">
        <v>1007</v>
      </c>
      <c r="BB2" s="380" t="s">
        <v>1008</v>
      </c>
      <c r="BC2" s="380" t="s">
        <v>1009</v>
      </c>
      <c r="BD2" s="380" t="s">
        <v>1010</v>
      </c>
      <c r="BE2" s="380" t="s">
        <v>1011</v>
      </c>
      <c r="BF2" s="380" t="s">
        <v>1012</v>
      </c>
      <c r="BG2" s="387" t="s">
        <v>1013</v>
      </c>
      <c r="BH2" s="387" t="s">
        <v>1017</v>
      </c>
      <c r="BI2" s="387" t="s">
        <v>1018</v>
      </c>
      <c r="BJ2" s="387" t="s">
        <v>1019</v>
      </c>
      <c r="BK2" s="387" t="s">
        <v>1020</v>
      </c>
      <c r="BL2" s="387" t="s">
        <v>1021</v>
      </c>
      <c r="BM2" s="387" t="s">
        <v>1022</v>
      </c>
      <c r="BN2" s="387" t="s">
        <v>1023</v>
      </c>
      <c r="BO2" s="387" t="s">
        <v>1024</v>
      </c>
      <c r="BP2" s="387" t="s">
        <v>1025</v>
      </c>
      <c r="BQ2" s="391" t="s">
        <v>1026</v>
      </c>
      <c r="BR2" s="391" t="s">
        <v>1028</v>
      </c>
      <c r="BS2" s="391" t="s">
        <v>1029</v>
      </c>
      <c r="BT2" s="391" t="s">
        <v>1030</v>
      </c>
      <c r="BU2" s="391" t="s">
        <v>1031</v>
      </c>
      <c r="BV2" s="392" t="s">
        <v>1032</v>
      </c>
      <c r="BW2" s="392" t="s">
        <v>1033</v>
      </c>
      <c r="BX2" s="392" t="s">
        <v>1034</v>
      </c>
      <c r="BY2" s="392" t="s">
        <v>1035</v>
      </c>
      <c r="BZ2" s="392" t="s">
        <v>1036</v>
      </c>
      <c r="CA2" s="392" t="s">
        <v>1037</v>
      </c>
      <c r="CB2" s="392" t="s">
        <v>1038</v>
      </c>
      <c r="CC2" s="392" t="s">
        <v>1039</v>
      </c>
      <c r="CD2" s="392" t="s">
        <v>1040</v>
      </c>
      <c r="CE2" s="393" t="s">
        <v>948</v>
      </c>
      <c r="CF2" s="393" t="s">
        <v>951</v>
      </c>
      <c r="CG2" s="393" t="s">
        <v>956</v>
      </c>
      <c r="CH2" s="393" t="s">
        <v>958</v>
      </c>
      <c r="CI2" s="393" t="s">
        <v>960</v>
      </c>
      <c r="CJ2" s="393" t="s">
        <v>963</v>
      </c>
      <c r="CK2" s="393" t="s">
        <v>1042</v>
      </c>
      <c r="CL2" s="393" t="s">
        <v>1043</v>
      </c>
      <c r="CM2" s="395" t="s">
        <v>1044</v>
      </c>
      <c r="CN2" s="395" t="s">
        <v>1045</v>
      </c>
      <c r="CO2" s="395" t="s">
        <v>1046</v>
      </c>
      <c r="CP2" s="39" t="s">
        <v>1047</v>
      </c>
      <c r="CQ2" s="39" t="s">
        <v>1048</v>
      </c>
      <c r="CR2" s="39" t="s">
        <v>1050</v>
      </c>
      <c r="CS2" s="39" t="s">
        <v>1052</v>
      </c>
      <c r="CT2" s="397" t="s">
        <v>1053</v>
      </c>
      <c r="CU2" s="398" t="s">
        <v>1054</v>
      </c>
    </row>
    <row r="3">
      <c r="A3" s="400" t="s">
        <v>170</v>
      </c>
      <c r="B3" s="241" t="s">
        <v>1057</v>
      </c>
      <c r="C3" s="237" t="s">
        <v>1058</v>
      </c>
      <c r="D3" s="238" t="s">
        <v>551</v>
      </c>
      <c r="E3" s="239" t="s">
        <v>539</v>
      </c>
      <c r="F3" s="240" t="s">
        <v>1059</v>
      </c>
      <c r="G3" s="241" t="s">
        <v>1059</v>
      </c>
      <c r="H3" s="70" t="s">
        <v>1060</v>
      </c>
      <c r="I3" s="70" t="s">
        <v>1065</v>
      </c>
      <c r="J3" s="80" t="s">
        <v>1067</v>
      </c>
      <c r="K3" s="70" t="s">
        <v>1070</v>
      </c>
      <c r="L3" s="104" t="s">
        <v>1072</v>
      </c>
      <c r="M3" s="67" t="s">
        <v>1076</v>
      </c>
      <c r="N3" s="67" t="s">
        <v>1077</v>
      </c>
      <c r="O3" s="70" t="s">
        <v>1079</v>
      </c>
      <c r="P3" s="66" t="s">
        <v>1081</v>
      </c>
      <c r="Q3" s="70" t="s">
        <v>1084</v>
      </c>
      <c r="R3" s="70" t="s">
        <v>1087</v>
      </c>
      <c r="S3" s="70" t="s">
        <v>1090</v>
      </c>
      <c r="T3" s="70" t="s">
        <v>1092</v>
      </c>
      <c r="U3" s="70" t="s">
        <v>1094</v>
      </c>
      <c r="V3" s="70" t="s">
        <v>1098</v>
      </c>
      <c r="W3" s="66" t="s">
        <v>1100</v>
      </c>
      <c r="X3" s="70" t="s">
        <v>1104</v>
      </c>
      <c r="Y3" s="70" t="s">
        <v>1108</v>
      </c>
      <c r="Z3" s="69" t="s">
        <v>1115</v>
      </c>
      <c r="AA3" s="67" t="s">
        <v>1118</v>
      </c>
      <c r="AB3" s="69" t="s">
        <v>1124</v>
      </c>
      <c r="AC3" s="70" t="s">
        <v>1127</v>
      </c>
      <c r="AD3" s="70" t="s">
        <v>1132</v>
      </c>
      <c r="AE3" s="66" t="s">
        <v>1138</v>
      </c>
      <c r="AF3" s="70" t="s">
        <v>1140</v>
      </c>
      <c r="AG3" s="66" t="s">
        <v>1141</v>
      </c>
      <c r="AH3" s="67" t="s">
        <v>1146</v>
      </c>
      <c r="AI3" s="70" t="s">
        <v>1147</v>
      </c>
      <c r="AJ3" s="67" t="s">
        <v>1151</v>
      </c>
      <c r="AK3" s="70" t="s">
        <v>1153</v>
      </c>
      <c r="AL3" s="69" t="s">
        <v>1156</v>
      </c>
      <c r="AM3" s="67" t="s">
        <v>1161</v>
      </c>
      <c r="AN3" s="69" t="s">
        <v>1163</v>
      </c>
      <c r="AO3" s="69" t="s">
        <v>1165</v>
      </c>
      <c r="AP3" s="70" t="s">
        <v>1167</v>
      </c>
      <c r="AQ3" s="67" t="s">
        <v>1170</v>
      </c>
      <c r="AR3" s="66" t="s">
        <v>1173</v>
      </c>
      <c r="AS3" s="67" t="s">
        <v>1175</v>
      </c>
      <c r="AT3" s="67" t="s">
        <v>1179</v>
      </c>
      <c r="AU3" s="70" t="s">
        <v>1180</v>
      </c>
      <c r="AV3" s="422" t="s">
        <v>1181</v>
      </c>
      <c r="AW3" s="66" t="s">
        <v>1185</v>
      </c>
      <c r="AX3" s="67" t="s">
        <v>1189</v>
      </c>
      <c r="AY3" s="67" t="s">
        <v>1191</v>
      </c>
      <c r="AZ3" s="67" t="s">
        <v>1192</v>
      </c>
      <c r="BA3" s="67" t="s">
        <v>1198</v>
      </c>
      <c r="BB3" s="66" t="s">
        <v>1200</v>
      </c>
      <c r="BC3" s="70" t="s">
        <v>1203</v>
      </c>
      <c r="BD3" s="70" t="s">
        <v>1205</v>
      </c>
      <c r="BE3" s="66" t="s">
        <v>1211</v>
      </c>
      <c r="BF3" s="67" t="s">
        <v>1216</v>
      </c>
      <c r="BG3" s="70" t="s">
        <v>1217</v>
      </c>
      <c r="BH3" s="69" t="s">
        <v>1223</v>
      </c>
      <c r="BI3" s="69" t="s">
        <v>1225</v>
      </c>
      <c r="BJ3" s="67" t="s">
        <v>1228</v>
      </c>
      <c r="BK3" s="67" t="s">
        <v>1230</v>
      </c>
      <c r="BL3" s="66" t="s">
        <v>1232</v>
      </c>
      <c r="BM3" s="66" t="s">
        <v>1237</v>
      </c>
      <c r="BN3" s="67" t="s">
        <v>1240</v>
      </c>
      <c r="BO3" s="66" t="s">
        <v>1243</v>
      </c>
      <c r="BP3" s="69" t="s">
        <v>1244</v>
      </c>
      <c r="BQ3" s="69" t="s">
        <v>1246</v>
      </c>
      <c r="BR3" s="69" t="s">
        <v>1248</v>
      </c>
      <c r="BS3" s="69" t="s">
        <v>1249</v>
      </c>
      <c r="BT3" s="69" t="s">
        <v>1253</v>
      </c>
      <c r="BU3" s="69" t="s">
        <v>1254</v>
      </c>
      <c r="BV3" s="433" t="s">
        <v>1256</v>
      </c>
      <c r="BW3" s="67" t="s">
        <v>1260</v>
      </c>
      <c r="BX3" s="66" t="s">
        <v>1263</v>
      </c>
      <c r="BY3" s="69" t="s">
        <v>1269</v>
      </c>
      <c r="BZ3" s="67" t="s">
        <v>1272</v>
      </c>
      <c r="CA3" s="69" t="s">
        <v>1276</v>
      </c>
      <c r="CB3" s="69" t="s">
        <v>1278</v>
      </c>
      <c r="CC3" s="69" t="s">
        <v>1281</v>
      </c>
      <c r="CD3" s="438" t="s">
        <v>1283</v>
      </c>
      <c r="CE3" s="66" t="s">
        <v>1285</v>
      </c>
      <c r="CF3" s="67" t="s">
        <v>1287</v>
      </c>
      <c r="CG3" s="67" t="s">
        <v>1289</v>
      </c>
      <c r="CH3" s="69" t="s">
        <v>1290</v>
      </c>
      <c r="CI3" s="67" t="s">
        <v>1294</v>
      </c>
      <c r="CJ3" s="66" t="s">
        <v>1297</v>
      </c>
      <c r="CK3" s="69" t="s">
        <v>1299</v>
      </c>
      <c r="CL3" s="70" t="s">
        <v>1304</v>
      </c>
      <c r="CM3" s="69" t="s">
        <v>1308</v>
      </c>
      <c r="CN3" s="69" t="s">
        <v>1310</v>
      </c>
      <c r="CO3" s="67" t="s">
        <v>1313</v>
      </c>
      <c r="CP3" s="66" t="s">
        <v>1317</v>
      </c>
      <c r="CQ3" s="69" t="s">
        <v>1321</v>
      </c>
      <c r="CR3" s="69" t="s">
        <v>1324</v>
      </c>
      <c r="CS3" s="67" t="s">
        <v>1327</v>
      </c>
      <c r="CT3" s="69" t="s">
        <v>1331</v>
      </c>
      <c r="CU3" s="69" t="s">
        <v>1333</v>
      </c>
    </row>
    <row r="4">
      <c r="A4" s="446" t="s">
        <v>112</v>
      </c>
      <c r="B4" s="241" t="s">
        <v>1339</v>
      </c>
      <c r="C4" s="237" t="s">
        <v>1340</v>
      </c>
      <c r="D4" s="238" t="s">
        <v>306</v>
      </c>
      <c r="E4" s="239" t="s">
        <v>156</v>
      </c>
      <c r="F4" s="240" t="s">
        <v>1342</v>
      </c>
      <c r="G4" s="241" t="s">
        <v>1344</v>
      </c>
      <c r="H4" s="66" t="s">
        <v>1346</v>
      </c>
      <c r="I4" s="69" t="s">
        <v>1349</v>
      </c>
      <c r="J4" s="69" t="s">
        <v>1353</v>
      </c>
      <c r="K4" s="70" t="s">
        <v>1357</v>
      </c>
      <c r="L4" s="69" t="s">
        <v>1360</v>
      </c>
      <c r="M4" s="60"/>
      <c r="N4" s="60"/>
      <c r="O4" s="70" t="s">
        <v>1364</v>
      </c>
      <c r="P4" s="60"/>
      <c r="Q4" s="63" t="s">
        <v>1366</v>
      </c>
      <c r="R4" s="70" t="s">
        <v>1367</v>
      </c>
      <c r="S4" s="60"/>
      <c r="T4" s="69" t="s">
        <v>1368</v>
      </c>
      <c r="U4" s="69" t="s">
        <v>1373</v>
      </c>
      <c r="V4" s="63" t="s">
        <v>1375</v>
      </c>
      <c r="W4" s="60"/>
      <c r="X4" s="66" t="s">
        <v>1378</v>
      </c>
      <c r="Y4" s="67" t="s">
        <v>1380</v>
      </c>
      <c r="Z4" s="60"/>
      <c r="AA4" s="69" t="s">
        <v>1382</v>
      </c>
      <c r="AB4" s="60"/>
      <c r="AC4" s="60"/>
      <c r="AD4" s="63" t="s">
        <v>1384</v>
      </c>
      <c r="AE4" s="74"/>
      <c r="AF4" s="70" t="s">
        <v>1385</v>
      </c>
      <c r="AG4" s="74"/>
      <c r="AH4" s="69" t="s">
        <v>1387</v>
      </c>
      <c r="AI4" s="60"/>
      <c r="AJ4" s="69" t="s">
        <v>599</v>
      </c>
      <c r="AK4" s="67" t="s">
        <v>1392</v>
      </c>
      <c r="AL4" s="454" t="s">
        <v>1394</v>
      </c>
      <c r="AM4" s="69" t="s">
        <v>1397</v>
      </c>
      <c r="AN4" s="60"/>
      <c r="AO4" s="60"/>
      <c r="AP4" s="69" t="s">
        <v>1400</v>
      </c>
      <c r="AQ4" s="69" t="s">
        <v>1402</v>
      </c>
      <c r="AR4" s="69" t="s">
        <v>1405</v>
      </c>
      <c r="AS4" s="69" t="s">
        <v>1409</v>
      </c>
      <c r="AT4" s="69" t="s">
        <v>1412</v>
      </c>
      <c r="AU4" s="69" t="s">
        <v>1413</v>
      </c>
      <c r="AV4" s="69" t="s">
        <v>1415</v>
      </c>
      <c r="AW4" s="69" t="s">
        <v>1418</v>
      </c>
      <c r="AX4" s="69" t="s">
        <v>1405</v>
      </c>
      <c r="AY4" s="60"/>
      <c r="AZ4" s="69" t="s">
        <v>1424</v>
      </c>
      <c r="BA4" s="69" t="s">
        <v>1427</v>
      </c>
      <c r="BB4" s="69" t="s">
        <v>1429</v>
      </c>
      <c r="BC4" s="69" t="s">
        <v>1431</v>
      </c>
      <c r="BD4" s="69" t="s">
        <v>1433</v>
      </c>
      <c r="BE4" s="69" t="s">
        <v>1435</v>
      </c>
      <c r="BF4" s="69" t="s">
        <v>1440</v>
      </c>
      <c r="BG4" s="329" t="s">
        <v>1442</v>
      </c>
      <c r="BH4" s="326"/>
      <c r="BI4" s="326"/>
      <c r="BJ4" s="326"/>
      <c r="BK4" s="463" t="s">
        <v>1445</v>
      </c>
      <c r="BL4" s="326"/>
      <c r="BM4" s="327" t="s">
        <v>1447</v>
      </c>
      <c r="BN4" s="329" t="s">
        <v>1450</v>
      </c>
      <c r="BO4" s="326"/>
      <c r="BP4" s="326"/>
      <c r="BQ4" s="465"/>
      <c r="BR4" s="60"/>
      <c r="BS4" s="67" t="s">
        <v>1453</v>
      </c>
      <c r="BT4" s="60"/>
      <c r="BU4" s="60"/>
      <c r="BV4" s="60"/>
      <c r="BW4" s="60"/>
      <c r="BX4" s="60"/>
      <c r="BY4" s="60"/>
      <c r="BZ4" s="60"/>
      <c r="CA4" s="60"/>
      <c r="CB4" s="60"/>
      <c r="CC4" s="67" t="s">
        <v>1316</v>
      </c>
      <c r="CD4" s="74"/>
      <c r="CE4" s="467" t="s">
        <v>1460</v>
      </c>
      <c r="CF4" s="467" t="s">
        <v>1464</v>
      </c>
      <c r="CG4" s="467" t="s">
        <v>1465</v>
      </c>
      <c r="CH4" s="468"/>
      <c r="CI4" s="467" t="s">
        <v>1470</v>
      </c>
      <c r="CJ4" s="467" t="s">
        <v>1333</v>
      </c>
      <c r="CK4" s="468"/>
      <c r="CL4" s="467" t="s">
        <v>1474</v>
      </c>
      <c r="CM4" s="473" t="s">
        <v>1477</v>
      </c>
      <c r="CN4" s="477" t="s">
        <v>536</v>
      </c>
      <c r="CO4" s="478"/>
      <c r="CP4" s="467" t="s">
        <v>1482</v>
      </c>
      <c r="CQ4" s="478"/>
      <c r="CR4" s="478"/>
      <c r="CS4" s="467" t="s">
        <v>1485</v>
      </c>
      <c r="CT4" s="60"/>
      <c r="CU4" s="60"/>
    </row>
    <row r="5">
      <c r="A5" s="482" t="s">
        <v>131</v>
      </c>
      <c r="B5" s="241" t="s">
        <v>1490</v>
      </c>
      <c r="C5" s="237" t="s">
        <v>79</v>
      </c>
      <c r="D5" s="238" t="s">
        <v>260</v>
      </c>
      <c r="E5" s="239" t="s">
        <v>1492</v>
      </c>
      <c r="F5" s="240" t="s">
        <v>556</v>
      </c>
      <c r="G5" s="241" t="s">
        <v>1494</v>
      </c>
      <c r="H5" s="63" t="s">
        <v>1495</v>
      </c>
      <c r="I5" s="70" t="s">
        <v>1496</v>
      </c>
      <c r="J5" s="63" t="s">
        <v>1501</v>
      </c>
      <c r="K5" s="69" t="s">
        <v>1502</v>
      </c>
      <c r="L5" s="66" t="s">
        <v>1505</v>
      </c>
      <c r="M5" s="66" t="s">
        <v>1509</v>
      </c>
      <c r="N5" s="63" t="s">
        <v>1511</v>
      </c>
      <c r="O5" s="67" t="s">
        <v>1514</v>
      </c>
      <c r="P5" s="69" t="s">
        <v>1516</v>
      </c>
      <c r="Q5" s="67" t="s">
        <v>1520</v>
      </c>
      <c r="R5" s="66" t="s">
        <v>1523</v>
      </c>
      <c r="S5" s="67" t="s">
        <v>1526</v>
      </c>
      <c r="T5" s="66" t="s">
        <v>1528</v>
      </c>
      <c r="U5" s="67" t="s">
        <v>1532</v>
      </c>
      <c r="V5" s="70" t="s">
        <v>1535</v>
      </c>
      <c r="W5" s="63" t="s">
        <v>1540</v>
      </c>
      <c r="X5" s="95" t="s">
        <v>1542</v>
      </c>
      <c r="Y5" s="70" t="s">
        <v>1543</v>
      </c>
      <c r="Z5" s="95" t="s">
        <v>1546</v>
      </c>
      <c r="AA5" s="70" t="s">
        <v>1547</v>
      </c>
      <c r="AB5" s="63"/>
      <c r="AC5" s="63" t="s">
        <v>1549</v>
      </c>
      <c r="AD5" s="63" t="s">
        <v>1550</v>
      </c>
      <c r="AE5" s="63" t="s">
        <v>1551</v>
      </c>
      <c r="AF5" s="95" t="s">
        <v>1553</v>
      </c>
      <c r="AG5" s="70" t="s">
        <v>1555</v>
      </c>
      <c r="AH5" s="70" t="s">
        <v>1558</v>
      </c>
      <c r="AI5" s="95" t="s">
        <v>1563</v>
      </c>
      <c r="AJ5" s="60"/>
      <c r="AK5" s="63"/>
      <c r="AL5" s="63"/>
      <c r="AM5" s="70" t="s">
        <v>1565</v>
      </c>
      <c r="AN5" s="70" t="s">
        <v>1572</v>
      </c>
      <c r="AO5" s="66" t="s">
        <v>1575</v>
      </c>
      <c r="AP5" s="67" t="s">
        <v>1577</v>
      </c>
      <c r="AQ5" s="66" t="s">
        <v>1579</v>
      </c>
      <c r="AR5" s="67" t="s">
        <v>1582</v>
      </c>
      <c r="AS5" s="66" t="s">
        <v>1584</v>
      </c>
      <c r="AT5" s="66" t="s">
        <v>1586</v>
      </c>
      <c r="AU5" s="67" t="s">
        <v>1587</v>
      </c>
      <c r="AV5" s="66" t="s">
        <v>1590</v>
      </c>
      <c r="AW5" s="70" t="s">
        <v>1593</v>
      </c>
      <c r="AX5" s="66" t="s">
        <v>1595</v>
      </c>
      <c r="AY5" s="66" t="s">
        <v>1597</v>
      </c>
      <c r="AZ5" s="95" t="s">
        <v>1601</v>
      </c>
      <c r="BA5" s="66" t="s">
        <v>1602</v>
      </c>
      <c r="BB5" s="70" t="s">
        <v>1606</v>
      </c>
      <c r="BC5" s="66" t="s">
        <v>1608</v>
      </c>
      <c r="BD5" s="67" t="s">
        <v>1611</v>
      </c>
      <c r="BE5" s="63"/>
      <c r="BF5" s="66" t="s">
        <v>1614</v>
      </c>
      <c r="BG5" s="66" t="s">
        <v>1616</v>
      </c>
      <c r="BH5" s="66" t="s">
        <v>1619</v>
      </c>
      <c r="BI5" s="66" t="s">
        <v>1624</v>
      </c>
      <c r="BJ5" s="69" t="s">
        <v>1243</v>
      </c>
      <c r="BK5" s="63"/>
      <c r="BL5" s="67" t="s">
        <v>1629</v>
      </c>
      <c r="BM5" s="95" t="s">
        <v>1631</v>
      </c>
      <c r="BN5" s="63"/>
      <c r="BO5" s="67" t="s">
        <v>1632</v>
      </c>
      <c r="BP5" s="63"/>
      <c r="BQ5" s="63" t="s">
        <v>1636</v>
      </c>
      <c r="BR5" s="60"/>
      <c r="BS5" s="63" t="s">
        <v>1637</v>
      </c>
      <c r="BT5" s="60"/>
      <c r="BU5" s="63" t="s">
        <v>1639</v>
      </c>
      <c r="BV5" s="60"/>
      <c r="BW5" s="68"/>
      <c r="BX5" s="95" t="s">
        <v>1641</v>
      </c>
      <c r="BY5" s="60"/>
      <c r="BZ5" s="60"/>
      <c r="CA5" s="95" t="s">
        <v>1643</v>
      </c>
      <c r="CB5" s="67" t="s">
        <v>661</v>
      </c>
      <c r="CC5" s="70" t="s">
        <v>1646</v>
      </c>
      <c r="CD5" s="95"/>
      <c r="CE5" s="63" t="s">
        <v>1650</v>
      </c>
      <c r="CF5" s="63" t="s">
        <v>1651</v>
      </c>
      <c r="CG5" s="63"/>
      <c r="CH5" s="63"/>
      <c r="CI5" s="63"/>
      <c r="CJ5" s="63"/>
      <c r="CK5" s="63"/>
      <c r="CL5" s="63"/>
      <c r="CM5" s="63"/>
      <c r="CN5" s="67" t="s">
        <v>1653</v>
      </c>
      <c r="CO5" s="69" t="s">
        <v>1655</v>
      </c>
      <c r="CP5" s="67" t="s">
        <v>1658</v>
      </c>
      <c r="CQ5" s="63" t="s">
        <v>1660</v>
      </c>
      <c r="CR5" s="63"/>
      <c r="CS5" s="63"/>
      <c r="CT5" s="95" t="s">
        <v>1661</v>
      </c>
      <c r="CU5" s="63"/>
    </row>
    <row r="6">
      <c r="A6" s="513" t="s">
        <v>95</v>
      </c>
      <c r="B6" s="241" t="s">
        <v>1667</v>
      </c>
      <c r="C6" s="237" t="s">
        <v>156</v>
      </c>
      <c r="D6" s="238" t="s">
        <v>261</v>
      </c>
      <c r="E6" s="239" t="s">
        <v>79</v>
      </c>
      <c r="F6" s="240" t="s">
        <v>74</v>
      </c>
      <c r="G6" s="241" t="s">
        <v>1671</v>
      </c>
      <c r="H6" s="63" t="s">
        <v>1673</v>
      </c>
      <c r="I6" s="63" t="s">
        <v>1675</v>
      </c>
      <c r="J6" s="63"/>
      <c r="K6" s="67" t="s">
        <v>1676</v>
      </c>
      <c r="L6" s="67" t="s">
        <v>1684</v>
      </c>
      <c r="M6" s="63"/>
      <c r="N6" s="63"/>
      <c r="O6" s="70" t="s">
        <v>1692</v>
      </c>
      <c r="P6" s="63" t="s">
        <v>1697</v>
      </c>
      <c r="Q6" s="63" t="s">
        <v>1698</v>
      </c>
      <c r="R6" s="67" t="s">
        <v>1699</v>
      </c>
      <c r="S6" s="63"/>
      <c r="T6" s="70" t="s">
        <v>1708</v>
      </c>
      <c r="U6" s="66" t="s">
        <v>1711</v>
      </c>
      <c r="V6" s="69" t="s">
        <v>1717</v>
      </c>
      <c r="W6" s="63" t="s">
        <v>552</v>
      </c>
      <c r="X6" s="63"/>
      <c r="Y6" s="63" t="s">
        <v>1725</v>
      </c>
      <c r="Z6" s="66" t="s">
        <v>1726</v>
      </c>
      <c r="AA6" s="66" t="s">
        <v>1733</v>
      </c>
      <c r="AB6" s="74"/>
      <c r="AC6" s="63" t="s">
        <v>1741</v>
      </c>
      <c r="AD6" s="60"/>
      <c r="AE6" s="67" t="s">
        <v>1745</v>
      </c>
      <c r="AF6" s="63" t="s">
        <v>1751</v>
      </c>
      <c r="AG6" s="63"/>
      <c r="AH6" s="63" t="s">
        <v>215</v>
      </c>
      <c r="AI6" s="63" t="s">
        <v>1753</v>
      </c>
      <c r="AJ6" s="60"/>
      <c r="AK6" s="63"/>
      <c r="AL6" s="63"/>
      <c r="AM6" s="63" t="s">
        <v>1757</v>
      </c>
      <c r="AN6" s="60"/>
      <c r="AO6" s="60"/>
      <c r="AP6" s="66" t="s">
        <v>1758</v>
      </c>
      <c r="AQ6" s="70" t="s">
        <v>1765</v>
      </c>
      <c r="AR6" s="63" t="s">
        <v>1769</v>
      </c>
      <c r="AS6" s="63"/>
      <c r="AT6" s="63" t="s">
        <v>1771</v>
      </c>
      <c r="AU6" s="70" t="s">
        <v>1773</v>
      </c>
      <c r="AV6" s="63"/>
      <c r="AW6" s="422" t="s">
        <v>1780</v>
      </c>
      <c r="AX6" s="410"/>
      <c r="AY6" s="410" t="s">
        <v>1786</v>
      </c>
      <c r="AZ6" s="63" t="s">
        <v>1671</v>
      </c>
      <c r="BA6" s="63"/>
      <c r="BB6" s="63" t="s">
        <v>1788</v>
      </c>
      <c r="BC6" s="67" t="s">
        <v>1791</v>
      </c>
      <c r="BD6" s="63" t="s">
        <v>1795</v>
      </c>
      <c r="BE6" s="63"/>
      <c r="BF6" s="63"/>
      <c r="BG6" s="67" t="s">
        <v>1800</v>
      </c>
      <c r="BH6" s="63"/>
      <c r="BI6" s="67" t="s">
        <v>1802</v>
      </c>
      <c r="BJ6" s="63"/>
      <c r="BK6" s="63" t="s">
        <v>1805</v>
      </c>
      <c r="BL6" s="69" t="s">
        <v>1807</v>
      </c>
      <c r="BM6" s="63"/>
      <c r="BN6" s="63"/>
      <c r="BO6" s="69" t="s">
        <v>1812</v>
      </c>
      <c r="BP6" s="63" t="s">
        <v>1817</v>
      </c>
      <c r="BQ6" s="60"/>
      <c r="BR6" s="60"/>
      <c r="BS6" s="60"/>
      <c r="BT6" s="60"/>
      <c r="BU6" s="60"/>
      <c r="BV6" s="63"/>
      <c r="BW6" s="63" t="s">
        <v>1823</v>
      </c>
      <c r="BX6" s="63"/>
      <c r="BY6" s="63"/>
      <c r="BZ6" s="63"/>
      <c r="CA6" s="63"/>
      <c r="CB6" s="63" t="s">
        <v>1828</v>
      </c>
      <c r="CC6" s="63"/>
      <c r="CD6" s="63"/>
      <c r="CE6" s="63"/>
      <c r="CF6" s="63"/>
      <c r="CG6" s="63"/>
      <c r="CH6" s="63"/>
      <c r="CI6" s="63"/>
      <c r="CJ6" s="63"/>
      <c r="CK6" s="63"/>
      <c r="CL6" s="63"/>
      <c r="CM6" s="63"/>
      <c r="CN6" s="63"/>
      <c r="CO6" s="63"/>
      <c r="CP6" s="63"/>
      <c r="CQ6" s="63"/>
      <c r="CR6" s="63"/>
      <c r="CS6" s="63"/>
      <c r="CT6" s="63"/>
      <c r="CU6" s="63"/>
    </row>
    <row r="7">
      <c r="A7" s="528" t="s">
        <v>71</v>
      </c>
      <c r="B7" s="241" t="s">
        <v>1841</v>
      </c>
      <c r="C7" s="237" t="s">
        <v>76</v>
      </c>
      <c r="D7" s="238" t="s">
        <v>156</v>
      </c>
      <c r="E7" s="239" t="s">
        <v>127</v>
      </c>
      <c r="F7" s="240" t="s">
        <v>1845</v>
      </c>
      <c r="G7" s="241" t="s">
        <v>1340</v>
      </c>
      <c r="H7" s="530" t="s">
        <v>1849</v>
      </c>
      <c r="I7" s="530" t="s">
        <v>1855</v>
      </c>
      <c r="J7" s="60"/>
      <c r="K7" s="63" t="s">
        <v>1859</v>
      </c>
      <c r="L7" s="60"/>
      <c r="M7" s="70" t="s">
        <v>1861</v>
      </c>
      <c r="N7" s="60"/>
      <c r="O7" s="70" t="s">
        <v>1867</v>
      </c>
      <c r="P7" s="70" t="s">
        <v>1872</v>
      </c>
      <c r="Q7" s="60"/>
      <c r="R7" s="70" t="s">
        <v>1878</v>
      </c>
      <c r="S7" s="60"/>
      <c r="T7" s="63" t="s">
        <v>1882</v>
      </c>
      <c r="U7" s="70" t="s">
        <v>1884</v>
      </c>
      <c r="V7" s="67" t="s">
        <v>1888</v>
      </c>
      <c r="W7" s="70" t="s">
        <v>267</v>
      </c>
      <c r="X7" s="70" t="s">
        <v>1772</v>
      </c>
      <c r="Y7" s="70" t="s">
        <v>1899</v>
      </c>
      <c r="Z7" s="67" t="s">
        <v>1902</v>
      </c>
      <c r="AA7" s="74"/>
      <c r="AB7" s="535" t="s">
        <v>1905</v>
      </c>
      <c r="AC7" s="70" t="s">
        <v>1909</v>
      </c>
      <c r="AD7" s="70" t="s">
        <v>1913</v>
      </c>
      <c r="AE7" s="74"/>
      <c r="AF7" s="66" t="s">
        <v>1915</v>
      </c>
      <c r="AG7" s="60"/>
      <c r="AH7" s="70" t="s">
        <v>1921</v>
      </c>
      <c r="AI7" s="67" t="s">
        <v>1925</v>
      </c>
      <c r="AJ7" s="60"/>
      <c r="AK7" s="70" t="s">
        <v>1932</v>
      </c>
      <c r="AL7" s="60"/>
      <c r="AM7" s="70" t="s">
        <v>1937</v>
      </c>
      <c r="AN7" s="63" t="s">
        <v>1943</v>
      </c>
      <c r="AO7" s="63" t="s">
        <v>1944</v>
      </c>
      <c r="AP7" s="70" t="s">
        <v>1945</v>
      </c>
      <c r="AQ7" s="60"/>
      <c r="AR7" s="63" t="s">
        <v>1947</v>
      </c>
      <c r="AS7" s="60"/>
      <c r="AT7" s="70" t="s">
        <v>1949</v>
      </c>
      <c r="AU7" s="70" t="s">
        <v>1951</v>
      </c>
      <c r="AV7" s="60"/>
      <c r="AW7" s="70" t="s">
        <v>1956</v>
      </c>
      <c r="AX7" s="60"/>
      <c r="AY7" s="60"/>
      <c r="AZ7" s="70" t="s">
        <v>1961</v>
      </c>
      <c r="BA7" s="70" t="s">
        <v>1964</v>
      </c>
      <c r="BB7" s="70" t="s">
        <v>1968</v>
      </c>
      <c r="BC7" s="70" t="s">
        <v>1971</v>
      </c>
      <c r="BD7" s="70" t="s">
        <v>1788</v>
      </c>
      <c r="BE7" s="60"/>
      <c r="BF7" s="60"/>
      <c r="BG7" s="60"/>
      <c r="BH7" s="60"/>
      <c r="BI7" s="60"/>
      <c r="BJ7" s="60"/>
      <c r="BK7" s="60"/>
      <c r="BL7" s="60"/>
      <c r="BM7" s="60"/>
      <c r="BN7" s="60"/>
      <c r="BO7" s="60"/>
      <c r="BP7" s="60"/>
      <c r="BQ7" s="60"/>
      <c r="BR7" s="60"/>
      <c r="BS7" s="60"/>
      <c r="BT7" s="60"/>
      <c r="BU7" s="60"/>
      <c r="BV7" s="60"/>
      <c r="BW7" s="69" t="s">
        <v>1988</v>
      </c>
      <c r="BX7" s="70" t="s">
        <v>1990</v>
      </c>
      <c r="BY7" s="60"/>
      <c r="BZ7" s="60"/>
      <c r="CA7" s="68"/>
      <c r="CB7" s="60"/>
      <c r="CC7" s="60"/>
      <c r="CD7" s="68"/>
      <c r="CE7" s="60"/>
      <c r="CF7" s="60"/>
      <c r="CG7" s="60"/>
      <c r="CH7" s="60"/>
      <c r="CI7" s="60"/>
      <c r="CJ7" s="60"/>
      <c r="CK7" s="60"/>
      <c r="CL7" s="60"/>
      <c r="CM7" s="60"/>
      <c r="CN7" s="60"/>
      <c r="CO7" s="60"/>
      <c r="CP7" s="60"/>
      <c r="CQ7" s="60"/>
      <c r="CR7" s="60"/>
      <c r="CS7" s="60"/>
      <c r="CT7" s="60"/>
      <c r="CU7" s="60"/>
    </row>
    <row r="8">
      <c r="A8" s="559" t="s">
        <v>2001</v>
      </c>
      <c r="B8" s="241" t="s">
        <v>2005</v>
      </c>
      <c r="C8" s="237" t="s">
        <v>76</v>
      </c>
      <c r="D8" s="238" t="s">
        <v>79</v>
      </c>
      <c r="E8" s="239" t="s">
        <v>157</v>
      </c>
      <c r="F8" s="240" t="s">
        <v>2007</v>
      </c>
      <c r="G8" s="241" t="s">
        <v>263</v>
      </c>
      <c r="H8" s="560"/>
      <c r="I8" s="530" t="s">
        <v>2010</v>
      </c>
      <c r="J8" s="60"/>
      <c r="K8" s="70" t="s">
        <v>2015</v>
      </c>
      <c r="L8" s="63" t="s">
        <v>2021</v>
      </c>
      <c r="M8" s="125" t="s">
        <v>2023</v>
      </c>
      <c r="N8" s="60"/>
      <c r="O8" s="70" t="s">
        <v>2026</v>
      </c>
      <c r="P8" s="70" t="s">
        <v>2029</v>
      </c>
      <c r="Q8" s="60"/>
      <c r="R8" s="70" t="s">
        <v>2034</v>
      </c>
      <c r="S8" s="70" t="s">
        <v>2037</v>
      </c>
      <c r="T8" s="60"/>
      <c r="U8" s="70" t="s">
        <v>2040</v>
      </c>
      <c r="V8" s="74"/>
      <c r="W8" s="63" t="s">
        <v>2046</v>
      </c>
      <c r="X8" s="70" t="s">
        <v>2047</v>
      </c>
      <c r="Y8" s="70" t="s">
        <v>2051</v>
      </c>
      <c r="Z8" s="60"/>
      <c r="AA8" s="60"/>
      <c r="AB8" s="60"/>
      <c r="AC8" s="70" t="s">
        <v>2056</v>
      </c>
      <c r="AD8" s="125" t="s">
        <v>499</v>
      </c>
      <c r="AE8" s="60"/>
      <c r="AF8" s="70" t="s">
        <v>2060</v>
      </c>
      <c r="AG8" s="69" t="s">
        <v>2063</v>
      </c>
      <c r="AH8" s="95" t="s">
        <v>2068</v>
      </c>
      <c r="AI8" s="66" t="s">
        <v>2069</v>
      </c>
      <c r="AJ8" s="60"/>
      <c r="AK8" s="95" t="s">
        <v>2072</v>
      </c>
      <c r="AL8" s="63"/>
      <c r="AM8" s="70" t="s">
        <v>2074</v>
      </c>
      <c r="AN8" s="60"/>
      <c r="AO8" s="60"/>
      <c r="AP8" s="70" t="s">
        <v>2078</v>
      </c>
      <c r="AQ8" s="70" t="s">
        <v>2087</v>
      </c>
      <c r="AR8" s="70" t="s">
        <v>2096</v>
      </c>
      <c r="AS8" s="63" t="s">
        <v>2097</v>
      </c>
      <c r="AT8" s="70" t="s">
        <v>2099</v>
      </c>
      <c r="AU8" s="70" t="s">
        <v>2106</v>
      </c>
      <c r="AV8" s="60"/>
      <c r="AW8" s="63" t="s">
        <v>2074</v>
      </c>
      <c r="AX8" s="60"/>
      <c r="AY8" s="60"/>
      <c r="AZ8" s="66" t="s">
        <v>2127</v>
      </c>
      <c r="BA8" s="74"/>
      <c r="BB8" s="70" t="s">
        <v>2134</v>
      </c>
      <c r="BC8" s="70" t="s">
        <v>2138</v>
      </c>
      <c r="BD8" s="66" t="s">
        <v>2149</v>
      </c>
      <c r="BE8" s="60"/>
      <c r="BF8" s="60"/>
      <c r="BG8" s="326"/>
      <c r="BH8" s="326"/>
      <c r="BI8" s="326"/>
      <c r="BJ8" s="326"/>
      <c r="BK8" s="326"/>
      <c r="BL8" s="326"/>
      <c r="BM8" s="326"/>
      <c r="BN8" s="326"/>
      <c r="BO8" s="326"/>
      <c r="BP8" s="326"/>
      <c r="BQ8" s="60"/>
      <c r="BR8" s="60"/>
      <c r="BS8" s="60"/>
      <c r="BT8" s="60"/>
      <c r="BU8" s="60"/>
      <c r="BV8" s="60"/>
      <c r="BW8" s="68"/>
      <c r="BX8" s="60"/>
      <c r="BY8" s="60"/>
      <c r="BZ8" s="60"/>
      <c r="CA8" s="68"/>
      <c r="CB8" s="60"/>
      <c r="CC8" s="60"/>
      <c r="CD8" s="68"/>
      <c r="CE8" s="473" t="s">
        <v>2163</v>
      </c>
      <c r="CF8" s="477" t="s">
        <v>2166</v>
      </c>
      <c r="CG8" s="477" t="s">
        <v>2173</v>
      </c>
      <c r="CH8" s="468"/>
      <c r="CI8" s="468"/>
      <c r="CJ8" s="473" t="s">
        <v>2183</v>
      </c>
      <c r="CK8" s="468"/>
      <c r="CL8" s="473" t="s">
        <v>2189</v>
      </c>
      <c r="CM8" s="468"/>
      <c r="CN8" s="592" t="s">
        <v>1694</v>
      </c>
      <c r="CO8" s="468"/>
      <c r="CP8" s="468"/>
      <c r="CQ8" s="468"/>
      <c r="CR8" s="473" t="s">
        <v>2007</v>
      </c>
      <c r="CS8" s="468"/>
      <c r="CT8" s="60"/>
      <c r="CU8" s="60"/>
    </row>
    <row r="9">
      <c r="A9" s="593" t="s">
        <v>2204</v>
      </c>
      <c r="B9" s="241" t="s">
        <v>2206</v>
      </c>
      <c r="C9" s="237" t="s">
        <v>155</v>
      </c>
      <c r="D9" s="238" t="s">
        <v>127</v>
      </c>
      <c r="E9" s="239" t="s">
        <v>306</v>
      </c>
      <c r="F9" s="240" t="s">
        <v>1492</v>
      </c>
      <c r="G9" s="241" t="s">
        <v>2007</v>
      </c>
      <c r="H9" s="70" t="s">
        <v>2212</v>
      </c>
      <c r="I9" s="70" t="s">
        <v>2215</v>
      </c>
      <c r="J9" s="74"/>
      <c r="K9" s="60"/>
      <c r="L9" s="60"/>
      <c r="M9" s="60"/>
      <c r="N9" s="60"/>
      <c r="O9" s="60"/>
      <c r="P9" s="63" t="s">
        <v>2225</v>
      </c>
      <c r="Q9" s="60"/>
      <c r="R9" s="70" t="s">
        <v>2226</v>
      </c>
      <c r="S9" s="60"/>
      <c r="T9" s="60"/>
      <c r="U9" s="602" t="s">
        <v>2232</v>
      </c>
      <c r="V9" s="74"/>
      <c r="W9" s="604" t="s">
        <v>1783</v>
      </c>
      <c r="X9" s="163" t="s">
        <v>2235</v>
      </c>
      <c r="Y9" s="521" t="s">
        <v>2237</v>
      </c>
      <c r="Z9" s="74"/>
      <c r="AA9" s="74" t="s">
        <v>2239</v>
      </c>
      <c r="AB9" s="74"/>
      <c r="AC9" s="66" t="s">
        <v>2240</v>
      </c>
      <c r="AD9" s="70" t="s">
        <v>807</v>
      </c>
      <c r="AE9" s="74"/>
      <c r="AF9" s="74"/>
      <c r="AG9" s="74"/>
      <c r="AH9" s="60"/>
      <c r="AI9" s="60"/>
      <c r="AJ9" s="60"/>
      <c r="AK9" s="95" t="s">
        <v>933</v>
      </c>
      <c r="AL9" s="63"/>
      <c r="AM9" s="66" t="s">
        <v>2249</v>
      </c>
      <c r="AN9" s="95" t="s">
        <v>2074</v>
      </c>
      <c r="AO9" s="60"/>
      <c r="AP9" s="70" t="s">
        <v>2252</v>
      </c>
      <c r="AQ9" s="74"/>
      <c r="AR9" s="60"/>
      <c r="AS9" s="60"/>
      <c r="AT9" s="70" t="s">
        <v>2256</v>
      </c>
      <c r="AU9" s="63"/>
      <c r="AV9" s="63"/>
      <c r="AW9" s="70" t="s">
        <v>2259</v>
      </c>
      <c r="AX9" s="60"/>
      <c r="AY9" s="60"/>
      <c r="AZ9" s="60"/>
      <c r="BA9" s="60"/>
      <c r="BB9" s="70" t="s">
        <v>2266</v>
      </c>
      <c r="BC9" s="95" t="s">
        <v>2269</v>
      </c>
      <c r="BD9" s="60"/>
      <c r="BE9" s="60"/>
      <c r="BF9" s="60"/>
      <c r="BG9" s="326"/>
      <c r="BH9" s="416" t="s">
        <v>2271</v>
      </c>
      <c r="BI9" s="326"/>
      <c r="BJ9" s="326"/>
      <c r="BK9" s="326"/>
      <c r="BL9" s="326"/>
      <c r="BM9" s="326"/>
      <c r="BN9" s="326"/>
      <c r="BO9" s="326"/>
      <c r="BP9" s="326"/>
      <c r="BQ9" s="60"/>
      <c r="BR9" s="60"/>
      <c r="BS9" s="66" t="s">
        <v>2273</v>
      </c>
      <c r="BT9" s="60"/>
      <c r="BU9" s="60"/>
      <c r="BV9" s="607" t="s">
        <v>1481</v>
      </c>
      <c r="BW9" s="66" t="s">
        <v>2277</v>
      </c>
      <c r="BX9" s="67" t="s">
        <v>1437</v>
      </c>
      <c r="BY9" s="602" t="s">
        <v>2281</v>
      </c>
      <c r="BZ9" s="74"/>
      <c r="CA9" s="67" t="s">
        <v>2283</v>
      </c>
      <c r="CB9" s="602" t="s">
        <v>2287</v>
      </c>
      <c r="CC9" s="535" t="s">
        <v>1126</v>
      </c>
      <c r="CD9" s="121"/>
      <c r="CE9" s="468"/>
      <c r="CF9" s="468"/>
      <c r="CG9" s="468"/>
      <c r="CH9" s="468"/>
      <c r="CI9" s="468"/>
      <c r="CJ9" s="468"/>
      <c r="CK9" s="468"/>
      <c r="CL9" s="468"/>
      <c r="CM9" s="477" t="s">
        <v>2294</v>
      </c>
      <c r="CN9" s="468"/>
      <c r="CO9" s="468"/>
      <c r="CP9" s="468"/>
      <c r="CQ9" s="608" t="s">
        <v>2299</v>
      </c>
      <c r="CR9" s="468"/>
      <c r="CS9" s="468"/>
      <c r="CT9" s="74"/>
      <c r="CU9" s="74"/>
    </row>
    <row r="10">
      <c r="A10" s="609" t="s">
        <v>2302</v>
      </c>
      <c r="B10" s="241" t="s">
        <v>2304</v>
      </c>
      <c r="C10" s="237" t="s">
        <v>155</v>
      </c>
      <c r="D10" s="238" t="s">
        <v>127</v>
      </c>
      <c r="E10" s="239" t="s">
        <v>127</v>
      </c>
      <c r="F10" s="240" t="s">
        <v>2189</v>
      </c>
      <c r="G10" s="241" t="s">
        <v>1695</v>
      </c>
      <c r="H10" s="530" t="s">
        <v>2307</v>
      </c>
      <c r="I10" s="530" t="s">
        <v>2312</v>
      </c>
      <c r="J10" s="60"/>
      <c r="K10" s="70" t="s">
        <v>2317</v>
      </c>
      <c r="L10" s="70" t="s">
        <v>2321</v>
      </c>
      <c r="M10" s="60"/>
      <c r="N10" s="60"/>
      <c r="O10" s="70" t="s">
        <v>2327</v>
      </c>
      <c r="P10" s="70" t="s">
        <v>2330</v>
      </c>
      <c r="Q10" s="66" t="s">
        <v>2332</v>
      </c>
      <c r="R10" s="70" t="s">
        <v>2337</v>
      </c>
      <c r="S10" s="70" t="s">
        <v>2340</v>
      </c>
      <c r="T10" s="70" t="s">
        <v>2345</v>
      </c>
      <c r="U10" s="70" t="s">
        <v>2350</v>
      </c>
      <c r="V10" s="60"/>
      <c r="W10" s="60"/>
      <c r="X10" s="70" t="s">
        <v>433</v>
      </c>
      <c r="Y10" s="125" t="s">
        <v>2359</v>
      </c>
      <c r="Z10" s="60"/>
      <c r="AA10" s="70" t="s">
        <v>1825</v>
      </c>
      <c r="AB10" s="60"/>
      <c r="AC10" s="70" t="s">
        <v>2361</v>
      </c>
      <c r="AD10" s="70" t="s">
        <v>2362</v>
      </c>
      <c r="AE10" s="70" t="s">
        <v>2368</v>
      </c>
      <c r="AF10" s="60"/>
      <c r="AG10" s="60"/>
      <c r="AH10" s="60"/>
      <c r="AI10" s="60"/>
      <c r="AJ10" s="60"/>
      <c r="AK10" s="60"/>
      <c r="AL10" s="60"/>
      <c r="AM10" s="63" t="s">
        <v>2371</v>
      </c>
      <c r="AN10" s="67" t="s">
        <v>2373</v>
      </c>
      <c r="AO10" s="60"/>
      <c r="AP10" s="613" t="s">
        <v>2371</v>
      </c>
      <c r="AQ10" s="70" t="s">
        <v>2386</v>
      </c>
      <c r="AR10" s="70" t="s">
        <v>2397</v>
      </c>
      <c r="AS10" s="60"/>
      <c r="AT10" s="70" t="s">
        <v>2403</v>
      </c>
      <c r="AU10" s="70" t="s">
        <v>1800</v>
      </c>
      <c r="AV10" s="70" t="s">
        <v>2415</v>
      </c>
      <c r="AW10" s="70" t="s">
        <v>2422</v>
      </c>
      <c r="AX10" s="70" t="s">
        <v>2427</v>
      </c>
      <c r="AY10" s="60"/>
      <c r="AZ10" s="60"/>
      <c r="BA10" s="60"/>
      <c r="BB10" s="70" t="s">
        <v>1800</v>
      </c>
      <c r="BC10" s="60"/>
      <c r="BD10" s="70" t="s">
        <v>2435</v>
      </c>
      <c r="BE10" s="67" t="s">
        <v>2439</v>
      </c>
      <c r="BF10" s="60"/>
      <c r="BG10" s="619" t="s">
        <v>2446</v>
      </c>
      <c r="BH10" s="620"/>
      <c r="BI10" s="620"/>
      <c r="BJ10" s="620"/>
      <c r="BK10" s="620"/>
      <c r="BL10" s="620"/>
      <c r="BM10" s="620"/>
      <c r="BN10" s="620"/>
      <c r="BO10" s="620"/>
      <c r="BP10" s="620"/>
      <c r="BQ10" s="60"/>
      <c r="BR10" s="60"/>
      <c r="BS10" s="60"/>
      <c r="BT10" s="60"/>
      <c r="BU10" s="60"/>
      <c r="BV10" s="60"/>
      <c r="BW10" s="68"/>
      <c r="BX10" s="60"/>
      <c r="BY10" s="60"/>
      <c r="BZ10" s="60"/>
      <c r="CA10" s="68"/>
      <c r="CB10" s="60"/>
      <c r="CC10" s="60"/>
      <c r="CD10" s="68"/>
      <c r="CE10" s="468"/>
      <c r="CF10" s="468"/>
      <c r="CG10" s="468"/>
      <c r="CH10" s="468"/>
      <c r="CI10" s="468"/>
      <c r="CJ10" s="468"/>
      <c r="CK10" s="468"/>
      <c r="CL10" s="468"/>
      <c r="CM10" s="468"/>
      <c r="CN10" s="468"/>
      <c r="CO10" s="468"/>
      <c r="CP10" s="468"/>
      <c r="CQ10" s="468"/>
      <c r="CR10" s="468"/>
      <c r="CS10" s="468"/>
      <c r="CT10" s="66" t="s">
        <v>2475</v>
      </c>
      <c r="CU10" s="60"/>
    </row>
    <row r="11">
      <c r="A11" s="621" t="s">
        <v>2496</v>
      </c>
      <c r="B11" s="241" t="s">
        <v>2500</v>
      </c>
      <c r="C11" s="237" t="s">
        <v>76</v>
      </c>
      <c r="D11" s="238" t="s">
        <v>127</v>
      </c>
      <c r="E11" s="239" t="s">
        <v>76</v>
      </c>
      <c r="F11" s="240" t="s">
        <v>1016</v>
      </c>
      <c r="G11" s="241" t="s">
        <v>2507</v>
      </c>
      <c r="H11" s="560"/>
      <c r="I11" s="560" t="s">
        <v>2509</v>
      </c>
      <c r="J11" s="60"/>
      <c r="K11" s="63" t="s">
        <v>2510</v>
      </c>
      <c r="L11" s="70" t="s">
        <v>2511</v>
      </c>
      <c r="M11" s="63" t="s">
        <v>2015</v>
      </c>
      <c r="N11" s="60"/>
      <c r="O11" s="63" t="s">
        <v>2517</v>
      </c>
      <c r="P11" s="63" t="s">
        <v>2519</v>
      </c>
      <c r="Q11" s="63" t="s">
        <v>2520</v>
      </c>
      <c r="R11" s="63" t="s">
        <v>2522</v>
      </c>
      <c r="S11" s="70" t="s">
        <v>2524</v>
      </c>
      <c r="T11" s="60"/>
      <c r="U11" s="63" t="s">
        <v>2529</v>
      </c>
      <c r="V11" s="60"/>
      <c r="W11" s="63" t="s">
        <v>2530</v>
      </c>
      <c r="X11" s="70" t="s">
        <v>2531</v>
      </c>
      <c r="Y11" s="70" t="s">
        <v>2537</v>
      </c>
      <c r="Z11" s="60"/>
      <c r="AA11" s="70" t="s">
        <v>2541</v>
      </c>
      <c r="AB11" s="60"/>
      <c r="AC11" s="63" t="s">
        <v>2548</v>
      </c>
      <c r="AD11" s="63" t="s">
        <v>2550</v>
      </c>
      <c r="AE11" s="63"/>
      <c r="AF11" s="63" t="s">
        <v>343</v>
      </c>
      <c r="AG11" s="60"/>
      <c r="AH11" s="60"/>
      <c r="AI11" s="60"/>
      <c r="AJ11" s="60"/>
      <c r="AK11" s="60"/>
      <c r="AL11" s="60"/>
      <c r="AM11" s="70" t="s">
        <v>2556</v>
      </c>
      <c r="AN11" s="67" t="s">
        <v>2373</v>
      </c>
      <c r="AO11" s="67" t="s">
        <v>2576</v>
      </c>
      <c r="AP11" s="63" t="s">
        <v>2422</v>
      </c>
      <c r="AQ11" s="63" t="s">
        <v>2422</v>
      </c>
      <c r="AR11" s="70" t="s">
        <v>2577</v>
      </c>
      <c r="AS11" s="63" t="s">
        <v>1225</v>
      </c>
      <c r="AT11" s="63"/>
      <c r="AU11" s="66" t="s">
        <v>2582</v>
      </c>
      <c r="AV11" s="63" t="s">
        <v>2256</v>
      </c>
      <c r="AW11" s="63" t="s">
        <v>2593</v>
      </c>
      <c r="AX11" s="60"/>
      <c r="AY11" s="69" t="s">
        <v>2594</v>
      </c>
      <c r="AZ11" s="63" t="s">
        <v>1601</v>
      </c>
      <c r="BA11" s="63"/>
      <c r="BB11" s="63" t="s">
        <v>1205</v>
      </c>
      <c r="BC11" s="95" t="s">
        <v>2605</v>
      </c>
      <c r="BD11" s="95" t="s">
        <v>2606</v>
      </c>
      <c r="BE11" s="63"/>
      <c r="BF11" s="63"/>
      <c r="BG11" s="326"/>
      <c r="BH11" s="326"/>
      <c r="BI11" s="326"/>
      <c r="BJ11" s="326"/>
      <c r="BK11" s="326"/>
      <c r="BL11" s="326"/>
      <c r="BM11" s="326"/>
      <c r="BN11" s="326"/>
      <c r="BO11" s="326"/>
      <c r="BP11" s="326"/>
      <c r="BQ11" s="60"/>
      <c r="BR11" s="60"/>
      <c r="BS11" s="60"/>
      <c r="BT11" s="60"/>
      <c r="BU11" s="60"/>
      <c r="BV11" s="632" t="s">
        <v>1164</v>
      </c>
      <c r="BW11" s="68"/>
      <c r="BX11" s="63" t="s">
        <v>2616</v>
      </c>
      <c r="BY11" s="63" t="s">
        <v>2618</v>
      </c>
      <c r="BZ11" s="60"/>
      <c r="CA11" s="68"/>
      <c r="CB11" s="63" t="s">
        <v>2621</v>
      </c>
      <c r="CC11" s="60"/>
      <c r="CD11" s="68"/>
      <c r="CE11" s="468"/>
      <c r="CF11" s="468"/>
      <c r="CG11" s="468"/>
      <c r="CH11" s="468"/>
      <c r="CI11" s="468"/>
      <c r="CJ11" s="468"/>
      <c r="CK11" s="468"/>
      <c r="CL11" s="468"/>
      <c r="CM11" s="468"/>
      <c r="CN11" s="468"/>
      <c r="CO11" s="468"/>
      <c r="CP11" s="468"/>
      <c r="CQ11" s="468"/>
      <c r="CR11" s="468"/>
      <c r="CS11" s="478" t="s">
        <v>2627</v>
      </c>
      <c r="CT11" s="60"/>
      <c r="CU11" s="60"/>
    </row>
    <row r="12">
      <c r="A12" s="633" t="s">
        <v>126</v>
      </c>
      <c r="B12" s="241" t="s">
        <v>2633</v>
      </c>
      <c r="C12" s="237" t="s">
        <v>155</v>
      </c>
      <c r="D12" s="238" t="s">
        <v>155</v>
      </c>
      <c r="E12" s="239" t="s">
        <v>155</v>
      </c>
      <c r="F12" s="240" t="s">
        <v>1058</v>
      </c>
      <c r="G12" s="241" t="s">
        <v>1845</v>
      </c>
      <c r="H12" s="560"/>
      <c r="I12" s="530" t="s">
        <v>2637</v>
      </c>
      <c r="J12" s="60"/>
      <c r="K12" s="70" t="s">
        <v>2650</v>
      </c>
      <c r="L12" s="70" t="s">
        <v>2654</v>
      </c>
      <c r="M12" s="70" t="s">
        <v>2663</v>
      </c>
      <c r="N12" s="60"/>
      <c r="O12" s="125" t="s">
        <v>2667</v>
      </c>
      <c r="P12" s="70" t="s">
        <v>2668</v>
      </c>
      <c r="Q12" s="60"/>
      <c r="R12" s="70" t="s">
        <v>2673</v>
      </c>
      <c r="S12" s="70" t="s">
        <v>2678</v>
      </c>
      <c r="T12" s="63" t="s">
        <v>2686</v>
      </c>
      <c r="U12" s="70" t="s">
        <v>2689</v>
      </c>
      <c r="V12" s="60"/>
      <c r="W12" s="60"/>
      <c r="X12" s="125" t="s">
        <v>2695</v>
      </c>
      <c r="Y12" s="70" t="s">
        <v>2696</v>
      </c>
      <c r="Z12" s="60"/>
      <c r="AA12" s="125" t="s">
        <v>2707</v>
      </c>
      <c r="AB12" s="63" t="s">
        <v>2708</v>
      </c>
      <c r="AC12" s="70" t="s">
        <v>2709</v>
      </c>
      <c r="AD12" s="70" t="s">
        <v>2718</v>
      </c>
      <c r="AE12" s="70" t="s">
        <v>2729</v>
      </c>
      <c r="AF12" s="70" t="s">
        <v>2739</v>
      </c>
      <c r="AG12" s="60"/>
      <c r="AH12" s="60"/>
      <c r="AI12" s="60"/>
      <c r="AJ12" s="60"/>
      <c r="AK12" s="60"/>
      <c r="AL12" s="60"/>
      <c r="AM12" s="70" t="s">
        <v>2747</v>
      </c>
      <c r="AN12" s="70" t="s">
        <v>2750</v>
      </c>
      <c r="AO12" s="70" t="s">
        <v>2753</v>
      </c>
      <c r="AP12" s="60"/>
      <c r="AQ12" s="63" t="s">
        <v>2074</v>
      </c>
      <c r="AR12" s="70" t="s">
        <v>2758</v>
      </c>
      <c r="AS12" s="60"/>
      <c r="AT12" s="70" t="s">
        <v>2764</v>
      </c>
      <c r="AU12" s="70" t="s">
        <v>2768</v>
      </c>
      <c r="AV12" s="60"/>
      <c r="AW12" s="70" t="s">
        <v>2772</v>
      </c>
      <c r="AX12" s="60"/>
      <c r="AY12" s="60"/>
      <c r="AZ12" s="60"/>
      <c r="BA12" s="60"/>
      <c r="BB12" s="70" t="s">
        <v>2775</v>
      </c>
      <c r="BC12" s="70" t="s">
        <v>2779</v>
      </c>
      <c r="BD12" s="60"/>
      <c r="BE12" s="60"/>
      <c r="BF12" s="60"/>
      <c r="BG12" s="620"/>
      <c r="BH12" s="620"/>
      <c r="BI12" s="620"/>
      <c r="BJ12" s="620"/>
      <c r="BK12" s="620"/>
      <c r="BL12" s="619" t="s">
        <v>2796</v>
      </c>
      <c r="BM12" s="620"/>
      <c r="BN12" s="620"/>
      <c r="BO12" s="620"/>
      <c r="BP12" s="620"/>
      <c r="BQ12" s="60"/>
      <c r="BR12" s="60"/>
      <c r="BS12" s="60"/>
      <c r="BT12" s="60"/>
      <c r="BU12" s="60"/>
      <c r="BV12" s="70" t="s">
        <v>2813</v>
      </c>
      <c r="BW12" s="68"/>
      <c r="BX12" s="60"/>
      <c r="BY12" s="60"/>
      <c r="BZ12" s="60"/>
      <c r="CA12" s="68"/>
      <c r="CB12" s="60"/>
      <c r="CC12" s="60"/>
      <c r="CD12" s="68"/>
      <c r="CE12" s="70" t="s">
        <v>2826</v>
      </c>
      <c r="CF12" s="60"/>
      <c r="CG12" s="60"/>
      <c r="CH12" s="60"/>
      <c r="CI12" s="60"/>
      <c r="CJ12" s="60"/>
      <c r="CK12" s="60"/>
      <c r="CL12" s="60"/>
      <c r="CM12" s="60"/>
      <c r="CN12" s="60"/>
      <c r="CO12" s="60"/>
      <c r="CP12" s="60"/>
      <c r="CQ12" s="60"/>
      <c r="CR12" s="60"/>
      <c r="CS12" s="60"/>
      <c r="CT12" s="60"/>
      <c r="CU12" s="60"/>
    </row>
    <row r="13">
      <c r="A13" s="513" t="s">
        <v>128</v>
      </c>
      <c r="B13" s="241" t="s">
        <v>2837</v>
      </c>
      <c r="C13" s="237" t="s">
        <v>155</v>
      </c>
      <c r="D13" s="238" t="s">
        <v>155</v>
      </c>
      <c r="E13" s="239" t="s">
        <v>155</v>
      </c>
      <c r="F13" s="240" t="s">
        <v>76</v>
      </c>
      <c r="G13" s="241" t="s">
        <v>2839</v>
      </c>
      <c r="H13" s="560"/>
      <c r="I13" s="560" t="s">
        <v>2840</v>
      </c>
      <c r="J13" s="63" t="s">
        <v>2841</v>
      </c>
      <c r="K13" s="63" t="s">
        <v>2844</v>
      </c>
      <c r="L13" s="63" t="s">
        <v>2845</v>
      </c>
      <c r="M13" s="63" t="s">
        <v>2846</v>
      </c>
      <c r="N13" s="63" t="s">
        <v>2848</v>
      </c>
      <c r="O13" s="63" t="s">
        <v>2849</v>
      </c>
      <c r="P13" s="63" t="s">
        <v>2850</v>
      </c>
      <c r="Q13" s="60"/>
      <c r="R13" s="95" t="s">
        <v>2852</v>
      </c>
      <c r="S13" s="63" t="s">
        <v>2853</v>
      </c>
      <c r="T13" s="63" t="s">
        <v>2854</v>
      </c>
      <c r="U13" s="63" t="s">
        <v>2855</v>
      </c>
      <c r="V13" s="63" t="s">
        <v>2856</v>
      </c>
      <c r="W13" s="63" t="s">
        <v>2857</v>
      </c>
      <c r="X13" s="63" t="s">
        <v>2858</v>
      </c>
      <c r="Y13" s="63" t="s">
        <v>1279</v>
      </c>
      <c r="Z13" s="95" t="s">
        <v>572</v>
      </c>
      <c r="AA13" s="63" t="s">
        <v>2860</v>
      </c>
      <c r="AB13" s="63"/>
      <c r="AC13" s="95" t="s">
        <v>2862</v>
      </c>
      <c r="AD13" s="95" t="s">
        <v>2863</v>
      </c>
      <c r="AE13" s="63" t="s">
        <v>2864</v>
      </c>
      <c r="AF13" s="63" t="s">
        <v>2865</v>
      </c>
      <c r="AG13" s="95" t="s">
        <v>2866</v>
      </c>
      <c r="AH13" s="60"/>
      <c r="AI13" s="60"/>
      <c r="AJ13" s="60"/>
      <c r="AK13" s="60"/>
      <c r="AL13" s="63" t="s">
        <v>2867</v>
      </c>
      <c r="AM13" s="95" t="s">
        <v>2868</v>
      </c>
      <c r="AN13" s="95" t="s">
        <v>2869</v>
      </c>
      <c r="AO13" s="60"/>
      <c r="AP13" s="63" t="s">
        <v>2871</v>
      </c>
      <c r="AQ13" s="63" t="s">
        <v>2371</v>
      </c>
      <c r="AR13" s="95" t="s">
        <v>2873</v>
      </c>
      <c r="AS13" s="63" t="s">
        <v>2874</v>
      </c>
      <c r="AT13" s="63" t="s">
        <v>2875</v>
      </c>
      <c r="AU13" s="63" t="s">
        <v>2876</v>
      </c>
      <c r="AV13" s="410" t="s">
        <v>2877</v>
      </c>
      <c r="AW13" s="63" t="s">
        <v>2878</v>
      </c>
      <c r="AX13" s="63" t="s">
        <v>2880</v>
      </c>
      <c r="AY13" s="60"/>
      <c r="AZ13" s="95" t="s">
        <v>1508</v>
      </c>
      <c r="BA13" s="63"/>
      <c r="BB13" s="95" t="s">
        <v>2882</v>
      </c>
      <c r="BC13" s="95" t="s">
        <v>2884</v>
      </c>
      <c r="BD13" s="63" t="s">
        <v>2886</v>
      </c>
      <c r="BE13" s="63"/>
      <c r="BF13" s="60"/>
      <c r="BG13" s="620"/>
      <c r="BH13" s="620"/>
      <c r="BI13" s="620"/>
      <c r="BJ13" s="620"/>
      <c r="BK13" s="620"/>
      <c r="BL13" s="620"/>
      <c r="BM13" s="620"/>
      <c r="BN13" s="620"/>
      <c r="BO13" s="620"/>
      <c r="BP13" s="620"/>
      <c r="BQ13" s="60"/>
      <c r="BR13" s="60"/>
      <c r="BS13" s="60"/>
      <c r="BT13" s="60"/>
      <c r="BU13" s="60"/>
      <c r="BV13" s="63" t="s">
        <v>1051</v>
      </c>
      <c r="BW13" s="68"/>
      <c r="BX13" s="63" t="s">
        <v>2894</v>
      </c>
      <c r="BY13" s="63" t="s">
        <v>2895</v>
      </c>
      <c r="BZ13" s="60"/>
      <c r="CA13" s="68"/>
      <c r="CB13" s="63" t="s">
        <v>2896</v>
      </c>
      <c r="CC13" s="60"/>
      <c r="CD13" s="68"/>
      <c r="CE13" s="468"/>
      <c r="CF13" s="63" t="s">
        <v>2605</v>
      </c>
      <c r="CG13" s="60"/>
      <c r="CH13" s="468"/>
      <c r="CI13" s="608" t="s">
        <v>1660</v>
      </c>
      <c r="CJ13" s="478" t="s">
        <v>2166</v>
      </c>
      <c r="CK13" s="478"/>
      <c r="CL13" s="592" t="s">
        <v>1845</v>
      </c>
      <c r="CM13" s="478" t="s">
        <v>2905</v>
      </c>
      <c r="CN13" s="478" t="s">
        <v>1694</v>
      </c>
      <c r="CO13" s="478" t="s">
        <v>2418</v>
      </c>
      <c r="CP13" s="478" t="s">
        <v>2907</v>
      </c>
      <c r="CQ13" s="478" t="s">
        <v>2908</v>
      </c>
      <c r="CR13" s="468"/>
      <c r="CS13" s="468"/>
      <c r="CT13" s="60"/>
      <c r="CU13" s="60"/>
    </row>
    <row r="14">
      <c r="A14" s="654" t="s">
        <v>2910</v>
      </c>
      <c r="B14" s="241" t="s">
        <v>2915</v>
      </c>
      <c r="C14" s="237" t="s">
        <v>155</v>
      </c>
      <c r="D14" s="238" t="s">
        <v>155</v>
      </c>
      <c r="E14" s="239" t="s">
        <v>155</v>
      </c>
      <c r="F14" s="240" t="s">
        <v>79</v>
      </c>
      <c r="G14" s="241" t="s">
        <v>720</v>
      </c>
      <c r="H14" s="560" t="s">
        <v>2917</v>
      </c>
      <c r="I14" s="530" t="s">
        <v>2919</v>
      </c>
      <c r="J14" s="63" t="s">
        <v>2922</v>
      </c>
      <c r="K14" s="63" t="s">
        <v>2923</v>
      </c>
      <c r="L14" s="63" t="s">
        <v>2924</v>
      </c>
      <c r="M14" s="63" t="s">
        <v>2925</v>
      </c>
      <c r="N14" s="63" t="s">
        <v>2926</v>
      </c>
      <c r="O14" s="63" t="s">
        <v>2928</v>
      </c>
      <c r="P14" s="63" t="s">
        <v>2929</v>
      </c>
      <c r="Q14" s="63" t="s">
        <v>2930</v>
      </c>
      <c r="R14" s="63" t="s">
        <v>2931</v>
      </c>
      <c r="S14" s="70" t="s">
        <v>2932</v>
      </c>
      <c r="T14" s="63" t="s">
        <v>2935</v>
      </c>
      <c r="U14" s="63" t="s">
        <v>2937</v>
      </c>
      <c r="V14" s="70" t="s">
        <v>2938</v>
      </c>
      <c r="W14" s="63" t="s">
        <v>2943</v>
      </c>
      <c r="X14" s="63" t="s">
        <v>2945</v>
      </c>
      <c r="Y14" s="95" t="s">
        <v>2550</v>
      </c>
      <c r="Z14" s="60"/>
      <c r="AA14" s="60"/>
      <c r="AB14" s="60"/>
      <c r="AC14" s="95" t="s">
        <v>2946</v>
      </c>
      <c r="AD14" s="95" t="s">
        <v>2948</v>
      </c>
      <c r="AE14" s="70" t="s">
        <v>609</v>
      </c>
      <c r="AF14" s="95" t="s">
        <v>2954</v>
      </c>
      <c r="AG14" s="63" t="s">
        <v>2956</v>
      </c>
      <c r="AH14" s="60"/>
      <c r="AI14" s="60"/>
      <c r="AJ14" s="60"/>
      <c r="AK14" s="63" t="s">
        <v>2957</v>
      </c>
      <c r="AL14" s="63" t="s">
        <v>2645</v>
      </c>
      <c r="AM14" s="60"/>
      <c r="AN14" s="60"/>
      <c r="AO14" s="60"/>
      <c r="AP14" s="60"/>
      <c r="AQ14" s="60"/>
      <c r="AR14" s="60"/>
      <c r="AS14" s="60"/>
      <c r="AT14" s="63" t="s">
        <v>2959</v>
      </c>
      <c r="AU14" s="63" t="s">
        <v>1205</v>
      </c>
      <c r="AV14" s="60"/>
      <c r="AW14" s="63" t="s">
        <v>2960</v>
      </c>
      <c r="AX14" s="63" t="s">
        <v>2961</v>
      </c>
      <c r="AY14" s="60"/>
      <c r="AZ14" s="63"/>
      <c r="BA14" s="63"/>
      <c r="BB14" s="74"/>
      <c r="BC14" s="63" t="s">
        <v>2605</v>
      </c>
      <c r="BD14" s="63" t="s">
        <v>2397</v>
      </c>
      <c r="BE14" s="63"/>
      <c r="BF14" s="63" t="s">
        <v>2962</v>
      </c>
      <c r="BG14" s="60"/>
      <c r="BH14" s="60"/>
      <c r="BI14" s="60"/>
      <c r="BJ14" s="60"/>
      <c r="BK14" s="60"/>
      <c r="BL14" s="60"/>
      <c r="BM14" s="60"/>
      <c r="BN14" s="60"/>
      <c r="BO14" s="60"/>
      <c r="BP14" s="60"/>
      <c r="BQ14" s="60"/>
      <c r="BR14" s="60"/>
      <c r="BS14" s="60"/>
      <c r="BT14" s="60"/>
      <c r="BU14" s="60"/>
      <c r="BV14" s="63"/>
      <c r="BW14" s="95" t="s">
        <v>2967</v>
      </c>
      <c r="BX14" s="95" t="s">
        <v>2968</v>
      </c>
      <c r="BY14" s="95" t="s">
        <v>2969</v>
      </c>
      <c r="BZ14" s="63"/>
      <c r="CA14" s="95" t="s">
        <v>1643</v>
      </c>
      <c r="CB14" s="95" t="s">
        <v>896</v>
      </c>
      <c r="CC14" s="95" t="s">
        <v>492</v>
      </c>
      <c r="CD14" s="95"/>
      <c r="CE14" s="468"/>
      <c r="CF14" s="468"/>
      <c r="CG14" s="468"/>
      <c r="CH14" s="468"/>
      <c r="CI14" s="468"/>
      <c r="CJ14" s="468"/>
      <c r="CK14" s="468"/>
      <c r="CL14" s="468"/>
      <c r="CM14" s="468"/>
      <c r="CN14" s="468"/>
      <c r="CO14" s="468"/>
      <c r="CP14" s="468"/>
      <c r="CQ14" s="468"/>
      <c r="CR14" s="468"/>
      <c r="CS14" s="468"/>
      <c r="CT14" s="95" t="s">
        <v>2975</v>
      </c>
      <c r="CU14" s="63"/>
    </row>
    <row r="15">
      <c r="A15" s="513" t="s">
        <v>88</v>
      </c>
      <c r="B15" s="241" t="s">
        <v>2977</v>
      </c>
      <c r="C15" s="237" t="s">
        <v>79</v>
      </c>
      <c r="D15" s="238" t="s">
        <v>127</v>
      </c>
      <c r="E15" s="239" t="s">
        <v>76</v>
      </c>
      <c r="F15" s="240" t="s">
        <v>211</v>
      </c>
      <c r="G15" s="241" t="s">
        <v>539</v>
      </c>
      <c r="H15" s="560"/>
      <c r="I15" s="656" t="s">
        <v>2982</v>
      </c>
      <c r="J15" s="60"/>
      <c r="K15" s="63" t="s">
        <v>2985</v>
      </c>
      <c r="L15" s="60"/>
      <c r="M15" s="69" t="s">
        <v>2986</v>
      </c>
      <c r="N15" s="60"/>
      <c r="O15" s="60"/>
      <c r="P15" s="63"/>
      <c r="Q15" s="69" t="s">
        <v>2999</v>
      </c>
      <c r="R15" s="69" t="s">
        <v>3007</v>
      </c>
      <c r="S15" s="60"/>
      <c r="T15" s="60"/>
      <c r="U15" s="60"/>
      <c r="V15" s="60"/>
      <c r="W15" s="95" t="s">
        <v>201</v>
      </c>
      <c r="X15" s="63"/>
      <c r="Y15" s="70" t="s">
        <v>3022</v>
      </c>
      <c r="Z15" s="60"/>
      <c r="AA15" s="60"/>
      <c r="AB15" s="60"/>
      <c r="AC15" s="95" t="s">
        <v>3027</v>
      </c>
      <c r="AD15" s="67" t="s">
        <v>1398</v>
      </c>
      <c r="AE15" s="60"/>
      <c r="AF15" s="60"/>
      <c r="AG15" s="60"/>
      <c r="AH15" s="60"/>
      <c r="AI15" s="60"/>
      <c r="AJ15" s="60"/>
      <c r="AK15" s="60"/>
      <c r="AL15" s="60"/>
      <c r="AM15" s="60"/>
      <c r="AN15" s="60"/>
      <c r="AO15" s="60"/>
      <c r="AP15" s="95" t="s">
        <v>2252</v>
      </c>
      <c r="AQ15" s="63"/>
      <c r="AR15" s="95" t="s">
        <v>3033</v>
      </c>
      <c r="AS15" s="63"/>
      <c r="AT15" s="60"/>
      <c r="AU15" s="95" t="s">
        <v>1800</v>
      </c>
      <c r="AV15" s="63"/>
      <c r="AW15" s="95" t="s">
        <v>3037</v>
      </c>
      <c r="AX15" s="60"/>
      <c r="AY15" s="60"/>
      <c r="AZ15" s="60"/>
      <c r="BA15" s="60"/>
      <c r="BB15" s="67" t="s">
        <v>3038</v>
      </c>
      <c r="BC15" s="70" t="s">
        <v>1650</v>
      </c>
      <c r="BD15" s="60"/>
      <c r="BE15" s="60"/>
      <c r="BF15" s="60"/>
      <c r="BG15" s="60"/>
      <c r="BH15" s="60"/>
      <c r="BI15" s="60"/>
      <c r="BJ15" s="60"/>
      <c r="BK15" s="60"/>
      <c r="BL15" s="60"/>
      <c r="BM15" s="69" t="s">
        <v>3045</v>
      </c>
      <c r="BN15" s="60"/>
      <c r="BO15" s="60"/>
      <c r="BP15" s="60"/>
      <c r="BQ15" s="60"/>
      <c r="BR15" s="60"/>
      <c r="BS15" s="60"/>
      <c r="BT15" s="60"/>
      <c r="BU15" s="60"/>
      <c r="BV15" s="60"/>
      <c r="BW15" s="68"/>
      <c r="BX15" s="60"/>
      <c r="BY15" s="60"/>
      <c r="BZ15" s="60"/>
      <c r="CA15" s="68"/>
      <c r="CB15" s="60"/>
      <c r="CC15" s="60"/>
      <c r="CD15" s="68"/>
      <c r="CE15" s="60"/>
      <c r="CF15" s="60"/>
      <c r="CG15" s="60"/>
      <c r="CH15" s="60"/>
      <c r="CI15" s="60"/>
      <c r="CJ15" s="60"/>
      <c r="CK15" s="60"/>
      <c r="CL15" s="60"/>
      <c r="CM15" s="60"/>
      <c r="CN15" s="60"/>
      <c r="CO15" s="60"/>
      <c r="CP15" s="60"/>
      <c r="CQ15" s="60"/>
      <c r="CR15" s="60"/>
      <c r="CS15" s="60"/>
      <c r="CT15" s="60"/>
      <c r="CU15" s="60"/>
    </row>
    <row r="16">
      <c r="A16" s="661" t="s">
        <v>139</v>
      </c>
      <c r="B16" s="241" t="s">
        <v>3056</v>
      </c>
      <c r="C16" s="237" t="s">
        <v>155</v>
      </c>
      <c r="D16" s="238" t="s">
        <v>79</v>
      </c>
      <c r="E16" s="239" t="s">
        <v>127</v>
      </c>
      <c r="F16" s="240" t="s">
        <v>1492</v>
      </c>
      <c r="G16" s="241" t="s">
        <v>3058</v>
      </c>
      <c r="H16" s="662" t="str">
        <f>HYPERLINK("https://www.twitch.tv/videos/990301696","3:46.19")</f>
        <v>3:46.19</v>
      </c>
      <c r="I16" s="560" t="s">
        <v>3062</v>
      </c>
      <c r="J16" s="63"/>
      <c r="K16" s="63" t="s">
        <v>3063</v>
      </c>
      <c r="L16" s="60"/>
      <c r="M16" s="663" t="str">
        <f>HYPERLINK("https://youtu.be/muKa7MrNAp8","2:59.41")</f>
        <v>2:59.41</v>
      </c>
      <c r="N16" s="604"/>
      <c r="O16" s="410" t="s">
        <v>3065</v>
      </c>
      <c r="P16" s="664" t="str">
        <f>HYPERLINK("https://www.twitch.tv/videos/979252942","3:20.49")</f>
        <v>3:20.49</v>
      </c>
      <c r="Q16" s="60"/>
      <c r="R16" s="664" t="str">
        <f>HYPERLINK("https://www.twitch.tv/videos/871584642","2:58.46")</f>
        <v>2:58.46</v>
      </c>
      <c r="S16" s="664" t="str">
        <f>HYPERLINK("https://youtu.be/CJTaXhFHcQg","2:38.94")</f>
        <v>2:38.94</v>
      </c>
      <c r="T16" s="60"/>
      <c r="U16" s="666" t="str">
        <f>HYPERLINK("https://www.twitch.tv/videos/1004615722","1:57.68")</f>
        <v>1:57.68</v>
      </c>
      <c r="V16" s="667" t="str">
        <f>HYPERLINK("https://www.twitch.tv/videos/1004263632","2:18.81")</f>
        <v>2:18.81</v>
      </c>
      <c r="W16" s="63" t="s">
        <v>3074</v>
      </c>
      <c r="X16" s="63"/>
      <c r="Y16" s="63" t="s">
        <v>3076</v>
      </c>
      <c r="Z16" s="60"/>
      <c r="AA16" s="60"/>
      <c r="AB16" s="60"/>
      <c r="AC16" s="60"/>
      <c r="AD16" s="63" t="s">
        <v>499</v>
      </c>
      <c r="AE16" s="60"/>
      <c r="AF16" s="60"/>
      <c r="AG16" s="60"/>
      <c r="AH16" s="63" t="s">
        <v>3078</v>
      </c>
      <c r="AI16" s="63"/>
      <c r="AJ16" s="63"/>
      <c r="AK16" s="66" t="s">
        <v>3079</v>
      </c>
      <c r="AL16" s="74"/>
      <c r="AM16" s="95" t="s">
        <v>2422</v>
      </c>
      <c r="AN16" s="60"/>
      <c r="AO16" s="60"/>
      <c r="AP16" s="60"/>
      <c r="AQ16" s="60"/>
      <c r="AR16" s="60"/>
      <c r="AS16" s="60"/>
      <c r="AT16" s="63" t="s">
        <v>2880</v>
      </c>
      <c r="AU16" s="63" t="s">
        <v>3083</v>
      </c>
      <c r="AV16" s="60"/>
      <c r="AW16" s="60"/>
      <c r="AX16" s="60"/>
      <c r="AY16" s="60"/>
      <c r="AZ16" s="63" t="s">
        <v>1671</v>
      </c>
      <c r="BA16" s="63"/>
      <c r="BB16" s="60"/>
      <c r="BC16" s="60"/>
      <c r="BD16" s="60"/>
      <c r="BE16" s="60"/>
      <c r="BF16" s="60"/>
      <c r="BG16" s="669" t="str">
        <f>HYPERLINK("https://youtu.be/bkbjkIxiol8","3:06")</f>
        <v>3:06</v>
      </c>
      <c r="BH16" s="670" t="str">
        <f>HYPERLINK("https://youtu.be/EiQPLe-OzQM","4:27")</f>
        <v>4:27</v>
      </c>
      <c r="BI16" s="468"/>
      <c r="BJ16" s="468"/>
      <c r="BK16" s="468"/>
      <c r="BL16" s="468"/>
      <c r="BM16" s="468"/>
      <c r="BN16" s="468"/>
      <c r="BO16" s="468"/>
      <c r="BP16" s="468"/>
      <c r="BQ16" s="60"/>
      <c r="BR16" s="60"/>
      <c r="BS16" s="60"/>
      <c r="BT16" s="60"/>
      <c r="BU16" s="60"/>
      <c r="BV16" s="60"/>
      <c r="BW16" s="68"/>
      <c r="BX16" s="60"/>
      <c r="BY16" s="674" t="str">
        <f>HYPERLINK("https://clips.twitch.tv/NiceImportantPidgeonBuddhaBar-rtnvj3c2frKXHMdy","35.38")</f>
        <v>35.38</v>
      </c>
      <c r="BZ16" s="60"/>
      <c r="CA16" s="68"/>
      <c r="CB16" s="60"/>
      <c r="CC16" s="60"/>
      <c r="CD16" s="68"/>
      <c r="CE16" s="675" t="str">
        <f>HYPERLINK("https://youtu.be/6Jf_KMGMEKw","1:14")</f>
        <v>1:14</v>
      </c>
      <c r="CF16" s="675" t="str">
        <f>HYPERLINK("https://www.twitch.tv/videos/1004251594","1:02")</f>
        <v>1:02</v>
      </c>
      <c r="CG16" s="675" t="str">
        <f>HYPERLINK("https://www.twitch.tv/videos/1004254917","1:12")</f>
        <v>1:12</v>
      </c>
      <c r="CH16" s="676"/>
      <c r="CI16" s="676"/>
      <c r="CJ16" s="676"/>
      <c r="CK16" s="676"/>
      <c r="CL16" s="677" t="str">
        <f>HYPERLINK("https://youtu.be/h4aO1fi3I3U","29")</f>
        <v>29</v>
      </c>
      <c r="CM16" s="468"/>
      <c r="CN16" s="468"/>
      <c r="CO16" s="468"/>
      <c r="CP16" s="468"/>
      <c r="CQ16" s="468"/>
      <c r="CR16" s="678" t="str">
        <f>HYPERLINK("https://clips.twitch.tv/ArborealGlutenFreeMushroomAliens-sq7HDhuxrAadlxw_","30")</f>
        <v>30</v>
      </c>
      <c r="CS16" s="468"/>
      <c r="CT16" s="664" t="str">
        <f>HYPERLINK("https://www.twitch.tv/videos/969469110","1:27.41")</f>
        <v>1:27.41</v>
      </c>
      <c r="CU16" s="63"/>
    </row>
    <row r="17">
      <c r="A17" s="446" t="s">
        <v>3102</v>
      </c>
      <c r="B17" s="241" t="s">
        <v>3103</v>
      </c>
      <c r="C17" s="237" t="s">
        <v>155</v>
      </c>
      <c r="D17" s="238" t="s">
        <v>76</v>
      </c>
      <c r="E17" s="239" t="s">
        <v>127</v>
      </c>
      <c r="F17" s="240" t="s">
        <v>81</v>
      </c>
      <c r="G17" s="241" t="s">
        <v>551</v>
      </c>
      <c r="H17" s="679" t="s">
        <v>3106</v>
      </c>
      <c r="I17" s="560" t="s">
        <v>3109</v>
      </c>
      <c r="J17" s="63" t="s">
        <v>3111</v>
      </c>
      <c r="K17" s="560" t="s">
        <v>3112</v>
      </c>
      <c r="L17" s="63" t="s">
        <v>3115</v>
      </c>
      <c r="M17" s="63" t="s">
        <v>1060</v>
      </c>
      <c r="N17" s="63" t="s">
        <v>3117</v>
      </c>
      <c r="O17" s="63" t="s">
        <v>3118</v>
      </c>
      <c r="P17" s="63" t="s">
        <v>3119</v>
      </c>
      <c r="Q17" s="63" t="s">
        <v>2604</v>
      </c>
      <c r="R17" s="63" t="s">
        <v>3120</v>
      </c>
      <c r="S17" s="80" t="s">
        <v>3121</v>
      </c>
      <c r="T17" s="66" t="s">
        <v>1528</v>
      </c>
      <c r="U17" s="681" t="s">
        <v>3128</v>
      </c>
      <c r="V17" s="63" t="s">
        <v>3130</v>
      </c>
      <c r="W17" s="95" t="s">
        <v>3131</v>
      </c>
      <c r="X17" s="63" t="s">
        <v>3132</v>
      </c>
      <c r="Y17" s="63" t="s">
        <v>626</v>
      </c>
      <c r="Z17" s="60"/>
      <c r="AA17" s="70" t="s">
        <v>3133</v>
      </c>
      <c r="AB17" s="60"/>
      <c r="AC17" s="95" t="s">
        <v>3137</v>
      </c>
      <c r="AD17" s="63" t="s">
        <v>689</v>
      </c>
      <c r="AE17" s="70" t="s">
        <v>3138</v>
      </c>
      <c r="AF17" s="60"/>
      <c r="AG17" s="60"/>
      <c r="AH17" s="60"/>
      <c r="AI17" s="60"/>
      <c r="AJ17" s="60"/>
      <c r="AK17" s="60"/>
      <c r="AL17" s="60"/>
      <c r="AM17" s="63"/>
      <c r="AN17" s="60"/>
      <c r="AO17" s="60"/>
      <c r="AP17" s="63" t="s">
        <v>3146</v>
      </c>
      <c r="AQ17" s="63" t="s">
        <v>2373</v>
      </c>
      <c r="AR17" s="60"/>
      <c r="AS17" s="70" t="s">
        <v>3148</v>
      </c>
      <c r="AT17" s="70" t="s">
        <v>3152</v>
      </c>
      <c r="AU17" s="60"/>
      <c r="AV17" s="60"/>
      <c r="AW17" s="60"/>
      <c r="AX17" s="60"/>
      <c r="AY17" s="63" t="s">
        <v>2884</v>
      </c>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8"/>
      <c r="BX17" s="60"/>
      <c r="BY17" s="60"/>
      <c r="BZ17" s="60"/>
      <c r="CA17" s="68"/>
      <c r="CB17" s="60"/>
      <c r="CC17" s="60"/>
      <c r="CD17" s="68"/>
      <c r="CE17" s="60"/>
      <c r="CF17" s="60"/>
      <c r="CG17" s="60"/>
      <c r="CH17" s="60"/>
      <c r="CI17" s="60"/>
      <c r="CJ17" s="60"/>
      <c r="CK17" s="60"/>
      <c r="CL17" s="60"/>
      <c r="CM17" s="60"/>
      <c r="CN17" s="60"/>
      <c r="CO17" s="60"/>
      <c r="CP17" s="60"/>
      <c r="CQ17" s="60"/>
      <c r="CR17" s="60"/>
      <c r="CS17" s="60"/>
      <c r="CT17" s="60"/>
      <c r="CU17" s="60"/>
    </row>
    <row r="18">
      <c r="A18" s="684" t="s">
        <v>3161</v>
      </c>
      <c r="B18" s="241" t="s">
        <v>3162</v>
      </c>
      <c r="C18" s="237" t="s">
        <v>156</v>
      </c>
      <c r="D18" s="238" t="s">
        <v>156</v>
      </c>
      <c r="E18" s="239" t="s">
        <v>127</v>
      </c>
      <c r="F18" s="240" t="s">
        <v>261</v>
      </c>
      <c r="G18" s="241" t="s">
        <v>260</v>
      </c>
      <c r="H18" s="686" t="s">
        <v>3163</v>
      </c>
      <c r="I18" s="679" t="s">
        <v>3168</v>
      </c>
      <c r="J18" s="67" t="s">
        <v>3170</v>
      </c>
      <c r="K18" s="66" t="s">
        <v>3174</v>
      </c>
      <c r="L18" s="63" t="s">
        <v>3181</v>
      </c>
      <c r="M18" s="60"/>
      <c r="N18" s="69" t="s">
        <v>3182</v>
      </c>
      <c r="O18" s="66" t="s">
        <v>3186</v>
      </c>
      <c r="P18" s="60"/>
      <c r="Q18" s="63" t="s">
        <v>3190</v>
      </c>
      <c r="R18" s="63" t="s">
        <v>3191</v>
      </c>
      <c r="S18" s="69" t="s">
        <v>3192</v>
      </c>
      <c r="T18" s="67" t="s">
        <v>3194</v>
      </c>
      <c r="U18" s="63" t="s">
        <v>3198</v>
      </c>
      <c r="V18" s="63" t="s">
        <v>3200</v>
      </c>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20"/>
      <c r="BH18" s="620"/>
      <c r="BI18" s="620"/>
      <c r="BJ18" s="620"/>
      <c r="BK18" s="620"/>
      <c r="BL18" s="620"/>
      <c r="BM18" s="620"/>
      <c r="BN18" s="620"/>
      <c r="BO18" s="620"/>
      <c r="BP18" s="620"/>
      <c r="BQ18" s="60"/>
      <c r="BR18" s="60"/>
      <c r="BS18" s="60"/>
      <c r="BT18" s="60"/>
      <c r="BU18" s="60"/>
      <c r="BV18" s="60"/>
      <c r="BW18" s="68"/>
      <c r="BX18" s="60"/>
      <c r="BY18" s="60"/>
      <c r="BZ18" s="60"/>
      <c r="CA18" s="68"/>
      <c r="CB18" s="60"/>
      <c r="CC18" s="60"/>
      <c r="CD18" s="68"/>
      <c r="CE18" s="468"/>
      <c r="CF18" s="468"/>
      <c r="CG18" s="468"/>
      <c r="CH18" s="468"/>
      <c r="CI18" s="468"/>
      <c r="CJ18" s="468"/>
      <c r="CK18" s="468"/>
      <c r="CL18" s="468"/>
      <c r="CM18" s="468"/>
      <c r="CN18" s="468"/>
      <c r="CO18" s="468"/>
      <c r="CP18" s="468"/>
      <c r="CQ18" s="468"/>
      <c r="CR18" s="468"/>
      <c r="CS18" s="468"/>
      <c r="CT18" s="60"/>
      <c r="CU18" s="60"/>
    </row>
    <row r="19">
      <c r="A19" s="693" t="s">
        <v>347</v>
      </c>
      <c r="B19" s="241" t="s">
        <v>3217</v>
      </c>
      <c r="C19" s="237" t="s">
        <v>79</v>
      </c>
      <c r="D19" s="238" t="s">
        <v>156</v>
      </c>
      <c r="E19" s="239" t="s">
        <v>76</v>
      </c>
      <c r="F19" s="240" t="s">
        <v>191</v>
      </c>
      <c r="G19" s="241" t="s">
        <v>1016</v>
      </c>
      <c r="H19" s="560"/>
      <c r="I19" s="560"/>
      <c r="J19" s="60"/>
      <c r="K19" s="60"/>
      <c r="L19" s="60"/>
      <c r="M19" s="60"/>
      <c r="N19" s="60"/>
      <c r="O19" s="60"/>
      <c r="P19" s="60"/>
      <c r="Q19" s="60"/>
      <c r="R19" s="60"/>
      <c r="S19" s="60"/>
      <c r="T19" s="60"/>
      <c r="U19" s="60"/>
      <c r="V19" s="60"/>
      <c r="W19" s="69" t="s">
        <v>3223</v>
      </c>
      <c r="X19" s="67" t="s">
        <v>3227</v>
      </c>
      <c r="Y19" s="60"/>
      <c r="Z19" s="60"/>
      <c r="AA19" s="60"/>
      <c r="AB19" s="67" t="s">
        <v>3229</v>
      </c>
      <c r="AC19" s="67" t="s">
        <v>3233</v>
      </c>
      <c r="AD19" s="70" t="s">
        <v>3237</v>
      </c>
      <c r="AE19" s="74"/>
      <c r="AF19" s="69" t="s">
        <v>3238</v>
      </c>
      <c r="AG19" s="60"/>
      <c r="AH19" s="66" t="s">
        <v>3245</v>
      </c>
      <c r="AI19" s="69" t="s">
        <v>3248</v>
      </c>
      <c r="AJ19" s="60"/>
      <c r="AK19" s="63" t="s">
        <v>3250</v>
      </c>
      <c r="AL19" s="60"/>
      <c r="AM19" s="60"/>
      <c r="AN19" s="60"/>
      <c r="AO19" s="60"/>
      <c r="AP19" s="70" t="s">
        <v>3251</v>
      </c>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9" t="s">
        <v>1306</v>
      </c>
      <c r="BW19" s="68"/>
      <c r="BX19" s="60"/>
      <c r="BY19" s="60"/>
      <c r="BZ19" s="60"/>
      <c r="CA19" s="68"/>
      <c r="CB19" s="60"/>
      <c r="CC19" s="60"/>
      <c r="CD19" s="68"/>
      <c r="CE19" s="60"/>
      <c r="CF19" s="60"/>
      <c r="CG19" s="60"/>
      <c r="CH19" s="60"/>
      <c r="CI19" s="60"/>
      <c r="CJ19" s="60"/>
      <c r="CK19" s="60"/>
      <c r="CL19" s="60"/>
      <c r="CM19" s="60"/>
      <c r="CN19" s="60"/>
      <c r="CO19" s="60"/>
      <c r="CP19" s="60"/>
      <c r="CQ19" s="60"/>
      <c r="CR19" s="60"/>
      <c r="CS19" s="60"/>
      <c r="CT19" s="60"/>
      <c r="CU19" s="60"/>
    </row>
    <row r="20">
      <c r="A20" s="698" t="s">
        <v>3268</v>
      </c>
      <c r="B20" s="241" t="s">
        <v>3226</v>
      </c>
      <c r="C20" s="237" t="s">
        <v>155</v>
      </c>
      <c r="D20" s="238" t="s">
        <v>155</v>
      </c>
      <c r="E20" s="239" t="s">
        <v>155</v>
      </c>
      <c r="F20" s="240" t="s">
        <v>76</v>
      </c>
      <c r="G20" s="241" t="s">
        <v>1976</v>
      </c>
      <c r="H20" s="560"/>
      <c r="I20" s="560" t="s">
        <v>3273</v>
      </c>
      <c r="J20" s="63"/>
      <c r="K20" s="63" t="s">
        <v>3274</v>
      </c>
      <c r="L20" s="63"/>
      <c r="M20" s="60"/>
      <c r="N20" s="60"/>
      <c r="O20" s="60"/>
      <c r="P20" s="60"/>
      <c r="Q20" s="60"/>
      <c r="R20" s="95" t="s">
        <v>3278</v>
      </c>
      <c r="S20" s="60"/>
      <c r="T20" s="95" t="s">
        <v>3280</v>
      </c>
      <c r="U20" s="95" t="s">
        <v>3282</v>
      </c>
      <c r="V20" s="95" t="s">
        <v>3284</v>
      </c>
      <c r="W20" s="95" t="s">
        <v>3286</v>
      </c>
      <c r="X20" s="63" t="s">
        <v>3288</v>
      </c>
      <c r="Y20" s="95" t="s">
        <v>3289</v>
      </c>
      <c r="Z20" s="60"/>
      <c r="AA20" s="60"/>
      <c r="AB20" s="60"/>
      <c r="AC20" s="70" t="s">
        <v>1099</v>
      </c>
      <c r="AD20" s="95" t="s">
        <v>2684</v>
      </c>
      <c r="AE20" s="63"/>
      <c r="AF20" s="95" t="s">
        <v>3294</v>
      </c>
      <c r="AG20" s="63"/>
      <c r="AH20" s="95" t="s">
        <v>3295</v>
      </c>
      <c r="AI20" s="60"/>
      <c r="AJ20" s="60"/>
      <c r="AK20" s="60"/>
      <c r="AL20" s="60"/>
      <c r="AM20" s="60"/>
      <c r="AN20" s="60"/>
      <c r="AO20" s="60"/>
      <c r="AP20" s="63" t="s">
        <v>3297</v>
      </c>
      <c r="AQ20" s="60"/>
      <c r="AR20" s="63" t="s">
        <v>3298</v>
      </c>
      <c r="AS20" s="60"/>
      <c r="AT20" s="63" t="s">
        <v>3299</v>
      </c>
      <c r="AU20" s="63" t="s">
        <v>3300</v>
      </c>
      <c r="AV20" s="63"/>
      <c r="AW20" s="63" t="s">
        <v>1795</v>
      </c>
      <c r="AX20" s="60"/>
      <c r="AY20" s="60"/>
      <c r="AZ20" s="95" t="s">
        <v>1477</v>
      </c>
      <c r="BA20" s="63"/>
      <c r="BB20" s="60"/>
      <c r="BC20" s="95" t="s">
        <v>3302</v>
      </c>
      <c r="BD20" s="63" t="s">
        <v>1217</v>
      </c>
      <c r="BE20" s="60"/>
      <c r="BF20" s="60"/>
      <c r="BG20" s="60"/>
      <c r="BH20" s="60"/>
      <c r="BI20" s="60"/>
      <c r="BJ20" s="60"/>
      <c r="BK20" s="60"/>
      <c r="BL20" s="60"/>
      <c r="BM20" s="60"/>
      <c r="BN20" s="60"/>
      <c r="BO20" s="60"/>
      <c r="BP20" s="60"/>
      <c r="BQ20" s="60"/>
      <c r="BR20" s="60"/>
      <c r="BS20" s="63" t="s">
        <v>3306</v>
      </c>
      <c r="BT20" s="60"/>
      <c r="BU20" s="60"/>
      <c r="BV20" s="60"/>
      <c r="BW20" s="68"/>
      <c r="BX20" s="60"/>
      <c r="BY20" s="60"/>
      <c r="BZ20" s="60"/>
      <c r="CA20" s="68"/>
      <c r="CB20" s="60"/>
      <c r="CC20" s="60"/>
      <c r="CD20" s="68"/>
      <c r="CE20" s="60"/>
      <c r="CF20" s="60"/>
      <c r="CG20" s="60"/>
      <c r="CH20" s="60"/>
      <c r="CI20" s="60"/>
      <c r="CJ20" s="60"/>
      <c r="CK20" s="60"/>
      <c r="CL20" s="60"/>
      <c r="CM20" s="60"/>
      <c r="CN20" s="60"/>
      <c r="CO20" s="60"/>
      <c r="CP20" s="60"/>
      <c r="CQ20" s="60"/>
      <c r="CR20" s="60"/>
      <c r="CS20" s="60"/>
      <c r="CT20" s="60"/>
      <c r="CU20" s="60"/>
    </row>
    <row r="21">
      <c r="A21" s="699" t="s">
        <v>96</v>
      </c>
      <c r="B21" s="241" t="s">
        <v>3313</v>
      </c>
      <c r="C21" s="237" t="s">
        <v>155</v>
      </c>
      <c r="D21" s="238" t="s">
        <v>76</v>
      </c>
      <c r="E21" s="239" t="s">
        <v>155</v>
      </c>
      <c r="F21" s="240" t="s">
        <v>127</v>
      </c>
      <c r="G21" s="241" t="s">
        <v>1671</v>
      </c>
      <c r="H21" s="560"/>
      <c r="I21" s="560" t="s">
        <v>3320</v>
      </c>
      <c r="J21" s="63"/>
      <c r="K21" s="95" t="s">
        <v>3322</v>
      </c>
      <c r="L21" s="63"/>
      <c r="M21" s="95" t="s">
        <v>3323</v>
      </c>
      <c r="N21" s="60"/>
      <c r="O21" s="95" t="s">
        <v>3324</v>
      </c>
      <c r="P21" s="60"/>
      <c r="Q21" s="60"/>
      <c r="R21" s="63" t="s">
        <v>3326</v>
      </c>
      <c r="S21" s="604" t="s">
        <v>3327</v>
      </c>
      <c r="T21" s="95" t="s">
        <v>3330</v>
      </c>
      <c r="U21" s="63" t="s">
        <v>3331</v>
      </c>
      <c r="V21" s="63"/>
      <c r="W21" s="95" t="s">
        <v>3333</v>
      </c>
      <c r="X21" s="63" t="s">
        <v>3334</v>
      </c>
      <c r="Y21" s="95" t="s">
        <v>3335</v>
      </c>
      <c r="Z21" s="60"/>
      <c r="AA21" s="60"/>
      <c r="AB21" s="60"/>
      <c r="AC21" s="95" t="s">
        <v>3336</v>
      </c>
      <c r="AD21" s="63" t="s">
        <v>3337</v>
      </c>
      <c r="AE21" s="63"/>
      <c r="AF21" s="95" t="s">
        <v>3338</v>
      </c>
      <c r="AG21" s="67" t="s">
        <v>3340</v>
      </c>
      <c r="AH21" s="70" t="s">
        <v>3346</v>
      </c>
      <c r="AI21" s="60"/>
      <c r="AJ21" s="60"/>
      <c r="AK21" s="95" t="s">
        <v>2927</v>
      </c>
      <c r="AL21" s="60"/>
      <c r="AM21" s="95" t="s">
        <v>2435</v>
      </c>
      <c r="AN21" s="60"/>
      <c r="AO21" s="60"/>
      <c r="AP21" s="63" t="s">
        <v>1943</v>
      </c>
      <c r="AQ21" s="63"/>
      <c r="AR21" s="63" t="s">
        <v>1771</v>
      </c>
      <c r="AS21" s="63" t="s">
        <v>3356</v>
      </c>
      <c r="AT21" s="63" t="s">
        <v>1802</v>
      </c>
      <c r="AU21" s="63" t="s">
        <v>3357</v>
      </c>
      <c r="AV21" s="63"/>
      <c r="AW21" s="60"/>
      <c r="AX21" s="60"/>
      <c r="AY21" s="60"/>
      <c r="AZ21" s="95" t="s">
        <v>3360</v>
      </c>
      <c r="BA21" s="63"/>
      <c r="BB21" s="95" t="s">
        <v>1800</v>
      </c>
      <c r="BC21" s="95" t="s">
        <v>3362</v>
      </c>
      <c r="BD21" s="95" t="s">
        <v>1445</v>
      </c>
      <c r="BE21" s="63"/>
      <c r="BF21" s="63"/>
      <c r="BG21" s="60"/>
      <c r="BH21" s="60"/>
      <c r="BI21" s="60"/>
      <c r="BJ21" s="60"/>
      <c r="BK21" s="60"/>
      <c r="BL21" s="60"/>
      <c r="BM21" s="60"/>
      <c r="BN21" s="95" t="s">
        <v>3365</v>
      </c>
      <c r="BO21" s="95" t="s">
        <v>3367</v>
      </c>
      <c r="BP21" s="63"/>
      <c r="BQ21" s="60"/>
      <c r="BR21" s="60"/>
      <c r="BS21" s="60"/>
      <c r="BT21" s="60"/>
      <c r="BU21" s="60"/>
      <c r="BV21" s="632" t="s">
        <v>3369</v>
      </c>
      <c r="BW21" s="68"/>
      <c r="BX21" s="60"/>
      <c r="BY21" s="63" t="s">
        <v>3371</v>
      </c>
      <c r="BZ21" s="60"/>
      <c r="CA21" s="68"/>
      <c r="CB21" s="63" t="s">
        <v>2729</v>
      </c>
      <c r="CC21" s="95" t="s">
        <v>3373</v>
      </c>
      <c r="CD21" s="95"/>
      <c r="CE21" s="60"/>
      <c r="CF21" s="60"/>
      <c r="CG21" s="60"/>
      <c r="CH21" s="60"/>
      <c r="CI21" s="60"/>
      <c r="CJ21" s="60"/>
      <c r="CK21" s="60"/>
      <c r="CL21" s="60"/>
      <c r="CM21" s="95" t="s">
        <v>3376</v>
      </c>
      <c r="CN21" s="95" t="s">
        <v>3378</v>
      </c>
      <c r="CO21" s="95" t="s">
        <v>2507</v>
      </c>
      <c r="CP21" s="95" t="s">
        <v>3379</v>
      </c>
      <c r="CQ21" s="63" t="s">
        <v>3380</v>
      </c>
      <c r="CR21" s="95" t="s">
        <v>2467</v>
      </c>
      <c r="CS21" s="63" t="s">
        <v>3382</v>
      </c>
      <c r="CT21" s="60"/>
      <c r="CU21" s="60"/>
    </row>
    <row r="22">
      <c r="A22" s="700" t="s">
        <v>3383</v>
      </c>
      <c r="B22" s="241" t="s">
        <v>3384</v>
      </c>
      <c r="C22" s="237" t="s">
        <v>155</v>
      </c>
      <c r="D22" s="238" t="s">
        <v>155</v>
      </c>
      <c r="E22" s="239" t="s">
        <v>155</v>
      </c>
      <c r="F22" s="240" t="s">
        <v>155</v>
      </c>
      <c r="G22" s="241" t="s">
        <v>1492</v>
      </c>
      <c r="H22" s="560"/>
      <c r="I22" s="560" t="s">
        <v>3386</v>
      </c>
      <c r="J22" s="63"/>
      <c r="K22" s="95" t="s">
        <v>3387</v>
      </c>
      <c r="L22" s="63"/>
      <c r="M22" s="63"/>
      <c r="N22" s="63"/>
      <c r="O22" s="95" t="s">
        <v>3390</v>
      </c>
      <c r="P22" s="63"/>
      <c r="Q22" s="60"/>
      <c r="R22" s="60"/>
      <c r="S22" s="60"/>
      <c r="T22" s="63"/>
      <c r="U22" s="95" t="s">
        <v>3391</v>
      </c>
      <c r="V22" s="63"/>
      <c r="W22" s="95" t="s">
        <v>3392</v>
      </c>
      <c r="X22" s="63"/>
      <c r="Y22" s="95" t="s">
        <v>3395</v>
      </c>
      <c r="Z22" s="63"/>
      <c r="AA22" s="63"/>
      <c r="AB22" s="63"/>
      <c r="AC22" s="95" t="s">
        <v>3397</v>
      </c>
      <c r="AD22" s="95" t="s">
        <v>3399</v>
      </c>
      <c r="AE22" s="63"/>
      <c r="AF22" s="63"/>
      <c r="AG22" s="63"/>
      <c r="AH22" s="60"/>
      <c r="AI22" s="60"/>
      <c r="AJ22" s="60"/>
      <c r="AK22" s="60"/>
      <c r="AL22" s="60"/>
      <c r="AM22" s="95" t="s">
        <v>3401</v>
      </c>
      <c r="AN22" s="60"/>
      <c r="AO22" s="60"/>
      <c r="AP22" s="95" t="s">
        <v>3403</v>
      </c>
      <c r="AQ22" s="63"/>
      <c r="AR22" s="95" t="s">
        <v>3405</v>
      </c>
      <c r="AS22" s="63"/>
      <c r="AT22" s="95" t="s">
        <v>3406</v>
      </c>
      <c r="AU22" s="95" t="s">
        <v>3407</v>
      </c>
      <c r="AV22" s="63"/>
      <c r="AW22" s="63"/>
      <c r="AX22" s="60"/>
      <c r="AY22" s="60"/>
      <c r="AZ22" s="95" t="s">
        <v>1601</v>
      </c>
      <c r="BA22" s="63"/>
      <c r="BB22" s="95" t="s">
        <v>3409</v>
      </c>
      <c r="BC22" s="95" t="s">
        <v>2386</v>
      </c>
      <c r="BD22" s="95" t="s">
        <v>2886</v>
      </c>
      <c r="BE22" s="63"/>
      <c r="BF22" s="63"/>
      <c r="BG22" s="60"/>
      <c r="BH22" s="60"/>
      <c r="BI22" s="60"/>
      <c r="BJ22" s="60"/>
      <c r="BK22" s="60"/>
      <c r="BL22" s="60"/>
      <c r="BM22" s="60"/>
      <c r="BN22" s="60"/>
      <c r="BO22" s="60"/>
      <c r="BP22" s="60"/>
      <c r="BQ22" s="63"/>
      <c r="BR22" s="63"/>
      <c r="BS22" s="63"/>
      <c r="BT22" s="63"/>
      <c r="BU22" s="63"/>
      <c r="BV22" s="702"/>
      <c r="BW22" s="68"/>
      <c r="BX22" s="60"/>
      <c r="BY22" s="60"/>
      <c r="BZ22" s="60"/>
      <c r="CA22" s="68"/>
      <c r="CB22" s="60"/>
      <c r="CC22" s="60"/>
      <c r="CD22" s="68"/>
      <c r="CE22" s="60"/>
      <c r="CF22" s="60"/>
      <c r="CG22" s="60"/>
      <c r="CH22" s="60"/>
      <c r="CI22" s="60"/>
      <c r="CJ22" s="60"/>
      <c r="CK22" s="60"/>
      <c r="CL22" s="60"/>
      <c r="CM22" s="60"/>
      <c r="CN22" s="60"/>
      <c r="CO22" s="60"/>
      <c r="CP22" s="60"/>
      <c r="CQ22" s="60"/>
      <c r="CR22" s="60"/>
      <c r="CS22" s="60"/>
      <c r="CT22" s="63"/>
      <c r="CU22" s="63"/>
    </row>
    <row r="23">
      <c r="A23" s="528" t="s">
        <v>3418</v>
      </c>
      <c r="B23" s="241" t="s">
        <v>3419</v>
      </c>
      <c r="C23" s="237" t="s">
        <v>155</v>
      </c>
      <c r="D23" s="238" t="s">
        <v>155</v>
      </c>
      <c r="E23" s="239" t="s">
        <v>155</v>
      </c>
      <c r="F23" s="240" t="s">
        <v>127</v>
      </c>
      <c r="G23" s="241" t="s">
        <v>1492</v>
      </c>
      <c r="H23" s="560" t="s">
        <v>3420</v>
      </c>
      <c r="I23" s="560"/>
      <c r="J23" s="60"/>
      <c r="K23" s="95" t="s">
        <v>3421</v>
      </c>
      <c r="L23" s="63"/>
      <c r="M23" s="60"/>
      <c r="N23" s="60"/>
      <c r="O23" s="60"/>
      <c r="P23" s="60"/>
      <c r="Q23" s="95" t="s">
        <v>3424</v>
      </c>
      <c r="R23" s="95" t="s">
        <v>3425</v>
      </c>
      <c r="S23" s="60"/>
      <c r="T23" s="95" t="s">
        <v>3426</v>
      </c>
      <c r="U23" s="704" t="s">
        <v>3427</v>
      </c>
      <c r="V23" s="705"/>
      <c r="W23" s="95" t="s">
        <v>1231</v>
      </c>
      <c r="X23" s="63"/>
      <c r="Y23" s="95" t="s">
        <v>2151</v>
      </c>
      <c r="Z23" s="60"/>
      <c r="AA23" s="60"/>
      <c r="AB23" s="60"/>
      <c r="AC23" s="95" t="s">
        <v>3429</v>
      </c>
      <c r="AD23" s="95" t="s">
        <v>3430</v>
      </c>
      <c r="AE23" s="74"/>
      <c r="AF23" s="70" t="s">
        <v>3025</v>
      </c>
      <c r="AG23" s="74"/>
      <c r="AH23" s="95" t="s">
        <v>1761</v>
      </c>
      <c r="AI23" s="95" t="s">
        <v>3432</v>
      </c>
      <c r="AJ23" s="60"/>
      <c r="AK23" s="60"/>
      <c r="AL23" s="60"/>
      <c r="AM23" s="60"/>
      <c r="AN23" s="60"/>
      <c r="AO23" s="60"/>
      <c r="AP23" s="60"/>
      <c r="AQ23" s="60"/>
      <c r="AR23" s="60"/>
      <c r="AS23" s="60"/>
      <c r="AT23" s="60"/>
      <c r="AU23" s="60"/>
      <c r="AV23" s="60"/>
      <c r="AW23" s="60"/>
      <c r="AX23" s="63"/>
      <c r="AY23" s="95" t="s">
        <v>2884</v>
      </c>
      <c r="AZ23" s="60"/>
      <c r="BA23" s="60"/>
      <c r="BB23" s="95" t="s">
        <v>2439</v>
      </c>
      <c r="BC23" s="60"/>
      <c r="BD23" s="60"/>
      <c r="BE23" s="60"/>
      <c r="BF23" s="60"/>
      <c r="BG23" s="620"/>
      <c r="BH23" s="620"/>
      <c r="BI23" s="620"/>
      <c r="BJ23" s="620"/>
      <c r="BK23" s="620"/>
      <c r="BL23" s="620"/>
      <c r="BM23" s="620"/>
      <c r="BN23" s="620"/>
      <c r="BO23" s="620"/>
      <c r="BP23" s="620"/>
      <c r="BQ23" s="60"/>
      <c r="BR23" s="60"/>
      <c r="BS23" s="60"/>
      <c r="BT23" s="60"/>
      <c r="BU23" s="60"/>
      <c r="BV23" s="63"/>
      <c r="BW23" s="95" t="s">
        <v>3436</v>
      </c>
      <c r="BX23" s="60"/>
      <c r="BY23" s="60"/>
      <c r="BZ23" s="60"/>
      <c r="CA23" s="68"/>
      <c r="CB23" s="60"/>
      <c r="CC23" s="60"/>
      <c r="CD23" s="68"/>
      <c r="CE23" s="706"/>
      <c r="CF23" s="706"/>
      <c r="CG23" s="706"/>
      <c r="CH23" s="706"/>
      <c r="CI23" s="706"/>
      <c r="CJ23" s="706"/>
      <c r="CK23" s="706"/>
      <c r="CL23" s="706"/>
      <c r="CM23" s="60"/>
      <c r="CN23" s="60"/>
      <c r="CO23" s="60"/>
      <c r="CP23" s="60"/>
      <c r="CQ23" s="60"/>
      <c r="CR23" s="60"/>
      <c r="CS23" s="60"/>
      <c r="CT23" s="70" t="s">
        <v>3444</v>
      </c>
      <c r="CU23" s="74"/>
    </row>
    <row r="24">
      <c r="A24" s="708" t="s">
        <v>3447</v>
      </c>
      <c r="B24" s="241" t="s">
        <v>3449</v>
      </c>
      <c r="C24" s="237" t="s">
        <v>155</v>
      </c>
      <c r="D24" s="238" t="s">
        <v>155</v>
      </c>
      <c r="E24" s="239" t="s">
        <v>155</v>
      </c>
      <c r="F24" s="240" t="s">
        <v>79</v>
      </c>
      <c r="G24" s="241" t="s">
        <v>536</v>
      </c>
      <c r="H24" s="560"/>
      <c r="I24" s="560" t="s">
        <v>3451</v>
      </c>
      <c r="J24" s="63"/>
      <c r="K24" s="63" t="s">
        <v>3452</v>
      </c>
      <c r="L24" s="70" t="s">
        <v>3453</v>
      </c>
      <c r="M24" s="60"/>
      <c r="N24" s="60"/>
      <c r="O24" s="60"/>
      <c r="P24" s="63" t="s">
        <v>3460</v>
      </c>
      <c r="Q24" s="60"/>
      <c r="R24" s="70" t="s">
        <v>3461</v>
      </c>
      <c r="S24" s="60"/>
      <c r="T24" s="60"/>
      <c r="U24" s="63" t="s">
        <v>3101</v>
      </c>
      <c r="V24" s="63"/>
      <c r="W24" s="95" t="s">
        <v>3466</v>
      </c>
      <c r="X24" s="63" t="s">
        <v>3468</v>
      </c>
      <c r="Y24" s="70" t="s">
        <v>3470</v>
      </c>
      <c r="Z24" s="60"/>
      <c r="AA24" s="60"/>
      <c r="AB24" s="60"/>
      <c r="AC24" s="95" t="s">
        <v>3474</v>
      </c>
      <c r="AD24" s="95" t="s">
        <v>3475</v>
      </c>
      <c r="AE24" s="63"/>
      <c r="AF24" s="95" t="s">
        <v>3477</v>
      </c>
      <c r="AG24" s="63"/>
      <c r="AH24" s="95" t="s">
        <v>3479</v>
      </c>
      <c r="AI24" s="60"/>
      <c r="AJ24" s="60"/>
      <c r="AK24" s="142" t="s">
        <v>3480</v>
      </c>
      <c r="AL24" s="711"/>
      <c r="AM24" s="60"/>
      <c r="AN24" s="60"/>
      <c r="AO24" s="60"/>
      <c r="AP24" s="60"/>
      <c r="AQ24" s="60"/>
      <c r="AR24" s="95" t="s">
        <v>3483</v>
      </c>
      <c r="AS24" s="63"/>
      <c r="AT24" s="60"/>
      <c r="AU24" s="60"/>
      <c r="AV24" s="60"/>
      <c r="AW24" s="95" t="s">
        <v>1788</v>
      </c>
      <c r="AX24" s="60"/>
      <c r="AY24" s="60"/>
      <c r="AZ24" s="60"/>
      <c r="BA24" s="60"/>
      <c r="BB24" s="95" t="s">
        <v>1205</v>
      </c>
      <c r="BC24" s="60"/>
      <c r="BD24" s="60"/>
      <c r="BE24" s="60"/>
      <c r="BF24" s="60"/>
      <c r="BG24" s="60"/>
      <c r="BH24" s="60"/>
      <c r="BI24" s="60"/>
      <c r="BJ24" s="60"/>
      <c r="BK24" s="60"/>
      <c r="BL24" s="60"/>
      <c r="BM24" s="60"/>
      <c r="BN24" s="60"/>
      <c r="BO24" s="60"/>
      <c r="BP24" s="60"/>
      <c r="BQ24" s="60"/>
      <c r="BR24" s="60"/>
      <c r="BS24" s="60"/>
      <c r="BT24" s="60"/>
      <c r="BU24" s="60"/>
      <c r="BV24" s="60"/>
      <c r="BW24" s="68"/>
      <c r="BX24" s="60"/>
      <c r="BY24" s="60"/>
      <c r="BZ24" s="60"/>
      <c r="CA24" s="68"/>
      <c r="CB24" s="60"/>
      <c r="CC24" s="60"/>
      <c r="CD24" s="68"/>
      <c r="CE24" s="60"/>
      <c r="CF24" s="60"/>
      <c r="CG24" s="60"/>
      <c r="CH24" s="60"/>
      <c r="CI24" s="60"/>
      <c r="CJ24" s="60"/>
      <c r="CK24" s="60"/>
      <c r="CL24" s="60"/>
      <c r="CM24" s="95" t="s">
        <v>1064</v>
      </c>
      <c r="CN24" s="95" t="s">
        <v>719</v>
      </c>
      <c r="CO24" s="95" t="s">
        <v>870</v>
      </c>
      <c r="CP24" s="60"/>
      <c r="CQ24" s="60"/>
      <c r="CR24" s="60"/>
      <c r="CS24" s="60"/>
      <c r="CT24" s="60"/>
      <c r="CU24" s="60"/>
    </row>
    <row r="25">
      <c r="A25" s="712" t="s">
        <v>3491</v>
      </c>
      <c r="B25" s="241" t="s">
        <v>3493</v>
      </c>
      <c r="C25" s="237" t="s">
        <v>155</v>
      </c>
      <c r="D25" s="238" t="s">
        <v>155</v>
      </c>
      <c r="E25" s="239" t="s">
        <v>76</v>
      </c>
      <c r="F25" s="240" t="s">
        <v>306</v>
      </c>
      <c r="G25" s="241" t="s">
        <v>1601</v>
      </c>
      <c r="H25" s="662" t="s">
        <v>3496</v>
      </c>
      <c r="I25" s="662" t="s">
        <v>3504</v>
      </c>
      <c r="J25" s="74"/>
      <c r="K25" s="95" t="s">
        <v>3513</v>
      </c>
      <c r="L25" s="63"/>
      <c r="M25" s="63"/>
      <c r="N25" s="95" t="s">
        <v>3514</v>
      </c>
      <c r="O25" s="95" t="s">
        <v>3516</v>
      </c>
      <c r="P25" s="95" t="s">
        <v>3517</v>
      </c>
      <c r="Q25" s="95" t="s">
        <v>3518</v>
      </c>
      <c r="R25" s="95" t="s">
        <v>3519</v>
      </c>
      <c r="S25" s="95" t="s">
        <v>3520</v>
      </c>
      <c r="T25" s="95" t="s">
        <v>3521</v>
      </c>
      <c r="U25" s="95" t="s">
        <v>3523</v>
      </c>
      <c r="V25" s="63"/>
      <c r="W25" s="95" t="s">
        <v>3408</v>
      </c>
      <c r="X25" s="63"/>
      <c r="Y25" s="60"/>
      <c r="Z25" s="60"/>
      <c r="AA25" s="60"/>
      <c r="AB25" s="60"/>
      <c r="AC25" s="95" t="s">
        <v>3525</v>
      </c>
      <c r="AD25" s="95" t="s">
        <v>3526</v>
      </c>
      <c r="AE25" s="63"/>
      <c r="AF25" s="95" t="s">
        <v>2135</v>
      </c>
      <c r="AG25" s="63"/>
      <c r="AH25" s="95" t="s">
        <v>3527</v>
      </c>
      <c r="AI25" s="63"/>
      <c r="AJ25" s="63"/>
      <c r="AK25" s="60"/>
      <c r="AL25" s="60"/>
      <c r="AM25" s="95" t="s">
        <v>2106</v>
      </c>
      <c r="AN25" s="95" t="s">
        <v>3083</v>
      </c>
      <c r="AO25" s="95" t="s">
        <v>2256</v>
      </c>
      <c r="AP25" s="95" t="s">
        <v>2868</v>
      </c>
      <c r="AQ25" s="63"/>
      <c r="AR25" s="95" t="s">
        <v>3356</v>
      </c>
      <c r="AS25" s="63"/>
      <c r="AT25" s="95" t="s">
        <v>3529</v>
      </c>
      <c r="AU25" s="95" t="s">
        <v>3534</v>
      </c>
      <c r="AV25" s="63"/>
      <c r="AW25" s="95" t="s">
        <v>2435</v>
      </c>
      <c r="AX25" s="63"/>
      <c r="AY25" s="95" t="s">
        <v>3251</v>
      </c>
      <c r="AZ25" s="60"/>
      <c r="BA25" s="60"/>
      <c r="BB25" s="95" t="s">
        <v>2869</v>
      </c>
      <c r="BC25" s="63" t="s">
        <v>3251</v>
      </c>
      <c r="BD25" s="95" t="s">
        <v>3357</v>
      </c>
      <c r="BE25" s="63"/>
      <c r="BF25" s="63"/>
      <c r="BG25" s="721" t="s">
        <v>3538</v>
      </c>
      <c r="BH25" s="721" t="s">
        <v>3546</v>
      </c>
      <c r="BI25" s="326"/>
      <c r="BJ25" s="326"/>
      <c r="BK25" s="326"/>
      <c r="BL25" s="505" t="s">
        <v>3549</v>
      </c>
      <c r="BM25" s="505" t="s">
        <v>3550</v>
      </c>
      <c r="BN25" s="326"/>
      <c r="BO25" s="326"/>
      <c r="BP25" s="326"/>
      <c r="BQ25" s="60"/>
      <c r="BR25" s="63" t="s">
        <v>3551</v>
      </c>
      <c r="BS25" s="60"/>
      <c r="BT25" s="60"/>
      <c r="BU25" s="60"/>
      <c r="BV25" s="723" t="s">
        <v>3552</v>
      </c>
      <c r="BW25" s="95" t="s">
        <v>3553</v>
      </c>
      <c r="BX25" s="95" t="s">
        <v>3554</v>
      </c>
      <c r="BY25" s="66" t="s">
        <v>3555</v>
      </c>
      <c r="BZ25" s="95" t="s">
        <v>3562</v>
      </c>
      <c r="CA25" s="95" t="s">
        <v>3563</v>
      </c>
      <c r="CB25" s="95" t="s">
        <v>2408</v>
      </c>
      <c r="CC25" s="95" t="s">
        <v>3565</v>
      </c>
      <c r="CD25" s="95"/>
      <c r="CE25" s="608" t="s">
        <v>3302</v>
      </c>
      <c r="CF25" s="608" t="s">
        <v>3568</v>
      </c>
      <c r="CG25" s="608" t="s">
        <v>3569</v>
      </c>
      <c r="CH25" s="478"/>
      <c r="CI25" s="468"/>
      <c r="CJ25" s="468"/>
      <c r="CK25" s="468"/>
      <c r="CL25" s="468"/>
      <c r="CM25" s="468"/>
      <c r="CN25" s="468"/>
      <c r="CO25" s="468"/>
      <c r="CP25" s="468"/>
      <c r="CQ25" s="468"/>
      <c r="CR25" s="468"/>
      <c r="CS25" s="468"/>
      <c r="CT25" s="70" t="s">
        <v>3571</v>
      </c>
      <c r="CU25" s="74"/>
    </row>
    <row r="26">
      <c r="A26" s="725" t="s">
        <v>3574</v>
      </c>
      <c r="B26" s="241" t="s">
        <v>3493</v>
      </c>
      <c r="C26" s="237" t="s">
        <v>155</v>
      </c>
      <c r="D26" s="238" t="s">
        <v>155</v>
      </c>
      <c r="E26" s="239" t="s">
        <v>155</v>
      </c>
      <c r="F26" s="240" t="s">
        <v>155</v>
      </c>
      <c r="G26" s="241" t="s">
        <v>74</v>
      </c>
      <c r="H26" s="560"/>
      <c r="I26" s="560" t="s">
        <v>3576</v>
      </c>
      <c r="J26" s="63"/>
      <c r="K26" s="63" t="s">
        <v>3578</v>
      </c>
      <c r="L26" s="63"/>
      <c r="M26" s="60"/>
      <c r="N26" s="68" t="s">
        <v>3579</v>
      </c>
      <c r="O26" s="60"/>
      <c r="P26" s="60"/>
      <c r="Q26" s="60"/>
      <c r="R26" s="95" t="s">
        <v>3581</v>
      </c>
      <c r="S26" s="60"/>
      <c r="T26" s="95" t="s">
        <v>3582</v>
      </c>
      <c r="U26" s="95" t="s">
        <v>3584</v>
      </c>
      <c r="V26" s="63"/>
      <c r="W26" s="95" t="s">
        <v>3585</v>
      </c>
      <c r="X26" s="63"/>
      <c r="Y26" s="95" t="s">
        <v>3586</v>
      </c>
      <c r="Z26" s="68" t="s">
        <v>3587</v>
      </c>
      <c r="AA26" s="60"/>
      <c r="AB26" s="60"/>
      <c r="AC26" s="63"/>
      <c r="AD26" s="95" t="s">
        <v>3588</v>
      </c>
      <c r="AE26" s="63"/>
      <c r="AF26" s="63"/>
      <c r="AG26" s="63"/>
      <c r="AH26" s="63"/>
      <c r="AI26" s="68" t="s">
        <v>3590</v>
      </c>
      <c r="AJ26" s="60"/>
      <c r="AK26" s="60"/>
      <c r="AL26" s="60"/>
      <c r="AM26" s="68" t="s">
        <v>3591</v>
      </c>
      <c r="AN26" s="60"/>
      <c r="AO26" s="60"/>
      <c r="AP26" s="63" t="s">
        <v>3592</v>
      </c>
      <c r="AQ26" s="60"/>
      <c r="AR26" s="68" t="s">
        <v>3595</v>
      </c>
      <c r="AS26" s="60"/>
      <c r="AT26" s="68" t="s">
        <v>3597</v>
      </c>
      <c r="AU26" s="63" t="s">
        <v>3598</v>
      </c>
      <c r="AV26" s="63"/>
      <c r="AW26" s="63" t="s">
        <v>3401</v>
      </c>
      <c r="AX26" s="60"/>
      <c r="AY26" s="68" t="s">
        <v>3599</v>
      </c>
      <c r="AZ26" s="63"/>
      <c r="BA26" s="63"/>
      <c r="BB26" s="68" t="s">
        <v>3601</v>
      </c>
      <c r="BC26" s="63"/>
      <c r="BD26" s="60"/>
      <c r="BE26" s="60"/>
      <c r="BF26" s="60"/>
      <c r="BG26" s="60"/>
      <c r="BH26" s="60"/>
      <c r="BI26" s="60"/>
      <c r="BJ26" s="60"/>
      <c r="BK26" s="60"/>
      <c r="BL26" s="60"/>
      <c r="BM26" s="60"/>
      <c r="BN26" s="60"/>
      <c r="BO26" s="60"/>
      <c r="BP26" s="60"/>
      <c r="BQ26" s="60"/>
      <c r="BR26" s="60"/>
      <c r="BS26" s="60"/>
      <c r="BT26" s="60"/>
      <c r="BU26" s="60"/>
      <c r="BV26" s="60"/>
      <c r="BW26" s="68"/>
      <c r="BX26" s="60"/>
      <c r="BY26" s="60"/>
      <c r="BZ26" s="60"/>
      <c r="CA26" s="68"/>
      <c r="CB26" s="60"/>
      <c r="CC26" s="60"/>
      <c r="CD26" s="68"/>
      <c r="CE26" s="60"/>
      <c r="CF26" s="60"/>
      <c r="CG26" s="60"/>
      <c r="CH26" s="60"/>
      <c r="CI26" s="60"/>
      <c r="CJ26" s="60"/>
      <c r="CK26" s="60"/>
      <c r="CL26" s="60"/>
      <c r="CM26" s="60"/>
      <c r="CN26" s="60"/>
      <c r="CO26" s="60"/>
      <c r="CP26" s="60"/>
      <c r="CQ26" s="60"/>
      <c r="CR26" s="60"/>
      <c r="CS26" s="60"/>
      <c r="CT26" s="60"/>
      <c r="CU26" s="60"/>
    </row>
    <row r="27">
      <c r="A27" s="482" t="s">
        <v>3610</v>
      </c>
      <c r="B27" s="241" t="s">
        <v>3611</v>
      </c>
      <c r="C27" s="237" t="s">
        <v>155</v>
      </c>
      <c r="D27" s="238" t="s">
        <v>155</v>
      </c>
      <c r="E27" s="239" t="s">
        <v>155</v>
      </c>
      <c r="F27" s="240" t="s">
        <v>79</v>
      </c>
      <c r="G27" s="241" t="s">
        <v>3612</v>
      </c>
      <c r="H27" s="560"/>
      <c r="I27" s="560" t="s">
        <v>3613</v>
      </c>
      <c r="J27" s="60"/>
      <c r="K27" s="63" t="s">
        <v>3614</v>
      </c>
      <c r="L27" s="60"/>
      <c r="M27" s="60"/>
      <c r="N27" s="60"/>
      <c r="O27" s="60"/>
      <c r="P27" s="63" t="s">
        <v>3615</v>
      </c>
      <c r="Q27" s="60"/>
      <c r="R27" s="63" t="s">
        <v>3617</v>
      </c>
      <c r="S27" s="60"/>
      <c r="T27" s="63" t="s">
        <v>3618</v>
      </c>
      <c r="U27" s="70" t="s">
        <v>3619</v>
      </c>
      <c r="V27" s="60"/>
      <c r="W27" s="60"/>
      <c r="X27" s="63" t="s">
        <v>3049</v>
      </c>
      <c r="Y27" s="70" t="s">
        <v>3623</v>
      </c>
      <c r="Z27" s="60"/>
      <c r="AA27" s="63" t="s">
        <v>3625</v>
      </c>
      <c r="AB27" s="60"/>
      <c r="AC27" s="63" t="s">
        <v>3626</v>
      </c>
      <c r="AD27" s="70" t="s">
        <v>712</v>
      </c>
      <c r="AE27" s="70" t="s">
        <v>3630</v>
      </c>
      <c r="AF27" s="63" t="s">
        <v>3636</v>
      </c>
      <c r="AG27" s="63" t="s">
        <v>1851</v>
      </c>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8"/>
      <c r="BX27" s="60"/>
      <c r="BY27" s="60"/>
      <c r="BZ27" s="60"/>
      <c r="CA27" s="68"/>
      <c r="CB27" s="60"/>
      <c r="CC27" s="60"/>
      <c r="CD27" s="68"/>
      <c r="CE27" s="60"/>
      <c r="CF27" s="60"/>
      <c r="CG27" s="60"/>
      <c r="CH27" s="60"/>
      <c r="CI27" s="60"/>
      <c r="CJ27" s="60"/>
      <c r="CK27" s="60"/>
      <c r="CL27" s="60"/>
      <c r="CM27" s="60"/>
      <c r="CN27" s="60"/>
      <c r="CO27" s="60"/>
      <c r="CP27" s="60"/>
      <c r="CQ27" s="60"/>
      <c r="CR27" s="60"/>
      <c r="CS27" s="60"/>
      <c r="CT27" s="60"/>
      <c r="CU27" s="60"/>
    </row>
    <row r="28">
      <c r="A28" s="693" t="s">
        <v>134</v>
      </c>
      <c r="B28" s="241" t="s">
        <v>3640</v>
      </c>
      <c r="C28" s="237" t="s">
        <v>306</v>
      </c>
      <c r="D28" s="238" t="s">
        <v>155</v>
      </c>
      <c r="E28" s="239" t="s">
        <v>76</v>
      </c>
      <c r="F28" s="240" t="s">
        <v>81</v>
      </c>
      <c r="G28" s="241" t="s">
        <v>81</v>
      </c>
      <c r="H28" s="738"/>
      <c r="I28" s="738"/>
      <c r="J28" s="60"/>
      <c r="K28" s="60"/>
      <c r="L28" s="60"/>
      <c r="M28" s="60"/>
      <c r="N28" s="60"/>
      <c r="O28" s="60"/>
      <c r="P28" s="60"/>
      <c r="Q28" s="60"/>
      <c r="R28" s="60"/>
      <c r="S28" s="60"/>
      <c r="T28" s="60"/>
      <c r="U28" s="60"/>
      <c r="V28" s="60"/>
      <c r="W28" s="60"/>
      <c r="X28" s="69" t="s">
        <v>3644</v>
      </c>
      <c r="Y28" s="69" t="s">
        <v>3079</v>
      </c>
      <c r="Z28" s="60"/>
      <c r="AA28" s="60"/>
      <c r="AB28" s="60"/>
      <c r="AC28" s="69" t="s">
        <v>3649</v>
      </c>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20"/>
      <c r="BH28" s="620"/>
      <c r="BI28" s="620"/>
      <c r="BJ28" s="620"/>
      <c r="BK28" s="620"/>
      <c r="BL28" s="620"/>
      <c r="BM28" s="620"/>
      <c r="BN28" s="620"/>
      <c r="BO28" s="620"/>
      <c r="BP28" s="620"/>
      <c r="BQ28" s="60"/>
      <c r="BR28" s="60"/>
      <c r="BS28" s="60"/>
      <c r="BT28" s="60"/>
      <c r="BU28" s="60"/>
      <c r="BV28" s="66" t="s">
        <v>1473</v>
      </c>
      <c r="BW28" s="68"/>
      <c r="BX28" s="69" t="s">
        <v>3657</v>
      </c>
      <c r="BY28" s="60"/>
      <c r="BZ28" s="69" t="s">
        <v>3659</v>
      </c>
      <c r="CA28" s="68"/>
      <c r="CB28" s="60"/>
      <c r="CC28" s="60"/>
      <c r="CD28" s="751" t="s">
        <v>3661</v>
      </c>
      <c r="CE28" s="60"/>
      <c r="CF28" s="60"/>
      <c r="CG28" s="60"/>
      <c r="CH28" s="60"/>
      <c r="CI28" s="60"/>
      <c r="CJ28" s="60"/>
      <c r="CK28" s="60"/>
      <c r="CL28" s="60"/>
      <c r="CM28" s="60"/>
      <c r="CN28" s="60"/>
      <c r="CO28" s="60"/>
      <c r="CP28" s="60"/>
      <c r="CQ28" s="60"/>
      <c r="CR28" s="60"/>
      <c r="CS28" s="60"/>
      <c r="CT28" s="60"/>
      <c r="CU28" s="60"/>
    </row>
    <row r="29">
      <c r="A29" s="693" t="s">
        <v>73</v>
      </c>
      <c r="B29" s="241" t="s">
        <v>3666</v>
      </c>
      <c r="C29" s="237" t="s">
        <v>155</v>
      </c>
      <c r="D29" s="238" t="s">
        <v>155</v>
      </c>
      <c r="E29" s="239" t="s">
        <v>155</v>
      </c>
      <c r="F29" s="240" t="s">
        <v>76</v>
      </c>
      <c r="G29" s="241" t="s">
        <v>211</v>
      </c>
      <c r="H29" s="560"/>
      <c r="I29" s="560"/>
      <c r="J29" s="60"/>
      <c r="K29" s="60"/>
      <c r="L29" s="60"/>
      <c r="M29" s="60"/>
      <c r="N29" s="60"/>
      <c r="O29" s="60"/>
      <c r="P29" s="60"/>
      <c r="Q29" s="60"/>
      <c r="R29" s="63" t="s">
        <v>3668</v>
      </c>
      <c r="S29" s="60"/>
      <c r="T29" s="60"/>
      <c r="U29" s="60"/>
      <c r="V29" s="60"/>
      <c r="W29" s="63" t="s">
        <v>3669</v>
      </c>
      <c r="X29" s="63" t="s">
        <v>3669</v>
      </c>
      <c r="Y29" s="63" t="s">
        <v>3670</v>
      </c>
      <c r="Z29" s="60"/>
      <c r="AA29" s="63" t="s">
        <v>3671</v>
      </c>
      <c r="AB29" s="60"/>
      <c r="AC29" s="63" t="s">
        <v>3674</v>
      </c>
      <c r="AD29" s="63" t="s">
        <v>3675</v>
      </c>
      <c r="AE29" s="63" t="s">
        <v>3676</v>
      </c>
      <c r="AF29" s="60"/>
      <c r="AG29" s="60"/>
      <c r="AH29" s="70" t="s">
        <v>3677</v>
      </c>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8"/>
      <c r="BX29" s="60"/>
      <c r="BY29" s="60"/>
      <c r="BZ29" s="60"/>
      <c r="CA29" s="68"/>
      <c r="CB29" s="60"/>
      <c r="CC29" s="60"/>
      <c r="CD29" s="68"/>
      <c r="CE29" s="60"/>
      <c r="CF29" s="60"/>
      <c r="CG29" s="60"/>
      <c r="CH29" s="60"/>
      <c r="CI29" s="60"/>
      <c r="CJ29" s="60"/>
      <c r="CK29" s="60"/>
      <c r="CL29" s="60"/>
      <c r="CM29" s="60"/>
      <c r="CN29" s="60"/>
      <c r="CO29" s="60"/>
      <c r="CP29" s="60"/>
      <c r="CQ29" s="60"/>
      <c r="CR29" s="60"/>
      <c r="CS29" s="60"/>
      <c r="CT29" s="60"/>
      <c r="CU29" s="60"/>
    </row>
    <row r="30">
      <c r="A30" s="755" t="s">
        <v>305</v>
      </c>
      <c r="B30" s="241" t="s">
        <v>3699</v>
      </c>
      <c r="C30" s="237" t="s">
        <v>155</v>
      </c>
      <c r="D30" s="238" t="s">
        <v>76</v>
      </c>
      <c r="E30" s="239" t="s">
        <v>76</v>
      </c>
      <c r="F30" s="240" t="s">
        <v>156</v>
      </c>
      <c r="G30" s="241" t="s">
        <v>156</v>
      </c>
      <c r="H30" s="560"/>
      <c r="I30" s="560"/>
      <c r="J30" s="60"/>
      <c r="K30" s="60"/>
      <c r="L30" s="60"/>
      <c r="M30" s="60"/>
      <c r="N30" s="60"/>
      <c r="O30" s="60"/>
      <c r="P30" s="60"/>
      <c r="Q30" s="60"/>
      <c r="R30" s="60"/>
      <c r="S30" s="60"/>
      <c r="T30" s="60"/>
      <c r="U30" s="60"/>
      <c r="V30" s="60"/>
      <c r="W30" s="60"/>
      <c r="X30" s="70" t="s">
        <v>3705</v>
      </c>
      <c r="Y30" s="66" t="s">
        <v>3710</v>
      </c>
      <c r="Z30" s="60"/>
      <c r="AA30" s="60"/>
      <c r="AB30" s="60"/>
      <c r="AC30" s="60"/>
      <c r="AD30" s="60"/>
      <c r="AE30" s="74"/>
      <c r="AF30" s="67" t="s">
        <v>3718</v>
      </c>
      <c r="AG30" s="60"/>
      <c r="AH30" s="60"/>
      <c r="AI30" s="60"/>
      <c r="AJ30" s="60"/>
      <c r="AK30" s="60"/>
      <c r="AL30" s="60"/>
      <c r="AM30" s="60"/>
      <c r="AN30" s="60"/>
      <c r="AO30" s="60"/>
      <c r="AP30" s="60"/>
      <c r="AQ30" s="60"/>
      <c r="AR30" s="60"/>
      <c r="AS30" s="60"/>
      <c r="AT30" s="60"/>
      <c r="AU30" s="60"/>
      <c r="AV30" s="60"/>
      <c r="AW30" s="60"/>
      <c r="AX30" s="63" t="s">
        <v>871</v>
      </c>
      <c r="AY30" s="60"/>
      <c r="AZ30" s="60"/>
      <c r="BA30" s="60"/>
      <c r="BB30" s="60"/>
      <c r="BC30" s="60"/>
      <c r="BD30" s="60"/>
      <c r="BE30" s="60"/>
      <c r="BF30" s="60"/>
      <c r="BG30" s="620"/>
      <c r="BH30" s="620"/>
      <c r="BI30" s="620"/>
      <c r="BJ30" s="620"/>
      <c r="BK30" s="620"/>
      <c r="BL30" s="620"/>
      <c r="BM30" s="620"/>
      <c r="BN30" s="620"/>
      <c r="BO30" s="620"/>
      <c r="BP30" s="620"/>
      <c r="BQ30" s="60"/>
      <c r="BR30" s="60"/>
      <c r="BS30" s="60"/>
      <c r="BT30" s="60"/>
      <c r="BU30" s="60"/>
      <c r="BV30" s="63"/>
      <c r="BW30" s="95"/>
      <c r="BX30" s="63"/>
      <c r="BY30" s="63"/>
      <c r="BZ30" s="63"/>
      <c r="CA30" s="95"/>
      <c r="CB30" s="63"/>
      <c r="CC30" s="63"/>
      <c r="CD30" s="95"/>
      <c r="CE30" s="468"/>
      <c r="CF30" s="468"/>
      <c r="CG30" s="468"/>
      <c r="CH30" s="468"/>
      <c r="CI30" s="468"/>
      <c r="CJ30" s="468"/>
      <c r="CK30" s="468"/>
      <c r="CL30" s="468"/>
      <c r="CM30" s="468"/>
      <c r="CN30" s="468"/>
      <c r="CO30" s="468"/>
      <c r="CP30" s="468"/>
      <c r="CQ30" s="468"/>
      <c r="CR30" s="468"/>
      <c r="CS30" s="468"/>
      <c r="CT30" s="60"/>
      <c r="CU30" s="60"/>
    </row>
    <row r="31">
      <c r="A31" s="712" t="s">
        <v>129</v>
      </c>
      <c r="B31" s="241" t="s">
        <v>3732</v>
      </c>
      <c r="C31" s="237" t="s">
        <v>155</v>
      </c>
      <c r="D31" s="238" t="s">
        <v>155</v>
      </c>
      <c r="E31" s="239" t="s">
        <v>155</v>
      </c>
      <c r="F31" s="240" t="s">
        <v>127</v>
      </c>
      <c r="G31" s="241" t="s">
        <v>156</v>
      </c>
      <c r="H31" s="560"/>
      <c r="I31" s="560"/>
      <c r="J31" s="62"/>
      <c r="K31" s="62"/>
      <c r="L31" s="62"/>
      <c r="M31" s="62"/>
      <c r="N31" s="62"/>
      <c r="O31" s="62"/>
      <c r="P31" s="62"/>
      <c r="Q31" s="62"/>
      <c r="R31" s="410" t="s">
        <v>3735</v>
      </c>
      <c r="S31" s="62"/>
      <c r="T31" s="62"/>
      <c r="U31" s="62"/>
      <c r="V31" s="62"/>
      <c r="W31" s="62"/>
      <c r="X31" s="62"/>
      <c r="Y31" s="142" t="s">
        <v>826</v>
      </c>
      <c r="Z31" s="62"/>
      <c r="AA31" s="62"/>
      <c r="AB31" s="62"/>
      <c r="AC31" s="62"/>
      <c r="AD31" s="62"/>
      <c r="AE31" s="62"/>
      <c r="AF31" s="62"/>
      <c r="AG31" s="62"/>
      <c r="AH31" s="62"/>
      <c r="AI31" s="62"/>
      <c r="AJ31" s="62"/>
      <c r="AK31" s="62"/>
      <c r="AL31" s="62"/>
      <c r="AM31" s="62"/>
      <c r="AN31" s="62"/>
      <c r="AO31" s="62"/>
      <c r="AP31" s="62"/>
      <c r="AQ31" s="62"/>
      <c r="AR31" s="62"/>
      <c r="AS31" s="62"/>
      <c r="AT31" s="62"/>
      <c r="AU31" s="142" t="s">
        <v>3740</v>
      </c>
      <c r="AV31" s="711"/>
      <c r="AW31" s="62"/>
      <c r="AX31" s="62"/>
      <c r="AY31" s="62"/>
      <c r="AZ31" s="62"/>
      <c r="BA31" s="62"/>
      <c r="BB31" s="62"/>
      <c r="BC31" s="62"/>
      <c r="BD31" s="62"/>
      <c r="BE31" s="62"/>
      <c r="BF31" s="62"/>
      <c r="BG31" s="60"/>
      <c r="BH31" s="60"/>
      <c r="BI31" s="60"/>
      <c r="BJ31" s="60"/>
      <c r="BK31" s="60"/>
      <c r="BL31" s="60"/>
      <c r="BM31" s="60"/>
      <c r="BN31" s="60"/>
      <c r="BO31" s="60"/>
      <c r="BP31" s="60"/>
      <c r="BQ31" s="60"/>
      <c r="BR31" s="60"/>
      <c r="BS31" s="60"/>
      <c r="BT31" s="60"/>
      <c r="BU31" s="60"/>
      <c r="BV31" s="62"/>
      <c r="BW31" s="61"/>
      <c r="BX31" s="62"/>
      <c r="BY31" s="62"/>
      <c r="BZ31" s="62"/>
      <c r="CA31" s="61"/>
      <c r="CB31" s="62"/>
      <c r="CC31" s="62"/>
      <c r="CD31" s="61"/>
      <c r="CE31" s="60"/>
      <c r="CF31" s="60"/>
      <c r="CG31" s="60"/>
      <c r="CH31" s="60"/>
      <c r="CI31" s="60"/>
      <c r="CJ31" s="60"/>
      <c r="CK31" s="60"/>
      <c r="CL31" s="60"/>
      <c r="CM31" s="60"/>
      <c r="CN31" s="60"/>
      <c r="CO31" s="60"/>
      <c r="CP31" s="60"/>
      <c r="CQ31" s="60"/>
      <c r="CR31" s="63"/>
      <c r="CS31" s="60"/>
      <c r="CT31" s="60"/>
      <c r="CU31" s="60"/>
    </row>
    <row r="32">
      <c r="A32" s="593" t="s">
        <v>3748</v>
      </c>
      <c r="B32" s="241" t="s">
        <v>1477</v>
      </c>
      <c r="C32" s="237" t="s">
        <v>155</v>
      </c>
      <c r="D32" s="238" t="s">
        <v>155</v>
      </c>
      <c r="E32" s="239" t="s">
        <v>155</v>
      </c>
      <c r="F32" s="240" t="s">
        <v>155</v>
      </c>
      <c r="G32" s="241" t="s">
        <v>260</v>
      </c>
      <c r="H32" s="560"/>
      <c r="I32" s="560" t="s">
        <v>871</v>
      </c>
      <c r="J32" s="60"/>
      <c r="K32" s="63" t="s">
        <v>3749</v>
      </c>
      <c r="L32" s="60"/>
      <c r="M32" s="60"/>
      <c r="N32" s="60"/>
      <c r="O32" s="60"/>
      <c r="P32" s="63" t="s">
        <v>3751</v>
      </c>
      <c r="Q32" s="60"/>
      <c r="R32" s="60"/>
      <c r="S32" s="60"/>
      <c r="T32" s="63" t="s">
        <v>3753</v>
      </c>
      <c r="U32" s="63" t="s">
        <v>3754</v>
      </c>
      <c r="V32" s="60"/>
      <c r="W32" s="63" t="s">
        <v>627</v>
      </c>
      <c r="X32" s="63" t="s">
        <v>3756</v>
      </c>
      <c r="Y32" s="63" t="s">
        <v>562</v>
      </c>
      <c r="Z32" s="60"/>
      <c r="AA32" s="60"/>
      <c r="AB32" s="60"/>
      <c r="AC32" s="60"/>
      <c r="AD32" s="60"/>
      <c r="AE32" s="60"/>
      <c r="AF32" s="60"/>
      <c r="AG32" s="60"/>
      <c r="AH32" s="60"/>
      <c r="AI32" s="60"/>
      <c r="AJ32" s="60"/>
      <c r="AK32" s="60"/>
      <c r="AL32" s="60"/>
      <c r="AM32" s="60"/>
      <c r="AN32" s="60"/>
      <c r="AO32" s="60"/>
      <c r="AP32" s="125" t="s">
        <v>2593</v>
      </c>
      <c r="AQ32" s="125"/>
      <c r="AR32" s="60"/>
      <c r="AS32" s="63" t="s">
        <v>1802</v>
      </c>
      <c r="AT32" s="60"/>
      <c r="AU32" s="63" t="s">
        <v>3483</v>
      </c>
      <c r="AV32" s="60"/>
      <c r="AW32" s="60"/>
      <c r="AX32" s="60"/>
      <c r="AY32" s="60"/>
      <c r="AZ32" s="63" t="s">
        <v>721</v>
      </c>
      <c r="BA32" s="60"/>
      <c r="BB32" s="125" t="s">
        <v>3761</v>
      </c>
      <c r="BC32" s="63" t="s">
        <v>1937</v>
      </c>
      <c r="BD32" s="63"/>
      <c r="BE32" s="60"/>
      <c r="BF32" s="60"/>
      <c r="BG32" s="60"/>
      <c r="BH32" s="60"/>
      <c r="BI32" s="60"/>
      <c r="BJ32" s="60"/>
      <c r="BK32" s="60"/>
      <c r="BL32" s="60"/>
      <c r="BM32" s="60"/>
      <c r="BN32" s="60"/>
      <c r="BO32" s="60"/>
      <c r="BP32" s="60"/>
      <c r="BQ32" s="60"/>
      <c r="BR32" s="60"/>
      <c r="BS32" s="60"/>
      <c r="BT32" s="60"/>
      <c r="BU32" s="60"/>
      <c r="BV32" s="60"/>
      <c r="BW32" s="68"/>
      <c r="BX32" s="60"/>
      <c r="BY32" s="60"/>
      <c r="BZ32" s="60"/>
      <c r="CA32" s="68"/>
      <c r="CB32" s="60"/>
      <c r="CC32" s="60"/>
      <c r="CD32" s="68"/>
      <c r="CE32" s="60"/>
      <c r="CF32" s="60"/>
      <c r="CG32" s="60"/>
      <c r="CH32" s="60"/>
      <c r="CI32" s="60"/>
      <c r="CJ32" s="60"/>
      <c r="CK32" s="60"/>
      <c r="CL32" s="60"/>
      <c r="CM32" s="60"/>
      <c r="CN32" s="60"/>
      <c r="CO32" s="60"/>
      <c r="CP32" s="60"/>
      <c r="CQ32" s="60"/>
      <c r="CR32" s="60"/>
      <c r="CS32" s="60"/>
      <c r="CT32" s="60"/>
      <c r="CU32" s="60"/>
    </row>
    <row r="33">
      <c r="A33" s="765" t="s">
        <v>317</v>
      </c>
      <c r="B33" s="241" t="s">
        <v>1342</v>
      </c>
      <c r="C33" s="237" t="s">
        <v>155</v>
      </c>
      <c r="D33" s="238" t="s">
        <v>155</v>
      </c>
      <c r="E33" s="239" t="s">
        <v>155</v>
      </c>
      <c r="F33" s="240" t="s">
        <v>155</v>
      </c>
      <c r="G33" s="241" t="s">
        <v>211</v>
      </c>
      <c r="H33" s="560"/>
      <c r="I33" s="560"/>
      <c r="J33" s="60"/>
      <c r="K33" s="60"/>
      <c r="L33" s="60"/>
      <c r="M33" s="60"/>
      <c r="N33" s="60"/>
      <c r="O33" s="60"/>
      <c r="P33" s="60"/>
      <c r="Q33" s="60"/>
      <c r="R33" s="60"/>
      <c r="S33" s="60"/>
      <c r="T33" s="60"/>
      <c r="U33" s="60"/>
      <c r="V33" s="60"/>
      <c r="W33" s="95" t="s">
        <v>2710</v>
      </c>
      <c r="X33" s="63"/>
      <c r="Y33" s="95" t="s">
        <v>2458</v>
      </c>
      <c r="Z33" s="60"/>
      <c r="AA33" s="60"/>
      <c r="AB33" s="60"/>
      <c r="AC33" s="95" t="s">
        <v>3768</v>
      </c>
      <c r="AD33" s="63" t="s">
        <v>3769</v>
      </c>
      <c r="AE33" s="63"/>
      <c r="AF33" s="95" t="s">
        <v>3017</v>
      </c>
      <c r="AG33" s="63"/>
      <c r="AH33" s="95" t="s">
        <v>3771</v>
      </c>
      <c r="AI33" s="60"/>
      <c r="AJ33" s="60"/>
      <c r="AK33" s="60"/>
      <c r="AL33" s="60"/>
      <c r="AM33" s="60"/>
      <c r="AN33" s="60"/>
      <c r="AO33" s="60"/>
      <c r="AP33" s="60"/>
      <c r="AQ33" s="60"/>
      <c r="AR33" s="60"/>
      <c r="AS33" s="60"/>
      <c r="AT33" s="60"/>
      <c r="AU33" s="60"/>
      <c r="AV33" s="60"/>
      <c r="AW33" s="60"/>
      <c r="AX33" s="60"/>
      <c r="AY33" s="60"/>
      <c r="AZ33" s="60"/>
      <c r="BA33" s="60"/>
      <c r="BB33" s="95" t="s">
        <v>3083</v>
      </c>
      <c r="BC33" s="60"/>
      <c r="BD33" s="60"/>
      <c r="BE33" s="60"/>
      <c r="BF33" s="60"/>
      <c r="BG33" s="620"/>
      <c r="BH33" s="620"/>
      <c r="BI33" s="620"/>
      <c r="BJ33" s="620"/>
      <c r="BK33" s="620"/>
      <c r="BL33" s="620"/>
      <c r="BM33" s="620"/>
      <c r="BN33" s="620"/>
      <c r="BO33" s="620"/>
      <c r="BP33" s="620"/>
      <c r="BQ33" s="60"/>
      <c r="BR33" s="60"/>
      <c r="BS33" s="60"/>
      <c r="BT33" s="60"/>
      <c r="BU33" s="60"/>
      <c r="BV33" s="60"/>
      <c r="BW33" s="68"/>
      <c r="BX33" s="95" t="s">
        <v>3776</v>
      </c>
      <c r="BY33" s="95" t="s">
        <v>3777</v>
      </c>
      <c r="BZ33" s="60"/>
      <c r="CA33" s="68"/>
      <c r="CB33" s="60"/>
      <c r="CC33" s="60"/>
      <c r="CD33" s="68"/>
      <c r="CE33" s="468"/>
      <c r="CF33" s="468"/>
      <c r="CG33" s="468"/>
      <c r="CH33" s="468"/>
      <c r="CI33" s="468"/>
      <c r="CJ33" s="468"/>
      <c r="CK33" s="468"/>
      <c r="CL33" s="468"/>
      <c r="CM33" s="468"/>
      <c r="CN33" s="468"/>
      <c r="CO33" s="468"/>
      <c r="CP33" s="468"/>
      <c r="CQ33" s="468"/>
      <c r="CR33" s="468"/>
      <c r="CS33" s="468"/>
      <c r="CT33" s="60"/>
      <c r="CU33" s="60"/>
    </row>
    <row r="34">
      <c r="A34" s="767" t="s">
        <v>3782</v>
      </c>
      <c r="B34" s="241" t="s">
        <v>3360</v>
      </c>
      <c r="C34" s="237" t="s">
        <v>155</v>
      </c>
      <c r="D34" s="238" t="s">
        <v>155</v>
      </c>
      <c r="E34" s="239" t="s">
        <v>155</v>
      </c>
      <c r="F34" s="240" t="s">
        <v>156</v>
      </c>
      <c r="G34" s="241" t="s">
        <v>154</v>
      </c>
      <c r="H34" s="560" t="s">
        <v>3793</v>
      </c>
      <c r="I34" s="560"/>
      <c r="J34" s="60"/>
      <c r="K34" s="60"/>
      <c r="L34" s="60"/>
      <c r="M34" s="60"/>
      <c r="N34" s="60"/>
      <c r="O34" s="60"/>
      <c r="P34" s="60"/>
      <c r="Q34" s="60"/>
      <c r="R34" s="60"/>
      <c r="S34" s="60"/>
      <c r="T34" s="70" t="s">
        <v>3794</v>
      </c>
      <c r="U34" s="63" t="s">
        <v>3795</v>
      </c>
      <c r="V34" s="63" t="s">
        <v>3796</v>
      </c>
      <c r="W34" s="60"/>
      <c r="X34" s="63" t="s">
        <v>3797</v>
      </c>
      <c r="Y34" s="63" t="s">
        <v>3798</v>
      </c>
      <c r="Z34" s="60"/>
      <c r="AA34" s="60"/>
      <c r="AB34" s="60"/>
      <c r="AC34" s="70" t="s">
        <v>3799</v>
      </c>
      <c r="AD34" s="63" t="s">
        <v>3802</v>
      </c>
      <c r="AE34" s="60"/>
      <c r="AF34" s="60"/>
      <c r="AG34" s="60"/>
      <c r="AH34" s="60"/>
      <c r="AI34" s="60"/>
      <c r="AJ34" s="60"/>
      <c r="AK34" s="60"/>
      <c r="AL34" s="60"/>
      <c r="AM34" s="63" t="s">
        <v>3804</v>
      </c>
      <c r="AN34" s="60"/>
      <c r="AO34" s="60"/>
      <c r="AP34" s="63" t="s">
        <v>2876</v>
      </c>
      <c r="AQ34" s="60"/>
      <c r="AR34" s="60"/>
      <c r="AS34" s="60"/>
      <c r="AT34" s="60"/>
      <c r="AU34" s="63" t="s">
        <v>1225</v>
      </c>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8"/>
      <c r="BX34" s="60"/>
      <c r="BY34" s="60"/>
      <c r="BZ34" s="60"/>
      <c r="CA34" s="68"/>
      <c r="CB34" s="60"/>
      <c r="CC34" s="60"/>
      <c r="CD34" s="68"/>
      <c r="CE34" s="70" t="s">
        <v>3812</v>
      </c>
      <c r="CF34" s="60"/>
      <c r="CG34" s="60"/>
      <c r="CH34" s="60"/>
      <c r="CI34" s="60"/>
      <c r="CJ34" s="60"/>
      <c r="CK34" s="60"/>
      <c r="CL34" s="60"/>
      <c r="CM34" s="60"/>
      <c r="CN34" s="60"/>
      <c r="CO34" s="60"/>
      <c r="CP34" s="60"/>
      <c r="CQ34" s="60"/>
      <c r="CR34" s="60"/>
      <c r="CS34" s="60"/>
      <c r="CT34" s="60"/>
      <c r="CU34" s="60"/>
    </row>
    <row r="35">
      <c r="A35" s="693" t="s">
        <v>121</v>
      </c>
      <c r="B35" s="241" t="s">
        <v>1340</v>
      </c>
      <c r="C35" s="237" t="s">
        <v>76</v>
      </c>
      <c r="D35" s="238" t="s">
        <v>76</v>
      </c>
      <c r="E35" s="239" t="s">
        <v>155</v>
      </c>
      <c r="F35" s="240" t="s">
        <v>127</v>
      </c>
      <c r="G35" s="241" t="s">
        <v>127</v>
      </c>
      <c r="H35" s="560"/>
      <c r="I35" s="560"/>
      <c r="J35" s="60"/>
      <c r="K35" s="60"/>
      <c r="L35" s="60"/>
      <c r="M35" s="60"/>
      <c r="N35" s="60"/>
      <c r="O35" s="69" t="s">
        <v>3817</v>
      </c>
      <c r="P35" s="67" t="s">
        <v>3820</v>
      </c>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8"/>
      <c r="BX35" s="60"/>
      <c r="BY35" s="60"/>
      <c r="BZ35" s="60"/>
      <c r="CA35" s="68"/>
      <c r="CB35" s="60"/>
      <c r="CC35" s="60"/>
      <c r="CD35" s="68"/>
      <c r="CE35" s="60"/>
      <c r="CF35" s="60"/>
      <c r="CG35" s="60"/>
      <c r="CH35" s="60"/>
      <c r="CI35" s="60"/>
      <c r="CJ35" s="60"/>
      <c r="CK35" s="60"/>
      <c r="CL35" s="60"/>
      <c r="CM35" s="60"/>
      <c r="CN35" s="60"/>
      <c r="CO35" s="60"/>
      <c r="CP35" s="60"/>
      <c r="CQ35" s="60"/>
      <c r="CR35" s="60"/>
      <c r="CS35" s="60"/>
      <c r="CT35" s="60"/>
      <c r="CU35" s="60"/>
    </row>
    <row r="36">
      <c r="A36" s="528" t="s">
        <v>3825</v>
      </c>
      <c r="B36" s="241" t="s">
        <v>2255</v>
      </c>
      <c r="C36" s="237" t="s">
        <v>155</v>
      </c>
      <c r="D36" s="238" t="s">
        <v>155</v>
      </c>
      <c r="E36" s="239" t="s">
        <v>155</v>
      </c>
      <c r="F36" s="240" t="s">
        <v>155</v>
      </c>
      <c r="G36" s="241" t="s">
        <v>157</v>
      </c>
      <c r="H36" s="560"/>
      <c r="I36" s="560"/>
      <c r="J36" s="60"/>
      <c r="K36" s="60"/>
      <c r="L36" s="60"/>
      <c r="M36" s="60"/>
      <c r="N36" s="60"/>
      <c r="O36" s="60"/>
      <c r="P36" s="60"/>
      <c r="Q36" s="60"/>
      <c r="R36" s="63"/>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20"/>
      <c r="BH36" s="620"/>
      <c r="BI36" s="620"/>
      <c r="BJ36" s="620"/>
      <c r="BK36" s="620"/>
      <c r="BL36" s="620"/>
      <c r="BM36" s="620"/>
      <c r="BN36" s="620"/>
      <c r="BO36" s="620"/>
      <c r="BP36" s="620"/>
      <c r="BQ36" s="60"/>
      <c r="BR36" s="60"/>
      <c r="BS36" s="60"/>
      <c r="BT36" s="60"/>
      <c r="BU36" s="60"/>
      <c r="BV36" s="60"/>
      <c r="BW36" s="68"/>
      <c r="BX36" s="773" t="s">
        <v>1437</v>
      </c>
      <c r="BY36" s="602" t="s">
        <v>3834</v>
      </c>
      <c r="BZ36" s="602" t="s">
        <v>3835</v>
      </c>
      <c r="CA36" s="68"/>
      <c r="CB36" s="602" t="s">
        <v>3836</v>
      </c>
      <c r="CC36" s="602" t="s">
        <v>1348</v>
      </c>
      <c r="CD36" s="602"/>
      <c r="CE36" s="468"/>
      <c r="CF36" s="468"/>
      <c r="CG36" s="468"/>
      <c r="CH36" s="468"/>
      <c r="CI36" s="468"/>
      <c r="CJ36" s="468"/>
      <c r="CK36" s="468"/>
      <c r="CL36" s="468"/>
      <c r="CM36" s="468"/>
      <c r="CN36" s="468"/>
      <c r="CO36" s="468"/>
      <c r="CP36" s="468"/>
      <c r="CQ36" s="468"/>
      <c r="CR36" s="468"/>
      <c r="CS36" s="468"/>
      <c r="CT36" s="60"/>
      <c r="CU36" s="60"/>
    </row>
    <row r="37">
      <c r="A37" s="693" t="s">
        <v>65</v>
      </c>
      <c r="B37" s="241" t="s">
        <v>1695</v>
      </c>
      <c r="C37" s="237" t="s">
        <v>76</v>
      </c>
      <c r="D37" s="238" t="s">
        <v>155</v>
      </c>
      <c r="E37" s="239" t="s">
        <v>155</v>
      </c>
      <c r="F37" s="240" t="s">
        <v>76</v>
      </c>
      <c r="G37" s="241" t="s">
        <v>76</v>
      </c>
      <c r="H37" s="560"/>
      <c r="I37" s="560"/>
      <c r="J37" s="60"/>
      <c r="K37" s="60"/>
      <c r="L37" s="60"/>
      <c r="M37" s="60"/>
      <c r="N37" s="60"/>
      <c r="O37" s="60"/>
      <c r="P37" s="60"/>
      <c r="Q37" s="60"/>
      <c r="R37" s="60"/>
      <c r="S37" s="60"/>
      <c r="T37" s="60"/>
      <c r="U37" s="60"/>
      <c r="V37" s="60"/>
      <c r="W37" s="60"/>
      <c r="X37" s="60"/>
      <c r="Y37" s="60"/>
      <c r="Z37" s="60"/>
      <c r="AA37" s="60"/>
      <c r="AB37" s="60"/>
      <c r="AC37" s="60"/>
      <c r="AD37" s="69" t="s">
        <v>3846</v>
      </c>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8"/>
      <c r="BX37" s="60"/>
      <c r="BY37" s="60"/>
      <c r="BZ37" s="60"/>
      <c r="CA37" s="68"/>
      <c r="CB37" s="60"/>
      <c r="CC37" s="60"/>
      <c r="CD37" s="68"/>
      <c r="CE37" s="60"/>
      <c r="CF37" s="60"/>
      <c r="CG37" s="60"/>
      <c r="CH37" s="60"/>
      <c r="CI37" s="60"/>
      <c r="CJ37" s="60"/>
      <c r="CK37" s="60"/>
      <c r="CL37" s="60"/>
      <c r="CM37" s="60"/>
      <c r="CN37" s="60"/>
      <c r="CO37" s="60"/>
      <c r="CP37" s="60"/>
      <c r="CQ37" s="60"/>
      <c r="CR37" s="60"/>
      <c r="CS37" s="60"/>
      <c r="CT37" s="60"/>
      <c r="CU37" s="60"/>
    </row>
    <row r="38">
      <c r="A38" s="528" t="s">
        <v>3858</v>
      </c>
      <c r="B38" s="241" t="s">
        <v>2007</v>
      </c>
      <c r="C38" s="237" t="s">
        <v>155</v>
      </c>
      <c r="D38" s="238" t="s">
        <v>155</v>
      </c>
      <c r="E38" s="239" t="s">
        <v>76</v>
      </c>
      <c r="F38" s="240" t="s">
        <v>76</v>
      </c>
      <c r="G38" s="241" t="s">
        <v>76</v>
      </c>
      <c r="H38" s="560"/>
      <c r="I38" s="560"/>
      <c r="J38" s="60"/>
      <c r="K38" s="60"/>
      <c r="L38" s="60"/>
      <c r="M38" s="60"/>
      <c r="N38" s="60"/>
      <c r="O38" s="60"/>
      <c r="P38" s="60"/>
      <c r="Q38" s="60"/>
      <c r="R38" s="60"/>
      <c r="S38" s="60"/>
      <c r="T38" s="60"/>
      <c r="U38" s="60"/>
      <c r="V38" s="60"/>
      <c r="W38" s="60"/>
      <c r="X38" s="60"/>
      <c r="Y38" s="60"/>
      <c r="Z38" s="60"/>
      <c r="AA38" s="60"/>
      <c r="AB38" s="60"/>
      <c r="AC38" s="63"/>
      <c r="AD38" s="66" t="s">
        <v>1503</v>
      </c>
      <c r="AE38" s="74"/>
      <c r="AF38" s="74"/>
      <c r="AG38" s="74"/>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326"/>
      <c r="BH38" s="326"/>
      <c r="BI38" s="326"/>
      <c r="BJ38" s="326"/>
      <c r="BK38" s="326"/>
      <c r="BL38" s="326"/>
      <c r="BM38" s="326"/>
      <c r="BN38" s="326"/>
      <c r="BO38" s="326"/>
      <c r="BP38" s="326"/>
      <c r="BQ38" s="60"/>
      <c r="BR38" s="60"/>
      <c r="BS38" s="60"/>
      <c r="BT38" s="60"/>
      <c r="BU38" s="60"/>
      <c r="BV38" s="60"/>
      <c r="BW38" s="68"/>
      <c r="BX38" s="60"/>
      <c r="BY38" s="60"/>
      <c r="BZ38" s="60"/>
      <c r="CA38" s="68"/>
      <c r="CB38" s="60"/>
      <c r="CC38" s="60"/>
      <c r="CD38" s="68"/>
      <c r="CE38" s="676"/>
      <c r="CF38" s="676"/>
      <c r="CG38" s="676"/>
      <c r="CH38" s="676"/>
      <c r="CI38" s="676"/>
      <c r="CJ38" s="676"/>
      <c r="CK38" s="676"/>
      <c r="CL38" s="676"/>
      <c r="CM38" s="468"/>
      <c r="CN38" s="468"/>
      <c r="CO38" s="468"/>
      <c r="CP38" s="468"/>
      <c r="CQ38" s="468"/>
      <c r="CR38" s="468"/>
      <c r="CS38" s="468"/>
      <c r="CT38" s="74"/>
      <c r="CU38" s="74"/>
    </row>
    <row r="39">
      <c r="A39" s="780" t="s">
        <v>3872</v>
      </c>
      <c r="B39" s="241" t="s">
        <v>551</v>
      </c>
      <c r="C39" s="237" t="s">
        <v>155</v>
      </c>
      <c r="D39" s="238" t="s">
        <v>155</v>
      </c>
      <c r="E39" s="239" t="s">
        <v>155</v>
      </c>
      <c r="F39" s="240" t="s">
        <v>155</v>
      </c>
      <c r="G39" s="241" t="s">
        <v>154</v>
      </c>
      <c r="H39" s="560"/>
      <c r="I39" s="560"/>
      <c r="J39" s="60"/>
      <c r="K39" s="60"/>
      <c r="L39" s="60"/>
      <c r="M39" s="60"/>
      <c r="N39" s="60"/>
      <c r="O39" s="60"/>
      <c r="P39" s="60"/>
      <c r="Q39" s="60"/>
      <c r="R39" s="60"/>
      <c r="S39" s="63" t="s">
        <v>3875</v>
      </c>
      <c r="T39" s="60"/>
      <c r="U39" s="63" t="s">
        <v>3877</v>
      </c>
      <c r="V39" s="60"/>
      <c r="W39" s="60"/>
      <c r="X39" s="63" t="s">
        <v>682</v>
      </c>
      <c r="Y39" s="63" t="s">
        <v>3878</v>
      </c>
      <c r="Z39" s="60"/>
      <c r="AA39" s="63" t="s">
        <v>3879</v>
      </c>
      <c r="AB39" s="60"/>
      <c r="AC39" s="63" t="s">
        <v>3880</v>
      </c>
      <c r="AD39" s="63" t="s">
        <v>2258</v>
      </c>
      <c r="AE39" s="63" t="s">
        <v>3881</v>
      </c>
      <c r="AF39" s="63" t="s">
        <v>3882</v>
      </c>
      <c r="AG39" s="60"/>
      <c r="AH39" s="60"/>
      <c r="AI39" s="60"/>
      <c r="AJ39" s="60"/>
      <c r="AK39" s="95" t="s">
        <v>742</v>
      </c>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8"/>
      <c r="BX39" s="60"/>
      <c r="BY39" s="60"/>
      <c r="BZ39" s="60"/>
      <c r="CA39" s="68"/>
      <c r="CB39" s="60"/>
      <c r="CC39" s="60"/>
      <c r="CD39" s="68"/>
      <c r="CE39" s="63" t="s">
        <v>3886</v>
      </c>
      <c r="CF39" s="60"/>
      <c r="CG39" s="60"/>
      <c r="CH39" s="60"/>
      <c r="CI39" s="60"/>
      <c r="CJ39" s="63" t="s">
        <v>3887</v>
      </c>
      <c r="CK39" s="60"/>
      <c r="CL39" s="60"/>
      <c r="CM39" s="60"/>
      <c r="CN39" s="60"/>
      <c r="CO39" s="60"/>
      <c r="CP39" s="60"/>
      <c r="CQ39" s="60"/>
      <c r="CR39" s="60"/>
      <c r="CS39" s="60"/>
      <c r="CT39" s="60"/>
      <c r="CU39" s="60"/>
    </row>
    <row r="40">
      <c r="A40" s="784" t="s">
        <v>3888</v>
      </c>
      <c r="B40" s="241" t="s">
        <v>551</v>
      </c>
      <c r="C40" s="237" t="s">
        <v>155</v>
      </c>
      <c r="D40" s="238" t="s">
        <v>155</v>
      </c>
      <c r="E40" s="239" t="s">
        <v>155</v>
      </c>
      <c r="F40" s="240" t="s">
        <v>155</v>
      </c>
      <c r="G40" s="241" t="s">
        <v>1016</v>
      </c>
      <c r="H40" s="560"/>
      <c r="I40" s="560"/>
      <c r="J40" s="60"/>
      <c r="K40" s="60"/>
      <c r="L40" s="60"/>
      <c r="M40" s="60"/>
      <c r="N40" s="60"/>
      <c r="O40" s="60"/>
      <c r="P40" s="63" t="s">
        <v>3890</v>
      </c>
      <c r="Q40" s="60"/>
      <c r="R40" s="63" t="s">
        <v>3891</v>
      </c>
      <c r="S40" s="60"/>
      <c r="T40" s="60"/>
      <c r="U40" s="60"/>
      <c r="V40" s="60"/>
      <c r="W40" s="60"/>
      <c r="X40" s="63" t="s">
        <v>3338</v>
      </c>
      <c r="Y40" s="63" t="s">
        <v>3892</v>
      </c>
      <c r="Z40" s="60"/>
      <c r="AA40" s="63" t="s">
        <v>3893</v>
      </c>
      <c r="AB40" s="60"/>
      <c r="AC40" s="60"/>
      <c r="AD40" s="60"/>
      <c r="AE40" s="63" t="s">
        <v>3894</v>
      </c>
      <c r="AF40" s="63" t="s">
        <v>3895</v>
      </c>
      <c r="AG40" s="63" t="s">
        <v>2020</v>
      </c>
      <c r="AH40" s="95" t="s">
        <v>3896</v>
      </c>
      <c r="AI40" s="60"/>
      <c r="AJ40" s="60"/>
      <c r="AK40" s="60"/>
      <c r="AL40" s="60"/>
      <c r="AM40" s="60"/>
      <c r="AN40" s="60"/>
      <c r="AO40" s="60"/>
      <c r="AP40" s="63" t="s">
        <v>1800</v>
      </c>
      <c r="AQ40" s="60"/>
      <c r="AR40" s="60"/>
      <c r="AS40" s="60"/>
      <c r="AT40" s="60"/>
      <c r="AU40" s="60"/>
      <c r="AV40" s="60"/>
      <c r="AW40" s="60"/>
      <c r="AX40" s="60"/>
      <c r="AY40" s="60"/>
      <c r="AZ40" s="60"/>
      <c r="BA40" s="60"/>
      <c r="BB40" s="63" t="s">
        <v>3598</v>
      </c>
      <c r="BC40" s="60"/>
      <c r="BD40" s="60"/>
      <c r="BE40" s="60"/>
      <c r="BF40" s="60"/>
      <c r="BG40" s="60"/>
      <c r="BH40" s="60"/>
      <c r="BI40" s="60"/>
      <c r="BJ40" s="60"/>
      <c r="BK40" s="60"/>
      <c r="BL40" s="60"/>
      <c r="BM40" s="60"/>
      <c r="BN40" s="60"/>
      <c r="BO40" s="60"/>
      <c r="BP40" s="60"/>
      <c r="BQ40" s="60"/>
      <c r="BR40" s="60"/>
      <c r="BS40" s="60"/>
      <c r="BT40" s="60"/>
      <c r="BU40" s="60"/>
      <c r="BV40" s="60"/>
      <c r="BW40" s="68"/>
      <c r="BX40" s="60"/>
      <c r="BY40" s="60"/>
      <c r="BZ40" s="60"/>
      <c r="CA40" s="68"/>
      <c r="CB40" s="60"/>
      <c r="CC40" s="60"/>
      <c r="CD40" s="68"/>
      <c r="CE40" s="60"/>
      <c r="CF40" s="60"/>
      <c r="CG40" s="60"/>
      <c r="CH40" s="60"/>
      <c r="CI40" s="60"/>
      <c r="CJ40" s="60"/>
      <c r="CK40" s="60"/>
      <c r="CL40" s="60"/>
      <c r="CM40" s="60"/>
      <c r="CN40" s="60"/>
      <c r="CO40" s="60"/>
      <c r="CP40" s="60"/>
      <c r="CQ40" s="60"/>
      <c r="CR40" s="60"/>
      <c r="CS40" s="60"/>
      <c r="CT40" s="60"/>
      <c r="CU40" s="60"/>
    </row>
    <row r="41">
      <c r="A41" s="700" t="s">
        <v>373</v>
      </c>
      <c r="B41" s="241" t="s">
        <v>1064</v>
      </c>
      <c r="C41" s="237" t="s">
        <v>155</v>
      </c>
      <c r="D41" s="238" t="s">
        <v>76</v>
      </c>
      <c r="E41" s="239" t="s">
        <v>155</v>
      </c>
      <c r="F41" s="240" t="s">
        <v>76</v>
      </c>
      <c r="G41" s="241" t="s">
        <v>76</v>
      </c>
      <c r="H41" s="560"/>
      <c r="I41" s="560"/>
      <c r="J41" s="60"/>
      <c r="K41" s="60"/>
      <c r="L41" s="60"/>
      <c r="M41" s="60"/>
      <c r="N41" s="60"/>
      <c r="O41" s="60"/>
      <c r="P41" s="60"/>
      <c r="Q41" s="60"/>
      <c r="R41" s="60"/>
      <c r="S41" s="60"/>
      <c r="T41" s="60"/>
      <c r="U41" s="60"/>
      <c r="V41" s="60"/>
      <c r="W41" s="67" t="s">
        <v>3908</v>
      </c>
      <c r="X41" s="74"/>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326"/>
      <c r="BH41" s="326"/>
      <c r="BI41" s="326"/>
      <c r="BJ41" s="326"/>
      <c r="BK41" s="326"/>
      <c r="BL41" s="326"/>
      <c r="BM41" s="326"/>
      <c r="BN41" s="326"/>
      <c r="BO41" s="326"/>
      <c r="BP41" s="326"/>
      <c r="BQ41" s="60"/>
      <c r="BR41" s="60"/>
      <c r="BS41" s="60"/>
      <c r="BT41" s="60"/>
      <c r="BU41" s="60"/>
      <c r="BV41" s="60"/>
      <c r="BW41" s="68"/>
      <c r="BX41" s="60"/>
      <c r="BY41" s="60"/>
      <c r="BZ41" s="60"/>
      <c r="CA41" s="68"/>
      <c r="CB41" s="60"/>
      <c r="CC41" s="60"/>
      <c r="CD41" s="68"/>
      <c r="CE41" s="676"/>
      <c r="CF41" s="676"/>
      <c r="CG41" s="676"/>
      <c r="CH41" s="676"/>
      <c r="CI41" s="676"/>
      <c r="CJ41" s="676"/>
      <c r="CK41" s="676"/>
      <c r="CL41" s="676"/>
      <c r="CM41" s="468"/>
      <c r="CN41" s="468"/>
      <c r="CO41" s="468"/>
      <c r="CP41" s="468"/>
      <c r="CQ41" s="468"/>
      <c r="CR41" s="468"/>
      <c r="CS41" s="468"/>
      <c r="CT41" s="60"/>
      <c r="CU41" s="60"/>
    </row>
    <row r="42">
      <c r="A42" s="528" t="s">
        <v>3921</v>
      </c>
      <c r="B42" s="241" t="s">
        <v>719</v>
      </c>
      <c r="C42" s="237" t="s">
        <v>155</v>
      </c>
      <c r="D42" s="238" t="s">
        <v>155</v>
      </c>
      <c r="E42" s="239" t="s">
        <v>155</v>
      </c>
      <c r="F42" s="240" t="s">
        <v>155</v>
      </c>
      <c r="G42" s="241" t="s">
        <v>76</v>
      </c>
      <c r="H42" s="560"/>
      <c r="I42" s="560"/>
      <c r="J42" s="60"/>
      <c r="K42" s="60"/>
      <c r="L42" s="60"/>
      <c r="M42" s="60"/>
      <c r="N42" s="60"/>
      <c r="O42" s="60"/>
      <c r="P42" s="60"/>
      <c r="Q42" s="60"/>
      <c r="R42" s="60"/>
      <c r="S42" s="60"/>
      <c r="T42" s="60"/>
      <c r="U42" s="60"/>
      <c r="V42" s="60"/>
      <c r="W42" s="62"/>
      <c r="X42" s="62"/>
      <c r="Y42" s="95" t="s">
        <v>3854</v>
      </c>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8"/>
      <c r="BX42" s="60"/>
      <c r="BY42" s="60"/>
      <c r="BZ42" s="60"/>
      <c r="CA42" s="68"/>
      <c r="CB42" s="60"/>
      <c r="CC42" s="60"/>
      <c r="CD42" s="68"/>
      <c r="CE42" s="60"/>
      <c r="CF42" s="60"/>
      <c r="CG42" s="60"/>
      <c r="CH42" s="60"/>
      <c r="CI42" s="60"/>
      <c r="CJ42" s="60"/>
      <c r="CK42" s="60"/>
      <c r="CL42" s="60"/>
      <c r="CM42" s="60"/>
      <c r="CN42" s="60"/>
      <c r="CO42" s="60"/>
      <c r="CP42" s="60"/>
      <c r="CQ42" s="60"/>
      <c r="CR42" s="60"/>
      <c r="CS42" s="60"/>
      <c r="CT42" s="60"/>
      <c r="CU42" s="60"/>
    </row>
    <row r="43">
      <c r="A43" s="693" t="s">
        <v>102</v>
      </c>
      <c r="B43" s="241" t="s">
        <v>1694</v>
      </c>
      <c r="C43" s="237" t="s">
        <v>155</v>
      </c>
      <c r="D43" s="238" t="s">
        <v>155</v>
      </c>
      <c r="E43" s="239" t="s">
        <v>155</v>
      </c>
      <c r="F43" s="240" t="s">
        <v>155</v>
      </c>
      <c r="G43" s="241" t="s">
        <v>127</v>
      </c>
      <c r="H43" s="738"/>
      <c r="I43" s="738"/>
      <c r="J43" s="60"/>
      <c r="K43" s="60"/>
      <c r="L43" s="60"/>
      <c r="M43" s="60"/>
      <c r="N43" s="60"/>
      <c r="O43" s="60"/>
      <c r="P43" s="60"/>
      <c r="Q43" s="60"/>
      <c r="R43" s="63" t="s">
        <v>3929</v>
      </c>
      <c r="S43" s="60"/>
      <c r="T43" s="60"/>
      <c r="U43" s="63" t="s">
        <v>3930</v>
      </c>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20"/>
      <c r="BH43" s="620"/>
      <c r="BI43" s="620"/>
      <c r="BJ43" s="620"/>
      <c r="BK43" s="620"/>
      <c r="BL43" s="620"/>
      <c r="BM43" s="620"/>
      <c r="BN43" s="620"/>
      <c r="BO43" s="620"/>
      <c r="BP43" s="620"/>
      <c r="BQ43" s="60"/>
      <c r="BR43" s="60"/>
      <c r="BS43" s="60"/>
      <c r="BT43" s="60"/>
      <c r="BU43" s="60"/>
      <c r="BV43" s="60"/>
      <c r="BW43" s="68"/>
      <c r="BX43" s="60"/>
      <c r="BY43" s="60"/>
      <c r="BZ43" s="60"/>
      <c r="CA43" s="68"/>
      <c r="CB43" s="60"/>
      <c r="CC43" s="60"/>
      <c r="CD43" s="68"/>
      <c r="CE43" s="468"/>
      <c r="CF43" s="468"/>
      <c r="CG43" s="468"/>
      <c r="CH43" s="468"/>
      <c r="CI43" s="468"/>
      <c r="CJ43" s="468"/>
      <c r="CK43" s="468"/>
      <c r="CL43" s="468"/>
      <c r="CM43" s="60"/>
      <c r="CN43" s="60"/>
      <c r="CO43" s="60"/>
      <c r="CP43" s="60"/>
      <c r="CQ43" s="60"/>
      <c r="CR43" s="60"/>
      <c r="CS43" s="60"/>
      <c r="CT43" s="60"/>
      <c r="CU43" s="60"/>
    </row>
    <row r="44">
      <c r="A44" s="693" t="s">
        <v>3937</v>
      </c>
      <c r="B44" s="241" t="s">
        <v>536</v>
      </c>
      <c r="C44" s="237" t="s">
        <v>155</v>
      </c>
      <c r="D44" s="238" t="s">
        <v>155</v>
      </c>
      <c r="E44" s="239" t="s">
        <v>155</v>
      </c>
      <c r="F44" s="240" t="s">
        <v>76</v>
      </c>
      <c r="G44" s="241" t="s">
        <v>76</v>
      </c>
      <c r="H44" s="560"/>
      <c r="I44" s="5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70" t="s">
        <v>2087</v>
      </c>
      <c r="AQ44" s="60"/>
      <c r="AR44" s="60"/>
      <c r="AS44" s="60"/>
      <c r="AT44" s="60"/>
      <c r="AU44" s="60"/>
      <c r="AV44" s="60"/>
      <c r="AW44" s="60"/>
      <c r="AX44" s="60"/>
      <c r="AY44" s="60"/>
      <c r="AZ44" s="60"/>
      <c r="BA44" s="60"/>
      <c r="BB44" s="60"/>
      <c r="BC44" s="60"/>
      <c r="BD44" s="60"/>
      <c r="BE44" s="60"/>
      <c r="BF44" s="60"/>
      <c r="BG44" s="620"/>
      <c r="BH44" s="620"/>
      <c r="BI44" s="620"/>
      <c r="BJ44" s="620"/>
      <c r="BK44" s="620"/>
      <c r="BL44" s="620"/>
      <c r="BM44" s="620"/>
      <c r="BN44" s="620"/>
      <c r="BO44" s="620"/>
      <c r="BP44" s="620"/>
      <c r="BQ44" s="60"/>
      <c r="BR44" s="60"/>
      <c r="BS44" s="60"/>
      <c r="BT44" s="60"/>
      <c r="BU44" s="60"/>
      <c r="BV44" s="60"/>
      <c r="BW44" s="68"/>
      <c r="BX44" s="60"/>
      <c r="BY44" s="60"/>
      <c r="BZ44" s="60"/>
      <c r="CA44" s="68"/>
      <c r="CB44" s="60"/>
      <c r="CC44" s="60"/>
      <c r="CD44" s="68"/>
      <c r="CE44" s="468"/>
      <c r="CF44" s="468"/>
      <c r="CG44" s="468"/>
      <c r="CH44" s="468"/>
      <c r="CI44" s="468"/>
      <c r="CJ44" s="468"/>
      <c r="CK44" s="468"/>
      <c r="CL44" s="468"/>
      <c r="CM44" s="468"/>
      <c r="CN44" s="468"/>
      <c r="CO44" s="468"/>
      <c r="CP44" s="468"/>
      <c r="CQ44" s="468"/>
      <c r="CR44" s="468"/>
      <c r="CS44" s="468"/>
      <c r="CT44" s="60"/>
      <c r="CU44" s="60"/>
    </row>
    <row r="45">
      <c r="A45" s="700" t="s">
        <v>274</v>
      </c>
      <c r="B45" s="241" t="s">
        <v>74</v>
      </c>
      <c r="C45" s="237" t="s">
        <v>155</v>
      </c>
      <c r="D45" s="238" t="s">
        <v>155</v>
      </c>
      <c r="E45" s="239" t="s">
        <v>155</v>
      </c>
      <c r="F45" s="240" t="s">
        <v>76</v>
      </c>
      <c r="G45" s="241" t="s">
        <v>76</v>
      </c>
      <c r="H45" s="560"/>
      <c r="I45" s="560"/>
      <c r="J45" s="60"/>
      <c r="K45" s="60"/>
      <c r="L45" s="60"/>
      <c r="M45" s="60"/>
      <c r="N45" s="60"/>
      <c r="O45" s="60"/>
      <c r="P45" s="60"/>
      <c r="Q45" s="60"/>
      <c r="R45" s="70" t="s">
        <v>3948</v>
      </c>
      <c r="S45" s="60"/>
      <c r="T45" s="60"/>
      <c r="U45" s="60"/>
      <c r="V45" s="60"/>
      <c r="W45" s="60"/>
      <c r="X45" s="60"/>
      <c r="Y45" s="60"/>
      <c r="Z45" s="60"/>
      <c r="AA45" s="60"/>
      <c r="AB45" s="60"/>
      <c r="AC45" s="60"/>
      <c r="AD45" s="60"/>
      <c r="AE45" s="60"/>
      <c r="AF45" s="60"/>
      <c r="AG45" s="60"/>
      <c r="AH45" s="60"/>
      <c r="AI45" s="60"/>
      <c r="AJ45" s="60"/>
      <c r="AK45" s="63"/>
      <c r="AL45" s="63"/>
      <c r="AM45" s="60"/>
      <c r="AN45" s="60"/>
      <c r="AO45" s="60"/>
      <c r="AP45" s="60"/>
      <c r="AQ45" s="60"/>
      <c r="AR45" s="60"/>
      <c r="AS45" s="60"/>
      <c r="AT45" s="60"/>
      <c r="AU45" s="60"/>
      <c r="AV45" s="60"/>
      <c r="AW45" s="60"/>
      <c r="AX45" s="60"/>
      <c r="AY45" s="60"/>
      <c r="AZ45" s="60"/>
      <c r="BA45" s="60"/>
      <c r="BB45" s="60"/>
      <c r="BC45" s="60"/>
      <c r="BD45" s="60"/>
      <c r="BE45" s="60"/>
      <c r="BF45" s="60"/>
      <c r="BG45" s="789"/>
      <c r="BH45" s="789"/>
      <c r="BI45" s="789"/>
      <c r="BJ45" s="789"/>
      <c r="BK45" s="789"/>
      <c r="BL45" s="789"/>
      <c r="BM45" s="789"/>
      <c r="BN45" s="789"/>
      <c r="BO45" s="789"/>
      <c r="BP45" s="789"/>
      <c r="BQ45" s="60"/>
      <c r="BR45" s="60"/>
      <c r="BS45" s="60"/>
      <c r="BT45" s="60"/>
      <c r="BU45" s="60"/>
      <c r="BV45" s="60"/>
      <c r="BW45" s="68"/>
      <c r="BX45" s="60"/>
      <c r="BY45" s="60"/>
      <c r="BZ45" s="60"/>
      <c r="CA45" s="68"/>
      <c r="CB45" s="60"/>
      <c r="CC45" s="60"/>
      <c r="CD45" s="68"/>
      <c r="CE45" s="791"/>
      <c r="CF45" s="791"/>
      <c r="CG45" s="791"/>
      <c r="CH45" s="791"/>
      <c r="CI45" s="791"/>
      <c r="CJ45" s="791"/>
      <c r="CK45" s="791"/>
      <c r="CL45" s="791"/>
      <c r="CM45" s="74"/>
      <c r="CN45" s="74"/>
      <c r="CO45" s="74"/>
      <c r="CP45" s="74"/>
      <c r="CQ45" s="74"/>
      <c r="CR45" s="74"/>
      <c r="CS45" s="74"/>
      <c r="CT45" s="60"/>
      <c r="CU45" s="60"/>
    </row>
    <row r="46">
      <c r="A46" s="792" t="s">
        <v>3956</v>
      </c>
      <c r="B46" s="241" t="s">
        <v>1492</v>
      </c>
      <c r="C46" s="237" t="s">
        <v>155</v>
      </c>
      <c r="D46" s="238" t="s">
        <v>155</v>
      </c>
      <c r="E46" s="239" t="s">
        <v>155</v>
      </c>
      <c r="F46" s="240" t="s">
        <v>155</v>
      </c>
      <c r="G46" s="241" t="s">
        <v>157</v>
      </c>
      <c r="H46" s="560"/>
      <c r="I46" s="560"/>
      <c r="J46" s="60"/>
      <c r="K46" s="63" t="s">
        <v>3958</v>
      </c>
      <c r="L46" s="60"/>
      <c r="M46" s="60"/>
      <c r="N46" s="60"/>
      <c r="O46" s="60"/>
      <c r="P46" s="60"/>
      <c r="Q46" s="60"/>
      <c r="R46" s="60"/>
      <c r="S46" s="60"/>
      <c r="T46" s="60"/>
      <c r="U46" s="60"/>
      <c r="V46" s="60"/>
      <c r="W46" s="95" t="s">
        <v>3960</v>
      </c>
      <c r="X46" s="63"/>
      <c r="Y46" s="60"/>
      <c r="Z46" s="60"/>
      <c r="AA46" s="60"/>
      <c r="AB46" s="60"/>
      <c r="AC46" s="60"/>
      <c r="AD46" s="95" t="s">
        <v>3964</v>
      </c>
      <c r="AE46" s="62"/>
      <c r="AF46" s="62"/>
      <c r="AG46" s="62"/>
      <c r="AH46" s="60"/>
      <c r="AI46" s="60"/>
      <c r="AJ46" s="60"/>
      <c r="AK46" s="60"/>
      <c r="AL46" s="60"/>
      <c r="AM46" s="60"/>
      <c r="AN46" s="60"/>
      <c r="AO46" s="60"/>
      <c r="AP46" s="60"/>
      <c r="AQ46" s="60"/>
      <c r="AR46" s="60"/>
      <c r="AS46" s="60"/>
      <c r="AT46" s="60"/>
      <c r="AU46" s="63" t="s">
        <v>1771</v>
      </c>
      <c r="AV46" s="63"/>
      <c r="AW46" s="60"/>
      <c r="AX46" s="60"/>
      <c r="AY46" s="60"/>
      <c r="AZ46" s="60"/>
      <c r="BA46" s="60"/>
      <c r="BB46" s="60"/>
      <c r="BC46" s="63" t="s">
        <v>2422</v>
      </c>
      <c r="BD46" s="60"/>
      <c r="BE46" s="60"/>
      <c r="BF46" s="60"/>
      <c r="BG46" s="60"/>
      <c r="BH46" s="60"/>
      <c r="BI46" s="60"/>
      <c r="BJ46" s="60"/>
      <c r="BK46" s="60"/>
      <c r="BL46" s="60"/>
      <c r="BM46" s="60"/>
      <c r="BN46" s="60"/>
      <c r="BO46" s="60"/>
      <c r="BP46" s="60"/>
      <c r="BQ46" s="60"/>
      <c r="BR46" s="60"/>
      <c r="BS46" s="60"/>
      <c r="BT46" s="60"/>
      <c r="BU46" s="60"/>
      <c r="BV46" s="60"/>
      <c r="BW46" s="68"/>
      <c r="BX46" s="60"/>
      <c r="BY46" s="60"/>
      <c r="BZ46" s="60"/>
      <c r="CA46" s="68"/>
      <c r="CB46" s="60"/>
      <c r="CC46" s="60"/>
      <c r="CD46" s="68"/>
      <c r="CE46" s="60"/>
      <c r="CF46" s="60"/>
      <c r="CG46" s="60"/>
      <c r="CH46" s="60"/>
      <c r="CI46" s="60"/>
      <c r="CJ46" s="60"/>
      <c r="CK46" s="60"/>
      <c r="CL46" s="60"/>
      <c r="CM46" s="60"/>
      <c r="CN46" s="60"/>
      <c r="CO46" s="60"/>
      <c r="CP46" s="60"/>
      <c r="CQ46" s="60"/>
      <c r="CR46" s="60"/>
      <c r="CS46" s="60"/>
      <c r="CT46" s="60"/>
      <c r="CU46" s="60"/>
    </row>
    <row r="47">
      <c r="A47" s="793" t="s">
        <v>3973</v>
      </c>
      <c r="B47" s="241" t="s">
        <v>1492</v>
      </c>
      <c r="C47" s="237" t="s">
        <v>155</v>
      </c>
      <c r="D47" s="238" t="s">
        <v>155</v>
      </c>
      <c r="E47" s="239" t="s">
        <v>155</v>
      </c>
      <c r="F47" s="240" t="s">
        <v>155</v>
      </c>
      <c r="G47" s="241" t="s">
        <v>211</v>
      </c>
      <c r="H47" s="560"/>
      <c r="I47" s="560" t="s">
        <v>3979</v>
      </c>
      <c r="J47" s="60"/>
      <c r="K47" s="60"/>
      <c r="L47" s="60"/>
      <c r="M47" s="60"/>
      <c r="N47" s="60"/>
      <c r="O47" s="60"/>
      <c r="P47" s="60"/>
      <c r="Q47" s="60"/>
      <c r="R47" s="60"/>
      <c r="S47" s="60"/>
      <c r="T47" s="60"/>
      <c r="U47" s="63" t="s">
        <v>3981</v>
      </c>
      <c r="V47" s="60"/>
      <c r="W47" s="60"/>
      <c r="X47" s="60"/>
      <c r="Y47" s="60"/>
      <c r="Z47" s="60"/>
      <c r="AA47" s="60"/>
      <c r="AB47" s="60"/>
      <c r="AC47" s="63" t="s">
        <v>3983</v>
      </c>
      <c r="AD47" s="60"/>
      <c r="AE47" s="60"/>
      <c r="AF47" s="60"/>
      <c r="AG47" s="60"/>
      <c r="AH47" s="60"/>
      <c r="AI47" s="60"/>
      <c r="AJ47" s="60"/>
      <c r="AK47" s="60"/>
      <c r="AL47" s="60"/>
      <c r="AM47" s="60"/>
      <c r="AN47" s="60"/>
      <c r="AO47" s="60"/>
      <c r="AP47" s="63" t="s">
        <v>3984</v>
      </c>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8"/>
      <c r="BX47" s="60"/>
      <c r="BY47" s="60"/>
      <c r="BZ47" s="60"/>
      <c r="CA47" s="68"/>
      <c r="CB47" s="60"/>
      <c r="CC47" s="60"/>
      <c r="CD47" s="68"/>
      <c r="CE47" s="63" t="s">
        <v>3989</v>
      </c>
      <c r="CF47" s="60"/>
      <c r="CG47" s="60"/>
      <c r="CH47" s="60"/>
      <c r="CI47" s="60"/>
      <c r="CJ47" s="794" t="s">
        <v>3991</v>
      </c>
      <c r="CK47" s="60"/>
      <c r="CL47" s="95" t="s">
        <v>3992</v>
      </c>
      <c r="CM47" s="63" t="s">
        <v>3401</v>
      </c>
      <c r="CN47" s="63" t="s">
        <v>2189</v>
      </c>
      <c r="CO47" s="60"/>
      <c r="CP47" s="60"/>
      <c r="CQ47" s="60"/>
      <c r="CR47" s="60"/>
      <c r="CS47" s="60"/>
      <c r="CT47" s="60"/>
      <c r="CU47" s="60"/>
    </row>
    <row r="48">
      <c r="A48" s="698" t="s">
        <v>3931</v>
      </c>
      <c r="B48" s="241" t="s">
        <v>539</v>
      </c>
      <c r="C48" s="237" t="s">
        <v>155</v>
      </c>
      <c r="D48" s="238" t="s">
        <v>155</v>
      </c>
      <c r="E48" s="239" t="s">
        <v>155</v>
      </c>
      <c r="F48" s="240" t="s">
        <v>127</v>
      </c>
      <c r="G48" s="241" t="s">
        <v>127</v>
      </c>
      <c r="H48" s="560"/>
      <c r="I48" s="560"/>
      <c r="J48" s="60"/>
      <c r="K48" s="60"/>
      <c r="L48" s="60"/>
      <c r="M48" s="60"/>
      <c r="N48" s="60"/>
      <c r="O48" s="60"/>
      <c r="P48" s="60"/>
      <c r="Q48" s="60"/>
      <c r="R48" s="60"/>
      <c r="S48" s="60"/>
      <c r="T48" s="60"/>
      <c r="U48" s="604"/>
      <c r="V48" s="604"/>
      <c r="W48" s="60"/>
      <c r="X48" s="60"/>
      <c r="Y48" s="70" t="s">
        <v>686</v>
      </c>
      <c r="Z48" s="60"/>
      <c r="AA48" s="60"/>
      <c r="AB48" s="60"/>
      <c r="AC48" s="60"/>
      <c r="AD48" s="70" t="s">
        <v>3999</v>
      </c>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3"/>
      <c r="BC48" s="60"/>
      <c r="BD48" s="60"/>
      <c r="BE48" s="60"/>
      <c r="BF48" s="60"/>
      <c r="BG48" s="620"/>
      <c r="BH48" s="620"/>
      <c r="BI48" s="620"/>
      <c r="BJ48" s="620"/>
      <c r="BK48" s="620"/>
      <c r="BL48" s="620"/>
      <c r="BM48" s="620"/>
      <c r="BN48" s="620"/>
      <c r="BO48" s="620"/>
      <c r="BP48" s="620"/>
      <c r="BQ48" s="60"/>
      <c r="BR48" s="60"/>
      <c r="BS48" s="60"/>
      <c r="BT48" s="60"/>
      <c r="BU48" s="60"/>
      <c r="BV48" s="60"/>
      <c r="BW48" s="68"/>
      <c r="BX48" s="60"/>
      <c r="BY48" s="60"/>
      <c r="BZ48" s="60"/>
      <c r="CA48" s="68"/>
      <c r="CB48" s="60"/>
      <c r="CC48" s="60"/>
      <c r="CD48" s="68"/>
      <c r="CE48" s="706"/>
      <c r="CF48" s="706"/>
      <c r="CG48" s="706"/>
      <c r="CH48" s="706"/>
      <c r="CI48" s="706"/>
      <c r="CJ48" s="706"/>
      <c r="CK48" s="706"/>
      <c r="CL48" s="706"/>
      <c r="CM48" s="60"/>
      <c r="CN48" s="60"/>
      <c r="CO48" s="60"/>
      <c r="CP48" s="60"/>
      <c r="CQ48" s="60"/>
      <c r="CR48" s="60"/>
      <c r="CS48" s="60"/>
      <c r="CT48" s="60"/>
      <c r="CU48" s="60"/>
    </row>
    <row r="49">
      <c r="A49" s="796" t="s">
        <v>4009</v>
      </c>
      <c r="B49" s="241" t="s">
        <v>3612</v>
      </c>
      <c r="C49" s="237" t="s">
        <v>155</v>
      </c>
      <c r="D49" s="238" t="s">
        <v>155</v>
      </c>
      <c r="E49" s="239" t="s">
        <v>155</v>
      </c>
      <c r="F49" s="240" t="s">
        <v>155</v>
      </c>
      <c r="G49" s="241" t="s">
        <v>156</v>
      </c>
      <c r="H49" s="560"/>
      <c r="I49" s="560"/>
      <c r="J49" s="60"/>
      <c r="K49" s="60"/>
      <c r="L49" s="60"/>
      <c r="M49" s="60"/>
      <c r="N49" s="60"/>
      <c r="O49" s="60"/>
      <c r="P49" s="60"/>
      <c r="Q49" s="60"/>
      <c r="R49" s="60"/>
      <c r="S49" s="60"/>
      <c r="T49" s="60"/>
      <c r="U49" s="63" t="s">
        <v>4013</v>
      </c>
      <c r="V49" s="60"/>
      <c r="W49" s="60"/>
      <c r="X49" s="63" t="s">
        <v>2401</v>
      </c>
      <c r="Y49" s="60"/>
      <c r="Z49" s="60"/>
      <c r="AA49" s="60"/>
      <c r="AB49" s="60"/>
      <c r="AC49" s="60"/>
      <c r="AD49" s="63" t="s">
        <v>2016</v>
      </c>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8"/>
      <c r="BX49" s="60"/>
      <c r="BY49" s="60"/>
      <c r="BZ49" s="60"/>
      <c r="CA49" s="68"/>
      <c r="CB49" s="60"/>
      <c r="CC49" s="60"/>
      <c r="CD49" s="68"/>
      <c r="CE49" s="60"/>
      <c r="CF49" s="60"/>
      <c r="CG49" s="60"/>
      <c r="CH49" s="60"/>
      <c r="CI49" s="60"/>
      <c r="CJ49" s="60"/>
      <c r="CK49" s="60"/>
      <c r="CL49" s="60"/>
      <c r="CM49" s="60"/>
      <c r="CN49" s="60"/>
      <c r="CO49" s="60"/>
      <c r="CP49" s="60"/>
      <c r="CQ49" s="60"/>
      <c r="CR49" s="60"/>
      <c r="CS49" s="60"/>
      <c r="CT49" s="60"/>
      <c r="CU49" s="60"/>
    </row>
    <row r="50">
      <c r="A50" s="693" t="s">
        <v>4022</v>
      </c>
      <c r="B50" s="241" t="s">
        <v>3612</v>
      </c>
      <c r="C50" s="237" t="s">
        <v>155</v>
      </c>
      <c r="D50" s="238" t="s">
        <v>155</v>
      </c>
      <c r="E50" s="239" t="s">
        <v>155</v>
      </c>
      <c r="F50" s="240" t="s">
        <v>155</v>
      </c>
      <c r="G50" s="241" t="s">
        <v>76</v>
      </c>
      <c r="H50" s="560"/>
      <c r="I50" s="560"/>
      <c r="J50" s="60"/>
      <c r="K50" s="60"/>
      <c r="L50" s="60"/>
      <c r="M50" s="60"/>
      <c r="N50" s="60"/>
      <c r="O50" s="60"/>
      <c r="P50" s="60"/>
      <c r="Q50" s="60"/>
      <c r="R50" s="60"/>
      <c r="S50" s="60"/>
      <c r="T50" s="60"/>
      <c r="U50" s="60"/>
      <c r="V50" s="60"/>
      <c r="W50" s="60"/>
      <c r="X50" s="63" t="s">
        <v>4025</v>
      </c>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8"/>
      <c r="BX50" s="60"/>
      <c r="BY50" s="60"/>
      <c r="BZ50" s="60"/>
      <c r="CA50" s="68"/>
      <c r="CB50" s="60"/>
      <c r="CC50" s="60"/>
      <c r="CD50" s="68"/>
      <c r="CE50" s="60"/>
      <c r="CF50" s="60"/>
      <c r="CG50" s="60"/>
      <c r="CH50" s="60"/>
      <c r="CI50" s="60"/>
      <c r="CJ50" s="60"/>
      <c r="CK50" s="60"/>
      <c r="CL50" s="60"/>
      <c r="CM50" s="60"/>
      <c r="CN50" s="60"/>
      <c r="CO50" s="60"/>
      <c r="CP50" s="60"/>
      <c r="CQ50" s="60"/>
      <c r="CR50" s="60"/>
      <c r="CS50" s="60"/>
      <c r="CT50" s="60"/>
      <c r="CU50" s="60"/>
    </row>
    <row r="51">
      <c r="A51" s="693" t="s">
        <v>4029</v>
      </c>
      <c r="B51" s="241" t="s">
        <v>260</v>
      </c>
      <c r="C51" s="237" t="s">
        <v>76</v>
      </c>
      <c r="D51" s="238" t="s">
        <v>155</v>
      </c>
      <c r="E51" s="239" t="s">
        <v>155</v>
      </c>
      <c r="F51" s="240" t="s">
        <v>76</v>
      </c>
      <c r="G51" s="241" t="s">
        <v>76</v>
      </c>
      <c r="H51" s="738"/>
      <c r="I51" s="738"/>
      <c r="J51" s="60"/>
      <c r="K51" s="60"/>
      <c r="L51" s="60"/>
      <c r="M51" s="60"/>
      <c r="N51" s="60"/>
      <c r="O51" s="60"/>
      <c r="P51" s="60"/>
      <c r="Q51" s="60"/>
      <c r="R51" s="60"/>
      <c r="S51" s="60"/>
      <c r="T51" s="60"/>
      <c r="U51" s="60"/>
      <c r="V51" s="60"/>
      <c r="W51" s="60"/>
      <c r="X51" s="60"/>
      <c r="Y51" s="60"/>
      <c r="Z51" s="60"/>
      <c r="AA51" s="60"/>
      <c r="AB51" s="60"/>
      <c r="AC51" s="60"/>
      <c r="AD51" s="60"/>
      <c r="AE51" s="69" t="s">
        <v>4032</v>
      </c>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8"/>
      <c r="BX51" s="60"/>
      <c r="BY51" s="60"/>
      <c r="BZ51" s="60"/>
      <c r="CA51" s="68"/>
      <c r="CB51" s="60"/>
      <c r="CC51" s="60"/>
      <c r="CD51" s="68"/>
      <c r="CE51" s="60"/>
      <c r="CF51" s="60"/>
      <c r="CG51" s="60"/>
      <c r="CH51" s="60"/>
      <c r="CI51" s="60"/>
      <c r="CJ51" s="60"/>
      <c r="CK51" s="60"/>
      <c r="CL51" s="60"/>
      <c r="CM51" s="60"/>
      <c r="CN51" s="60"/>
      <c r="CO51" s="60"/>
      <c r="CP51" s="60"/>
      <c r="CQ51" s="60"/>
      <c r="CR51" s="60"/>
      <c r="CS51" s="60"/>
      <c r="CT51" s="60"/>
      <c r="CU51" s="60"/>
    </row>
    <row r="52">
      <c r="A52" s="693" t="s">
        <v>98</v>
      </c>
      <c r="B52" s="241" t="s">
        <v>154</v>
      </c>
      <c r="C52" s="237" t="s">
        <v>76</v>
      </c>
      <c r="D52" s="238" t="s">
        <v>155</v>
      </c>
      <c r="E52" s="239" t="s">
        <v>155</v>
      </c>
      <c r="F52" s="240" t="s">
        <v>76</v>
      </c>
      <c r="G52" s="241" t="s">
        <v>76</v>
      </c>
      <c r="H52" s="560"/>
      <c r="I52" s="5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9" t="s">
        <v>3641</v>
      </c>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8"/>
      <c r="BX52" s="60"/>
      <c r="BY52" s="60"/>
      <c r="BZ52" s="60"/>
      <c r="CA52" s="68"/>
      <c r="CB52" s="60"/>
      <c r="CC52" s="60"/>
      <c r="CD52" s="68"/>
      <c r="CE52" s="60"/>
      <c r="CF52" s="60"/>
      <c r="CG52" s="60"/>
      <c r="CH52" s="60"/>
      <c r="CI52" s="60"/>
      <c r="CJ52" s="60"/>
      <c r="CK52" s="60"/>
      <c r="CL52" s="60"/>
      <c r="CM52" s="60"/>
      <c r="CN52" s="60"/>
      <c r="CO52" s="60"/>
      <c r="CP52" s="60"/>
      <c r="CQ52" s="60"/>
      <c r="CR52" s="60"/>
      <c r="CS52" s="60"/>
      <c r="CT52" s="60"/>
      <c r="CU52" s="60"/>
    </row>
    <row r="53">
      <c r="A53" s="528" t="s">
        <v>4053</v>
      </c>
      <c r="B53" s="241" t="s">
        <v>1016</v>
      </c>
      <c r="C53" s="237" t="s">
        <v>155</v>
      </c>
      <c r="D53" s="238" t="s">
        <v>155</v>
      </c>
      <c r="E53" s="239" t="s">
        <v>155</v>
      </c>
      <c r="F53" s="240" t="s">
        <v>76</v>
      </c>
      <c r="G53" s="241" t="s">
        <v>76</v>
      </c>
      <c r="H53" s="560"/>
      <c r="I53" s="560"/>
      <c r="J53" s="60"/>
      <c r="K53" s="60"/>
      <c r="L53" s="60"/>
      <c r="M53" s="60"/>
      <c r="N53" s="60"/>
      <c r="O53" s="60"/>
      <c r="P53" s="60"/>
      <c r="Q53" s="60"/>
      <c r="R53" s="60"/>
      <c r="S53" s="60"/>
      <c r="T53" s="60"/>
      <c r="U53" s="60"/>
      <c r="V53" s="60"/>
      <c r="W53" s="60"/>
      <c r="X53" s="60"/>
      <c r="Y53" s="60"/>
      <c r="Z53" s="60"/>
      <c r="AA53" s="60"/>
      <c r="AB53" s="60"/>
      <c r="AC53" s="60"/>
      <c r="AD53" s="60"/>
      <c r="AE53" s="74"/>
      <c r="AF53" s="70" t="s">
        <v>4057</v>
      </c>
      <c r="AG53" s="74"/>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20"/>
      <c r="BH53" s="620"/>
      <c r="BI53" s="620"/>
      <c r="BJ53" s="620"/>
      <c r="BK53" s="620"/>
      <c r="BL53" s="620"/>
      <c r="BM53" s="620"/>
      <c r="BN53" s="620"/>
      <c r="BO53" s="620"/>
      <c r="BP53" s="620"/>
      <c r="BQ53" s="60"/>
      <c r="BR53" s="60"/>
      <c r="BS53" s="60"/>
      <c r="BT53" s="60"/>
      <c r="BU53" s="60"/>
      <c r="BV53" s="60"/>
      <c r="BW53" s="68"/>
      <c r="BX53" s="60"/>
      <c r="BY53" s="60"/>
      <c r="BZ53" s="60"/>
      <c r="CA53" s="68"/>
      <c r="CB53" s="60"/>
      <c r="CC53" s="60"/>
      <c r="CD53" s="68"/>
      <c r="CE53" s="468"/>
      <c r="CF53" s="468"/>
      <c r="CG53" s="468"/>
      <c r="CH53" s="468"/>
      <c r="CI53" s="468"/>
      <c r="CJ53" s="468"/>
      <c r="CK53" s="468"/>
      <c r="CL53" s="468"/>
      <c r="CM53" s="468"/>
      <c r="CN53" s="468"/>
      <c r="CO53" s="468"/>
      <c r="CP53" s="468"/>
      <c r="CQ53" s="468"/>
      <c r="CR53" s="468"/>
      <c r="CS53" s="468"/>
      <c r="CT53" s="60"/>
      <c r="CU53" s="60"/>
    </row>
    <row r="54">
      <c r="A54" s="684" t="s">
        <v>4065</v>
      </c>
      <c r="B54" s="241" t="s">
        <v>211</v>
      </c>
      <c r="C54" s="237" t="s">
        <v>155</v>
      </c>
      <c r="D54" s="238" t="s">
        <v>155</v>
      </c>
      <c r="E54" s="239" t="s">
        <v>155</v>
      </c>
      <c r="F54" s="240" t="s">
        <v>155</v>
      </c>
      <c r="G54" s="241" t="s">
        <v>127</v>
      </c>
      <c r="H54" s="560"/>
      <c r="I54" s="560"/>
      <c r="J54" s="60"/>
      <c r="K54" s="60"/>
      <c r="L54" s="60"/>
      <c r="M54" s="60"/>
      <c r="N54" s="60"/>
      <c r="O54" s="60"/>
      <c r="P54" s="60"/>
      <c r="Q54" s="60"/>
      <c r="R54" s="63" t="s">
        <v>4066</v>
      </c>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3" t="s">
        <v>4069</v>
      </c>
      <c r="AU54" s="60"/>
      <c r="AV54" s="60"/>
      <c r="AW54" s="60"/>
      <c r="AX54" s="60"/>
      <c r="AY54" s="60"/>
      <c r="AZ54" s="60"/>
      <c r="BA54" s="60"/>
      <c r="BB54" s="60"/>
      <c r="BC54" s="60"/>
      <c r="BD54" s="60"/>
      <c r="BE54" s="60"/>
      <c r="BF54" s="60"/>
      <c r="BG54" s="620"/>
      <c r="BH54" s="620"/>
      <c r="BI54" s="620"/>
      <c r="BJ54" s="620"/>
      <c r="BK54" s="620"/>
      <c r="BL54" s="620"/>
      <c r="BM54" s="620"/>
      <c r="BN54" s="620"/>
      <c r="BO54" s="620"/>
      <c r="BP54" s="620"/>
      <c r="BQ54" s="60"/>
      <c r="BR54" s="60"/>
      <c r="BS54" s="60"/>
      <c r="BT54" s="60"/>
      <c r="BU54" s="60"/>
      <c r="BV54" s="60"/>
      <c r="BW54" s="68"/>
      <c r="BX54" s="60"/>
      <c r="BY54" s="60"/>
      <c r="BZ54" s="60"/>
      <c r="CA54" s="68"/>
      <c r="CB54" s="60"/>
      <c r="CC54" s="60"/>
      <c r="CD54" s="68"/>
      <c r="CE54" s="468"/>
      <c r="CF54" s="468"/>
      <c r="CG54" s="468"/>
      <c r="CH54" s="468"/>
      <c r="CI54" s="468"/>
      <c r="CJ54" s="468"/>
      <c r="CK54" s="468"/>
      <c r="CL54" s="468"/>
      <c r="CM54" s="468"/>
      <c r="CN54" s="468"/>
      <c r="CO54" s="468"/>
      <c r="CP54" s="468"/>
      <c r="CQ54" s="468"/>
      <c r="CR54" s="468"/>
      <c r="CS54" s="468"/>
      <c r="CT54" s="60"/>
      <c r="CU54" s="60"/>
    </row>
    <row r="55">
      <c r="A55" s="693" t="s">
        <v>4074</v>
      </c>
      <c r="B55" s="241" t="s">
        <v>211</v>
      </c>
      <c r="C55" s="237" t="s">
        <v>155</v>
      </c>
      <c r="D55" s="238" t="s">
        <v>155</v>
      </c>
      <c r="E55" s="239" t="s">
        <v>155</v>
      </c>
      <c r="F55" s="240" t="s">
        <v>76</v>
      </c>
      <c r="G55" s="241" t="s">
        <v>76</v>
      </c>
      <c r="H55" s="560"/>
      <c r="I55" s="5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70" t="s">
        <v>4076</v>
      </c>
      <c r="BD55" s="60"/>
      <c r="BE55" s="60"/>
      <c r="BF55" s="60"/>
      <c r="BG55" s="60"/>
      <c r="BH55" s="60"/>
      <c r="BI55" s="60"/>
      <c r="BJ55" s="60"/>
      <c r="BK55" s="60"/>
      <c r="BL55" s="60"/>
      <c r="BM55" s="60"/>
      <c r="BN55" s="60"/>
      <c r="BO55" s="60"/>
      <c r="BP55" s="60"/>
      <c r="BQ55" s="60"/>
      <c r="BR55" s="60"/>
      <c r="BS55" s="60"/>
      <c r="BT55" s="60"/>
      <c r="BU55" s="60"/>
      <c r="BV55" s="60"/>
      <c r="BW55" s="68"/>
      <c r="BX55" s="60"/>
      <c r="BY55" s="60"/>
      <c r="BZ55" s="60"/>
      <c r="CA55" s="68"/>
      <c r="CB55" s="60"/>
      <c r="CC55" s="60"/>
      <c r="CD55" s="68"/>
      <c r="CE55" s="60"/>
      <c r="CF55" s="60"/>
      <c r="CG55" s="60"/>
      <c r="CH55" s="60"/>
      <c r="CI55" s="60"/>
      <c r="CJ55" s="60"/>
      <c r="CK55" s="60"/>
      <c r="CL55" s="60"/>
      <c r="CM55" s="60"/>
      <c r="CN55" s="60"/>
      <c r="CO55" s="60"/>
      <c r="CP55" s="60"/>
      <c r="CQ55" s="60"/>
      <c r="CR55" s="60"/>
      <c r="CS55" s="60"/>
      <c r="CT55" s="60"/>
      <c r="CU55" s="60"/>
    </row>
    <row r="56">
      <c r="A56" s="819" t="s">
        <v>4081</v>
      </c>
      <c r="B56" s="241" t="s">
        <v>211</v>
      </c>
      <c r="C56" s="237" t="s">
        <v>155</v>
      </c>
      <c r="D56" s="238" t="s">
        <v>155</v>
      </c>
      <c r="E56" s="239" t="s">
        <v>155</v>
      </c>
      <c r="F56" s="240" t="s">
        <v>155</v>
      </c>
      <c r="G56" s="241" t="s">
        <v>127</v>
      </c>
      <c r="H56" s="560"/>
      <c r="I56" s="560"/>
      <c r="J56" s="60"/>
      <c r="K56" s="60"/>
      <c r="L56" s="60"/>
      <c r="M56" s="60"/>
      <c r="N56" s="60"/>
      <c r="O56" s="60"/>
      <c r="P56" s="60"/>
      <c r="Q56" s="60"/>
      <c r="R56" s="60"/>
      <c r="S56" s="60"/>
      <c r="T56" s="60"/>
      <c r="U56" s="60"/>
      <c r="V56" s="60"/>
      <c r="W56" s="63" t="s">
        <v>3466</v>
      </c>
      <c r="X56" s="63"/>
      <c r="Y56" s="63" t="s">
        <v>4085</v>
      </c>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8"/>
      <c r="BX56" s="60"/>
      <c r="BY56" s="60"/>
      <c r="BZ56" s="60"/>
      <c r="CA56" s="68"/>
      <c r="CB56" s="60"/>
      <c r="CC56" s="60"/>
      <c r="CD56" s="68"/>
      <c r="CE56" s="60"/>
      <c r="CF56" s="60"/>
      <c r="CG56" s="60"/>
      <c r="CH56" s="60"/>
      <c r="CI56" s="60"/>
      <c r="CJ56" s="60"/>
      <c r="CK56" s="60"/>
      <c r="CL56" s="60"/>
      <c r="CM56" s="60"/>
      <c r="CN56" s="60"/>
      <c r="CO56" s="60"/>
      <c r="CP56" s="60"/>
      <c r="CQ56" s="60"/>
      <c r="CR56" s="60"/>
      <c r="CS56" s="60"/>
      <c r="CT56" s="60"/>
      <c r="CU56" s="60"/>
    </row>
    <row r="57">
      <c r="A57" s="824" t="s">
        <v>4091</v>
      </c>
      <c r="B57" s="241" t="s">
        <v>261</v>
      </c>
      <c r="C57" s="237" t="s">
        <v>155</v>
      </c>
      <c r="D57" s="238" t="s">
        <v>155</v>
      </c>
      <c r="E57" s="239" t="s">
        <v>155</v>
      </c>
      <c r="F57" s="240" t="s">
        <v>79</v>
      </c>
      <c r="G57" s="241" t="s">
        <v>81</v>
      </c>
      <c r="H57" s="560"/>
      <c r="I57" s="560"/>
      <c r="J57" s="60"/>
      <c r="K57" s="60"/>
      <c r="L57" s="60"/>
      <c r="M57" s="60"/>
      <c r="N57" s="60"/>
      <c r="O57" s="60"/>
      <c r="P57" s="60"/>
      <c r="Q57" s="60"/>
      <c r="R57" s="70" t="s">
        <v>4094</v>
      </c>
      <c r="S57" s="60"/>
      <c r="T57" s="60"/>
      <c r="U57" s="70" t="s">
        <v>4097</v>
      </c>
      <c r="V57" s="60"/>
      <c r="W57" s="63" t="s">
        <v>4099</v>
      </c>
      <c r="X57" s="63" t="s">
        <v>4099</v>
      </c>
      <c r="Y57" s="60"/>
      <c r="Z57" s="60"/>
      <c r="AA57" s="60"/>
      <c r="AB57" s="60"/>
      <c r="AC57" s="60"/>
      <c r="AD57" s="60"/>
      <c r="AE57" s="60"/>
      <c r="AF57" s="60"/>
      <c r="AG57" s="60"/>
      <c r="AH57" s="60"/>
      <c r="AI57" s="60"/>
      <c r="AJ57" s="60"/>
      <c r="AK57" s="60"/>
      <c r="AL57" s="60"/>
      <c r="AM57" s="60"/>
      <c r="AN57" s="60"/>
      <c r="AO57" s="60"/>
      <c r="AP57" s="63" t="s">
        <v>4100</v>
      </c>
      <c r="AQ57" s="70" t="s">
        <v>4102</v>
      </c>
      <c r="AR57" s="70" t="s">
        <v>4104</v>
      </c>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8"/>
      <c r="BX57" s="60"/>
      <c r="BY57" s="60"/>
      <c r="BZ57" s="60"/>
      <c r="CA57" s="68"/>
      <c r="CB57" s="60"/>
      <c r="CC57" s="60"/>
      <c r="CD57" s="68"/>
      <c r="CE57" s="60"/>
      <c r="CF57" s="60"/>
      <c r="CG57" s="60"/>
      <c r="CH57" s="60"/>
      <c r="CI57" s="60"/>
      <c r="CJ57" s="60"/>
      <c r="CK57" s="60"/>
      <c r="CL57" s="60"/>
      <c r="CM57" s="60"/>
      <c r="CN57" s="60"/>
      <c r="CO57" s="60"/>
      <c r="CP57" s="60"/>
      <c r="CQ57" s="60"/>
      <c r="CR57" s="60"/>
      <c r="CS57" s="60"/>
      <c r="CT57" s="60"/>
      <c r="CU57" s="60"/>
    </row>
    <row r="58">
      <c r="A58" s="528" t="s">
        <v>4105</v>
      </c>
      <c r="B58" s="241" t="s">
        <v>81</v>
      </c>
      <c r="C58" s="237" t="s">
        <v>155</v>
      </c>
      <c r="D58" s="238" t="s">
        <v>76</v>
      </c>
      <c r="E58" s="239" t="s">
        <v>155</v>
      </c>
      <c r="F58" s="240" t="s">
        <v>76</v>
      </c>
      <c r="G58" s="241" t="s">
        <v>76</v>
      </c>
      <c r="H58" s="560"/>
      <c r="I58" s="5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20"/>
      <c r="BH58" s="620"/>
      <c r="BI58" s="620"/>
      <c r="BJ58" s="620"/>
      <c r="BK58" s="620"/>
      <c r="BL58" s="620"/>
      <c r="BM58" s="620"/>
      <c r="BN58" s="620"/>
      <c r="BO58" s="620"/>
      <c r="BP58" s="620"/>
      <c r="BQ58" s="60"/>
      <c r="BR58" s="60"/>
      <c r="BS58" s="60"/>
      <c r="BT58" s="60"/>
      <c r="BU58" s="60"/>
      <c r="BV58" s="60"/>
      <c r="BW58" s="68"/>
      <c r="BX58" s="60"/>
      <c r="BY58" s="60"/>
      <c r="BZ58" s="60"/>
      <c r="CA58" s="68"/>
      <c r="CB58" s="60"/>
      <c r="CC58" s="60"/>
      <c r="CD58" s="68"/>
      <c r="CE58" s="468"/>
      <c r="CF58" s="468"/>
      <c r="CG58" s="468"/>
      <c r="CH58" s="468"/>
      <c r="CI58" s="468"/>
      <c r="CJ58" s="468"/>
      <c r="CK58" s="468"/>
      <c r="CL58" s="468"/>
      <c r="CM58" s="468"/>
      <c r="CN58" s="468"/>
      <c r="CO58" s="468"/>
      <c r="CP58" s="468"/>
      <c r="CQ58" s="468"/>
      <c r="CR58" s="468"/>
      <c r="CS58" s="468"/>
      <c r="CT58" s="67" t="s">
        <v>4109</v>
      </c>
      <c r="CU58" s="74"/>
    </row>
    <row r="59">
      <c r="A59" s="834" t="s">
        <v>4112</v>
      </c>
      <c r="B59" s="241" t="s">
        <v>81</v>
      </c>
      <c r="C59" s="237" t="s">
        <v>155</v>
      </c>
      <c r="D59" s="238" t="s">
        <v>155</v>
      </c>
      <c r="E59" s="239" t="s">
        <v>155</v>
      </c>
      <c r="F59" s="240" t="s">
        <v>155</v>
      </c>
      <c r="G59" s="241" t="s">
        <v>76</v>
      </c>
      <c r="H59" s="738"/>
      <c r="I59" s="738"/>
      <c r="J59" s="60"/>
      <c r="K59" s="60"/>
      <c r="L59" s="60"/>
      <c r="M59" s="60"/>
      <c r="N59" s="60"/>
      <c r="O59" s="60"/>
      <c r="P59" s="60"/>
      <c r="Q59" s="60"/>
      <c r="R59" s="60"/>
      <c r="S59" s="60"/>
      <c r="T59" s="60"/>
      <c r="U59" s="63" t="s">
        <v>3453</v>
      </c>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20"/>
      <c r="BH59" s="620"/>
      <c r="BI59" s="620"/>
      <c r="BJ59" s="620"/>
      <c r="BK59" s="620"/>
      <c r="BL59" s="620"/>
      <c r="BM59" s="620"/>
      <c r="BN59" s="620"/>
      <c r="BO59" s="620"/>
      <c r="BP59" s="620"/>
      <c r="BQ59" s="60"/>
      <c r="BR59" s="60"/>
      <c r="BS59" s="60"/>
      <c r="BT59" s="60"/>
      <c r="BU59" s="60"/>
      <c r="BV59" s="60"/>
      <c r="BW59" s="68"/>
      <c r="BX59" s="60"/>
      <c r="BY59" s="60"/>
      <c r="BZ59" s="60"/>
      <c r="CA59" s="68"/>
      <c r="CB59" s="60"/>
      <c r="CC59" s="60"/>
      <c r="CD59" s="68"/>
      <c r="CE59" s="468"/>
      <c r="CF59" s="468"/>
      <c r="CG59" s="468"/>
      <c r="CH59" s="468"/>
      <c r="CI59" s="468"/>
      <c r="CJ59" s="468"/>
      <c r="CK59" s="468"/>
      <c r="CL59" s="468"/>
      <c r="CM59" s="60"/>
      <c r="CN59" s="60"/>
      <c r="CO59" s="60"/>
      <c r="CP59" s="60"/>
      <c r="CQ59" s="60"/>
      <c r="CR59" s="60"/>
      <c r="CS59" s="60"/>
      <c r="CT59" s="60"/>
      <c r="CU59" s="60"/>
    </row>
    <row r="60">
      <c r="A60" s="835" t="s">
        <v>4115</v>
      </c>
      <c r="B60" s="241" t="s">
        <v>157</v>
      </c>
      <c r="C60" s="237" t="s">
        <v>155</v>
      </c>
      <c r="D60" s="238" t="s">
        <v>155</v>
      </c>
      <c r="E60" s="239" t="s">
        <v>155</v>
      </c>
      <c r="F60" s="240" t="s">
        <v>155</v>
      </c>
      <c r="G60" s="241" t="s">
        <v>127</v>
      </c>
      <c r="H60" s="560"/>
      <c r="I60" s="5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95" t="s">
        <v>1945</v>
      </c>
      <c r="BD60" s="95" t="s">
        <v>3483</v>
      </c>
      <c r="BE60" s="63"/>
      <c r="BF60" s="63"/>
      <c r="BG60" s="60"/>
      <c r="BH60" s="60"/>
      <c r="BI60" s="60"/>
      <c r="BJ60" s="60"/>
      <c r="BK60" s="60"/>
      <c r="BL60" s="60"/>
      <c r="BM60" s="60"/>
      <c r="BN60" s="60"/>
      <c r="BO60" s="60"/>
      <c r="BP60" s="60"/>
      <c r="BQ60" s="60"/>
      <c r="BR60" s="60"/>
      <c r="BS60" s="60"/>
      <c r="BT60" s="60"/>
      <c r="BU60" s="60"/>
      <c r="BV60" s="60"/>
      <c r="BW60" s="68"/>
      <c r="BX60" s="60"/>
      <c r="BY60" s="60"/>
      <c r="BZ60" s="60"/>
      <c r="CA60" s="68"/>
      <c r="CB60" s="60"/>
      <c r="CC60" s="60"/>
      <c r="CD60" s="68"/>
      <c r="CE60" s="60"/>
      <c r="CF60" s="60"/>
      <c r="CG60" s="60"/>
      <c r="CH60" s="60"/>
      <c r="CI60" s="60"/>
      <c r="CJ60" s="60"/>
      <c r="CK60" s="60"/>
      <c r="CL60" s="60"/>
      <c r="CM60" s="60"/>
      <c r="CN60" s="60"/>
      <c r="CO60" s="60"/>
      <c r="CP60" s="60"/>
      <c r="CQ60" s="60"/>
      <c r="CR60" s="60"/>
      <c r="CS60" s="60"/>
      <c r="CT60" s="60"/>
      <c r="CU60" s="60"/>
    </row>
    <row r="61">
      <c r="A61" s="836" t="s">
        <v>4119</v>
      </c>
      <c r="B61" s="241" t="s">
        <v>127</v>
      </c>
      <c r="C61" s="237" t="s">
        <v>155</v>
      </c>
      <c r="D61" s="238" t="s">
        <v>155</v>
      </c>
      <c r="E61" s="239" t="s">
        <v>155</v>
      </c>
      <c r="F61" s="240" t="s">
        <v>155</v>
      </c>
      <c r="G61" s="241" t="s">
        <v>76</v>
      </c>
      <c r="H61" s="560"/>
      <c r="I61" s="560"/>
      <c r="J61" s="60"/>
      <c r="K61" s="60"/>
      <c r="L61" s="60"/>
      <c r="M61" s="60"/>
      <c r="N61" s="60"/>
      <c r="O61" s="60"/>
      <c r="P61" s="60"/>
      <c r="Q61" s="60"/>
      <c r="R61" s="63"/>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3"/>
      <c r="BD61" s="60"/>
      <c r="BE61" s="60"/>
      <c r="BF61" s="60"/>
      <c r="BG61" s="60"/>
      <c r="BH61" s="60"/>
      <c r="BI61" s="60"/>
      <c r="BJ61" s="60"/>
      <c r="BK61" s="60"/>
      <c r="BL61" s="60"/>
      <c r="BM61" s="60"/>
      <c r="BN61" s="60"/>
      <c r="BO61" s="60"/>
      <c r="BP61" s="60"/>
      <c r="BQ61" s="60"/>
      <c r="BR61" s="60"/>
      <c r="BS61" s="60"/>
      <c r="BT61" s="60"/>
      <c r="BU61" s="60"/>
      <c r="BV61" s="63"/>
      <c r="BW61" s="63" t="s">
        <v>4129</v>
      </c>
      <c r="BX61" s="60"/>
      <c r="BY61" s="60"/>
      <c r="BZ61" s="60"/>
      <c r="CA61" s="68"/>
      <c r="CB61" s="60"/>
      <c r="CC61" s="60"/>
      <c r="CD61" s="68"/>
      <c r="CE61" s="60"/>
      <c r="CF61" s="60"/>
      <c r="CG61" s="60"/>
      <c r="CH61" s="60"/>
      <c r="CI61" s="60"/>
      <c r="CJ61" s="60"/>
      <c r="CK61" s="60"/>
      <c r="CL61" s="60"/>
      <c r="CM61" s="60"/>
      <c r="CN61" s="60"/>
      <c r="CO61" s="60"/>
      <c r="CP61" s="60"/>
      <c r="CQ61" s="60"/>
      <c r="CR61" s="60"/>
      <c r="CS61" s="60"/>
      <c r="CT61" s="60"/>
      <c r="CU61" s="60"/>
    </row>
    <row r="62">
      <c r="A62" s="528" t="s">
        <v>4131</v>
      </c>
      <c r="B62" s="241" t="s">
        <v>127</v>
      </c>
      <c r="C62" s="237" t="s">
        <v>155</v>
      </c>
      <c r="D62" s="238" t="s">
        <v>155</v>
      </c>
      <c r="E62" s="239" t="s">
        <v>155</v>
      </c>
      <c r="F62" s="240" t="s">
        <v>155</v>
      </c>
      <c r="G62" s="241" t="s">
        <v>76</v>
      </c>
      <c r="H62" s="560"/>
      <c r="I62" s="560"/>
      <c r="J62" s="60"/>
      <c r="K62" s="60"/>
      <c r="L62" s="60"/>
      <c r="M62" s="60"/>
      <c r="N62" s="60"/>
      <c r="O62" s="60"/>
      <c r="P62" s="60"/>
      <c r="Q62" s="60"/>
      <c r="R62" s="60"/>
      <c r="S62" s="60"/>
      <c r="T62" s="60"/>
      <c r="U62" s="60"/>
      <c r="V62" s="95" t="s">
        <v>2015</v>
      </c>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20"/>
      <c r="BH62" s="620"/>
      <c r="BI62" s="620"/>
      <c r="BJ62" s="620"/>
      <c r="BK62" s="620"/>
      <c r="BL62" s="620"/>
      <c r="BM62" s="620"/>
      <c r="BN62" s="620"/>
      <c r="BO62" s="620"/>
      <c r="BP62" s="620"/>
      <c r="BQ62" s="60"/>
      <c r="BR62" s="60"/>
      <c r="BS62" s="60"/>
      <c r="BT62" s="60"/>
      <c r="BU62" s="60"/>
      <c r="BV62" s="60"/>
      <c r="BW62" s="68"/>
      <c r="BX62" s="60"/>
      <c r="BY62" s="63"/>
      <c r="BZ62" s="60"/>
      <c r="CA62" s="68"/>
      <c r="CB62" s="60"/>
      <c r="CC62" s="60"/>
      <c r="CD62" s="68"/>
      <c r="CE62" s="468"/>
      <c r="CF62" s="468"/>
      <c r="CG62" s="468"/>
      <c r="CH62" s="468"/>
      <c r="CI62" s="468"/>
      <c r="CJ62" s="468"/>
      <c r="CK62" s="468"/>
      <c r="CL62" s="468"/>
      <c r="CM62" s="468"/>
      <c r="CN62" s="468"/>
      <c r="CO62" s="468"/>
      <c r="CP62" s="468"/>
      <c r="CQ62" s="468"/>
      <c r="CR62" s="468"/>
      <c r="CS62" s="468"/>
      <c r="CT62" s="60"/>
      <c r="CU62" s="60"/>
    </row>
    <row r="63">
      <c r="A63" s="693" t="s">
        <v>4135</v>
      </c>
      <c r="B63" s="241" t="s">
        <v>76</v>
      </c>
      <c r="C63" s="237" t="s">
        <v>155</v>
      </c>
      <c r="D63" s="238" t="s">
        <v>155</v>
      </c>
      <c r="E63" s="239" t="s">
        <v>155</v>
      </c>
      <c r="F63" s="240" t="s">
        <v>155</v>
      </c>
      <c r="G63" s="241" t="s">
        <v>76</v>
      </c>
      <c r="H63" s="738"/>
      <c r="I63" s="738"/>
      <c r="J63" s="60"/>
      <c r="K63" s="60"/>
      <c r="L63" s="60"/>
      <c r="M63" s="60"/>
      <c r="N63" s="60"/>
      <c r="O63" s="60"/>
      <c r="P63" s="60"/>
      <c r="Q63" s="60"/>
      <c r="R63" s="60"/>
      <c r="S63" s="60"/>
      <c r="T63" s="60"/>
      <c r="U63" s="60"/>
      <c r="V63" s="60"/>
      <c r="W63" s="60"/>
      <c r="X63" s="60"/>
      <c r="Y63" s="60"/>
      <c r="Z63" s="60"/>
      <c r="AA63" s="63" t="s">
        <v>4140</v>
      </c>
      <c r="AB63" s="60"/>
      <c r="AC63" s="60"/>
      <c r="AD63" s="60"/>
      <c r="AE63" s="155"/>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8"/>
      <c r="BX63" s="60"/>
      <c r="BY63" s="60"/>
      <c r="BZ63" s="60"/>
      <c r="CA63" s="68"/>
      <c r="CB63" s="60"/>
      <c r="CC63" s="60"/>
      <c r="CD63" s="68"/>
      <c r="CE63" s="60"/>
      <c r="CF63" s="60"/>
      <c r="CG63" s="60"/>
      <c r="CH63" s="60"/>
      <c r="CI63" s="60"/>
      <c r="CJ63" s="60"/>
      <c r="CK63" s="60"/>
      <c r="CL63" s="60"/>
      <c r="CM63" s="60"/>
      <c r="CN63" s="60"/>
      <c r="CO63" s="60"/>
      <c r="CP63" s="60"/>
      <c r="CQ63" s="60"/>
      <c r="CR63" s="60"/>
      <c r="CS63" s="60"/>
      <c r="CT63" s="60"/>
      <c r="CU63" s="60"/>
    </row>
    <row r="64">
      <c r="A64" s="693" t="s">
        <v>4146</v>
      </c>
      <c r="B64" s="241" t="s">
        <v>155</v>
      </c>
      <c r="C64" s="237" t="s">
        <v>155</v>
      </c>
      <c r="D64" s="238" t="s">
        <v>155</v>
      </c>
      <c r="E64" s="239" t="s">
        <v>155</v>
      </c>
      <c r="F64" s="240" t="s">
        <v>155</v>
      </c>
      <c r="G64" s="241" t="s">
        <v>155</v>
      </c>
      <c r="H64" s="560"/>
      <c r="I64" s="5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8"/>
      <c r="BX64" s="60"/>
      <c r="BY64" s="60"/>
      <c r="BZ64" s="60"/>
      <c r="CA64" s="68"/>
      <c r="CB64" s="60"/>
      <c r="CC64" s="60"/>
      <c r="CD64" s="68"/>
      <c r="CE64" s="60"/>
      <c r="CF64" s="60"/>
      <c r="CG64" s="60"/>
      <c r="CH64" s="60"/>
      <c r="CI64" s="60"/>
      <c r="CJ64" s="60"/>
      <c r="CK64" s="60"/>
      <c r="CL64" s="60"/>
      <c r="CM64" s="60"/>
      <c r="CN64" s="60"/>
      <c r="CO64" s="60"/>
      <c r="CP64" s="60"/>
      <c r="CQ64" s="60"/>
      <c r="CR64" s="60"/>
      <c r="CS64" s="60"/>
      <c r="CT64" s="60"/>
      <c r="CU64" s="60"/>
    </row>
    <row r="65">
      <c r="A65" s="693" t="s">
        <v>4150</v>
      </c>
      <c r="B65" s="241" t="s">
        <v>155</v>
      </c>
      <c r="C65" s="237" t="s">
        <v>155</v>
      </c>
      <c r="D65" s="238" t="s">
        <v>155</v>
      </c>
      <c r="E65" s="239" t="s">
        <v>155</v>
      </c>
      <c r="F65" s="240" t="s">
        <v>155</v>
      </c>
      <c r="G65" s="241" t="s">
        <v>155</v>
      </c>
      <c r="H65" s="560"/>
      <c r="I65" s="5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8"/>
      <c r="BX65" s="60"/>
      <c r="BY65" s="60"/>
      <c r="BZ65" s="60"/>
      <c r="CA65" s="68"/>
      <c r="CB65" s="60"/>
      <c r="CC65" s="60"/>
      <c r="CD65" s="68"/>
      <c r="CE65" s="60"/>
      <c r="CF65" s="60"/>
      <c r="CG65" s="60"/>
      <c r="CH65" s="60"/>
      <c r="CI65" s="60"/>
      <c r="CJ65" s="60"/>
      <c r="CK65" s="60"/>
      <c r="CL65" s="60"/>
      <c r="CM65" s="60"/>
      <c r="CN65" s="60"/>
      <c r="CO65" s="60"/>
      <c r="CP65" s="60"/>
      <c r="CQ65" s="60"/>
      <c r="CR65" s="60"/>
      <c r="CS65" s="60"/>
      <c r="CT65" s="60"/>
      <c r="CU65" s="60"/>
    </row>
    <row r="66">
      <c r="A66" s="528"/>
      <c r="B66" s="241" t="s">
        <v>155</v>
      </c>
      <c r="C66" s="237" t="s">
        <v>155</v>
      </c>
      <c r="D66" s="238" t="s">
        <v>155</v>
      </c>
      <c r="E66" s="239" t="s">
        <v>155</v>
      </c>
      <c r="F66" s="240" t="s">
        <v>155</v>
      </c>
      <c r="G66" s="241" t="s">
        <v>155</v>
      </c>
      <c r="H66" s="560"/>
      <c r="I66" s="5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8"/>
      <c r="BX66" s="60"/>
      <c r="BY66" s="60"/>
      <c r="BZ66" s="60"/>
      <c r="CA66" s="68"/>
      <c r="CB66" s="60"/>
      <c r="CC66" s="60"/>
      <c r="CD66" s="68"/>
      <c r="CE66" s="60"/>
      <c r="CF66" s="60"/>
      <c r="CG66" s="60"/>
      <c r="CH66" s="60"/>
      <c r="CI66" s="60"/>
      <c r="CJ66" s="60"/>
      <c r="CK66" s="60"/>
      <c r="CL66" s="60"/>
      <c r="CM66" s="60"/>
      <c r="CN66" s="60"/>
      <c r="CO66" s="60"/>
      <c r="CP66" s="60"/>
      <c r="CQ66" s="60"/>
      <c r="CR66" s="60"/>
      <c r="CS66" s="60"/>
      <c r="CT66" s="60"/>
      <c r="CU66" s="60"/>
    </row>
    <row r="67">
      <c r="A67" s="528"/>
      <c r="B67" s="241" t="s">
        <v>155</v>
      </c>
      <c r="C67" s="237" t="s">
        <v>155</v>
      </c>
      <c r="D67" s="238" t="s">
        <v>155</v>
      </c>
      <c r="E67" s="239" t="s">
        <v>155</v>
      </c>
      <c r="F67" s="240" t="s">
        <v>155</v>
      </c>
      <c r="G67" s="241" t="s">
        <v>155</v>
      </c>
      <c r="H67" s="560"/>
      <c r="I67" s="5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8"/>
      <c r="BX67" s="60"/>
      <c r="BY67" s="60"/>
      <c r="BZ67" s="60"/>
      <c r="CA67" s="68"/>
      <c r="CB67" s="60"/>
      <c r="CC67" s="60"/>
      <c r="CD67" s="68"/>
      <c r="CE67" s="60"/>
      <c r="CF67" s="60"/>
      <c r="CG67" s="60"/>
      <c r="CH67" s="60"/>
      <c r="CI67" s="60"/>
      <c r="CJ67" s="60"/>
      <c r="CK67" s="60"/>
      <c r="CL67" s="60"/>
      <c r="CM67" s="60"/>
      <c r="CN67" s="60"/>
      <c r="CO67" s="60"/>
      <c r="CP67" s="60"/>
      <c r="CQ67" s="60"/>
      <c r="CR67" s="60"/>
      <c r="CS67" s="60"/>
      <c r="CT67" s="60"/>
      <c r="CU67" s="60"/>
    </row>
    <row r="68">
      <c r="A68" s="528"/>
      <c r="B68" s="241" t="s">
        <v>155</v>
      </c>
      <c r="C68" s="237" t="s">
        <v>155</v>
      </c>
      <c r="D68" s="238" t="s">
        <v>155</v>
      </c>
      <c r="E68" s="239" t="s">
        <v>155</v>
      </c>
      <c r="F68" s="240" t="s">
        <v>155</v>
      </c>
      <c r="G68" s="241" t="s">
        <v>155</v>
      </c>
      <c r="H68" s="560"/>
      <c r="I68" s="5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8"/>
      <c r="BX68" s="60"/>
      <c r="BY68" s="60"/>
      <c r="BZ68" s="60"/>
      <c r="CA68" s="68"/>
      <c r="CB68" s="60"/>
      <c r="CC68" s="60"/>
      <c r="CD68" s="68"/>
      <c r="CE68" s="60"/>
      <c r="CF68" s="60"/>
      <c r="CG68" s="60"/>
      <c r="CH68" s="60"/>
      <c r="CI68" s="60"/>
      <c r="CJ68" s="60"/>
      <c r="CK68" s="60"/>
      <c r="CL68" s="60"/>
      <c r="CM68" s="60"/>
      <c r="CN68" s="60"/>
      <c r="CO68" s="60"/>
      <c r="CP68" s="60"/>
      <c r="CQ68" s="60"/>
      <c r="CR68" s="60"/>
      <c r="CS68" s="60"/>
      <c r="CT68" s="60"/>
      <c r="CU68" s="60"/>
    </row>
    <row r="69">
      <c r="A69" s="528"/>
      <c r="B69" s="241" t="s">
        <v>155</v>
      </c>
      <c r="C69" s="237" t="s">
        <v>155</v>
      </c>
      <c r="D69" s="238" t="s">
        <v>155</v>
      </c>
      <c r="E69" s="239" t="s">
        <v>155</v>
      </c>
      <c r="F69" s="240" t="s">
        <v>155</v>
      </c>
      <c r="G69" s="241" t="s">
        <v>155</v>
      </c>
      <c r="H69" s="560"/>
      <c r="I69" s="5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8"/>
      <c r="BX69" s="60"/>
      <c r="BY69" s="60"/>
      <c r="BZ69" s="60"/>
      <c r="CA69" s="68"/>
      <c r="CB69" s="60"/>
      <c r="CC69" s="60"/>
      <c r="CD69" s="68"/>
      <c r="CE69" s="60"/>
      <c r="CF69" s="60"/>
      <c r="CG69" s="60"/>
      <c r="CH69" s="60"/>
      <c r="CI69" s="60"/>
      <c r="CJ69" s="60"/>
      <c r="CK69" s="60"/>
      <c r="CL69" s="60"/>
      <c r="CM69" s="60"/>
      <c r="CN69" s="60"/>
      <c r="CO69" s="60"/>
      <c r="CP69" s="60"/>
      <c r="CQ69" s="60"/>
      <c r="CR69" s="60"/>
      <c r="CS69" s="60"/>
      <c r="CT69" s="60"/>
      <c r="CU69" s="60"/>
    </row>
    <row r="70">
      <c r="A70" s="528"/>
      <c r="B70" s="241" t="s">
        <v>155</v>
      </c>
      <c r="C70" s="237" t="s">
        <v>155</v>
      </c>
      <c r="D70" s="238" t="s">
        <v>155</v>
      </c>
      <c r="E70" s="239" t="s">
        <v>155</v>
      </c>
      <c r="F70" s="240" t="s">
        <v>155</v>
      </c>
      <c r="G70" s="241" t="s">
        <v>155</v>
      </c>
      <c r="H70" s="560"/>
      <c r="I70" s="5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8"/>
      <c r="BX70" s="60"/>
      <c r="BY70" s="60"/>
      <c r="BZ70" s="60"/>
      <c r="CA70" s="68"/>
      <c r="CB70" s="60"/>
      <c r="CC70" s="60"/>
      <c r="CD70" s="68"/>
      <c r="CE70" s="60"/>
      <c r="CF70" s="60"/>
      <c r="CG70" s="60"/>
      <c r="CH70" s="60"/>
      <c r="CI70" s="60"/>
      <c r="CJ70" s="60"/>
      <c r="CK70" s="60"/>
      <c r="CL70" s="60"/>
      <c r="CM70" s="60"/>
      <c r="CN70" s="60"/>
      <c r="CO70" s="60"/>
      <c r="CP70" s="60"/>
      <c r="CQ70" s="60"/>
      <c r="CR70" s="60"/>
      <c r="CS70" s="60"/>
      <c r="CT70" s="60"/>
      <c r="CU70" s="60"/>
    </row>
    <row r="71">
      <c r="A71" s="528"/>
      <c r="B71" s="241" t="s">
        <v>155</v>
      </c>
      <c r="C71" s="237" t="s">
        <v>155</v>
      </c>
      <c r="D71" s="238" t="s">
        <v>155</v>
      </c>
      <c r="E71" s="239" t="s">
        <v>155</v>
      </c>
      <c r="F71" s="240" t="s">
        <v>155</v>
      </c>
      <c r="G71" s="241" t="s">
        <v>155</v>
      </c>
      <c r="H71" s="560"/>
      <c r="I71" s="5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8"/>
      <c r="BX71" s="60"/>
      <c r="BY71" s="60"/>
      <c r="BZ71" s="60"/>
      <c r="CA71" s="68"/>
      <c r="CB71" s="60"/>
      <c r="CC71" s="60"/>
      <c r="CD71" s="68"/>
      <c r="CE71" s="60"/>
      <c r="CF71" s="60"/>
      <c r="CG71" s="60"/>
      <c r="CH71" s="60"/>
      <c r="CI71" s="60"/>
      <c r="CJ71" s="60"/>
      <c r="CK71" s="60"/>
      <c r="CL71" s="60"/>
      <c r="CM71" s="60"/>
      <c r="CN71" s="60"/>
      <c r="CO71" s="60"/>
      <c r="CP71" s="60"/>
      <c r="CQ71" s="60"/>
      <c r="CR71" s="60"/>
      <c r="CS71" s="60"/>
      <c r="CT71" s="60"/>
      <c r="CU71" s="60"/>
    </row>
    <row r="72">
      <c r="A72" s="528"/>
      <c r="B72" s="241" t="s">
        <v>155</v>
      </c>
      <c r="C72" s="237" t="s">
        <v>155</v>
      </c>
      <c r="D72" s="238" t="s">
        <v>155</v>
      </c>
      <c r="E72" s="239" t="s">
        <v>155</v>
      </c>
      <c r="F72" s="240" t="s">
        <v>155</v>
      </c>
      <c r="G72" s="241" t="s">
        <v>155</v>
      </c>
      <c r="H72" s="560"/>
      <c r="I72" s="5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8"/>
      <c r="BX72" s="60"/>
      <c r="BY72" s="60"/>
      <c r="BZ72" s="60"/>
      <c r="CA72" s="68"/>
      <c r="CB72" s="60"/>
      <c r="CC72" s="60"/>
      <c r="CD72" s="68"/>
      <c r="CE72" s="60"/>
      <c r="CF72" s="60"/>
      <c r="CG72" s="60"/>
      <c r="CH72" s="60"/>
      <c r="CI72" s="60"/>
      <c r="CJ72" s="60"/>
      <c r="CK72" s="60"/>
      <c r="CL72" s="60"/>
      <c r="CM72" s="60"/>
      <c r="CN72" s="60"/>
      <c r="CO72" s="60"/>
      <c r="CP72" s="60"/>
      <c r="CQ72" s="60"/>
      <c r="CR72" s="60"/>
      <c r="CS72" s="60"/>
      <c r="CT72" s="60"/>
      <c r="CU72" s="60"/>
    </row>
    <row r="73">
      <c r="A73" s="528"/>
      <c r="B73" s="241" t="s">
        <v>155</v>
      </c>
      <c r="C73" s="237" t="s">
        <v>155</v>
      </c>
      <c r="D73" s="238" t="s">
        <v>155</v>
      </c>
      <c r="E73" s="239" t="s">
        <v>155</v>
      </c>
      <c r="F73" s="240" t="s">
        <v>155</v>
      </c>
      <c r="G73" s="241" t="s">
        <v>155</v>
      </c>
      <c r="H73" s="560"/>
      <c r="I73" s="5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8"/>
      <c r="BX73" s="60"/>
      <c r="BY73" s="60"/>
      <c r="BZ73" s="60"/>
      <c r="CA73" s="68"/>
      <c r="CB73" s="60"/>
      <c r="CC73" s="60"/>
      <c r="CD73" s="68"/>
      <c r="CE73" s="60"/>
      <c r="CF73" s="60"/>
      <c r="CG73" s="60"/>
      <c r="CH73" s="60"/>
      <c r="CI73" s="60"/>
      <c r="CJ73" s="60"/>
      <c r="CK73" s="60"/>
      <c r="CL73" s="60"/>
      <c r="CM73" s="60"/>
      <c r="CN73" s="60"/>
      <c r="CO73" s="60"/>
      <c r="CP73" s="60"/>
      <c r="CQ73" s="60"/>
      <c r="CR73" s="60"/>
      <c r="CS73" s="60"/>
      <c r="CT73" s="60"/>
      <c r="CU73" s="60"/>
    </row>
    <row r="74">
      <c r="A74" s="528"/>
      <c r="B74" s="241" t="s">
        <v>155</v>
      </c>
      <c r="C74" s="237" t="s">
        <v>155</v>
      </c>
      <c r="D74" s="238" t="s">
        <v>155</v>
      </c>
      <c r="E74" s="239" t="s">
        <v>155</v>
      </c>
      <c r="F74" s="240" t="s">
        <v>155</v>
      </c>
      <c r="G74" s="241" t="s">
        <v>155</v>
      </c>
      <c r="H74" s="560"/>
      <c r="I74" s="5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8"/>
      <c r="BX74" s="60"/>
      <c r="BY74" s="60"/>
      <c r="BZ74" s="60"/>
      <c r="CA74" s="68"/>
      <c r="CB74" s="60"/>
      <c r="CC74" s="60"/>
      <c r="CD74" s="68"/>
      <c r="CE74" s="60"/>
      <c r="CF74" s="60"/>
      <c r="CG74" s="60"/>
      <c r="CH74" s="60"/>
      <c r="CI74" s="60"/>
      <c r="CJ74" s="60"/>
      <c r="CK74" s="60"/>
      <c r="CL74" s="60"/>
      <c r="CM74" s="60"/>
      <c r="CN74" s="60"/>
      <c r="CO74" s="60"/>
      <c r="CP74" s="60"/>
      <c r="CQ74" s="60"/>
      <c r="CR74" s="60"/>
      <c r="CS74" s="60"/>
      <c r="CT74" s="60"/>
      <c r="CU74" s="60"/>
    </row>
    <row r="75">
      <c r="A75" s="528"/>
      <c r="B75" s="241" t="s">
        <v>155</v>
      </c>
      <c r="C75" s="237" t="s">
        <v>155</v>
      </c>
      <c r="D75" s="238" t="s">
        <v>155</v>
      </c>
      <c r="E75" s="239" t="s">
        <v>155</v>
      </c>
      <c r="F75" s="240" t="s">
        <v>155</v>
      </c>
      <c r="G75" s="241" t="s">
        <v>155</v>
      </c>
      <c r="H75" s="560"/>
      <c r="I75" s="5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8"/>
      <c r="BX75" s="60"/>
      <c r="BY75" s="60"/>
      <c r="BZ75" s="60"/>
      <c r="CA75" s="68"/>
      <c r="CB75" s="60"/>
      <c r="CC75" s="60"/>
      <c r="CD75" s="68"/>
      <c r="CE75" s="60"/>
      <c r="CF75" s="60"/>
      <c r="CG75" s="60"/>
      <c r="CH75" s="60"/>
      <c r="CI75" s="60"/>
      <c r="CJ75" s="60"/>
      <c r="CK75" s="60"/>
      <c r="CL75" s="60"/>
      <c r="CM75" s="60"/>
      <c r="CN75" s="60"/>
      <c r="CO75" s="60"/>
      <c r="CP75" s="60"/>
      <c r="CQ75" s="60"/>
      <c r="CR75" s="60"/>
      <c r="CS75" s="60"/>
      <c r="CT75" s="60"/>
      <c r="CU75" s="60"/>
    </row>
    <row r="76">
      <c r="A76" s="528"/>
      <c r="B76" s="241" t="s">
        <v>155</v>
      </c>
      <c r="C76" s="237" t="s">
        <v>155</v>
      </c>
      <c r="D76" s="238" t="s">
        <v>155</v>
      </c>
      <c r="E76" s="239" t="s">
        <v>155</v>
      </c>
      <c r="F76" s="240" t="s">
        <v>155</v>
      </c>
      <c r="G76" s="241" t="s">
        <v>155</v>
      </c>
      <c r="H76" s="560"/>
      <c r="I76" s="5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8"/>
      <c r="BX76" s="60"/>
      <c r="BY76" s="60"/>
      <c r="BZ76" s="60"/>
      <c r="CA76" s="68"/>
      <c r="CB76" s="60"/>
      <c r="CC76" s="60"/>
      <c r="CD76" s="68"/>
      <c r="CE76" s="60"/>
      <c r="CF76" s="60"/>
      <c r="CG76" s="60"/>
      <c r="CH76" s="60"/>
      <c r="CI76" s="60"/>
      <c r="CJ76" s="60"/>
      <c r="CK76" s="60"/>
      <c r="CL76" s="60"/>
      <c r="CM76" s="60"/>
      <c r="CN76" s="60"/>
      <c r="CO76" s="60"/>
      <c r="CP76" s="60"/>
      <c r="CQ76" s="60"/>
      <c r="CR76" s="60"/>
      <c r="CS76" s="60"/>
      <c r="CT76" s="60"/>
      <c r="CU76" s="60"/>
    </row>
    <row r="77">
      <c r="A77" s="528"/>
      <c r="B77" s="241" t="s">
        <v>155</v>
      </c>
      <c r="C77" s="237" t="s">
        <v>155</v>
      </c>
      <c r="D77" s="238" t="s">
        <v>155</v>
      </c>
      <c r="E77" s="239" t="s">
        <v>155</v>
      </c>
      <c r="F77" s="240" t="s">
        <v>155</v>
      </c>
      <c r="G77" s="241" t="s">
        <v>155</v>
      </c>
      <c r="H77" s="560"/>
      <c r="I77" s="5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8"/>
      <c r="BX77" s="60"/>
      <c r="BY77" s="60"/>
      <c r="BZ77" s="60"/>
      <c r="CA77" s="68"/>
      <c r="CB77" s="60"/>
      <c r="CC77" s="60"/>
      <c r="CD77" s="68"/>
      <c r="CE77" s="60"/>
      <c r="CF77" s="60"/>
      <c r="CG77" s="60"/>
      <c r="CH77" s="60"/>
      <c r="CI77" s="60"/>
      <c r="CJ77" s="60"/>
      <c r="CK77" s="60"/>
      <c r="CL77" s="60"/>
      <c r="CM77" s="60"/>
      <c r="CN77" s="60"/>
      <c r="CO77" s="60"/>
      <c r="CP77" s="60"/>
      <c r="CQ77" s="60"/>
      <c r="CR77" s="60"/>
      <c r="CS77" s="60"/>
      <c r="CT77" s="60"/>
      <c r="CU77" s="60"/>
    </row>
    <row r="78">
      <c r="A78" s="528"/>
      <c r="B78" s="241" t="s">
        <v>155</v>
      </c>
      <c r="C78" s="237" t="s">
        <v>155</v>
      </c>
      <c r="D78" s="238" t="s">
        <v>155</v>
      </c>
      <c r="E78" s="239" t="s">
        <v>155</v>
      </c>
      <c r="F78" s="240" t="s">
        <v>155</v>
      </c>
      <c r="G78" s="241" t="s">
        <v>155</v>
      </c>
      <c r="H78" s="560"/>
      <c r="I78" s="5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8"/>
      <c r="BX78" s="60"/>
      <c r="BY78" s="60"/>
      <c r="BZ78" s="60"/>
      <c r="CA78" s="68"/>
      <c r="CB78" s="60"/>
      <c r="CC78" s="60"/>
      <c r="CD78" s="68"/>
      <c r="CE78" s="60"/>
      <c r="CF78" s="60"/>
      <c r="CG78" s="60"/>
      <c r="CH78" s="60"/>
      <c r="CI78" s="60"/>
      <c r="CJ78" s="60"/>
      <c r="CK78" s="60"/>
      <c r="CL78" s="60"/>
      <c r="CM78" s="60"/>
      <c r="CN78" s="60"/>
      <c r="CO78" s="60"/>
      <c r="CP78" s="60"/>
      <c r="CQ78" s="60"/>
      <c r="CR78" s="60"/>
      <c r="CS78" s="60"/>
      <c r="CT78" s="60"/>
      <c r="CU78" s="60"/>
    </row>
    <row r="79">
      <c r="A79" s="528"/>
      <c r="B79" s="241" t="s">
        <v>155</v>
      </c>
      <c r="C79" s="237" t="s">
        <v>155</v>
      </c>
      <c r="D79" s="238" t="s">
        <v>155</v>
      </c>
      <c r="E79" s="239" t="s">
        <v>155</v>
      </c>
      <c r="F79" s="240" t="s">
        <v>155</v>
      </c>
      <c r="G79" s="241" t="s">
        <v>155</v>
      </c>
      <c r="H79" s="560"/>
      <c r="I79" s="5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8"/>
      <c r="BX79" s="60"/>
      <c r="BY79" s="60"/>
      <c r="BZ79" s="60"/>
      <c r="CA79" s="68"/>
      <c r="CB79" s="60"/>
      <c r="CC79" s="60"/>
      <c r="CD79" s="68"/>
      <c r="CE79" s="60"/>
      <c r="CF79" s="60"/>
      <c r="CG79" s="60"/>
      <c r="CH79" s="60"/>
      <c r="CI79" s="60"/>
      <c r="CJ79" s="60"/>
      <c r="CK79" s="60"/>
      <c r="CL79" s="60"/>
      <c r="CM79" s="60"/>
      <c r="CN79" s="60"/>
      <c r="CO79" s="60"/>
      <c r="CP79" s="60"/>
      <c r="CQ79" s="60"/>
      <c r="CR79" s="60"/>
      <c r="CS79" s="60"/>
      <c r="CT79" s="60"/>
      <c r="CU79" s="60"/>
    </row>
    <row r="80">
      <c r="A80" s="528"/>
      <c r="B80" s="241" t="s">
        <v>155</v>
      </c>
      <c r="C80" s="237" t="s">
        <v>155</v>
      </c>
      <c r="D80" s="238" t="s">
        <v>155</v>
      </c>
      <c r="E80" s="239" t="s">
        <v>155</v>
      </c>
      <c r="F80" s="240" t="s">
        <v>155</v>
      </c>
      <c r="G80" s="241" t="s">
        <v>155</v>
      </c>
      <c r="H80" s="560"/>
      <c r="I80" s="5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8"/>
      <c r="BX80" s="60"/>
      <c r="BY80" s="60"/>
      <c r="BZ80" s="60"/>
      <c r="CA80" s="68"/>
      <c r="CB80" s="60"/>
      <c r="CC80" s="60"/>
      <c r="CD80" s="68"/>
      <c r="CE80" s="60"/>
      <c r="CF80" s="60"/>
      <c r="CG80" s="60"/>
      <c r="CH80" s="60"/>
      <c r="CI80" s="60"/>
      <c r="CJ80" s="60"/>
      <c r="CK80" s="60"/>
      <c r="CL80" s="60"/>
      <c r="CM80" s="60"/>
      <c r="CN80" s="60"/>
      <c r="CO80" s="60"/>
      <c r="CP80" s="60"/>
      <c r="CQ80" s="60"/>
      <c r="CR80" s="60"/>
      <c r="CS80" s="60"/>
      <c r="CT80" s="60"/>
      <c r="CU80" s="60"/>
    </row>
    <row r="81">
      <c r="A81" s="528"/>
      <c r="B81" s="241" t="s">
        <v>155</v>
      </c>
      <c r="C81" s="237" t="s">
        <v>155</v>
      </c>
      <c r="D81" s="238" t="s">
        <v>155</v>
      </c>
      <c r="E81" s="239" t="s">
        <v>155</v>
      </c>
      <c r="F81" s="240" t="s">
        <v>155</v>
      </c>
      <c r="G81" s="241" t="s">
        <v>155</v>
      </c>
      <c r="H81" s="560"/>
      <c r="I81" s="5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8"/>
      <c r="BX81" s="60"/>
      <c r="BY81" s="60"/>
      <c r="BZ81" s="60"/>
      <c r="CA81" s="68"/>
      <c r="CB81" s="60"/>
      <c r="CC81" s="60"/>
      <c r="CD81" s="68"/>
      <c r="CE81" s="60"/>
      <c r="CF81" s="60"/>
      <c r="CG81" s="60"/>
      <c r="CH81" s="60"/>
      <c r="CI81" s="60"/>
      <c r="CJ81" s="60"/>
      <c r="CK81" s="60"/>
      <c r="CL81" s="60"/>
      <c r="CM81" s="60"/>
      <c r="CN81" s="60"/>
      <c r="CO81" s="60"/>
      <c r="CP81" s="60"/>
      <c r="CQ81" s="60"/>
      <c r="CR81" s="60"/>
      <c r="CS81" s="60"/>
      <c r="CT81" s="60"/>
      <c r="CU81" s="60"/>
    </row>
    <row r="82">
      <c r="A82" s="528"/>
      <c r="B82" s="241" t="s">
        <v>155</v>
      </c>
      <c r="C82" s="237" t="s">
        <v>155</v>
      </c>
      <c r="D82" s="238" t="s">
        <v>155</v>
      </c>
      <c r="E82" s="239" t="s">
        <v>155</v>
      </c>
      <c r="F82" s="240" t="s">
        <v>155</v>
      </c>
      <c r="G82" s="241" t="s">
        <v>155</v>
      </c>
      <c r="H82" s="560"/>
      <c r="I82" s="5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8"/>
      <c r="BX82" s="60"/>
      <c r="BY82" s="60"/>
      <c r="BZ82" s="60"/>
      <c r="CA82" s="68"/>
      <c r="CB82" s="60"/>
      <c r="CC82" s="60"/>
      <c r="CD82" s="68"/>
      <c r="CE82" s="60"/>
      <c r="CF82" s="60"/>
      <c r="CG82" s="60"/>
      <c r="CH82" s="60"/>
      <c r="CI82" s="60"/>
      <c r="CJ82" s="60"/>
      <c r="CK82" s="60"/>
      <c r="CL82" s="60"/>
      <c r="CM82" s="60"/>
      <c r="CN82" s="60"/>
      <c r="CO82" s="60"/>
      <c r="CP82" s="60"/>
      <c r="CQ82" s="60"/>
      <c r="CR82" s="60"/>
      <c r="CS82" s="60"/>
      <c r="CT82" s="60"/>
      <c r="CU82" s="60"/>
    </row>
    <row r="83">
      <c r="A83" s="528"/>
      <c r="B83" s="241" t="s">
        <v>155</v>
      </c>
      <c r="C83" s="237" t="s">
        <v>155</v>
      </c>
      <c r="D83" s="238" t="s">
        <v>155</v>
      </c>
      <c r="E83" s="239" t="s">
        <v>155</v>
      </c>
      <c r="F83" s="240" t="s">
        <v>155</v>
      </c>
      <c r="G83" s="241" t="s">
        <v>155</v>
      </c>
      <c r="H83" s="560"/>
      <c r="I83" s="5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8"/>
      <c r="BX83" s="60"/>
      <c r="BY83" s="60"/>
      <c r="BZ83" s="60"/>
      <c r="CA83" s="68"/>
      <c r="CB83" s="60"/>
      <c r="CC83" s="60"/>
      <c r="CD83" s="68"/>
      <c r="CE83" s="60"/>
      <c r="CF83" s="60"/>
      <c r="CG83" s="60"/>
      <c r="CH83" s="60"/>
      <c r="CI83" s="60"/>
      <c r="CJ83" s="60"/>
      <c r="CK83" s="60"/>
      <c r="CL83" s="60"/>
      <c r="CM83" s="60"/>
      <c r="CN83" s="60"/>
      <c r="CO83" s="60"/>
      <c r="CP83" s="60"/>
      <c r="CQ83" s="60"/>
      <c r="CR83" s="60"/>
      <c r="CS83" s="60"/>
      <c r="CT83" s="60"/>
      <c r="CU83" s="60"/>
    </row>
    <row r="84">
      <c r="A84" s="528"/>
      <c r="B84" s="241" t="s">
        <v>155</v>
      </c>
      <c r="C84" s="237" t="s">
        <v>155</v>
      </c>
      <c r="D84" s="238" t="s">
        <v>155</v>
      </c>
      <c r="E84" s="239" t="s">
        <v>155</v>
      </c>
      <c r="F84" s="240" t="s">
        <v>155</v>
      </c>
      <c r="G84" s="241" t="s">
        <v>155</v>
      </c>
      <c r="H84" s="560"/>
      <c r="I84" s="5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8"/>
      <c r="BX84" s="60"/>
      <c r="BY84" s="60"/>
      <c r="BZ84" s="60"/>
      <c r="CA84" s="68"/>
      <c r="CB84" s="60"/>
      <c r="CC84" s="60"/>
      <c r="CD84" s="68"/>
      <c r="CE84" s="60"/>
      <c r="CF84" s="60"/>
      <c r="CG84" s="60"/>
      <c r="CH84" s="60"/>
      <c r="CI84" s="60"/>
      <c r="CJ84" s="60"/>
      <c r="CK84" s="60"/>
      <c r="CL84" s="60"/>
      <c r="CM84" s="60"/>
      <c r="CN84" s="60"/>
      <c r="CO84" s="60"/>
      <c r="CP84" s="60"/>
      <c r="CQ84" s="60"/>
      <c r="CR84" s="60"/>
      <c r="CS84" s="60"/>
      <c r="CT84" s="60"/>
      <c r="CU84" s="60"/>
    </row>
    <row r="85">
      <c r="A85" s="528"/>
      <c r="B85" s="241" t="s">
        <v>155</v>
      </c>
      <c r="C85" s="237" t="s">
        <v>155</v>
      </c>
      <c r="D85" s="238" t="s">
        <v>155</v>
      </c>
      <c r="E85" s="239" t="s">
        <v>155</v>
      </c>
      <c r="F85" s="240" t="s">
        <v>155</v>
      </c>
      <c r="G85" s="241" t="s">
        <v>155</v>
      </c>
      <c r="H85" s="560"/>
      <c r="I85" s="5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8"/>
      <c r="BX85" s="60"/>
      <c r="BY85" s="60"/>
      <c r="BZ85" s="60"/>
      <c r="CA85" s="68"/>
      <c r="CB85" s="60"/>
      <c r="CC85" s="60"/>
      <c r="CD85" s="68"/>
      <c r="CE85" s="60"/>
      <c r="CF85" s="60"/>
      <c r="CG85" s="60"/>
      <c r="CH85" s="60"/>
      <c r="CI85" s="60"/>
      <c r="CJ85" s="60"/>
      <c r="CK85" s="60"/>
      <c r="CL85" s="60"/>
      <c r="CM85" s="60"/>
      <c r="CN85" s="60"/>
      <c r="CO85" s="60"/>
      <c r="CP85" s="60"/>
      <c r="CQ85" s="60"/>
      <c r="CR85" s="60"/>
      <c r="CS85" s="60"/>
      <c r="CT85" s="60"/>
      <c r="CU85" s="60"/>
    </row>
    <row r="86">
      <c r="A86" s="528"/>
      <c r="B86" s="241" t="s">
        <v>155</v>
      </c>
      <c r="C86" s="237" t="s">
        <v>155</v>
      </c>
      <c r="D86" s="238" t="s">
        <v>155</v>
      </c>
      <c r="E86" s="239" t="s">
        <v>155</v>
      </c>
      <c r="F86" s="240" t="s">
        <v>155</v>
      </c>
      <c r="G86" s="241" t="s">
        <v>155</v>
      </c>
      <c r="H86" s="560"/>
      <c r="I86" s="5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8"/>
      <c r="BX86" s="60"/>
      <c r="BY86" s="60"/>
      <c r="BZ86" s="60"/>
      <c r="CA86" s="68"/>
      <c r="CB86" s="60"/>
      <c r="CC86" s="60"/>
      <c r="CD86" s="68"/>
      <c r="CE86" s="60"/>
      <c r="CF86" s="60"/>
      <c r="CG86" s="60"/>
      <c r="CH86" s="60"/>
      <c r="CI86" s="60"/>
      <c r="CJ86" s="60"/>
      <c r="CK86" s="60"/>
      <c r="CL86" s="60"/>
      <c r="CM86" s="60"/>
      <c r="CN86" s="60"/>
      <c r="CO86" s="60"/>
      <c r="CP86" s="60"/>
      <c r="CQ86" s="60"/>
      <c r="CR86" s="60"/>
      <c r="CS86" s="60"/>
      <c r="CT86" s="60"/>
      <c r="CU86" s="60"/>
    </row>
    <row r="87">
      <c r="A87" s="528"/>
      <c r="B87" s="241" t="s">
        <v>155</v>
      </c>
      <c r="C87" s="237" t="s">
        <v>155</v>
      </c>
      <c r="D87" s="238" t="s">
        <v>155</v>
      </c>
      <c r="E87" s="239" t="s">
        <v>155</v>
      </c>
      <c r="F87" s="240" t="s">
        <v>155</v>
      </c>
      <c r="G87" s="241" t="s">
        <v>155</v>
      </c>
      <c r="H87" s="560"/>
      <c r="I87" s="5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8"/>
      <c r="BX87" s="60"/>
      <c r="BY87" s="60"/>
      <c r="BZ87" s="60"/>
      <c r="CA87" s="68"/>
      <c r="CB87" s="60"/>
      <c r="CC87" s="60"/>
      <c r="CD87" s="68"/>
      <c r="CE87" s="60"/>
      <c r="CF87" s="60"/>
      <c r="CG87" s="60"/>
      <c r="CH87" s="60"/>
      <c r="CI87" s="60"/>
      <c r="CJ87" s="60"/>
      <c r="CK87" s="60"/>
      <c r="CL87" s="60"/>
      <c r="CM87" s="60"/>
      <c r="CN87" s="60"/>
      <c r="CO87" s="60"/>
      <c r="CP87" s="60"/>
      <c r="CQ87" s="60"/>
      <c r="CR87" s="60"/>
      <c r="CS87" s="60"/>
      <c r="CT87" s="60"/>
      <c r="CU87" s="60"/>
    </row>
    <row r="88">
      <c r="A88" s="528"/>
      <c r="B88" s="241" t="s">
        <v>155</v>
      </c>
      <c r="C88" s="237" t="s">
        <v>155</v>
      </c>
      <c r="D88" s="238" t="s">
        <v>155</v>
      </c>
      <c r="E88" s="239" t="s">
        <v>155</v>
      </c>
      <c r="F88" s="240" t="s">
        <v>155</v>
      </c>
      <c r="G88" s="241" t="s">
        <v>155</v>
      </c>
      <c r="H88" s="560"/>
      <c r="I88" s="5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8"/>
      <c r="BX88" s="60"/>
      <c r="BY88" s="60"/>
      <c r="BZ88" s="60"/>
      <c r="CA88" s="68"/>
      <c r="CB88" s="60"/>
      <c r="CC88" s="60"/>
      <c r="CD88" s="68"/>
      <c r="CE88" s="60"/>
      <c r="CF88" s="60"/>
      <c r="CG88" s="60"/>
      <c r="CH88" s="60"/>
      <c r="CI88" s="60"/>
      <c r="CJ88" s="60"/>
      <c r="CK88" s="60"/>
      <c r="CL88" s="60"/>
      <c r="CM88" s="60"/>
      <c r="CN88" s="60"/>
      <c r="CO88" s="60"/>
      <c r="CP88" s="60"/>
      <c r="CQ88" s="60"/>
      <c r="CR88" s="60"/>
      <c r="CS88" s="60"/>
      <c r="CT88" s="60"/>
      <c r="CU88" s="60"/>
    </row>
    <row r="89">
      <c r="A89" s="528"/>
      <c r="B89" s="241" t="s">
        <v>155</v>
      </c>
      <c r="C89" s="237" t="s">
        <v>155</v>
      </c>
      <c r="D89" s="238" t="s">
        <v>155</v>
      </c>
      <c r="E89" s="239" t="s">
        <v>155</v>
      </c>
      <c r="F89" s="240" t="s">
        <v>155</v>
      </c>
      <c r="G89" s="241" t="s">
        <v>155</v>
      </c>
      <c r="H89" s="560"/>
      <c r="I89" s="5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8"/>
      <c r="BX89" s="60"/>
      <c r="BY89" s="60"/>
      <c r="BZ89" s="60"/>
      <c r="CA89" s="68"/>
      <c r="CB89" s="60"/>
      <c r="CC89" s="60"/>
      <c r="CD89" s="68"/>
      <c r="CE89" s="60"/>
      <c r="CF89" s="60"/>
      <c r="CG89" s="60"/>
      <c r="CH89" s="60"/>
      <c r="CI89" s="60"/>
      <c r="CJ89" s="60"/>
      <c r="CK89" s="60"/>
      <c r="CL89" s="60"/>
      <c r="CM89" s="60"/>
      <c r="CN89" s="60"/>
      <c r="CO89" s="60"/>
      <c r="CP89" s="60"/>
      <c r="CQ89" s="60"/>
      <c r="CR89" s="60"/>
      <c r="CS89" s="60"/>
      <c r="CT89" s="60"/>
      <c r="CU89" s="60"/>
    </row>
    <row r="90">
      <c r="A90" s="528"/>
      <c r="B90" s="241" t="s">
        <v>155</v>
      </c>
      <c r="C90" s="237" t="s">
        <v>155</v>
      </c>
      <c r="D90" s="238" t="s">
        <v>155</v>
      </c>
      <c r="E90" s="239" t="s">
        <v>155</v>
      </c>
      <c r="F90" s="240" t="s">
        <v>155</v>
      </c>
      <c r="G90" s="241" t="s">
        <v>155</v>
      </c>
      <c r="H90" s="560"/>
      <c r="I90" s="5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8"/>
      <c r="BX90" s="60"/>
      <c r="BY90" s="60"/>
      <c r="BZ90" s="60"/>
      <c r="CA90" s="68"/>
      <c r="CB90" s="60"/>
      <c r="CC90" s="60"/>
      <c r="CD90" s="68"/>
      <c r="CE90" s="60"/>
      <c r="CF90" s="60"/>
      <c r="CG90" s="60"/>
      <c r="CH90" s="60"/>
      <c r="CI90" s="60"/>
      <c r="CJ90" s="60"/>
      <c r="CK90" s="60"/>
      <c r="CL90" s="60"/>
      <c r="CM90" s="60"/>
      <c r="CN90" s="60"/>
      <c r="CO90" s="60"/>
      <c r="CP90" s="60"/>
      <c r="CQ90" s="60"/>
      <c r="CR90" s="60"/>
      <c r="CS90" s="60"/>
      <c r="CT90" s="60"/>
      <c r="CU90" s="60"/>
    </row>
    <row r="91">
      <c r="A91" s="528"/>
      <c r="B91" s="241" t="s">
        <v>155</v>
      </c>
      <c r="C91" s="237" t="s">
        <v>155</v>
      </c>
      <c r="D91" s="238" t="s">
        <v>155</v>
      </c>
      <c r="E91" s="239" t="s">
        <v>155</v>
      </c>
      <c r="F91" s="240" t="s">
        <v>155</v>
      </c>
      <c r="G91" s="241" t="s">
        <v>155</v>
      </c>
      <c r="H91" s="560"/>
      <c r="I91" s="5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8"/>
      <c r="BX91" s="60"/>
      <c r="BY91" s="60"/>
      <c r="BZ91" s="60"/>
      <c r="CA91" s="68"/>
      <c r="CB91" s="60"/>
      <c r="CC91" s="60"/>
      <c r="CD91" s="68"/>
      <c r="CE91" s="60"/>
      <c r="CF91" s="60"/>
      <c r="CG91" s="60"/>
      <c r="CH91" s="60"/>
      <c r="CI91" s="60"/>
      <c r="CJ91" s="60"/>
      <c r="CK91" s="60"/>
      <c r="CL91" s="60"/>
      <c r="CM91" s="60"/>
      <c r="CN91" s="60"/>
      <c r="CO91" s="60"/>
      <c r="CP91" s="60"/>
      <c r="CQ91" s="60"/>
      <c r="CR91" s="60"/>
      <c r="CS91" s="60"/>
      <c r="CT91" s="60"/>
      <c r="CU91" s="60"/>
    </row>
    <row r="92">
      <c r="A92" s="528"/>
      <c r="B92" s="241" t="s">
        <v>155</v>
      </c>
      <c r="C92" s="237" t="s">
        <v>155</v>
      </c>
      <c r="D92" s="238" t="s">
        <v>155</v>
      </c>
      <c r="E92" s="239" t="s">
        <v>155</v>
      </c>
      <c r="F92" s="240" t="s">
        <v>155</v>
      </c>
      <c r="G92" s="241" t="s">
        <v>155</v>
      </c>
      <c r="H92" s="560"/>
      <c r="I92" s="5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8"/>
      <c r="BX92" s="60"/>
      <c r="BY92" s="60"/>
      <c r="BZ92" s="60"/>
      <c r="CA92" s="68"/>
      <c r="CB92" s="60"/>
      <c r="CC92" s="60"/>
      <c r="CD92" s="68"/>
      <c r="CE92" s="60"/>
      <c r="CF92" s="60"/>
      <c r="CG92" s="60"/>
      <c r="CH92" s="60"/>
      <c r="CI92" s="60"/>
      <c r="CJ92" s="60"/>
      <c r="CK92" s="60"/>
      <c r="CL92" s="60"/>
      <c r="CM92" s="60"/>
      <c r="CN92" s="60"/>
      <c r="CO92" s="60"/>
      <c r="CP92" s="60"/>
      <c r="CQ92" s="60"/>
      <c r="CR92" s="60"/>
      <c r="CS92" s="60"/>
      <c r="CT92" s="60"/>
      <c r="CU92" s="60"/>
    </row>
    <row r="93">
      <c r="A93" s="528"/>
      <c r="B93" s="241" t="s">
        <v>155</v>
      </c>
      <c r="C93" s="237" t="s">
        <v>155</v>
      </c>
      <c r="D93" s="238" t="s">
        <v>155</v>
      </c>
      <c r="E93" s="239" t="s">
        <v>155</v>
      </c>
      <c r="F93" s="240" t="s">
        <v>155</v>
      </c>
      <c r="G93" s="241" t="s">
        <v>155</v>
      </c>
      <c r="H93" s="560"/>
      <c r="I93" s="5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8"/>
      <c r="BX93" s="60"/>
      <c r="BY93" s="60"/>
      <c r="BZ93" s="60"/>
      <c r="CA93" s="68"/>
      <c r="CB93" s="60"/>
      <c r="CC93" s="60"/>
      <c r="CD93" s="68"/>
      <c r="CE93" s="60"/>
      <c r="CF93" s="60"/>
      <c r="CG93" s="60"/>
      <c r="CH93" s="60"/>
      <c r="CI93" s="60"/>
      <c r="CJ93" s="60"/>
      <c r="CK93" s="60"/>
      <c r="CL93" s="60"/>
      <c r="CM93" s="60"/>
      <c r="CN93" s="60"/>
      <c r="CO93" s="60"/>
      <c r="CP93" s="60"/>
      <c r="CQ93" s="60"/>
      <c r="CR93" s="60"/>
      <c r="CS93" s="60"/>
      <c r="CT93" s="60"/>
      <c r="CU93" s="60"/>
    </row>
    <row r="94">
      <c r="A94" s="528"/>
      <c r="B94" s="241" t="s">
        <v>155</v>
      </c>
      <c r="C94" s="237" t="s">
        <v>155</v>
      </c>
      <c r="D94" s="238" t="s">
        <v>155</v>
      </c>
      <c r="E94" s="239" t="s">
        <v>155</v>
      </c>
      <c r="F94" s="240" t="s">
        <v>155</v>
      </c>
      <c r="G94" s="241" t="s">
        <v>155</v>
      </c>
      <c r="H94" s="560"/>
      <c r="I94" s="5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8"/>
      <c r="BX94" s="60"/>
      <c r="BY94" s="60"/>
      <c r="BZ94" s="60"/>
      <c r="CA94" s="68"/>
      <c r="CB94" s="60"/>
      <c r="CC94" s="60"/>
      <c r="CD94" s="68"/>
      <c r="CE94" s="60"/>
      <c r="CF94" s="60"/>
      <c r="CG94" s="60"/>
      <c r="CH94" s="60"/>
      <c r="CI94" s="60"/>
      <c r="CJ94" s="60"/>
      <c r="CK94" s="60"/>
      <c r="CL94" s="60"/>
      <c r="CM94" s="60"/>
      <c r="CN94" s="60"/>
      <c r="CO94" s="60"/>
      <c r="CP94" s="60"/>
      <c r="CQ94" s="60"/>
      <c r="CR94" s="60"/>
      <c r="CS94" s="60"/>
      <c r="CT94" s="60"/>
      <c r="CU94" s="60"/>
    </row>
    <row r="95">
      <c r="A95" s="528"/>
      <c r="B95" s="241" t="s">
        <v>155</v>
      </c>
      <c r="C95" s="237" t="s">
        <v>155</v>
      </c>
      <c r="D95" s="238" t="s">
        <v>155</v>
      </c>
      <c r="E95" s="239" t="s">
        <v>155</v>
      </c>
      <c r="F95" s="240" t="s">
        <v>155</v>
      </c>
      <c r="G95" s="241" t="s">
        <v>155</v>
      </c>
      <c r="H95" s="560"/>
      <c r="I95" s="5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8"/>
      <c r="BX95" s="60"/>
      <c r="BY95" s="60"/>
      <c r="BZ95" s="60"/>
      <c r="CA95" s="68"/>
      <c r="CB95" s="60"/>
      <c r="CC95" s="60"/>
      <c r="CD95" s="68"/>
      <c r="CE95" s="60"/>
      <c r="CF95" s="60"/>
      <c r="CG95" s="60"/>
      <c r="CH95" s="60"/>
      <c r="CI95" s="60"/>
      <c r="CJ95" s="60"/>
      <c r="CK95" s="60"/>
      <c r="CL95" s="60"/>
      <c r="CM95" s="60"/>
      <c r="CN95" s="60"/>
      <c r="CO95" s="60"/>
      <c r="CP95" s="60"/>
      <c r="CQ95" s="60"/>
      <c r="CR95" s="60"/>
      <c r="CS95" s="60"/>
      <c r="CT95" s="60"/>
      <c r="CU95" s="60"/>
    </row>
    <row r="96">
      <c r="A96" s="528"/>
      <c r="B96" s="241" t="s">
        <v>155</v>
      </c>
      <c r="C96" s="237" t="s">
        <v>155</v>
      </c>
      <c r="D96" s="238" t="s">
        <v>155</v>
      </c>
      <c r="E96" s="239" t="s">
        <v>155</v>
      </c>
      <c r="F96" s="240" t="s">
        <v>155</v>
      </c>
      <c r="G96" s="241" t="s">
        <v>155</v>
      </c>
      <c r="H96" s="560"/>
      <c r="I96" s="5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8"/>
      <c r="BX96" s="60"/>
      <c r="BY96" s="60"/>
      <c r="BZ96" s="60"/>
      <c r="CA96" s="68"/>
      <c r="CB96" s="60"/>
      <c r="CC96" s="60"/>
      <c r="CD96" s="68"/>
      <c r="CE96" s="60"/>
      <c r="CF96" s="60"/>
      <c r="CG96" s="60"/>
      <c r="CH96" s="60"/>
      <c r="CI96" s="60"/>
      <c r="CJ96" s="60"/>
      <c r="CK96" s="60"/>
      <c r="CL96" s="60"/>
      <c r="CM96" s="60"/>
      <c r="CN96" s="60"/>
      <c r="CO96" s="60"/>
      <c r="CP96" s="60"/>
      <c r="CQ96" s="60"/>
      <c r="CR96" s="60"/>
      <c r="CS96" s="60"/>
      <c r="CT96" s="60"/>
      <c r="CU96" s="60"/>
    </row>
    <row r="97">
      <c r="A97" s="528"/>
      <c r="B97" s="241" t="s">
        <v>155</v>
      </c>
      <c r="C97" s="237" t="s">
        <v>155</v>
      </c>
      <c r="D97" s="238" t="s">
        <v>155</v>
      </c>
      <c r="E97" s="239" t="s">
        <v>155</v>
      </c>
      <c r="F97" s="240" t="s">
        <v>155</v>
      </c>
      <c r="G97" s="241" t="s">
        <v>155</v>
      </c>
      <c r="H97" s="560"/>
      <c r="I97" s="5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8"/>
      <c r="BX97" s="60"/>
      <c r="BY97" s="60"/>
      <c r="BZ97" s="60"/>
      <c r="CA97" s="68"/>
      <c r="CB97" s="60"/>
      <c r="CC97" s="60"/>
      <c r="CD97" s="68"/>
      <c r="CE97" s="60"/>
      <c r="CF97" s="60"/>
      <c r="CG97" s="60"/>
      <c r="CH97" s="60"/>
      <c r="CI97" s="60"/>
      <c r="CJ97" s="60"/>
      <c r="CK97" s="60"/>
      <c r="CL97" s="60"/>
      <c r="CM97" s="60"/>
      <c r="CN97" s="60"/>
      <c r="CO97" s="60"/>
      <c r="CP97" s="60"/>
      <c r="CQ97" s="60"/>
      <c r="CR97" s="60"/>
      <c r="CS97" s="60"/>
      <c r="CT97" s="60"/>
      <c r="CU97" s="60"/>
    </row>
    <row r="98">
      <c r="A98" s="528"/>
      <c r="B98" s="241" t="s">
        <v>155</v>
      </c>
      <c r="C98" s="237" t="s">
        <v>155</v>
      </c>
      <c r="D98" s="238" t="s">
        <v>155</v>
      </c>
      <c r="E98" s="239" t="s">
        <v>155</v>
      </c>
      <c r="F98" s="240" t="s">
        <v>155</v>
      </c>
      <c r="G98" s="241" t="s">
        <v>155</v>
      </c>
      <c r="H98" s="560"/>
      <c r="I98" s="5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8"/>
      <c r="BX98" s="60"/>
      <c r="BY98" s="60"/>
      <c r="BZ98" s="60"/>
      <c r="CA98" s="68"/>
      <c r="CB98" s="60"/>
      <c r="CC98" s="60"/>
      <c r="CD98" s="68"/>
      <c r="CE98" s="60"/>
      <c r="CF98" s="60"/>
      <c r="CG98" s="60"/>
      <c r="CH98" s="60"/>
      <c r="CI98" s="60"/>
      <c r="CJ98" s="60"/>
      <c r="CK98" s="60"/>
      <c r="CL98" s="60"/>
      <c r="CM98" s="60"/>
      <c r="CN98" s="60"/>
      <c r="CO98" s="60"/>
      <c r="CP98" s="60"/>
      <c r="CQ98" s="60"/>
      <c r="CR98" s="60"/>
      <c r="CS98" s="60"/>
      <c r="CT98" s="60"/>
      <c r="CU98" s="60"/>
    </row>
    <row r="99">
      <c r="A99" s="528"/>
      <c r="B99" s="241" t="s">
        <v>155</v>
      </c>
      <c r="C99" s="237" t="s">
        <v>155</v>
      </c>
      <c r="D99" s="238" t="s">
        <v>155</v>
      </c>
      <c r="E99" s="239" t="s">
        <v>155</v>
      </c>
      <c r="F99" s="240" t="s">
        <v>155</v>
      </c>
      <c r="G99" s="241" t="s">
        <v>155</v>
      </c>
      <c r="H99" s="560"/>
      <c r="I99" s="5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8"/>
      <c r="BX99" s="60"/>
      <c r="BY99" s="60"/>
      <c r="BZ99" s="60"/>
      <c r="CA99" s="68"/>
      <c r="CB99" s="60"/>
      <c r="CC99" s="60"/>
      <c r="CD99" s="68"/>
      <c r="CE99" s="60"/>
      <c r="CF99" s="60"/>
      <c r="CG99" s="60"/>
      <c r="CH99" s="60"/>
      <c r="CI99" s="60"/>
      <c r="CJ99" s="60"/>
      <c r="CK99" s="60"/>
      <c r="CL99" s="60"/>
      <c r="CM99" s="60"/>
      <c r="CN99" s="60"/>
      <c r="CO99" s="60"/>
      <c r="CP99" s="60"/>
      <c r="CQ99" s="60"/>
      <c r="CR99" s="60"/>
      <c r="CS99" s="60"/>
      <c r="CT99" s="60"/>
      <c r="CU99" s="60"/>
    </row>
    <row r="100">
      <c r="A100" s="528"/>
      <c r="B100" s="241" t="s">
        <v>155</v>
      </c>
      <c r="C100" s="237" t="s">
        <v>155</v>
      </c>
      <c r="D100" s="238" t="s">
        <v>155</v>
      </c>
      <c r="E100" s="239" t="s">
        <v>155</v>
      </c>
      <c r="F100" s="240" t="s">
        <v>155</v>
      </c>
      <c r="G100" s="241" t="s">
        <v>155</v>
      </c>
      <c r="H100" s="560"/>
      <c r="I100" s="5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8"/>
      <c r="BX100" s="60"/>
      <c r="BY100" s="60"/>
      <c r="BZ100" s="60"/>
      <c r="CA100" s="68"/>
      <c r="CB100" s="60"/>
      <c r="CC100" s="60"/>
      <c r="CD100" s="68"/>
      <c r="CE100" s="60"/>
      <c r="CF100" s="60"/>
      <c r="CG100" s="60"/>
      <c r="CH100" s="60"/>
      <c r="CI100" s="60"/>
      <c r="CJ100" s="60"/>
      <c r="CK100" s="60"/>
      <c r="CL100" s="60"/>
      <c r="CM100" s="60"/>
      <c r="CN100" s="60"/>
      <c r="CO100" s="60"/>
      <c r="CP100" s="60"/>
      <c r="CQ100" s="60"/>
      <c r="CR100" s="60"/>
      <c r="CS100" s="60"/>
      <c r="CT100" s="60"/>
      <c r="CU100" s="60"/>
    </row>
    <row r="101">
      <c r="A101" s="528"/>
      <c r="B101" s="241" t="s">
        <v>155</v>
      </c>
      <c r="C101" s="237" t="s">
        <v>155</v>
      </c>
      <c r="D101" s="238" t="s">
        <v>155</v>
      </c>
      <c r="E101" s="239" t="s">
        <v>155</v>
      </c>
      <c r="F101" s="240" t="s">
        <v>155</v>
      </c>
      <c r="G101" s="241" t="s">
        <v>155</v>
      </c>
      <c r="H101" s="560"/>
      <c r="I101" s="5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8"/>
      <c r="BX101" s="60"/>
      <c r="BY101" s="60"/>
      <c r="BZ101" s="60"/>
      <c r="CA101" s="68"/>
      <c r="CB101" s="60"/>
      <c r="CC101" s="60"/>
      <c r="CD101" s="68"/>
      <c r="CE101" s="60"/>
      <c r="CF101" s="60"/>
      <c r="CG101" s="60"/>
      <c r="CH101" s="60"/>
      <c r="CI101" s="60"/>
      <c r="CJ101" s="60"/>
      <c r="CK101" s="60"/>
      <c r="CL101" s="60"/>
      <c r="CM101" s="60"/>
      <c r="CN101" s="60"/>
      <c r="CO101" s="60"/>
      <c r="CP101" s="60"/>
      <c r="CQ101" s="60"/>
      <c r="CR101" s="60"/>
      <c r="CS101" s="60"/>
      <c r="CT101" s="60"/>
      <c r="CU101" s="60"/>
    </row>
    <row r="102">
      <c r="A102" s="528"/>
      <c r="B102" s="241" t="s">
        <v>155</v>
      </c>
      <c r="C102" s="237" t="s">
        <v>155</v>
      </c>
      <c r="D102" s="238" t="s">
        <v>155</v>
      </c>
      <c r="E102" s="239" t="s">
        <v>155</v>
      </c>
      <c r="F102" s="240" t="s">
        <v>155</v>
      </c>
      <c r="G102" s="241" t="s">
        <v>155</v>
      </c>
      <c r="H102" s="560"/>
      <c r="I102" s="5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8"/>
      <c r="BX102" s="60"/>
      <c r="BY102" s="60"/>
      <c r="BZ102" s="60"/>
      <c r="CA102" s="68"/>
      <c r="CB102" s="60"/>
      <c r="CC102" s="60"/>
      <c r="CD102" s="68"/>
      <c r="CE102" s="60"/>
      <c r="CF102" s="60"/>
      <c r="CG102" s="60"/>
      <c r="CH102" s="60"/>
      <c r="CI102" s="60"/>
      <c r="CJ102" s="60"/>
      <c r="CK102" s="60"/>
      <c r="CL102" s="60"/>
      <c r="CM102" s="60"/>
      <c r="CN102" s="60"/>
      <c r="CO102" s="60"/>
      <c r="CP102" s="60"/>
      <c r="CQ102" s="60"/>
      <c r="CR102" s="60"/>
      <c r="CS102" s="60"/>
      <c r="CT102" s="60"/>
      <c r="CU102" s="60"/>
    </row>
    <row r="103">
      <c r="A103" s="528"/>
      <c r="B103" s="241" t="s">
        <v>155</v>
      </c>
      <c r="C103" s="237" t="s">
        <v>155</v>
      </c>
      <c r="D103" s="238" t="s">
        <v>155</v>
      </c>
      <c r="E103" s="239" t="s">
        <v>155</v>
      </c>
      <c r="F103" s="240" t="s">
        <v>155</v>
      </c>
      <c r="G103" s="241" t="s">
        <v>155</v>
      </c>
      <c r="H103" s="560"/>
      <c r="I103" s="5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8"/>
      <c r="BX103" s="60"/>
      <c r="BY103" s="60"/>
      <c r="BZ103" s="60"/>
      <c r="CA103" s="68"/>
      <c r="CB103" s="60"/>
      <c r="CC103" s="60"/>
      <c r="CD103" s="68"/>
      <c r="CE103" s="60"/>
      <c r="CF103" s="60"/>
      <c r="CG103" s="60"/>
      <c r="CH103" s="60"/>
      <c r="CI103" s="60"/>
      <c r="CJ103" s="60"/>
      <c r="CK103" s="60"/>
      <c r="CL103" s="60"/>
      <c r="CM103" s="60"/>
      <c r="CN103" s="60"/>
      <c r="CO103" s="60"/>
      <c r="CP103" s="60"/>
      <c r="CQ103" s="60"/>
      <c r="CR103" s="60"/>
      <c r="CS103" s="60"/>
      <c r="CT103" s="60"/>
      <c r="CU103" s="60"/>
    </row>
    <row r="104">
      <c r="A104" s="528"/>
      <c r="B104" s="241" t="s">
        <v>155</v>
      </c>
      <c r="C104" s="237" t="s">
        <v>155</v>
      </c>
      <c r="D104" s="238" t="s">
        <v>155</v>
      </c>
      <c r="E104" s="239" t="s">
        <v>155</v>
      </c>
      <c r="F104" s="240" t="s">
        <v>155</v>
      </c>
      <c r="G104" s="241" t="s">
        <v>155</v>
      </c>
      <c r="H104" s="560"/>
      <c r="I104" s="5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8"/>
      <c r="BX104" s="60"/>
      <c r="BY104" s="60"/>
      <c r="BZ104" s="60"/>
      <c r="CA104" s="68"/>
      <c r="CB104" s="60"/>
      <c r="CC104" s="60"/>
      <c r="CD104" s="68"/>
      <c r="CE104" s="60"/>
      <c r="CF104" s="60"/>
      <c r="CG104" s="60"/>
      <c r="CH104" s="60"/>
      <c r="CI104" s="60"/>
      <c r="CJ104" s="60"/>
      <c r="CK104" s="60"/>
      <c r="CL104" s="60"/>
      <c r="CM104" s="60"/>
      <c r="CN104" s="60"/>
      <c r="CO104" s="60"/>
      <c r="CP104" s="60"/>
      <c r="CQ104" s="60"/>
      <c r="CR104" s="60"/>
      <c r="CS104" s="60"/>
      <c r="CT104" s="60"/>
      <c r="CU104" s="60"/>
    </row>
    <row r="105">
      <c r="A105" s="528"/>
      <c r="B105" s="241" t="s">
        <v>155</v>
      </c>
      <c r="C105" s="237" t="s">
        <v>155</v>
      </c>
      <c r="D105" s="238" t="s">
        <v>155</v>
      </c>
      <c r="E105" s="239" t="s">
        <v>155</v>
      </c>
      <c r="F105" s="240" t="s">
        <v>155</v>
      </c>
      <c r="G105" s="241" t="s">
        <v>155</v>
      </c>
      <c r="H105" s="560"/>
      <c r="I105" s="5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8"/>
      <c r="BX105" s="60"/>
      <c r="BY105" s="60"/>
      <c r="BZ105" s="60"/>
      <c r="CA105" s="68"/>
      <c r="CB105" s="60"/>
      <c r="CC105" s="60"/>
      <c r="CD105" s="68"/>
      <c r="CE105" s="60"/>
      <c r="CF105" s="60"/>
      <c r="CG105" s="60"/>
      <c r="CH105" s="60"/>
      <c r="CI105" s="60"/>
      <c r="CJ105" s="60"/>
      <c r="CK105" s="60"/>
      <c r="CL105" s="60"/>
      <c r="CM105" s="60"/>
      <c r="CN105" s="60"/>
      <c r="CO105" s="60"/>
      <c r="CP105" s="60"/>
      <c r="CQ105" s="60"/>
      <c r="CR105" s="60"/>
      <c r="CS105" s="60"/>
      <c r="CT105" s="60"/>
      <c r="CU105" s="60"/>
    </row>
    <row r="106">
      <c r="A106" s="528"/>
      <c r="B106" s="241" t="s">
        <v>155</v>
      </c>
      <c r="C106" s="237" t="s">
        <v>155</v>
      </c>
      <c r="D106" s="238" t="s">
        <v>155</v>
      </c>
      <c r="E106" s="239" t="s">
        <v>155</v>
      </c>
      <c r="F106" s="240" t="s">
        <v>155</v>
      </c>
      <c r="G106" s="241" t="s">
        <v>155</v>
      </c>
      <c r="H106" s="560"/>
      <c r="I106" s="5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8"/>
      <c r="BX106" s="60"/>
      <c r="BY106" s="60"/>
      <c r="BZ106" s="60"/>
      <c r="CA106" s="68"/>
      <c r="CB106" s="60"/>
      <c r="CC106" s="60"/>
      <c r="CD106" s="68"/>
      <c r="CE106" s="60"/>
      <c r="CF106" s="60"/>
      <c r="CG106" s="60"/>
      <c r="CH106" s="60"/>
      <c r="CI106" s="60"/>
      <c r="CJ106" s="60"/>
      <c r="CK106" s="60"/>
      <c r="CL106" s="60"/>
      <c r="CM106" s="60"/>
      <c r="CN106" s="60"/>
      <c r="CO106" s="60"/>
      <c r="CP106" s="60"/>
      <c r="CQ106" s="60"/>
      <c r="CR106" s="60"/>
      <c r="CS106" s="60"/>
      <c r="CT106" s="60"/>
      <c r="CU106" s="60"/>
    </row>
    <row r="107">
      <c r="A107" s="528"/>
      <c r="B107" s="241" t="s">
        <v>155</v>
      </c>
      <c r="C107" s="237" t="s">
        <v>155</v>
      </c>
      <c r="D107" s="238" t="s">
        <v>155</v>
      </c>
      <c r="E107" s="239" t="s">
        <v>155</v>
      </c>
      <c r="F107" s="240" t="s">
        <v>155</v>
      </c>
      <c r="G107" s="241" t="s">
        <v>155</v>
      </c>
      <c r="H107" s="560"/>
      <c r="I107" s="5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8"/>
      <c r="BX107" s="60"/>
      <c r="BY107" s="60"/>
      <c r="BZ107" s="60"/>
      <c r="CA107" s="68"/>
      <c r="CB107" s="60"/>
      <c r="CC107" s="60"/>
      <c r="CD107" s="68"/>
      <c r="CE107" s="60"/>
      <c r="CF107" s="60"/>
      <c r="CG107" s="60"/>
      <c r="CH107" s="60"/>
      <c r="CI107" s="60"/>
      <c r="CJ107" s="60"/>
      <c r="CK107" s="60"/>
      <c r="CL107" s="60"/>
      <c r="CM107" s="60"/>
      <c r="CN107" s="60"/>
      <c r="CO107" s="60"/>
      <c r="CP107" s="60"/>
      <c r="CQ107" s="60"/>
      <c r="CR107" s="60"/>
      <c r="CS107" s="60"/>
      <c r="CT107" s="60"/>
      <c r="CU107" s="60"/>
    </row>
    <row r="108">
      <c r="A108" s="528"/>
      <c r="B108" s="241" t="s">
        <v>155</v>
      </c>
      <c r="C108" s="237" t="s">
        <v>155</v>
      </c>
      <c r="D108" s="238" t="s">
        <v>155</v>
      </c>
      <c r="E108" s="239" t="s">
        <v>155</v>
      </c>
      <c r="F108" s="240" t="s">
        <v>155</v>
      </c>
      <c r="G108" s="241" t="s">
        <v>155</v>
      </c>
      <c r="H108" s="560"/>
      <c r="I108" s="5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8"/>
      <c r="BX108" s="60"/>
      <c r="BY108" s="60"/>
      <c r="BZ108" s="60"/>
      <c r="CA108" s="68"/>
      <c r="CB108" s="60"/>
      <c r="CC108" s="60"/>
      <c r="CD108" s="68"/>
      <c r="CE108" s="60"/>
      <c r="CF108" s="60"/>
      <c r="CG108" s="60"/>
      <c r="CH108" s="60"/>
      <c r="CI108" s="60"/>
      <c r="CJ108" s="60"/>
      <c r="CK108" s="60"/>
      <c r="CL108" s="60"/>
      <c r="CM108" s="60"/>
      <c r="CN108" s="60"/>
      <c r="CO108" s="60"/>
      <c r="CP108" s="60"/>
      <c r="CQ108" s="60"/>
      <c r="CR108" s="60"/>
      <c r="CS108" s="60"/>
      <c r="CT108" s="60"/>
      <c r="CU108" s="60"/>
    </row>
    <row r="109">
      <c r="A109" s="528"/>
      <c r="B109" s="241" t="s">
        <v>155</v>
      </c>
      <c r="C109" s="237" t="s">
        <v>155</v>
      </c>
      <c r="D109" s="238" t="s">
        <v>155</v>
      </c>
      <c r="E109" s="239" t="s">
        <v>155</v>
      </c>
      <c r="F109" s="240" t="s">
        <v>155</v>
      </c>
      <c r="G109" s="241" t="s">
        <v>155</v>
      </c>
      <c r="H109" s="560"/>
      <c r="I109" s="5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8"/>
      <c r="BX109" s="60"/>
      <c r="BY109" s="60"/>
      <c r="BZ109" s="60"/>
      <c r="CA109" s="68"/>
      <c r="CB109" s="60"/>
      <c r="CC109" s="60"/>
      <c r="CD109" s="68"/>
      <c r="CE109" s="60"/>
      <c r="CF109" s="60"/>
      <c r="CG109" s="60"/>
      <c r="CH109" s="60"/>
      <c r="CI109" s="60"/>
      <c r="CJ109" s="60"/>
      <c r="CK109" s="60"/>
      <c r="CL109" s="60"/>
      <c r="CM109" s="60"/>
      <c r="CN109" s="60"/>
      <c r="CO109" s="60"/>
      <c r="CP109" s="60"/>
      <c r="CQ109" s="60"/>
      <c r="CR109" s="60"/>
      <c r="CS109" s="60"/>
      <c r="CT109" s="60"/>
      <c r="CU109" s="60"/>
    </row>
    <row r="110">
      <c r="A110" s="528"/>
      <c r="B110" s="241" t="s">
        <v>155</v>
      </c>
      <c r="C110" s="237" t="s">
        <v>155</v>
      </c>
      <c r="D110" s="238" t="s">
        <v>155</v>
      </c>
      <c r="E110" s="239" t="s">
        <v>155</v>
      </c>
      <c r="F110" s="240" t="s">
        <v>155</v>
      </c>
      <c r="G110" s="241" t="s">
        <v>155</v>
      </c>
      <c r="H110" s="560"/>
      <c r="I110" s="5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8"/>
      <c r="BX110" s="60"/>
      <c r="BY110" s="60"/>
      <c r="BZ110" s="60"/>
      <c r="CA110" s="68"/>
      <c r="CB110" s="60"/>
      <c r="CC110" s="60"/>
      <c r="CD110" s="68"/>
      <c r="CE110" s="60"/>
      <c r="CF110" s="60"/>
      <c r="CG110" s="60"/>
      <c r="CH110" s="60"/>
      <c r="CI110" s="60"/>
      <c r="CJ110" s="60"/>
      <c r="CK110" s="60"/>
      <c r="CL110" s="60"/>
      <c r="CM110" s="60"/>
      <c r="CN110" s="60"/>
      <c r="CO110" s="60"/>
      <c r="CP110" s="60"/>
      <c r="CQ110" s="60"/>
      <c r="CR110" s="60"/>
      <c r="CS110" s="60"/>
      <c r="CT110" s="60"/>
      <c r="CU110" s="60"/>
    </row>
    <row r="111">
      <c r="A111" s="528"/>
      <c r="B111" s="241" t="s">
        <v>155</v>
      </c>
      <c r="C111" s="237" t="s">
        <v>155</v>
      </c>
      <c r="D111" s="238" t="s">
        <v>155</v>
      </c>
      <c r="E111" s="239" t="s">
        <v>155</v>
      </c>
      <c r="F111" s="240" t="s">
        <v>155</v>
      </c>
      <c r="G111" s="241" t="s">
        <v>155</v>
      </c>
      <c r="H111" s="560"/>
      <c r="I111" s="5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8"/>
      <c r="BX111" s="60"/>
      <c r="BY111" s="60"/>
      <c r="BZ111" s="60"/>
      <c r="CA111" s="68"/>
      <c r="CB111" s="60"/>
      <c r="CC111" s="60"/>
      <c r="CD111" s="68"/>
      <c r="CE111" s="60"/>
      <c r="CF111" s="60"/>
      <c r="CG111" s="60"/>
      <c r="CH111" s="60"/>
      <c r="CI111" s="60"/>
      <c r="CJ111" s="60"/>
      <c r="CK111" s="60"/>
      <c r="CL111" s="60"/>
      <c r="CM111" s="60"/>
      <c r="CN111" s="60"/>
      <c r="CO111" s="60"/>
      <c r="CP111" s="60"/>
      <c r="CQ111" s="60"/>
      <c r="CR111" s="60"/>
      <c r="CS111" s="60"/>
      <c r="CT111" s="60"/>
      <c r="CU111" s="60"/>
    </row>
    <row r="112">
      <c r="A112" s="528"/>
      <c r="B112" s="241" t="s">
        <v>155</v>
      </c>
      <c r="C112" s="237" t="s">
        <v>155</v>
      </c>
      <c r="D112" s="238" t="s">
        <v>155</v>
      </c>
      <c r="E112" s="239" t="s">
        <v>155</v>
      </c>
      <c r="F112" s="240" t="s">
        <v>155</v>
      </c>
      <c r="G112" s="241" t="s">
        <v>155</v>
      </c>
      <c r="H112" s="560"/>
      <c r="I112" s="5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8"/>
      <c r="BX112" s="60"/>
      <c r="BY112" s="60"/>
      <c r="BZ112" s="60"/>
      <c r="CA112" s="68"/>
      <c r="CB112" s="60"/>
      <c r="CC112" s="60"/>
      <c r="CD112" s="68"/>
      <c r="CE112" s="60"/>
      <c r="CF112" s="60"/>
      <c r="CG112" s="60"/>
      <c r="CH112" s="60"/>
      <c r="CI112" s="60"/>
      <c r="CJ112" s="60"/>
      <c r="CK112" s="60"/>
      <c r="CL112" s="60"/>
      <c r="CM112" s="60"/>
      <c r="CN112" s="60"/>
      <c r="CO112" s="60"/>
      <c r="CP112" s="60"/>
      <c r="CQ112" s="60"/>
      <c r="CR112" s="60"/>
      <c r="CS112" s="60"/>
      <c r="CT112" s="60"/>
      <c r="CU112" s="60"/>
    </row>
    <row r="113">
      <c r="A113" s="528"/>
      <c r="B113" s="241" t="s">
        <v>155</v>
      </c>
      <c r="C113" s="237" t="s">
        <v>155</v>
      </c>
      <c r="D113" s="238" t="s">
        <v>155</v>
      </c>
      <c r="E113" s="239" t="s">
        <v>155</v>
      </c>
      <c r="F113" s="240" t="s">
        <v>155</v>
      </c>
      <c r="G113" s="241" t="s">
        <v>155</v>
      </c>
      <c r="H113" s="560"/>
      <c r="I113" s="5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8"/>
      <c r="BX113" s="60"/>
      <c r="BY113" s="60"/>
      <c r="BZ113" s="60"/>
      <c r="CA113" s="68"/>
      <c r="CB113" s="60"/>
      <c r="CC113" s="60"/>
      <c r="CD113" s="68"/>
      <c r="CE113" s="60"/>
      <c r="CF113" s="60"/>
      <c r="CG113" s="60"/>
      <c r="CH113" s="60"/>
      <c r="CI113" s="60"/>
      <c r="CJ113" s="60"/>
      <c r="CK113" s="60"/>
      <c r="CL113" s="60"/>
      <c r="CM113" s="60"/>
      <c r="CN113" s="60"/>
      <c r="CO113" s="60"/>
      <c r="CP113" s="60"/>
      <c r="CQ113" s="60"/>
      <c r="CR113" s="60"/>
      <c r="CS113" s="60"/>
      <c r="CT113" s="60"/>
      <c r="CU113" s="60"/>
    </row>
    <row r="114">
      <c r="A114" s="528"/>
      <c r="B114" s="241" t="s">
        <v>155</v>
      </c>
      <c r="C114" s="237" t="s">
        <v>155</v>
      </c>
      <c r="D114" s="238" t="s">
        <v>155</v>
      </c>
      <c r="E114" s="239" t="s">
        <v>155</v>
      </c>
      <c r="F114" s="240" t="s">
        <v>155</v>
      </c>
      <c r="G114" s="241" t="s">
        <v>155</v>
      </c>
      <c r="H114" s="560"/>
      <c r="I114" s="5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8"/>
      <c r="BX114" s="60"/>
      <c r="BY114" s="60"/>
      <c r="BZ114" s="60"/>
      <c r="CA114" s="68"/>
      <c r="CB114" s="60"/>
      <c r="CC114" s="60"/>
      <c r="CD114" s="68"/>
      <c r="CE114" s="60"/>
      <c r="CF114" s="60"/>
      <c r="CG114" s="60"/>
      <c r="CH114" s="60"/>
      <c r="CI114" s="60"/>
      <c r="CJ114" s="60"/>
      <c r="CK114" s="60"/>
      <c r="CL114" s="60"/>
      <c r="CM114" s="60"/>
      <c r="CN114" s="60"/>
      <c r="CO114" s="60"/>
      <c r="CP114" s="60"/>
      <c r="CQ114" s="60"/>
      <c r="CR114" s="60"/>
      <c r="CS114" s="60"/>
      <c r="CT114" s="60"/>
      <c r="CU114" s="60"/>
    </row>
    <row r="115">
      <c r="A115" s="528"/>
      <c r="B115" s="241" t="s">
        <v>155</v>
      </c>
      <c r="C115" s="237" t="s">
        <v>155</v>
      </c>
      <c r="D115" s="238" t="s">
        <v>155</v>
      </c>
      <c r="E115" s="239" t="s">
        <v>155</v>
      </c>
      <c r="F115" s="240" t="s">
        <v>155</v>
      </c>
      <c r="G115" s="241" t="s">
        <v>155</v>
      </c>
      <c r="H115" s="560"/>
      <c r="I115" s="5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8"/>
      <c r="BX115" s="60"/>
      <c r="BY115" s="60"/>
      <c r="BZ115" s="60"/>
      <c r="CA115" s="68"/>
      <c r="CB115" s="60"/>
      <c r="CC115" s="60"/>
      <c r="CD115" s="68"/>
      <c r="CE115" s="60"/>
      <c r="CF115" s="60"/>
      <c r="CG115" s="60"/>
      <c r="CH115" s="60"/>
      <c r="CI115" s="60"/>
      <c r="CJ115" s="60"/>
      <c r="CK115" s="60"/>
      <c r="CL115" s="60"/>
      <c r="CM115" s="60"/>
      <c r="CN115" s="60"/>
      <c r="CO115" s="60"/>
      <c r="CP115" s="60"/>
      <c r="CQ115" s="60"/>
      <c r="CR115" s="60"/>
      <c r="CS115" s="60"/>
      <c r="CT115" s="60"/>
      <c r="CU115" s="60"/>
    </row>
    <row r="116">
      <c r="A116" s="528"/>
      <c r="B116" s="241" t="s">
        <v>155</v>
      </c>
      <c r="C116" s="237" t="s">
        <v>155</v>
      </c>
      <c r="D116" s="238" t="s">
        <v>155</v>
      </c>
      <c r="E116" s="239" t="s">
        <v>155</v>
      </c>
      <c r="F116" s="240" t="s">
        <v>155</v>
      </c>
      <c r="G116" s="241" t="s">
        <v>155</v>
      </c>
      <c r="H116" s="560"/>
      <c r="I116" s="5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8"/>
      <c r="BX116" s="60"/>
      <c r="BY116" s="60"/>
      <c r="BZ116" s="60"/>
      <c r="CA116" s="68"/>
      <c r="CB116" s="60"/>
      <c r="CC116" s="60"/>
      <c r="CD116" s="68"/>
      <c r="CE116" s="60"/>
      <c r="CF116" s="60"/>
      <c r="CG116" s="60"/>
      <c r="CH116" s="60"/>
      <c r="CI116" s="60"/>
      <c r="CJ116" s="60"/>
      <c r="CK116" s="60"/>
      <c r="CL116" s="60"/>
      <c r="CM116" s="60"/>
      <c r="CN116" s="60"/>
      <c r="CO116" s="60"/>
      <c r="CP116" s="60"/>
      <c r="CQ116" s="60"/>
      <c r="CR116" s="60"/>
      <c r="CS116" s="60"/>
      <c r="CT116" s="60"/>
      <c r="CU116" s="60"/>
    </row>
    <row r="117">
      <c r="A117" s="528"/>
      <c r="B117" s="241" t="s">
        <v>155</v>
      </c>
      <c r="C117" s="237" t="s">
        <v>155</v>
      </c>
      <c r="D117" s="238" t="s">
        <v>155</v>
      </c>
      <c r="E117" s="239" t="s">
        <v>155</v>
      </c>
      <c r="F117" s="240" t="s">
        <v>155</v>
      </c>
      <c r="G117" s="241" t="s">
        <v>155</v>
      </c>
      <c r="H117" s="560"/>
      <c r="I117" s="5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8"/>
      <c r="BX117" s="60"/>
      <c r="BY117" s="60"/>
      <c r="BZ117" s="60"/>
      <c r="CA117" s="68"/>
      <c r="CB117" s="60"/>
      <c r="CC117" s="60"/>
      <c r="CD117" s="68"/>
      <c r="CE117" s="60"/>
      <c r="CF117" s="60"/>
      <c r="CG117" s="60"/>
      <c r="CH117" s="60"/>
      <c r="CI117" s="60"/>
      <c r="CJ117" s="60"/>
      <c r="CK117" s="60"/>
      <c r="CL117" s="60"/>
      <c r="CM117" s="60"/>
      <c r="CN117" s="60"/>
      <c r="CO117" s="60"/>
      <c r="CP117" s="60"/>
      <c r="CQ117" s="60"/>
      <c r="CR117" s="60"/>
      <c r="CS117" s="60"/>
      <c r="CT117" s="60"/>
      <c r="CU117" s="60"/>
    </row>
    <row r="118">
      <c r="A118" s="528"/>
      <c r="B118" s="241" t="s">
        <v>155</v>
      </c>
      <c r="C118" s="237" t="s">
        <v>155</v>
      </c>
      <c r="D118" s="238" t="s">
        <v>155</v>
      </c>
      <c r="E118" s="239" t="s">
        <v>155</v>
      </c>
      <c r="F118" s="240" t="s">
        <v>155</v>
      </c>
      <c r="G118" s="241" t="s">
        <v>155</v>
      </c>
      <c r="H118" s="560"/>
      <c r="I118" s="5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8"/>
      <c r="BX118" s="60"/>
      <c r="BY118" s="60"/>
      <c r="BZ118" s="60"/>
      <c r="CA118" s="68"/>
      <c r="CB118" s="60"/>
      <c r="CC118" s="60"/>
      <c r="CD118" s="68"/>
      <c r="CE118" s="60"/>
      <c r="CF118" s="60"/>
      <c r="CG118" s="60"/>
      <c r="CH118" s="60"/>
      <c r="CI118" s="60"/>
      <c r="CJ118" s="60"/>
      <c r="CK118" s="60"/>
      <c r="CL118" s="60"/>
      <c r="CM118" s="60"/>
      <c r="CN118" s="60"/>
      <c r="CO118" s="60"/>
      <c r="CP118" s="60"/>
      <c r="CQ118" s="60"/>
      <c r="CR118" s="60"/>
      <c r="CS118" s="60"/>
      <c r="CT118" s="60"/>
      <c r="CU118" s="60"/>
    </row>
    <row r="119">
      <c r="A119" s="528"/>
      <c r="B119" s="241" t="s">
        <v>155</v>
      </c>
      <c r="C119" s="237" t="s">
        <v>155</v>
      </c>
      <c r="D119" s="238" t="s">
        <v>155</v>
      </c>
      <c r="E119" s="239" t="s">
        <v>155</v>
      </c>
      <c r="F119" s="240" t="s">
        <v>155</v>
      </c>
      <c r="G119" s="241" t="s">
        <v>155</v>
      </c>
      <c r="H119" s="560"/>
      <c r="I119" s="5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8"/>
      <c r="BX119" s="60"/>
      <c r="BY119" s="60"/>
      <c r="BZ119" s="60"/>
      <c r="CA119" s="68"/>
      <c r="CB119" s="60"/>
      <c r="CC119" s="60"/>
      <c r="CD119" s="68"/>
      <c r="CE119" s="60"/>
      <c r="CF119" s="60"/>
      <c r="CG119" s="60"/>
      <c r="CH119" s="60"/>
      <c r="CI119" s="60"/>
      <c r="CJ119" s="60"/>
      <c r="CK119" s="60"/>
      <c r="CL119" s="60"/>
      <c r="CM119" s="60"/>
      <c r="CN119" s="60"/>
      <c r="CO119" s="60"/>
      <c r="CP119" s="60"/>
      <c r="CQ119" s="60"/>
      <c r="CR119" s="60"/>
      <c r="CS119" s="60"/>
      <c r="CT119" s="60"/>
      <c r="CU119" s="60"/>
    </row>
    <row r="120">
      <c r="A120" s="528"/>
      <c r="B120" s="241" t="s">
        <v>155</v>
      </c>
      <c r="C120" s="237" t="s">
        <v>155</v>
      </c>
      <c r="D120" s="238" t="s">
        <v>155</v>
      </c>
      <c r="E120" s="239" t="s">
        <v>155</v>
      </c>
      <c r="F120" s="240" t="s">
        <v>155</v>
      </c>
      <c r="G120" s="241" t="s">
        <v>155</v>
      </c>
      <c r="H120" s="560"/>
      <c r="I120" s="5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8"/>
      <c r="BX120" s="60"/>
      <c r="BY120" s="60"/>
      <c r="BZ120" s="60"/>
      <c r="CA120" s="68"/>
      <c r="CB120" s="60"/>
      <c r="CC120" s="60"/>
      <c r="CD120" s="68"/>
      <c r="CE120" s="60"/>
      <c r="CF120" s="60"/>
      <c r="CG120" s="60"/>
      <c r="CH120" s="60"/>
      <c r="CI120" s="60"/>
      <c r="CJ120" s="60"/>
      <c r="CK120" s="60"/>
      <c r="CL120" s="60"/>
      <c r="CM120" s="60"/>
      <c r="CN120" s="60"/>
      <c r="CO120" s="60"/>
      <c r="CP120" s="60"/>
      <c r="CQ120" s="60"/>
      <c r="CR120" s="60"/>
      <c r="CS120" s="60"/>
      <c r="CT120" s="60"/>
      <c r="CU120" s="60"/>
    </row>
    <row r="121">
      <c r="A121" s="528"/>
      <c r="B121" s="241" t="s">
        <v>155</v>
      </c>
      <c r="C121" s="237" t="s">
        <v>155</v>
      </c>
      <c r="D121" s="238" t="s">
        <v>155</v>
      </c>
      <c r="E121" s="239" t="s">
        <v>155</v>
      </c>
      <c r="F121" s="240" t="s">
        <v>155</v>
      </c>
      <c r="G121" s="241" t="s">
        <v>155</v>
      </c>
      <c r="H121" s="560"/>
      <c r="I121" s="5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8"/>
      <c r="BX121" s="60"/>
      <c r="BY121" s="60"/>
      <c r="BZ121" s="60"/>
      <c r="CA121" s="68"/>
      <c r="CB121" s="60"/>
      <c r="CC121" s="60"/>
      <c r="CD121" s="68"/>
      <c r="CE121" s="60"/>
      <c r="CF121" s="60"/>
      <c r="CG121" s="60"/>
      <c r="CH121" s="60"/>
      <c r="CI121" s="60"/>
      <c r="CJ121" s="60"/>
      <c r="CK121" s="60"/>
      <c r="CL121" s="60"/>
      <c r="CM121" s="60"/>
      <c r="CN121" s="60"/>
      <c r="CO121" s="60"/>
      <c r="CP121" s="60"/>
      <c r="CQ121" s="60"/>
      <c r="CR121" s="60"/>
      <c r="CS121" s="60"/>
      <c r="CT121" s="60"/>
      <c r="CU121" s="60"/>
    </row>
    <row r="122">
      <c r="A122" s="528"/>
      <c r="B122" s="241" t="s">
        <v>155</v>
      </c>
      <c r="C122" s="237" t="s">
        <v>155</v>
      </c>
      <c r="D122" s="238" t="s">
        <v>155</v>
      </c>
      <c r="E122" s="239" t="s">
        <v>155</v>
      </c>
      <c r="F122" s="240" t="s">
        <v>155</v>
      </c>
      <c r="G122" s="241" t="s">
        <v>155</v>
      </c>
      <c r="H122" s="560"/>
      <c r="I122" s="5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8"/>
      <c r="BX122" s="60"/>
      <c r="BY122" s="60"/>
      <c r="BZ122" s="60"/>
      <c r="CA122" s="68"/>
      <c r="CB122" s="60"/>
      <c r="CC122" s="60"/>
      <c r="CD122" s="68"/>
      <c r="CE122" s="60"/>
      <c r="CF122" s="60"/>
      <c r="CG122" s="60"/>
      <c r="CH122" s="60"/>
      <c r="CI122" s="60"/>
      <c r="CJ122" s="60"/>
      <c r="CK122" s="60"/>
      <c r="CL122" s="60"/>
      <c r="CM122" s="60"/>
      <c r="CN122" s="60"/>
      <c r="CO122" s="60"/>
      <c r="CP122" s="60"/>
      <c r="CQ122" s="60"/>
      <c r="CR122" s="60"/>
      <c r="CS122" s="60"/>
      <c r="CT122" s="60"/>
      <c r="CU122" s="60"/>
    </row>
    <row r="123">
      <c r="A123" s="528"/>
      <c r="B123" s="241" t="s">
        <v>155</v>
      </c>
      <c r="C123" s="237" t="s">
        <v>155</v>
      </c>
      <c r="D123" s="238" t="s">
        <v>155</v>
      </c>
      <c r="E123" s="239" t="s">
        <v>155</v>
      </c>
      <c r="F123" s="240" t="s">
        <v>155</v>
      </c>
      <c r="G123" s="241" t="s">
        <v>155</v>
      </c>
      <c r="H123" s="560"/>
      <c r="I123" s="5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8"/>
      <c r="BX123" s="60"/>
      <c r="BY123" s="60"/>
      <c r="BZ123" s="60"/>
      <c r="CA123" s="68"/>
      <c r="CB123" s="60"/>
      <c r="CC123" s="60"/>
      <c r="CD123" s="68"/>
      <c r="CE123" s="60"/>
      <c r="CF123" s="60"/>
      <c r="CG123" s="60"/>
      <c r="CH123" s="60"/>
      <c r="CI123" s="60"/>
      <c r="CJ123" s="60"/>
      <c r="CK123" s="60"/>
      <c r="CL123" s="60"/>
      <c r="CM123" s="60"/>
      <c r="CN123" s="60"/>
      <c r="CO123" s="60"/>
      <c r="CP123" s="60"/>
      <c r="CQ123" s="60"/>
      <c r="CR123" s="60"/>
      <c r="CS123" s="60"/>
      <c r="CT123" s="60"/>
      <c r="CU123" s="60"/>
    </row>
    <row r="124">
      <c r="A124" s="528"/>
      <c r="B124" s="241" t="s">
        <v>155</v>
      </c>
      <c r="C124" s="237" t="s">
        <v>155</v>
      </c>
      <c r="D124" s="238" t="s">
        <v>155</v>
      </c>
      <c r="E124" s="239" t="s">
        <v>155</v>
      </c>
      <c r="F124" s="240" t="s">
        <v>155</v>
      </c>
      <c r="G124" s="241" t="s">
        <v>155</v>
      </c>
      <c r="H124" s="560"/>
      <c r="I124" s="5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8"/>
      <c r="BX124" s="60"/>
      <c r="BY124" s="60"/>
      <c r="BZ124" s="60"/>
      <c r="CA124" s="68"/>
      <c r="CB124" s="60"/>
      <c r="CC124" s="60"/>
      <c r="CD124" s="68"/>
      <c r="CE124" s="60"/>
      <c r="CF124" s="60"/>
      <c r="CG124" s="60"/>
      <c r="CH124" s="60"/>
      <c r="CI124" s="60"/>
      <c r="CJ124" s="60"/>
      <c r="CK124" s="60"/>
      <c r="CL124" s="60"/>
      <c r="CM124" s="60"/>
      <c r="CN124" s="60"/>
      <c r="CO124" s="60"/>
      <c r="CP124" s="60"/>
      <c r="CQ124" s="60"/>
      <c r="CR124" s="60"/>
      <c r="CS124" s="60"/>
      <c r="CT124" s="60"/>
      <c r="CU124" s="60"/>
    </row>
    <row r="125">
      <c r="A125" s="528"/>
      <c r="B125" s="241" t="s">
        <v>155</v>
      </c>
      <c r="C125" s="237" t="s">
        <v>155</v>
      </c>
      <c r="D125" s="238" t="s">
        <v>155</v>
      </c>
      <c r="E125" s="239" t="s">
        <v>155</v>
      </c>
      <c r="F125" s="240" t="s">
        <v>155</v>
      </c>
      <c r="G125" s="241" t="s">
        <v>155</v>
      </c>
      <c r="H125" s="560"/>
      <c r="I125" s="5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8"/>
      <c r="BX125" s="60"/>
      <c r="BY125" s="60"/>
      <c r="BZ125" s="60"/>
      <c r="CA125" s="68"/>
      <c r="CB125" s="60"/>
      <c r="CC125" s="60"/>
      <c r="CD125" s="68"/>
      <c r="CE125" s="60"/>
      <c r="CF125" s="60"/>
      <c r="CG125" s="60"/>
      <c r="CH125" s="60"/>
      <c r="CI125" s="60"/>
      <c r="CJ125" s="60"/>
      <c r="CK125" s="60"/>
      <c r="CL125" s="60"/>
      <c r="CM125" s="60"/>
      <c r="CN125" s="60"/>
      <c r="CO125" s="60"/>
      <c r="CP125" s="60"/>
      <c r="CQ125" s="60"/>
      <c r="CR125" s="60"/>
      <c r="CS125" s="60"/>
      <c r="CT125" s="60"/>
      <c r="CU125" s="60"/>
    </row>
    <row r="126">
      <c r="A126" s="528"/>
      <c r="B126" s="241" t="s">
        <v>155</v>
      </c>
      <c r="C126" s="237" t="s">
        <v>155</v>
      </c>
      <c r="D126" s="238" t="s">
        <v>155</v>
      </c>
      <c r="E126" s="239" t="s">
        <v>155</v>
      </c>
      <c r="F126" s="240" t="s">
        <v>155</v>
      </c>
      <c r="G126" s="241" t="s">
        <v>155</v>
      </c>
      <c r="H126" s="560"/>
      <c r="I126" s="5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8"/>
      <c r="BX126" s="60"/>
      <c r="BY126" s="60"/>
      <c r="BZ126" s="60"/>
      <c r="CA126" s="68"/>
      <c r="CB126" s="60"/>
      <c r="CC126" s="60"/>
      <c r="CD126" s="68"/>
      <c r="CE126" s="60"/>
      <c r="CF126" s="60"/>
      <c r="CG126" s="60"/>
      <c r="CH126" s="60"/>
      <c r="CI126" s="60"/>
      <c r="CJ126" s="60"/>
      <c r="CK126" s="60"/>
      <c r="CL126" s="60"/>
      <c r="CM126" s="60"/>
      <c r="CN126" s="60"/>
      <c r="CO126" s="60"/>
      <c r="CP126" s="60"/>
      <c r="CQ126" s="60"/>
      <c r="CR126" s="60"/>
      <c r="CS126" s="60"/>
      <c r="CT126" s="60"/>
      <c r="CU126" s="60"/>
    </row>
    <row r="127">
      <c r="A127" s="528"/>
      <c r="B127" s="241" t="s">
        <v>155</v>
      </c>
      <c r="C127" s="237" t="s">
        <v>155</v>
      </c>
      <c r="D127" s="238" t="s">
        <v>155</v>
      </c>
      <c r="E127" s="239" t="s">
        <v>155</v>
      </c>
      <c r="F127" s="240" t="s">
        <v>155</v>
      </c>
      <c r="G127" s="241" t="s">
        <v>155</v>
      </c>
      <c r="H127" s="560"/>
      <c r="I127" s="5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8"/>
      <c r="BX127" s="60"/>
      <c r="BY127" s="60"/>
      <c r="BZ127" s="60"/>
      <c r="CA127" s="68"/>
      <c r="CB127" s="60"/>
      <c r="CC127" s="60"/>
      <c r="CD127" s="68"/>
      <c r="CE127" s="60"/>
      <c r="CF127" s="60"/>
      <c r="CG127" s="60"/>
      <c r="CH127" s="60"/>
      <c r="CI127" s="60"/>
      <c r="CJ127" s="60"/>
      <c r="CK127" s="60"/>
      <c r="CL127" s="60"/>
      <c r="CM127" s="60"/>
      <c r="CN127" s="60"/>
      <c r="CO127" s="60"/>
      <c r="CP127" s="60"/>
      <c r="CQ127" s="60"/>
      <c r="CR127" s="60"/>
      <c r="CS127" s="60"/>
      <c r="CT127" s="60"/>
      <c r="CU127" s="60"/>
    </row>
    <row r="128">
      <c r="A128" s="528"/>
      <c r="B128" s="241" t="s">
        <v>155</v>
      </c>
      <c r="C128" s="237" t="s">
        <v>155</v>
      </c>
      <c r="D128" s="238" t="s">
        <v>155</v>
      </c>
      <c r="E128" s="239" t="s">
        <v>155</v>
      </c>
      <c r="F128" s="240" t="s">
        <v>155</v>
      </c>
      <c r="G128" s="241" t="s">
        <v>155</v>
      </c>
      <c r="H128" s="560"/>
      <c r="I128" s="5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8"/>
      <c r="BX128" s="60"/>
      <c r="BY128" s="60"/>
      <c r="BZ128" s="60"/>
      <c r="CA128" s="68"/>
      <c r="CB128" s="60"/>
      <c r="CC128" s="60"/>
      <c r="CD128" s="68"/>
      <c r="CE128" s="60"/>
      <c r="CF128" s="60"/>
      <c r="CG128" s="60"/>
      <c r="CH128" s="60"/>
      <c r="CI128" s="60"/>
      <c r="CJ128" s="60"/>
      <c r="CK128" s="60"/>
      <c r="CL128" s="60"/>
      <c r="CM128" s="60"/>
      <c r="CN128" s="60"/>
      <c r="CO128" s="60"/>
      <c r="CP128" s="60"/>
      <c r="CQ128" s="60"/>
      <c r="CR128" s="60"/>
      <c r="CS128" s="60"/>
      <c r="CT128" s="60"/>
      <c r="CU128" s="60"/>
    </row>
    <row r="129">
      <c r="A129" s="528"/>
      <c r="B129" s="241" t="s">
        <v>155</v>
      </c>
      <c r="C129" s="237" t="s">
        <v>155</v>
      </c>
      <c r="D129" s="238" t="s">
        <v>155</v>
      </c>
      <c r="E129" s="239" t="s">
        <v>155</v>
      </c>
      <c r="F129" s="240" t="s">
        <v>155</v>
      </c>
      <c r="G129" s="241" t="s">
        <v>155</v>
      </c>
      <c r="H129" s="560"/>
      <c r="I129" s="5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8"/>
      <c r="BX129" s="60"/>
      <c r="BY129" s="60"/>
      <c r="BZ129" s="60"/>
      <c r="CA129" s="68"/>
      <c r="CB129" s="60"/>
      <c r="CC129" s="60"/>
      <c r="CD129" s="68"/>
      <c r="CE129" s="60"/>
      <c r="CF129" s="60"/>
      <c r="CG129" s="60"/>
      <c r="CH129" s="60"/>
      <c r="CI129" s="60"/>
      <c r="CJ129" s="60"/>
      <c r="CK129" s="60"/>
      <c r="CL129" s="60"/>
      <c r="CM129" s="60"/>
      <c r="CN129" s="60"/>
      <c r="CO129" s="60"/>
      <c r="CP129" s="60"/>
      <c r="CQ129" s="60"/>
      <c r="CR129" s="60"/>
      <c r="CS129" s="60"/>
      <c r="CT129" s="60"/>
      <c r="CU129" s="60"/>
    </row>
    <row r="130">
      <c r="A130" s="528"/>
      <c r="B130" s="241" t="s">
        <v>155</v>
      </c>
      <c r="C130" s="237" t="s">
        <v>155</v>
      </c>
      <c r="D130" s="238" t="s">
        <v>155</v>
      </c>
      <c r="E130" s="239" t="s">
        <v>155</v>
      </c>
      <c r="F130" s="240" t="s">
        <v>155</v>
      </c>
      <c r="G130" s="241" t="s">
        <v>155</v>
      </c>
      <c r="H130" s="560"/>
      <c r="I130" s="5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8"/>
      <c r="BX130" s="60"/>
      <c r="BY130" s="60"/>
      <c r="BZ130" s="60"/>
      <c r="CA130" s="68"/>
      <c r="CB130" s="60"/>
      <c r="CC130" s="60"/>
      <c r="CD130" s="68"/>
      <c r="CE130" s="60"/>
      <c r="CF130" s="60"/>
      <c r="CG130" s="60"/>
      <c r="CH130" s="60"/>
      <c r="CI130" s="60"/>
      <c r="CJ130" s="60"/>
      <c r="CK130" s="60"/>
      <c r="CL130" s="60"/>
      <c r="CM130" s="60"/>
      <c r="CN130" s="60"/>
      <c r="CO130" s="60"/>
      <c r="CP130" s="60"/>
      <c r="CQ130" s="60"/>
      <c r="CR130" s="60"/>
      <c r="CS130" s="60"/>
      <c r="CT130" s="60"/>
      <c r="CU130" s="60"/>
    </row>
    <row r="131">
      <c r="A131" s="528"/>
      <c r="B131" s="241" t="s">
        <v>155</v>
      </c>
      <c r="C131" s="237" t="s">
        <v>155</v>
      </c>
      <c r="D131" s="238" t="s">
        <v>155</v>
      </c>
      <c r="E131" s="239" t="s">
        <v>155</v>
      </c>
      <c r="F131" s="240" t="s">
        <v>155</v>
      </c>
      <c r="G131" s="241" t="s">
        <v>155</v>
      </c>
      <c r="H131" s="560"/>
      <c r="I131" s="5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8"/>
      <c r="BX131" s="60"/>
      <c r="BY131" s="60"/>
      <c r="BZ131" s="60"/>
      <c r="CA131" s="68"/>
      <c r="CB131" s="60"/>
      <c r="CC131" s="60"/>
      <c r="CD131" s="68"/>
      <c r="CE131" s="60"/>
      <c r="CF131" s="60"/>
      <c r="CG131" s="60"/>
      <c r="CH131" s="60"/>
      <c r="CI131" s="60"/>
      <c r="CJ131" s="60"/>
      <c r="CK131" s="60"/>
      <c r="CL131" s="60"/>
      <c r="CM131" s="60"/>
      <c r="CN131" s="60"/>
      <c r="CO131" s="60"/>
      <c r="CP131" s="60"/>
      <c r="CQ131" s="60"/>
      <c r="CR131" s="60"/>
      <c r="CS131" s="60"/>
      <c r="CT131" s="60"/>
      <c r="CU131" s="60"/>
    </row>
    <row r="132">
      <c r="A132" s="528"/>
      <c r="B132" s="241" t="s">
        <v>155</v>
      </c>
      <c r="C132" s="237" t="s">
        <v>155</v>
      </c>
      <c r="D132" s="238" t="s">
        <v>155</v>
      </c>
      <c r="E132" s="239" t="s">
        <v>155</v>
      </c>
      <c r="F132" s="240" t="s">
        <v>155</v>
      </c>
      <c r="G132" s="241" t="s">
        <v>155</v>
      </c>
      <c r="H132" s="560"/>
      <c r="I132" s="5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8"/>
      <c r="BX132" s="60"/>
      <c r="BY132" s="60"/>
      <c r="BZ132" s="60"/>
      <c r="CA132" s="68"/>
      <c r="CB132" s="60"/>
      <c r="CC132" s="60"/>
      <c r="CD132" s="68"/>
      <c r="CE132" s="60"/>
      <c r="CF132" s="60"/>
      <c r="CG132" s="60"/>
      <c r="CH132" s="60"/>
      <c r="CI132" s="60"/>
      <c r="CJ132" s="60"/>
      <c r="CK132" s="60"/>
      <c r="CL132" s="60"/>
      <c r="CM132" s="60"/>
      <c r="CN132" s="60"/>
      <c r="CO132" s="60"/>
      <c r="CP132" s="60"/>
      <c r="CQ132" s="60"/>
      <c r="CR132" s="60"/>
      <c r="CS132" s="60"/>
      <c r="CT132" s="60"/>
      <c r="CU132" s="60"/>
    </row>
    <row r="133">
      <c r="A133" s="528"/>
      <c r="B133" s="241" t="s">
        <v>155</v>
      </c>
      <c r="C133" s="237" t="s">
        <v>155</v>
      </c>
      <c r="D133" s="238" t="s">
        <v>155</v>
      </c>
      <c r="E133" s="239" t="s">
        <v>155</v>
      </c>
      <c r="F133" s="240" t="s">
        <v>155</v>
      </c>
      <c r="G133" s="241" t="s">
        <v>155</v>
      </c>
      <c r="H133" s="560"/>
      <c r="I133" s="5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8"/>
      <c r="BX133" s="60"/>
      <c r="BY133" s="60"/>
      <c r="BZ133" s="60"/>
      <c r="CA133" s="68"/>
      <c r="CB133" s="60"/>
      <c r="CC133" s="60"/>
      <c r="CD133" s="68"/>
      <c r="CE133" s="60"/>
      <c r="CF133" s="60"/>
      <c r="CG133" s="60"/>
      <c r="CH133" s="60"/>
      <c r="CI133" s="60"/>
      <c r="CJ133" s="60"/>
      <c r="CK133" s="60"/>
      <c r="CL133" s="60"/>
      <c r="CM133" s="60"/>
      <c r="CN133" s="60"/>
      <c r="CO133" s="60"/>
      <c r="CP133" s="60"/>
      <c r="CQ133" s="60"/>
      <c r="CR133" s="60"/>
      <c r="CS133" s="60"/>
      <c r="CT133" s="60"/>
      <c r="CU133" s="60"/>
    </row>
    <row r="134">
      <c r="A134" s="528"/>
      <c r="B134" s="241" t="s">
        <v>155</v>
      </c>
      <c r="C134" s="237" t="s">
        <v>155</v>
      </c>
      <c r="D134" s="238" t="s">
        <v>155</v>
      </c>
      <c r="E134" s="239" t="s">
        <v>155</v>
      </c>
      <c r="F134" s="240" t="s">
        <v>155</v>
      </c>
      <c r="G134" s="241" t="s">
        <v>155</v>
      </c>
      <c r="H134" s="560"/>
      <c r="I134" s="5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8"/>
      <c r="BX134" s="60"/>
      <c r="BY134" s="60"/>
      <c r="BZ134" s="60"/>
      <c r="CA134" s="68"/>
      <c r="CB134" s="60"/>
      <c r="CC134" s="60"/>
      <c r="CD134" s="68"/>
      <c r="CE134" s="60"/>
      <c r="CF134" s="60"/>
      <c r="CG134" s="60"/>
      <c r="CH134" s="60"/>
      <c r="CI134" s="60"/>
      <c r="CJ134" s="60"/>
      <c r="CK134" s="60"/>
      <c r="CL134" s="60"/>
      <c r="CM134" s="60"/>
      <c r="CN134" s="60"/>
      <c r="CO134" s="60"/>
      <c r="CP134" s="60"/>
      <c r="CQ134" s="60"/>
      <c r="CR134" s="60"/>
      <c r="CS134" s="60"/>
      <c r="CT134" s="60"/>
      <c r="CU134" s="60"/>
    </row>
    <row r="135">
      <c r="A135" s="528"/>
      <c r="B135" s="241" t="s">
        <v>155</v>
      </c>
      <c r="C135" s="237" t="s">
        <v>155</v>
      </c>
      <c r="D135" s="238" t="s">
        <v>155</v>
      </c>
      <c r="E135" s="239" t="s">
        <v>155</v>
      </c>
      <c r="F135" s="240" t="s">
        <v>155</v>
      </c>
      <c r="G135" s="241" t="s">
        <v>155</v>
      </c>
      <c r="H135" s="560"/>
      <c r="I135" s="5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8"/>
      <c r="BX135" s="60"/>
      <c r="BY135" s="60"/>
      <c r="BZ135" s="60"/>
      <c r="CA135" s="68"/>
      <c r="CB135" s="60"/>
      <c r="CC135" s="60"/>
      <c r="CD135" s="68"/>
      <c r="CE135" s="60"/>
      <c r="CF135" s="60"/>
      <c r="CG135" s="60"/>
      <c r="CH135" s="60"/>
      <c r="CI135" s="60"/>
      <c r="CJ135" s="60"/>
      <c r="CK135" s="60"/>
      <c r="CL135" s="60"/>
      <c r="CM135" s="60"/>
      <c r="CN135" s="60"/>
      <c r="CO135" s="60"/>
      <c r="CP135" s="60"/>
      <c r="CQ135" s="60"/>
      <c r="CR135" s="60"/>
      <c r="CS135" s="60"/>
      <c r="CT135" s="60"/>
      <c r="CU135" s="60"/>
    </row>
    <row r="136">
      <c r="A136" s="528"/>
      <c r="B136" s="241" t="s">
        <v>155</v>
      </c>
      <c r="C136" s="237" t="s">
        <v>155</v>
      </c>
      <c r="D136" s="238" t="s">
        <v>155</v>
      </c>
      <c r="E136" s="239" t="s">
        <v>155</v>
      </c>
      <c r="F136" s="240" t="s">
        <v>155</v>
      </c>
      <c r="G136" s="241" t="s">
        <v>155</v>
      </c>
      <c r="H136" s="560"/>
      <c r="I136" s="5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8"/>
      <c r="BX136" s="60"/>
      <c r="BY136" s="60"/>
      <c r="BZ136" s="60"/>
      <c r="CA136" s="68"/>
      <c r="CB136" s="60"/>
      <c r="CC136" s="60"/>
      <c r="CD136" s="68"/>
      <c r="CE136" s="60"/>
      <c r="CF136" s="60"/>
      <c r="CG136" s="60"/>
      <c r="CH136" s="60"/>
      <c r="CI136" s="60"/>
      <c r="CJ136" s="60"/>
      <c r="CK136" s="60"/>
      <c r="CL136" s="60"/>
      <c r="CM136" s="60"/>
      <c r="CN136" s="60"/>
      <c r="CO136" s="60"/>
      <c r="CP136" s="60"/>
      <c r="CQ136" s="60"/>
      <c r="CR136" s="60"/>
      <c r="CS136" s="60"/>
      <c r="CT136" s="60"/>
      <c r="CU136" s="60"/>
    </row>
    <row r="137">
      <c r="A137" s="528"/>
      <c r="B137" s="241" t="s">
        <v>155</v>
      </c>
      <c r="C137" s="237" t="s">
        <v>155</v>
      </c>
      <c r="D137" s="238" t="s">
        <v>155</v>
      </c>
      <c r="E137" s="239" t="s">
        <v>155</v>
      </c>
      <c r="F137" s="240" t="s">
        <v>155</v>
      </c>
      <c r="G137" s="241" t="s">
        <v>155</v>
      </c>
      <c r="H137" s="560"/>
      <c r="I137" s="5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8"/>
      <c r="BX137" s="60"/>
      <c r="BY137" s="60"/>
      <c r="BZ137" s="60"/>
      <c r="CA137" s="68"/>
      <c r="CB137" s="60"/>
      <c r="CC137" s="60"/>
      <c r="CD137" s="68"/>
      <c r="CE137" s="60"/>
      <c r="CF137" s="60"/>
      <c r="CG137" s="60"/>
      <c r="CH137" s="60"/>
      <c r="CI137" s="60"/>
      <c r="CJ137" s="60"/>
      <c r="CK137" s="60"/>
      <c r="CL137" s="60"/>
      <c r="CM137" s="60"/>
      <c r="CN137" s="60"/>
      <c r="CO137" s="60"/>
      <c r="CP137" s="60"/>
      <c r="CQ137" s="60"/>
      <c r="CR137" s="60"/>
      <c r="CS137" s="60"/>
      <c r="CT137" s="60"/>
      <c r="CU137" s="60"/>
    </row>
    <row r="138">
      <c r="A138" s="528"/>
      <c r="B138" s="241" t="s">
        <v>155</v>
      </c>
      <c r="C138" s="237" t="s">
        <v>155</v>
      </c>
      <c r="D138" s="238" t="s">
        <v>155</v>
      </c>
      <c r="E138" s="239" t="s">
        <v>155</v>
      </c>
      <c r="F138" s="240" t="s">
        <v>155</v>
      </c>
      <c r="G138" s="241" t="s">
        <v>155</v>
      </c>
      <c r="H138" s="560"/>
      <c r="I138" s="5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8"/>
      <c r="BX138" s="60"/>
      <c r="BY138" s="60"/>
      <c r="BZ138" s="60"/>
      <c r="CA138" s="68"/>
      <c r="CB138" s="60"/>
      <c r="CC138" s="60"/>
      <c r="CD138" s="68"/>
      <c r="CE138" s="60"/>
      <c r="CF138" s="60"/>
      <c r="CG138" s="60"/>
      <c r="CH138" s="60"/>
      <c r="CI138" s="60"/>
      <c r="CJ138" s="60"/>
      <c r="CK138" s="60"/>
      <c r="CL138" s="60"/>
      <c r="CM138" s="60"/>
      <c r="CN138" s="60"/>
      <c r="CO138" s="60"/>
      <c r="CP138" s="60"/>
      <c r="CQ138" s="60"/>
      <c r="CR138" s="60"/>
      <c r="CS138" s="60"/>
      <c r="CT138" s="60"/>
      <c r="CU138" s="60"/>
    </row>
    <row r="139">
      <c r="A139" s="528"/>
      <c r="B139" s="241" t="s">
        <v>155</v>
      </c>
      <c r="C139" s="237" t="s">
        <v>155</v>
      </c>
      <c r="D139" s="238" t="s">
        <v>155</v>
      </c>
      <c r="E139" s="239" t="s">
        <v>155</v>
      </c>
      <c r="F139" s="240" t="s">
        <v>155</v>
      </c>
      <c r="G139" s="241" t="s">
        <v>155</v>
      </c>
      <c r="H139" s="560"/>
      <c r="I139" s="5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8"/>
      <c r="BX139" s="60"/>
      <c r="BY139" s="60"/>
      <c r="BZ139" s="60"/>
      <c r="CA139" s="68"/>
      <c r="CB139" s="60"/>
      <c r="CC139" s="60"/>
      <c r="CD139" s="68"/>
      <c r="CE139" s="60"/>
      <c r="CF139" s="60"/>
      <c r="CG139" s="60"/>
      <c r="CH139" s="60"/>
      <c r="CI139" s="60"/>
      <c r="CJ139" s="60"/>
      <c r="CK139" s="60"/>
      <c r="CL139" s="60"/>
      <c r="CM139" s="60"/>
      <c r="CN139" s="60"/>
      <c r="CO139" s="60"/>
      <c r="CP139" s="60"/>
      <c r="CQ139" s="60"/>
      <c r="CR139" s="60"/>
      <c r="CS139" s="60"/>
      <c r="CT139" s="60"/>
      <c r="CU139" s="60"/>
    </row>
    <row r="140">
      <c r="A140" s="528"/>
      <c r="B140" s="241" t="s">
        <v>155</v>
      </c>
      <c r="C140" s="237" t="s">
        <v>155</v>
      </c>
      <c r="D140" s="238" t="s">
        <v>155</v>
      </c>
      <c r="E140" s="239" t="s">
        <v>155</v>
      </c>
      <c r="F140" s="240" t="s">
        <v>155</v>
      </c>
      <c r="G140" s="241" t="s">
        <v>155</v>
      </c>
      <c r="H140" s="560"/>
      <c r="I140" s="5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8"/>
      <c r="BX140" s="60"/>
      <c r="BY140" s="60"/>
      <c r="BZ140" s="60"/>
      <c r="CA140" s="68"/>
      <c r="CB140" s="60"/>
      <c r="CC140" s="60"/>
      <c r="CD140" s="68"/>
      <c r="CE140" s="60"/>
      <c r="CF140" s="60"/>
      <c r="CG140" s="60"/>
      <c r="CH140" s="60"/>
      <c r="CI140" s="60"/>
      <c r="CJ140" s="60"/>
      <c r="CK140" s="60"/>
      <c r="CL140" s="60"/>
      <c r="CM140" s="60"/>
      <c r="CN140" s="60"/>
      <c r="CO140" s="60"/>
      <c r="CP140" s="60"/>
      <c r="CQ140" s="60"/>
      <c r="CR140" s="60"/>
      <c r="CS140" s="60"/>
      <c r="CT140" s="60"/>
      <c r="CU140" s="60"/>
    </row>
    <row r="141">
      <c r="A141" s="528"/>
      <c r="B141" s="241" t="s">
        <v>155</v>
      </c>
      <c r="C141" s="237" t="s">
        <v>155</v>
      </c>
      <c r="D141" s="238" t="s">
        <v>155</v>
      </c>
      <c r="E141" s="239" t="s">
        <v>155</v>
      </c>
      <c r="F141" s="240" t="s">
        <v>155</v>
      </c>
      <c r="G141" s="241" t="s">
        <v>155</v>
      </c>
      <c r="H141" s="560"/>
      <c r="I141" s="5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8"/>
      <c r="BX141" s="60"/>
      <c r="BY141" s="60"/>
      <c r="BZ141" s="60"/>
      <c r="CA141" s="68"/>
      <c r="CB141" s="60"/>
      <c r="CC141" s="60"/>
      <c r="CD141" s="68"/>
      <c r="CE141" s="60"/>
      <c r="CF141" s="60"/>
      <c r="CG141" s="60"/>
      <c r="CH141" s="60"/>
      <c r="CI141" s="60"/>
      <c r="CJ141" s="60"/>
      <c r="CK141" s="60"/>
      <c r="CL141" s="60"/>
      <c r="CM141" s="60"/>
      <c r="CN141" s="60"/>
      <c r="CO141" s="60"/>
      <c r="CP141" s="60"/>
      <c r="CQ141" s="60"/>
      <c r="CR141" s="60"/>
      <c r="CS141" s="60"/>
      <c r="CT141" s="60"/>
      <c r="CU141" s="60"/>
    </row>
    <row r="142">
      <c r="A142" s="528"/>
      <c r="B142" s="241" t="s">
        <v>155</v>
      </c>
      <c r="C142" s="237" t="s">
        <v>155</v>
      </c>
      <c r="D142" s="238" t="s">
        <v>155</v>
      </c>
      <c r="E142" s="239" t="s">
        <v>155</v>
      </c>
      <c r="F142" s="240" t="s">
        <v>155</v>
      </c>
      <c r="G142" s="241" t="s">
        <v>155</v>
      </c>
      <c r="H142" s="560"/>
      <c r="I142" s="5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8"/>
      <c r="BX142" s="60"/>
      <c r="BY142" s="60"/>
      <c r="BZ142" s="60"/>
      <c r="CA142" s="68"/>
      <c r="CB142" s="60"/>
      <c r="CC142" s="60"/>
      <c r="CD142" s="68"/>
      <c r="CE142" s="60"/>
      <c r="CF142" s="60"/>
      <c r="CG142" s="60"/>
      <c r="CH142" s="60"/>
      <c r="CI142" s="60"/>
      <c r="CJ142" s="60"/>
      <c r="CK142" s="60"/>
      <c r="CL142" s="60"/>
      <c r="CM142" s="60"/>
      <c r="CN142" s="60"/>
      <c r="CO142" s="60"/>
      <c r="CP142" s="60"/>
      <c r="CQ142" s="60"/>
      <c r="CR142" s="60"/>
      <c r="CS142" s="60"/>
      <c r="CT142" s="60"/>
      <c r="CU142" s="60"/>
    </row>
    <row r="143">
      <c r="A143" s="528"/>
      <c r="B143" s="241" t="s">
        <v>155</v>
      </c>
      <c r="C143" s="237" t="s">
        <v>155</v>
      </c>
      <c r="D143" s="238" t="s">
        <v>155</v>
      </c>
      <c r="E143" s="239" t="s">
        <v>155</v>
      </c>
      <c r="F143" s="240" t="s">
        <v>155</v>
      </c>
      <c r="G143" s="241" t="s">
        <v>155</v>
      </c>
      <c r="H143" s="560"/>
      <c r="I143" s="5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8"/>
      <c r="BX143" s="60"/>
      <c r="BY143" s="60"/>
      <c r="BZ143" s="60"/>
      <c r="CA143" s="68"/>
      <c r="CB143" s="60"/>
      <c r="CC143" s="60"/>
      <c r="CD143" s="68"/>
      <c r="CE143" s="60"/>
      <c r="CF143" s="60"/>
      <c r="CG143" s="60"/>
      <c r="CH143" s="60"/>
      <c r="CI143" s="60"/>
      <c r="CJ143" s="60"/>
      <c r="CK143" s="60"/>
      <c r="CL143" s="60"/>
      <c r="CM143" s="60"/>
      <c r="CN143" s="60"/>
      <c r="CO143" s="60"/>
      <c r="CP143" s="60"/>
      <c r="CQ143" s="60"/>
      <c r="CR143" s="60"/>
      <c r="CS143" s="60"/>
      <c r="CT143" s="60"/>
      <c r="CU143" s="60"/>
    </row>
    <row r="144">
      <c r="A144" s="528"/>
      <c r="B144" s="241" t="s">
        <v>155</v>
      </c>
      <c r="C144" s="237" t="s">
        <v>155</v>
      </c>
      <c r="D144" s="238" t="s">
        <v>155</v>
      </c>
      <c r="E144" s="239" t="s">
        <v>155</v>
      </c>
      <c r="F144" s="240" t="s">
        <v>155</v>
      </c>
      <c r="G144" s="241" t="s">
        <v>155</v>
      </c>
      <c r="H144" s="560"/>
      <c r="I144" s="5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8"/>
      <c r="BX144" s="60"/>
      <c r="BY144" s="60"/>
      <c r="BZ144" s="60"/>
      <c r="CA144" s="68"/>
      <c r="CB144" s="60"/>
      <c r="CC144" s="60"/>
      <c r="CD144" s="68"/>
      <c r="CE144" s="60"/>
      <c r="CF144" s="60"/>
      <c r="CG144" s="60"/>
      <c r="CH144" s="60"/>
      <c r="CI144" s="60"/>
      <c r="CJ144" s="60"/>
      <c r="CK144" s="60"/>
      <c r="CL144" s="60"/>
      <c r="CM144" s="60"/>
      <c r="CN144" s="60"/>
      <c r="CO144" s="60"/>
      <c r="CP144" s="60"/>
      <c r="CQ144" s="60"/>
      <c r="CR144" s="60"/>
      <c r="CS144" s="60"/>
      <c r="CT144" s="60"/>
      <c r="CU144" s="60"/>
    </row>
    <row r="145">
      <c r="A145" s="528"/>
      <c r="B145" s="241" t="s">
        <v>155</v>
      </c>
      <c r="C145" s="237" t="s">
        <v>155</v>
      </c>
      <c r="D145" s="238" t="s">
        <v>155</v>
      </c>
      <c r="E145" s="239" t="s">
        <v>155</v>
      </c>
      <c r="F145" s="240" t="s">
        <v>155</v>
      </c>
      <c r="G145" s="241" t="s">
        <v>155</v>
      </c>
      <c r="H145" s="560"/>
      <c r="I145" s="5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8"/>
      <c r="BX145" s="60"/>
      <c r="BY145" s="60"/>
      <c r="BZ145" s="60"/>
      <c r="CA145" s="68"/>
      <c r="CB145" s="60"/>
      <c r="CC145" s="60"/>
      <c r="CD145" s="68"/>
      <c r="CE145" s="60"/>
      <c r="CF145" s="60"/>
      <c r="CG145" s="60"/>
      <c r="CH145" s="60"/>
      <c r="CI145" s="60"/>
      <c r="CJ145" s="60"/>
      <c r="CK145" s="60"/>
      <c r="CL145" s="60"/>
      <c r="CM145" s="60"/>
      <c r="CN145" s="60"/>
      <c r="CO145" s="60"/>
      <c r="CP145" s="60"/>
      <c r="CQ145" s="60"/>
      <c r="CR145" s="60"/>
      <c r="CS145" s="60"/>
      <c r="CT145" s="60"/>
      <c r="CU145" s="60"/>
    </row>
    <row r="146">
      <c r="A146" s="528"/>
      <c r="B146" s="241" t="s">
        <v>155</v>
      </c>
      <c r="C146" s="237" t="s">
        <v>155</v>
      </c>
      <c r="D146" s="238" t="s">
        <v>155</v>
      </c>
      <c r="E146" s="239" t="s">
        <v>155</v>
      </c>
      <c r="F146" s="240" t="s">
        <v>155</v>
      </c>
      <c r="G146" s="241" t="s">
        <v>155</v>
      </c>
      <c r="H146" s="560"/>
      <c r="I146" s="5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8"/>
      <c r="BX146" s="60"/>
      <c r="BY146" s="60"/>
      <c r="BZ146" s="60"/>
      <c r="CA146" s="68"/>
      <c r="CB146" s="60"/>
      <c r="CC146" s="60"/>
      <c r="CD146" s="68"/>
      <c r="CE146" s="60"/>
      <c r="CF146" s="60"/>
      <c r="CG146" s="60"/>
      <c r="CH146" s="60"/>
      <c r="CI146" s="60"/>
      <c r="CJ146" s="60"/>
      <c r="CK146" s="60"/>
      <c r="CL146" s="60"/>
      <c r="CM146" s="60"/>
      <c r="CN146" s="60"/>
      <c r="CO146" s="60"/>
      <c r="CP146" s="60"/>
      <c r="CQ146" s="60"/>
      <c r="CR146" s="60"/>
      <c r="CS146" s="60"/>
      <c r="CT146" s="60"/>
      <c r="CU146" s="60"/>
    </row>
    <row r="147">
      <c r="A147" s="528"/>
      <c r="B147" s="241" t="s">
        <v>155</v>
      </c>
      <c r="C147" s="237" t="s">
        <v>155</v>
      </c>
      <c r="D147" s="238" t="s">
        <v>155</v>
      </c>
      <c r="E147" s="239" t="s">
        <v>155</v>
      </c>
      <c r="F147" s="240" t="s">
        <v>155</v>
      </c>
      <c r="G147" s="241" t="s">
        <v>155</v>
      </c>
      <c r="H147" s="560"/>
      <c r="I147" s="5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8"/>
      <c r="BX147" s="60"/>
      <c r="BY147" s="60"/>
      <c r="BZ147" s="60"/>
      <c r="CA147" s="68"/>
      <c r="CB147" s="60"/>
      <c r="CC147" s="60"/>
      <c r="CD147" s="68"/>
      <c r="CE147" s="60"/>
      <c r="CF147" s="60"/>
      <c r="CG147" s="60"/>
      <c r="CH147" s="60"/>
      <c r="CI147" s="60"/>
      <c r="CJ147" s="60"/>
      <c r="CK147" s="60"/>
      <c r="CL147" s="60"/>
      <c r="CM147" s="60"/>
      <c r="CN147" s="60"/>
      <c r="CO147" s="60"/>
      <c r="CP147" s="60"/>
      <c r="CQ147" s="60"/>
      <c r="CR147" s="60"/>
      <c r="CS147" s="60"/>
      <c r="CT147" s="60"/>
      <c r="CU147" s="60"/>
    </row>
    <row r="148">
      <c r="A148" s="528"/>
      <c r="B148" s="241" t="s">
        <v>155</v>
      </c>
      <c r="C148" s="237" t="s">
        <v>155</v>
      </c>
      <c r="D148" s="238" t="s">
        <v>155</v>
      </c>
      <c r="E148" s="239" t="s">
        <v>155</v>
      </c>
      <c r="F148" s="240" t="s">
        <v>155</v>
      </c>
      <c r="G148" s="241" t="s">
        <v>155</v>
      </c>
      <c r="H148" s="560"/>
      <c r="I148" s="5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8"/>
      <c r="BX148" s="60"/>
      <c r="BY148" s="60"/>
      <c r="BZ148" s="60"/>
      <c r="CA148" s="68"/>
      <c r="CB148" s="60"/>
      <c r="CC148" s="60"/>
      <c r="CD148" s="68"/>
      <c r="CE148" s="60"/>
      <c r="CF148" s="60"/>
      <c r="CG148" s="60"/>
      <c r="CH148" s="60"/>
      <c r="CI148" s="60"/>
      <c r="CJ148" s="60"/>
      <c r="CK148" s="60"/>
      <c r="CL148" s="60"/>
      <c r="CM148" s="60"/>
      <c r="CN148" s="60"/>
      <c r="CO148" s="60"/>
      <c r="CP148" s="60"/>
      <c r="CQ148" s="60"/>
      <c r="CR148" s="60"/>
      <c r="CS148" s="60"/>
      <c r="CT148" s="60"/>
      <c r="CU148" s="60"/>
    </row>
    <row r="149">
      <c r="A149" s="528"/>
      <c r="B149" s="241" t="s">
        <v>155</v>
      </c>
      <c r="C149" s="237" t="s">
        <v>155</v>
      </c>
      <c r="D149" s="238" t="s">
        <v>155</v>
      </c>
      <c r="E149" s="239" t="s">
        <v>155</v>
      </c>
      <c r="F149" s="240" t="s">
        <v>155</v>
      </c>
      <c r="G149" s="241" t="s">
        <v>155</v>
      </c>
      <c r="H149" s="560"/>
      <c r="I149" s="5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8"/>
      <c r="BX149" s="60"/>
      <c r="BY149" s="60"/>
      <c r="BZ149" s="60"/>
      <c r="CA149" s="68"/>
      <c r="CB149" s="60"/>
      <c r="CC149" s="60"/>
      <c r="CD149" s="68"/>
      <c r="CE149" s="60"/>
      <c r="CF149" s="60"/>
      <c r="CG149" s="60"/>
      <c r="CH149" s="60"/>
      <c r="CI149" s="60"/>
      <c r="CJ149" s="60"/>
      <c r="CK149" s="60"/>
      <c r="CL149" s="60"/>
      <c r="CM149" s="60"/>
      <c r="CN149" s="60"/>
      <c r="CO149" s="60"/>
      <c r="CP149" s="60"/>
      <c r="CQ149" s="60"/>
      <c r="CR149" s="60"/>
      <c r="CS149" s="60"/>
      <c r="CT149" s="60"/>
      <c r="CU149" s="60"/>
    </row>
    <row r="150">
      <c r="A150" s="528"/>
      <c r="B150" s="241" t="s">
        <v>155</v>
      </c>
      <c r="C150" s="237" t="s">
        <v>155</v>
      </c>
      <c r="D150" s="238" t="s">
        <v>155</v>
      </c>
      <c r="E150" s="239" t="s">
        <v>155</v>
      </c>
      <c r="F150" s="240" t="s">
        <v>155</v>
      </c>
      <c r="G150" s="241" t="s">
        <v>155</v>
      </c>
      <c r="H150" s="560"/>
      <c r="I150" s="5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8"/>
      <c r="BX150" s="60"/>
      <c r="BY150" s="60"/>
      <c r="BZ150" s="60"/>
      <c r="CA150" s="68"/>
      <c r="CB150" s="60"/>
      <c r="CC150" s="60"/>
      <c r="CD150" s="68"/>
      <c r="CE150" s="60"/>
      <c r="CF150" s="60"/>
      <c r="CG150" s="60"/>
      <c r="CH150" s="60"/>
      <c r="CI150" s="60"/>
      <c r="CJ150" s="60"/>
      <c r="CK150" s="60"/>
      <c r="CL150" s="60"/>
      <c r="CM150" s="60"/>
      <c r="CN150" s="60"/>
      <c r="CO150" s="60"/>
      <c r="CP150" s="60"/>
      <c r="CQ150" s="60"/>
      <c r="CR150" s="60"/>
      <c r="CS150" s="60"/>
      <c r="CT150" s="60"/>
      <c r="CU150" s="60"/>
    </row>
    <row r="151">
      <c r="A151" s="528"/>
      <c r="B151" s="241" t="s">
        <v>155</v>
      </c>
      <c r="C151" s="237" t="s">
        <v>155</v>
      </c>
      <c r="D151" s="238" t="s">
        <v>155</v>
      </c>
      <c r="E151" s="239" t="s">
        <v>155</v>
      </c>
      <c r="F151" s="240" t="s">
        <v>155</v>
      </c>
      <c r="G151" s="241" t="s">
        <v>155</v>
      </c>
      <c r="H151" s="560"/>
      <c r="I151" s="5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8"/>
      <c r="BX151" s="60"/>
      <c r="BY151" s="60"/>
      <c r="BZ151" s="60"/>
      <c r="CA151" s="68"/>
      <c r="CB151" s="60"/>
      <c r="CC151" s="60"/>
      <c r="CD151" s="68"/>
      <c r="CE151" s="60"/>
      <c r="CF151" s="60"/>
      <c r="CG151" s="60"/>
      <c r="CH151" s="60"/>
      <c r="CI151" s="60"/>
      <c r="CJ151" s="60"/>
      <c r="CK151" s="60"/>
      <c r="CL151" s="60"/>
      <c r="CM151" s="60"/>
      <c r="CN151" s="60"/>
      <c r="CO151" s="60"/>
      <c r="CP151" s="60"/>
      <c r="CQ151" s="60"/>
      <c r="CR151" s="60"/>
      <c r="CS151" s="60"/>
      <c r="CT151" s="60"/>
      <c r="CU151" s="60"/>
    </row>
    <row r="152">
      <c r="A152" s="528"/>
      <c r="B152" s="241" t="s">
        <v>155</v>
      </c>
      <c r="C152" s="237" t="s">
        <v>155</v>
      </c>
      <c r="D152" s="238" t="s">
        <v>155</v>
      </c>
      <c r="E152" s="239" t="s">
        <v>155</v>
      </c>
      <c r="F152" s="240" t="s">
        <v>155</v>
      </c>
      <c r="G152" s="241" t="s">
        <v>155</v>
      </c>
      <c r="H152" s="560"/>
      <c r="I152" s="5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8"/>
      <c r="BX152" s="60"/>
      <c r="BY152" s="60"/>
      <c r="BZ152" s="60"/>
      <c r="CA152" s="68"/>
      <c r="CB152" s="60"/>
      <c r="CC152" s="60"/>
      <c r="CD152" s="68"/>
      <c r="CE152" s="60"/>
      <c r="CF152" s="60"/>
      <c r="CG152" s="60"/>
      <c r="CH152" s="60"/>
      <c r="CI152" s="60"/>
      <c r="CJ152" s="60"/>
      <c r="CK152" s="60"/>
      <c r="CL152" s="60"/>
      <c r="CM152" s="60"/>
      <c r="CN152" s="60"/>
      <c r="CO152" s="60"/>
      <c r="CP152" s="60"/>
      <c r="CQ152" s="60"/>
      <c r="CR152" s="60"/>
      <c r="CS152" s="60"/>
      <c r="CT152" s="60"/>
      <c r="CU152" s="60"/>
    </row>
    <row r="153">
      <c r="A153" s="528"/>
      <c r="B153" s="241" t="s">
        <v>155</v>
      </c>
      <c r="C153" s="237" t="s">
        <v>155</v>
      </c>
      <c r="D153" s="238" t="s">
        <v>155</v>
      </c>
      <c r="E153" s="239" t="s">
        <v>155</v>
      </c>
      <c r="F153" s="240" t="s">
        <v>155</v>
      </c>
      <c r="G153" s="241" t="s">
        <v>155</v>
      </c>
      <c r="H153" s="560"/>
      <c r="I153" s="5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8"/>
      <c r="BX153" s="60"/>
      <c r="BY153" s="60"/>
      <c r="BZ153" s="60"/>
      <c r="CA153" s="68"/>
      <c r="CB153" s="60"/>
      <c r="CC153" s="60"/>
      <c r="CD153" s="68"/>
      <c r="CE153" s="60"/>
      <c r="CF153" s="60"/>
      <c r="CG153" s="60"/>
      <c r="CH153" s="60"/>
      <c r="CI153" s="60"/>
      <c r="CJ153" s="60"/>
      <c r="CK153" s="60"/>
      <c r="CL153" s="60"/>
      <c r="CM153" s="60"/>
      <c r="CN153" s="60"/>
      <c r="CO153" s="60"/>
      <c r="CP153" s="60"/>
      <c r="CQ153" s="60"/>
      <c r="CR153" s="60"/>
      <c r="CS153" s="60"/>
      <c r="CT153" s="60"/>
      <c r="CU153" s="60"/>
    </row>
    <row r="154">
      <c r="A154" s="528"/>
      <c r="B154" s="241" t="s">
        <v>155</v>
      </c>
      <c r="C154" s="237" t="s">
        <v>155</v>
      </c>
      <c r="D154" s="238" t="s">
        <v>155</v>
      </c>
      <c r="E154" s="239" t="s">
        <v>155</v>
      </c>
      <c r="F154" s="240" t="s">
        <v>155</v>
      </c>
      <c r="G154" s="241" t="s">
        <v>155</v>
      </c>
      <c r="H154" s="560"/>
      <c r="I154" s="5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8"/>
      <c r="BX154" s="60"/>
      <c r="BY154" s="60"/>
      <c r="BZ154" s="60"/>
      <c r="CA154" s="68"/>
      <c r="CB154" s="60"/>
      <c r="CC154" s="60"/>
      <c r="CD154" s="68"/>
      <c r="CE154" s="60"/>
      <c r="CF154" s="60"/>
      <c r="CG154" s="60"/>
      <c r="CH154" s="60"/>
      <c r="CI154" s="60"/>
      <c r="CJ154" s="60"/>
      <c r="CK154" s="60"/>
      <c r="CL154" s="60"/>
      <c r="CM154" s="60"/>
      <c r="CN154" s="60"/>
      <c r="CO154" s="60"/>
      <c r="CP154" s="60"/>
      <c r="CQ154" s="60"/>
      <c r="CR154" s="60"/>
      <c r="CS154" s="60"/>
      <c r="CT154" s="60"/>
      <c r="CU154" s="60"/>
    </row>
    <row r="155">
      <c r="A155" s="528"/>
      <c r="B155" s="241" t="s">
        <v>155</v>
      </c>
      <c r="C155" s="237" t="s">
        <v>155</v>
      </c>
      <c r="D155" s="238" t="s">
        <v>155</v>
      </c>
      <c r="E155" s="239" t="s">
        <v>155</v>
      </c>
      <c r="F155" s="240" t="s">
        <v>155</v>
      </c>
      <c r="G155" s="241" t="s">
        <v>155</v>
      </c>
      <c r="H155" s="560"/>
      <c r="I155" s="5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8"/>
      <c r="BX155" s="60"/>
      <c r="BY155" s="60"/>
      <c r="BZ155" s="60"/>
      <c r="CA155" s="68"/>
      <c r="CB155" s="60"/>
      <c r="CC155" s="60"/>
      <c r="CD155" s="68"/>
      <c r="CE155" s="60"/>
      <c r="CF155" s="60"/>
      <c r="CG155" s="60"/>
      <c r="CH155" s="60"/>
      <c r="CI155" s="60"/>
      <c r="CJ155" s="60"/>
      <c r="CK155" s="60"/>
      <c r="CL155" s="60"/>
      <c r="CM155" s="60"/>
      <c r="CN155" s="60"/>
      <c r="CO155" s="60"/>
      <c r="CP155" s="60"/>
      <c r="CQ155" s="60"/>
      <c r="CR155" s="60"/>
      <c r="CS155" s="60"/>
      <c r="CT155" s="60"/>
      <c r="CU155" s="60"/>
    </row>
    <row r="156">
      <c r="A156" s="528"/>
      <c r="B156" s="241" t="s">
        <v>155</v>
      </c>
      <c r="C156" s="237" t="s">
        <v>155</v>
      </c>
      <c r="D156" s="238" t="s">
        <v>155</v>
      </c>
      <c r="E156" s="239" t="s">
        <v>155</v>
      </c>
      <c r="F156" s="240" t="s">
        <v>155</v>
      </c>
      <c r="G156" s="241" t="s">
        <v>155</v>
      </c>
      <c r="H156" s="560"/>
      <c r="I156" s="5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8"/>
      <c r="BX156" s="60"/>
      <c r="BY156" s="60"/>
      <c r="BZ156" s="60"/>
      <c r="CA156" s="68"/>
      <c r="CB156" s="60"/>
      <c r="CC156" s="60"/>
      <c r="CD156" s="68"/>
      <c r="CE156" s="60"/>
      <c r="CF156" s="60"/>
      <c r="CG156" s="60"/>
      <c r="CH156" s="60"/>
      <c r="CI156" s="60"/>
      <c r="CJ156" s="60"/>
      <c r="CK156" s="60"/>
      <c r="CL156" s="60"/>
      <c r="CM156" s="60"/>
      <c r="CN156" s="60"/>
      <c r="CO156" s="60"/>
      <c r="CP156" s="60"/>
      <c r="CQ156" s="60"/>
      <c r="CR156" s="60"/>
      <c r="CS156" s="60"/>
      <c r="CT156" s="60"/>
      <c r="CU156" s="60"/>
    </row>
    <row r="157">
      <c r="A157" s="528"/>
      <c r="B157" s="241" t="s">
        <v>155</v>
      </c>
      <c r="C157" s="237" t="s">
        <v>155</v>
      </c>
      <c r="D157" s="238" t="s">
        <v>155</v>
      </c>
      <c r="E157" s="239" t="s">
        <v>155</v>
      </c>
      <c r="F157" s="240" t="s">
        <v>155</v>
      </c>
      <c r="G157" s="241" t="s">
        <v>155</v>
      </c>
      <c r="H157" s="560"/>
      <c r="I157" s="5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8"/>
      <c r="BX157" s="60"/>
      <c r="BY157" s="60"/>
      <c r="BZ157" s="60"/>
      <c r="CA157" s="68"/>
      <c r="CB157" s="60"/>
      <c r="CC157" s="60"/>
      <c r="CD157" s="68"/>
      <c r="CE157" s="60"/>
      <c r="CF157" s="60"/>
      <c r="CG157" s="60"/>
      <c r="CH157" s="60"/>
      <c r="CI157" s="60"/>
      <c r="CJ157" s="60"/>
      <c r="CK157" s="60"/>
      <c r="CL157" s="60"/>
      <c r="CM157" s="60"/>
      <c r="CN157" s="60"/>
      <c r="CO157" s="60"/>
      <c r="CP157" s="60"/>
      <c r="CQ157" s="60"/>
      <c r="CR157" s="60"/>
      <c r="CS157" s="60"/>
      <c r="CT157" s="60"/>
      <c r="CU157" s="60"/>
    </row>
    <row r="158">
      <c r="A158" s="528"/>
      <c r="B158" s="241" t="s">
        <v>155</v>
      </c>
      <c r="C158" s="237" t="s">
        <v>155</v>
      </c>
      <c r="D158" s="238" t="s">
        <v>155</v>
      </c>
      <c r="E158" s="239" t="s">
        <v>155</v>
      </c>
      <c r="F158" s="240" t="s">
        <v>155</v>
      </c>
      <c r="G158" s="241" t="s">
        <v>155</v>
      </c>
      <c r="H158" s="560"/>
      <c r="I158" s="5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8"/>
      <c r="BX158" s="60"/>
      <c r="BY158" s="60"/>
      <c r="BZ158" s="60"/>
      <c r="CA158" s="68"/>
      <c r="CB158" s="60"/>
      <c r="CC158" s="60"/>
      <c r="CD158" s="68"/>
      <c r="CE158" s="60"/>
      <c r="CF158" s="60"/>
      <c r="CG158" s="60"/>
      <c r="CH158" s="60"/>
      <c r="CI158" s="60"/>
      <c r="CJ158" s="60"/>
      <c r="CK158" s="60"/>
      <c r="CL158" s="60"/>
      <c r="CM158" s="60"/>
      <c r="CN158" s="60"/>
      <c r="CO158" s="60"/>
      <c r="CP158" s="60"/>
      <c r="CQ158" s="60"/>
      <c r="CR158" s="60"/>
      <c r="CS158" s="60"/>
      <c r="CT158" s="60"/>
      <c r="CU158" s="60"/>
    </row>
    <row r="159">
      <c r="A159" s="528"/>
      <c r="B159" s="241" t="s">
        <v>155</v>
      </c>
      <c r="C159" s="237" t="s">
        <v>155</v>
      </c>
      <c r="D159" s="238" t="s">
        <v>155</v>
      </c>
      <c r="E159" s="239" t="s">
        <v>155</v>
      </c>
      <c r="F159" s="240" t="s">
        <v>155</v>
      </c>
      <c r="G159" s="241" t="s">
        <v>155</v>
      </c>
      <c r="H159" s="560"/>
      <c r="I159" s="5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8"/>
      <c r="BX159" s="60"/>
      <c r="BY159" s="60"/>
      <c r="BZ159" s="60"/>
      <c r="CA159" s="68"/>
      <c r="CB159" s="60"/>
      <c r="CC159" s="60"/>
      <c r="CD159" s="68"/>
      <c r="CE159" s="60"/>
      <c r="CF159" s="60"/>
      <c r="CG159" s="60"/>
      <c r="CH159" s="60"/>
      <c r="CI159" s="60"/>
      <c r="CJ159" s="60"/>
      <c r="CK159" s="60"/>
      <c r="CL159" s="60"/>
      <c r="CM159" s="60"/>
      <c r="CN159" s="60"/>
      <c r="CO159" s="60"/>
      <c r="CP159" s="60"/>
      <c r="CQ159" s="60"/>
      <c r="CR159" s="60"/>
      <c r="CS159" s="60"/>
      <c r="CT159" s="60"/>
      <c r="CU159" s="60"/>
    </row>
    <row r="160">
      <c r="A160" s="528"/>
      <c r="B160" s="241" t="s">
        <v>155</v>
      </c>
      <c r="C160" s="237" t="s">
        <v>155</v>
      </c>
      <c r="D160" s="238" t="s">
        <v>155</v>
      </c>
      <c r="E160" s="239" t="s">
        <v>155</v>
      </c>
      <c r="F160" s="240" t="s">
        <v>155</v>
      </c>
      <c r="G160" s="241" t="s">
        <v>155</v>
      </c>
      <c r="H160" s="560"/>
      <c r="I160" s="5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8"/>
      <c r="BX160" s="60"/>
      <c r="BY160" s="60"/>
      <c r="BZ160" s="60"/>
      <c r="CA160" s="68"/>
      <c r="CB160" s="60"/>
      <c r="CC160" s="60"/>
      <c r="CD160" s="68"/>
      <c r="CE160" s="60"/>
      <c r="CF160" s="60"/>
      <c r="CG160" s="60"/>
      <c r="CH160" s="60"/>
      <c r="CI160" s="60"/>
      <c r="CJ160" s="60"/>
      <c r="CK160" s="60"/>
      <c r="CL160" s="60"/>
      <c r="CM160" s="60"/>
      <c r="CN160" s="60"/>
      <c r="CO160" s="60"/>
      <c r="CP160" s="60"/>
      <c r="CQ160" s="60"/>
      <c r="CR160" s="60"/>
      <c r="CS160" s="60"/>
      <c r="CT160" s="60"/>
      <c r="CU160" s="60"/>
    </row>
    <row r="161">
      <c r="A161" s="528"/>
      <c r="B161" s="241" t="s">
        <v>155</v>
      </c>
      <c r="C161" s="237" t="s">
        <v>155</v>
      </c>
      <c r="D161" s="238" t="s">
        <v>155</v>
      </c>
      <c r="E161" s="239" t="s">
        <v>155</v>
      </c>
      <c r="F161" s="240" t="s">
        <v>155</v>
      </c>
      <c r="G161" s="241" t="s">
        <v>155</v>
      </c>
      <c r="H161" s="560"/>
      <c r="I161" s="5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8"/>
      <c r="BX161" s="60"/>
      <c r="BY161" s="60"/>
      <c r="BZ161" s="60"/>
      <c r="CA161" s="68"/>
      <c r="CB161" s="60"/>
      <c r="CC161" s="60"/>
      <c r="CD161" s="68"/>
      <c r="CE161" s="60"/>
      <c r="CF161" s="60"/>
      <c r="CG161" s="60"/>
      <c r="CH161" s="60"/>
      <c r="CI161" s="60"/>
      <c r="CJ161" s="60"/>
      <c r="CK161" s="60"/>
      <c r="CL161" s="60"/>
      <c r="CM161" s="60"/>
      <c r="CN161" s="60"/>
      <c r="CO161" s="60"/>
      <c r="CP161" s="60"/>
      <c r="CQ161" s="60"/>
      <c r="CR161" s="60"/>
      <c r="CS161" s="60"/>
      <c r="CT161" s="60"/>
      <c r="CU161" s="60"/>
    </row>
    <row r="162">
      <c r="A162" s="528"/>
      <c r="B162" s="241" t="s">
        <v>155</v>
      </c>
      <c r="C162" s="237" t="s">
        <v>155</v>
      </c>
      <c r="D162" s="238" t="s">
        <v>155</v>
      </c>
      <c r="E162" s="239" t="s">
        <v>155</v>
      </c>
      <c r="F162" s="240" t="s">
        <v>155</v>
      </c>
      <c r="G162" s="241" t="s">
        <v>155</v>
      </c>
      <c r="H162" s="560"/>
      <c r="I162" s="5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8"/>
      <c r="BX162" s="60"/>
      <c r="BY162" s="60"/>
      <c r="BZ162" s="60"/>
      <c r="CA162" s="68"/>
      <c r="CB162" s="60"/>
      <c r="CC162" s="60"/>
      <c r="CD162" s="68"/>
      <c r="CE162" s="60"/>
      <c r="CF162" s="60"/>
      <c r="CG162" s="60"/>
      <c r="CH162" s="60"/>
      <c r="CI162" s="60"/>
      <c r="CJ162" s="60"/>
      <c r="CK162" s="60"/>
      <c r="CL162" s="60"/>
      <c r="CM162" s="60"/>
      <c r="CN162" s="60"/>
      <c r="CO162" s="60"/>
      <c r="CP162" s="60"/>
      <c r="CQ162" s="60"/>
      <c r="CR162" s="60"/>
      <c r="CS162" s="60"/>
      <c r="CT162" s="60"/>
      <c r="CU162" s="60"/>
    </row>
    <row r="163">
      <c r="A163" s="528"/>
      <c r="B163" s="241" t="s">
        <v>155</v>
      </c>
      <c r="C163" s="237" t="s">
        <v>155</v>
      </c>
      <c r="D163" s="238" t="s">
        <v>155</v>
      </c>
      <c r="E163" s="239" t="s">
        <v>155</v>
      </c>
      <c r="F163" s="240" t="s">
        <v>155</v>
      </c>
      <c r="G163" s="241" t="s">
        <v>155</v>
      </c>
      <c r="H163" s="560"/>
      <c r="I163" s="5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8"/>
      <c r="BX163" s="60"/>
      <c r="BY163" s="60"/>
      <c r="BZ163" s="60"/>
      <c r="CA163" s="68"/>
      <c r="CB163" s="60"/>
      <c r="CC163" s="60"/>
      <c r="CD163" s="68"/>
      <c r="CE163" s="60"/>
      <c r="CF163" s="60"/>
      <c r="CG163" s="60"/>
      <c r="CH163" s="60"/>
      <c r="CI163" s="60"/>
      <c r="CJ163" s="60"/>
      <c r="CK163" s="60"/>
      <c r="CL163" s="60"/>
      <c r="CM163" s="60"/>
      <c r="CN163" s="60"/>
      <c r="CO163" s="60"/>
      <c r="CP163" s="60"/>
      <c r="CQ163" s="60"/>
      <c r="CR163" s="60"/>
      <c r="CS163" s="60"/>
      <c r="CT163" s="60"/>
      <c r="CU163" s="60"/>
    </row>
    <row r="164">
      <c r="A164" s="528"/>
      <c r="B164" s="241" t="s">
        <v>155</v>
      </c>
      <c r="C164" s="237" t="s">
        <v>155</v>
      </c>
      <c r="D164" s="238" t="s">
        <v>155</v>
      </c>
      <c r="E164" s="239" t="s">
        <v>155</v>
      </c>
      <c r="F164" s="240" t="s">
        <v>155</v>
      </c>
      <c r="G164" s="241" t="s">
        <v>155</v>
      </c>
      <c r="H164" s="560"/>
      <c r="I164" s="5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8"/>
      <c r="BX164" s="68"/>
      <c r="BY164" s="60"/>
      <c r="BZ164" s="60"/>
      <c r="CA164" s="68"/>
      <c r="CB164" s="60"/>
      <c r="CC164" s="60"/>
      <c r="CD164" s="68"/>
      <c r="CE164" s="60"/>
      <c r="CF164" s="60"/>
      <c r="CG164" s="60"/>
      <c r="CH164" s="60"/>
      <c r="CI164" s="60"/>
      <c r="CJ164" s="60"/>
      <c r="CK164" s="60"/>
      <c r="CL164" s="60"/>
      <c r="CM164" s="60"/>
      <c r="CN164" s="60"/>
      <c r="CO164" s="60"/>
      <c r="CP164" s="60"/>
      <c r="CQ164" s="60"/>
      <c r="CR164" s="60"/>
      <c r="CS164" s="60"/>
      <c r="CT164" s="60"/>
      <c r="CU164" s="60"/>
    </row>
    <row r="165">
      <c r="A165" s="528"/>
      <c r="B165" s="241" t="s">
        <v>155</v>
      </c>
      <c r="C165" s="237" t="s">
        <v>155</v>
      </c>
      <c r="D165" s="238" t="s">
        <v>155</v>
      </c>
      <c r="E165" s="239" t="s">
        <v>155</v>
      </c>
      <c r="F165" s="240" t="s">
        <v>155</v>
      </c>
      <c r="G165" s="241" t="s">
        <v>155</v>
      </c>
      <c r="H165" s="560"/>
      <c r="I165" s="5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8"/>
      <c r="BX165" s="68"/>
      <c r="BY165" s="60"/>
      <c r="BZ165" s="60"/>
      <c r="CA165" s="68"/>
      <c r="CB165" s="60"/>
      <c r="CC165" s="60"/>
      <c r="CD165" s="68"/>
      <c r="CE165" s="60"/>
      <c r="CF165" s="60"/>
      <c r="CG165" s="60"/>
      <c r="CH165" s="60"/>
      <c r="CI165" s="60"/>
      <c r="CJ165" s="60"/>
      <c r="CK165" s="60"/>
      <c r="CL165" s="60"/>
      <c r="CM165" s="60"/>
      <c r="CN165" s="60"/>
      <c r="CO165" s="60"/>
      <c r="CP165" s="60"/>
      <c r="CQ165" s="60"/>
      <c r="CR165" s="60"/>
      <c r="CS165" s="60"/>
      <c r="CT165" s="60"/>
      <c r="CU165" s="60"/>
    </row>
    <row r="166">
      <c r="A166" s="528"/>
      <c r="B166" s="241" t="s">
        <v>155</v>
      </c>
      <c r="C166" s="237" t="s">
        <v>155</v>
      </c>
      <c r="D166" s="238" t="s">
        <v>155</v>
      </c>
      <c r="E166" s="239" t="s">
        <v>155</v>
      </c>
      <c r="F166" s="240" t="s">
        <v>155</v>
      </c>
      <c r="G166" s="241" t="s">
        <v>155</v>
      </c>
      <c r="H166" s="560"/>
      <c r="I166" s="5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8"/>
      <c r="BX166" s="68"/>
      <c r="BY166" s="60"/>
      <c r="BZ166" s="60"/>
      <c r="CA166" s="68"/>
      <c r="CB166" s="60"/>
      <c r="CC166" s="60"/>
      <c r="CD166" s="68"/>
      <c r="CE166" s="60"/>
      <c r="CF166" s="60"/>
      <c r="CG166" s="60"/>
      <c r="CH166" s="60"/>
      <c r="CI166" s="60"/>
      <c r="CJ166" s="60"/>
      <c r="CK166" s="60"/>
      <c r="CL166" s="60"/>
      <c r="CM166" s="60"/>
      <c r="CN166" s="60"/>
      <c r="CO166" s="60"/>
      <c r="CP166" s="60"/>
      <c r="CQ166" s="60"/>
      <c r="CR166" s="60"/>
      <c r="CS166" s="60"/>
      <c r="CT166" s="60"/>
      <c r="CU166" s="60"/>
    </row>
    <row r="167">
      <c r="A167" s="528"/>
      <c r="B167" s="241" t="s">
        <v>155</v>
      </c>
      <c r="C167" s="237" t="s">
        <v>155</v>
      </c>
      <c r="D167" s="238" t="s">
        <v>155</v>
      </c>
      <c r="E167" s="239" t="s">
        <v>155</v>
      </c>
      <c r="F167" s="240" t="s">
        <v>155</v>
      </c>
      <c r="G167" s="241" t="s">
        <v>155</v>
      </c>
      <c r="H167" s="560"/>
      <c r="I167" s="5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8"/>
      <c r="BX167" s="68"/>
      <c r="BY167" s="60"/>
      <c r="BZ167" s="60"/>
      <c r="CA167" s="68"/>
      <c r="CB167" s="60"/>
      <c r="CC167" s="60"/>
      <c r="CD167" s="68"/>
      <c r="CE167" s="60"/>
      <c r="CF167" s="60"/>
      <c r="CG167" s="60"/>
      <c r="CH167" s="60"/>
      <c r="CI167" s="60"/>
      <c r="CJ167" s="60"/>
      <c r="CK167" s="60"/>
      <c r="CL167" s="60"/>
      <c r="CM167" s="60"/>
      <c r="CN167" s="60"/>
      <c r="CO167" s="60"/>
      <c r="CP167" s="60"/>
      <c r="CQ167" s="60"/>
      <c r="CR167" s="60"/>
      <c r="CS167" s="60"/>
      <c r="CT167" s="60"/>
      <c r="CU167" s="60"/>
    </row>
    <row r="168">
      <c r="A168" s="528"/>
      <c r="B168" s="241" t="s">
        <v>155</v>
      </c>
      <c r="C168" s="237" t="s">
        <v>155</v>
      </c>
      <c r="D168" s="238" t="s">
        <v>155</v>
      </c>
      <c r="E168" s="239" t="s">
        <v>155</v>
      </c>
      <c r="F168" s="240" t="s">
        <v>155</v>
      </c>
      <c r="G168" s="241" t="s">
        <v>155</v>
      </c>
      <c r="H168" s="560"/>
      <c r="I168" s="5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8"/>
      <c r="BX168" s="68"/>
      <c r="BY168" s="60"/>
      <c r="BZ168" s="60"/>
      <c r="CA168" s="68"/>
      <c r="CB168" s="60"/>
      <c r="CC168" s="60"/>
      <c r="CD168" s="68"/>
      <c r="CE168" s="60"/>
      <c r="CF168" s="60"/>
      <c r="CG168" s="60"/>
      <c r="CH168" s="60"/>
      <c r="CI168" s="60"/>
      <c r="CJ168" s="60"/>
      <c r="CK168" s="60"/>
      <c r="CL168" s="60"/>
      <c r="CM168" s="60"/>
      <c r="CN168" s="60"/>
      <c r="CO168" s="60"/>
      <c r="CP168" s="60"/>
      <c r="CQ168" s="60"/>
      <c r="CR168" s="60"/>
      <c r="CS168" s="60"/>
      <c r="CT168" s="60"/>
      <c r="CU168" s="60"/>
    </row>
    <row r="169">
      <c r="A169" s="528"/>
      <c r="B169" s="241" t="s">
        <v>155</v>
      </c>
      <c r="C169" s="237" t="s">
        <v>155</v>
      </c>
      <c r="D169" s="238" t="s">
        <v>155</v>
      </c>
      <c r="E169" s="239" t="s">
        <v>155</v>
      </c>
      <c r="F169" s="240" t="s">
        <v>155</v>
      </c>
      <c r="G169" s="241" t="s">
        <v>155</v>
      </c>
      <c r="H169" s="560"/>
      <c r="I169" s="5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8"/>
      <c r="BX169" s="68"/>
      <c r="BY169" s="60"/>
      <c r="BZ169" s="60"/>
      <c r="CA169" s="68"/>
      <c r="CB169" s="60"/>
      <c r="CC169" s="60"/>
      <c r="CD169" s="68"/>
      <c r="CE169" s="60"/>
      <c r="CF169" s="60"/>
      <c r="CG169" s="60"/>
      <c r="CH169" s="60"/>
      <c r="CI169" s="60"/>
      <c r="CJ169" s="60"/>
      <c r="CK169" s="60"/>
      <c r="CL169" s="60"/>
      <c r="CM169" s="60"/>
      <c r="CN169" s="60"/>
      <c r="CO169" s="60"/>
      <c r="CP169" s="60"/>
      <c r="CQ169" s="60"/>
      <c r="CR169" s="60"/>
      <c r="CS169" s="60"/>
      <c r="CT169" s="60"/>
      <c r="CU169" s="60"/>
    </row>
    <row r="170">
      <c r="A170" s="528"/>
      <c r="B170" s="241" t="s">
        <v>155</v>
      </c>
      <c r="C170" s="237" t="s">
        <v>155</v>
      </c>
      <c r="D170" s="238" t="s">
        <v>155</v>
      </c>
      <c r="E170" s="239" t="s">
        <v>155</v>
      </c>
      <c r="F170" s="240" t="s">
        <v>155</v>
      </c>
      <c r="G170" s="241" t="s">
        <v>155</v>
      </c>
      <c r="H170" s="560"/>
      <c r="I170" s="5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8"/>
      <c r="BX170" s="68"/>
      <c r="BY170" s="60"/>
      <c r="BZ170" s="68"/>
      <c r="CA170" s="68"/>
      <c r="CB170" s="60"/>
      <c r="CC170" s="60"/>
      <c r="CD170" s="68"/>
      <c r="CE170" s="60"/>
      <c r="CF170" s="60"/>
      <c r="CG170" s="60"/>
      <c r="CH170" s="60"/>
      <c r="CI170" s="60"/>
      <c r="CJ170" s="60"/>
      <c r="CK170" s="60"/>
      <c r="CL170" s="60"/>
      <c r="CM170" s="60"/>
      <c r="CN170" s="60"/>
      <c r="CO170" s="60"/>
      <c r="CP170" s="60"/>
      <c r="CQ170" s="60"/>
      <c r="CR170" s="60"/>
      <c r="CS170" s="60"/>
      <c r="CT170" s="60"/>
      <c r="CU170" s="60"/>
    </row>
    <row r="171">
      <c r="A171" s="528"/>
      <c r="B171" s="241" t="s">
        <v>155</v>
      </c>
      <c r="C171" s="237" t="s">
        <v>155</v>
      </c>
      <c r="D171" s="238" t="s">
        <v>155</v>
      </c>
      <c r="E171" s="239" t="s">
        <v>155</v>
      </c>
      <c r="F171" s="240" t="s">
        <v>155</v>
      </c>
      <c r="G171" s="241" t="s">
        <v>155</v>
      </c>
      <c r="H171" s="560"/>
      <c r="I171" s="5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8"/>
      <c r="BX171" s="68"/>
      <c r="BY171" s="60"/>
      <c r="BZ171" s="68"/>
      <c r="CA171" s="68"/>
      <c r="CB171" s="60"/>
      <c r="CC171" s="60"/>
      <c r="CD171" s="68"/>
      <c r="CE171" s="60"/>
      <c r="CF171" s="60"/>
      <c r="CG171" s="60"/>
      <c r="CH171" s="60"/>
      <c r="CI171" s="60"/>
      <c r="CJ171" s="60"/>
      <c r="CK171" s="60"/>
      <c r="CL171" s="60"/>
      <c r="CM171" s="60"/>
      <c r="CN171" s="60"/>
      <c r="CO171" s="60"/>
      <c r="CP171" s="60"/>
      <c r="CQ171" s="60"/>
      <c r="CR171" s="60"/>
      <c r="CS171" s="60"/>
      <c r="CT171" s="60"/>
      <c r="CU171" s="60"/>
    </row>
    <row r="172">
      <c r="A172" s="528"/>
      <c r="B172" s="241" t="s">
        <v>155</v>
      </c>
      <c r="C172" s="237" t="s">
        <v>155</v>
      </c>
      <c r="D172" s="238" t="s">
        <v>155</v>
      </c>
      <c r="E172" s="239" t="s">
        <v>155</v>
      </c>
      <c r="F172" s="240" t="s">
        <v>155</v>
      </c>
      <c r="G172" s="241" t="s">
        <v>155</v>
      </c>
      <c r="H172" s="560"/>
      <c r="I172" s="5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8"/>
      <c r="BX172" s="68"/>
      <c r="BY172" s="60"/>
      <c r="BZ172" s="68"/>
      <c r="CA172" s="68"/>
      <c r="CB172" s="60"/>
      <c r="CC172" s="60"/>
      <c r="CD172" s="68"/>
      <c r="CE172" s="60"/>
      <c r="CF172" s="60"/>
      <c r="CG172" s="60"/>
      <c r="CH172" s="60"/>
      <c r="CI172" s="60"/>
      <c r="CJ172" s="60"/>
      <c r="CK172" s="60"/>
      <c r="CL172" s="60"/>
      <c r="CM172" s="60"/>
      <c r="CN172" s="60"/>
      <c r="CO172" s="60"/>
      <c r="CP172" s="60"/>
      <c r="CQ172" s="60"/>
      <c r="CR172" s="60"/>
      <c r="CS172" s="60"/>
      <c r="CT172" s="60"/>
      <c r="CU172" s="60"/>
    </row>
    <row r="173">
      <c r="A173" s="528"/>
      <c r="B173" s="241" t="s">
        <v>155</v>
      </c>
      <c r="C173" s="237" t="s">
        <v>155</v>
      </c>
      <c r="D173" s="238" t="s">
        <v>155</v>
      </c>
      <c r="E173" s="239" t="s">
        <v>155</v>
      </c>
      <c r="F173" s="240" t="s">
        <v>155</v>
      </c>
      <c r="G173" s="241" t="s">
        <v>155</v>
      </c>
      <c r="H173" s="560"/>
      <c r="I173" s="5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8"/>
      <c r="BX173" s="68"/>
      <c r="BY173" s="60"/>
      <c r="BZ173" s="68"/>
      <c r="CA173" s="68"/>
      <c r="CB173" s="60"/>
      <c r="CC173" s="60"/>
      <c r="CD173" s="68"/>
      <c r="CE173" s="60"/>
      <c r="CF173" s="60"/>
      <c r="CG173" s="60"/>
      <c r="CH173" s="60"/>
      <c r="CI173" s="60"/>
      <c r="CJ173" s="60"/>
      <c r="CK173" s="60"/>
      <c r="CL173" s="60"/>
      <c r="CM173" s="60"/>
      <c r="CN173" s="60"/>
      <c r="CO173" s="60"/>
      <c r="CP173" s="60"/>
      <c r="CQ173" s="60"/>
      <c r="CR173" s="60"/>
      <c r="CS173" s="60"/>
      <c r="CT173" s="60"/>
      <c r="CU173" s="60"/>
    </row>
    <row r="174">
      <c r="A174" s="528"/>
      <c r="B174" s="241" t="s">
        <v>155</v>
      </c>
      <c r="C174" s="237" t="s">
        <v>155</v>
      </c>
      <c r="D174" s="238" t="s">
        <v>155</v>
      </c>
      <c r="E174" s="239" t="s">
        <v>155</v>
      </c>
      <c r="F174" s="240" t="s">
        <v>155</v>
      </c>
      <c r="G174" s="241" t="s">
        <v>155</v>
      </c>
      <c r="H174" s="560"/>
      <c r="I174" s="5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8"/>
      <c r="BX174" s="68"/>
      <c r="BY174" s="60"/>
      <c r="BZ174" s="68"/>
      <c r="CA174" s="68"/>
      <c r="CB174" s="60"/>
      <c r="CC174" s="60"/>
      <c r="CD174" s="68"/>
      <c r="CE174" s="60"/>
      <c r="CF174" s="60"/>
      <c r="CG174" s="60"/>
      <c r="CH174" s="60"/>
      <c r="CI174" s="60"/>
      <c r="CJ174" s="60"/>
      <c r="CK174" s="60"/>
      <c r="CL174" s="60"/>
      <c r="CM174" s="60"/>
      <c r="CN174" s="60"/>
      <c r="CO174" s="60"/>
      <c r="CP174" s="60"/>
      <c r="CQ174" s="60"/>
      <c r="CR174" s="60"/>
      <c r="CS174" s="60"/>
      <c r="CT174" s="60"/>
      <c r="CU174" s="60"/>
    </row>
    <row r="175">
      <c r="A175" s="528"/>
      <c r="B175" s="241" t="s">
        <v>155</v>
      </c>
      <c r="C175" s="237" t="s">
        <v>155</v>
      </c>
      <c r="D175" s="238" t="s">
        <v>155</v>
      </c>
      <c r="E175" s="239" t="s">
        <v>155</v>
      </c>
      <c r="F175" s="240" t="s">
        <v>155</v>
      </c>
      <c r="G175" s="241" t="s">
        <v>155</v>
      </c>
      <c r="H175" s="560"/>
      <c r="I175" s="5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8"/>
      <c r="BX175" s="68"/>
      <c r="BY175" s="60"/>
      <c r="BZ175" s="68"/>
      <c r="CA175" s="68"/>
      <c r="CB175" s="60"/>
      <c r="CC175" s="60"/>
      <c r="CD175" s="68"/>
      <c r="CE175" s="60"/>
      <c r="CF175" s="60"/>
      <c r="CG175" s="60"/>
      <c r="CH175" s="60"/>
      <c r="CI175" s="60"/>
      <c r="CJ175" s="60"/>
      <c r="CK175" s="60"/>
      <c r="CL175" s="60"/>
      <c r="CM175" s="60"/>
      <c r="CN175" s="60"/>
      <c r="CO175" s="60"/>
      <c r="CP175" s="60"/>
      <c r="CQ175" s="60"/>
      <c r="CR175" s="60"/>
      <c r="CS175" s="60"/>
      <c r="CT175" s="60"/>
      <c r="CU175" s="60"/>
    </row>
    <row r="176">
      <c r="A176" s="528"/>
      <c r="B176" s="241" t="s">
        <v>155</v>
      </c>
      <c r="C176" s="237" t="s">
        <v>155</v>
      </c>
      <c r="D176" s="238" t="s">
        <v>155</v>
      </c>
      <c r="E176" s="239" t="s">
        <v>155</v>
      </c>
      <c r="F176" s="240" t="s">
        <v>155</v>
      </c>
      <c r="G176" s="241" t="s">
        <v>155</v>
      </c>
      <c r="H176" s="560"/>
      <c r="I176" s="5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8"/>
      <c r="BX176" s="68"/>
      <c r="BY176" s="60"/>
      <c r="BZ176" s="68"/>
      <c r="CA176" s="68"/>
      <c r="CB176" s="60"/>
      <c r="CC176" s="60"/>
      <c r="CD176" s="68"/>
      <c r="CE176" s="60"/>
      <c r="CF176" s="60"/>
      <c r="CG176" s="60"/>
      <c r="CH176" s="60"/>
      <c r="CI176" s="60"/>
      <c r="CJ176" s="60"/>
      <c r="CK176" s="60"/>
      <c r="CL176" s="60"/>
      <c r="CM176" s="60"/>
      <c r="CN176" s="60"/>
      <c r="CO176" s="60"/>
      <c r="CP176" s="60"/>
      <c r="CQ176" s="60"/>
      <c r="CR176" s="60"/>
      <c r="CS176" s="60"/>
      <c r="CT176" s="60"/>
      <c r="CU176" s="60"/>
    </row>
    <row r="177">
      <c r="A177" s="528"/>
      <c r="B177" s="241" t="s">
        <v>155</v>
      </c>
      <c r="C177" s="237" t="s">
        <v>155</v>
      </c>
      <c r="D177" s="238" t="s">
        <v>155</v>
      </c>
      <c r="E177" s="239" t="s">
        <v>155</v>
      </c>
      <c r="F177" s="240" t="s">
        <v>155</v>
      </c>
      <c r="G177" s="241" t="s">
        <v>155</v>
      </c>
      <c r="H177" s="560"/>
      <c r="I177" s="5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8"/>
      <c r="BX177" s="68"/>
      <c r="BY177" s="60"/>
      <c r="BZ177" s="68"/>
      <c r="CA177" s="68"/>
      <c r="CB177" s="60"/>
      <c r="CC177" s="60"/>
      <c r="CD177" s="68"/>
      <c r="CE177" s="60"/>
      <c r="CF177" s="60"/>
      <c r="CG177" s="60"/>
      <c r="CH177" s="60"/>
      <c r="CI177" s="60"/>
      <c r="CJ177" s="60"/>
      <c r="CK177" s="60"/>
      <c r="CL177" s="60"/>
      <c r="CM177" s="60"/>
      <c r="CN177" s="60"/>
      <c r="CO177" s="60"/>
      <c r="CP177" s="60"/>
      <c r="CQ177" s="60"/>
      <c r="CR177" s="60"/>
      <c r="CS177" s="60"/>
      <c r="CT177" s="60"/>
      <c r="CU177" s="60"/>
    </row>
    <row r="178">
      <c r="A178" s="528"/>
      <c r="B178" s="241" t="s">
        <v>155</v>
      </c>
      <c r="C178" s="237" t="s">
        <v>155</v>
      </c>
      <c r="D178" s="238" t="s">
        <v>155</v>
      </c>
      <c r="E178" s="239" t="s">
        <v>155</v>
      </c>
      <c r="F178" s="240" t="s">
        <v>155</v>
      </c>
      <c r="G178" s="241" t="s">
        <v>155</v>
      </c>
      <c r="H178" s="560"/>
      <c r="I178" s="5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8"/>
      <c r="BX178" s="68"/>
      <c r="BY178" s="60"/>
      <c r="BZ178" s="68"/>
      <c r="CA178" s="68"/>
      <c r="CB178" s="60"/>
      <c r="CC178" s="60"/>
      <c r="CD178" s="68"/>
      <c r="CE178" s="60"/>
      <c r="CF178" s="60"/>
      <c r="CG178" s="60"/>
      <c r="CH178" s="60"/>
      <c r="CI178" s="60"/>
      <c r="CJ178" s="60"/>
      <c r="CK178" s="60"/>
      <c r="CL178" s="60"/>
      <c r="CM178" s="60"/>
      <c r="CN178" s="60"/>
      <c r="CO178" s="60"/>
      <c r="CP178" s="60"/>
      <c r="CQ178" s="60"/>
      <c r="CR178" s="60"/>
      <c r="CS178" s="60"/>
      <c r="CT178" s="60"/>
      <c r="CU178" s="60"/>
    </row>
    <row r="179">
      <c r="A179" s="528"/>
      <c r="B179" s="241" t="s">
        <v>155</v>
      </c>
      <c r="C179" s="237" t="s">
        <v>155</v>
      </c>
      <c r="D179" s="238" t="s">
        <v>155</v>
      </c>
      <c r="E179" s="239" t="s">
        <v>155</v>
      </c>
      <c r="F179" s="240" t="s">
        <v>155</v>
      </c>
      <c r="G179" s="241" t="s">
        <v>155</v>
      </c>
      <c r="H179" s="560"/>
      <c r="I179" s="5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8"/>
      <c r="BX179" s="68"/>
      <c r="BY179" s="60"/>
      <c r="BZ179" s="68"/>
      <c r="CA179" s="68"/>
      <c r="CB179" s="60"/>
      <c r="CC179" s="60"/>
      <c r="CD179" s="68"/>
      <c r="CE179" s="60"/>
      <c r="CF179" s="60"/>
      <c r="CG179" s="60"/>
      <c r="CH179" s="60"/>
      <c r="CI179" s="60"/>
      <c r="CJ179" s="60"/>
      <c r="CK179" s="60"/>
      <c r="CL179" s="60"/>
      <c r="CM179" s="60"/>
      <c r="CN179" s="60"/>
      <c r="CO179" s="60"/>
      <c r="CP179" s="60"/>
      <c r="CQ179" s="60"/>
      <c r="CR179" s="60"/>
      <c r="CS179" s="60"/>
      <c r="CT179" s="60"/>
      <c r="CU179" s="60"/>
    </row>
    <row r="180">
      <c r="A180" s="528"/>
      <c r="B180" s="241" t="s">
        <v>155</v>
      </c>
      <c r="C180" s="237" t="s">
        <v>155</v>
      </c>
      <c r="D180" s="238" t="s">
        <v>155</v>
      </c>
      <c r="E180" s="239" t="s">
        <v>155</v>
      </c>
      <c r="F180" s="240" t="s">
        <v>155</v>
      </c>
      <c r="G180" s="241" t="s">
        <v>155</v>
      </c>
      <c r="H180" s="560"/>
      <c r="I180" s="5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8"/>
      <c r="BX180" s="68"/>
      <c r="BY180" s="60"/>
      <c r="BZ180" s="68"/>
      <c r="CA180" s="68"/>
      <c r="CB180" s="60"/>
      <c r="CC180" s="60"/>
      <c r="CD180" s="68"/>
      <c r="CE180" s="60"/>
      <c r="CF180" s="60"/>
      <c r="CG180" s="60"/>
      <c r="CH180" s="60"/>
      <c r="CI180" s="60"/>
      <c r="CJ180" s="60"/>
      <c r="CK180" s="60"/>
      <c r="CL180" s="60"/>
      <c r="CM180" s="60"/>
      <c r="CN180" s="60"/>
      <c r="CO180" s="60"/>
      <c r="CP180" s="60"/>
      <c r="CQ180" s="60"/>
      <c r="CR180" s="60"/>
      <c r="CS180" s="60"/>
      <c r="CT180" s="60"/>
      <c r="CU180" s="60"/>
    </row>
    <row r="181">
      <c r="A181" s="528"/>
      <c r="B181" s="241" t="s">
        <v>155</v>
      </c>
      <c r="C181" s="237" t="s">
        <v>155</v>
      </c>
      <c r="D181" s="238" t="s">
        <v>155</v>
      </c>
      <c r="E181" s="239" t="s">
        <v>155</v>
      </c>
      <c r="F181" s="240" t="s">
        <v>155</v>
      </c>
      <c r="G181" s="241" t="s">
        <v>155</v>
      </c>
      <c r="H181" s="560"/>
      <c r="I181" s="5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8"/>
      <c r="BX181" s="68"/>
      <c r="BY181" s="60"/>
      <c r="BZ181" s="68"/>
      <c r="CA181" s="68"/>
      <c r="CB181" s="60"/>
      <c r="CC181" s="60"/>
      <c r="CD181" s="68"/>
      <c r="CE181" s="60"/>
      <c r="CF181" s="60"/>
      <c r="CG181" s="60"/>
      <c r="CH181" s="60"/>
      <c r="CI181" s="60"/>
      <c r="CJ181" s="60"/>
      <c r="CK181" s="60"/>
      <c r="CL181" s="60"/>
      <c r="CM181" s="60"/>
      <c r="CN181" s="60"/>
      <c r="CO181" s="60"/>
      <c r="CP181" s="60"/>
      <c r="CQ181" s="60"/>
      <c r="CR181" s="60"/>
      <c r="CS181" s="60"/>
      <c r="CT181" s="60"/>
      <c r="CU181" s="60"/>
    </row>
    <row r="182">
      <c r="A182" s="528"/>
      <c r="B182" s="241" t="s">
        <v>155</v>
      </c>
      <c r="C182" s="237" t="s">
        <v>155</v>
      </c>
      <c r="D182" s="238" t="s">
        <v>155</v>
      </c>
      <c r="E182" s="239" t="s">
        <v>155</v>
      </c>
      <c r="F182" s="240" t="s">
        <v>155</v>
      </c>
      <c r="G182" s="241" t="s">
        <v>155</v>
      </c>
      <c r="H182" s="560"/>
      <c r="I182" s="5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8"/>
      <c r="BX182" s="68"/>
      <c r="BY182" s="60"/>
      <c r="BZ182" s="68"/>
      <c r="CA182" s="68"/>
      <c r="CB182" s="60"/>
      <c r="CC182" s="60"/>
      <c r="CD182" s="68"/>
      <c r="CE182" s="60"/>
      <c r="CF182" s="60"/>
      <c r="CG182" s="60"/>
      <c r="CH182" s="60"/>
      <c r="CI182" s="60"/>
      <c r="CJ182" s="60"/>
      <c r="CK182" s="60"/>
      <c r="CL182" s="60"/>
      <c r="CM182" s="60"/>
      <c r="CN182" s="60"/>
      <c r="CO182" s="60"/>
      <c r="CP182" s="60"/>
      <c r="CQ182" s="60"/>
      <c r="CR182" s="60"/>
      <c r="CS182" s="60"/>
      <c r="CT182" s="60"/>
      <c r="CU182" s="60"/>
    </row>
    <row r="183">
      <c r="A183" s="528"/>
      <c r="B183" s="241" t="s">
        <v>155</v>
      </c>
      <c r="C183" s="237" t="s">
        <v>155</v>
      </c>
      <c r="D183" s="238" t="s">
        <v>155</v>
      </c>
      <c r="E183" s="239" t="s">
        <v>155</v>
      </c>
      <c r="F183" s="240" t="s">
        <v>155</v>
      </c>
      <c r="G183" s="241" t="s">
        <v>155</v>
      </c>
      <c r="H183" s="560"/>
      <c r="I183" s="5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8"/>
      <c r="BX183" s="68"/>
      <c r="BY183" s="60"/>
      <c r="BZ183" s="68"/>
      <c r="CA183" s="68"/>
      <c r="CB183" s="60"/>
      <c r="CC183" s="60"/>
      <c r="CD183" s="68"/>
      <c r="CE183" s="60"/>
      <c r="CF183" s="60"/>
      <c r="CG183" s="60"/>
      <c r="CH183" s="60"/>
      <c r="CI183" s="60"/>
      <c r="CJ183" s="60"/>
      <c r="CK183" s="60"/>
      <c r="CL183" s="60"/>
      <c r="CM183" s="60"/>
      <c r="CN183" s="60"/>
      <c r="CO183" s="60"/>
      <c r="CP183" s="60"/>
      <c r="CQ183" s="60"/>
      <c r="CR183" s="60"/>
      <c r="CS183" s="60"/>
      <c r="CT183" s="60"/>
      <c r="CU183" s="60"/>
    </row>
    <row r="184">
      <c r="A184" s="528"/>
      <c r="B184" s="241" t="s">
        <v>155</v>
      </c>
      <c r="C184" s="237" t="s">
        <v>155</v>
      </c>
      <c r="D184" s="238" t="s">
        <v>155</v>
      </c>
      <c r="E184" s="239" t="s">
        <v>155</v>
      </c>
      <c r="F184" s="240" t="s">
        <v>155</v>
      </c>
      <c r="G184" s="241" t="s">
        <v>155</v>
      </c>
      <c r="H184" s="560"/>
      <c r="I184" s="5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8"/>
      <c r="BX184" s="68"/>
      <c r="BY184" s="60"/>
      <c r="BZ184" s="68"/>
      <c r="CA184" s="68"/>
      <c r="CB184" s="60"/>
      <c r="CC184" s="60"/>
      <c r="CD184" s="68"/>
      <c r="CE184" s="60"/>
      <c r="CF184" s="60"/>
      <c r="CG184" s="60"/>
      <c r="CH184" s="60"/>
      <c r="CI184" s="60"/>
      <c r="CJ184" s="60"/>
      <c r="CK184" s="60"/>
      <c r="CL184" s="60"/>
      <c r="CM184" s="60"/>
      <c r="CN184" s="60"/>
      <c r="CO184" s="60"/>
      <c r="CP184" s="60"/>
      <c r="CQ184" s="60"/>
      <c r="CR184" s="60"/>
      <c r="CS184" s="60"/>
      <c r="CT184" s="60"/>
      <c r="CU184" s="60"/>
    </row>
    <row r="185">
      <c r="A185" s="528"/>
      <c r="B185" s="241" t="s">
        <v>155</v>
      </c>
      <c r="C185" s="237" t="s">
        <v>155</v>
      </c>
      <c r="D185" s="238" t="s">
        <v>155</v>
      </c>
      <c r="E185" s="239" t="s">
        <v>155</v>
      </c>
      <c r="F185" s="240" t="s">
        <v>155</v>
      </c>
      <c r="G185" s="241" t="s">
        <v>155</v>
      </c>
      <c r="H185" s="560"/>
      <c r="I185" s="5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8"/>
      <c r="BX185" s="68"/>
      <c r="BY185" s="60"/>
      <c r="BZ185" s="68"/>
      <c r="CA185" s="68"/>
      <c r="CB185" s="60"/>
      <c r="CC185" s="60"/>
      <c r="CD185" s="68"/>
      <c r="CE185" s="60"/>
      <c r="CF185" s="60"/>
      <c r="CG185" s="60"/>
      <c r="CH185" s="60"/>
      <c r="CI185" s="60"/>
      <c r="CJ185" s="60"/>
      <c r="CK185" s="60"/>
      <c r="CL185" s="60"/>
      <c r="CM185" s="60"/>
      <c r="CN185" s="60"/>
      <c r="CO185" s="60"/>
      <c r="CP185" s="60"/>
      <c r="CQ185" s="60"/>
      <c r="CR185" s="60"/>
      <c r="CS185" s="60"/>
      <c r="CT185" s="60"/>
      <c r="CU185" s="60"/>
    </row>
    <row r="186">
      <c r="A186" s="528"/>
      <c r="B186" s="241" t="s">
        <v>155</v>
      </c>
      <c r="C186" s="237" t="s">
        <v>155</v>
      </c>
      <c r="D186" s="238" t="s">
        <v>155</v>
      </c>
      <c r="E186" s="239" t="s">
        <v>155</v>
      </c>
      <c r="F186" s="240" t="s">
        <v>155</v>
      </c>
      <c r="G186" s="241" t="s">
        <v>155</v>
      </c>
      <c r="H186" s="560"/>
      <c r="I186" s="5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8"/>
      <c r="BX186" s="68"/>
      <c r="BY186" s="60"/>
      <c r="BZ186" s="68"/>
      <c r="CA186" s="68"/>
      <c r="CB186" s="60"/>
      <c r="CC186" s="60"/>
      <c r="CD186" s="68"/>
      <c r="CE186" s="60"/>
      <c r="CF186" s="60"/>
      <c r="CG186" s="60"/>
      <c r="CH186" s="60"/>
      <c r="CI186" s="60"/>
      <c r="CJ186" s="60"/>
      <c r="CK186" s="60"/>
      <c r="CL186" s="60"/>
      <c r="CM186" s="60"/>
      <c r="CN186" s="60"/>
      <c r="CO186" s="60"/>
      <c r="CP186" s="60"/>
      <c r="CQ186" s="60"/>
      <c r="CR186" s="60"/>
      <c r="CS186" s="60"/>
      <c r="CT186" s="60"/>
      <c r="CU186" s="60"/>
    </row>
    <row r="187">
      <c r="A187" s="528"/>
      <c r="B187" s="241" t="s">
        <v>155</v>
      </c>
      <c r="C187" s="237" t="s">
        <v>155</v>
      </c>
      <c r="D187" s="238" t="s">
        <v>155</v>
      </c>
      <c r="E187" s="239" t="s">
        <v>155</v>
      </c>
      <c r="F187" s="240" t="s">
        <v>155</v>
      </c>
      <c r="G187" s="241" t="s">
        <v>155</v>
      </c>
      <c r="H187" s="560"/>
      <c r="I187" s="5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8"/>
      <c r="BX187" s="68"/>
      <c r="BY187" s="60"/>
      <c r="BZ187" s="68"/>
      <c r="CA187" s="68"/>
      <c r="CB187" s="60"/>
      <c r="CC187" s="60"/>
      <c r="CD187" s="68"/>
      <c r="CE187" s="60"/>
      <c r="CF187" s="60"/>
      <c r="CG187" s="60"/>
      <c r="CH187" s="60"/>
      <c r="CI187" s="60"/>
      <c r="CJ187" s="60"/>
      <c r="CK187" s="60"/>
      <c r="CL187" s="60"/>
      <c r="CM187" s="60"/>
      <c r="CN187" s="60"/>
      <c r="CO187" s="60"/>
      <c r="CP187" s="60"/>
      <c r="CQ187" s="60"/>
      <c r="CR187" s="60"/>
      <c r="CS187" s="60"/>
      <c r="CT187" s="60"/>
      <c r="CU187" s="60"/>
    </row>
    <row r="188">
      <c r="A188" s="528"/>
      <c r="B188" s="241" t="s">
        <v>155</v>
      </c>
      <c r="C188" s="237" t="s">
        <v>155</v>
      </c>
      <c r="D188" s="238" t="s">
        <v>155</v>
      </c>
      <c r="E188" s="239" t="s">
        <v>155</v>
      </c>
      <c r="F188" s="240" t="s">
        <v>155</v>
      </c>
      <c r="G188" s="241" t="s">
        <v>155</v>
      </c>
      <c r="H188" s="560"/>
      <c r="I188" s="5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8"/>
      <c r="BX188" s="68"/>
      <c r="BY188" s="60"/>
      <c r="BZ188" s="68"/>
      <c r="CA188" s="68"/>
      <c r="CB188" s="60"/>
      <c r="CC188" s="60"/>
      <c r="CD188" s="68"/>
      <c r="CE188" s="60"/>
      <c r="CF188" s="60"/>
      <c r="CG188" s="60"/>
      <c r="CH188" s="60"/>
      <c r="CI188" s="60"/>
      <c r="CJ188" s="60"/>
      <c r="CK188" s="60"/>
      <c r="CL188" s="60"/>
      <c r="CM188" s="60"/>
      <c r="CN188" s="60"/>
      <c r="CO188" s="60"/>
      <c r="CP188" s="60"/>
      <c r="CQ188" s="60"/>
      <c r="CR188" s="60"/>
      <c r="CS188" s="60"/>
      <c r="CT188" s="60"/>
      <c r="CU188" s="60"/>
    </row>
    <row r="189">
      <c r="A189" s="528"/>
      <c r="B189" s="241" t="s">
        <v>155</v>
      </c>
      <c r="C189" s="237" t="s">
        <v>155</v>
      </c>
      <c r="D189" s="238" t="s">
        <v>155</v>
      </c>
      <c r="E189" s="239" t="s">
        <v>155</v>
      </c>
      <c r="F189" s="240" t="s">
        <v>155</v>
      </c>
      <c r="G189" s="241" t="s">
        <v>155</v>
      </c>
      <c r="H189" s="560"/>
      <c r="I189" s="5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8"/>
      <c r="BX189" s="68"/>
      <c r="BY189" s="60"/>
      <c r="BZ189" s="68"/>
      <c r="CA189" s="68"/>
      <c r="CB189" s="60"/>
      <c r="CC189" s="60"/>
      <c r="CD189" s="68"/>
      <c r="CE189" s="60"/>
      <c r="CF189" s="60"/>
      <c r="CG189" s="60"/>
      <c r="CH189" s="60"/>
      <c r="CI189" s="60"/>
      <c r="CJ189" s="60"/>
      <c r="CK189" s="60"/>
      <c r="CL189" s="60"/>
      <c r="CM189" s="60"/>
      <c r="CN189" s="60"/>
      <c r="CO189" s="60"/>
      <c r="CP189" s="60"/>
      <c r="CQ189" s="60"/>
      <c r="CR189" s="60"/>
      <c r="CS189" s="60"/>
      <c r="CT189" s="60"/>
      <c r="CU189" s="60"/>
    </row>
    <row r="190">
      <c r="A190" s="528"/>
      <c r="B190" s="241" t="s">
        <v>155</v>
      </c>
      <c r="C190" s="237" t="s">
        <v>155</v>
      </c>
      <c r="D190" s="238" t="s">
        <v>155</v>
      </c>
      <c r="E190" s="239" t="s">
        <v>155</v>
      </c>
      <c r="F190" s="240" t="s">
        <v>155</v>
      </c>
      <c r="G190" s="241" t="s">
        <v>155</v>
      </c>
      <c r="H190" s="560"/>
      <c r="I190" s="5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8"/>
      <c r="BX190" s="68"/>
      <c r="BY190" s="60"/>
      <c r="BZ190" s="68"/>
      <c r="CA190" s="68"/>
      <c r="CB190" s="60"/>
      <c r="CC190" s="60"/>
      <c r="CD190" s="68"/>
      <c r="CE190" s="60"/>
      <c r="CF190" s="60"/>
      <c r="CG190" s="60"/>
      <c r="CH190" s="60"/>
      <c r="CI190" s="60"/>
      <c r="CJ190" s="60"/>
      <c r="CK190" s="60"/>
      <c r="CL190" s="60"/>
      <c r="CM190" s="60"/>
      <c r="CN190" s="60"/>
      <c r="CO190" s="60"/>
      <c r="CP190" s="60"/>
      <c r="CQ190" s="60"/>
      <c r="CR190" s="60"/>
      <c r="CS190" s="60"/>
      <c r="CT190" s="60"/>
      <c r="CU190" s="60"/>
    </row>
    <row r="191">
      <c r="A191" s="528"/>
      <c r="B191" s="241" t="s">
        <v>155</v>
      </c>
      <c r="C191" s="237" t="s">
        <v>155</v>
      </c>
      <c r="D191" s="238" t="s">
        <v>155</v>
      </c>
      <c r="E191" s="239" t="s">
        <v>155</v>
      </c>
      <c r="F191" s="240" t="s">
        <v>155</v>
      </c>
      <c r="G191" s="241" t="s">
        <v>155</v>
      </c>
      <c r="H191" s="560"/>
      <c r="I191" s="5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8"/>
      <c r="BX191" s="68"/>
      <c r="BY191" s="60"/>
      <c r="BZ191" s="68"/>
      <c r="CA191" s="68"/>
      <c r="CB191" s="60"/>
      <c r="CC191" s="60"/>
      <c r="CD191" s="68"/>
      <c r="CE191" s="60"/>
      <c r="CF191" s="60"/>
      <c r="CG191" s="60"/>
      <c r="CH191" s="60"/>
      <c r="CI191" s="60"/>
      <c r="CJ191" s="60"/>
      <c r="CK191" s="60"/>
      <c r="CL191" s="60"/>
      <c r="CM191" s="60"/>
      <c r="CN191" s="60"/>
      <c r="CO191" s="60"/>
      <c r="CP191" s="60"/>
      <c r="CQ191" s="60"/>
      <c r="CR191" s="60"/>
      <c r="CS191" s="60"/>
      <c r="CT191" s="60"/>
      <c r="CU191" s="60"/>
    </row>
    <row r="192">
      <c r="A192" s="528"/>
      <c r="B192" s="241" t="s">
        <v>155</v>
      </c>
      <c r="C192" s="237" t="s">
        <v>155</v>
      </c>
      <c r="D192" s="238" t="s">
        <v>155</v>
      </c>
      <c r="E192" s="239" t="s">
        <v>155</v>
      </c>
      <c r="F192" s="240" t="s">
        <v>155</v>
      </c>
      <c r="G192" s="241" t="s">
        <v>155</v>
      </c>
      <c r="H192" s="560"/>
      <c r="I192" s="5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8"/>
      <c r="BX192" s="68"/>
      <c r="BY192" s="60"/>
      <c r="BZ192" s="68"/>
      <c r="CA192" s="68"/>
      <c r="CB192" s="60"/>
      <c r="CC192" s="60"/>
      <c r="CD192" s="68"/>
      <c r="CE192" s="60"/>
      <c r="CF192" s="60"/>
      <c r="CG192" s="60"/>
      <c r="CH192" s="60"/>
      <c r="CI192" s="60"/>
      <c r="CJ192" s="60"/>
      <c r="CK192" s="60"/>
      <c r="CL192" s="60"/>
      <c r="CM192" s="60"/>
      <c r="CN192" s="60"/>
      <c r="CO192" s="60"/>
      <c r="CP192" s="60"/>
      <c r="CQ192" s="60"/>
      <c r="CR192" s="60"/>
      <c r="CS192" s="60"/>
      <c r="CT192" s="60"/>
      <c r="CU192" s="60"/>
    </row>
    <row r="193">
      <c r="A193" s="528"/>
      <c r="B193" s="241" t="s">
        <v>155</v>
      </c>
      <c r="C193" s="237" t="s">
        <v>155</v>
      </c>
      <c r="D193" s="238" t="s">
        <v>155</v>
      </c>
      <c r="E193" s="239" t="s">
        <v>155</v>
      </c>
      <c r="F193" s="240" t="s">
        <v>155</v>
      </c>
      <c r="G193" s="241" t="s">
        <v>155</v>
      </c>
      <c r="H193" s="560"/>
      <c r="I193" s="5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8"/>
      <c r="BX193" s="68"/>
      <c r="BY193" s="60"/>
      <c r="BZ193" s="68"/>
      <c r="CA193" s="68"/>
      <c r="CB193" s="60"/>
      <c r="CC193" s="60"/>
      <c r="CD193" s="68"/>
      <c r="CE193" s="60"/>
      <c r="CF193" s="60"/>
      <c r="CG193" s="60"/>
      <c r="CH193" s="60"/>
      <c r="CI193" s="60"/>
      <c r="CJ193" s="60"/>
      <c r="CK193" s="60"/>
      <c r="CL193" s="60"/>
      <c r="CM193" s="60"/>
      <c r="CN193" s="60"/>
      <c r="CO193" s="60"/>
      <c r="CP193" s="60"/>
      <c r="CQ193" s="60"/>
      <c r="CR193" s="60"/>
      <c r="CS193" s="60"/>
      <c r="CT193" s="60"/>
      <c r="CU193" s="60"/>
    </row>
    <row r="194">
      <c r="A194" s="528"/>
      <c r="B194" s="241" t="s">
        <v>155</v>
      </c>
      <c r="C194" s="237" t="s">
        <v>155</v>
      </c>
      <c r="D194" s="238" t="s">
        <v>155</v>
      </c>
      <c r="E194" s="239" t="s">
        <v>155</v>
      </c>
      <c r="F194" s="240" t="s">
        <v>155</v>
      </c>
      <c r="G194" s="241" t="s">
        <v>155</v>
      </c>
      <c r="H194" s="560"/>
      <c r="I194" s="5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8"/>
      <c r="BX194" s="68"/>
      <c r="BY194" s="60"/>
      <c r="BZ194" s="68"/>
      <c r="CA194" s="68"/>
      <c r="CB194" s="60"/>
      <c r="CC194" s="60"/>
      <c r="CD194" s="68"/>
      <c r="CE194" s="60"/>
      <c r="CF194" s="60"/>
      <c r="CG194" s="60"/>
      <c r="CH194" s="60"/>
      <c r="CI194" s="60"/>
      <c r="CJ194" s="60"/>
      <c r="CK194" s="60"/>
      <c r="CL194" s="60"/>
      <c r="CM194" s="60"/>
      <c r="CN194" s="60"/>
      <c r="CO194" s="60"/>
      <c r="CP194" s="60"/>
      <c r="CQ194" s="60"/>
      <c r="CR194" s="60"/>
      <c r="CS194" s="60"/>
      <c r="CT194" s="60"/>
      <c r="CU194" s="60"/>
    </row>
    <row r="195">
      <c r="A195" s="528"/>
      <c r="B195" s="241" t="s">
        <v>155</v>
      </c>
      <c r="C195" s="237" t="s">
        <v>155</v>
      </c>
      <c r="D195" s="238" t="s">
        <v>155</v>
      </c>
      <c r="E195" s="239" t="s">
        <v>155</v>
      </c>
      <c r="F195" s="240" t="s">
        <v>155</v>
      </c>
      <c r="G195" s="241" t="s">
        <v>155</v>
      </c>
      <c r="H195" s="560"/>
      <c r="I195" s="5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8"/>
      <c r="BX195" s="68"/>
      <c r="BY195" s="60"/>
      <c r="BZ195" s="68"/>
      <c r="CA195" s="68"/>
      <c r="CB195" s="60"/>
      <c r="CC195" s="60"/>
      <c r="CD195" s="68"/>
      <c r="CE195" s="60"/>
      <c r="CF195" s="60"/>
      <c r="CG195" s="60"/>
      <c r="CH195" s="60"/>
      <c r="CI195" s="60"/>
      <c r="CJ195" s="60"/>
      <c r="CK195" s="60"/>
      <c r="CL195" s="60"/>
      <c r="CM195" s="60"/>
      <c r="CN195" s="60"/>
      <c r="CO195" s="60"/>
      <c r="CP195" s="60"/>
      <c r="CQ195" s="60"/>
      <c r="CR195" s="60"/>
      <c r="CS195" s="60"/>
      <c r="CT195" s="60"/>
      <c r="CU195" s="60"/>
    </row>
    <row r="196">
      <c r="A196" s="528"/>
      <c r="B196" s="241" t="s">
        <v>155</v>
      </c>
      <c r="C196" s="237" t="s">
        <v>155</v>
      </c>
      <c r="D196" s="238" t="s">
        <v>155</v>
      </c>
      <c r="E196" s="239" t="s">
        <v>155</v>
      </c>
      <c r="F196" s="240" t="s">
        <v>155</v>
      </c>
      <c r="G196" s="241" t="s">
        <v>155</v>
      </c>
      <c r="H196" s="560"/>
      <c r="I196" s="5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8"/>
      <c r="BX196" s="68"/>
      <c r="BY196" s="60"/>
      <c r="BZ196" s="68"/>
      <c r="CA196" s="68"/>
      <c r="CB196" s="60"/>
      <c r="CC196" s="60"/>
      <c r="CD196" s="68"/>
      <c r="CE196" s="60"/>
      <c r="CF196" s="60"/>
      <c r="CG196" s="60"/>
      <c r="CH196" s="60"/>
      <c r="CI196" s="60"/>
      <c r="CJ196" s="60"/>
      <c r="CK196" s="60"/>
      <c r="CL196" s="60"/>
      <c r="CM196" s="60"/>
      <c r="CN196" s="60"/>
      <c r="CO196" s="60"/>
      <c r="CP196" s="60"/>
      <c r="CQ196" s="60"/>
      <c r="CR196" s="60"/>
      <c r="CS196" s="60"/>
      <c r="CT196" s="60"/>
      <c r="CU196" s="60"/>
    </row>
    <row r="197">
      <c r="A197" s="528"/>
      <c r="B197" s="241" t="s">
        <v>155</v>
      </c>
      <c r="C197" s="237" t="s">
        <v>155</v>
      </c>
      <c r="D197" s="238" t="s">
        <v>155</v>
      </c>
      <c r="E197" s="239" t="s">
        <v>155</v>
      </c>
      <c r="F197" s="240" t="s">
        <v>155</v>
      </c>
      <c r="G197" s="241" t="s">
        <v>155</v>
      </c>
      <c r="H197" s="560"/>
      <c r="I197" s="5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8"/>
      <c r="BX197" s="68"/>
      <c r="BY197" s="60"/>
      <c r="BZ197" s="68"/>
      <c r="CA197" s="68"/>
      <c r="CB197" s="60"/>
      <c r="CC197" s="60"/>
      <c r="CD197" s="68"/>
      <c r="CE197" s="60"/>
      <c r="CF197" s="60"/>
      <c r="CG197" s="60"/>
      <c r="CH197" s="60"/>
      <c r="CI197" s="60"/>
      <c r="CJ197" s="60"/>
      <c r="CK197" s="60"/>
      <c r="CL197" s="60"/>
      <c r="CM197" s="60"/>
      <c r="CN197" s="60"/>
      <c r="CO197" s="60"/>
      <c r="CP197" s="60"/>
      <c r="CQ197" s="60"/>
      <c r="CR197" s="60"/>
      <c r="CS197" s="60"/>
      <c r="CT197" s="60"/>
      <c r="CU197" s="60"/>
    </row>
    <row r="198">
      <c r="A198" s="528"/>
      <c r="B198" s="241" t="s">
        <v>155</v>
      </c>
      <c r="C198" s="237" t="s">
        <v>155</v>
      </c>
      <c r="D198" s="238" t="s">
        <v>155</v>
      </c>
      <c r="E198" s="239" t="s">
        <v>155</v>
      </c>
      <c r="F198" s="240" t="s">
        <v>155</v>
      </c>
      <c r="G198" s="241" t="s">
        <v>155</v>
      </c>
      <c r="H198" s="560"/>
      <c r="I198" s="5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8"/>
      <c r="BX198" s="68"/>
      <c r="BY198" s="60"/>
      <c r="BZ198" s="68"/>
      <c r="CA198" s="68"/>
      <c r="CB198" s="60"/>
      <c r="CC198" s="60"/>
      <c r="CD198" s="68"/>
      <c r="CE198" s="60"/>
      <c r="CF198" s="60"/>
      <c r="CG198" s="60"/>
      <c r="CH198" s="60"/>
      <c r="CI198" s="60"/>
      <c r="CJ198" s="60"/>
      <c r="CK198" s="60"/>
      <c r="CL198" s="60"/>
      <c r="CM198" s="60"/>
      <c r="CN198" s="60"/>
      <c r="CO198" s="60"/>
      <c r="CP198" s="60"/>
      <c r="CQ198" s="60"/>
      <c r="CR198" s="60"/>
      <c r="CS198" s="60"/>
      <c r="CT198" s="60"/>
      <c r="CU198" s="60"/>
    </row>
    <row r="199">
      <c r="A199" s="528"/>
      <c r="B199" s="241" t="s">
        <v>155</v>
      </c>
      <c r="C199" s="237" t="s">
        <v>155</v>
      </c>
      <c r="D199" s="238" t="s">
        <v>155</v>
      </c>
      <c r="E199" s="239" t="s">
        <v>155</v>
      </c>
      <c r="F199" s="240" t="s">
        <v>155</v>
      </c>
      <c r="G199" s="241" t="s">
        <v>155</v>
      </c>
      <c r="H199" s="560"/>
      <c r="I199" s="5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8"/>
      <c r="BX199" s="68"/>
      <c r="BY199" s="60"/>
      <c r="BZ199" s="68"/>
      <c r="CA199" s="68"/>
      <c r="CB199" s="60"/>
      <c r="CC199" s="60"/>
      <c r="CD199" s="68"/>
      <c r="CE199" s="60"/>
      <c r="CF199" s="60"/>
      <c r="CG199" s="60"/>
      <c r="CH199" s="60"/>
      <c r="CI199" s="60"/>
      <c r="CJ199" s="60"/>
      <c r="CK199" s="60"/>
      <c r="CL199" s="60"/>
      <c r="CM199" s="60"/>
      <c r="CN199" s="60"/>
      <c r="CO199" s="60"/>
      <c r="CP199" s="60"/>
      <c r="CQ199" s="60"/>
      <c r="CR199" s="60"/>
      <c r="CS199" s="60"/>
      <c r="CT199" s="60"/>
      <c r="CU199" s="60"/>
    </row>
    <row r="200">
      <c r="A200" s="528"/>
      <c r="B200" s="241" t="s">
        <v>155</v>
      </c>
      <c r="C200" s="237" t="s">
        <v>155</v>
      </c>
      <c r="D200" s="238" t="s">
        <v>155</v>
      </c>
      <c r="E200" s="239" t="s">
        <v>155</v>
      </c>
      <c r="F200" s="240" t="s">
        <v>155</v>
      </c>
      <c r="G200" s="241" t="s">
        <v>155</v>
      </c>
      <c r="H200" s="560"/>
      <c r="I200" s="5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8"/>
      <c r="BX200" s="68"/>
      <c r="BY200" s="60"/>
      <c r="BZ200" s="68"/>
      <c r="CA200" s="68"/>
      <c r="CB200" s="60"/>
      <c r="CC200" s="60"/>
      <c r="CD200" s="68"/>
      <c r="CE200" s="60"/>
      <c r="CF200" s="60"/>
      <c r="CG200" s="60"/>
      <c r="CH200" s="60"/>
      <c r="CI200" s="60"/>
      <c r="CJ200" s="60"/>
      <c r="CK200" s="60"/>
      <c r="CL200" s="60"/>
      <c r="CM200" s="60"/>
      <c r="CN200" s="60"/>
      <c r="CO200" s="60"/>
      <c r="CP200" s="60"/>
      <c r="CQ200" s="60"/>
      <c r="CR200" s="60"/>
      <c r="CS200" s="60"/>
      <c r="CT200" s="60"/>
      <c r="CU200" s="60"/>
    </row>
    <row r="201">
      <c r="A201" s="528"/>
      <c r="B201" s="241" t="s">
        <v>155</v>
      </c>
      <c r="C201" s="237" t="s">
        <v>155</v>
      </c>
      <c r="D201" s="238" t="s">
        <v>155</v>
      </c>
      <c r="E201" s="239" t="s">
        <v>155</v>
      </c>
      <c r="F201" s="240" t="s">
        <v>155</v>
      </c>
      <c r="G201" s="241" t="s">
        <v>155</v>
      </c>
      <c r="H201" s="560"/>
      <c r="I201" s="5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8"/>
      <c r="BX201" s="68"/>
      <c r="BY201" s="60"/>
      <c r="BZ201" s="68"/>
      <c r="CA201" s="68"/>
      <c r="CB201" s="60"/>
      <c r="CC201" s="60"/>
      <c r="CD201" s="68"/>
      <c r="CE201" s="60"/>
      <c r="CF201" s="60"/>
      <c r="CG201" s="60"/>
      <c r="CH201" s="60"/>
      <c r="CI201" s="60"/>
      <c r="CJ201" s="60"/>
      <c r="CK201" s="60"/>
      <c r="CL201" s="60"/>
      <c r="CM201" s="60"/>
      <c r="CN201" s="60"/>
      <c r="CO201" s="60"/>
      <c r="CP201" s="60"/>
      <c r="CQ201" s="60"/>
      <c r="CR201" s="60"/>
      <c r="CS201" s="60"/>
      <c r="CT201" s="60"/>
      <c r="CU201" s="60"/>
    </row>
    <row r="202">
      <c r="A202" s="528"/>
      <c r="B202" s="241" t="s">
        <v>155</v>
      </c>
      <c r="C202" s="237" t="s">
        <v>155</v>
      </c>
      <c r="D202" s="238" t="s">
        <v>155</v>
      </c>
      <c r="E202" s="239" t="s">
        <v>155</v>
      </c>
      <c r="F202" s="240" t="s">
        <v>155</v>
      </c>
      <c r="G202" s="241" t="s">
        <v>155</v>
      </c>
      <c r="H202" s="560"/>
      <c r="I202" s="5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8"/>
      <c r="BX202" s="68"/>
      <c r="BY202" s="60"/>
      <c r="BZ202" s="68"/>
      <c r="CA202" s="68"/>
      <c r="CB202" s="60"/>
      <c r="CC202" s="60"/>
      <c r="CD202" s="68"/>
      <c r="CE202" s="60"/>
      <c r="CF202" s="60"/>
      <c r="CG202" s="60"/>
      <c r="CH202" s="60"/>
      <c r="CI202" s="60"/>
      <c r="CJ202" s="60"/>
      <c r="CK202" s="60"/>
      <c r="CL202" s="60"/>
      <c r="CM202" s="60"/>
      <c r="CN202" s="60"/>
      <c r="CO202" s="60"/>
      <c r="CP202" s="60"/>
      <c r="CQ202" s="60"/>
      <c r="CR202" s="60"/>
      <c r="CS202" s="60"/>
      <c r="CT202" s="60"/>
      <c r="CU202" s="60"/>
    </row>
    <row r="203">
      <c r="A203" s="528"/>
      <c r="B203" s="241" t="s">
        <v>155</v>
      </c>
      <c r="C203" s="237" t="s">
        <v>155</v>
      </c>
      <c r="D203" s="238" t="s">
        <v>155</v>
      </c>
      <c r="E203" s="239" t="s">
        <v>155</v>
      </c>
      <c r="F203" s="240" t="s">
        <v>155</v>
      </c>
      <c r="G203" s="241" t="s">
        <v>155</v>
      </c>
      <c r="H203" s="560"/>
      <c r="I203" s="5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8"/>
      <c r="BX203" s="68"/>
      <c r="BY203" s="60"/>
      <c r="BZ203" s="68"/>
      <c r="CA203" s="68"/>
      <c r="CB203" s="60"/>
      <c r="CC203" s="60"/>
      <c r="CD203" s="68"/>
      <c r="CE203" s="60"/>
      <c r="CF203" s="60"/>
      <c r="CG203" s="60"/>
      <c r="CH203" s="60"/>
      <c r="CI203" s="60"/>
      <c r="CJ203" s="60"/>
      <c r="CK203" s="60"/>
      <c r="CL203" s="60"/>
      <c r="CM203" s="60"/>
      <c r="CN203" s="60"/>
      <c r="CO203" s="60"/>
      <c r="CP203" s="60"/>
      <c r="CQ203" s="60"/>
      <c r="CR203" s="60"/>
      <c r="CS203" s="60"/>
      <c r="CT203" s="60"/>
      <c r="CU203" s="60"/>
    </row>
    <row r="204">
      <c r="A204" s="528"/>
      <c r="B204" s="241" t="s">
        <v>155</v>
      </c>
      <c r="C204" s="237" t="s">
        <v>155</v>
      </c>
      <c r="D204" s="238" t="s">
        <v>155</v>
      </c>
      <c r="E204" s="239" t="s">
        <v>155</v>
      </c>
      <c r="F204" s="240" t="s">
        <v>155</v>
      </c>
      <c r="G204" s="241" t="s">
        <v>155</v>
      </c>
      <c r="H204" s="560"/>
      <c r="I204" s="5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8"/>
      <c r="BX204" s="68"/>
      <c r="BY204" s="60"/>
      <c r="BZ204" s="68"/>
      <c r="CA204" s="68"/>
      <c r="CB204" s="60"/>
      <c r="CC204" s="60"/>
      <c r="CD204" s="68"/>
      <c r="CE204" s="60"/>
      <c r="CF204" s="60"/>
      <c r="CG204" s="60"/>
      <c r="CH204" s="60"/>
      <c r="CI204" s="60"/>
      <c r="CJ204" s="60"/>
      <c r="CK204" s="60"/>
      <c r="CL204" s="60"/>
      <c r="CM204" s="60"/>
      <c r="CN204" s="60"/>
      <c r="CO204" s="60"/>
      <c r="CP204" s="60"/>
      <c r="CQ204" s="60"/>
      <c r="CR204" s="60"/>
      <c r="CS204" s="60"/>
      <c r="CT204" s="60"/>
      <c r="CU204" s="60"/>
    </row>
    <row r="205">
      <c r="A205" s="528"/>
      <c r="B205" s="241" t="s">
        <v>155</v>
      </c>
      <c r="C205" s="237" t="s">
        <v>155</v>
      </c>
      <c r="D205" s="238" t="s">
        <v>155</v>
      </c>
      <c r="E205" s="239" t="s">
        <v>155</v>
      </c>
      <c r="F205" s="240" t="s">
        <v>155</v>
      </c>
      <c r="G205" s="241" t="s">
        <v>155</v>
      </c>
      <c r="H205" s="560"/>
      <c r="I205" s="5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8"/>
      <c r="BX205" s="68"/>
      <c r="BY205" s="60"/>
      <c r="BZ205" s="68"/>
      <c r="CA205" s="68"/>
      <c r="CB205" s="60"/>
      <c r="CC205" s="60"/>
      <c r="CD205" s="68"/>
      <c r="CE205" s="60"/>
      <c r="CF205" s="60"/>
      <c r="CG205" s="60"/>
      <c r="CH205" s="60"/>
      <c r="CI205" s="60"/>
      <c r="CJ205" s="60"/>
      <c r="CK205" s="60"/>
      <c r="CL205" s="60"/>
      <c r="CM205" s="60"/>
      <c r="CN205" s="60"/>
      <c r="CO205" s="60"/>
      <c r="CP205" s="60"/>
      <c r="CQ205" s="60"/>
      <c r="CR205" s="60"/>
      <c r="CS205" s="60"/>
      <c r="CT205" s="60"/>
      <c r="CU205" s="60"/>
    </row>
    <row r="206">
      <c r="A206" s="528"/>
      <c r="B206" s="241" t="s">
        <v>155</v>
      </c>
      <c r="C206" s="237" t="s">
        <v>155</v>
      </c>
      <c r="D206" s="238" t="s">
        <v>155</v>
      </c>
      <c r="E206" s="239" t="s">
        <v>155</v>
      </c>
      <c r="F206" s="240" t="s">
        <v>155</v>
      </c>
      <c r="G206" s="241" t="s">
        <v>155</v>
      </c>
      <c r="H206" s="560"/>
      <c r="I206" s="5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8"/>
      <c r="BX206" s="68"/>
      <c r="BY206" s="60"/>
      <c r="BZ206" s="68"/>
      <c r="CA206" s="68"/>
      <c r="CB206" s="60"/>
      <c r="CC206" s="60"/>
      <c r="CD206" s="68"/>
      <c r="CE206" s="60"/>
      <c r="CF206" s="60"/>
      <c r="CG206" s="60"/>
      <c r="CH206" s="60"/>
      <c r="CI206" s="60"/>
      <c r="CJ206" s="60"/>
      <c r="CK206" s="60"/>
      <c r="CL206" s="60"/>
      <c r="CM206" s="60"/>
      <c r="CN206" s="60"/>
      <c r="CO206" s="60"/>
      <c r="CP206" s="60"/>
      <c r="CQ206" s="60"/>
      <c r="CR206" s="60"/>
      <c r="CS206" s="60"/>
      <c r="CT206" s="60"/>
      <c r="CU206" s="60"/>
    </row>
    <row r="207">
      <c r="A207" s="528"/>
      <c r="B207" s="241" t="s">
        <v>155</v>
      </c>
      <c r="C207" s="237" t="s">
        <v>155</v>
      </c>
      <c r="D207" s="238" t="s">
        <v>155</v>
      </c>
      <c r="E207" s="239" t="s">
        <v>155</v>
      </c>
      <c r="F207" s="240" t="s">
        <v>155</v>
      </c>
      <c r="G207" s="241" t="s">
        <v>155</v>
      </c>
      <c r="H207" s="560"/>
      <c r="I207" s="5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8"/>
      <c r="BX207" s="68"/>
      <c r="BY207" s="60"/>
      <c r="BZ207" s="68"/>
      <c r="CA207" s="68"/>
      <c r="CB207" s="60"/>
      <c r="CC207" s="60"/>
      <c r="CD207" s="68"/>
      <c r="CE207" s="60"/>
      <c r="CF207" s="60"/>
      <c r="CG207" s="60"/>
      <c r="CH207" s="60"/>
      <c r="CI207" s="60"/>
      <c r="CJ207" s="60"/>
      <c r="CK207" s="60"/>
      <c r="CL207" s="60"/>
      <c r="CM207" s="60"/>
      <c r="CN207" s="60"/>
      <c r="CO207" s="60"/>
      <c r="CP207" s="60"/>
      <c r="CQ207" s="60"/>
      <c r="CR207" s="60"/>
      <c r="CS207" s="60"/>
      <c r="CT207" s="60"/>
      <c r="CU207" s="60"/>
    </row>
    <row r="208">
      <c r="A208" s="528"/>
      <c r="B208" s="241" t="s">
        <v>155</v>
      </c>
      <c r="C208" s="237" t="s">
        <v>155</v>
      </c>
      <c r="D208" s="238" t="s">
        <v>155</v>
      </c>
      <c r="E208" s="239" t="s">
        <v>155</v>
      </c>
      <c r="F208" s="240" t="s">
        <v>155</v>
      </c>
      <c r="G208" s="241" t="s">
        <v>155</v>
      </c>
      <c r="H208" s="560"/>
      <c r="I208" s="5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8"/>
      <c r="BX208" s="68"/>
      <c r="BY208" s="60"/>
      <c r="BZ208" s="68"/>
      <c r="CA208" s="68"/>
      <c r="CB208" s="60"/>
      <c r="CC208" s="60"/>
      <c r="CD208" s="68"/>
      <c r="CE208" s="60"/>
      <c r="CF208" s="60"/>
      <c r="CG208" s="60"/>
      <c r="CH208" s="60"/>
      <c r="CI208" s="60"/>
      <c r="CJ208" s="60"/>
      <c r="CK208" s="60"/>
      <c r="CL208" s="60"/>
      <c r="CM208" s="60"/>
      <c r="CN208" s="60"/>
      <c r="CO208" s="60"/>
      <c r="CP208" s="60"/>
      <c r="CQ208" s="60"/>
      <c r="CR208" s="60"/>
      <c r="CS208" s="60"/>
      <c r="CT208" s="60"/>
      <c r="CU208" s="60"/>
    </row>
    <row r="209">
      <c r="A209" s="528"/>
      <c r="B209" s="241" t="s">
        <v>155</v>
      </c>
      <c r="C209" s="237" t="s">
        <v>155</v>
      </c>
      <c r="D209" s="238" t="s">
        <v>155</v>
      </c>
      <c r="E209" s="239" t="s">
        <v>155</v>
      </c>
      <c r="F209" s="240" t="s">
        <v>155</v>
      </c>
      <c r="G209" s="241" t="s">
        <v>155</v>
      </c>
      <c r="H209" s="560"/>
      <c r="I209" s="5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8"/>
      <c r="BX209" s="68"/>
      <c r="BY209" s="60"/>
      <c r="BZ209" s="68"/>
      <c r="CA209" s="68"/>
      <c r="CB209" s="60"/>
      <c r="CC209" s="60"/>
      <c r="CD209" s="68"/>
      <c r="CE209" s="60"/>
      <c r="CF209" s="60"/>
      <c r="CG209" s="60"/>
      <c r="CH209" s="60"/>
      <c r="CI209" s="60"/>
      <c r="CJ209" s="60"/>
      <c r="CK209" s="60"/>
      <c r="CL209" s="60"/>
      <c r="CM209" s="60"/>
      <c r="CN209" s="60"/>
      <c r="CO209" s="60"/>
      <c r="CP209" s="60"/>
      <c r="CQ209" s="60"/>
      <c r="CR209" s="60"/>
      <c r="CS209" s="60"/>
      <c r="CT209" s="60"/>
      <c r="CU209" s="60"/>
    </row>
    <row r="210">
      <c r="A210" s="528"/>
      <c r="B210" s="241" t="s">
        <v>155</v>
      </c>
      <c r="C210" s="237" t="s">
        <v>155</v>
      </c>
      <c r="D210" s="238" t="s">
        <v>155</v>
      </c>
      <c r="E210" s="239" t="s">
        <v>155</v>
      </c>
      <c r="F210" s="240" t="s">
        <v>155</v>
      </c>
      <c r="G210" s="241" t="s">
        <v>155</v>
      </c>
      <c r="H210" s="560"/>
      <c r="I210" s="5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8"/>
      <c r="BX210" s="68"/>
      <c r="BY210" s="60"/>
      <c r="BZ210" s="68"/>
      <c r="CA210" s="68"/>
      <c r="CB210" s="60"/>
      <c r="CC210" s="60"/>
      <c r="CD210" s="68"/>
      <c r="CE210" s="60"/>
      <c r="CF210" s="60"/>
      <c r="CG210" s="60"/>
      <c r="CH210" s="60"/>
      <c r="CI210" s="60"/>
      <c r="CJ210" s="60"/>
      <c r="CK210" s="60"/>
      <c r="CL210" s="60"/>
      <c r="CM210" s="60"/>
      <c r="CN210" s="60"/>
      <c r="CO210" s="60"/>
      <c r="CP210" s="60"/>
      <c r="CQ210" s="60"/>
      <c r="CR210" s="60"/>
      <c r="CS210" s="60"/>
      <c r="CT210" s="60"/>
      <c r="CU210" s="60"/>
    </row>
    <row r="211">
      <c r="A211" s="528"/>
      <c r="B211" s="241" t="s">
        <v>155</v>
      </c>
      <c r="C211" s="237" t="s">
        <v>155</v>
      </c>
      <c r="D211" s="238" t="s">
        <v>155</v>
      </c>
      <c r="E211" s="239" t="s">
        <v>155</v>
      </c>
      <c r="F211" s="240" t="s">
        <v>155</v>
      </c>
      <c r="G211" s="241" t="s">
        <v>155</v>
      </c>
      <c r="H211" s="560"/>
      <c r="I211" s="5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8"/>
      <c r="BX211" s="68"/>
      <c r="BY211" s="60"/>
      <c r="BZ211" s="68"/>
      <c r="CA211" s="68"/>
      <c r="CB211" s="60"/>
      <c r="CC211" s="60"/>
      <c r="CD211" s="68"/>
      <c r="CE211" s="60"/>
      <c r="CF211" s="60"/>
      <c r="CG211" s="60"/>
      <c r="CH211" s="60"/>
      <c r="CI211" s="60"/>
      <c r="CJ211" s="60"/>
      <c r="CK211" s="60"/>
      <c r="CL211" s="60"/>
      <c r="CM211" s="60"/>
      <c r="CN211" s="60"/>
      <c r="CO211" s="60"/>
      <c r="CP211" s="60"/>
      <c r="CQ211" s="60"/>
      <c r="CR211" s="60"/>
      <c r="CS211" s="60"/>
      <c r="CT211" s="60"/>
      <c r="CU211" s="60"/>
    </row>
    <row r="212">
      <c r="A212" s="528"/>
      <c r="B212" s="241" t="s">
        <v>155</v>
      </c>
      <c r="C212" s="237" t="s">
        <v>155</v>
      </c>
      <c r="D212" s="238" t="s">
        <v>155</v>
      </c>
      <c r="E212" s="239" t="s">
        <v>155</v>
      </c>
      <c r="F212" s="240" t="s">
        <v>155</v>
      </c>
      <c r="G212" s="241" t="s">
        <v>155</v>
      </c>
      <c r="H212" s="560"/>
      <c r="I212" s="5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8"/>
      <c r="BX212" s="68"/>
      <c r="BY212" s="60"/>
      <c r="BZ212" s="68"/>
      <c r="CA212" s="68"/>
      <c r="CB212" s="60"/>
      <c r="CC212" s="60"/>
      <c r="CD212" s="68"/>
      <c r="CE212" s="60"/>
      <c r="CF212" s="60"/>
      <c r="CG212" s="60"/>
      <c r="CH212" s="60"/>
      <c r="CI212" s="60"/>
      <c r="CJ212" s="60"/>
      <c r="CK212" s="60"/>
      <c r="CL212" s="60"/>
      <c r="CM212" s="60"/>
      <c r="CN212" s="60"/>
      <c r="CO212" s="60"/>
      <c r="CP212" s="60"/>
      <c r="CQ212" s="60"/>
      <c r="CR212" s="60"/>
      <c r="CS212" s="60"/>
      <c r="CT212" s="60"/>
      <c r="CU212" s="60"/>
    </row>
    <row r="213">
      <c r="A213" s="528"/>
      <c r="B213" s="241" t="s">
        <v>155</v>
      </c>
      <c r="C213" s="237" t="s">
        <v>155</v>
      </c>
      <c r="D213" s="238" t="s">
        <v>155</v>
      </c>
      <c r="E213" s="239" t="s">
        <v>155</v>
      </c>
      <c r="F213" s="240" t="s">
        <v>155</v>
      </c>
      <c r="G213" s="241" t="s">
        <v>155</v>
      </c>
      <c r="H213" s="560"/>
      <c r="I213" s="5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8"/>
      <c r="BX213" s="68"/>
      <c r="BY213" s="60"/>
      <c r="BZ213" s="68"/>
      <c r="CA213" s="68"/>
      <c r="CB213" s="60"/>
      <c r="CC213" s="60"/>
      <c r="CD213" s="68"/>
      <c r="CE213" s="60"/>
      <c r="CF213" s="60"/>
      <c r="CG213" s="60"/>
      <c r="CH213" s="60"/>
      <c r="CI213" s="60"/>
      <c r="CJ213" s="60"/>
      <c r="CK213" s="60"/>
      <c r="CL213" s="60"/>
      <c r="CM213" s="60"/>
      <c r="CN213" s="60"/>
      <c r="CO213" s="60"/>
      <c r="CP213" s="60"/>
      <c r="CQ213" s="60"/>
      <c r="CR213" s="60"/>
      <c r="CS213" s="60"/>
      <c r="CT213" s="60"/>
      <c r="CU213" s="60"/>
    </row>
    <row r="214">
      <c r="A214" s="528"/>
      <c r="B214" s="241" t="s">
        <v>155</v>
      </c>
      <c r="C214" s="237" t="s">
        <v>155</v>
      </c>
      <c r="D214" s="238" t="s">
        <v>155</v>
      </c>
      <c r="E214" s="239" t="s">
        <v>155</v>
      </c>
      <c r="F214" s="240" t="s">
        <v>155</v>
      </c>
      <c r="G214" s="241" t="s">
        <v>155</v>
      </c>
      <c r="H214" s="560"/>
      <c r="I214" s="5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8"/>
      <c r="BX214" s="68"/>
      <c r="BY214" s="60"/>
      <c r="BZ214" s="68"/>
      <c r="CA214" s="68"/>
      <c r="CB214" s="60"/>
      <c r="CC214" s="60"/>
      <c r="CD214" s="68"/>
      <c r="CE214" s="60"/>
      <c r="CF214" s="60"/>
      <c r="CG214" s="60"/>
      <c r="CH214" s="60"/>
      <c r="CI214" s="60"/>
      <c r="CJ214" s="60"/>
      <c r="CK214" s="60"/>
      <c r="CL214" s="60"/>
      <c r="CM214" s="60"/>
      <c r="CN214" s="60"/>
      <c r="CO214" s="60"/>
      <c r="CP214" s="60"/>
      <c r="CQ214" s="60"/>
      <c r="CR214" s="60"/>
      <c r="CS214" s="60"/>
      <c r="CT214" s="60"/>
      <c r="CU214" s="60"/>
    </row>
    <row r="215">
      <c r="A215" s="528"/>
      <c r="B215" s="241" t="s">
        <v>155</v>
      </c>
      <c r="C215" s="237" t="s">
        <v>155</v>
      </c>
      <c r="D215" s="238" t="s">
        <v>155</v>
      </c>
      <c r="E215" s="239" t="s">
        <v>155</v>
      </c>
      <c r="F215" s="240" t="s">
        <v>155</v>
      </c>
      <c r="G215" s="241" t="s">
        <v>155</v>
      </c>
      <c r="H215" s="560"/>
      <c r="I215" s="5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8"/>
      <c r="BX215" s="68"/>
      <c r="BY215" s="60"/>
      <c r="BZ215" s="68"/>
      <c r="CA215" s="68"/>
      <c r="CB215" s="60"/>
      <c r="CC215" s="60"/>
      <c r="CD215" s="68"/>
      <c r="CE215" s="60"/>
      <c r="CF215" s="60"/>
      <c r="CG215" s="60"/>
      <c r="CH215" s="60"/>
      <c r="CI215" s="60"/>
      <c r="CJ215" s="60"/>
      <c r="CK215" s="60"/>
      <c r="CL215" s="60"/>
      <c r="CM215" s="60"/>
      <c r="CN215" s="60"/>
      <c r="CO215" s="60"/>
      <c r="CP215" s="60"/>
      <c r="CQ215" s="60"/>
      <c r="CR215" s="60"/>
      <c r="CS215" s="60"/>
      <c r="CT215" s="60"/>
      <c r="CU215" s="60"/>
    </row>
    <row r="216">
      <c r="A216" s="528"/>
      <c r="B216" s="241" t="s">
        <v>155</v>
      </c>
      <c r="C216" s="237" t="s">
        <v>155</v>
      </c>
      <c r="D216" s="238" t="s">
        <v>155</v>
      </c>
      <c r="E216" s="239" t="s">
        <v>155</v>
      </c>
      <c r="F216" s="240" t="s">
        <v>155</v>
      </c>
      <c r="G216" s="241" t="s">
        <v>155</v>
      </c>
      <c r="H216" s="560"/>
      <c r="I216" s="5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8"/>
      <c r="BX216" s="68"/>
      <c r="BY216" s="60"/>
      <c r="BZ216" s="68"/>
      <c r="CA216" s="68"/>
      <c r="CB216" s="60"/>
      <c r="CC216" s="60"/>
      <c r="CD216" s="68"/>
      <c r="CE216" s="60"/>
      <c r="CF216" s="60"/>
      <c r="CG216" s="60"/>
      <c r="CH216" s="60"/>
      <c r="CI216" s="60"/>
      <c r="CJ216" s="60"/>
      <c r="CK216" s="60"/>
      <c r="CL216" s="60"/>
      <c r="CM216" s="60"/>
      <c r="CN216" s="60"/>
      <c r="CO216" s="60"/>
      <c r="CP216" s="60"/>
      <c r="CQ216" s="60"/>
      <c r="CR216" s="60"/>
      <c r="CS216" s="60"/>
      <c r="CT216" s="60"/>
      <c r="CU216" s="60"/>
    </row>
    <row r="217">
      <c r="A217" s="528"/>
      <c r="B217" s="241" t="s">
        <v>155</v>
      </c>
      <c r="C217" s="237" t="s">
        <v>155</v>
      </c>
      <c r="D217" s="238" t="s">
        <v>155</v>
      </c>
      <c r="E217" s="239" t="s">
        <v>155</v>
      </c>
      <c r="F217" s="240" t="s">
        <v>155</v>
      </c>
      <c r="G217" s="241" t="s">
        <v>155</v>
      </c>
      <c r="H217" s="560"/>
      <c r="I217" s="5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8"/>
      <c r="BX217" s="68"/>
      <c r="BY217" s="60"/>
      <c r="BZ217" s="68"/>
      <c r="CA217" s="68"/>
      <c r="CB217" s="60"/>
      <c r="CC217" s="60"/>
      <c r="CD217" s="68"/>
      <c r="CE217" s="60"/>
      <c r="CF217" s="60"/>
      <c r="CG217" s="60"/>
      <c r="CH217" s="60"/>
      <c r="CI217" s="60"/>
      <c r="CJ217" s="60"/>
      <c r="CK217" s="60"/>
      <c r="CL217" s="60"/>
      <c r="CM217" s="60"/>
      <c r="CN217" s="60"/>
      <c r="CO217" s="60"/>
      <c r="CP217" s="60"/>
      <c r="CQ217" s="60"/>
      <c r="CR217" s="60"/>
      <c r="CS217" s="60"/>
      <c r="CT217" s="60"/>
      <c r="CU217" s="60"/>
    </row>
    <row r="218">
      <c r="A218" s="528"/>
      <c r="B218" s="241" t="s">
        <v>155</v>
      </c>
      <c r="C218" s="237" t="s">
        <v>155</v>
      </c>
      <c r="D218" s="238" t="s">
        <v>155</v>
      </c>
      <c r="E218" s="239" t="s">
        <v>155</v>
      </c>
      <c r="F218" s="240" t="s">
        <v>155</v>
      </c>
      <c r="G218" s="241" t="s">
        <v>155</v>
      </c>
      <c r="H218" s="560"/>
      <c r="I218" s="5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8"/>
      <c r="BX218" s="68"/>
      <c r="BY218" s="60"/>
      <c r="BZ218" s="68"/>
      <c r="CA218" s="68"/>
      <c r="CB218" s="60"/>
      <c r="CC218" s="60"/>
      <c r="CD218" s="68"/>
      <c r="CE218" s="60"/>
      <c r="CF218" s="60"/>
      <c r="CG218" s="60"/>
      <c r="CH218" s="60"/>
      <c r="CI218" s="60"/>
      <c r="CJ218" s="60"/>
      <c r="CK218" s="60"/>
      <c r="CL218" s="60"/>
      <c r="CM218" s="60"/>
      <c r="CN218" s="60"/>
      <c r="CO218" s="60"/>
      <c r="CP218" s="60"/>
      <c r="CQ218" s="60"/>
      <c r="CR218" s="60"/>
      <c r="CS218" s="60"/>
      <c r="CT218" s="60"/>
      <c r="CU218" s="60"/>
    </row>
    <row r="219">
      <c r="A219" s="528"/>
      <c r="B219" s="241" t="s">
        <v>155</v>
      </c>
      <c r="C219" s="237" t="s">
        <v>155</v>
      </c>
      <c r="D219" s="238" t="s">
        <v>155</v>
      </c>
      <c r="E219" s="239" t="s">
        <v>155</v>
      </c>
      <c r="F219" s="240" t="s">
        <v>155</v>
      </c>
      <c r="G219" s="241" t="s">
        <v>155</v>
      </c>
      <c r="H219" s="560"/>
      <c r="I219" s="5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8"/>
      <c r="BX219" s="68"/>
      <c r="BY219" s="60"/>
      <c r="BZ219" s="68"/>
      <c r="CA219" s="68"/>
      <c r="CB219" s="60"/>
      <c r="CC219" s="60"/>
      <c r="CD219" s="68"/>
      <c r="CE219" s="60"/>
      <c r="CF219" s="60"/>
      <c r="CG219" s="60"/>
      <c r="CH219" s="60"/>
      <c r="CI219" s="60"/>
      <c r="CJ219" s="60"/>
      <c r="CK219" s="60"/>
      <c r="CL219" s="60"/>
      <c r="CM219" s="60"/>
      <c r="CN219" s="60"/>
      <c r="CO219" s="60"/>
      <c r="CP219" s="60"/>
      <c r="CQ219" s="60"/>
      <c r="CR219" s="60"/>
      <c r="CS219" s="60"/>
      <c r="CT219" s="60"/>
      <c r="CU219" s="60"/>
    </row>
    <row r="220">
      <c r="A220" s="528"/>
      <c r="B220" s="241" t="s">
        <v>155</v>
      </c>
      <c r="C220" s="237" t="s">
        <v>155</v>
      </c>
      <c r="D220" s="238" t="s">
        <v>155</v>
      </c>
      <c r="E220" s="239" t="s">
        <v>155</v>
      </c>
      <c r="F220" s="240" t="s">
        <v>155</v>
      </c>
      <c r="G220" s="241" t="s">
        <v>155</v>
      </c>
      <c r="H220" s="560"/>
      <c r="I220" s="5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8"/>
      <c r="BX220" s="68"/>
      <c r="BY220" s="60"/>
      <c r="BZ220" s="68"/>
      <c r="CA220" s="68"/>
      <c r="CB220" s="60"/>
      <c r="CC220" s="60"/>
      <c r="CD220" s="68"/>
      <c r="CE220" s="60"/>
      <c r="CF220" s="60"/>
      <c r="CG220" s="60"/>
      <c r="CH220" s="60"/>
      <c r="CI220" s="60"/>
      <c r="CJ220" s="60"/>
      <c r="CK220" s="60"/>
      <c r="CL220" s="60"/>
      <c r="CM220" s="60"/>
      <c r="CN220" s="60"/>
      <c r="CO220" s="60"/>
      <c r="CP220" s="60"/>
      <c r="CQ220" s="60"/>
      <c r="CR220" s="60"/>
      <c r="CS220" s="60"/>
      <c r="CT220" s="60"/>
      <c r="CU220" s="60"/>
    </row>
    <row r="221">
      <c r="A221" s="528"/>
      <c r="B221" s="241" t="s">
        <v>155</v>
      </c>
      <c r="C221" s="237" t="s">
        <v>155</v>
      </c>
      <c r="D221" s="238" t="s">
        <v>155</v>
      </c>
      <c r="E221" s="239" t="s">
        <v>155</v>
      </c>
      <c r="F221" s="240" t="s">
        <v>155</v>
      </c>
      <c r="G221" s="241" t="s">
        <v>155</v>
      </c>
      <c r="H221" s="560"/>
      <c r="I221" s="5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8"/>
      <c r="BX221" s="68"/>
      <c r="BY221" s="60"/>
      <c r="BZ221" s="68"/>
      <c r="CA221" s="68"/>
      <c r="CB221" s="60"/>
      <c r="CC221" s="60"/>
      <c r="CD221" s="68"/>
      <c r="CE221" s="60"/>
      <c r="CF221" s="60"/>
      <c r="CG221" s="60"/>
      <c r="CH221" s="60"/>
      <c r="CI221" s="60"/>
      <c r="CJ221" s="60"/>
      <c r="CK221" s="60"/>
      <c r="CL221" s="60"/>
      <c r="CM221" s="60"/>
      <c r="CN221" s="60"/>
      <c r="CO221" s="60"/>
      <c r="CP221" s="60"/>
      <c r="CQ221" s="60"/>
      <c r="CR221" s="60"/>
      <c r="CS221" s="60"/>
      <c r="CT221" s="60"/>
      <c r="CU221" s="60"/>
    </row>
    <row r="222">
      <c r="A222" s="528"/>
      <c r="B222" s="241" t="s">
        <v>155</v>
      </c>
      <c r="C222" s="237" t="s">
        <v>155</v>
      </c>
      <c r="D222" s="238" t="s">
        <v>155</v>
      </c>
      <c r="E222" s="239" t="s">
        <v>155</v>
      </c>
      <c r="F222" s="240" t="s">
        <v>155</v>
      </c>
      <c r="G222" s="241" t="s">
        <v>155</v>
      </c>
      <c r="H222" s="560"/>
      <c r="I222" s="5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8"/>
      <c r="BX222" s="68"/>
      <c r="BY222" s="60"/>
      <c r="BZ222" s="68"/>
      <c r="CA222" s="68"/>
      <c r="CB222" s="60"/>
      <c r="CC222" s="60"/>
      <c r="CD222" s="68"/>
      <c r="CE222" s="60"/>
      <c r="CF222" s="60"/>
      <c r="CG222" s="60"/>
      <c r="CH222" s="60"/>
      <c r="CI222" s="60"/>
      <c r="CJ222" s="60"/>
      <c r="CK222" s="60"/>
      <c r="CL222" s="60"/>
      <c r="CM222" s="60"/>
      <c r="CN222" s="60"/>
      <c r="CO222" s="60"/>
      <c r="CP222" s="60"/>
      <c r="CQ222" s="60"/>
      <c r="CR222" s="60"/>
      <c r="CS222" s="60"/>
      <c r="CT222" s="60"/>
      <c r="CU222" s="60"/>
    </row>
    <row r="223">
      <c r="A223" s="528"/>
      <c r="B223" s="241" t="s">
        <v>155</v>
      </c>
      <c r="C223" s="237" t="s">
        <v>155</v>
      </c>
      <c r="D223" s="238" t="s">
        <v>155</v>
      </c>
      <c r="E223" s="239" t="s">
        <v>155</v>
      </c>
      <c r="F223" s="240" t="s">
        <v>155</v>
      </c>
      <c r="G223" s="241" t="s">
        <v>155</v>
      </c>
      <c r="H223" s="560"/>
      <c r="I223" s="5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8"/>
      <c r="BX223" s="68"/>
      <c r="BY223" s="60"/>
      <c r="BZ223" s="68"/>
      <c r="CA223" s="68"/>
      <c r="CB223" s="60"/>
      <c r="CC223" s="60"/>
      <c r="CD223" s="68"/>
      <c r="CE223" s="60"/>
      <c r="CF223" s="60"/>
      <c r="CG223" s="60"/>
      <c r="CH223" s="60"/>
      <c r="CI223" s="60"/>
      <c r="CJ223" s="60"/>
      <c r="CK223" s="60"/>
      <c r="CL223" s="60"/>
      <c r="CM223" s="60"/>
      <c r="CN223" s="60"/>
      <c r="CO223" s="60"/>
      <c r="CP223" s="60"/>
      <c r="CQ223" s="60"/>
      <c r="CR223" s="60"/>
      <c r="CS223" s="60"/>
      <c r="CT223" s="60"/>
      <c r="CU223" s="60"/>
    </row>
    <row r="224">
      <c r="A224" s="528"/>
      <c r="B224" s="241" t="s">
        <v>155</v>
      </c>
      <c r="C224" s="237" t="s">
        <v>155</v>
      </c>
      <c r="D224" s="238" t="s">
        <v>155</v>
      </c>
      <c r="E224" s="239" t="s">
        <v>155</v>
      </c>
      <c r="F224" s="240" t="s">
        <v>155</v>
      </c>
      <c r="G224" s="241" t="s">
        <v>155</v>
      </c>
      <c r="H224" s="560"/>
      <c r="I224" s="5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8"/>
      <c r="BX224" s="68"/>
      <c r="BY224" s="60"/>
      <c r="BZ224" s="68"/>
      <c r="CA224" s="68"/>
      <c r="CB224" s="60"/>
      <c r="CC224" s="60"/>
      <c r="CD224" s="68"/>
      <c r="CE224" s="60"/>
      <c r="CF224" s="60"/>
      <c r="CG224" s="60"/>
      <c r="CH224" s="60"/>
      <c r="CI224" s="60"/>
      <c r="CJ224" s="60"/>
      <c r="CK224" s="60"/>
      <c r="CL224" s="60"/>
      <c r="CM224" s="60"/>
      <c r="CN224" s="60"/>
      <c r="CO224" s="60"/>
      <c r="CP224" s="60"/>
      <c r="CQ224" s="60"/>
      <c r="CR224" s="60"/>
      <c r="CS224" s="60"/>
      <c r="CT224" s="60"/>
      <c r="CU224" s="60"/>
    </row>
    <row r="225">
      <c r="A225" s="528"/>
      <c r="B225" s="241" t="s">
        <v>155</v>
      </c>
      <c r="C225" s="237" t="s">
        <v>155</v>
      </c>
      <c r="D225" s="238" t="s">
        <v>155</v>
      </c>
      <c r="E225" s="239" t="s">
        <v>155</v>
      </c>
      <c r="F225" s="240" t="s">
        <v>155</v>
      </c>
      <c r="G225" s="241" t="s">
        <v>155</v>
      </c>
      <c r="H225" s="560"/>
      <c r="I225" s="5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8"/>
      <c r="BX225" s="68"/>
      <c r="BY225" s="60"/>
      <c r="BZ225" s="68"/>
      <c r="CA225" s="68"/>
      <c r="CB225" s="60"/>
      <c r="CC225" s="60"/>
      <c r="CD225" s="68"/>
      <c r="CE225" s="60"/>
      <c r="CF225" s="60"/>
      <c r="CG225" s="60"/>
      <c r="CH225" s="60"/>
      <c r="CI225" s="60"/>
      <c r="CJ225" s="60"/>
      <c r="CK225" s="60"/>
      <c r="CL225" s="60"/>
      <c r="CM225" s="60"/>
      <c r="CN225" s="60"/>
      <c r="CO225" s="60"/>
      <c r="CP225" s="60"/>
      <c r="CQ225" s="60"/>
      <c r="CR225" s="60"/>
      <c r="CS225" s="60"/>
      <c r="CT225" s="60"/>
      <c r="CU225" s="60"/>
    </row>
    <row r="226">
      <c r="A226" s="528"/>
      <c r="B226" s="241" t="s">
        <v>155</v>
      </c>
      <c r="C226" s="237" t="s">
        <v>155</v>
      </c>
      <c r="D226" s="238" t="s">
        <v>155</v>
      </c>
      <c r="E226" s="239" t="s">
        <v>155</v>
      </c>
      <c r="F226" s="240" t="s">
        <v>155</v>
      </c>
      <c r="G226" s="241" t="s">
        <v>155</v>
      </c>
      <c r="H226" s="560"/>
      <c r="I226" s="5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8"/>
      <c r="BX226" s="68"/>
      <c r="BY226" s="60"/>
      <c r="BZ226" s="68"/>
      <c r="CA226" s="68"/>
      <c r="CB226" s="60"/>
      <c r="CC226" s="60"/>
      <c r="CD226" s="68"/>
      <c r="CE226" s="60"/>
      <c r="CF226" s="60"/>
      <c r="CG226" s="60"/>
      <c r="CH226" s="60"/>
      <c r="CI226" s="60"/>
      <c r="CJ226" s="60"/>
      <c r="CK226" s="60"/>
      <c r="CL226" s="60"/>
      <c r="CM226" s="60"/>
      <c r="CN226" s="60"/>
      <c r="CO226" s="60"/>
      <c r="CP226" s="60"/>
      <c r="CQ226" s="60"/>
      <c r="CR226" s="60"/>
      <c r="CS226" s="60"/>
      <c r="CT226" s="60"/>
      <c r="CU226" s="60"/>
    </row>
    <row r="227">
      <c r="A227" s="528"/>
      <c r="B227" s="241" t="s">
        <v>155</v>
      </c>
      <c r="C227" s="237" t="s">
        <v>155</v>
      </c>
      <c r="D227" s="238" t="s">
        <v>155</v>
      </c>
      <c r="E227" s="239" t="s">
        <v>155</v>
      </c>
      <c r="F227" s="240" t="s">
        <v>155</v>
      </c>
      <c r="G227" s="241" t="s">
        <v>155</v>
      </c>
      <c r="H227" s="560"/>
      <c r="I227" s="5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8"/>
      <c r="BX227" s="68"/>
      <c r="BY227" s="60"/>
      <c r="BZ227" s="68"/>
      <c r="CA227" s="68"/>
      <c r="CB227" s="60"/>
      <c r="CC227" s="60"/>
      <c r="CD227" s="68"/>
      <c r="CE227" s="60"/>
      <c r="CF227" s="60"/>
      <c r="CG227" s="60"/>
      <c r="CH227" s="60"/>
      <c r="CI227" s="60"/>
      <c r="CJ227" s="60"/>
      <c r="CK227" s="60"/>
      <c r="CL227" s="60"/>
      <c r="CM227" s="60"/>
      <c r="CN227" s="60"/>
      <c r="CO227" s="60"/>
      <c r="CP227" s="60"/>
      <c r="CQ227" s="60"/>
      <c r="CR227" s="60"/>
      <c r="CS227" s="60"/>
      <c r="CT227" s="60"/>
      <c r="CU227" s="60"/>
    </row>
    <row r="228">
      <c r="A228" s="528"/>
      <c r="B228" s="241" t="s">
        <v>155</v>
      </c>
      <c r="C228" s="237" t="s">
        <v>155</v>
      </c>
      <c r="D228" s="238" t="s">
        <v>155</v>
      </c>
      <c r="E228" s="239" t="s">
        <v>155</v>
      </c>
      <c r="F228" s="240" t="s">
        <v>155</v>
      </c>
      <c r="G228" s="241" t="s">
        <v>155</v>
      </c>
      <c r="H228" s="560"/>
      <c r="I228" s="5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8"/>
      <c r="BX228" s="68"/>
      <c r="BY228" s="60"/>
      <c r="BZ228" s="68"/>
      <c r="CA228" s="68"/>
      <c r="CB228" s="60"/>
      <c r="CC228" s="60"/>
      <c r="CD228" s="68"/>
      <c r="CE228" s="60"/>
      <c r="CF228" s="60"/>
      <c r="CG228" s="60"/>
      <c r="CH228" s="60"/>
      <c r="CI228" s="60"/>
      <c r="CJ228" s="60"/>
      <c r="CK228" s="60"/>
      <c r="CL228" s="60"/>
      <c r="CM228" s="60"/>
      <c r="CN228" s="60"/>
      <c r="CO228" s="60"/>
      <c r="CP228" s="60"/>
      <c r="CQ228" s="60"/>
      <c r="CR228" s="60"/>
      <c r="CS228" s="60"/>
      <c r="CT228" s="60"/>
      <c r="CU228" s="60"/>
    </row>
    <row r="229">
      <c r="A229" s="528"/>
      <c r="B229" s="241" t="s">
        <v>155</v>
      </c>
      <c r="C229" s="237" t="s">
        <v>155</v>
      </c>
      <c r="D229" s="238" t="s">
        <v>155</v>
      </c>
      <c r="E229" s="239" t="s">
        <v>155</v>
      </c>
      <c r="F229" s="240" t="s">
        <v>155</v>
      </c>
      <c r="G229" s="241" t="s">
        <v>155</v>
      </c>
      <c r="H229" s="560"/>
      <c r="I229" s="5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8"/>
      <c r="BX229" s="68"/>
      <c r="BY229" s="60"/>
      <c r="BZ229" s="68"/>
      <c r="CA229" s="68"/>
      <c r="CB229" s="60"/>
      <c r="CC229" s="60"/>
      <c r="CD229" s="68"/>
      <c r="CE229" s="60"/>
      <c r="CF229" s="60"/>
      <c r="CG229" s="60"/>
      <c r="CH229" s="60"/>
      <c r="CI229" s="60"/>
      <c r="CJ229" s="60"/>
      <c r="CK229" s="60"/>
      <c r="CL229" s="60"/>
      <c r="CM229" s="60"/>
      <c r="CN229" s="60"/>
      <c r="CO229" s="60"/>
      <c r="CP229" s="60"/>
      <c r="CQ229" s="60"/>
      <c r="CR229" s="60"/>
      <c r="CS229" s="60"/>
      <c r="CT229" s="60"/>
      <c r="CU229" s="60"/>
    </row>
    <row r="230">
      <c r="A230" s="528"/>
      <c r="B230" s="241" t="s">
        <v>155</v>
      </c>
      <c r="C230" s="237" t="s">
        <v>155</v>
      </c>
      <c r="D230" s="238" t="s">
        <v>155</v>
      </c>
      <c r="E230" s="239" t="s">
        <v>155</v>
      </c>
      <c r="F230" s="240" t="s">
        <v>155</v>
      </c>
      <c r="G230" s="241" t="s">
        <v>155</v>
      </c>
      <c r="H230" s="560"/>
      <c r="I230" s="5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8"/>
      <c r="BX230" s="68"/>
      <c r="BY230" s="60"/>
      <c r="BZ230" s="68"/>
      <c r="CA230" s="68"/>
      <c r="CB230" s="60"/>
      <c r="CC230" s="60"/>
      <c r="CD230" s="68"/>
      <c r="CE230" s="60"/>
      <c r="CF230" s="60"/>
      <c r="CG230" s="60"/>
      <c r="CH230" s="60"/>
      <c r="CI230" s="60"/>
      <c r="CJ230" s="60"/>
      <c r="CK230" s="60"/>
      <c r="CL230" s="60"/>
      <c r="CM230" s="60"/>
      <c r="CN230" s="60"/>
      <c r="CO230" s="60"/>
      <c r="CP230" s="60"/>
      <c r="CQ230" s="60"/>
      <c r="CR230" s="60"/>
      <c r="CS230" s="60"/>
      <c r="CT230" s="60"/>
      <c r="CU230" s="60"/>
    </row>
    <row r="231">
      <c r="A231" s="528"/>
      <c r="B231" s="241" t="s">
        <v>155</v>
      </c>
      <c r="C231" s="237" t="s">
        <v>155</v>
      </c>
      <c r="D231" s="238" t="s">
        <v>155</v>
      </c>
      <c r="E231" s="239" t="s">
        <v>155</v>
      </c>
      <c r="F231" s="240" t="s">
        <v>155</v>
      </c>
      <c r="G231" s="241" t="s">
        <v>155</v>
      </c>
      <c r="H231" s="560"/>
      <c r="I231" s="5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8"/>
      <c r="BX231" s="68"/>
      <c r="BY231" s="60"/>
      <c r="BZ231" s="68"/>
      <c r="CA231" s="68"/>
      <c r="CB231" s="60"/>
      <c r="CC231" s="60"/>
      <c r="CD231" s="68"/>
      <c r="CE231" s="60"/>
      <c r="CF231" s="60"/>
      <c r="CG231" s="60"/>
      <c r="CH231" s="60"/>
      <c r="CI231" s="60"/>
      <c r="CJ231" s="60"/>
      <c r="CK231" s="60"/>
      <c r="CL231" s="60"/>
      <c r="CM231" s="60"/>
      <c r="CN231" s="60"/>
      <c r="CO231" s="60"/>
      <c r="CP231" s="60"/>
      <c r="CQ231" s="60"/>
      <c r="CR231" s="60"/>
      <c r="CS231" s="60"/>
      <c r="CT231" s="60"/>
      <c r="CU231" s="60"/>
    </row>
    <row r="232">
      <c r="A232" s="528"/>
      <c r="B232" s="241" t="s">
        <v>155</v>
      </c>
      <c r="C232" s="237" t="s">
        <v>155</v>
      </c>
      <c r="D232" s="238" t="s">
        <v>155</v>
      </c>
      <c r="E232" s="239" t="s">
        <v>155</v>
      </c>
      <c r="F232" s="240" t="s">
        <v>155</v>
      </c>
      <c r="G232" s="241" t="s">
        <v>155</v>
      </c>
      <c r="H232" s="560"/>
      <c r="I232" s="5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8"/>
      <c r="BX232" s="68"/>
      <c r="BY232" s="60"/>
      <c r="BZ232" s="68"/>
      <c r="CA232" s="68"/>
      <c r="CB232" s="60"/>
      <c r="CC232" s="60"/>
      <c r="CD232" s="68"/>
      <c r="CE232" s="60"/>
      <c r="CF232" s="60"/>
      <c r="CG232" s="60"/>
      <c r="CH232" s="60"/>
      <c r="CI232" s="60"/>
      <c r="CJ232" s="60"/>
      <c r="CK232" s="60"/>
      <c r="CL232" s="60"/>
      <c r="CM232" s="60"/>
      <c r="CN232" s="60"/>
      <c r="CO232" s="60"/>
      <c r="CP232" s="60"/>
      <c r="CQ232" s="60"/>
      <c r="CR232" s="60"/>
      <c r="CS232" s="60"/>
      <c r="CT232" s="60"/>
      <c r="CU232" s="60"/>
    </row>
    <row r="233">
      <c r="A233" s="528"/>
      <c r="B233" s="241" t="s">
        <v>155</v>
      </c>
      <c r="C233" s="237" t="s">
        <v>155</v>
      </c>
      <c r="D233" s="238" t="s">
        <v>155</v>
      </c>
      <c r="E233" s="239" t="s">
        <v>155</v>
      </c>
      <c r="F233" s="240" t="s">
        <v>155</v>
      </c>
      <c r="G233" s="241" t="s">
        <v>155</v>
      </c>
      <c r="H233" s="560"/>
      <c r="I233" s="5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8"/>
      <c r="BX233" s="68"/>
      <c r="BY233" s="60"/>
      <c r="BZ233" s="68"/>
      <c r="CA233" s="68"/>
      <c r="CB233" s="60"/>
      <c r="CC233" s="60"/>
      <c r="CD233" s="68"/>
      <c r="CE233" s="60"/>
      <c r="CF233" s="60"/>
      <c r="CG233" s="60"/>
      <c r="CH233" s="60"/>
      <c r="CI233" s="60"/>
      <c r="CJ233" s="60"/>
      <c r="CK233" s="60"/>
      <c r="CL233" s="60"/>
      <c r="CM233" s="60"/>
      <c r="CN233" s="60"/>
      <c r="CO233" s="60"/>
      <c r="CP233" s="60"/>
      <c r="CQ233" s="60"/>
      <c r="CR233" s="60"/>
      <c r="CS233" s="60"/>
      <c r="CT233" s="60"/>
      <c r="CU233" s="60"/>
    </row>
    <row r="234">
      <c r="A234" s="528"/>
      <c r="B234" s="241" t="s">
        <v>155</v>
      </c>
      <c r="C234" s="237" t="s">
        <v>155</v>
      </c>
      <c r="D234" s="238" t="s">
        <v>155</v>
      </c>
      <c r="E234" s="239" t="s">
        <v>155</v>
      </c>
      <c r="F234" s="240" t="s">
        <v>155</v>
      </c>
      <c r="G234" s="241" t="s">
        <v>155</v>
      </c>
      <c r="H234" s="560"/>
      <c r="I234" s="5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8"/>
      <c r="BX234" s="68"/>
      <c r="BY234" s="60"/>
      <c r="BZ234" s="68"/>
      <c r="CA234" s="68"/>
      <c r="CB234" s="60"/>
      <c r="CC234" s="60"/>
      <c r="CD234" s="68"/>
      <c r="CE234" s="60"/>
      <c r="CF234" s="60"/>
      <c r="CG234" s="60"/>
      <c r="CH234" s="60"/>
      <c r="CI234" s="60"/>
      <c r="CJ234" s="60"/>
      <c r="CK234" s="60"/>
      <c r="CL234" s="60"/>
      <c r="CM234" s="60"/>
      <c r="CN234" s="60"/>
      <c r="CO234" s="60"/>
      <c r="CP234" s="60"/>
      <c r="CQ234" s="60"/>
      <c r="CR234" s="60"/>
      <c r="CS234" s="60"/>
      <c r="CT234" s="60"/>
      <c r="CU234" s="60"/>
    </row>
    <row r="235">
      <c r="A235" s="528"/>
      <c r="B235" s="241" t="s">
        <v>155</v>
      </c>
      <c r="C235" s="237" t="s">
        <v>155</v>
      </c>
      <c r="D235" s="238" t="s">
        <v>155</v>
      </c>
      <c r="E235" s="239" t="s">
        <v>155</v>
      </c>
      <c r="F235" s="240" t="s">
        <v>155</v>
      </c>
      <c r="G235" s="241" t="s">
        <v>155</v>
      </c>
      <c r="H235" s="560"/>
      <c r="I235" s="5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8"/>
      <c r="BX235" s="68"/>
      <c r="BY235" s="60"/>
      <c r="BZ235" s="68"/>
      <c r="CA235" s="68"/>
      <c r="CB235" s="60"/>
      <c r="CC235" s="60"/>
      <c r="CD235" s="68"/>
      <c r="CE235" s="60"/>
      <c r="CF235" s="60"/>
      <c r="CG235" s="60"/>
      <c r="CH235" s="60"/>
      <c r="CI235" s="60"/>
      <c r="CJ235" s="60"/>
      <c r="CK235" s="60"/>
      <c r="CL235" s="60"/>
      <c r="CM235" s="60"/>
      <c r="CN235" s="60"/>
      <c r="CO235" s="60"/>
      <c r="CP235" s="60"/>
      <c r="CQ235" s="60"/>
      <c r="CR235" s="60"/>
      <c r="CS235" s="60"/>
      <c r="CT235" s="60"/>
      <c r="CU235" s="60"/>
    </row>
    <row r="236">
      <c r="A236" s="528"/>
      <c r="B236" s="241" t="s">
        <v>155</v>
      </c>
      <c r="C236" s="237" t="s">
        <v>155</v>
      </c>
      <c r="D236" s="238" t="s">
        <v>155</v>
      </c>
      <c r="E236" s="239" t="s">
        <v>155</v>
      </c>
      <c r="F236" s="240" t="s">
        <v>155</v>
      </c>
      <c r="G236" s="241" t="s">
        <v>155</v>
      </c>
      <c r="H236" s="560"/>
      <c r="I236" s="5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8"/>
      <c r="BX236" s="68"/>
      <c r="BY236" s="60"/>
      <c r="BZ236" s="68"/>
      <c r="CA236" s="68"/>
      <c r="CB236" s="60"/>
      <c r="CC236" s="60"/>
      <c r="CD236" s="68"/>
      <c r="CE236" s="60"/>
      <c r="CF236" s="60"/>
      <c r="CG236" s="60"/>
      <c r="CH236" s="60"/>
      <c r="CI236" s="60"/>
      <c r="CJ236" s="60"/>
      <c r="CK236" s="60"/>
      <c r="CL236" s="60"/>
      <c r="CM236" s="60"/>
      <c r="CN236" s="60"/>
      <c r="CO236" s="60"/>
      <c r="CP236" s="60"/>
      <c r="CQ236" s="60"/>
      <c r="CR236" s="60"/>
      <c r="CS236" s="60"/>
      <c r="CT236" s="60"/>
      <c r="CU236" s="60"/>
    </row>
    <row r="237">
      <c r="A237" s="528"/>
      <c r="B237" s="241" t="s">
        <v>155</v>
      </c>
      <c r="C237" s="237" t="s">
        <v>155</v>
      </c>
      <c r="D237" s="238" t="s">
        <v>155</v>
      </c>
      <c r="E237" s="239" t="s">
        <v>155</v>
      </c>
      <c r="F237" s="240" t="s">
        <v>155</v>
      </c>
      <c r="G237" s="241" t="s">
        <v>155</v>
      </c>
      <c r="H237" s="560"/>
      <c r="I237" s="5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8"/>
      <c r="BX237" s="68"/>
      <c r="BY237" s="60"/>
      <c r="BZ237" s="68"/>
      <c r="CA237" s="68"/>
      <c r="CB237" s="60"/>
      <c r="CC237" s="60"/>
      <c r="CD237" s="68"/>
      <c r="CE237" s="60"/>
      <c r="CF237" s="60"/>
      <c r="CG237" s="60"/>
      <c r="CH237" s="60"/>
      <c r="CI237" s="60"/>
      <c r="CJ237" s="60"/>
      <c r="CK237" s="60"/>
      <c r="CL237" s="60"/>
      <c r="CM237" s="60"/>
      <c r="CN237" s="60"/>
      <c r="CO237" s="60"/>
      <c r="CP237" s="60"/>
      <c r="CQ237" s="60"/>
      <c r="CR237" s="60"/>
      <c r="CS237" s="60"/>
      <c r="CT237" s="60"/>
      <c r="CU237" s="60"/>
    </row>
    <row r="238">
      <c r="A238" s="528"/>
      <c r="B238" s="241" t="s">
        <v>155</v>
      </c>
      <c r="C238" s="237" t="s">
        <v>155</v>
      </c>
      <c r="D238" s="238" t="s">
        <v>155</v>
      </c>
      <c r="E238" s="239" t="s">
        <v>155</v>
      </c>
      <c r="F238" s="240" t="s">
        <v>155</v>
      </c>
      <c r="G238" s="241" t="s">
        <v>155</v>
      </c>
      <c r="H238" s="560"/>
      <c r="I238" s="5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8"/>
      <c r="BX238" s="68"/>
      <c r="BY238" s="60"/>
      <c r="BZ238" s="68"/>
      <c r="CA238" s="68"/>
      <c r="CB238" s="60"/>
      <c r="CC238" s="60"/>
      <c r="CD238" s="68"/>
      <c r="CE238" s="60"/>
      <c r="CF238" s="60"/>
      <c r="CG238" s="60"/>
      <c r="CH238" s="60"/>
      <c r="CI238" s="60"/>
      <c r="CJ238" s="60"/>
      <c r="CK238" s="60"/>
      <c r="CL238" s="60"/>
      <c r="CM238" s="60"/>
      <c r="CN238" s="60"/>
      <c r="CO238" s="60"/>
      <c r="CP238" s="60"/>
      <c r="CQ238" s="60"/>
      <c r="CR238" s="60"/>
      <c r="CS238" s="60"/>
      <c r="CT238" s="60"/>
      <c r="CU238" s="60"/>
    </row>
    <row r="239">
      <c r="A239" s="528"/>
      <c r="B239" s="241" t="s">
        <v>155</v>
      </c>
      <c r="C239" s="237" t="s">
        <v>155</v>
      </c>
      <c r="D239" s="238" t="s">
        <v>155</v>
      </c>
      <c r="E239" s="239" t="s">
        <v>155</v>
      </c>
      <c r="F239" s="240" t="s">
        <v>155</v>
      </c>
      <c r="G239" s="241" t="s">
        <v>155</v>
      </c>
      <c r="H239" s="560"/>
      <c r="I239" s="5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8"/>
      <c r="BX239" s="68"/>
      <c r="BY239" s="60"/>
      <c r="BZ239" s="68"/>
      <c r="CA239" s="68"/>
      <c r="CB239" s="60"/>
      <c r="CC239" s="60"/>
      <c r="CD239" s="68"/>
      <c r="CE239" s="60"/>
      <c r="CF239" s="60"/>
      <c r="CG239" s="60"/>
      <c r="CH239" s="60"/>
      <c r="CI239" s="60"/>
      <c r="CJ239" s="60"/>
      <c r="CK239" s="60"/>
      <c r="CL239" s="60"/>
      <c r="CM239" s="60"/>
      <c r="CN239" s="60"/>
      <c r="CO239" s="60"/>
      <c r="CP239" s="60"/>
      <c r="CQ239" s="60"/>
      <c r="CR239" s="60"/>
      <c r="CS239" s="60"/>
      <c r="CT239" s="60"/>
      <c r="CU239" s="60"/>
    </row>
    <row r="240">
      <c r="A240" s="528"/>
      <c r="B240" s="241" t="s">
        <v>155</v>
      </c>
      <c r="C240" s="237" t="s">
        <v>155</v>
      </c>
      <c r="D240" s="238" t="s">
        <v>155</v>
      </c>
      <c r="E240" s="239" t="s">
        <v>155</v>
      </c>
      <c r="F240" s="240" t="s">
        <v>155</v>
      </c>
      <c r="G240" s="241" t="s">
        <v>155</v>
      </c>
      <c r="H240" s="560"/>
      <c r="I240" s="5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8"/>
      <c r="BX240" s="68"/>
      <c r="BY240" s="60"/>
      <c r="BZ240" s="68"/>
      <c r="CA240" s="68"/>
      <c r="CB240" s="60"/>
      <c r="CC240" s="60"/>
      <c r="CD240" s="68"/>
      <c r="CE240" s="60"/>
      <c r="CF240" s="60"/>
      <c r="CG240" s="60"/>
      <c r="CH240" s="60"/>
      <c r="CI240" s="60"/>
      <c r="CJ240" s="60"/>
      <c r="CK240" s="60"/>
      <c r="CL240" s="60"/>
      <c r="CM240" s="60"/>
      <c r="CN240" s="60"/>
      <c r="CO240" s="60"/>
      <c r="CP240" s="60"/>
      <c r="CQ240" s="60"/>
      <c r="CR240" s="60"/>
      <c r="CS240" s="60"/>
      <c r="CT240" s="60"/>
      <c r="CU240" s="60"/>
    </row>
    <row r="241">
      <c r="A241" s="528"/>
      <c r="B241" s="241" t="s">
        <v>155</v>
      </c>
      <c r="C241" s="237" t="s">
        <v>155</v>
      </c>
      <c r="D241" s="238" t="s">
        <v>155</v>
      </c>
      <c r="E241" s="239" t="s">
        <v>155</v>
      </c>
      <c r="F241" s="240" t="s">
        <v>155</v>
      </c>
      <c r="G241" s="241" t="s">
        <v>155</v>
      </c>
      <c r="H241" s="560"/>
      <c r="I241" s="5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8"/>
      <c r="BX241" s="68"/>
      <c r="BY241" s="60"/>
      <c r="BZ241" s="68"/>
      <c r="CA241" s="68"/>
      <c r="CB241" s="60"/>
      <c r="CC241" s="60"/>
      <c r="CD241" s="68"/>
      <c r="CE241" s="60"/>
      <c r="CF241" s="60"/>
      <c r="CG241" s="60"/>
      <c r="CH241" s="60"/>
      <c r="CI241" s="60"/>
      <c r="CJ241" s="60"/>
      <c r="CK241" s="60"/>
      <c r="CL241" s="60"/>
      <c r="CM241" s="60"/>
      <c r="CN241" s="60"/>
      <c r="CO241" s="60"/>
      <c r="CP241" s="60"/>
      <c r="CQ241" s="60"/>
      <c r="CR241" s="60"/>
      <c r="CS241" s="60"/>
      <c r="CT241" s="60"/>
      <c r="CU241" s="60"/>
    </row>
    <row r="242">
      <c r="A242" s="528"/>
      <c r="B242" s="241" t="s">
        <v>155</v>
      </c>
      <c r="C242" s="237" t="s">
        <v>155</v>
      </c>
      <c r="D242" s="238" t="s">
        <v>155</v>
      </c>
      <c r="E242" s="239" t="s">
        <v>155</v>
      </c>
      <c r="F242" s="240" t="s">
        <v>155</v>
      </c>
      <c r="G242" s="241" t="s">
        <v>155</v>
      </c>
      <c r="H242" s="560"/>
      <c r="I242" s="5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8"/>
      <c r="BX242" s="68"/>
      <c r="BY242" s="60"/>
      <c r="BZ242" s="68"/>
      <c r="CA242" s="68"/>
      <c r="CB242" s="60"/>
      <c r="CC242" s="60"/>
      <c r="CD242" s="68"/>
      <c r="CE242" s="60"/>
      <c r="CF242" s="60"/>
      <c r="CG242" s="60"/>
      <c r="CH242" s="60"/>
      <c r="CI242" s="60"/>
      <c r="CJ242" s="60"/>
      <c r="CK242" s="60"/>
      <c r="CL242" s="60"/>
      <c r="CM242" s="60"/>
      <c r="CN242" s="60"/>
      <c r="CO242" s="60"/>
      <c r="CP242" s="60"/>
      <c r="CQ242" s="60"/>
      <c r="CR242" s="60"/>
      <c r="CS242" s="60"/>
      <c r="CT242" s="60"/>
      <c r="CU242" s="60"/>
    </row>
    <row r="243">
      <c r="A243" s="528"/>
      <c r="B243" s="241" t="s">
        <v>155</v>
      </c>
      <c r="C243" s="237" t="s">
        <v>155</v>
      </c>
      <c r="D243" s="238" t="s">
        <v>155</v>
      </c>
      <c r="E243" s="239" t="s">
        <v>155</v>
      </c>
      <c r="F243" s="240" t="s">
        <v>155</v>
      </c>
      <c r="G243" s="241" t="s">
        <v>155</v>
      </c>
      <c r="H243" s="560"/>
      <c r="I243" s="5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8"/>
      <c r="BX243" s="68"/>
      <c r="BY243" s="60"/>
      <c r="BZ243" s="68"/>
      <c r="CA243" s="68"/>
      <c r="CB243" s="60"/>
      <c r="CC243" s="60"/>
      <c r="CD243" s="68"/>
      <c r="CE243" s="60"/>
      <c r="CF243" s="60"/>
      <c r="CG243" s="60"/>
      <c r="CH243" s="60"/>
      <c r="CI243" s="60"/>
      <c r="CJ243" s="60"/>
      <c r="CK243" s="60"/>
      <c r="CL243" s="60"/>
      <c r="CM243" s="60"/>
      <c r="CN243" s="60"/>
      <c r="CO243" s="60"/>
      <c r="CP243" s="60"/>
      <c r="CQ243" s="60"/>
      <c r="CR243" s="60"/>
      <c r="CS243" s="60"/>
      <c r="CT243" s="60"/>
      <c r="CU243" s="60"/>
    </row>
    <row r="244">
      <c r="A244" s="528"/>
      <c r="B244" s="241" t="s">
        <v>155</v>
      </c>
      <c r="C244" s="237" t="s">
        <v>155</v>
      </c>
      <c r="D244" s="238" t="s">
        <v>155</v>
      </c>
      <c r="E244" s="239" t="s">
        <v>155</v>
      </c>
      <c r="F244" s="240" t="s">
        <v>155</v>
      </c>
      <c r="G244" s="241" t="s">
        <v>155</v>
      </c>
      <c r="H244" s="560"/>
      <c r="I244" s="5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8"/>
      <c r="BX244" s="68"/>
      <c r="BY244" s="60"/>
      <c r="BZ244" s="68"/>
      <c r="CA244" s="68"/>
      <c r="CB244" s="60"/>
      <c r="CC244" s="60"/>
      <c r="CD244" s="68"/>
      <c r="CE244" s="60"/>
      <c r="CF244" s="60"/>
      <c r="CG244" s="60"/>
      <c r="CH244" s="60"/>
      <c r="CI244" s="60"/>
      <c r="CJ244" s="60"/>
      <c r="CK244" s="60"/>
      <c r="CL244" s="60"/>
      <c r="CM244" s="60"/>
      <c r="CN244" s="60"/>
      <c r="CO244" s="60"/>
      <c r="CP244" s="60"/>
      <c r="CQ244" s="60"/>
      <c r="CR244" s="60"/>
      <c r="CS244" s="60"/>
      <c r="CT244" s="60"/>
      <c r="CU244" s="60"/>
    </row>
    <row r="245">
      <c r="A245" s="528"/>
      <c r="B245" s="241" t="s">
        <v>155</v>
      </c>
      <c r="C245" s="237" t="s">
        <v>155</v>
      </c>
      <c r="D245" s="238" t="s">
        <v>155</v>
      </c>
      <c r="E245" s="239" t="s">
        <v>155</v>
      </c>
      <c r="F245" s="240" t="s">
        <v>155</v>
      </c>
      <c r="G245" s="241" t="s">
        <v>155</v>
      </c>
      <c r="H245" s="560"/>
      <c r="I245" s="5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8"/>
      <c r="BX245" s="68"/>
      <c r="BY245" s="60"/>
      <c r="BZ245" s="68"/>
      <c r="CA245" s="68"/>
      <c r="CB245" s="60"/>
      <c r="CC245" s="60"/>
      <c r="CD245" s="68"/>
      <c r="CE245" s="60"/>
      <c r="CF245" s="60"/>
      <c r="CG245" s="60"/>
      <c r="CH245" s="60"/>
      <c r="CI245" s="60"/>
      <c r="CJ245" s="60"/>
      <c r="CK245" s="60"/>
      <c r="CL245" s="60"/>
      <c r="CM245" s="60"/>
      <c r="CN245" s="60"/>
      <c r="CO245" s="60"/>
      <c r="CP245" s="60"/>
      <c r="CQ245" s="60"/>
      <c r="CR245" s="60"/>
      <c r="CS245" s="60"/>
      <c r="CT245" s="60"/>
      <c r="CU245" s="60"/>
    </row>
    <row r="246">
      <c r="A246" s="528"/>
      <c r="B246" s="241" t="s">
        <v>155</v>
      </c>
      <c r="C246" s="237" t="s">
        <v>155</v>
      </c>
      <c r="D246" s="238" t="s">
        <v>155</v>
      </c>
      <c r="E246" s="239" t="s">
        <v>155</v>
      </c>
      <c r="F246" s="240" t="s">
        <v>155</v>
      </c>
      <c r="G246" s="241" t="s">
        <v>155</v>
      </c>
      <c r="H246" s="560"/>
      <c r="I246" s="5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8"/>
      <c r="BX246" s="68"/>
      <c r="BY246" s="60"/>
      <c r="BZ246" s="68"/>
      <c r="CA246" s="68"/>
      <c r="CB246" s="60"/>
      <c r="CC246" s="60"/>
      <c r="CD246" s="68"/>
      <c r="CE246" s="60"/>
      <c r="CF246" s="60"/>
      <c r="CG246" s="60"/>
      <c r="CH246" s="60"/>
      <c r="CI246" s="60"/>
      <c r="CJ246" s="60"/>
      <c r="CK246" s="60"/>
      <c r="CL246" s="60"/>
      <c r="CM246" s="60"/>
      <c r="CN246" s="60"/>
      <c r="CO246" s="60"/>
      <c r="CP246" s="60"/>
      <c r="CQ246" s="60"/>
      <c r="CR246" s="60"/>
      <c r="CS246" s="60"/>
      <c r="CT246" s="60"/>
      <c r="CU246" s="60"/>
    </row>
    <row r="247">
      <c r="A247" s="528"/>
      <c r="B247" s="241" t="s">
        <v>155</v>
      </c>
      <c r="C247" s="237" t="s">
        <v>155</v>
      </c>
      <c r="D247" s="238" t="s">
        <v>155</v>
      </c>
      <c r="E247" s="239" t="s">
        <v>155</v>
      </c>
      <c r="F247" s="240" t="s">
        <v>155</v>
      </c>
      <c r="G247" s="241" t="s">
        <v>155</v>
      </c>
      <c r="H247" s="560"/>
      <c r="I247" s="5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8"/>
      <c r="BX247" s="68"/>
      <c r="BY247" s="60"/>
      <c r="BZ247" s="68"/>
      <c r="CA247" s="68"/>
      <c r="CB247" s="60"/>
      <c r="CC247" s="60"/>
      <c r="CD247" s="68"/>
      <c r="CE247" s="60"/>
      <c r="CF247" s="60"/>
      <c r="CG247" s="60"/>
      <c r="CH247" s="60"/>
      <c r="CI247" s="60"/>
      <c r="CJ247" s="60"/>
      <c r="CK247" s="60"/>
      <c r="CL247" s="60"/>
      <c r="CM247" s="60"/>
      <c r="CN247" s="60"/>
      <c r="CO247" s="60"/>
      <c r="CP247" s="60"/>
      <c r="CQ247" s="60"/>
      <c r="CR247" s="60"/>
      <c r="CS247" s="60"/>
      <c r="CT247" s="60"/>
      <c r="CU247" s="60"/>
    </row>
    <row r="248">
      <c r="A248" s="528"/>
      <c r="B248" s="241" t="s">
        <v>155</v>
      </c>
      <c r="C248" s="237" t="s">
        <v>155</v>
      </c>
      <c r="D248" s="238" t="s">
        <v>155</v>
      </c>
      <c r="E248" s="239" t="s">
        <v>155</v>
      </c>
      <c r="F248" s="240" t="s">
        <v>155</v>
      </c>
      <c r="G248" s="241" t="s">
        <v>155</v>
      </c>
      <c r="H248" s="560"/>
      <c r="I248" s="5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8"/>
      <c r="BX248" s="68"/>
      <c r="BY248" s="60"/>
      <c r="BZ248" s="68"/>
      <c r="CA248" s="68"/>
      <c r="CB248" s="60"/>
      <c r="CC248" s="60"/>
      <c r="CD248" s="68"/>
      <c r="CE248" s="60"/>
      <c r="CF248" s="60"/>
      <c r="CG248" s="60"/>
      <c r="CH248" s="60"/>
      <c r="CI248" s="60"/>
      <c r="CJ248" s="60"/>
      <c r="CK248" s="60"/>
      <c r="CL248" s="60"/>
      <c r="CM248" s="60"/>
      <c r="CN248" s="60"/>
      <c r="CO248" s="60"/>
      <c r="CP248" s="60"/>
      <c r="CQ248" s="60"/>
      <c r="CR248" s="60"/>
      <c r="CS248" s="60"/>
      <c r="CT248" s="60"/>
      <c r="CU248" s="60"/>
    </row>
    <row r="249">
      <c r="A249" s="528"/>
      <c r="B249" s="241" t="s">
        <v>155</v>
      </c>
      <c r="C249" s="237" t="s">
        <v>155</v>
      </c>
      <c r="D249" s="238" t="s">
        <v>155</v>
      </c>
      <c r="E249" s="239" t="s">
        <v>155</v>
      </c>
      <c r="F249" s="240" t="s">
        <v>155</v>
      </c>
      <c r="G249" s="241" t="s">
        <v>155</v>
      </c>
      <c r="H249" s="560"/>
      <c r="I249" s="5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8"/>
      <c r="BX249" s="68"/>
      <c r="BY249" s="60"/>
      <c r="BZ249" s="68"/>
      <c r="CA249" s="68"/>
      <c r="CB249" s="60"/>
      <c r="CC249" s="60"/>
      <c r="CD249" s="68"/>
      <c r="CE249" s="60"/>
      <c r="CF249" s="60"/>
      <c r="CG249" s="60"/>
      <c r="CH249" s="60"/>
      <c r="CI249" s="60"/>
      <c r="CJ249" s="60"/>
      <c r="CK249" s="60"/>
      <c r="CL249" s="60"/>
      <c r="CM249" s="60"/>
      <c r="CN249" s="60"/>
      <c r="CO249" s="60"/>
      <c r="CP249" s="60"/>
      <c r="CQ249" s="60"/>
      <c r="CR249" s="60"/>
      <c r="CS249" s="60"/>
      <c r="CT249" s="60"/>
      <c r="CU249" s="60"/>
    </row>
    <row r="250">
      <c r="A250" s="528"/>
      <c r="B250" s="241" t="s">
        <v>155</v>
      </c>
      <c r="C250" s="237" t="s">
        <v>155</v>
      </c>
      <c r="D250" s="238" t="s">
        <v>155</v>
      </c>
      <c r="E250" s="239" t="s">
        <v>155</v>
      </c>
      <c r="F250" s="240" t="s">
        <v>155</v>
      </c>
      <c r="G250" s="241" t="s">
        <v>155</v>
      </c>
      <c r="H250" s="560"/>
      <c r="I250" s="5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8"/>
      <c r="BX250" s="68"/>
      <c r="BY250" s="60"/>
      <c r="BZ250" s="68"/>
      <c r="CA250" s="68"/>
      <c r="CB250" s="60"/>
      <c r="CC250" s="60"/>
      <c r="CD250" s="68"/>
      <c r="CE250" s="60"/>
      <c r="CF250" s="60"/>
      <c r="CG250" s="60"/>
      <c r="CH250" s="60"/>
      <c r="CI250" s="60"/>
      <c r="CJ250" s="60"/>
      <c r="CK250" s="60"/>
      <c r="CL250" s="60"/>
      <c r="CM250" s="60"/>
      <c r="CN250" s="60"/>
      <c r="CO250" s="60"/>
      <c r="CP250" s="60"/>
      <c r="CQ250" s="60"/>
      <c r="CR250" s="60"/>
      <c r="CS250" s="60"/>
      <c r="CT250" s="60"/>
      <c r="CU250" s="60"/>
    </row>
    <row r="251">
      <c r="A251" s="528"/>
      <c r="B251" s="241" t="s">
        <v>155</v>
      </c>
      <c r="C251" s="237" t="s">
        <v>155</v>
      </c>
      <c r="D251" s="238" t="s">
        <v>155</v>
      </c>
      <c r="E251" s="239" t="s">
        <v>155</v>
      </c>
      <c r="F251" s="240" t="s">
        <v>155</v>
      </c>
      <c r="G251" s="241" t="s">
        <v>155</v>
      </c>
      <c r="H251" s="560"/>
      <c r="I251" s="5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8"/>
      <c r="BX251" s="68"/>
      <c r="BY251" s="60"/>
      <c r="BZ251" s="68"/>
      <c r="CA251" s="68"/>
      <c r="CB251" s="60"/>
      <c r="CC251" s="60"/>
      <c r="CD251" s="68"/>
      <c r="CE251" s="60"/>
      <c r="CF251" s="60"/>
      <c r="CG251" s="60"/>
      <c r="CH251" s="60"/>
      <c r="CI251" s="60"/>
      <c r="CJ251" s="60"/>
      <c r="CK251" s="60"/>
      <c r="CL251" s="60"/>
      <c r="CM251" s="60"/>
      <c r="CN251" s="60"/>
      <c r="CO251" s="60"/>
      <c r="CP251" s="60"/>
      <c r="CQ251" s="60"/>
      <c r="CR251" s="60"/>
      <c r="CS251" s="60"/>
      <c r="CT251" s="60"/>
      <c r="CU251" s="60"/>
    </row>
    <row r="252">
      <c r="A252" s="528"/>
      <c r="B252" s="241" t="s">
        <v>155</v>
      </c>
      <c r="C252" s="237" t="s">
        <v>155</v>
      </c>
      <c r="D252" s="238" t="s">
        <v>155</v>
      </c>
      <c r="E252" s="239" t="s">
        <v>155</v>
      </c>
      <c r="F252" s="240" t="s">
        <v>155</v>
      </c>
      <c r="G252" s="241" t="s">
        <v>155</v>
      </c>
      <c r="H252" s="560"/>
      <c r="I252" s="5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8"/>
      <c r="BX252" s="68"/>
      <c r="BY252" s="60"/>
      <c r="BZ252" s="68"/>
      <c r="CA252" s="68"/>
      <c r="CB252" s="60"/>
      <c r="CC252" s="60"/>
      <c r="CD252" s="68"/>
      <c r="CE252" s="60"/>
      <c r="CF252" s="60"/>
      <c r="CG252" s="60"/>
      <c r="CH252" s="60"/>
      <c r="CI252" s="60"/>
      <c r="CJ252" s="60"/>
      <c r="CK252" s="60"/>
      <c r="CL252" s="60"/>
      <c r="CM252" s="60"/>
      <c r="CN252" s="60"/>
      <c r="CO252" s="60"/>
      <c r="CP252" s="60"/>
      <c r="CQ252" s="60"/>
      <c r="CR252" s="60"/>
      <c r="CS252" s="60"/>
      <c r="CT252" s="60"/>
      <c r="CU252" s="60"/>
    </row>
    <row r="253">
      <c r="A253" s="528"/>
      <c r="B253" s="241" t="s">
        <v>155</v>
      </c>
      <c r="C253" s="237" t="s">
        <v>155</v>
      </c>
      <c r="D253" s="238" t="s">
        <v>155</v>
      </c>
      <c r="E253" s="239" t="s">
        <v>155</v>
      </c>
      <c r="F253" s="240" t="s">
        <v>155</v>
      </c>
      <c r="G253" s="241" t="s">
        <v>155</v>
      </c>
      <c r="H253" s="560"/>
      <c r="I253" s="5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8"/>
      <c r="BX253" s="68"/>
      <c r="BY253" s="60"/>
      <c r="BZ253" s="68"/>
      <c r="CA253" s="68"/>
      <c r="CB253" s="60"/>
      <c r="CC253" s="60"/>
      <c r="CD253" s="68"/>
      <c r="CE253" s="60"/>
      <c r="CF253" s="60"/>
      <c r="CG253" s="60"/>
      <c r="CH253" s="60"/>
      <c r="CI253" s="60"/>
      <c r="CJ253" s="60"/>
      <c r="CK253" s="60"/>
      <c r="CL253" s="60"/>
      <c r="CM253" s="60"/>
      <c r="CN253" s="60"/>
      <c r="CO253" s="60"/>
      <c r="CP253" s="60"/>
      <c r="CQ253" s="60"/>
      <c r="CR253" s="60"/>
      <c r="CS253" s="60"/>
      <c r="CT253" s="60"/>
      <c r="CU253" s="60"/>
    </row>
    <row r="254">
      <c r="A254" s="528"/>
      <c r="B254" s="241" t="s">
        <v>155</v>
      </c>
      <c r="C254" s="237" t="s">
        <v>155</v>
      </c>
      <c r="D254" s="238" t="s">
        <v>155</v>
      </c>
      <c r="E254" s="239" t="s">
        <v>155</v>
      </c>
      <c r="F254" s="240" t="s">
        <v>155</v>
      </c>
      <c r="G254" s="241" t="s">
        <v>155</v>
      </c>
      <c r="H254" s="560"/>
      <c r="I254" s="5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8"/>
      <c r="BX254" s="68"/>
      <c r="BY254" s="60"/>
      <c r="BZ254" s="68"/>
      <c r="CA254" s="68"/>
      <c r="CB254" s="60"/>
      <c r="CC254" s="60"/>
      <c r="CD254" s="68"/>
      <c r="CE254" s="60"/>
      <c r="CF254" s="60"/>
      <c r="CG254" s="60"/>
      <c r="CH254" s="60"/>
      <c r="CI254" s="60"/>
      <c r="CJ254" s="60"/>
      <c r="CK254" s="60"/>
      <c r="CL254" s="60"/>
      <c r="CM254" s="60"/>
      <c r="CN254" s="60"/>
      <c r="CO254" s="60"/>
      <c r="CP254" s="60"/>
      <c r="CQ254" s="60"/>
      <c r="CR254" s="60"/>
      <c r="CS254" s="60"/>
      <c r="CT254" s="60"/>
      <c r="CU254" s="60"/>
    </row>
    <row r="255">
      <c r="A255" s="528"/>
      <c r="B255" s="241" t="s">
        <v>155</v>
      </c>
      <c r="C255" s="237" t="s">
        <v>155</v>
      </c>
      <c r="D255" s="238" t="s">
        <v>155</v>
      </c>
      <c r="E255" s="239" t="s">
        <v>155</v>
      </c>
      <c r="F255" s="240" t="s">
        <v>155</v>
      </c>
      <c r="G255" s="241" t="s">
        <v>155</v>
      </c>
      <c r="H255" s="560"/>
      <c r="I255" s="5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8"/>
      <c r="BX255" s="68"/>
      <c r="BY255" s="60"/>
      <c r="BZ255" s="68"/>
      <c r="CA255" s="68"/>
      <c r="CB255" s="60"/>
      <c r="CC255" s="60"/>
      <c r="CD255" s="68"/>
      <c r="CE255" s="60"/>
      <c r="CF255" s="60"/>
      <c r="CG255" s="60"/>
      <c r="CH255" s="60"/>
      <c r="CI255" s="60"/>
      <c r="CJ255" s="60"/>
      <c r="CK255" s="60"/>
      <c r="CL255" s="60"/>
      <c r="CM255" s="60"/>
      <c r="CN255" s="60"/>
      <c r="CO255" s="60"/>
      <c r="CP255" s="60"/>
      <c r="CQ255" s="60"/>
      <c r="CR255" s="60"/>
      <c r="CS255" s="60"/>
      <c r="CT255" s="60"/>
      <c r="CU255" s="60"/>
    </row>
    <row r="256">
      <c r="A256" s="528"/>
      <c r="B256" s="241" t="s">
        <v>155</v>
      </c>
      <c r="C256" s="237" t="s">
        <v>155</v>
      </c>
      <c r="D256" s="238" t="s">
        <v>155</v>
      </c>
      <c r="E256" s="239" t="s">
        <v>155</v>
      </c>
      <c r="F256" s="240" t="s">
        <v>155</v>
      </c>
      <c r="G256" s="241" t="s">
        <v>155</v>
      </c>
      <c r="H256" s="560"/>
      <c r="I256" s="5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8"/>
      <c r="BX256" s="68"/>
      <c r="BY256" s="60"/>
      <c r="BZ256" s="68"/>
      <c r="CA256" s="68"/>
      <c r="CB256" s="60"/>
      <c r="CC256" s="60"/>
      <c r="CD256" s="68"/>
      <c r="CE256" s="60"/>
      <c r="CF256" s="60"/>
      <c r="CG256" s="60"/>
      <c r="CH256" s="60"/>
      <c r="CI256" s="60"/>
      <c r="CJ256" s="60"/>
      <c r="CK256" s="60"/>
      <c r="CL256" s="60"/>
      <c r="CM256" s="60"/>
      <c r="CN256" s="60"/>
      <c r="CO256" s="60"/>
      <c r="CP256" s="60"/>
      <c r="CQ256" s="60"/>
      <c r="CR256" s="60"/>
      <c r="CS256" s="60"/>
      <c r="CT256" s="60"/>
      <c r="CU256" s="60"/>
    </row>
    <row r="257">
      <c r="A257" s="528"/>
      <c r="B257" s="241" t="s">
        <v>155</v>
      </c>
      <c r="C257" s="237" t="s">
        <v>155</v>
      </c>
      <c r="D257" s="238" t="s">
        <v>155</v>
      </c>
      <c r="E257" s="239" t="s">
        <v>155</v>
      </c>
      <c r="F257" s="240" t="s">
        <v>155</v>
      </c>
      <c r="G257" s="241" t="s">
        <v>155</v>
      </c>
      <c r="H257" s="560"/>
      <c r="I257" s="5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8"/>
      <c r="BX257" s="68"/>
      <c r="BY257" s="60"/>
      <c r="BZ257" s="68"/>
      <c r="CA257" s="68"/>
      <c r="CB257" s="60"/>
      <c r="CC257" s="60"/>
      <c r="CD257" s="68"/>
      <c r="CE257" s="60"/>
      <c r="CF257" s="60"/>
      <c r="CG257" s="60"/>
      <c r="CH257" s="60"/>
      <c r="CI257" s="60"/>
      <c r="CJ257" s="60"/>
      <c r="CK257" s="60"/>
      <c r="CL257" s="60"/>
      <c r="CM257" s="60"/>
      <c r="CN257" s="60"/>
      <c r="CO257" s="60"/>
      <c r="CP257" s="60"/>
      <c r="CQ257" s="60"/>
      <c r="CR257" s="60"/>
      <c r="CS257" s="60"/>
      <c r="CT257" s="60"/>
      <c r="CU257" s="60"/>
    </row>
    <row r="258">
      <c r="A258" s="528"/>
      <c r="B258" s="241" t="s">
        <v>155</v>
      </c>
      <c r="C258" s="237" t="s">
        <v>155</v>
      </c>
      <c r="D258" s="238" t="s">
        <v>155</v>
      </c>
      <c r="E258" s="239" t="s">
        <v>155</v>
      </c>
      <c r="F258" s="240" t="s">
        <v>155</v>
      </c>
      <c r="G258" s="241" t="s">
        <v>155</v>
      </c>
      <c r="H258" s="560"/>
      <c r="I258" s="5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8"/>
      <c r="BX258" s="68"/>
      <c r="BY258" s="60"/>
      <c r="BZ258" s="68"/>
      <c r="CA258" s="68"/>
      <c r="CB258" s="60"/>
      <c r="CC258" s="60"/>
      <c r="CD258" s="68"/>
      <c r="CE258" s="60"/>
      <c r="CF258" s="60"/>
      <c r="CG258" s="60"/>
      <c r="CH258" s="60"/>
      <c r="CI258" s="60"/>
      <c r="CJ258" s="60"/>
      <c r="CK258" s="60"/>
      <c r="CL258" s="60"/>
      <c r="CM258" s="60"/>
      <c r="CN258" s="60"/>
      <c r="CO258" s="60"/>
      <c r="CP258" s="60"/>
      <c r="CQ258" s="60"/>
      <c r="CR258" s="60"/>
      <c r="CS258" s="60"/>
      <c r="CT258" s="60"/>
      <c r="CU258" s="60"/>
    </row>
    <row r="259">
      <c r="A259" s="528"/>
      <c r="B259" s="241" t="s">
        <v>155</v>
      </c>
      <c r="C259" s="237" t="s">
        <v>155</v>
      </c>
      <c r="D259" s="238" t="s">
        <v>155</v>
      </c>
      <c r="E259" s="239" t="s">
        <v>155</v>
      </c>
      <c r="F259" s="240" t="s">
        <v>155</v>
      </c>
      <c r="G259" s="241" t="s">
        <v>155</v>
      </c>
      <c r="H259" s="560"/>
      <c r="I259" s="5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8"/>
      <c r="BX259" s="68"/>
      <c r="BY259" s="60"/>
      <c r="BZ259" s="68"/>
      <c r="CA259" s="68"/>
      <c r="CB259" s="60"/>
      <c r="CC259" s="60"/>
      <c r="CD259" s="68"/>
      <c r="CE259" s="60"/>
      <c r="CF259" s="60"/>
      <c r="CG259" s="60"/>
      <c r="CH259" s="60"/>
      <c r="CI259" s="60"/>
      <c r="CJ259" s="60"/>
      <c r="CK259" s="60"/>
      <c r="CL259" s="60"/>
      <c r="CM259" s="60"/>
      <c r="CN259" s="60"/>
      <c r="CO259" s="60"/>
      <c r="CP259" s="60"/>
      <c r="CQ259" s="60"/>
      <c r="CR259" s="60"/>
      <c r="CS259" s="60"/>
      <c r="CT259" s="60"/>
      <c r="CU259" s="60"/>
    </row>
    <row r="260">
      <c r="A260" s="528"/>
      <c r="B260" s="241" t="s">
        <v>155</v>
      </c>
      <c r="C260" s="237" t="s">
        <v>155</v>
      </c>
      <c r="D260" s="238" t="s">
        <v>155</v>
      </c>
      <c r="E260" s="239" t="s">
        <v>155</v>
      </c>
      <c r="F260" s="240" t="s">
        <v>155</v>
      </c>
      <c r="G260" s="241" t="s">
        <v>155</v>
      </c>
      <c r="H260" s="560"/>
      <c r="I260" s="5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8"/>
      <c r="BX260" s="68"/>
      <c r="BY260" s="60"/>
      <c r="BZ260" s="68"/>
      <c r="CA260" s="68"/>
      <c r="CB260" s="60"/>
      <c r="CC260" s="60"/>
      <c r="CD260" s="68"/>
      <c r="CE260" s="60"/>
      <c r="CF260" s="60"/>
      <c r="CG260" s="60"/>
      <c r="CH260" s="60"/>
      <c r="CI260" s="60"/>
      <c r="CJ260" s="60"/>
      <c r="CK260" s="60"/>
      <c r="CL260" s="60"/>
      <c r="CM260" s="60"/>
      <c r="CN260" s="60"/>
      <c r="CO260" s="60"/>
      <c r="CP260" s="60"/>
      <c r="CQ260" s="60"/>
      <c r="CR260" s="60"/>
      <c r="CS260" s="60"/>
      <c r="CT260" s="60"/>
      <c r="CU260" s="60"/>
    </row>
    <row r="261">
      <c r="A261" s="528"/>
      <c r="B261" s="241" t="s">
        <v>155</v>
      </c>
      <c r="C261" s="237" t="s">
        <v>155</v>
      </c>
      <c r="D261" s="238" t="s">
        <v>155</v>
      </c>
      <c r="E261" s="239" t="s">
        <v>155</v>
      </c>
      <c r="F261" s="240" t="s">
        <v>155</v>
      </c>
      <c r="G261" s="241" t="s">
        <v>155</v>
      </c>
      <c r="H261" s="560"/>
      <c r="I261" s="5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8"/>
      <c r="BX261" s="68"/>
      <c r="BY261" s="60"/>
      <c r="BZ261" s="68"/>
      <c r="CA261" s="68"/>
      <c r="CB261" s="60"/>
      <c r="CC261" s="60"/>
      <c r="CD261" s="68"/>
      <c r="CE261" s="60"/>
      <c r="CF261" s="60"/>
      <c r="CG261" s="60"/>
      <c r="CH261" s="60"/>
      <c r="CI261" s="60"/>
      <c r="CJ261" s="60"/>
      <c r="CK261" s="60"/>
      <c r="CL261" s="60"/>
      <c r="CM261" s="60"/>
      <c r="CN261" s="60"/>
      <c r="CO261" s="60"/>
      <c r="CP261" s="60"/>
      <c r="CQ261" s="60"/>
      <c r="CR261" s="60"/>
      <c r="CS261" s="60"/>
      <c r="CT261" s="60"/>
      <c r="CU261" s="60"/>
    </row>
    <row r="262">
      <c r="A262" s="528"/>
      <c r="B262" s="241" t="s">
        <v>155</v>
      </c>
      <c r="C262" s="237" t="s">
        <v>155</v>
      </c>
      <c r="D262" s="238" t="s">
        <v>155</v>
      </c>
      <c r="E262" s="239" t="s">
        <v>155</v>
      </c>
      <c r="F262" s="240" t="s">
        <v>155</v>
      </c>
      <c r="G262" s="241" t="s">
        <v>155</v>
      </c>
      <c r="H262" s="560"/>
      <c r="I262" s="5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8"/>
      <c r="BX262" s="68"/>
      <c r="BY262" s="60"/>
      <c r="BZ262" s="68"/>
      <c r="CA262" s="68"/>
      <c r="CB262" s="60"/>
      <c r="CC262" s="60"/>
      <c r="CD262" s="68"/>
      <c r="CE262" s="60"/>
      <c r="CF262" s="60"/>
      <c r="CG262" s="60"/>
      <c r="CH262" s="60"/>
      <c r="CI262" s="60"/>
      <c r="CJ262" s="60"/>
      <c r="CK262" s="60"/>
      <c r="CL262" s="60"/>
      <c r="CM262" s="60"/>
      <c r="CN262" s="60"/>
      <c r="CO262" s="60"/>
      <c r="CP262" s="60"/>
      <c r="CQ262" s="60"/>
      <c r="CR262" s="60"/>
      <c r="CS262" s="60"/>
      <c r="CT262" s="60"/>
      <c r="CU262" s="60"/>
    </row>
    <row r="263">
      <c r="A263" s="528"/>
      <c r="B263" s="241" t="s">
        <v>155</v>
      </c>
      <c r="C263" s="237" t="s">
        <v>155</v>
      </c>
      <c r="D263" s="238" t="s">
        <v>155</v>
      </c>
      <c r="E263" s="239" t="s">
        <v>155</v>
      </c>
      <c r="F263" s="240" t="s">
        <v>155</v>
      </c>
      <c r="G263" s="241" t="s">
        <v>155</v>
      </c>
      <c r="H263" s="560"/>
      <c r="I263" s="5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8"/>
      <c r="BX263" s="68"/>
      <c r="BY263" s="60"/>
      <c r="BZ263" s="68"/>
      <c r="CA263" s="68"/>
      <c r="CB263" s="60"/>
      <c r="CC263" s="60"/>
      <c r="CD263" s="68"/>
      <c r="CE263" s="60"/>
      <c r="CF263" s="60"/>
      <c r="CG263" s="60"/>
      <c r="CH263" s="60"/>
      <c r="CI263" s="60"/>
      <c r="CJ263" s="60"/>
      <c r="CK263" s="60"/>
      <c r="CL263" s="60"/>
      <c r="CM263" s="60"/>
      <c r="CN263" s="60"/>
      <c r="CO263" s="60"/>
      <c r="CP263" s="60"/>
      <c r="CQ263" s="60"/>
      <c r="CR263" s="60"/>
      <c r="CS263" s="60"/>
      <c r="CT263" s="60"/>
      <c r="CU263" s="60"/>
    </row>
    <row r="264">
      <c r="A264" s="528"/>
      <c r="B264" s="241" t="s">
        <v>155</v>
      </c>
      <c r="C264" s="237" t="s">
        <v>155</v>
      </c>
      <c r="D264" s="238" t="s">
        <v>155</v>
      </c>
      <c r="E264" s="239" t="s">
        <v>155</v>
      </c>
      <c r="F264" s="240" t="s">
        <v>155</v>
      </c>
      <c r="G264" s="241" t="s">
        <v>155</v>
      </c>
      <c r="H264" s="560"/>
      <c r="I264" s="5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8"/>
      <c r="BX264" s="68"/>
      <c r="BY264" s="60"/>
      <c r="BZ264" s="68"/>
      <c r="CA264" s="68"/>
      <c r="CB264" s="60"/>
      <c r="CC264" s="60"/>
      <c r="CD264" s="68"/>
      <c r="CE264" s="60"/>
      <c r="CF264" s="60"/>
      <c r="CG264" s="60"/>
      <c r="CH264" s="60"/>
      <c r="CI264" s="60"/>
      <c r="CJ264" s="60"/>
      <c r="CK264" s="60"/>
      <c r="CL264" s="60"/>
      <c r="CM264" s="60"/>
      <c r="CN264" s="60"/>
      <c r="CO264" s="60"/>
      <c r="CP264" s="60"/>
      <c r="CQ264" s="60"/>
      <c r="CR264" s="60"/>
      <c r="CS264" s="60"/>
      <c r="CT264" s="60"/>
      <c r="CU264" s="60"/>
    </row>
    <row r="265">
      <c r="A265" s="528"/>
      <c r="B265" s="241" t="s">
        <v>155</v>
      </c>
      <c r="C265" s="237" t="s">
        <v>155</v>
      </c>
      <c r="D265" s="238" t="s">
        <v>155</v>
      </c>
      <c r="E265" s="239" t="s">
        <v>155</v>
      </c>
      <c r="F265" s="240" t="s">
        <v>155</v>
      </c>
      <c r="G265" s="241" t="s">
        <v>155</v>
      </c>
      <c r="H265" s="560"/>
      <c r="I265" s="5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8"/>
      <c r="BX265" s="68"/>
      <c r="BY265" s="60"/>
      <c r="BZ265" s="68"/>
      <c r="CA265" s="68"/>
      <c r="CB265" s="60"/>
      <c r="CC265" s="60"/>
      <c r="CD265" s="68"/>
      <c r="CE265" s="60"/>
      <c r="CF265" s="60"/>
      <c r="CG265" s="60"/>
      <c r="CH265" s="60"/>
      <c r="CI265" s="60"/>
      <c r="CJ265" s="60"/>
      <c r="CK265" s="60"/>
      <c r="CL265" s="60"/>
      <c r="CM265" s="60"/>
      <c r="CN265" s="60"/>
      <c r="CO265" s="60"/>
      <c r="CP265" s="60"/>
      <c r="CQ265" s="60"/>
      <c r="CR265" s="60"/>
      <c r="CS265" s="60"/>
      <c r="CT265" s="60"/>
      <c r="CU265" s="60"/>
    </row>
    <row r="266">
      <c r="A266" s="528"/>
      <c r="B266" s="241" t="s">
        <v>155</v>
      </c>
      <c r="C266" s="237" t="s">
        <v>155</v>
      </c>
      <c r="D266" s="238" t="s">
        <v>155</v>
      </c>
      <c r="E266" s="239" t="s">
        <v>155</v>
      </c>
      <c r="F266" s="240" t="s">
        <v>155</v>
      </c>
      <c r="G266" s="241" t="s">
        <v>155</v>
      </c>
      <c r="H266" s="560"/>
      <c r="I266" s="5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8"/>
      <c r="BX266" s="68"/>
      <c r="BY266" s="60"/>
      <c r="BZ266" s="68"/>
      <c r="CA266" s="68"/>
      <c r="CB266" s="60"/>
      <c r="CC266" s="60"/>
      <c r="CD266" s="68"/>
      <c r="CE266" s="60"/>
      <c r="CF266" s="60"/>
      <c r="CG266" s="60"/>
      <c r="CH266" s="60"/>
      <c r="CI266" s="60"/>
      <c r="CJ266" s="60"/>
      <c r="CK266" s="60"/>
      <c r="CL266" s="60"/>
      <c r="CM266" s="60"/>
      <c r="CN266" s="60"/>
      <c r="CO266" s="60"/>
      <c r="CP266" s="60"/>
      <c r="CQ266" s="60"/>
      <c r="CR266" s="60"/>
      <c r="CS266" s="60"/>
      <c r="CT266" s="60"/>
      <c r="CU266" s="60"/>
    </row>
    <row r="267">
      <c r="A267" s="528"/>
      <c r="B267" s="241" t="s">
        <v>155</v>
      </c>
      <c r="C267" s="237" t="s">
        <v>155</v>
      </c>
      <c r="D267" s="238" t="s">
        <v>155</v>
      </c>
      <c r="E267" s="239" t="s">
        <v>155</v>
      </c>
      <c r="F267" s="240" t="s">
        <v>155</v>
      </c>
      <c r="G267" s="241" t="s">
        <v>155</v>
      </c>
      <c r="H267" s="560"/>
      <c r="I267" s="5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8"/>
      <c r="BX267" s="68"/>
      <c r="BY267" s="60"/>
      <c r="BZ267" s="68"/>
      <c r="CA267" s="68"/>
      <c r="CB267" s="60"/>
      <c r="CC267" s="60"/>
      <c r="CD267" s="68"/>
      <c r="CE267" s="60"/>
      <c r="CF267" s="60"/>
      <c r="CG267" s="60"/>
      <c r="CH267" s="60"/>
      <c r="CI267" s="60"/>
      <c r="CJ267" s="60"/>
      <c r="CK267" s="60"/>
      <c r="CL267" s="60"/>
      <c r="CM267" s="60"/>
      <c r="CN267" s="60"/>
      <c r="CO267" s="60"/>
      <c r="CP267" s="60"/>
      <c r="CQ267" s="60"/>
      <c r="CR267" s="60"/>
      <c r="CS267" s="60"/>
      <c r="CT267" s="60"/>
      <c r="CU267" s="60"/>
    </row>
    <row r="268">
      <c r="A268" s="528"/>
      <c r="B268" s="241" t="s">
        <v>155</v>
      </c>
      <c r="C268" s="237" t="s">
        <v>155</v>
      </c>
      <c r="D268" s="238" t="s">
        <v>155</v>
      </c>
      <c r="E268" s="239" t="s">
        <v>155</v>
      </c>
      <c r="F268" s="240" t="s">
        <v>155</v>
      </c>
      <c r="G268" s="241" t="s">
        <v>155</v>
      </c>
      <c r="H268" s="560"/>
      <c r="I268" s="5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8"/>
      <c r="BX268" s="68"/>
      <c r="BY268" s="60"/>
      <c r="BZ268" s="68"/>
      <c r="CA268" s="68"/>
      <c r="CB268" s="60"/>
      <c r="CC268" s="60"/>
      <c r="CD268" s="68"/>
      <c r="CE268" s="60"/>
      <c r="CF268" s="60"/>
      <c r="CG268" s="60"/>
      <c r="CH268" s="60"/>
      <c r="CI268" s="60"/>
      <c r="CJ268" s="60"/>
      <c r="CK268" s="60"/>
      <c r="CL268" s="60"/>
      <c r="CM268" s="60"/>
      <c r="CN268" s="60"/>
      <c r="CO268" s="60"/>
      <c r="CP268" s="60"/>
      <c r="CQ268" s="60"/>
      <c r="CR268" s="60"/>
      <c r="CS268" s="60"/>
      <c r="CT268" s="60"/>
      <c r="CU268" s="60"/>
    </row>
    <row r="269">
      <c r="A269" s="528"/>
      <c r="B269" s="241" t="s">
        <v>155</v>
      </c>
      <c r="C269" s="237" t="s">
        <v>155</v>
      </c>
      <c r="D269" s="238" t="s">
        <v>155</v>
      </c>
      <c r="E269" s="239" t="s">
        <v>155</v>
      </c>
      <c r="F269" s="240" t="s">
        <v>155</v>
      </c>
      <c r="G269" s="241" t="s">
        <v>155</v>
      </c>
      <c r="H269" s="560"/>
      <c r="I269" s="5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8"/>
      <c r="BX269" s="68"/>
      <c r="BY269" s="60"/>
      <c r="BZ269" s="68"/>
      <c r="CA269" s="68"/>
      <c r="CB269" s="60"/>
      <c r="CC269" s="60"/>
      <c r="CD269" s="68"/>
      <c r="CE269" s="60"/>
      <c r="CF269" s="60"/>
      <c r="CG269" s="60"/>
      <c r="CH269" s="60"/>
      <c r="CI269" s="60"/>
      <c r="CJ269" s="60"/>
      <c r="CK269" s="60"/>
      <c r="CL269" s="60"/>
      <c r="CM269" s="60"/>
      <c r="CN269" s="60"/>
      <c r="CO269" s="60"/>
      <c r="CP269" s="60"/>
      <c r="CQ269" s="60"/>
      <c r="CR269" s="60"/>
      <c r="CS269" s="60"/>
      <c r="CT269" s="60"/>
      <c r="CU269" s="60"/>
    </row>
    <row r="270">
      <c r="A270" s="528"/>
      <c r="B270" s="241" t="s">
        <v>155</v>
      </c>
      <c r="C270" s="237" t="s">
        <v>155</v>
      </c>
      <c r="D270" s="238" t="s">
        <v>155</v>
      </c>
      <c r="E270" s="239" t="s">
        <v>155</v>
      </c>
      <c r="F270" s="240" t="s">
        <v>155</v>
      </c>
      <c r="G270" s="241" t="s">
        <v>155</v>
      </c>
      <c r="H270" s="560"/>
      <c r="I270" s="5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8"/>
      <c r="BX270" s="68"/>
      <c r="BY270" s="60"/>
      <c r="BZ270" s="68"/>
      <c r="CA270" s="68"/>
      <c r="CB270" s="60"/>
      <c r="CC270" s="60"/>
      <c r="CD270" s="68"/>
      <c r="CE270" s="60"/>
      <c r="CF270" s="60"/>
      <c r="CG270" s="60"/>
      <c r="CH270" s="60"/>
      <c r="CI270" s="60"/>
      <c r="CJ270" s="60"/>
      <c r="CK270" s="60"/>
      <c r="CL270" s="60"/>
      <c r="CM270" s="60"/>
      <c r="CN270" s="60"/>
      <c r="CO270" s="60"/>
      <c r="CP270" s="60"/>
      <c r="CQ270" s="60"/>
      <c r="CR270" s="60"/>
      <c r="CS270" s="60"/>
      <c r="CT270" s="60"/>
      <c r="CU270" s="60"/>
    </row>
    <row r="271">
      <c r="A271" s="528"/>
      <c r="B271" s="241" t="s">
        <v>155</v>
      </c>
      <c r="C271" s="237" t="s">
        <v>155</v>
      </c>
      <c r="D271" s="238" t="s">
        <v>155</v>
      </c>
      <c r="E271" s="239" t="s">
        <v>155</v>
      </c>
      <c r="F271" s="240" t="s">
        <v>155</v>
      </c>
      <c r="G271" s="241" t="s">
        <v>155</v>
      </c>
      <c r="H271" s="560"/>
      <c r="I271" s="5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8"/>
      <c r="BX271" s="68"/>
      <c r="BY271" s="60"/>
      <c r="BZ271" s="68"/>
      <c r="CA271" s="68"/>
      <c r="CB271" s="60"/>
      <c r="CC271" s="60"/>
      <c r="CD271" s="68"/>
      <c r="CE271" s="60"/>
      <c r="CF271" s="60"/>
      <c r="CG271" s="60"/>
      <c r="CH271" s="60"/>
      <c r="CI271" s="60"/>
      <c r="CJ271" s="60"/>
      <c r="CK271" s="60"/>
      <c r="CL271" s="60"/>
      <c r="CM271" s="60"/>
      <c r="CN271" s="60"/>
      <c r="CO271" s="60"/>
      <c r="CP271" s="60"/>
      <c r="CQ271" s="60"/>
      <c r="CR271" s="60"/>
      <c r="CS271" s="60"/>
      <c r="CT271" s="60"/>
      <c r="CU271" s="60"/>
    </row>
    <row r="272">
      <c r="A272" s="528"/>
      <c r="B272" s="241" t="s">
        <v>155</v>
      </c>
      <c r="C272" s="237" t="s">
        <v>155</v>
      </c>
      <c r="D272" s="238" t="s">
        <v>155</v>
      </c>
      <c r="E272" s="239" t="s">
        <v>155</v>
      </c>
      <c r="F272" s="240" t="s">
        <v>155</v>
      </c>
      <c r="G272" s="241" t="s">
        <v>155</v>
      </c>
      <c r="H272" s="560"/>
      <c r="I272" s="5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8"/>
      <c r="BX272" s="68"/>
      <c r="BY272" s="60"/>
      <c r="BZ272" s="68"/>
      <c r="CA272" s="68"/>
      <c r="CB272" s="60"/>
      <c r="CC272" s="60"/>
      <c r="CD272" s="68"/>
      <c r="CE272" s="60"/>
      <c r="CF272" s="60"/>
      <c r="CG272" s="60"/>
      <c r="CH272" s="60"/>
      <c r="CI272" s="60"/>
      <c r="CJ272" s="60"/>
      <c r="CK272" s="60"/>
      <c r="CL272" s="60"/>
      <c r="CM272" s="60"/>
      <c r="CN272" s="60"/>
      <c r="CO272" s="60"/>
      <c r="CP272" s="60"/>
      <c r="CQ272" s="60"/>
      <c r="CR272" s="60"/>
      <c r="CS272" s="60"/>
      <c r="CT272" s="60"/>
      <c r="CU272" s="60"/>
    </row>
    <row r="273">
      <c r="A273" s="528"/>
      <c r="B273" s="241" t="s">
        <v>155</v>
      </c>
      <c r="C273" s="237" t="s">
        <v>155</v>
      </c>
      <c r="D273" s="238" t="s">
        <v>155</v>
      </c>
      <c r="E273" s="239" t="s">
        <v>155</v>
      </c>
      <c r="F273" s="240" t="s">
        <v>155</v>
      </c>
      <c r="G273" s="241" t="s">
        <v>155</v>
      </c>
      <c r="H273" s="560"/>
      <c r="I273" s="5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8"/>
      <c r="BX273" s="68"/>
      <c r="BY273" s="60"/>
      <c r="BZ273" s="68"/>
      <c r="CA273" s="68"/>
      <c r="CB273" s="60"/>
      <c r="CC273" s="60"/>
      <c r="CD273" s="68"/>
      <c r="CE273" s="60"/>
      <c r="CF273" s="60"/>
      <c r="CG273" s="60"/>
      <c r="CH273" s="60"/>
      <c r="CI273" s="60"/>
      <c r="CJ273" s="60"/>
      <c r="CK273" s="60"/>
      <c r="CL273" s="60"/>
      <c r="CM273" s="60"/>
      <c r="CN273" s="60"/>
      <c r="CO273" s="60"/>
      <c r="CP273" s="60"/>
      <c r="CQ273" s="60"/>
      <c r="CR273" s="60"/>
      <c r="CS273" s="60"/>
      <c r="CT273" s="60"/>
      <c r="CU273" s="60"/>
    </row>
    <row r="274">
      <c r="A274" s="528"/>
      <c r="B274" s="241" t="s">
        <v>155</v>
      </c>
      <c r="C274" s="237" t="s">
        <v>155</v>
      </c>
      <c r="D274" s="238" t="s">
        <v>155</v>
      </c>
      <c r="E274" s="239" t="s">
        <v>155</v>
      </c>
      <c r="F274" s="240" t="s">
        <v>155</v>
      </c>
      <c r="G274" s="241" t="s">
        <v>155</v>
      </c>
      <c r="H274" s="560"/>
      <c r="I274" s="5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8"/>
      <c r="BX274" s="68"/>
      <c r="BY274" s="60"/>
      <c r="BZ274" s="68"/>
      <c r="CA274" s="68"/>
      <c r="CB274" s="60"/>
      <c r="CC274" s="60"/>
      <c r="CD274" s="68"/>
      <c r="CE274" s="60"/>
      <c r="CF274" s="60"/>
      <c r="CG274" s="60"/>
      <c r="CH274" s="60"/>
      <c r="CI274" s="60"/>
      <c r="CJ274" s="60"/>
      <c r="CK274" s="60"/>
      <c r="CL274" s="60"/>
      <c r="CM274" s="60"/>
      <c r="CN274" s="60"/>
      <c r="CO274" s="60"/>
      <c r="CP274" s="60"/>
      <c r="CQ274" s="60"/>
      <c r="CR274" s="60"/>
      <c r="CS274" s="60"/>
      <c r="CT274" s="60"/>
      <c r="CU274" s="60"/>
    </row>
    <row r="275">
      <c r="A275" s="528"/>
      <c r="B275" s="241" t="s">
        <v>155</v>
      </c>
      <c r="C275" s="237" t="s">
        <v>155</v>
      </c>
      <c r="D275" s="238" t="s">
        <v>155</v>
      </c>
      <c r="E275" s="239" t="s">
        <v>155</v>
      </c>
      <c r="F275" s="240" t="s">
        <v>155</v>
      </c>
      <c r="G275" s="241" t="s">
        <v>155</v>
      </c>
      <c r="H275" s="560"/>
      <c r="I275" s="5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8"/>
      <c r="BX275" s="68"/>
      <c r="BY275" s="60"/>
      <c r="BZ275" s="68"/>
      <c r="CA275" s="68"/>
      <c r="CB275" s="60"/>
      <c r="CC275" s="60"/>
      <c r="CD275" s="68"/>
      <c r="CE275" s="60"/>
      <c r="CF275" s="60"/>
      <c r="CG275" s="60"/>
      <c r="CH275" s="60"/>
      <c r="CI275" s="60"/>
      <c r="CJ275" s="60"/>
      <c r="CK275" s="60"/>
      <c r="CL275" s="60"/>
      <c r="CM275" s="60"/>
      <c r="CN275" s="60"/>
      <c r="CO275" s="60"/>
      <c r="CP275" s="60"/>
      <c r="CQ275" s="60"/>
      <c r="CR275" s="60"/>
      <c r="CS275" s="60"/>
      <c r="CT275" s="60"/>
      <c r="CU275" s="60"/>
    </row>
    <row r="276">
      <c r="A276" s="528"/>
      <c r="B276" s="241" t="s">
        <v>155</v>
      </c>
      <c r="C276" s="237" t="s">
        <v>155</v>
      </c>
      <c r="D276" s="238" t="s">
        <v>155</v>
      </c>
      <c r="E276" s="239" t="s">
        <v>155</v>
      </c>
      <c r="F276" s="240" t="s">
        <v>155</v>
      </c>
      <c r="G276" s="241" t="s">
        <v>155</v>
      </c>
      <c r="H276" s="560"/>
      <c r="I276" s="5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8"/>
      <c r="BX276" s="68"/>
      <c r="BY276" s="60"/>
      <c r="BZ276" s="68"/>
      <c r="CA276" s="68"/>
      <c r="CB276" s="60"/>
      <c r="CC276" s="60"/>
      <c r="CD276" s="68"/>
      <c r="CE276" s="60"/>
      <c r="CF276" s="60"/>
      <c r="CG276" s="60"/>
      <c r="CH276" s="60"/>
      <c r="CI276" s="60"/>
      <c r="CJ276" s="60"/>
      <c r="CK276" s="60"/>
      <c r="CL276" s="60"/>
      <c r="CM276" s="60"/>
      <c r="CN276" s="60"/>
      <c r="CO276" s="60"/>
      <c r="CP276" s="60"/>
      <c r="CQ276" s="60"/>
      <c r="CR276" s="60"/>
      <c r="CS276" s="60"/>
      <c r="CT276" s="60"/>
      <c r="CU276" s="60"/>
    </row>
    <row r="277">
      <c r="A277" s="528"/>
      <c r="B277" s="241" t="s">
        <v>155</v>
      </c>
      <c r="C277" s="237" t="s">
        <v>155</v>
      </c>
      <c r="D277" s="238" t="s">
        <v>155</v>
      </c>
      <c r="E277" s="239" t="s">
        <v>155</v>
      </c>
      <c r="F277" s="240" t="s">
        <v>155</v>
      </c>
      <c r="G277" s="241" t="s">
        <v>155</v>
      </c>
      <c r="H277" s="560"/>
      <c r="I277" s="5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8"/>
      <c r="BX277" s="68"/>
      <c r="BY277" s="60"/>
      <c r="BZ277" s="68"/>
      <c r="CA277" s="68"/>
      <c r="CB277" s="60"/>
      <c r="CC277" s="60"/>
      <c r="CD277" s="68"/>
      <c r="CE277" s="60"/>
      <c r="CF277" s="60"/>
      <c r="CG277" s="60"/>
      <c r="CH277" s="60"/>
      <c r="CI277" s="60"/>
      <c r="CJ277" s="60"/>
      <c r="CK277" s="60"/>
      <c r="CL277" s="60"/>
      <c r="CM277" s="60"/>
      <c r="CN277" s="60"/>
      <c r="CO277" s="60"/>
      <c r="CP277" s="60"/>
      <c r="CQ277" s="60"/>
      <c r="CR277" s="60"/>
      <c r="CS277" s="60"/>
      <c r="CT277" s="60"/>
      <c r="CU277" s="60"/>
    </row>
    <row r="278">
      <c r="A278" s="528"/>
      <c r="B278" s="241" t="s">
        <v>155</v>
      </c>
      <c r="C278" s="237" t="s">
        <v>155</v>
      </c>
      <c r="D278" s="238" t="s">
        <v>155</v>
      </c>
      <c r="E278" s="239" t="s">
        <v>155</v>
      </c>
      <c r="F278" s="240" t="s">
        <v>155</v>
      </c>
      <c r="G278" s="241" t="s">
        <v>155</v>
      </c>
      <c r="H278" s="560"/>
      <c r="I278" s="5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8"/>
      <c r="BX278" s="68"/>
      <c r="BY278" s="60"/>
      <c r="BZ278" s="68"/>
      <c r="CA278" s="68"/>
      <c r="CB278" s="60"/>
      <c r="CC278" s="60"/>
      <c r="CD278" s="68"/>
      <c r="CE278" s="60"/>
      <c r="CF278" s="60"/>
      <c r="CG278" s="60"/>
      <c r="CH278" s="60"/>
      <c r="CI278" s="60"/>
      <c r="CJ278" s="60"/>
      <c r="CK278" s="60"/>
      <c r="CL278" s="60"/>
      <c r="CM278" s="60"/>
      <c r="CN278" s="60"/>
      <c r="CO278" s="60"/>
      <c r="CP278" s="60"/>
      <c r="CQ278" s="60"/>
      <c r="CR278" s="60"/>
      <c r="CS278" s="60"/>
      <c r="CT278" s="60"/>
      <c r="CU278" s="60"/>
    </row>
    <row r="279">
      <c r="A279" s="528"/>
      <c r="B279" s="241" t="s">
        <v>155</v>
      </c>
      <c r="C279" s="237" t="s">
        <v>155</v>
      </c>
      <c r="D279" s="238" t="s">
        <v>155</v>
      </c>
      <c r="E279" s="239" t="s">
        <v>155</v>
      </c>
      <c r="F279" s="240" t="s">
        <v>155</v>
      </c>
      <c r="G279" s="241" t="s">
        <v>155</v>
      </c>
      <c r="H279" s="560"/>
      <c r="I279" s="5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8"/>
      <c r="BX279" s="68"/>
      <c r="BY279" s="60"/>
      <c r="BZ279" s="68"/>
      <c r="CA279" s="68"/>
      <c r="CB279" s="60"/>
      <c r="CC279" s="60"/>
      <c r="CD279" s="68"/>
      <c r="CE279" s="60"/>
      <c r="CF279" s="60"/>
      <c r="CG279" s="60"/>
      <c r="CH279" s="60"/>
      <c r="CI279" s="60"/>
      <c r="CJ279" s="60"/>
      <c r="CK279" s="60"/>
      <c r="CL279" s="60"/>
      <c r="CM279" s="60"/>
      <c r="CN279" s="60"/>
      <c r="CO279" s="60"/>
      <c r="CP279" s="60"/>
      <c r="CQ279" s="60"/>
      <c r="CR279" s="60"/>
      <c r="CS279" s="60"/>
      <c r="CT279" s="60"/>
      <c r="CU279" s="60"/>
    </row>
    <row r="280">
      <c r="A280" s="528"/>
      <c r="B280" s="241" t="s">
        <v>155</v>
      </c>
      <c r="C280" s="237" t="s">
        <v>155</v>
      </c>
      <c r="D280" s="238" t="s">
        <v>155</v>
      </c>
      <c r="E280" s="239" t="s">
        <v>155</v>
      </c>
      <c r="F280" s="240" t="s">
        <v>155</v>
      </c>
      <c r="G280" s="241" t="s">
        <v>155</v>
      </c>
      <c r="H280" s="560"/>
      <c r="I280" s="5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8"/>
      <c r="BX280" s="68"/>
      <c r="BY280" s="60"/>
      <c r="BZ280" s="68"/>
      <c r="CA280" s="68"/>
      <c r="CB280" s="60"/>
      <c r="CC280" s="60"/>
      <c r="CD280" s="68"/>
      <c r="CE280" s="60"/>
      <c r="CF280" s="60"/>
      <c r="CG280" s="60"/>
      <c r="CH280" s="60"/>
      <c r="CI280" s="60"/>
      <c r="CJ280" s="60"/>
      <c r="CK280" s="60"/>
      <c r="CL280" s="60"/>
      <c r="CM280" s="60"/>
      <c r="CN280" s="60"/>
      <c r="CO280" s="60"/>
      <c r="CP280" s="60"/>
      <c r="CQ280" s="60"/>
      <c r="CR280" s="60"/>
      <c r="CS280" s="60"/>
      <c r="CT280" s="60"/>
      <c r="CU280" s="60"/>
    </row>
    <row r="281">
      <c r="A281" s="528"/>
      <c r="B281" s="241" t="s">
        <v>155</v>
      </c>
      <c r="C281" s="237" t="s">
        <v>155</v>
      </c>
      <c r="D281" s="238" t="s">
        <v>155</v>
      </c>
      <c r="E281" s="239" t="s">
        <v>155</v>
      </c>
      <c r="F281" s="240" t="s">
        <v>155</v>
      </c>
      <c r="G281" s="241" t="s">
        <v>155</v>
      </c>
      <c r="H281" s="560"/>
      <c r="I281" s="5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8"/>
      <c r="BX281" s="68"/>
      <c r="BY281" s="60"/>
      <c r="BZ281" s="68"/>
      <c r="CA281" s="68"/>
      <c r="CB281" s="60"/>
      <c r="CC281" s="60"/>
      <c r="CD281" s="68"/>
      <c r="CE281" s="60"/>
      <c r="CF281" s="60"/>
      <c r="CG281" s="60"/>
      <c r="CH281" s="60"/>
      <c r="CI281" s="60"/>
      <c r="CJ281" s="60"/>
      <c r="CK281" s="60"/>
      <c r="CL281" s="60"/>
      <c r="CM281" s="60"/>
      <c r="CN281" s="60"/>
      <c r="CO281" s="60"/>
      <c r="CP281" s="60"/>
      <c r="CQ281" s="60"/>
      <c r="CR281" s="60"/>
      <c r="CS281" s="60"/>
      <c r="CT281" s="60"/>
      <c r="CU281" s="60"/>
    </row>
    <row r="282">
      <c r="A282" s="528"/>
      <c r="B282" s="241" t="s">
        <v>155</v>
      </c>
      <c r="C282" s="237" t="s">
        <v>155</v>
      </c>
      <c r="D282" s="238" t="s">
        <v>155</v>
      </c>
      <c r="E282" s="239" t="s">
        <v>155</v>
      </c>
      <c r="F282" s="240" t="s">
        <v>155</v>
      </c>
      <c r="G282" s="241" t="s">
        <v>155</v>
      </c>
      <c r="H282" s="560"/>
      <c r="I282" s="5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8"/>
      <c r="BX282" s="68"/>
      <c r="BY282" s="60"/>
      <c r="BZ282" s="68"/>
      <c r="CA282" s="68"/>
      <c r="CB282" s="60"/>
      <c r="CC282" s="60"/>
      <c r="CD282" s="68"/>
      <c r="CE282" s="60"/>
      <c r="CF282" s="60"/>
      <c r="CG282" s="60"/>
      <c r="CH282" s="60"/>
      <c r="CI282" s="60"/>
      <c r="CJ282" s="60"/>
      <c r="CK282" s="60"/>
      <c r="CL282" s="60"/>
      <c r="CM282" s="60"/>
      <c r="CN282" s="60"/>
      <c r="CO282" s="60"/>
      <c r="CP282" s="60"/>
      <c r="CQ282" s="60"/>
      <c r="CR282" s="60"/>
      <c r="CS282" s="60"/>
      <c r="CT282" s="60"/>
      <c r="CU282" s="60"/>
    </row>
    <row r="283">
      <c r="A283" s="528"/>
      <c r="B283" s="241" t="s">
        <v>155</v>
      </c>
      <c r="C283" s="237" t="s">
        <v>155</v>
      </c>
      <c r="D283" s="238" t="s">
        <v>155</v>
      </c>
      <c r="E283" s="239" t="s">
        <v>155</v>
      </c>
      <c r="F283" s="240" t="s">
        <v>155</v>
      </c>
      <c r="G283" s="241" t="s">
        <v>155</v>
      </c>
      <c r="H283" s="560"/>
      <c r="I283" s="5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8"/>
      <c r="BX283" s="68"/>
      <c r="BY283" s="60"/>
      <c r="BZ283" s="68"/>
      <c r="CA283" s="68"/>
      <c r="CB283" s="60"/>
      <c r="CC283" s="60"/>
      <c r="CD283" s="68"/>
      <c r="CE283" s="60"/>
      <c r="CF283" s="60"/>
      <c r="CG283" s="60"/>
      <c r="CH283" s="60"/>
      <c r="CI283" s="60"/>
      <c r="CJ283" s="60"/>
      <c r="CK283" s="60"/>
      <c r="CL283" s="60"/>
      <c r="CM283" s="60"/>
      <c r="CN283" s="60"/>
      <c r="CO283" s="60"/>
      <c r="CP283" s="60"/>
      <c r="CQ283" s="60"/>
      <c r="CR283" s="60"/>
      <c r="CS283" s="60"/>
      <c r="CT283" s="60"/>
      <c r="CU283" s="60"/>
    </row>
    <row r="284">
      <c r="A284" s="528"/>
      <c r="B284" s="241" t="s">
        <v>155</v>
      </c>
      <c r="C284" s="237" t="s">
        <v>155</v>
      </c>
      <c r="D284" s="238" t="s">
        <v>155</v>
      </c>
      <c r="E284" s="239" t="s">
        <v>155</v>
      </c>
      <c r="F284" s="240" t="s">
        <v>155</v>
      </c>
      <c r="G284" s="241" t="s">
        <v>155</v>
      </c>
      <c r="H284" s="560"/>
      <c r="I284" s="5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8"/>
      <c r="BX284" s="68"/>
      <c r="BY284" s="60"/>
      <c r="BZ284" s="68"/>
      <c r="CA284" s="68"/>
      <c r="CB284" s="60"/>
      <c r="CC284" s="60"/>
      <c r="CD284" s="68"/>
      <c r="CE284" s="60"/>
      <c r="CF284" s="60"/>
      <c r="CG284" s="60"/>
      <c r="CH284" s="60"/>
      <c r="CI284" s="60"/>
      <c r="CJ284" s="60"/>
      <c r="CK284" s="60"/>
      <c r="CL284" s="60"/>
      <c r="CM284" s="60"/>
      <c r="CN284" s="60"/>
      <c r="CO284" s="60"/>
      <c r="CP284" s="60"/>
      <c r="CQ284" s="60"/>
      <c r="CR284" s="60"/>
      <c r="CS284" s="60"/>
      <c r="CT284" s="60"/>
      <c r="CU284" s="60"/>
    </row>
    <row r="285">
      <c r="A285" s="528"/>
      <c r="B285" s="241" t="s">
        <v>155</v>
      </c>
      <c r="C285" s="237" t="s">
        <v>155</v>
      </c>
      <c r="D285" s="238" t="s">
        <v>155</v>
      </c>
      <c r="E285" s="239" t="s">
        <v>155</v>
      </c>
      <c r="F285" s="240" t="s">
        <v>155</v>
      </c>
      <c r="G285" s="241" t="s">
        <v>155</v>
      </c>
      <c r="H285" s="560"/>
      <c r="I285" s="5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8"/>
      <c r="BX285" s="68"/>
      <c r="BY285" s="60"/>
      <c r="BZ285" s="68"/>
      <c r="CA285" s="68"/>
      <c r="CB285" s="60"/>
      <c r="CC285" s="60"/>
      <c r="CD285" s="68"/>
      <c r="CE285" s="60"/>
      <c r="CF285" s="60"/>
      <c r="CG285" s="60"/>
      <c r="CH285" s="60"/>
      <c r="CI285" s="60"/>
      <c r="CJ285" s="60"/>
      <c r="CK285" s="60"/>
      <c r="CL285" s="60"/>
      <c r="CM285" s="60"/>
      <c r="CN285" s="60"/>
      <c r="CO285" s="60"/>
      <c r="CP285" s="60"/>
      <c r="CQ285" s="60"/>
      <c r="CR285" s="60"/>
      <c r="CS285" s="60"/>
      <c r="CT285" s="60"/>
      <c r="CU285" s="60"/>
    </row>
    <row r="286">
      <c r="A286" s="528"/>
      <c r="B286" s="241" t="s">
        <v>155</v>
      </c>
      <c r="C286" s="237" t="s">
        <v>155</v>
      </c>
      <c r="D286" s="238" t="s">
        <v>155</v>
      </c>
      <c r="E286" s="239" t="s">
        <v>155</v>
      </c>
      <c r="F286" s="240" t="s">
        <v>155</v>
      </c>
      <c r="G286" s="241" t="s">
        <v>155</v>
      </c>
      <c r="H286" s="560"/>
      <c r="I286" s="5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8"/>
      <c r="BX286" s="68"/>
      <c r="BY286" s="60"/>
      <c r="BZ286" s="68"/>
      <c r="CA286" s="68"/>
      <c r="CB286" s="60"/>
      <c r="CC286" s="60"/>
      <c r="CD286" s="68"/>
      <c r="CE286" s="60"/>
      <c r="CF286" s="60"/>
      <c r="CG286" s="60"/>
      <c r="CH286" s="60"/>
      <c r="CI286" s="60"/>
      <c r="CJ286" s="60"/>
      <c r="CK286" s="60"/>
      <c r="CL286" s="60"/>
      <c r="CM286" s="60"/>
      <c r="CN286" s="60"/>
      <c r="CO286" s="60"/>
      <c r="CP286" s="60"/>
      <c r="CQ286" s="60"/>
      <c r="CR286" s="60"/>
      <c r="CS286" s="60"/>
      <c r="CT286" s="60"/>
      <c r="CU286" s="60"/>
    </row>
    <row r="287">
      <c r="A287" s="528"/>
      <c r="B287" s="241" t="s">
        <v>155</v>
      </c>
      <c r="C287" s="237" t="s">
        <v>155</v>
      </c>
      <c r="D287" s="238" t="s">
        <v>155</v>
      </c>
      <c r="E287" s="239" t="s">
        <v>155</v>
      </c>
      <c r="F287" s="240" t="s">
        <v>155</v>
      </c>
      <c r="G287" s="241" t="s">
        <v>155</v>
      </c>
      <c r="H287" s="560"/>
      <c r="I287" s="5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8"/>
      <c r="BX287" s="68"/>
      <c r="BY287" s="60"/>
      <c r="BZ287" s="68"/>
      <c r="CA287" s="68"/>
      <c r="CB287" s="60"/>
      <c r="CC287" s="60"/>
      <c r="CD287" s="68"/>
      <c r="CE287" s="60"/>
      <c r="CF287" s="60"/>
      <c r="CG287" s="60"/>
      <c r="CH287" s="60"/>
      <c r="CI287" s="60"/>
      <c r="CJ287" s="60"/>
      <c r="CK287" s="60"/>
      <c r="CL287" s="60"/>
      <c r="CM287" s="60"/>
      <c r="CN287" s="60"/>
      <c r="CO287" s="60"/>
      <c r="CP287" s="60"/>
      <c r="CQ287" s="60"/>
      <c r="CR287" s="60"/>
      <c r="CS287" s="60"/>
      <c r="CT287" s="60"/>
      <c r="CU287" s="60"/>
    </row>
    <row r="288">
      <c r="A288" s="528"/>
      <c r="B288" s="241" t="s">
        <v>155</v>
      </c>
      <c r="C288" s="237" t="s">
        <v>155</v>
      </c>
      <c r="D288" s="238" t="s">
        <v>155</v>
      </c>
      <c r="E288" s="239" t="s">
        <v>155</v>
      </c>
      <c r="F288" s="240" t="s">
        <v>155</v>
      </c>
      <c r="G288" s="241" t="s">
        <v>155</v>
      </c>
      <c r="H288" s="560"/>
      <c r="I288" s="5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8"/>
      <c r="BX288" s="68"/>
      <c r="BY288" s="60"/>
      <c r="BZ288" s="68"/>
      <c r="CA288" s="68"/>
      <c r="CB288" s="60"/>
      <c r="CC288" s="60"/>
      <c r="CD288" s="68"/>
      <c r="CE288" s="60"/>
      <c r="CF288" s="60"/>
      <c r="CG288" s="60"/>
      <c r="CH288" s="60"/>
      <c r="CI288" s="60"/>
      <c r="CJ288" s="60"/>
      <c r="CK288" s="60"/>
      <c r="CL288" s="60"/>
      <c r="CM288" s="60"/>
      <c r="CN288" s="60"/>
      <c r="CO288" s="60"/>
      <c r="CP288" s="60"/>
      <c r="CQ288" s="60"/>
      <c r="CR288" s="60"/>
      <c r="CS288" s="60"/>
      <c r="CT288" s="60"/>
      <c r="CU288" s="60"/>
    </row>
    <row r="289">
      <c r="A289" s="528"/>
      <c r="B289" s="241" t="s">
        <v>155</v>
      </c>
      <c r="C289" s="237" t="s">
        <v>155</v>
      </c>
      <c r="D289" s="238" t="s">
        <v>155</v>
      </c>
      <c r="E289" s="239" t="s">
        <v>155</v>
      </c>
      <c r="F289" s="240" t="s">
        <v>155</v>
      </c>
      <c r="G289" s="241" t="s">
        <v>155</v>
      </c>
      <c r="H289" s="560"/>
      <c r="I289" s="5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8"/>
      <c r="BX289" s="68"/>
      <c r="BY289" s="60"/>
      <c r="BZ289" s="68"/>
      <c r="CA289" s="68"/>
      <c r="CB289" s="60"/>
      <c r="CC289" s="60"/>
      <c r="CD289" s="68"/>
      <c r="CE289" s="60"/>
      <c r="CF289" s="60"/>
      <c r="CG289" s="60"/>
      <c r="CH289" s="60"/>
      <c r="CI289" s="60"/>
      <c r="CJ289" s="60"/>
      <c r="CK289" s="60"/>
      <c r="CL289" s="60"/>
      <c r="CM289" s="60"/>
      <c r="CN289" s="60"/>
      <c r="CO289" s="60"/>
      <c r="CP289" s="60"/>
      <c r="CQ289" s="60"/>
      <c r="CR289" s="60"/>
      <c r="CS289" s="60"/>
      <c r="CT289" s="60"/>
      <c r="CU289" s="60"/>
    </row>
    <row r="290">
      <c r="A290" s="528"/>
      <c r="B290" s="241" t="s">
        <v>155</v>
      </c>
      <c r="C290" s="237" t="s">
        <v>155</v>
      </c>
      <c r="D290" s="238" t="s">
        <v>155</v>
      </c>
      <c r="E290" s="239" t="s">
        <v>155</v>
      </c>
      <c r="F290" s="240" t="s">
        <v>155</v>
      </c>
      <c r="G290" s="241" t="s">
        <v>155</v>
      </c>
      <c r="H290" s="560"/>
      <c r="I290" s="5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8"/>
      <c r="BX290" s="68"/>
      <c r="BY290" s="60"/>
      <c r="BZ290" s="68"/>
      <c r="CA290" s="68"/>
      <c r="CB290" s="60"/>
      <c r="CC290" s="60"/>
      <c r="CD290" s="68"/>
      <c r="CE290" s="60"/>
      <c r="CF290" s="60"/>
      <c r="CG290" s="60"/>
      <c r="CH290" s="60"/>
      <c r="CI290" s="60"/>
      <c r="CJ290" s="60"/>
      <c r="CK290" s="60"/>
      <c r="CL290" s="60"/>
      <c r="CM290" s="60"/>
      <c r="CN290" s="60"/>
      <c r="CO290" s="60"/>
      <c r="CP290" s="60"/>
      <c r="CQ290" s="60"/>
      <c r="CR290" s="60"/>
      <c r="CS290" s="60"/>
      <c r="CT290" s="60"/>
      <c r="CU290" s="60"/>
    </row>
    <row r="291">
      <c r="A291" s="528"/>
      <c r="B291" s="241" t="s">
        <v>155</v>
      </c>
      <c r="C291" s="237" t="s">
        <v>155</v>
      </c>
      <c r="D291" s="238" t="s">
        <v>155</v>
      </c>
      <c r="E291" s="239" t="s">
        <v>155</v>
      </c>
      <c r="F291" s="240" t="s">
        <v>155</v>
      </c>
      <c r="G291" s="241" t="s">
        <v>155</v>
      </c>
      <c r="H291" s="560"/>
      <c r="I291" s="5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8"/>
      <c r="BX291" s="68"/>
      <c r="BY291" s="60"/>
      <c r="BZ291" s="68"/>
      <c r="CA291" s="68"/>
      <c r="CB291" s="60"/>
      <c r="CC291" s="60"/>
      <c r="CD291" s="68"/>
      <c r="CE291" s="60"/>
      <c r="CF291" s="60"/>
      <c r="CG291" s="60"/>
      <c r="CH291" s="60"/>
      <c r="CI291" s="60"/>
      <c r="CJ291" s="60"/>
      <c r="CK291" s="60"/>
      <c r="CL291" s="60"/>
      <c r="CM291" s="60"/>
      <c r="CN291" s="60"/>
      <c r="CO291" s="60"/>
      <c r="CP291" s="60"/>
      <c r="CQ291" s="60"/>
      <c r="CR291" s="60"/>
      <c r="CS291" s="60"/>
      <c r="CT291" s="60"/>
      <c r="CU291" s="60"/>
    </row>
    <row r="292">
      <c r="A292" s="528"/>
      <c r="B292" s="241" t="s">
        <v>155</v>
      </c>
      <c r="C292" s="237" t="s">
        <v>155</v>
      </c>
      <c r="D292" s="238" t="s">
        <v>155</v>
      </c>
      <c r="E292" s="239" t="s">
        <v>155</v>
      </c>
      <c r="F292" s="240" t="s">
        <v>155</v>
      </c>
      <c r="G292" s="241" t="s">
        <v>155</v>
      </c>
      <c r="H292" s="560"/>
      <c r="I292" s="5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8"/>
      <c r="BX292" s="68"/>
      <c r="BY292" s="60"/>
      <c r="BZ292" s="68"/>
      <c r="CA292" s="68"/>
      <c r="CB292" s="60"/>
      <c r="CC292" s="60"/>
      <c r="CD292" s="68"/>
      <c r="CE292" s="60"/>
      <c r="CF292" s="60"/>
      <c r="CG292" s="60"/>
      <c r="CH292" s="60"/>
      <c r="CI292" s="60"/>
      <c r="CJ292" s="60"/>
      <c r="CK292" s="60"/>
      <c r="CL292" s="60"/>
      <c r="CM292" s="60"/>
      <c r="CN292" s="60"/>
      <c r="CO292" s="60"/>
      <c r="CP292" s="60"/>
      <c r="CQ292" s="60"/>
      <c r="CR292" s="60"/>
      <c r="CS292" s="60"/>
      <c r="CT292" s="60"/>
      <c r="CU292" s="60"/>
    </row>
    <row r="293">
      <c r="A293" s="528"/>
      <c r="B293" s="241" t="s">
        <v>155</v>
      </c>
      <c r="C293" s="237" t="s">
        <v>155</v>
      </c>
      <c r="D293" s="238" t="s">
        <v>155</v>
      </c>
      <c r="E293" s="239" t="s">
        <v>155</v>
      </c>
      <c r="F293" s="240" t="s">
        <v>155</v>
      </c>
      <c r="G293" s="241" t="s">
        <v>155</v>
      </c>
      <c r="H293" s="560"/>
      <c r="I293" s="5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8"/>
      <c r="BX293" s="68"/>
      <c r="BY293" s="60"/>
      <c r="BZ293" s="68"/>
      <c r="CA293" s="68"/>
      <c r="CB293" s="60"/>
      <c r="CC293" s="60"/>
      <c r="CD293" s="68"/>
      <c r="CE293" s="60"/>
      <c r="CF293" s="60"/>
      <c r="CG293" s="60"/>
      <c r="CH293" s="60"/>
      <c r="CI293" s="60"/>
      <c r="CJ293" s="60"/>
      <c r="CK293" s="60"/>
      <c r="CL293" s="60"/>
      <c r="CM293" s="60"/>
      <c r="CN293" s="60"/>
      <c r="CO293" s="60"/>
      <c r="CP293" s="60"/>
      <c r="CQ293" s="60"/>
      <c r="CR293" s="60"/>
      <c r="CS293" s="60"/>
      <c r="CT293" s="60"/>
      <c r="CU293" s="60"/>
    </row>
    <row r="294">
      <c r="A294" s="528"/>
      <c r="B294" s="241" t="s">
        <v>155</v>
      </c>
      <c r="C294" s="237" t="s">
        <v>155</v>
      </c>
      <c r="D294" s="238" t="s">
        <v>155</v>
      </c>
      <c r="E294" s="239" t="s">
        <v>155</v>
      </c>
      <c r="F294" s="240" t="s">
        <v>155</v>
      </c>
      <c r="G294" s="241" t="s">
        <v>155</v>
      </c>
      <c r="H294" s="560"/>
      <c r="I294" s="5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8"/>
      <c r="BX294" s="68"/>
      <c r="BY294" s="60"/>
      <c r="BZ294" s="68"/>
      <c r="CA294" s="68"/>
      <c r="CB294" s="60"/>
      <c r="CC294" s="60"/>
      <c r="CD294" s="68"/>
      <c r="CE294" s="60"/>
      <c r="CF294" s="60"/>
      <c r="CG294" s="60"/>
      <c r="CH294" s="60"/>
      <c r="CI294" s="60"/>
      <c r="CJ294" s="60"/>
      <c r="CK294" s="60"/>
      <c r="CL294" s="60"/>
      <c r="CM294" s="60"/>
      <c r="CN294" s="60"/>
      <c r="CO294" s="60"/>
      <c r="CP294" s="60"/>
      <c r="CQ294" s="60"/>
      <c r="CR294" s="60"/>
      <c r="CS294" s="60"/>
      <c r="CT294" s="60"/>
      <c r="CU294" s="60"/>
    </row>
    <row r="295">
      <c r="A295" s="528"/>
      <c r="B295" s="241" t="s">
        <v>155</v>
      </c>
      <c r="C295" s="237" t="s">
        <v>155</v>
      </c>
      <c r="D295" s="238" t="s">
        <v>155</v>
      </c>
      <c r="E295" s="239" t="s">
        <v>155</v>
      </c>
      <c r="F295" s="240" t="s">
        <v>155</v>
      </c>
      <c r="G295" s="241" t="s">
        <v>155</v>
      </c>
      <c r="H295" s="560"/>
      <c r="I295" s="5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8"/>
      <c r="BX295" s="68"/>
      <c r="BY295" s="60"/>
      <c r="BZ295" s="68"/>
      <c r="CA295" s="68"/>
      <c r="CB295" s="60"/>
      <c r="CC295" s="60"/>
      <c r="CD295" s="68"/>
      <c r="CE295" s="60"/>
      <c r="CF295" s="60"/>
      <c r="CG295" s="60"/>
      <c r="CH295" s="60"/>
      <c r="CI295" s="60"/>
      <c r="CJ295" s="60"/>
      <c r="CK295" s="60"/>
      <c r="CL295" s="60"/>
      <c r="CM295" s="60"/>
      <c r="CN295" s="60"/>
      <c r="CO295" s="60"/>
      <c r="CP295" s="60"/>
      <c r="CQ295" s="60"/>
      <c r="CR295" s="60"/>
      <c r="CS295" s="60"/>
      <c r="CT295" s="60"/>
      <c r="CU295" s="60"/>
    </row>
    <row r="296">
      <c r="A296" s="528"/>
      <c r="B296" s="241" t="s">
        <v>155</v>
      </c>
      <c r="C296" s="237" t="s">
        <v>155</v>
      </c>
      <c r="D296" s="238" t="s">
        <v>155</v>
      </c>
      <c r="E296" s="239" t="s">
        <v>155</v>
      </c>
      <c r="F296" s="240" t="s">
        <v>155</v>
      </c>
      <c r="G296" s="241" t="s">
        <v>155</v>
      </c>
      <c r="H296" s="560"/>
      <c r="I296" s="5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8"/>
      <c r="BX296" s="68"/>
      <c r="BY296" s="60"/>
      <c r="BZ296" s="68"/>
      <c r="CA296" s="68"/>
      <c r="CB296" s="60"/>
      <c r="CC296" s="60"/>
      <c r="CD296" s="68"/>
      <c r="CE296" s="60"/>
      <c r="CF296" s="60"/>
      <c r="CG296" s="60"/>
      <c r="CH296" s="60"/>
      <c r="CI296" s="60"/>
      <c r="CJ296" s="60"/>
      <c r="CK296" s="60"/>
      <c r="CL296" s="60"/>
      <c r="CM296" s="60"/>
      <c r="CN296" s="60"/>
      <c r="CO296" s="60"/>
      <c r="CP296" s="60"/>
      <c r="CQ296" s="60"/>
      <c r="CR296" s="60"/>
      <c r="CS296" s="60"/>
      <c r="CT296" s="60"/>
      <c r="CU296" s="60"/>
    </row>
    <row r="297">
      <c r="A297" s="528"/>
      <c r="B297" s="241" t="s">
        <v>155</v>
      </c>
      <c r="C297" s="237" t="s">
        <v>155</v>
      </c>
      <c r="D297" s="238" t="s">
        <v>155</v>
      </c>
      <c r="E297" s="239" t="s">
        <v>155</v>
      </c>
      <c r="F297" s="240" t="s">
        <v>155</v>
      </c>
      <c r="G297" s="241" t="s">
        <v>155</v>
      </c>
      <c r="H297" s="560"/>
      <c r="I297" s="5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8"/>
      <c r="BX297" s="68"/>
      <c r="BY297" s="60"/>
      <c r="BZ297" s="68"/>
      <c r="CA297" s="68"/>
      <c r="CB297" s="60"/>
      <c r="CC297" s="60"/>
      <c r="CD297" s="68"/>
      <c r="CE297" s="60"/>
      <c r="CF297" s="60"/>
      <c r="CG297" s="60"/>
      <c r="CH297" s="60"/>
      <c r="CI297" s="60"/>
      <c r="CJ297" s="60"/>
      <c r="CK297" s="60"/>
      <c r="CL297" s="60"/>
      <c r="CM297" s="60"/>
      <c r="CN297" s="60"/>
      <c r="CO297" s="60"/>
      <c r="CP297" s="60"/>
      <c r="CQ297" s="60"/>
      <c r="CR297" s="60"/>
      <c r="CS297" s="60"/>
      <c r="CT297" s="60"/>
      <c r="CU297" s="60"/>
    </row>
    <row r="298">
      <c r="A298" s="528"/>
      <c r="B298" s="241" t="s">
        <v>155</v>
      </c>
      <c r="C298" s="237" t="s">
        <v>155</v>
      </c>
      <c r="D298" s="238" t="s">
        <v>155</v>
      </c>
      <c r="E298" s="239" t="s">
        <v>155</v>
      </c>
      <c r="F298" s="240" t="s">
        <v>155</v>
      </c>
      <c r="G298" s="241" t="s">
        <v>155</v>
      </c>
      <c r="H298" s="560"/>
      <c r="I298" s="5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8"/>
      <c r="BX298" s="68"/>
      <c r="BY298" s="60"/>
      <c r="BZ298" s="68"/>
      <c r="CA298" s="68"/>
      <c r="CB298" s="60"/>
      <c r="CC298" s="60"/>
      <c r="CD298" s="68"/>
      <c r="CE298" s="60"/>
      <c r="CF298" s="60"/>
      <c r="CG298" s="60"/>
      <c r="CH298" s="60"/>
      <c r="CI298" s="60"/>
      <c r="CJ298" s="60"/>
      <c r="CK298" s="60"/>
      <c r="CL298" s="60"/>
      <c r="CM298" s="60"/>
      <c r="CN298" s="60"/>
      <c r="CO298" s="60"/>
      <c r="CP298" s="60"/>
      <c r="CQ298" s="60"/>
      <c r="CR298" s="60"/>
      <c r="CS298" s="60"/>
      <c r="CT298" s="60"/>
      <c r="CU298" s="60"/>
    </row>
    <row r="299">
      <c r="A299" s="528"/>
      <c r="B299" s="241" t="s">
        <v>155</v>
      </c>
      <c r="C299" s="237" t="s">
        <v>155</v>
      </c>
      <c r="D299" s="238" t="s">
        <v>155</v>
      </c>
      <c r="E299" s="239" t="s">
        <v>155</v>
      </c>
      <c r="F299" s="240" t="s">
        <v>155</v>
      </c>
      <c r="G299" s="241" t="s">
        <v>155</v>
      </c>
      <c r="H299" s="560"/>
      <c r="I299" s="5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8"/>
      <c r="BX299" s="68"/>
      <c r="BY299" s="60"/>
      <c r="BZ299" s="68"/>
      <c r="CA299" s="68"/>
      <c r="CB299" s="60"/>
      <c r="CC299" s="60"/>
      <c r="CD299" s="68"/>
      <c r="CE299" s="60"/>
      <c r="CF299" s="60"/>
      <c r="CG299" s="60"/>
      <c r="CH299" s="60"/>
      <c r="CI299" s="60"/>
      <c r="CJ299" s="60"/>
      <c r="CK299" s="60"/>
      <c r="CL299" s="60"/>
      <c r="CM299" s="60"/>
      <c r="CN299" s="60"/>
      <c r="CO299" s="60"/>
      <c r="CP299" s="60"/>
      <c r="CQ299" s="60"/>
      <c r="CR299" s="60"/>
      <c r="CS299" s="60"/>
      <c r="CT299" s="60"/>
      <c r="CU299" s="60"/>
    </row>
    <row r="300">
      <c r="A300" s="528"/>
      <c r="B300" s="241" t="s">
        <v>155</v>
      </c>
      <c r="C300" s="237" t="s">
        <v>155</v>
      </c>
      <c r="D300" s="238" t="s">
        <v>155</v>
      </c>
      <c r="E300" s="239" t="s">
        <v>155</v>
      </c>
      <c r="F300" s="240" t="s">
        <v>155</v>
      </c>
      <c r="G300" s="241" t="s">
        <v>155</v>
      </c>
      <c r="H300" s="560"/>
      <c r="I300" s="5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8"/>
      <c r="BX300" s="68"/>
      <c r="BY300" s="60"/>
      <c r="BZ300" s="68"/>
      <c r="CA300" s="68"/>
      <c r="CB300" s="60"/>
      <c r="CC300" s="60"/>
      <c r="CD300" s="68"/>
      <c r="CE300" s="60"/>
      <c r="CF300" s="60"/>
      <c r="CG300" s="60"/>
      <c r="CH300" s="60"/>
      <c r="CI300" s="60"/>
      <c r="CJ300" s="60"/>
      <c r="CK300" s="60"/>
      <c r="CL300" s="60"/>
      <c r="CM300" s="60"/>
      <c r="CN300" s="60"/>
      <c r="CO300" s="60"/>
      <c r="CP300" s="60"/>
      <c r="CQ300" s="60"/>
      <c r="CR300" s="60"/>
      <c r="CS300" s="60"/>
      <c r="CT300" s="60"/>
      <c r="CU300" s="60"/>
    </row>
    <row r="301">
      <c r="A301" s="528"/>
      <c r="B301" s="241" t="s">
        <v>155</v>
      </c>
      <c r="C301" s="237" t="s">
        <v>155</v>
      </c>
      <c r="D301" s="238" t="s">
        <v>155</v>
      </c>
      <c r="E301" s="239" t="s">
        <v>155</v>
      </c>
      <c r="F301" s="240" t="s">
        <v>155</v>
      </c>
      <c r="G301" s="241" t="s">
        <v>155</v>
      </c>
      <c r="H301" s="560"/>
      <c r="I301" s="5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8"/>
      <c r="BX301" s="68"/>
      <c r="BY301" s="60"/>
      <c r="BZ301" s="68"/>
      <c r="CA301" s="68"/>
      <c r="CB301" s="60"/>
      <c r="CC301" s="60"/>
      <c r="CD301" s="68"/>
      <c r="CE301" s="60"/>
      <c r="CF301" s="60"/>
      <c r="CG301" s="60"/>
      <c r="CH301" s="60"/>
      <c r="CI301" s="60"/>
      <c r="CJ301" s="60"/>
      <c r="CK301" s="60"/>
      <c r="CL301" s="60"/>
      <c r="CM301" s="60"/>
      <c r="CN301" s="60"/>
      <c r="CO301" s="60"/>
      <c r="CP301" s="60"/>
      <c r="CQ301" s="60"/>
      <c r="CR301" s="60"/>
      <c r="CS301" s="60"/>
      <c r="CT301" s="60"/>
      <c r="CU301" s="60"/>
    </row>
    <row r="302">
      <c r="A302" s="528"/>
      <c r="B302" s="241" t="s">
        <v>155</v>
      </c>
      <c r="C302" s="237" t="s">
        <v>155</v>
      </c>
      <c r="D302" s="238" t="s">
        <v>155</v>
      </c>
      <c r="E302" s="239" t="s">
        <v>155</v>
      </c>
      <c r="F302" s="240" t="s">
        <v>155</v>
      </c>
      <c r="G302" s="241" t="s">
        <v>155</v>
      </c>
      <c r="H302" s="560"/>
      <c r="I302" s="5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8"/>
      <c r="BX302" s="68"/>
      <c r="BY302" s="60"/>
      <c r="BZ302" s="68"/>
      <c r="CA302" s="68"/>
      <c r="CB302" s="60"/>
      <c r="CC302" s="60"/>
      <c r="CD302" s="68"/>
      <c r="CE302" s="60"/>
      <c r="CF302" s="60"/>
      <c r="CG302" s="60"/>
      <c r="CH302" s="60"/>
      <c r="CI302" s="60"/>
      <c r="CJ302" s="60"/>
      <c r="CK302" s="60"/>
      <c r="CL302" s="60"/>
      <c r="CM302" s="60"/>
      <c r="CN302" s="60"/>
      <c r="CO302" s="60"/>
      <c r="CP302" s="60"/>
      <c r="CQ302" s="60"/>
      <c r="CR302" s="60"/>
      <c r="CS302" s="60"/>
      <c r="CT302" s="60"/>
      <c r="CU302" s="60"/>
    </row>
    <row r="303">
      <c r="A303" s="528"/>
      <c r="B303" s="241"/>
      <c r="C303" s="237"/>
      <c r="D303" s="238"/>
      <c r="E303" s="239"/>
      <c r="F303" s="240"/>
      <c r="G303" s="241"/>
      <c r="H303" s="238"/>
      <c r="I303" s="560"/>
      <c r="J303" s="68"/>
      <c r="K303" s="68"/>
      <c r="L303" s="68"/>
      <c r="M303" s="68"/>
      <c r="N303" s="68"/>
      <c r="O303" s="60"/>
      <c r="P303" s="68"/>
      <c r="Q303" s="68"/>
      <c r="R303" s="68"/>
      <c r="S303" s="60"/>
      <c r="T303" s="68"/>
      <c r="U303" s="68"/>
      <c r="V303" s="68"/>
      <c r="W303" s="60"/>
      <c r="X303" s="68"/>
      <c r="Y303" s="68"/>
      <c r="Z303" s="68"/>
      <c r="AA303" s="68"/>
      <c r="AB303" s="68"/>
      <c r="AC303" s="68"/>
      <c r="AD303" s="68"/>
      <c r="AE303" s="68"/>
      <c r="AF303" s="60"/>
      <c r="AG303" s="68"/>
      <c r="AH303" s="68"/>
      <c r="AI303" s="68"/>
      <c r="AJ303" s="68"/>
      <c r="AK303" s="68"/>
      <c r="AL303" s="68"/>
      <c r="AM303" s="68"/>
      <c r="AN303" s="68"/>
      <c r="AO303" s="68"/>
      <c r="AP303" s="68"/>
      <c r="AQ303" s="60"/>
      <c r="AR303" s="68"/>
      <c r="AS303" s="68"/>
      <c r="AT303" s="68"/>
      <c r="AU303" s="68"/>
      <c r="AV303" s="68"/>
      <c r="AW303" s="68"/>
      <c r="AX303" s="68"/>
      <c r="AY303" s="68"/>
      <c r="AZ303" s="68"/>
      <c r="BA303" s="68"/>
      <c r="BB303" s="60"/>
      <c r="BC303" s="68"/>
      <c r="BD303" s="68"/>
      <c r="BE303" s="68"/>
      <c r="BF303" s="68"/>
      <c r="BG303" s="68"/>
      <c r="BH303" s="68"/>
      <c r="BI303" s="68"/>
      <c r="BJ303" s="68"/>
      <c r="BK303" s="68"/>
      <c r="BL303" s="68"/>
      <c r="BM303" s="68"/>
      <c r="BN303" s="68"/>
      <c r="BO303" s="68"/>
      <c r="BP303" s="68"/>
      <c r="BQ303" s="68"/>
      <c r="BR303" s="68"/>
      <c r="BS303" s="68"/>
      <c r="BT303" s="68"/>
      <c r="BU303" s="68"/>
      <c r="BV303" s="68"/>
      <c r="BW303" s="68"/>
      <c r="BX303" s="68"/>
      <c r="BY303" s="68"/>
      <c r="BZ303" s="68"/>
      <c r="CA303" s="68"/>
      <c r="CB303" s="68"/>
      <c r="CC303" s="68"/>
      <c r="CD303" s="68"/>
      <c r="CE303" s="68"/>
      <c r="CF303" s="68"/>
      <c r="CG303" s="68"/>
      <c r="CH303" s="68"/>
      <c r="CI303" s="68"/>
      <c r="CJ303" s="68"/>
      <c r="CK303" s="68"/>
      <c r="CL303" s="68"/>
      <c r="CM303" s="68"/>
      <c r="CN303" s="60"/>
      <c r="CO303" s="68"/>
      <c r="CP303" s="68"/>
      <c r="CQ303" s="68"/>
      <c r="CR303" s="68"/>
      <c r="CS303" s="68"/>
      <c r="CT303" s="68"/>
      <c r="CU303" s="68"/>
    </row>
    <row r="304">
      <c r="A304" s="528"/>
      <c r="B304" s="241"/>
      <c r="C304" s="237"/>
      <c r="D304" s="238"/>
      <c r="E304" s="239"/>
      <c r="F304" s="240"/>
      <c r="G304" s="241"/>
      <c r="H304" s="238"/>
      <c r="I304" s="560"/>
      <c r="J304" s="68"/>
      <c r="K304" s="68"/>
      <c r="L304" s="68"/>
      <c r="M304" s="68"/>
      <c r="N304" s="68"/>
      <c r="O304" s="60"/>
      <c r="P304" s="68"/>
      <c r="Q304" s="68"/>
      <c r="R304" s="68"/>
      <c r="S304" s="60"/>
      <c r="T304" s="68"/>
      <c r="U304" s="68"/>
      <c r="V304" s="68"/>
      <c r="W304" s="60"/>
      <c r="X304" s="68"/>
      <c r="Y304" s="68"/>
      <c r="Z304" s="68"/>
      <c r="AA304" s="68"/>
      <c r="AB304" s="68"/>
      <c r="AC304" s="68"/>
      <c r="AD304" s="68"/>
      <c r="AE304" s="68"/>
      <c r="AF304" s="60"/>
      <c r="AG304" s="68"/>
      <c r="AH304" s="68"/>
      <c r="AI304" s="68"/>
      <c r="AJ304" s="68"/>
      <c r="AK304" s="68"/>
      <c r="AL304" s="68"/>
      <c r="AM304" s="68"/>
      <c r="AN304" s="68"/>
      <c r="AO304" s="68"/>
      <c r="AP304" s="68"/>
      <c r="AQ304" s="60"/>
      <c r="AR304" s="68"/>
      <c r="AS304" s="68"/>
      <c r="AT304" s="68"/>
      <c r="AU304" s="68"/>
      <c r="AV304" s="68"/>
      <c r="AW304" s="68"/>
      <c r="AX304" s="68"/>
      <c r="AY304" s="68"/>
      <c r="AZ304" s="68"/>
      <c r="BA304" s="68"/>
      <c r="BB304" s="60"/>
      <c r="BC304" s="68"/>
      <c r="BD304" s="68"/>
      <c r="BE304" s="68"/>
      <c r="BF304" s="68"/>
      <c r="BG304" s="68"/>
      <c r="BH304" s="68"/>
      <c r="BI304" s="68"/>
      <c r="BJ304" s="68"/>
      <c r="BK304" s="68"/>
      <c r="BL304" s="68"/>
      <c r="BM304" s="68"/>
      <c r="BN304" s="68"/>
      <c r="BO304" s="68"/>
      <c r="BP304" s="68"/>
      <c r="BQ304" s="68"/>
      <c r="BR304" s="68"/>
      <c r="BS304" s="68"/>
      <c r="BT304" s="68"/>
      <c r="BU304" s="68"/>
      <c r="BV304" s="68"/>
      <c r="BW304" s="68"/>
      <c r="BX304" s="68"/>
      <c r="BY304" s="68"/>
      <c r="BZ304" s="68"/>
      <c r="CA304" s="68"/>
      <c r="CB304" s="68"/>
      <c r="CC304" s="68"/>
      <c r="CD304" s="68"/>
      <c r="CE304" s="68"/>
      <c r="CF304" s="68"/>
      <c r="CG304" s="68"/>
      <c r="CH304" s="68"/>
      <c r="CI304" s="68"/>
      <c r="CJ304" s="68"/>
      <c r="CK304" s="68"/>
      <c r="CL304" s="68"/>
      <c r="CM304" s="68"/>
      <c r="CN304" s="60"/>
      <c r="CO304" s="68"/>
      <c r="CP304" s="68"/>
      <c r="CQ304" s="68"/>
      <c r="CR304" s="68"/>
      <c r="CS304" s="68"/>
      <c r="CT304" s="68"/>
      <c r="CU304" s="68"/>
    </row>
  </sheetData>
  <mergeCells count="14">
    <mergeCell ref="BQ1:BU1"/>
    <mergeCell ref="BV1:CD1"/>
    <mergeCell ref="CE1:CL1"/>
    <mergeCell ref="CM1:CO1"/>
    <mergeCell ref="CP1:CS1"/>
    <mergeCell ref="C2:E2"/>
    <mergeCell ref="F2:G2"/>
    <mergeCell ref="A1:B1"/>
    <mergeCell ref="C1:E1"/>
    <mergeCell ref="F1:G1"/>
    <mergeCell ref="H1:V1"/>
    <mergeCell ref="W1:AL1"/>
    <mergeCell ref="AM1:BF1"/>
    <mergeCell ref="BG1:BP1"/>
  </mergeCells>
  <conditionalFormatting sqref="B3:B4 B6:B304">
    <cfRule type="expression" dxfId="18" priority="1">
      <formula>VALUE(INDIRECT("B"&amp;ROW()-1))&lt;VALUE(INDIRECT("B"&amp;ROW()))</formula>
    </cfRule>
  </conditionalFormatting>
  <conditionalFormatting sqref="B2">
    <cfRule type="expression" dxfId="14" priority="2">
      <formula>ARRAYFORMULA(OR(VALUE(INDIRECT("B3:B"&amp;(counta(B9:B304)+2)))&lt;VALUE(INDIRECT("B4:B"&amp;(counta(B9:B304)+3)))))</formula>
    </cfRule>
  </conditionalFormatting>
  <hyperlinks>
    <hyperlink r:id="rId2" ref="C1"/>
    <hyperlink r:id="rId3" ref="F1"/>
    <hyperlink r:id="rId4" ref="H3"/>
    <hyperlink r:id="rId5" ref="I3"/>
    <hyperlink r:id="rId6" ref="J3"/>
    <hyperlink r:id="rId7" ref="K3"/>
    <hyperlink r:id="rId8" ref="L3"/>
    <hyperlink r:id="rId9" ref="M3"/>
    <hyperlink r:id="rId10" ref="N3"/>
    <hyperlink r:id="rId11" ref="O3"/>
    <hyperlink r:id="rId12" ref="P3"/>
    <hyperlink r:id="rId13" ref="Q3"/>
    <hyperlink r:id="rId14" ref="R3"/>
    <hyperlink r:id="rId15" ref="S3"/>
    <hyperlink r:id="rId16" ref="T3"/>
    <hyperlink r:id="rId17" ref="U3"/>
    <hyperlink r:id="rId18" ref="V3"/>
    <hyperlink r:id="rId19" ref="W3"/>
    <hyperlink r:id="rId20" ref="X3"/>
    <hyperlink r:id="rId21" ref="Y3"/>
    <hyperlink r:id="rId22" ref="Z3"/>
    <hyperlink r:id="rId23" ref="AA3"/>
    <hyperlink r:id="rId24" ref="AB3"/>
    <hyperlink r:id="rId25" ref="AC3"/>
    <hyperlink r:id="rId26" ref="AD3"/>
    <hyperlink r:id="rId27" ref="AE3"/>
    <hyperlink r:id="rId28" ref="AF3"/>
    <hyperlink r:id="rId29" ref="AG3"/>
    <hyperlink r:id="rId30" ref="AH3"/>
    <hyperlink r:id="rId31" ref="AI3"/>
    <hyperlink r:id="rId32" ref="AJ3"/>
    <hyperlink r:id="rId33" ref="AK3"/>
    <hyperlink r:id="rId34" ref="AL3"/>
    <hyperlink r:id="rId35" ref="AM3"/>
    <hyperlink r:id="rId36" ref="AN3"/>
    <hyperlink r:id="rId37" ref="AO3"/>
    <hyperlink r:id="rId38" ref="AP3"/>
    <hyperlink r:id="rId39" ref="AQ3"/>
    <hyperlink r:id="rId40" ref="AR3"/>
    <hyperlink r:id="rId41" ref="AS3"/>
    <hyperlink r:id="rId42" ref="AT3"/>
    <hyperlink r:id="rId43" ref="AU3"/>
    <hyperlink r:id="rId44" ref="AV3"/>
    <hyperlink r:id="rId45" ref="AW3"/>
    <hyperlink r:id="rId46" ref="AX3"/>
    <hyperlink r:id="rId47" ref="AY3"/>
    <hyperlink r:id="rId48" ref="AZ3"/>
    <hyperlink r:id="rId49" ref="BA3"/>
    <hyperlink r:id="rId50" ref="BB3"/>
    <hyperlink r:id="rId51" ref="BC3"/>
    <hyperlink r:id="rId52" ref="BD3"/>
    <hyperlink r:id="rId53" ref="BE3"/>
    <hyperlink r:id="rId54" ref="BF3"/>
    <hyperlink r:id="rId55" ref="BG3"/>
    <hyperlink r:id="rId56" ref="BH3"/>
    <hyperlink r:id="rId57" ref="BI3"/>
    <hyperlink r:id="rId58" ref="BJ3"/>
    <hyperlink r:id="rId59" ref="BK3"/>
    <hyperlink r:id="rId60" ref="BL3"/>
    <hyperlink r:id="rId61" ref="BM3"/>
    <hyperlink r:id="rId62" ref="BN3"/>
    <hyperlink r:id="rId63" ref="BO3"/>
    <hyperlink r:id="rId64" ref="BP3"/>
    <hyperlink r:id="rId65" ref="BQ3"/>
    <hyperlink r:id="rId66" ref="BR3"/>
    <hyperlink r:id="rId67" ref="BS3"/>
    <hyperlink r:id="rId68" ref="BT3"/>
    <hyperlink r:id="rId69" ref="BU3"/>
    <hyperlink r:id="rId70" ref="BV3"/>
    <hyperlink r:id="rId71" ref="BW3"/>
    <hyperlink r:id="rId72" ref="BX3"/>
    <hyperlink r:id="rId73" ref="BY3"/>
    <hyperlink r:id="rId74" ref="BZ3"/>
    <hyperlink r:id="rId75" ref="CA3"/>
    <hyperlink r:id="rId76" ref="CB3"/>
    <hyperlink r:id="rId77" ref="CC3"/>
    <hyperlink r:id="rId78" ref="CD3"/>
    <hyperlink r:id="rId79" ref="CE3"/>
    <hyperlink r:id="rId80" ref="CF3"/>
    <hyperlink r:id="rId81" ref="CG3"/>
    <hyperlink r:id="rId82" ref="CH3"/>
    <hyperlink r:id="rId83" ref="CI3"/>
    <hyperlink r:id="rId84" ref="CJ3"/>
    <hyperlink r:id="rId85" ref="CK3"/>
    <hyperlink r:id="rId86" ref="CL3"/>
    <hyperlink r:id="rId87" ref="CM3"/>
    <hyperlink r:id="rId88" ref="CN3"/>
    <hyperlink r:id="rId89" ref="CO3"/>
    <hyperlink r:id="rId90" ref="CP3"/>
    <hyperlink r:id="rId91" ref="CQ3"/>
    <hyperlink r:id="rId92" ref="CR3"/>
    <hyperlink r:id="rId93" ref="CS3"/>
    <hyperlink r:id="rId94" ref="CT3"/>
    <hyperlink r:id="rId95" ref="CU3"/>
    <hyperlink r:id="rId96" ref="H4"/>
    <hyperlink r:id="rId97" ref="I4"/>
    <hyperlink r:id="rId98" ref="J4"/>
    <hyperlink r:id="rId99" ref="K4"/>
    <hyperlink r:id="rId100" ref="L4"/>
    <hyperlink r:id="rId101" ref="O4"/>
    <hyperlink r:id="rId102" ref="R4"/>
    <hyperlink r:id="rId103" ref="T4"/>
    <hyperlink r:id="rId104" ref="U4"/>
    <hyperlink r:id="rId105" ref="X4"/>
    <hyperlink r:id="rId106" ref="Y4"/>
    <hyperlink r:id="rId107" ref="AA4"/>
    <hyperlink r:id="rId108" ref="AF4"/>
    <hyperlink r:id="rId109" ref="AH4"/>
    <hyperlink r:id="rId110" ref="AJ4"/>
    <hyperlink r:id="rId111" ref="AK4"/>
    <hyperlink r:id="rId112" ref="AM4"/>
    <hyperlink r:id="rId113" ref="AP4"/>
    <hyperlink r:id="rId114" ref="AQ4"/>
    <hyperlink r:id="rId115" ref="AR4"/>
    <hyperlink r:id="rId116" ref="AS4"/>
    <hyperlink r:id="rId117" ref="AT4"/>
    <hyperlink r:id="rId118" ref="AU4"/>
    <hyperlink r:id="rId119" ref="AV4"/>
    <hyperlink r:id="rId120" ref="AW4"/>
    <hyperlink r:id="rId121" ref="AX4"/>
    <hyperlink r:id="rId122" ref="AZ4"/>
    <hyperlink r:id="rId123" ref="BA4"/>
    <hyperlink r:id="rId124" ref="BB4"/>
    <hyperlink r:id="rId125" ref="BC4"/>
    <hyperlink r:id="rId126" ref="BD4"/>
    <hyperlink r:id="rId127" ref="BE4"/>
    <hyperlink r:id="rId128" ref="BF4"/>
    <hyperlink r:id="rId129" ref="BG4"/>
    <hyperlink r:id="rId130" ref="BK4"/>
    <hyperlink r:id="rId131" ref="BM4"/>
    <hyperlink r:id="rId132" ref="BN4"/>
    <hyperlink r:id="rId133" ref="BS4"/>
    <hyperlink r:id="rId134" ref="CC4"/>
    <hyperlink r:id="rId135" ref="CE4"/>
    <hyperlink r:id="rId136" ref="CF4"/>
    <hyperlink r:id="rId137" ref="CG4"/>
    <hyperlink r:id="rId138" ref="CI4"/>
    <hyperlink r:id="rId139" ref="CJ4"/>
    <hyperlink r:id="rId140" ref="CL4"/>
    <hyperlink r:id="rId141" ref="CM4"/>
    <hyperlink r:id="rId142" ref="CN4"/>
    <hyperlink r:id="rId143" ref="CP4"/>
    <hyperlink r:id="rId144" ref="CS4"/>
    <hyperlink r:id="rId145" ref="I5"/>
    <hyperlink r:id="rId146" ref="K5"/>
    <hyperlink r:id="rId147" ref="L5"/>
    <hyperlink r:id="rId148" ref="M5"/>
    <hyperlink r:id="rId149" ref="O5"/>
    <hyperlink r:id="rId150" ref="P5"/>
    <hyperlink r:id="rId151" ref="Q5"/>
    <hyperlink r:id="rId152" ref="R5"/>
    <hyperlink r:id="rId153" ref="S5"/>
    <hyperlink r:id="rId154" ref="T5"/>
    <hyperlink r:id="rId155" ref="U5"/>
    <hyperlink r:id="rId156" ref="V5"/>
    <hyperlink r:id="rId157" ref="Y5"/>
    <hyperlink r:id="rId158" ref="AA5"/>
    <hyperlink r:id="rId159" ref="AG5"/>
    <hyperlink r:id="rId160" ref="AH5"/>
    <hyperlink r:id="rId161" ref="AM5"/>
    <hyperlink r:id="rId162" ref="AN5"/>
    <hyperlink r:id="rId163" ref="AO5"/>
    <hyperlink r:id="rId164" ref="AP5"/>
    <hyperlink r:id="rId165" ref="AQ5"/>
    <hyperlink r:id="rId166" ref="AR5"/>
    <hyperlink r:id="rId167" ref="AS5"/>
    <hyperlink r:id="rId168" ref="AT5"/>
    <hyperlink r:id="rId169" ref="AU5"/>
    <hyperlink r:id="rId170" ref="AV5"/>
    <hyperlink r:id="rId171" ref="AW5"/>
    <hyperlink r:id="rId172" ref="AX5"/>
    <hyperlink r:id="rId173" ref="AY5"/>
    <hyperlink r:id="rId174" ref="BA5"/>
    <hyperlink r:id="rId175" ref="BB5"/>
    <hyperlink r:id="rId176" ref="BC5"/>
    <hyperlink r:id="rId177" ref="BD5"/>
    <hyperlink r:id="rId178" ref="BF5"/>
    <hyperlink r:id="rId179" ref="BG5"/>
    <hyperlink r:id="rId180" ref="BH5"/>
    <hyperlink r:id="rId181" ref="BI5"/>
    <hyperlink r:id="rId182" ref="BJ5"/>
    <hyperlink r:id="rId183" ref="BL5"/>
    <hyperlink r:id="rId184" ref="BO5"/>
    <hyperlink r:id="rId185" ref="CB5"/>
    <hyperlink r:id="rId186" ref="CC5"/>
    <hyperlink r:id="rId187" ref="CN5"/>
    <hyperlink r:id="rId188" ref="CO5"/>
    <hyperlink r:id="rId189" ref="CP5"/>
    <hyperlink r:id="rId190" ref="K6"/>
    <hyperlink r:id="rId191" ref="L6"/>
    <hyperlink r:id="rId192" ref="O6"/>
    <hyperlink r:id="rId193" ref="R6"/>
    <hyperlink r:id="rId194" ref="T6"/>
    <hyperlink r:id="rId195" ref="U6"/>
    <hyperlink r:id="rId196" ref="V6"/>
    <hyperlink r:id="rId197" ref="Z6"/>
    <hyperlink r:id="rId198" ref="AA6"/>
    <hyperlink r:id="rId199" ref="AE6"/>
    <hyperlink r:id="rId200" ref="AP6"/>
    <hyperlink r:id="rId201" ref="AQ6"/>
    <hyperlink r:id="rId202" ref="AU6"/>
    <hyperlink r:id="rId203" ref="AW6"/>
    <hyperlink r:id="rId204" ref="BC6"/>
    <hyperlink r:id="rId205" ref="BG6"/>
    <hyperlink r:id="rId206" ref="BI6"/>
    <hyperlink r:id="rId207" ref="BL6"/>
    <hyperlink r:id="rId208" ref="BO6"/>
    <hyperlink r:id="rId209" ref="H7"/>
    <hyperlink r:id="rId210" ref="I7"/>
    <hyperlink r:id="rId211" ref="M7"/>
    <hyperlink r:id="rId212" ref="O7"/>
    <hyperlink r:id="rId213" ref="P7"/>
    <hyperlink r:id="rId214" ref="R7"/>
    <hyperlink r:id="rId215" ref="U7"/>
    <hyperlink r:id="rId216" ref="V7"/>
    <hyperlink r:id="rId217" ref="W7"/>
    <hyperlink r:id="rId218" ref="X7"/>
    <hyperlink r:id="rId219" ref="Y7"/>
    <hyperlink r:id="rId220" ref="Z7"/>
    <hyperlink r:id="rId221" ref="AB7"/>
    <hyperlink r:id="rId222" ref="AC7"/>
    <hyperlink r:id="rId223" ref="AD7"/>
    <hyperlink r:id="rId224" ref="AF7"/>
    <hyperlink r:id="rId225" ref="AH7"/>
    <hyperlink r:id="rId226" ref="AI7"/>
    <hyperlink r:id="rId227" ref="AK7"/>
    <hyperlink r:id="rId228" ref="AM7"/>
    <hyperlink r:id="rId229" ref="AP7"/>
    <hyperlink r:id="rId230" ref="AT7"/>
    <hyperlink r:id="rId231" ref="AU7"/>
    <hyperlink r:id="rId232" ref="AW7"/>
    <hyperlink r:id="rId233" ref="AZ7"/>
    <hyperlink r:id="rId234" ref="BA7"/>
    <hyperlink r:id="rId235" ref="BB7"/>
    <hyperlink r:id="rId236" ref="BC7"/>
    <hyperlink r:id="rId237" ref="BD7"/>
    <hyperlink r:id="rId238" ref="BW7"/>
    <hyperlink r:id="rId239" ref="BX7"/>
    <hyperlink r:id="rId240" ref="I8"/>
    <hyperlink r:id="rId241" ref="K8"/>
    <hyperlink r:id="rId242" ref="O8"/>
    <hyperlink r:id="rId243" ref="P8"/>
    <hyperlink r:id="rId244" ref="R8"/>
    <hyperlink r:id="rId245" ref="S8"/>
    <hyperlink r:id="rId246" ref="U8"/>
    <hyperlink r:id="rId247" ref="X8"/>
    <hyperlink r:id="rId248" ref="Y8"/>
    <hyperlink r:id="rId249" ref="AC8"/>
    <hyperlink r:id="rId250" ref="AF8"/>
    <hyperlink r:id="rId251" ref="AG8"/>
    <hyperlink r:id="rId252" ref="AI8"/>
    <hyperlink r:id="rId253" ref="AM8"/>
    <hyperlink r:id="rId254" ref="AP8"/>
    <hyperlink r:id="rId255" ref="AQ8"/>
    <hyperlink r:id="rId256" ref="AR8"/>
    <hyperlink r:id="rId257" ref="AT8"/>
    <hyperlink r:id="rId258" ref="AU8"/>
    <hyperlink r:id="rId259" ref="AZ8"/>
    <hyperlink r:id="rId260" ref="BB8"/>
    <hyperlink r:id="rId261" ref="BC8"/>
    <hyperlink r:id="rId262" ref="BD8"/>
    <hyperlink r:id="rId263" ref="CE8"/>
    <hyperlink r:id="rId264" ref="CF8"/>
    <hyperlink r:id="rId265" ref="CG8"/>
    <hyperlink r:id="rId266" ref="CJ8"/>
    <hyperlink r:id="rId267" ref="CL8"/>
    <hyperlink r:id="rId268" ref="CN8"/>
    <hyperlink r:id="rId269" ref="CR8"/>
    <hyperlink r:id="rId270" ref="H9"/>
    <hyperlink r:id="rId271" ref="I9"/>
    <hyperlink r:id="rId272" ref="R9"/>
    <hyperlink r:id="rId273" ref="AC9"/>
    <hyperlink r:id="rId274" ref="AD9"/>
    <hyperlink r:id="rId275" ref="AM9"/>
    <hyperlink r:id="rId276" ref="AP9"/>
    <hyperlink r:id="rId277" ref="AT9"/>
    <hyperlink r:id="rId278" ref="AW9"/>
    <hyperlink r:id="rId279" ref="BB9"/>
    <hyperlink r:id="rId280" ref="BS9"/>
    <hyperlink r:id="rId281" ref="BV9"/>
    <hyperlink r:id="rId282" ref="BW9"/>
    <hyperlink r:id="rId283" ref="BX9"/>
    <hyperlink r:id="rId284" ref="CA9"/>
    <hyperlink r:id="rId285" ref="CC9"/>
    <hyperlink r:id="rId286" ref="CM9"/>
    <hyperlink r:id="rId287" ref="H10"/>
    <hyperlink r:id="rId288" ref="I10"/>
    <hyperlink r:id="rId289" ref="K10"/>
    <hyperlink r:id="rId290" ref="L10"/>
    <hyperlink r:id="rId291" ref="O10"/>
    <hyperlink r:id="rId292" ref="P10"/>
    <hyperlink r:id="rId293" ref="Q10"/>
    <hyperlink r:id="rId294" ref="R10"/>
    <hyperlink r:id="rId295" ref="S10"/>
    <hyperlink r:id="rId296" ref="T10"/>
    <hyperlink r:id="rId297" ref="U10"/>
    <hyperlink r:id="rId298" ref="X10"/>
    <hyperlink r:id="rId299" ref="AA10"/>
    <hyperlink r:id="rId300" ref="AC10"/>
    <hyperlink r:id="rId301" ref="AD10"/>
    <hyperlink r:id="rId302" ref="AE10"/>
    <hyperlink r:id="rId303" ref="AN10"/>
    <hyperlink r:id="rId304" ref="AQ10"/>
    <hyperlink r:id="rId305" ref="AR10"/>
    <hyperlink r:id="rId306" ref="AT10"/>
    <hyperlink r:id="rId307" ref="AU10"/>
    <hyperlink r:id="rId308" ref="AV10"/>
    <hyperlink r:id="rId309" ref="AW10"/>
    <hyperlink r:id="rId310" ref="AX10"/>
    <hyperlink r:id="rId311" ref="BB10"/>
    <hyperlink r:id="rId312" ref="BD10"/>
    <hyperlink r:id="rId313" ref="BE10"/>
    <hyperlink r:id="rId314" ref="BG10"/>
    <hyperlink r:id="rId315" ref="CT10"/>
    <hyperlink r:id="rId316" ref="L11"/>
    <hyperlink r:id="rId317" ref="S11"/>
    <hyperlink r:id="rId318" ref="X11"/>
    <hyperlink r:id="rId319" ref="Y11"/>
    <hyperlink r:id="rId320" ref="AA11"/>
    <hyperlink r:id="rId321" ref="AM11"/>
    <hyperlink r:id="rId322" ref="AN11"/>
    <hyperlink r:id="rId323" ref="AO11"/>
    <hyperlink r:id="rId324" ref="AR11"/>
    <hyperlink r:id="rId325" ref="AU11"/>
    <hyperlink r:id="rId326" ref="AY11"/>
    <hyperlink r:id="rId327" ref="I12"/>
    <hyperlink r:id="rId328" ref="K12"/>
    <hyperlink r:id="rId329" ref="L12"/>
    <hyperlink r:id="rId330" ref="M12"/>
    <hyperlink r:id="rId331" ref="P12"/>
    <hyperlink r:id="rId332" ref="R12"/>
    <hyperlink r:id="rId333" ref="S12"/>
    <hyperlink r:id="rId334" ref="U12"/>
    <hyperlink r:id="rId335" ref="Y12"/>
    <hyperlink r:id="rId336" ref="AC12"/>
    <hyperlink r:id="rId337" ref="AD12"/>
    <hyperlink r:id="rId338" ref="AE12"/>
    <hyperlink r:id="rId339" ref="AF12"/>
    <hyperlink r:id="rId340" ref="AM12"/>
    <hyperlink r:id="rId341" ref="AN12"/>
    <hyperlink r:id="rId342" ref="AO12"/>
    <hyperlink r:id="rId343" ref="AR12"/>
    <hyperlink r:id="rId344" ref="AT12"/>
    <hyperlink r:id="rId345" ref="AU12"/>
    <hyperlink r:id="rId346" ref="AW12"/>
    <hyperlink r:id="rId347" ref="BB12"/>
    <hyperlink r:id="rId348" ref="BC12"/>
    <hyperlink r:id="rId349" ref="BL12"/>
    <hyperlink r:id="rId350" ref="BV12"/>
    <hyperlink r:id="rId351" ref="CE12"/>
    <hyperlink r:id="rId352" ref="CL13"/>
    <hyperlink r:id="rId353" ref="I14"/>
    <hyperlink r:id="rId354" ref="S14"/>
    <hyperlink r:id="rId355" ref="V14"/>
    <hyperlink r:id="rId356" ref="AE14"/>
    <hyperlink r:id="rId357" ref="I15"/>
    <hyperlink r:id="rId358" ref="M15"/>
    <hyperlink r:id="rId359" ref="Q15"/>
    <hyperlink r:id="rId360" ref="R15"/>
    <hyperlink r:id="rId361" ref="Y15"/>
    <hyperlink r:id="rId362" ref="AD15"/>
    <hyperlink r:id="rId363" ref="BB15"/>
    <hyperlink r:id="rId364" ref="BC15"/>
    <hyperlink r:id="rId365" ref="BM15"/>
    <hyperlink r:id="rId366" ref="AK16"/>
    <hyperlink r:id="rId367" ref="H17"/>
    <hyperlink r:id="rId368" ref="S17"/>
    <hyperlink r:id="rId369" ref="T17"/>
    <hyperlink r:id="rId370" ref="AA17"/>
    <hyperlink r:id="rId371" ref="AE17"/>
    <hyperlink r:id="rId372" ref="AS17"/>
    <hyperlink r:id="rId373" ref="AT17"/>
    <hyperlink r:id="rId374" ref="H18"/>
    <hyperlink r:id="rId375" ref="I18"/>
    <hyperlink r:id="rId376" ref="J18"/>
    <hyperlink r:id="rId377" ref="K18"/>
    <hyperlink r:id="rId378" ref="N18"/>
    <hyperlink r:id="rId379" ref="O18"/>
    <hyperlink r:id="rId380" ref="S18"/>
    <hyperlink r:id="rId381" ref="T18"/>
    <hyperlink r:id="rId382" ref="W19"/>
    <hyperlink r:id="rId383" ref="X19"/>
    <hyperlink r:id="rId384" ref="AB19"/>
    <hyperlink r:id="rId385" ref="AC19"/>
    <hyperlink r:id="rId386" ref="AD19"/>
    <hyperlink r:id="rId387" ref="AF19"/>
    <hyperlink r:id="rId388" ref="AH19"/>
    <hyperlink r:id="rId389" ref="AI19"/>
    <hyperlink r:id="rId390" ref="AP19"/>
    <hyperlink r:id="rId391" ref="BV19"/>
    <hyperlink r:id="rId392" ref="AC20"/>
    <hyperlink r:id="rId393" ref="AG21"/>
    <hyperlink r:id="rId394" ref="AH21"/>
    <hyperlink r:id="rId395" ref="AF23"/>
    <hyperlink r:id="rId396" ref="CT23"/>
    <hyperlink r:id="rId397" ref="L24"/>
    <hyperlink r:id="rId398" ref="R24"/>
    <hyperlink r:id="rId399" ref="Y24"/>
    <hyperlink r:id="rId400" ref="AK24"/>
    <hyperlink r:id="rId401" ref="H25"/>
    <hyperlink r:id="rId402" ref="I25"/>
    <hyperlink r:id="rId403" ref="BG25"/>
    <hyperlink r:id="rId404" ref="BH25"/>
    <hyperlink r:id="rId405" ref="BY25"/>
    <hyperlink r:id="rId406" ref="CT25"/>
    <hyperlink r:id="rId407" ref="U27"/>
    <hyperlink r:id="rId408" ref="Y27"/>
    <hyperlink r:id="rId409" ref="AD27"/>
    <hyperlink r:id="rId410" ref="AE27"/>
    <hyperlink r:id="rId411" ref="X28"/>
    <hyperlink r:id="rId412" ref="Y28"/>
    <hyperlink r:id="rId413" ref="AC28"/>
    <hyperlink r:id="rId414" ref="BV28"/>
    <hyperlink r:id="rId415" ref="BX28"/>
    <hyperlink r:id="rId416" ref="BZ28"/>
    <hyperlink r:id="rId417" ref="CD28"/>
    <hyperlink r:id="rId418" ref="AH29"/>
    <hyperlink r:id="rId419" ref="X30"/>
    <hyperlink r:id="rId420" ref="Y30"/>
    <hyperlink r:id="rId421" ref="AF30"/>
    <hyperlink r:id="rId422" ref="Y31"/>
    <hyperlink r:id="rId423" ref="AU31"/>
    <hyperlink r:id="rId424" ref="T34"/>
    <hyperlink r:id="rId425" ref="AC34"/>
    <hyperlink r:id="rId426" ref="CE34"/>
    <hyperlink r:id="rId427" ref="O35"/>
    <hyperlink r:id="rId428" ref="P35"/>
    <hyperlink r:id="rId429" ref="AD37"/>
    <hyperlink r:id="rId430" ref="AD38"/>
    <hyperlink r:id="rId431" ref="W41"/>
    <hyperlink r:id="rId432" ref="AP44"/>
    <hyperlink r:id="rId433" ref="R45"/>
    <hyperlink r:id="rId434" ref="Y48"/>
    <hyperlink r:id="rId435" ref="AD48"/>
    <hyperlink r:id="rId436" ref="AE51"/>
    <hyperlink r:id="rId437" ref="AK52"/>
    <hyperlink r:id="rId438" ref="AF53"/>
    <hyperlink r:id="rId439" ref="BC55"/>
    <hyperlink r:id="rId440" ref="R57"/>
    <hyperlink r:id="rId441" ref="U57"/>
    <hyperlink r:id="rId442" ref="AQ57"/>
    <hyperlink r:id="rId443" ref="AR57"/>
    <hyperlink r:id="rId444" ref="CT58"/>
  </hyperlinks>
  <drawing r:id="rId445"/>
  <legacyDrawing r:id="rId446"/>
  <tableParts count="12">
    <tablePart r:id="rId459"/>
    <tablePart r:id="rId460"/>
    <tablePart r:id="rId461"/>
    <tablePart r:id="rId462"/>
    <tablePart r:id="rId463"/>
    <tablePart r:id="rId464"/>
    <tablePart r:id="rId465"/>
    <tablePart r:id="rId466"/>
    <tablePart r:id="rId467"/>
    <tablePart r:id="rId468"/>
    <tablePart r:id="rId469"/>
    <tablePart r:id="rId47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46" width="7.88"/>
    <col customWidth="1" min="47" max="47" width="8.25"/>
    <col customWidth="1" min="48" max="48" width="7.88"/>
    <col customWidth="1" min="49" max="49" width="62.63"/>
  </cols>
  <sheetData>
    <row r="1">
      <c r="A1" s="1036" t="s">
        <v>43</v>
      </c>
      <c r="B1" s="1037" t="s">
        <v>5340</v>
      </c>
      <c r="C1" s="1038" t="s">
        <v>5342</v>
      </c>
      <c r="D1" s="1039" t="s">
        <v>5343</v>
      </c>
      <c r="E1" s="1039" t="s">
        <v>949</v>
      </c>
      <c r="F1" s="1039" t="s">
        <v>950</v>
      </c>
      <c r="G1" s="1039" t="s">
        <v>5349</v>
      </c>
      <c r="H1" s="1041" t="s">
        <v>5350</v>
      </c>
      <c r="I1" s="1041" t="s">
        <v>5351</v>
      </c>
      <c r="J1" s="1042" t="s">
        <v>963</v>
      </c>
      <c r="K1" s="1042" t="s">
        <v>5352</v>
      </c>
      <c r="L1" s="1042" t="s">
        <v>5353</v>
      </c>
      <c r="M1" s="1042" t="s">
        <v>5355</v>
      </c>
      <c r="N1" s="1042" t="s">
        <v>1043</v>
      </c>
      <c r="O1" s="1042" t="s">
        <v>5357</v>
      </c>
      <c r="P1" s="1042" t="s">
        <v>5358</v>
      </c>
      <c r="Q1" s="1043" t="s">
        <v>5360</v>
      </c>
      <c r="R1" s="1043" t="s">
        <v>958</v>
      </c>
      <c r="S1" s="1043" t="s">
        <v>5361</v>
      </c>
      <c r="T1" s="1043" t="s">
        <v>5362</v>
      </c>
      <c r="U1" s="1043" t="s">
        <v>5363</v>
      </c>
      <c r="V1" s="1043" t="s">
        <v>5365</v>
      </c>
      <c r="W1" s="1044" t="s">
        <v>951</v>
      </c>
      <c r="X1" s="1044" t="s">
        <v>953</v>
      </c>
      <c r="Y1" s="1044" t="s">
        <v>5366</v>
      </c>
      <c r="Z1" s="1044" t="s">
        <v>5367</v>
      </c>
      <c r="AA1" s="1044" t="s">
        <v>955</v>
      </c>
      <c r="AB1" s="1044" t="s">
        <v>5368</v>
      </c>
      <c r="AC1" s="1044" t="s">
        <v>5369</v>
      </c>
      <c r="AD1" s="1039" t="s">
        <v>5370</v>
      </c>
      <c r="AE1" s="1039" t="s">
        <v>5373</v>
      </c>
      <c r="AF1" s="1046" t="s">
        <v>960</v>
      </c>
      <c r="AG1" s="1046" t="s">
        <v>5375</v>
      </c>
      <c r="AH1" s="1046" t="s">
        <v>5376</v>
      </c>
      <c r="AI1" s="1046" t="s">
        <v>961</v>
      </c>
      <c r="AJ1" s="1046" t="s">
        <v>5377</v>
      </c>
      <c r="AK1" s="1046" t="s">
        <v>5378</v>
      </c>
      <c r="AL1" s="1046" t="s">
        <v>5379</v>
      </c>
      <c r="AM1" s="1047" t="s">
        <v>962</v>
      </c>
      <c r="AN1" s="1047" t="s">
        <v>5383</v>
      </c>
      <c r="AO1" s="1047" t="s">
        <v>5384</v>
      </c>
      <c r="AP1" s="1047" t="s">
        <v>5385</v>
      </c>
      <c r="AQ1" s="1047" t="s">
        <v>5386</v>
      </c>
      <c r="AR1" s="1047" t="s">
        <v>5387</v>
      </c>
      <c r="AS1" s="1047" t="s">
        <v>5388</v>
      </c>
      <c r="AT1" s="1048" t="s">
        <v>5389</v>
      </c>
      <c r="AU1" s="1049" t="s">
        <v>5392</v>
      </c>
      <c r="AV1" s="1050" t="s">
        <v>5393</v>
      </c>
      <c r="AW1" s="1051" t="s">
        <v>5394</v>
      </c>
    </row>
    <row r="2" ht="15.75" customHeight="1">
      <c r="A2" s="1052" t="s">
        <v>5395</v>
      </c>
      <c r="B2" s="1053" t="s">
        <v>5396</v>
      </c>
      <c r="C2" s="1054">
        <v>0.04876724537037037</v>
      </c>
      <c r="D2" s="1055" t="s">
        <v>5398</v>
      </c>
      <c r="E2" s="1055" t="s">
        <v>5399</v>
      </c>
      <c r="F2" s="1056" t="s">
        <v>5400</v>
      </c>
      <c r="G2" s="1055" t="s">
        <v>5401</v>
      </c>
      <c r="H2" s="1057" t="s">
        <v>5402</v>
      </c>
      <c r="I2" s="1057" t="s">
        <v>5403</v>
      </c>
      <c r="J2" s="1058" t="s">
        <v>5404</v>
      </c>
      <c r="K2" s="1059" t="s">
        <v>5405</v>
      </c>
      <c r="L2" s="1059" t="s">
        <v>580</v>
      </c>
      <c r="M2" s="1059" t="s">
        <v>5406</v>
      </c>
      <c r="N2" s="1059" t="s">
        <v>5407</v>
      </c>
      <c r="O2" s="1059" t="s">
        <v>5408</v>
      </c>
      <c r="P2" s="1059" t="s">
        <v>5409</v>
      </c>
      <c r="Q2" s="1060" t="s">
        <v>5411</v>
      </c>
      <c r="R2" s="1061" t="s">
        <v>5412</v>
      </c>
      <c r="S2" s="1060" t="s">
        <v>316</v>
      </c>
      <c r="T2" s="1061" t="s">
        <v>5294</v>
      </c>
      <c r="U2" s="1060" t="s">
        <v>780</v>
      </c>
      <c r="V2" s="1060" t="s">
        <v>5414</v>
      </c>
      <c r="W2" s="1062" t="s">
        <v>5415</v>
      </c>
      <c r="X2" s="1063" t="s">
        <v>5416</v>
      </c>
      <c r="Y2" s="1063" t="s">
        <v>1604</v>
      </c>
      <c r="Z2" s="1064" t="s">
        <v>1557</v>
      </c>
      <c r="AA2" s="1063" t="s">
        <v>2419</v>
      </c>
      <c r="AB2" s="1063" t="s">
        <v>5417</v>
      </c>
      <c r="AC2" s="1064" t="s">
        <v>5418</v>
      </c>
      <c r="AD2" s="1065" t="s">
        <v>5419</v>
      </c>
      <c r="AE2" s="1066" t="s">
        <v>5421</v>
      </c>
      <c r="AF2" s="1067" t="s">
        <v>5423</v>
      </c>
      <c r="AG2" s="1067" t="s">
        <v>3156</v>
      </c>
      <c r="AH2" s="1067" t="s">
        <v>5424</v>
      </c>
      <c r="AI2" s="1068" t="s">
        <v>5425</v>
      </c>
      <c r="AJ2" s="1068" t="s">
        <v>5426</v>
      </c>
      <c r="AK2" s="1068" t="s">
        <v>5427</v>
      </c>
      <c r="AL2" s="1068" t="s">
        <v>5428</v>
      </c>
      <c r="AM2" s="1069" t="s">
        <v>5430</v>
      </c>
      <c r="AN2" s="1070" t="s">
        <v>5431</v>
      </c>
      <c r="AO2" s="1070" t="s">
        <v>5432</v>
      </c>
      <c r="AP2" s="1071" t="s">
        <v>5433</v>
      </c>
      <c r="AQ2" s="1069" t="s">
        <v>5434</v>
      </c>
      <c r="AR2" s="1070" t="s">
        <v>5435</v>
      </c>
      <c r="AS2" s="1069" t="s">
        <v>4726</v>
      </c>
      <c r="AT2" s="1072" t="s">
        <v>5436</v>
      </c>
      <c r="AU2" s="1073" t="s">
        <v>5437</v>
      </c>
      <c r="AV2" s="1073" t="str">
        <f t="shared" ref="AV2:AV101" si="1">TEXT(AU2-C2,"m:ss")</f>
        <v>2:10</v>
      </c>
      <c r="AW2" s="1074"/>
    </row>
    <row r="3" ht="15.75" customHeight="1">
      <c r="A3" s="1075" t="s">
        <v>5443</v>
      </c>
      <c r="B3" s="1076" t="s">
        <v>5444</v>
      </c>
      <c r="C3" s="1077">
        <v>0.04930289351851852</v>
      </c>
      <c r="D3" s="1078" t="s">
        <v>5445</v>
      </c>
      <c r="E3" s="1078" t="s">
        <v>622</v>
      </c>
      <c r="F3" s="1078" t="s">
        <v>5446</v>
      </c>
      <c r="G3" s="1078" t="s">
        <v>5447</v>
      </c>
      <c r="H3" s="1079" t="s">
        <v>5448</v>
      </c>
      <c r="I3" s="1079" t="s">
        <v>5449</v>
      </c>
      <c r="J3" s="1080" t="s">
        <v>5450</v>
      </c>
      <c r="K3" s="1080" t="s">
        <v>2795</v>
      </c>
      <c r="L3" s="1080" t="s">
        <v>2391</v>
      </c>
      <c r="M3" s="1080" t="s">
        <v>5451</v>
      </c>
      <c r="N3" s="1080" t="s">
        <v>5452</v>
      </c>
      <c r="O3" s="1080" t="s">
        <v>5453</v>
      </c>
      <c r="P3" s="1080" t="s">
        <v>1239</v>
      </c>
      <c r="Q3" s="1081" t="s">
        <v>5454</v>
      </c>
      <c r="R3" s="1081" t="s">
        <v>5455</v>
      </c>
      <c r="S3" s="1081" t="s">
        <v>5456</v>
      </c>
      <c r="T3" s="1081" t="s">
        <v>5457</v>
      </c>
      <c r="U3" s="1082" t="s">
        <v>3478</v>
      </c>
      <c r="V3" s="1081" t="s">
        <v>5458</v>
      </c>
      <c r="W3" s="1083" t="s">
        <v>5459</v>
      </c>
      <c r="X3" s="1083" t="s">
        <v>1533</v>
      </c>
      <c r="Y3" s="1084" t="s">
        <v>5461</v>
      </c>
      <c r="Z3" s="1084" t="s">
        <v>857</v>
      </c>
      <c r="AA3" s="1084" t="s">
        <v>5439</v>
      </c>
      <c r="AB3" s="1083" t="s">
        <v>1404</v>
      </c>
      <c r="AC3" s="1084" t="s">
        <v>5462</v>
      </c>
      <c r="AD3" s="1078" t="s">
        <v>5463</v>
      </c>
      <c r="AE3" s="1078" t="s">
        <v>2790</v>
      </c>
      <c r="AF3" s="1085" t="s">
        <v>5464</v>
      </c>
      <c r="AG3" s="1086" t="s">
        <v>2253</v>
      </c>
      <c r="AH3" s="1086" t="s">
        <v>5466</v>
      </c>
      <c r="AI3" s="1086" t="s">
        <v>5467</v>
      </c>
      <c r="AJ3" s="1085" t="s">
        <v>5468</v>
      </c>
      <c r="AK3" s="1086" t="s">
        <v>1731</v>
      </c>
      <c r="AL3" s="1086" t="s">
        <v>5470</v>
      </c>
      <c r="AM3" s="1087" t="s">
        <v>5471</v>
      </c>
      <c r="AN3" s="1087" t="s">
        <v>5472</v>
      </c>
      <c r="AO3" s="1088" t="s">
        <v>3100</v>
      </c>
      <c r="AP3" s="1088" t="s">
        <v>5473</v>
      </c>
      <c r="AQ3" s="1088" t="s">
        <v>5474</v>
      </c>
      <c r="AR3" s="1088" t="s">
        <v>5475</v>
      </c>
      <c r="AS3" s="1087" t="s">
        <v>5476</v>
      </c>
      <c r="AT3" s="1080" t="s">
        <v>5477</v>
      </c>
      <c r="AU3" s="1089" t="s">
        <v>5479</v>
      </c>
      <c r="AV3" s="1089" t="str">
        <f t="shared" si="1"/>
        <v>3:51</v>
      </c>
      <c r="AW3" s="1090"/>
    </row>
    <row r="4" ht="15.75" customHeight="1">
      <c r="A4" s="1091" t="s">
        <v>5481</v>
      </c>
      <c r="B4" s="1092" t="s">
        <v>5482</v>
      </c>
      <c r="C4" s="1093">
        <v>0.050637731481481485</v>
      </c>
      <c r="D4" s="1094" t="s">
        <v>5483</v>
      </c>
      <c r="E4" s="1094" t="s">
        <v>5484</v>
      </c>
      <c r="F4" s="1094" t="s">
        <v>5485</v>
      </c>
      <c r="G4" s="1094" t="s">
        <v>5486</v>
      </c>
      <c r="H4" s="1095" t="s">
        <v>5487</v>
      </c>
      <c r="I4" s="1095" t="s">
        <v>1128</v>
      </c>
      <c r="J4" s="1096" t="s">
        <v>5488</v>
      </c>
      <c r="K4" s="1096" t="s">
        <v>5489</v>
      </c>
      <c r="L4" s="1096" t="s">
        <v>5490</v>
      </c>
      <c r="M4" s="1096" t="s">
        <v>5491</v>
      </c>
      <c r="N4" s="1096" t="s">
        <v>5430</v>
      </c>
      <c r="O4" s="1096" t="s">
        <v>5492</v>
      </c>
      <c r="P4" s="1096" t="s">
        <v>5493</v>
      </c>
      <c r="Q4" s="1097" t="s">
        <v>5494</v>
      </c>
      <c r="R4" s="1097" t="s">
        <v>5495</v>
      </c>
      <c r="S4" s="1097" t="s">
        <v>5496</v>
      </c>
      <c r="T4" s="1097" t="s">
        <v>5497</v>
      </c>
      <c r="U4" s="1097" t="s">
        <v>5498</v>
      </c>
      <c r="V4" s="1097" t="s">
        <v>5499</v>
      </c>
      <c r="W4" s="1098" t="s">
        <v>5500</v>
      </c>
      <c r="X4" s="1098" t="s">
        <v>5501</v>
      </c>
      <c r="Y4" s="1098">
        <v>47.93</v>
      </c>
      <c r="Z4" s="1098" t="s">
        <v>5502</v>
      </c>
      <c r="AA4" s="1098" t="s">
        <v>5503</v>
      </c>
      <c r="AB4" s="1098" t="s">
        <v>5504</v>
      </c>
      <c r="AC4" s="1098">
        <v>49.24</v>
      </c>
      <c r="AD4" s="1099" t="s">
        <v>5505</v>
      </c>
      <c r="AE4" s="1100" t="s">
        <v>5506</v>
      </c>
      <c r="AF4" s="1101" t="s">
        <v>5508</v>
      </c>
      <c r="AG4" s="1101" t="s">
        <v>5509</v>
      </c>
      <c r="AH4" s="1101" t="s">
        <v>5510</v>
      </c>
      <c r="AI4" s="1101" t="s">
        <v>5511</v>
      </c>
      <c r="AJ4" s="1101" t="s">
        <v>5512</v>
      </c>
      <c r="AK4" s="1101" t="s">
        <v>3785</v>
      </c>
      <c r="AL4" s="1101" t="s">
        <v>5513</v>
      </c>
      <c r="AM4" s="1102" t="s">
        <v>5514</v>
      </c>
      <c r="AN4" s="1103" t="s">
        <v>5515</v>
      </c>
      <c r="AO4" s="1102" t="s">
        <v>5516</v>
      </c>
      <c r="AP4" s="1103" t="s">
        <v>5517</v>
      </c>
      <c r="AQ4" s="1102" t="s">
        <v>5518</v>
      </c>
      <c r="AR4" s="1102" t="s">
        <v>307</v>
      </c>
      <c r="AS4" s="1102" t="s">
        <v>2676</v>
      </c>
      <c r="AT4" s="1104" t="s">
        <v>5520</v>
      </c>
      <c r="AU4" s="1105" t="s">
        <v>5521</v>
      </c>
      <c r="AV4" s="1106" t="str">
        <f t="shared" si="1"/>
        <v>2:49</v>
      </c>
      <c r="AW4" s="1074"/>
    </row>
    <row r="5" ht="15.75" customHeight="1">
      <c r="A5" s="1107" t="s">
        <v>65</v>
      </c>
      <c r="B5" s="1108" t="s">
        <v>5396</v>
      </c>
      <c r="C5" s="1109">
        <v>0.048935185185185186</v>
      </c>
      <c r="D5" s="1110" t="s">
        <v>5398</v>
      </c>
      <c r="E5" s="1110" t="s">
        <v>5399</v>
      </c>
      <c r="F5" s="1111" t="s">
        <v>5531</v>
      </c>
      <c r="G5" s="1112" t="s">
        <v>5401</v>
      </c>
      <c r="H5" s="1110" t="s">
        <v>5402</v>
      </c>
      <c r="I5" s="1110" t="s">
        <v>5403</v>
      </c>
      <c r="J5" s="1112" t="s">
        <v>5404</v>
      </c>
      <c r="K5" s="1113" t="s">
        <v>5405</v>
      </c>
      <c r="L5" s="1111" t="s">
        <v>3090</v>
      </c>
      <c r="M5" s="1113" t="s">
        <v>5406</v>
      </c>
      <c r="N5" s="1113" t="s">
        <v>5407</v>
      </c>
      <c r="O5" s="1111" t="s">
        <v>5540</v>
      </c>
      <c r="P5" s="1113" t="s">
        <v>5409</v>
      </c>
      <c r="Q5" s="1113" t="s">
        <v>5411</v>
      </c>
      <c r="R5" s="1112" t="s">
        <v>5412</v>
      </c>
      <c r="S5" s="1113" t="s">
        <v>316</v>
      </c>
      <c r="T5" s="1112" t="s">
        <v>5294</v>
      </c>
      <c r="U5" s="1113" t="s">
        <v>780</v>
      </c>
      <c r="V5" s="1116" t="s">
        <v>5414</v>
      </c>
      <c r="W5" s="1110" t="s">
        <v>5415</v>
      </c>
      <c r="X5" s="1112" t="s">
        <v>5416</v>
      </c>
      <c r="Y5" s="1112" t="s">
        <v>1604</v>
      </c>
      <c r="Z5" s="1111" t="s">
        <v>5553</v>
      </c>
      <c r="AA5" s="1112" t="s">
        <v>2419</v>
      </c>
      <c r="AB5" s="1111" t="s">
        <v>5555</v>
      </c>
      <c r="AC5" s="1113" t="s">
        <v>5418</v>
      </c>
      <c r="AD5" s="1112" t="s">
        <v>5419</v>
      </c>
      <c r="AE5" s="1118" t="s">
        <v>2016</v>
      </c>
      <c r="AF5" s="789" t="s">
        <v>5558</v>
      </c>
      <c r="AG5" s="1110" t="s">
        <v>3156</v>
      </c>
      <c r="AH5" s="1111" t="s">
        <v>3828</v>
      </c>
      <c r="AI5" s="1118" t="s">
        <v>5562</v>
      </c>
      <c r="AJ5" s="74" t="s">
        <v>5563</v>
      </c>
      <c r="AK5" s="1113" t="s">
        <v>5427</v>
      </c>
      <c r="AL5" s="1112" t="s">
        <v>5428</v>
      </c>
      <c r="AM5" s="1112" t="s">
        <v>5430</v>
      </c>
      <c r="AN5" s="1111" t="s">
        <v>5567</v>
      </c>
      <c r="AO5" s="1118" t="s">
        <v>5569</v>
      </c>
      <c r="AP5" s="1112" t="s">
        <v>5433</v>
      </c>
      <c r="AQ5" s="1111" t="s">
        <v>5571</v>
      </c>
      <c r="AR5" s="1110" t="s">
        <v>5435</v>
      </c>
      <c r="AS5" s="1128" t="s">
        <v>4863</v>
      </c>
      <c r="AT5" s="1111" t="s">
        <v>5577</v>
      </c>
      <c r="AU5" s="1130" t="s">
        <v>5437</v>
      </c>
      <c r="AV5" s="789" t="str">
        <f t="shared" si="1"/>
        <v>1:55</v>
      </c>
      <c r="AW5" s="1131" t="s">
        <v>5578</v>
      </c>
    </row>
    <row r="6">
      <c r="A6" s="1132" t="s">
        <v>52</v>
      </c>
      <c r="B6" s="1133" t="s">
        <v>5396</v>
      </c>
      <c r="C6" s="1134">
        <v>0.049185185185185186</v>
      </c>
      <c r="D6" s="1135" t="s">
        <v>5579</v>
      </c>
      <c r="E6" s="1136" t="s">
        <v>5581</v>
      </c>
      <c r="F6" s="1137" t="s">
        <v>5582</v>
      </c>
      <c r="G6" s="1138" t="s">
        <v>5584</v>
      </c>
      <c r="H6" s="1139" t="s">
        <v>5587</v>
      </c>
      <c r="I6" s="1140" t="s">
        <v>2014</v>
      </c>
      <c r="J6" s="1141" t="s">
        <v>5589</v>
      </c>
      <c r="K6" s="1141" t="s">
        <v>322</v>
      </c>
      <c r="L6" s="1142" t="s">
        <v>5595</v>
      </c>
      <c r="M6" s="1141" t="s">
        <v>4917</v>
      </c>
      <c r="N6" s="1143" t="s">
        <v>422</v>
      </c>
      <c r="O6" s="1141" t="s">
        <v>5600</v>
      </c>
      <c r="P6" s="1143" t="s">
        <v>5601</v>
      </c>
      <c r="Q6" s="1146" t="s">
        <v>5604</v>
      </c>
      <c r="R6" s="1147" t="s">
        <v>5605</v>
      </c>
      <c r="S6" s="1148" t="s">
        <v>5606</v>
      </c>
      <c r="T6" s="1147" t="s">
        <v>5608</v>
      </c>
      <c r="U6" s="1147" t="s">
        <v>5609</v>
      </c>
      <c r="V6" s="1147" t="s">
        <v>5610</v>
      </c>
      <c r="W6" s="1150" t="s">
        <v>5613</v>
      </c>
      <c r="X6" s="1150" t="s">
        <v>5614</v>
      </c>
      <c r="Y6" s="1151" t="s">
        <v>5616</v>
      </c>
      <c r="Z6" s="1150" t="s">
        <v>2421</v>
      </c>
      <c r="AA6" s="1150" t="s">
        <v>5617</v>
      </c>
      <c r="AB6" s="1150" t="s">
        <v>1979</v>
      </c>
      <c r="AC6" s="1151" t="s">
        <v>1921</v>
      </c>
      <c r="AD6" s="1138" t="s">
        <v>5620</v>
      </c>
      <c r="AE6" s="1138" t="s">
        <v>2648</v>
      </c>
      <c r="AF6" s="1153" t="s">
        <v>5623</v>
      </c>
      <c r="AG6" s="1154" t="s">
        <v>630</v>
      </c>
      <c r="AH6" s="1155" t="s">
        <v>5625</v>
      </c>
      <c r="AI6" s="1153" t="s">
        <v>5627</v>
      </c>
      <c r="AJ6" s="1154" t="s">
        <v>5628</v>
      </c>
      <c r="AK6" s="1155" t="s">
        <v>5124</v>
      </c>
      <c r="AL6" s="1154" t="s">
        <v>2477</v>
      </c>
      <c r="AM6" s="1156" t="s">
        <v>2480</v>
      </c>
      <c r="AN6" s="1158" t="s">
        <v>5632</v>
      </c>
      <c r="AO6" s="1156" t="s">
        <v>2644</v>
      </c>
      <c r="AP6" s="1160" t="s">
        <v>5637</v>
      </c>
      <c r="AQ6" s="1161" t="s">
        <v>5434</v>
      </c>
      <c r="AR6" s="1156" t="s">
        <v>5642</v>
      </c>
      <c r="AS6" s="1160" t="s">
        <v>5165</v>
      </c>
      <c r="AT6" s="1141" t="s">
        <v>5643</v>
      </c>
      <c r="AU6" s="1162" t="s">
        <v>5646</v>
      </c>
      <c r="AV6" s="1163" t="str">
        <f t="shared" si="1"/>
        <v>1:53</v>
      </c>
      <c r="AW6" s="1164"/>
    </row>
    <row r="7" ht="15.75" customHeight="1">
      <c r="A7" s="1165" t="s">
        <v>305</v>
      </c>
      <c r="B7" s="1108" t="s">
        <v>5396</v>
      </c>
      <c r="C7" s="1166">
        <v>0.0493287037037037</v>
      </c>
      <c r="D7" s="1167" t="s">
        <v>5648</v>
      </c>
      <c r="E7" s="1168" t="s">
        <v>5649</v>
      </c>
      <c r="F7" s="1168" t="s">
        <v>5650</v>
      </c>
      <c r="G7" s="1168" t="s">
        <v>5651</v>
      </c>
      <c r="H7" s="1168" t="s">
        <v>5652</v>
      </c>
      <c r="I7" s="1169" t="s">
        <v>5653</v>
      </c>
      <c r="J7" s="1168" t="s">
        <v>5654</v>
      </c>
      <c r="K7" s="1168" t="s">
        <v>3239</v>
      </c>
      <c r="L7" s="1168" t="s">
        <v>5655</v>
      </c>
      <c r="M7" s="1168" t="s">
        <v>4917</v>
      </c>
      <c r="N7" s="1168" t="s">
        <v>5656</v>
      </c>
      <c r="O7" s="1168" t="s">
        <v>5657</v>
      </c>
      <c r="P7" s="1168" t="s">
        <v>4652</v>
      </c>
      <c r="Q7" s="1170" t="s">
        <v>5076</v>
      </c>
      <c r="R7" s="1168" t="s">
        <v>3771</v>
      </c>
      <c r="S7" s="1168" t="s">
        <v>5654</v>
      </c>
      <c r="T7" s="1168" t="s">
        <v>5658</v>
      </c>
      <c r="U7" s="1170" t="s">
        <v>5659</v>
      </c>
      <c r="V7" s="1171" t="s">
        <v>3429</v>
      </c>
      <c r="W7" s="1168" t="s">
        <v>5660</v>
      </c>
      <c r="X7" s="1168" t="s">
        <v>5661</v>
      </c>
      <c r="Y7" s="1172">
        <v>46.72</v>
      </c>
      <c r="Z7" s="1172" t="s">
        <v>5663</v>
      </c>
      <c r="AA7" s="1168" t="s">
        <v>5664</v>
      </c>
      <c r="AB7" s="1173" t="s">
        <v>5417</v>
      </c>
      <c r="AC7" s="1168" t="s">
        <v>5611</v>
      </c>
      <c r="AD7" s="1168" t="s">
        <v>2222</v>
      </c>
      <c r="AE7" s="1174" t="s">
        <v>5421</v>
      </c>
      <c r="AF7" s="1172" t="s">
        <v>5665</v>
      </c>
      <c r="AG7" s="1171" t="s">
        <v>5666</v>
      </c>
      <c r="AH7" s="1173" t="s">
        <v>5424</v>
      </c>
      <c r="AI7" s="1168" t="s">
        <v>5668</v>
      </c>
      <c r="AJ7" s="1172" t="s">
        <v>5669</v>
      </c>
      <c r="AK7" s="1172" t="s">
        <v>5670</v>
      </c>
      <c r="AL7" s="1171" t="s">
        <v>5671</v>
      </c>
      <c r="AM7" s="1168" t="s">
        <v>5672</v>
      </c>
      <c r="AN7" s="1171" t="s">
        <v>5673</v>
      </c>
      <c r="AO7" s="1171" t="s">
        <v>2086</v>
      </c>
      <c r="AP7" s="1171" t="s">
        <v>5674</v>
      </c>
      <c r="AQ7" s="789" t="s">
        <v>5675</v>
      </c>
      <c r="AR7" s="1171" t="s">
        <v>5676</v>
      </c>
      <c r="AS7" s="1171" t="s">
        <v>5677</v>
      </c>
      <c r="AT7" s="1171" t="s">
        <v>5678</v>
      </c>
      <c r="AU7" s="1175" t="s">
        <v>5679</v>
      </c>
      <c r="AV7" s="789" t="str">
        <f t="shared" si="1"/>
        <v>2:15</v>
      </c>
      <c r="AW7" s="1131"/>
    </row>
    <row r="8" ht="15.75" customHeight="1">
      <c r="A8" s="1107" t="s">
        <v>99</v>
      </c>
      <c r="B8" s="1108" t="s">
        <v>5396</v>
      </c>
      <c r="C8" s="1166">
        <v>0.049444444444444444</v>
      </c>
      <c r="D8" s="1128" t="s">
        <v>5681</v>
      </c>
      <c r="E8" s="1128" t="s">
        <v>5683</v>
      </c>
      <c r="F8" s="1169" t="s">
        <v>5685</v>
      </c>
      <c r="G8" s="1118" t="s">
        <v>5686</v>
      </c>
      <c r="H8" s="1169" t="s">
        <v>5691</v>
      </c>
      <c r="I8" s="1169" t="s">
        <v>514</v>
      </c>
      <c r="J8" s="1128" t="s">
        <v>5692</v>
      </c>
      <c r="K8" s="1169" t="s">
        <v>5693</v>
      </c>
      <c r="L8" s="1169" t="s">
        <v>4948</v>
      </c>
      <c r="M8" s="1169" t="s">
        <v>5694</v>
      </c>
      <c r="N8" s="1128" t="s">
        <v>5695</v>
      </c>
      <c r="O8" s="1169" t="s">
        <v>5697</v>
      </c>
      <c r="P8" s="789" t="s">
        <v>875</v>
      </c>
      <c r="Q8" s="1128" t="s">
        <v>5699</v>
      </c>
      <c r="R8" s="1169" t="s">
        <v>1493</v>
      </c>
      <c r="S8" s="1169" t="s">
        <v>5701</v>
      </c>
      <c r="T8" s="789" t="s">
        <v>5702</v>
      </c>
      <c r="U8" s="1169" t="s">
        <v>5703</v>
      </c>
      <c r="V8" s="1169" t="s">
        <v>5704</v>
      </c>
      <c r="W8" s="1176" t="s">
        <v>5705</v>
      </c>
      <c r="X8" s="789" t="s">
        <v>4898</v>
      </c>
      <c r="Y8" s="1177" t="s">
        <v>5706</v>
      </c>
      <c r="Z8" s="1169" t="s">
        <v>3017</v>
      </c>
      <c r="AA8" s="1178" t="str">
        <f>HYPERLINK("https://www.twitch.tv/videos/571775470","1:28.03")</f>
        <v>1:28.03</v>
      </c>
      <c r="AB8" s="789" t="s">
        <v>1463</v>
      </c>
      <c r="AC8" s="104" t="str">
        <f>HYPERLINK("https://clips.twitch.tv/HelpfulSaltyCoyoteHoneyBadger","47.31")</f>
        <v>47.31</v>
      </c>
      <c r="AD8" s="1178" t="str">
        <f>HYPERLINK("https://www.twitch.tv/videos/625954575","1:47.79")</f>
        <v>1:47.79</v>
      </c>
      <c r="AE8" s="789" t="s">
        <v>5711</v>
      </c>
      <c r="AF8" s="789" t="s">
        <v>5712</v>
      </c>
      <c r="AG8" s="1178" t="str">
        <f>HYPERLINK("https://www.twitch.tv/videos/566334947","1:28.73")</f>
        <v>1:28.73</v>
      </c>
      <c r="AH8" s="1169" t="s">
        <v>5714</v>
      </c>
      <c r="AI8" s="1180" t="str">
        <f>HYPERLINK("https://www.twitch.tv/videos/584107631","1:27.68")</f>
        <v>1:27.68</v>
      </c>
      <c r="AJ8" s="789" t="s">
        <v>5715</v>
      </c>
      <c r="AK8" s="1169" t="s">
        <v>273</v>
      </c>
      <c r="AL8" s="1169" t="s">
        <v>5716</v>
      </c>
      <c r="AM8" s="1128" t="s">
        <v>5717</v>
      </c>
      <c r="AN8" s="1128" t="s">
        <v>1959</v>
      </c>
      <c r="AO8" s="1128" t="s">
        <v>5719</v>
      </c>
      <c r="AP8" s="1169" t="s">
        <v>5721</v>
      </c>
      <c r="AQ8" s="789" t="s">
        <v>5722</v>
      </c>
      <c r="AR8" s="1128" t="s">
        <v>5723</v>
      </c>
      <c r="AS8" s="104" t="str">
        <f>HYPERLINK("https://www.twitch.tv/videos/571767101","42.91")</f>
        <v>42.91</v>
      </c>
      <c r="AT8" s="1111" t="s">
        <v>5725</v>
      </c>
      <c r="AU8" s="1175" t="s">
        <v>5727</v>
      </c>
      <c r="AV8" s="789" t="str">
        <f t="shared" si="1"/>
        <v>2:32</v>
      </c>
      <c r="AW8" s="1181" t="s">
        <v>5728</v>
      </c>
    </row>
    <row r="9" ht="15.75" customHeight="1">
      <c r="A9" s="1107" t="s">
        <v>88</v>
      </c>
      <c r="B9" s="1108" t="s">
        <v>5396</v>
      </c>
      <c r="C9" s="1166">
        <v>0.04949074074074074</v>
      </c>
      <c r="D9" s="1182" t="s">
        <v>5729</v>
      </c>
      <c r="E9" s="1177" t="s">
        <v>5730</v>
      </c>
      <c r="F9" s="1177" t="s">
        <v>1194</v>
      </c>
      <c r="G9" s="1177" t="s">
        <v>5731</v>
      </c>
      <c r="H9" s="1128" t="s">
        <v>5732</v>
      </c>
      <c r="I9" s="1168">
        <v>47.34</v>
      </c>
      <c r="J9" s="1177" t="s">
        <v>5147</v>
      </c>
      <c r="K9" s="1177" t="s">
        <v>3600</v>
      </c>
      <c r="L9" s="1177">
        <v>55.97</v>
      </c>
      <c r="M9" s="1177" t="s">
        <v>988</v>
      </c>
      <c r="N9" s="1177" t="s">
        <v>5734</v>
      </c>
      <c r="O9" s="1183" t="s">
        <v>5408</v>
      </c>
      <c r="P9" s="1177">
        <v>47.49</v>
      </c>
      <c r="Q9" s="1177" t="s">
        <v>5737</v>
      </c>
      <c r="R9" s="1177" t="s">
        <v>4570</v>
      </c>
      <c r="S9" s="1184" t="s">
        <v>3398</v>
      </c>
      <c r="T9" s="1177" t="s">
        <v>4436</v>
      </c>
      <c r="U9" s="1128" t="s">
        <v>5738</v>
      </c>
      <c r="V9" s="1177">
        <v>59.32</v>
      </c>
      <c r="W9" s="1182" t="s">
        <v>5739</v>
      </c>
      <c r="X9" s="1185" t="s">
        <v>5740</v>
      </c>
      <c r="Y9" s="1177">
        <v>46.65</v>
      </c>
      <c r="Z9" s="1177" t="s">
        <v>5742</v>
      </c>
      <c r="AA9" s="1177" t="s">
        <v>5743</v>
      </c>
      <c r="AB9" s="1177" t="s">
        <v>5744</v>
      </c>
      <c r="AC9" s="1177">
        <v>47.89</v>
      </c>
      <c r="AD9" s="1177" t="s">
        <v>5745</v>
      </c>
      <c r="AE9" s="1177">
        <v>47.98</v>
      </c>
      <c r="AF9" s="1185" t="s">
        <v>5746</v>
      </c>
      <c r="AG9" s="1177" t="s">
        <v>5747</v>
      </c>
      <c r="AH9" s="1177">
        <v>57.45</v>
      </c>
      <c r="AI9" s="1172" t="s">
        <v>884</v>
      </c>
      <c r="AJ9" s="1186" t="s">
        <v>5748</v>
      </c>
      <c r="AK9" s="1177" t="s">
        <v>5750</v>
      </c>
      <c r="AL9" s="1177">
        <v>56.23</v>
      </c>
      <c r="AM9" s="1182" t="s">
        <v>5457</v>
      </c>
      <c r="AN9" s="1182" t="s">
        <v>5752</v>
      </c>
      <c r="AO9" s="1177" t="s">
        <v>5753</v>
      </c>
      <c r="AP9" s="1177" t="s">
        <v>5754</v>
      </c>
      <c r="AQ9" s="1177" t="s">
        <v>5755</v>
      </c>
      <c r="AR9" s="1185" t="s">
        <v>3894</v>
      </c>
      <c r="AS9" s="1177">
        <v>46.19</v>
      </c>
      <c r="AT9" s="1187" t="s">
        <v>5436</v>
      </c>
      <c r="AU9" s="789" t="s">
        <v>5757</v>
      </c>
      <c r="AV9" s="789" t="str">
        <f t="shared" si="1"/>
        <v>1:33</v>
      </c>
      <c r="AW9" s="1181" t="s">
        <v>5758</v>
      </c>
    </row>
    <row r="10">
      <c r="A10" s="1188" t="s">
        <v>129</v>
      </c>
      <c r="B10" s="1189" t="s">
        <v>5396</v>
      </c>
      <c r="C10" s="1166">
        <v>0.04951388888888889</v>
      </c>
      <c r="D10" s="1171" t="s">
        <v>5681</v>
      </c>
      <c r="E10" s="1171" t="s">
        <v>646</v>
      </c>
      <c r="F10" s="1171" t="s">
        <v>5759</v>
      </c>
      <c r="G10" s="1172" t="s">
        <v>5760</v>
      </c>
      <c r="H10" s="1171" t="s">
        <v>5761</v>
      </c>
      <c r="I10" s="1171" t="s">
        <v>5146</v>
      </c>
      <c r="J10" s="1168" t="s">
        <v>4969</v>
      </c>
      <c r="K10" s="1171" t="s">
        <v>5763</v>
      </c>
      <c r="L10" s="1171" t="s">
        <v>5764</v>
      </c>
      <c r="M10" s="1171" t="s">
        <v>5765</v>
      </c>
      <c r="N10" s="1171" t="s">
        <v>2459</v>
      </c>
      <c r="O10" s="1171" t="s">
        <v>1758</v>
      </c>
      <c r="P10" s="1171" t="s">
        <v>3774</v>
      </c>
      <c r="Q10" s="1171" t="s">
        <v>5767</v>
      </c>
      <c r="R10" s="1171" t="s">
        <v>5768</v>
      </c>
      <c r="S10" s="1128" t="s">
        <v>5769</v>
      </c>
      <c r="T10" s="1171" t="s">
        <v>5771</v>
      </c>
      <c r="U10" s="1171" t="s">
        <v>5772</v>
      </c>
      <c r="V10" s="1171" t="s">
        <v>5773</v>
      </c>
      <c r="W10" s="1171" t="s">
        <v>5119</v>
      </c>
      <c r="X10" s="1128" t="s">
        <v>5774</v>
      </c>
      <c r="Y10" s="1171" t="s">
        <v>3774</v>
      </c>
      <c r="Z10" s="1183" t="s">
        <v>1557</v>
      </c>
      <c r="AA10" s="1128" t="s">
        <v>5467</v>
      </c>
      <c r="AB10" s="1171" t="s">
        <v>1463</v>
      </c>
      <c r="AC10" s="1171" t="s">
        <v>3941</v>
      </c>
      <c r="AD10" s="1191" t="s">
        <v>5780</v>
      </c>
      <c r="AE10" s="1172">
        <v>47.81</v>
      </c>
      <c r="AF10" s="1171" t="s">
        <v>5781</v>
      </c>
      <c r="AG10" s="1171" t="s">
        <v>2792</v>
      </c>
      <c r="AH10" s="1171" t="s">
        <v>3092</v>
      </c>
      <c r="AI10" s="1183" t="s">
        <v>5425</v>
      </c>
      <c r="AJ10" s="1171" t="s">
        <v>5782</v>
      </c>
      <c r="AK10" s="1191" t="s">
        <v>3923</v>
      </c>
      <c r="AL10" s="1171" t="s">
        <v>2594</v>
      </c>
      <c r="AM10" s="1171" t="s">
        <v>5717</v>
      </c>
      <c r="AN10" s="1183" t="s">
        <v>5431</v>
      </c>
      <c r="AO10" s="1191" t="s">
        <v>2392</v>
      </c>
      <c r="AP10" s="1171" t="s">
        <v>5785</v>
      </c>
      <c r="AQ10" s="1191" t="s">
        <v>5786</v>
      </c>
      <c r="AR10" s="1191" t="s">
        <v>5787</v>
      </c>
      <c r="AS10" s="1174" t="s">
        <v>4726</v>
      </c>
      <c r="AT10" s="1171" t="s">
        <v>5790</v>
      </c>
      <c r="AU10" s="1192" t="s">
        <v>5791</v>
      </c>
      <c r="AV10" s="789" t="str">
        <f t="shared" si="1"/>
        <v>2:15</v>
      </c>
      <c r="AW10" s="1193" t="s">
        <v>5792</v>
      </c>
    </row>
    <row r="11" ht="15.75" customHeight="1">
      <c r="A11" s="1165" t="s">
        <v>984</v>
      </c>
      <c r="B11" s="1108" t="s">
        <v>5396</v>
      </c>
      <c r="C11" s="1166">
        <v>0.04957175925925926</v>
      </c>
      <c r="D11" s="1194" t="s">
        <v>5793</v>
      </c>
      <c r="E11" s="1168" t="s">
        <v>5795</v>
      </c>
      <c r="F11" s="1195" t="s">
        <v>5400</v>
      </c>
      <c r="G11" s="1171" t="s">
        <v>5796</v>
      </c>
      <c r="H11" s="1196" t="s">
        <v>5797</v>
      </c>
      <c r="I11" s="1171" t="s">
        <v>4821</v>
      </c>
      <c r="J11" s="611" t="s">
        <v>5799</v>
      </c>
      <c r="K11" s="1171" t="s">
        <v>4264</v>
      </c>
      <c r="L11" s="1173" t="s">
        <v>580</v>
      </c>
      <c r="M11" s="611" t="s">
        <v>5800</v>
      </c>
      <c r="N11" s="1168" t="s">
        <v>5801</v>
      </c>
      <c r="O11" s="611" t="s">
        <v>5802</v>
      </c>
      <c r="P11" s="1171" t="s">
        <v>4862</v>
      </c>
      <c r="Q11" s="1171" t="s">
        <v>5737</v>
      </c>
      <c r="R11" s="1171" t="s">
        <v>5803</v>
      </c>
      <c r="S11" s="1171" t="s">
        <v>5804</v>
      </c>
      <c r="T11" s="1171" t="s">
        <v>5805</v>
      </c>
      <c r="U11" s="1171" t="s">
        <v>5807</v>
      </c>
      <c r="V11" s="63" t="s">
        <v>5809</v>
      </c>
      <c r="W11" s="1197" t="s">
        <v>5810</v>
      </c>
      <c r="X11" s="1171" t="s">
        <v>5811</v>
      </c>
      <c r="Y11" s="1168">
        <v>46.63</v>
      </c>
      <c r="Z11" s="434" t="s">
        <v>850</v>
      </c>
      <c r="AA11" s="1168" t="s">
        <v>3393</v>
      </c>
      <c r="AB11" s="1173" t="s">
        <v>5417</v>
      </c>
      <c r="AC11" s="1171" t="s">
        <v>5812</v>
      </c>
      <c r="AD11" s="1171" t="s">
        <v>5813</v>
      </c>
      <c r="AE11" s="1172" t="s">
        <v>5814</v>
      </c>
      <c r="AF11" s="1168" t="s">
        <v>5815</v>
      </c>
      <c r="AG11" s="1177" t="s">
        <v>5816</v>
      </c>
      <c r="AH11" s="1171" t="s">
        <v>5818</v>
      </c>
      <c r="AI11" s="63" t="s">
        <v>5819</v>
      </c>
      <c r="AJ11" s="1172" t="s">
        <v>5820</v>
      </c>
      <c r="AK11" s="1171" t="s">
        <v>4286</v>
      </c>
      <c r="AL11" s="1171" t="s">
        <v>2864</v>
      </c>
      <c r="AM11" s="1171" t="s">
        <v>5805</v>
      </c>
      <c r="AN11" s="611" t="s">
        <v>5822</v>
      </c>
      <c r="AO11" s="1171" t="s">
        <v>5676</v>
      </c>
      <c r="AP11" s="1171" t="s">
        <v>5823</v>
      </c>
      <c r="AQ11" s="1171" t="s">
        <v>5824</v>
      </c>
      <c r="AR11" s="1171" t="s">
        <v>5427</v>
      </c>
      <c r="AS11" s="1171" t="s">
        <v>5825</v>
      </c>
      <c r="AT11" s="1198" t="s">
        <v>5826</v>
      </c>
      <c r="AU11" s="1192" t="s">
        <v>5827</v>
      </c>
      <c r="AV11" s="789" t="str">
        <f t="shared" si="1"/>
        <v>2:59</v>
      </c>
      <c r="AW11" s="1199"/>
    </row>
    <row r="12">
      <c r="A12" s="1165" t="s">
        <v>5829</v>
      </c>
      <c r="B12" s="1200" t="s">
        <v>5396</v>
      </c>
      <c r="C12" s="1166">
        <v>0.04958333333333333</v>
      </c>
      <c r="D12" s="63" t="s">
        <v>5832</v>
      </c>
      <c r="E12" s="1177" t="s">
        <v>5833</v>
      </c>
      <c r="F12" s="1177" t="s">
        <v>5834</v>
      </c>
      <c r="G12" s="1177" t="s">
        <v>5836</v>
      </c>
      <c r="H12" s="1182" t="s">
        <v>5837</v>
      </c>
      <c r="I12" s="1182" t="s">
        <v>5838</v>
      </c>
      <c r="J12" s="1182" t="s">
        <v>437</v>
      </c>
      <c r="K12" s="1182" t="s">
        <v>2185</v>
      </c>
      <c r="L12" s="1177">
        <v>56.42</v>
      </c>
      <c r="M12" s="1177" t="s">
        <v>4263</v>
      </c>
      <c r="N12" s="1177" t="s">
        <v>5839</v>
      </c>
      <c r="O12" s="1182" t="s">
        <v>5840</v>
      </c>
      <c r="P12" s="1182" t="s">
        <v>752</v>
      </c>
      <c r="Q12" s="1182" t="s">
        <v>5841</v>
      </c>
      <c r="R12" s="1177" t="s">
        <v>5843</v>
      </c>
      <c r="S12" s="1182" t="s">
        <v>5844</v>
      </c>
      <c r="T12" s="1182" t="s">
        <v>5845</v>
      </c>
      <c r="U12" s="1182" t="s">
        <v>5846</v>
      </c>
      <c r="V12" s="1177">
        <v>59.45</v>
      </c>
      <c r="W12" s="1182" t="s">
        <v>5847</v>
      </c>
      <c r="X12" s="1182" t="s">
        <v>5848</v>
      </c>
      <c r="Y12" s="1182" t="s">
        <v>4311</v>
      </c>
      <c r="Z12" s="1177" t="s">
        <v>5850</v>
      </c>
      <c r="AA12" s="1177" t="s">
        <v>5851</v>
      </c>
      <c r="AB12" s="1177" t="s">
        <v>425</v>
      </c>
      <c r="AC12" s="1182" t="s">
        <v>2394</v>
      </c>
      <c r="AD12" s="1182" t="s">
        <v>5852</v>
      </c>
      <c r="AE12" s="1177">
        <v>47.89</v>
      </c>
      <c r="AF12" s="1177" t="s">
        <v>5853</v>
      </c>
      <c r="AG12" s="1171" t="s">
        <v>5854</v>
      </c>
      <c r="AH12" s="1177">
        <v>57.71</v>
      </c>
      <c r="AI12" s="1182" t="s">
        <v>5855</v>
      </c>
      <c r="AJ12" s="1177" t="s">
        <v>5856</v>
      </c>
      <c r="AK12" s="1182" t="s">
        <v>5857</v>
      </c>
      <c r="AL12" s="1177">
        <v>56.69</v>
      </c>
      <c r="AM12" s="1182" t="s">
        <v>5858</v>
      </c>
      <c r="AN12" s="1182" t="s">
        <v>5595</v>
      </c>
      <c r="AO12" s="1182" t="s">
        <v>5860</v>
      </c>
      <c r="AP12" s="1177" t="s">
        <v>5861</v>
      </c>
      <c r="AQ12" s="1182" t="s">
        <v>5862</v>
      </c>
      <c r="AR12" s="1182" t="s">
        <v>5863</v>
      </c>
      <c r="AS12" s="1177">
        <v>43.65</v>
      </c>
      <c r="AT12" s="1182" t="s">
        <v>5864</v>
      </c>
      <c r="AU12" s="1175" t="s">
        <v>5865</v>
      </c>
      <c r="AV12" s="789" t="str">
        <f t="shared" si="1"/>
        <v>1:34</v>
      </c>
      <c r="AW12" s="1201" t="s">
        <v>5866</v>
      </c>
    </row>
    <row r="13" ht="16.5" customHeight="1">
      <c r="A13" s="1202" t="s">
        <v>5868</v>
      </c>
      <c r="B13" s="1203" t="s">
        <v>5444</v>
      </c>
      <c r="C13" s="1166">
        <v>0.04960648148148148</v>
      </c>
      <c r="D13" s="1204" t="s">
        <v>5870</v>
      </c>
      <c r="E13" s="63" t="s">
        <v>5873</v>
      </c>
      <c r="F13" s="63" t="s">
        <v>5874</v>
      </c>
      <c r="G13" s="1204" t="s">
        <v>5875</v>
      </c>
      <c r="H13" s="1205" t="s">
        <v>5448</v>
      </c>
      <c r="I13" s="63" t="s">
        <v>534</v>
      </c>
      <c r="J13" s="63" t="s">
        <v>5877</v>
      </c>
      <c r="K13" s="1206" t="s">
        <v>2795</v>
      </c>
      <c r="L13" s="1207" t="s">
        <v>2391</v>
      </c>
      <c r="M13" s="63" t="s">
        <v>5879</v>
      </c>
      <c r="N13" s="1208" t="s">
        <v>5880</v>
      </c>
      <c r="O13" s="63" t="s">
        <v>1941</v>
      </c>
      <c r="P13" s="1208" t="s">
        <v>5812</v>
      </c>
      <c r="Q13" s="63" t="s">
        <v>5883</v>
      </c>
      <c r="R13" s="1206" t="s">
        <v>5455</v>
      </c>
      <c r="S13" s="1209" t="s">
        <v>5456</v>
      </c>
      <c r="T13" s="1210" t="s">
        <v>5457</v>
      </c>
      <c r="U13" s="269" t="s">
        <v>5884</v>
      </c>
      <c r="V13" s="1211" t="s">
        <v>5458</v>
      </c>
      <c r="W13" s="1207" t="s">
        <v>5459</v>
      </c>
      <c r="X13" s="74" t="s">
        <v>5889</v>
      </c>
      <c r="Y13" s="1206" t="s">
        <v>5890</v>
      </c>
      <c r="Z13" s="1207" t="s">
        <v>857</v>
      </c>
      <c r="AA13" s="1182" t="s">
        <v>5893</v>
      </c>
      <c r="AB13" s="1206" t="s">
        <v>1404</v>
      </c>
      <c r="AC13" s="1214" t="s">
        <v>5462</v>
      </c>
      <c r="AD13" s="63" t="s">
        <v>5896</v>
      </c>
      <c r="AE13" s="1215" t="s">
        <v>2790</v>
      </c>
      <c r="AF13" s="74" t="s">
        <v>5897</v>
      </c>
      <c r="AG13" s="1207" t="s">
        <v>2253</v>
      </c>
      <c r="AH13" s="1217" t="s">
        <v>5466</v>
      </c>
      <c r="AI13" s="1217" t="s">
        <v>5467</v>
      </c>
      <c r="AJ13" s="63" t="s">
        <v>5902</v>
      </c>
      <c r="AK13" s="1207" t="s">
        <v>1731</v>
      </c>
      <c r="AL13" s="1207" t="s">
        <v>5470</v>
      </c>
      <c r="AM13" s="63" t="s">
        <v>3813</v>
      </c>
      <c r="AN13" s="1219" t="s">
        <v>5472</v>
      </c>
      <c r="AO13" s="1206" t="s">
        <v>3100</v>
      </c>
      <c r="AP13" s="1220" t="s">
        <v>5473</v>
      </c>
      <c r="AQ13" s="1221" t="s">
        <v>5474</v>
      </c>
      <c r="AR13" s="1221" t="s">
        <v>5475</v>
      </c>
      <c r="AS13" s="1223" t="s">
        <v>5476</v>
      </c>
      <c r="AT13" s="1206" t="s">
        <v>5477</v>
      </c>
      <c r="AU13" s="1206" t="s">
        <v>5479</v>
      </c>
      <c r="AV13" s="789" t="str">
        <f t="shared" si="1"/>
        <v>3:25</v>
      </c>
      <c r="AW13" s="1193" t="s">
        <v>5918</v>
      </c>
    </row>
    <row r="14">
      <c r="A14" s="1202" t="s">
        <v>144</v>
      </c>
      <c r="B14" s="1200" t="s">
        <v>5396</v>
      </c>
      <c r="C14" s="1224">
        <v>0.049652777777777775</v>
      </c>
      <c r="D14" s="1182" t="s">
        <v>5920</v>
      </c>
      <c r="E14" s="1182" t="s">
        <v>5921</v>
      </c>
      <c r="F14" s="1182" t="s">
        <v>5922</v>
      </c>
      <c r="G14" s="1185" t="s">
        <v>5923</v>
      </c>
      <c r="H14" s="1182" t="s">
        <v>5926</v>
      </c>
      <c r="I14" s="1182" t="s">
        <v>5927</v>
      </c>
      <c r="J14" s="1182" t="s">
        <v>5928</v>
      </c>
      <c r="K14" s="1185" t="s">
        <v>5929</v>
      </c>
      <c r="L14" s="1182" t="s">
        <v>5931</v>
      </c>
      <c r="M14" s="1182" t="s">
        <v>5932</v>
      </c>
      <c r="N14" s="1182" t="s">
        <v>5934</v>
      </c>
      <c r="O14" s="1182" t="s">
        <v>5935</v>
      </c>
      <c r="P14" s="1182" t="s">
        <v>5936</v>
      </c>
      <c r="Q14" s="1182" t="s">
        <v>5937</v>
      </c>
      <c r="R14" s="1182" t="s">
        <v>5938</v>
      </c>
      <c r="S14" s="1182" t="s">
        <v>5939</v>
      </c>
      <c r="T14" s="1182" t="s">
        <v>5940</v>
      </c>
      <c r="U14" s="1182" t="s">
        <v>5941</v>
      </c>
      <c r="V14" s="1182" t="s">
        <v>5942</v>
      </c>
      <c r="W14" s="1182" t="s">
        <v>5943</v>
      </c>
      <c r="X14" s="1182" t="s">
        <v>5944</v>
      </c>
      <c r="Y14" s="1182" t="s">
        <v>5945</v>
      </c>
      <c r="Z14" s="1182" t="s">
        <v>5946</v>
      </c>
      <c r="AA14" s="1182" t="s">
        <v>5947</v>
      </c>
      <c r="AB14" s="774" t="s">
        <v>5948</v>
      </c>
      <c r="AC14" s="1182" t="s">
        <v>5949</v>
      </c>
      <c r="AD14" s="1182" t="s">
        <v>5950</v>
      </c>
      <c r="AE14" s="1182" t="s">
        <v>5951</v>
      </c>
      <c r="AF14" s="1182" t="s">
        <v>5952</v>
      </c>
      <c r="AG14" s="1182" t="s">
        <v>5953</v>
      </c>
      <c r="AH14" s="1182" t="s">
        <v>5954</v>
      </c>
      <c r="AI14" s="1182" t="s">
        <v>5955</v>
      </c>
      <c r="AJ14" s="1182" t="s">
        <v>5957</v>
      </c>
      <c r="AK14" s="1182" t="s">
        <v>5958</v>
      </c>
      <c r="AL14" s="1182" t="s">
        <v>5959</v>
      </c>
      <c r="AM14" s="1182" t="s">
        <v>5961</v>
      </c>
      <c r="AN14" s="1182" t="s">
        <v>5962</v>
      </c>
      <c r="AO14" s="1182" t="s">
        <v>5963</v>
      </c>
      <c r="AP14" s="1182" t="s">
        <v>5964</v>
      </c>
      <c r="AQ14" s="1226" t="s">
        <v>5965</v>
      </c>
      <c r="AR14" s="1182" t="s">
        <v>5966</v>
      </c>
      <c r="AS14" s="1182" t="s">
        <v>5967</v>
      </c>
      <c r="AT14" s="1182" t="s">
        <v>5968</v>
      </c>
      <c r="AU14" s="1169" t="s">
        <v>5969</v>
      </c>
      <c r="AV14" s="789" t="str">
        <f t="shared" si="1"/>
        <v>2:24</v>
      </c>
      <c r="AW14" s="1227"/>
    </row>
    <row r="15" ht="15.75" customHeight="1">
      <c r="A15" s="1202" t="s">
        <v>95</v>
      </c>
      <c r="B15" s="1108" t="s">
        <v>5396</v>
      </c>
      <c r="C15" s="1166">
        <v>0.04967592592592593</v>
      </c>
      <c r="D15" s="63" t="s">
        <v>5971</v>
      </c>
      <c r="E15" s="1169" t="s">
        <v>4079</v>
      </c>
      <c r="F15" s="1169" t="s">
        <v>5972</v>
      </c>
      <c r="G15" s="1169" t="s">
        <v>5973</v>
      </c>
      <c r="H15" s="63" t="s">
        <v>5974</v>
      </c>
      <c r="I15" s="1169" t="s">
        <v>5975</v>
      </c>
      <c r="J15" s="1169" t="s">
        <v>5976</v>
      </c>
      <c r="K15" s="1169" t="s">
        <v>5977</v>
      </c>
      <c r="L15" s="1169" t="s">
        <v>5978</v>
      </c>
      <c r="M15" s="1169" t="s">
        <v>3294</v>
      </c>
      <c r="N15" s="1169" t="s">
        <v>5980</v>
      </c>
      <c r="O15" s="1169" t="s">
        <v>5981</v>
      </c>
      <c r="P15" s="1169" t="s">
        <v>5975</v>
      </c>
      <c r="Q15" s="1169" t="s">
        <v>5983</v>
      </c>
      <c r="R15" s="1169" t="s">
        <v>4570</v>
      </c>
      <c r="S15" s="1228" t="s">
        <v>5984</v>
      </c>
      <c r="T15" s="1169" t="s">
        <v>2699</v>
      </c>
      <c r="U15" s="1169" t="s">
        <v>5985</v>
      </c>
      <c r="V15" s="1169" t="s">
        <v>5986</v>
      </c>
      <c r="W15" s="1169" t="s">
        <v>5987</v>
      </c>
      <c r="X15" s="1169" t="s">
        <v>4382</v>
      </c>
      <c r="Y15" s="1169" t="s">
        <v>2398</v>
      </c>
      <c r="Z15" s="1169" t="s">
        <v>5988</v>
      </c>
      <c r="AA15" s="1169" t="s">
        <v>5989</v>
      </c>
      <c r="AB15" s="1169" t="s">
        <v>2889</v>
      </c>
      <c r="AC15" s="1169" t="s">
        <v>3154</v>
      </c>
      <c r="AD15" s="1169" t="s">
        <v>5992</v>
      </c>
      <c r="AE15" s="1169" t="s">
        <v>5994</v>
      </c>
      <c r="AF15" s="1128" t="s">
        <v>5995</v>
      </c>
      <c r="AG15" s="1169" t="s">
        <v>5996</v>
      </c>
      <c r="AH15" s="1169" t="s">
        <v>5997</v>
      </c>
      <c r="AI15" s="1169" t="s">
        <v>5998</v>
      </c>
      <c r="AJ15" s="1169" t="s">
        <v>5999</v>
      </c>
      <c r="AK15" s="1169" t="s">
        <v>6000</v>
      </c>
      <c r="AL15" s="1169" t="s">
        <v>6001</v>
      </c>
      <c r="AM15" s="1169" t="s">
        <v>6002</v>
      </c>
      <c r="AN15" s="63" t="s">
        <v>5655</v>
      </c>
      <c r="AO15" s="1169" t="s">
        <v>6003</v>
      </c>
      <c r="AP15" s="1169" t="s">
        <v>6004</v>
      </c>
      <c r="AQ15" s="1128" t="s">
        <v>6005</v>
      </c>
      <c r="AR15" s="1169" t="s">
        <v>5916</v>
      </c>
      <c r="AS15" s="1169" t="s">
        <v>3522</v>
      </c>
      <c r="AT15" s="1169" t="s">
        <v>6009</v>
      </c>
      <c r="AU15" s="1169" t="s">
        <v>6010</v>
      </c>
      <c r="AV15" s="789" t="str">
        <f t="shared" si="1"/>
        <v>2:47</v>
      </c>
      <c r="AW15" s="1131" t="s">
        <v>6011</v>
      </c>
    </row>
    <row r="16" ht="15.75" customHeight="1">
      <c r="A16" s="1229" t="s">
        <v>3861</v>
      </c>
      <c r="B16" s="1108" t="s">
        <v>5396</v>
      </c>
      <c r="C16" s="1230">
        <v>0.04971064814814815</v>
      </c>
      <c r="D16" s="604" t="s">
        <v>6013</v>
      </c>
      <c r="E16" s="1231" t="s">
        <v>1827</v>
      </c>
      <c r="F16" s="1231" t="s">
        <v>6014</v>
      </c>
      <c r="G16" s="1231" t="s">
        <v>6015</v>
      </c>
      <c r="H16" s="1128" t="s">
        <v>6016</v>
      </c>
      <c r="I16" s="318" t="s">
        <v>6018</v>
      </c>
      <c r="J16" s="1208" t="s">
        <v>360</v>
      </c>
      <c r="K16" s="1208" t="s">
        <v>6019</v>
      </c>
      <c r="L16" s="1208" t="s">
        <v>2391</v>
      </c>
      <c r="M16" s="1208" t="s">
        <v>5765</v>
      </c>
      <c r="N16" s="1208" t="s">
        <v>2374</v>
      </c>
      <c r="O16" s="1208" t="s">
        <v>6021</v>
      </c>
      <c r="P16" s="1208" t="s">
        <v>6022</v>
      </c>
      <c r="Q16" s="1128" t="s">
        <v>6023</v>
      </c>
      <c r="R16" s="269" t="s">
        <v>4270</v>
      </c>
      <c r="S16" s="1128" t="s">
        <v>3398</v>
      </c>
      <c r="T16" s="269" t="s">
        <v>6030</v>
      </c>
      <c r="U16" s="1128" t="s">
        <v>6031</v>
      </c>
      <c r="V16" s="269" t="s">
        <v>1549</v>
      </c>
      <c r="W16" s="255" t="s">
        <v>6036</v>
      </c>
      <c r="X16" s="255" t="s">
        <v>6037</v>
      </c>
      <c r="Y16" s="255" t="s">
        <v>5276</v>
      </c>
      <c r="Z16" s="255" t="s">
        <v>6039</v>
      </c>
      <c r="AA16" s="255" t="s">
        <v>5666</v>
      </c>
      <c r="AB16" s="255" t="s">
        <v>6040</v>
      </c>
      <c r="AC16" s="255" t="s">
        <v>4425</v>
      </c>
      <c r="AD16" s="1231" t="s">
        <v>6042</v>
      </c>
      <c r="AE16" s="1231" t="s">
        <v>6043</v>
      </c>
      <c r="AF16" s="1234" t="s">
        <v>6045</v>
      </c>
      <c r="AG16" s="1234" t="s">
        <v>3695</v>
      </c>
      <c r="AH16" s="1234" t="s">
        <v>6046</v>
      </c>
      <c r="AI16" s="1234" t="s">
        <v>6048</v>
      </c>
      <c r="AJ16" s="1234" t="s">
        <v>6049</v>
      </c>
      <c r="AK16" s="1234" t="s">
        <v>6050</v>
      </c>
      <c r="AL16" s="1234" t="s">
        <v>6052</v>
      </c>
      <c r="AM16" s="288" t="s">
        <v>5425</v>
      </c>
      <c r="AN16" s="1235" t="s">
        <v>2391</v>
      </c>
      <c r="AO16" s="1235" t="s">
        <v>6053</v>
      </c>
      <c r="AP16" s="288" t="s">
        <v>6054</v>
      </c>
      <c r="AQ16" s="288" t="s">
        <v>6055</v>
      </c>
      <c r="AR16" s="1235" t="s">
        <v>6056</v>
      </c>
      <c r="AS16" s="288" t="s">
        <v>724</v>
      </c>
      <c r="AT16" s="1175" t="s">
        <v>6057</v>
      </c>
      <c r="AU16" s="1192" t="s">
        <v>6058</v>
      </c>
      <c r="AV16" s="789" t="str">
        <f t="shared" si="1"/>
        <v>2:35</v>
      </c>
      <c r="AW16" s="1236" t="s">
        <v>6059</v>
      </c>
    </row>
    <row r="17" ht="15.75" customHeight="1">
      <c r="A17" s="1107" t="s">
        <v>528</v>
      </c>
      <c r="B17" s="1237" t="s">
        <v>5396</v>
      </c>
      <c r="C17" s="1166">
        <v>0.04982638888888889</v>
      </c>
      <c r="D17" s="604" t="s">
        <v>6060</v>
      </c>
      <c r="E17" s="604" t="s">
        <v>6062</v>
      </c>
      <c r="F17" s="604" t="s">
        <v>6064</v>
      </c>
      <c r="G17" s="604" t="s">
        <v>6065</v>
      </c>
      <c r="H17" s="604" t="s">
        <v>6066</v>
      </c>
      <c r="I17" s="604" t="s">
        <v>6068</v>
      </c>
      <c r="J17" s="604" t="s">
        <v>6071</v>
      </c>
      <c r="K17" s="63" t="s">
        <v>6072</v>
      </c>
      <c r="L17" s="604" t="s">
        <v>6073</v>
      </c>
      <c r="M17" s="604" t="s">
        <v>6074</v>
      </c>
      <c r="N17" s="604" t="s">
        <v>2375</v>
      </c>
      <c r="O17" s="604" t="s">
        <v>6075</v>
      </c>
      <c r="P17" s="63" t="s">
        <v>6077</v>
      </c>
      <c r="Q17" s="604" t="s">
        <v>6079</v>
      </c>
      <c r="R17" s="604" t="s">
        <v>6047</v>
      </c>
      <c r="S17" s="604" t="s">
        <v>5701</v>
      </c>
      <c r="T17" s="604" t="s">
        <v>6081</v>
      </c>
      <c r="U17" s="604" t="s">
        <v>3124</v>
      </c>
      <c r="V17" s="604" t="s">
        <v>3044</v>
      </c>
      <c r="W17" s="604" t="s">
        <v>6082</v>
      </c>
      <c r="X17" s="604" t="s">
        <v>5854</v>
      </c>
      <c r="Y17" s="604" t="s">
        <v>5653</v>
      </c>
      <c r="Z17" s="604" t="s">
        <v>4288</v>
      </c>
      <c r="AA17" s="303" t="s">
        <v>6083</v>
      </c>
      <c r="AB17" s="604" t="s">
        <v>2459</v>
      </c>
      <c r="AC17" s="604" t="s">
        <v>4344</v>
      </c>
      <c r="AD17" s="604" t="s">
        <v>2363</v>
      </c>
      <c r="AE17" s="604" t="s">
        <v>6086</v>
      </c>
      <c r="AF17" s="604" t="s">
        <v>6087</v>
      </c>
      <c r="AG17" s="604" t="s">
        <v>5039</v>
      </c>
      <c r="AH17" s="63" t="s">
        <v>6088</v>
      </c>
      <c r="AI17" s="604" t="s">
        <v>2975</v>
      </c>
      <c r="AJ17" s="604" t="s">
        <v>6089</v>
      </c>
      <c r="AK17" s="604" t="s">
        <v>6090</v>
      </c>
      <c r="AL17" s="604" t="s">
        <v>3071</v>
      </c>
      <c r="AM17" s="604" t="s">
        <v>1476</v>
      </c>
      <c r="AN17" s="604" t="s">
        <v>6093</v>
      </c>
      <c r="AO17" s="604" t="s">
        <v>5723</v>
      </c>
      <c r="AP17" s="1175" t="s">
        <v>5659</v>
      </c>
      <c r="AQ17" s="604" t="s">
        <v>6094</v>
      </c>
      <c r="AR17" s="604" t="s">
        <v>6095</v>
      </c>
      <c r="AS17" s="604" t="s">
        <v>1745</v>
      </c>
      <c r="AT17" s="604" t="s">
        <v>6096</v>
      </c>
      <c r="AU17" s="454" t="s">
        <v>6097</v>
      </c>
      <c r="AV17" s="789" t="str">
        <f t="shared" si="1"/>
        <v>2:18</v>
      </c>
      <c r="AW17" s="1238" t="s">
        <v>6099</v>
      </c>
    </row>
    <row r="18">
      <c r="A18" s="1239" t="s">
        <v>6100</v>
      </c>
      <c r="B18" s="1189" t="s">
        <v>5444</v>
      </c>
      <c r="C18" s="1240">
        <v>0.04985763888888889</v>
      </c>
      <c r="D18" s="74" t="s">
        <v>6103</v>
      </c>
      <c r="E18" s="1204" t="s">
        <v>6107</v>
      </c>
      <c r="F18" s="1231" t="s">
        <v>4428</v>
      </c>
      <c r="G18" s="1204" t="s">
        <v>6112</v>
      </c>
      <c r="H18" s="74" t="s">
        <v>6113</v>
      </c>
      <c r="I18" s="264" t="s">
        <v>601</v>
      </c>
      <c r="J18" s="1243" t="s">
        <v>5450</v>
      </c>
      <c r="K18" s="1244" t="s">
        <v>5124</v>
      </c>
      <c r="L18" s="1244" t="s">
        <v>6123</v>
      </c>
      <c r="M18" s="1244" t="s">
        <v>6124</v>
      </c>
      <c r="N18" s="1244" t="s">
        <v>6128</v>
      </c>
      <c r="O18" s="1244" t="s">
        <v>6131</v>
      </c>
      <c r="P18" s="1244" t="s">
        <v>5286</v>
      </c>
      <c r="Q18" s="1245" t="s">
        <v>6135</v>
      </c>
      <c r="R18" s="1245" t="s">
        <v>6152</v>
      </c>
      <c r="S18" s="1245" t="s">
        <v>6155</v>
      </c>
      <c r="T18" s="1245" t="s">
        <v>6156</v>
      </c>
      <c r="U18" s="1245" t="s">
        <v>6157</v>
      </c>
      <c r="V18" s="1245" t="s">
        <v>6158</v>
      </c>
      <c r="W18" s="1247" t="s">
        <v>6165</v>
      </c>
      <c r="X18" s="1248" t="s">
        <v>1533</v>
      </c>
      <c r="Y18" s="255" t="s">
        <v>1921</v>
      </c>
      <c r="Z18" s="1247" t="s">
        <v>6171</v>
      </c>
      <c r="AA18" s="1249" t="s">
        <v>5439</v>
      </c>
      <c r="AB18" s="1247" t="s">
        <v>6174</v>
      </c>
      <c r="AC18" s="1247" t="s">
        <v>6086</v>
      </c>
      <c r="AD18" s="1250" t="s">
        <v>5463</v>
      </c>
      <c r="AE18" s="1204" t="s">
        <v>6179</v>
      </c>
      <c r="AF18" s="1251" t="s">
        <v>6180</v>
      </c>
      <c r="AG18" s="1251" t="s">
        <v>445</v>
      </c>
      <c r="AH18" s="1251" t="s">
        <v>6186</v>
      </c>
      <c r="AI18" s="1251" t="s">
        <v>6187</v>
      </c>
      <c r="AJ18" s="1251" t="s">
        <v>6189</v>
      </c>
      <c r="AK18" s="1251" t="s">
        <v>6191</v>
      </c>
      <c r="AL18" s="1251" t="s">
        <v>6192</v>
      </c>
      <c r="AM18" s="1221" t="s">
        <v>5471</v>
      </c>
      <c r="AN18" s="287" t="s">
        <v>6195</v>
      </c>
      <c r="AO18" s="287" t="s">
        <v>6200</v>
      </c>
      <c r="AP18" s="287" t="s">
        <v>6201</v>
      </c>
      <c r="AQ18" s="1252" t="s">
        <v>6202</v>
      </c>
      <c r="AR18" s="1252" t="s">
        <v>6206</v>
      </c>
      <c r="AS18" s="1252" t="s">
        <v>4018</v>
      </c>
      <c r="AT18" s="1244" t="s">
        <v>6209</v>
      </c>
      <c r="AU18" s="1192" t="s">
        <v>6097</v>
      </c>
      <c r="AV18" s="1255" t="str">
        <f t="shared" si="1"/>
        <v>2:15</v>
      </c>
      <c r="AW18" s="1256"/>
    </row>
    <row r="19" ht="15.75" customHeight="1">
      <c r="A19" s="1107" t="s">
        <v>110</v>
      </c>
      <c r="B19" s="1108" t="s">
        <v>5396</v>
      </c>
      <c r="C19" s="1166">
        <v>0.049895833333333334</v>
      </c>
      <c r="D19" s="63" t="s">
        <v>6211</v>
      </c>
      <c r="E19" s="244" t="s">
        <v>4079</v>
      </c>
      <c r="F19" s="1231" t="s">
        <v>6212</v>
      </c>
      <c r="G19" s="244" t="s">
        <v>6213</v>
      </c>
      <c r="H19" s="264" t="s">
        <v>6214</v>
      </c>
      <c r="I19" s="318" t="s">
        <v>3908</v>
      </c>
      <c r="J19" s="1208" t="s">
        <v>6217</v>
      </c>
      <c r="K19" s="1257" t="s">
        <v>6218</v>
      </c>
      <c r="L19" s="1208" t="s">
        <v>6219</v>
      </c>
      <c r="M19" s="1208" t="s">
        <v>349</v>
      </c>
      <c r="N19" s="1208" t="s">
        <v>6221</v>
      </c>
      <c r="O19" s="1257" t="s">
        <v>6222</v>
      </c>
      <c r="P19" s="63" t="s">
        <v>4152</v>
      </c>
      <c r="Q19" s="269" t="s">
        <v>6223</v>
      </c>
      <c r="R19" s="270" t="s">
        <v>4272</v>
      </c>
      <c r="S19" s="270" t="s">
        <v>6225</v>
      </c>
      <c r="T19" s="270" t="s">
        <v>6226</v>
      </c>
      <c r="U19" s="270" t="s">
        <v>5904</v>
      </c>
      <c r="V19" s="269" t="s">
        <v>6227</v>
      </c>
      <c r="W19" s="255" t="s">
        <v>6229</v>
      </c>
      <c r="X19" s="1258" t="s">
        <v>6230</v>
      </c>
      <c r="Y19" s="255" t="s">
        <v>6231</v>
      </c>
      <c r="Z19" s="255" t="s">
        <v>6233</v>
      </c>
      <c r="AA19" s="255" t="s">
        <v>6234</v>
      </c>
      <c r="AB19" s="1258" t="s">
        <v>3495</v>
      </c>
      <c r="AC19" s="1258" t="s">
        <v>4557</v>
      </c>
      <c r="AD19" s="244" t="s">
        <v>6235</v>
      </c>
      <c r="AE19" s="244" t="s">
        <v>6236</v>
      </c>
      <c r="AF19" s="1259" t="s">
        <v>6237</v>
      </c>
      <c r="AG19" s="1234" t="s">
        <v>6239</v>
      </c>
      <c r="AH19" s="1234" t="s">
        <v>6241</v>
      </c>
      <c r="AI19" s="1234" t="s">
        <v>6242</v>
      </c>
      <c r="AJ19" s="1259" t="s">
        <v>6243</v>
      </c>
      <c r="AK19" s="1259" t="s">
        <v>4096</v>
      </c>
      <c r="AL19" s="1234" t="s">
        <v>6244</v>
      </c>
      <c r="AM19" s="1235" t="s">
        <v>6245</v>
      </c>
      <c r="AN19" s="288" t="s">
        <v>6247</v>
      </c>
      <c r="AO19" s="1235" t="s">
        <v>725</v>
      </c>
      <c r="AP19" s="288" t="s">
        <v>6249</v>
      </c>
      <c r="AQ19" s="1235" t="s">
        <v>6251</v>
      </c>
      <c r="AR19" s="288" t="s">
        <v>2512</v>
      </c>
      <c r="AS19" s="288" t="s">
        <v>6254</v>
      </c>
      <c r="AT19" s="1257" t="s">
        <v>6255</v>
      </c>
      <c r="AU19" s="1255" t="s">
        <v>6256</v>
      </c>
      <c r="AV19" s="789" t="str">
        <f t="shared" si="1"/>
        <v>2:22</v>
      </c>
      <c r="AW19" s="1199" t="s">
        <v>6258</v>
      </c>
    </row>
    <row r="20">
      <c r="A20" s="1202" t="s">
        <v>55</v>
      </c>
      <c r="B20" s="1189" t="s">
        <v>5396</v>
      </c>
      <c r="C20" s="1166">
        <v>0.04991898148148148</v>
      </c>
      <c r="D20" s="1260" t="s">
        <v>6259</v>
      </c>
      <c r="E20" s="1261" t="s">
        <v>6260</v>
      </c>
      <c r="F20" s="1261" t="s">
        <v>6261</v>
      </c>
      <c r="G20" s="1261" t="s">
        <v>6262</v>
      </c>
      <c r="H20" s="1261" t="s">
        <v>6263</v>
      </c>
      <c r="I20" s="1261">
        <v>48.07</v>
      </c>
      <c r="J20" s="1261" t="s">
        <v>6171</v>
      </c>
      <c r="K20" s="1261" t="s">
        <v>5756</v>
      </c>
      <c r="L20" s="1261">
        <v>56.32</v>
      </c>
      <c r="M20" s="1261" t="s">
        <v>471</v>
      </c>
      <c r="N20" s="1261" t="s">
        <v>6264</v>
      </c>
      <c r="O20" s="1261" t="s">
        <v>6265</v>
      </c>
      <c r="P20" s="1261">
        <v>47.77</v>
      </c>
      <c r="Q20" s="1261" t="s">
        <v>6266</v>
      </c>
      <c r="R20" s="1261" t="s">
        <v>1702</v>
      </c>
      <c r="S20" s="1261" t="s">
        <v>6267</v>
      </c>
      <c r="T20" s="1261" t="s">
        <v>6268</v>
      </c>
      <c r="U20" s="1261" t="s">
        <v>6269</v>
      </c>
      <c r="V20" s="1261">
        <v>59.79</v>
      </c>
      <c r="W20" s="1261" t="s">
        <v>6270</v>
      </c>
      <c r="X20" s="1261" t="s">
        <v>5439</v>
      </c>
      <c r="Y20" s="1261">
        <v>47.0</v>
      </c>
      <c r="Z20" s="1261" t="s">
        <v>6272</v>
      </c>
      <c r="AA20" s="1261" t="s">
        <v>6273</v>
      </c>
      <c r="AB20" s="1261" t="s">
        <v>1404</v>
      </c>
      <c r="AC20" s="1261">
        <v>47.56</v>
      </c>
      <c r="AD20" s="1261" t="s">
        <v>6274</v>
      </c>
      <c r="AE20" s="1261">
        <v>47.95</v>
      </c>
      <c r="AF20" s="1261" t="s">
        <v>6275</v>
      </c>
      <c r="AG20" s="1261" t="s">
        <v>6276</v>
      </c>
      <c r="AH20" s="1261">
        <v>57.67</v>
      </c>
      <c r="AI20" s="1261" t="s">
        <v>4382</v>
      </c>
      <c r="AJ20" s="1261" t="s">
        <v>6277</v>
      </c>
      <c r="AK20" s="1261" t="s">
        <v>3389</v>
      </c>
      <c r="AL20" s="1261">
        <v>56.37</v>
      </c>
      <c r="AM20" s="1261" t="s">
        <v>6278</v>
      </c>
      <c r="AN20" s="1261">
        <v>55.92</v>
      </c>
      <c r="AO20" s="1261" t="s">
        <v>6279</v>
      </c>
      <c r="AP20" s="1261" t="s">
        <v>3740</v>
      </c>
      <c r="AQ20" s="1261" t="s">
        <v>6280</v>
      </c>
      <c r="AR20" s="1261" t="s">
        <v>298</v>
      </c>
      <c r="AS20" s="1261">
        <v>46.83</v>
      </c>
      <c r="AT20" s="1263" t="s">
        <v>6283</v>
      </c>
      <c r="AU20" s="1182" t="s">
        <v>6284</v>
      </c>
      <c r="AV20" s="789" t="str">
        <f t="shared" si="1"/>
        <v>1:53</v>
      </c>
      <c r="AW20" s="1193" t="s">
        <v>6285</v>
      </c>
    </row>
    <row r="21">
      <c r="A21" s="1202" t="s">
        <v>6286</v>
      </c>
      <c r="B21" s="1189" t="s">
        <v>5396</v>
      </c>
      <c r="C21" s="1264">
        <v>0.049930555555555554</v>
      </c>
      <c r="D21" s="1265" t="s">
        <v>6288</v>
      </c>
      <c r="E21" s="1182" t="s">
        <v>6289</v>
      </c>
      <c r="F21" s="1182" t="s">
        <v>6290</v>
      </c>
      <c r="G21" s="1182" t="s">
        <v>6291</v>
      </c>
      <c r="H21" s="1182" t="s">
        <v>6292</v>
      </c>
      <c r="I21" s="1182" t="s">
        <v>5838</v>
      </c>
      <c r="J21" s="1182" t="s">
        <v>682</v>
      </c>
      <c r="K21" s="1182" t="s">
        <v>6293</v>
      </c>
      <c r="L21" s="1182" t="s">
        <v>6052</v>
      </c>
      <c r="M21" s="1182" t="s">
        <v>4196</v>
      </c>
      <c r="N21" s="1182" t="s">
        <v>6294</v>
      </c>
      <c r="O21" s="1182" t="s">
        <v>3372</v>
      </c>
      <c r="P21" s="1177">
        <v>47.54</v>
      </c>
      <c r="Q21" s="1267" t="s">
        <v>6295</v>
      </c>
      <c r="R21" s="1177" t="s">
        <v>6296</v>
      </c>
      <c r="S21" s="1267" t="s">
        <v>5984</v>
      </c>
      <c r="T21" s="1177" t="s">
        <v>6297</v>
      </c>
      <c r="U21" s="1267" t="s">
        <v>6298</v>
      </c>
      <c r="V21" s="1177">
        <v>58.55</v>
      </c>
      <c r="W21" s="1267" t="s">
        <v>6299</v>
      </c>
      <c r="X21" s="1267" t="s">
        <v>6300</v>
      </c>
      <c r="Y21" s="1128" t="s">
        <v>5706</v>
      </c>
      <c r="Z21" s="1267" t="s">
        <v>6301</v>
      </c>
      <c r="AA21" s="1182" t="s">
        <v>6302</v>
      </c>
      <c r="AB21" s="1267" t="s">
        <v>5569</v>
      </c>
      <c r="AC21" s="789">
        <v>47.2</v>
      </c>
      <c r="AD21" s="1267" t="s">
        <v>6305</v>
      </c>
      <c r="AE21" s="1177">
        <v>47.88</v>
      </c>
      <c r="AF21" s="1267" t="s">
        <v>6307</v>
      </c>
      <c r="AG21" s="1267" t="s">
        <v>6308</v>
      </c>
      <c r="AH21" s="1267">
        <v>57.68</v>
      </c>
      <c r="AI21" s="1267" t="s">
        <v>2645</v>
      </c>
      <c r="AJ21" s="1177" t="s">
        <v>6309</v>
      </c>
      <c r="AK21" s="1128" t="s">
        <v>6310</v>
      </c>
      <c r="AL21" s="1267">
        <v>55.92</v>
      </c>
      <c r="AM21" s="1267" t="s">
        <v>6311</v>
      </c>
      <c r="AN21" s="1128" t="s">
        <v>6312</v>
      </c>
      <c r="AO21" s="1267" t="s">
        <v>4256</v>
      </c>
      <c r="AP21" s="1267" t="s">
        <v>6316</v>
      </c>
      <c r="AQ21" s="1267" t="s">
        <v>2220</v>
      </c>
      <c r="AR21" s="1267" t="s">
        <v>6317</v>
      </c>
      <c r="AS21" s="1270">
        <v>42.83</v>
      </c>
      <c r="AT21" s="1177" t="s">
        <v>6319</v>
      </c>
      <c r="AU21" s="1192" t="s">
        <v>6320</v>
      </c>
      <c r="AV21" s="789" t="str">
        <f t="shared" si="1"/>
        <v>4:29</v>
      </c>
      <c r="AW21" s="1193" t="s">
        <v>6321</v>
      </c>
    </row>
    <row r="22" ht="15.75" customHeight="1">
      <c r="A22" s="1202" t="s">
        <v>6322</v>
      </c>
      <c r="B22" s="1108" t="s">
        <v>5396</v>
      </c>
      <c r="C22" s="1166">
        <v>0.0499537037037037</v>
      </c>
      <c r="D22" s="1169" t="s">
        <v>6323</v>
      </c>
      <c r="E22" s="1169" t="s">
        <v>6324</v>
      </c>
      <c r="F22" s="1169" t="s">
        <v>6326</v>
      </c>
      <c r="G22" s="1128" t="s">
        <v>6327</v>
      </c>
      <c r="H22" s="1169" t="s">
        <v>6329</v>
      </c>
      <c r="I22" s="162" t="s">
        <v>6236</v>
      </c>
      <c r="J22" s="1169" t="s">
        <v>4874</v>
      </c>
      <c r="K22" s="1169" t="s">
        <v>6330</v>
      </c>
      <c r="L22" s="1169" t="s">
        <v>6331</v>
      </c>
      <c r="M22" s="1169" t="s">
        <v>6332</v>
      </c>
      <c r="N22" s="1169" t="s">
        <v>6333</v>
      </c>
      <c r="O22" s="1169" t="s">
        <v>6334</v>
      </c>
      <c r="P22" s="1169" t="s">
        <v>3236</v>
      </c>
      <c r="Q22" s="1169" t="s">
        <v>6335</v>
      </c>
      <c r="R22" s="269" t="s">
        <v>6152</v>
      </c>
      <c r="S22" s="1169" t="s">
        <v>5407</v>
      </c>
      <c r="T22" s="1169" t="s">
        <v>5774</v>
      </c>
      <c r="U22" s="1169" t="s">
        <v>6336</v>
      </c>
      <c r="V22" s="1169" t="s">
        <v>6337</v>
      </c>
      <c r="W22" s="1169" t="s">
        <v>6338</v>
      </c>
      <c r="X22" s="1169" t="s">
        <v>3497</v>
      </c>
      <c r="Y22" s="1169" t="s">
        <v>6339</v>
      </c>
      <c r="Z22" s="1169" t="s">
        <v>6341</v>
      </c>
      <c r="AA22" s="1169" t="s">
        <v>3497</v>
      </c>
      <c r="AB22" s="1169" t="s">
        <v>6342</v>
      </c>
      <c r="AC22" s="1169" t="s">
        <v>6343</v>
      </c>
      <c r="AD22" s="1169" t="s">
        <v>3803</v>
      </c>
      <c r="AE22" s="1169" t="s">
        <v>6344</v>
      </c>
      <c r="AF22" s="1169" t="s">
        <v>6345</v>
      </c>
      <c r="AG22" s="1169" t="s">
        <v>584</v>
      </c>
      <c r="AH22" s="1169" t="s">
        <v>6346</v>
      </c>
      <c r="AI22" s="1169" t="s">
        <v>6347</v>
      </c>
      <c r="AJ22" s="1113" t="s">
        <v>5426</v>
      </c>
      <c r="AK22" s="1169" t="s">
        <v>6352</v>
      </c>
      <c r="AL22" s="1169" t="s">
        <v>6353</v>
      </c>
      <c r="AM22" s="1169" t="s">
        <v>5740</v>
      </c>
      <c r="AN22" s="1169" t="s">
        <v>1969</v>
      </c>
      <c r="AO22" s="1169" t="s">
        <v>6354</v>
      </c>
      <c r="AP22" s="1169" t="s">
        <v>6355</v>
      </c>
      <c r="AQ22" s="1169" t="s">
        <v>6356</v>
      </c>
      <c r="AR22" s="1169" t="s">
        <v>307</v>
      </c>
      <c r="AS22" s="1169" t="s">
        <v>6358</v>
      </c>
      <c r="AT22" s="1169" t="s">
        <v>6359</v>
      </c>
      <c r="AU22" s="1169" t="s">
        <v>6360</v>
      </c>
      <c r="AV22" s="789" t="str">
        <f t="shared" si="1"/>
        <v>3:21</v>
      </c>
      <c r="AW22" s="1238" t="s">
        <v>6361</v>
      </c>
    </row>
    <row r="23" ht="15.75" customHeight="1">
      <c r="A23" s="1107" t="s">
        <v>6362</v>
      </c>
      <c r="B23" s="1108" t="s">
        <v>5396</v>
      </c>
      <c r="C23" s="1166">
        <v>0.049965277777777775</v>
      </c>
      <c r="D23" s="63" t="s">
        <v>6364</v>
      </c>
      <c r="E23" s="1169" t="s">
        <v>6365</v>
      </c>
      <c r="F23" s="1169" t="s">
        <v>6366</v>
      </c>
      <c r="G23" s="1169" t="s">
        <v>6369</v>
      </c>
      <c r="H23" s="789" t="s">
        <v>6370</v>
      </c>
      <c r="I23" s="1169" t="s">
        <v>4821</v>
      </c>
      <c r="J23" s="1169" t="s">
        <v>1301</v>
      </c>
      <c r="K23" s="1169" t="s">
        <v>6371</v>
      </c>
      <c r="L23" s="1169" t="s">
        <v>4949</v>
      </c>
      <c r="M23" s="1169" t="s">
        <v>5694</v>
      </c>
      <c r="N23" s="1169" t="s">
        <v>6372</v>
      </c>
      <c r="O23" s="1169" t="s">
        <v>6373</v>
      </c>
      <c r="P23" s="789" t="s">
        <v>6374</v>
      </c>
      <c r="Q23" s="1169" t="s">
        <v>6375</v>
      </c>
      <c r="R23" s="1169" t="s">
        <v>751</v>
      </c>
      <c r="S23" s="1169" t="s">
        <v>3039</v>
      </c>
      <c r="T23" s="1169" t="s">
        <v>3229</v>
      </c>
      <c r="U23" s="1169" t="s">
        <v>6376</v>
      </c>
      <c r="V23" s="1169" t="s">
        <v>6378</v>
      </c>
      <c r="W23" s="1169" t="s">
        <v>6379</v>
      </c>
      <c r="X23" s="789" t="s">
        <v>1533</v>
      </c>
      <c r="Y23" s="789" t="s">
        <v>5199</v>
      </c>
      <c r="Z23" s="1169" t="s">
        <v>6380</v>
      </c>
      <c r="AA23" s="1169" t="s">
        <v>6381</v>
      </c>
      <c r="AB23" s="1169" t="s">
        <v>6382</v>
      </c>
      <c r="AC23" s="1169" t="s">
        <v>3252</v>
      </c>
      <c r="AD23" s="1169" t="s">
        <v>6383</v>
      </c>
      <c r="AE23" s="1169" t="s">
        <v>6384</v>
      </c>
      <c r="AF23" s="1169" t="s">
        <v>4046</v>
      </c>
      <c r="AG23" s="1169" t="s">
        <v>6385</v>
      </c>
      <c r="AH23" s="1169" t="s">
        <v>5625</v>
      </c>
      <c r="AI23" s="1169" t="s">
        <v>2833</v>
      </c>
      <c r="AJ23" s="789" t="s">
        <v>6386</v>
      </c>
      <c r="AK23" s="1234" t="s">
        <v>2724</v>
      </c>
      <c r="AL23" s="1169" t="s">
        <v>6387</v>
      </c>
      <c r="AM23" s="1169" t="s">
        <v>5664</v>
      </c>
      <c r="AN23" s="789" t="s">
        <v>5671</v>
      </c>
      <c r="AO23" s="789" t="s">
        <v>307</v>
      </c>
      <c r="AP23" s="789" t="s">
        <v>6388</v>
      </c>
      <c r="AQ23" s="789" t="s">
        <v>5675</v>
      </c>
      <c r="AR23" s="789" t="s">
        <v>1752</v>
      </c>
      <c r="AS23" s="789" t="s">
        <v>1604</v>
      </c>
      <c r="AT23" s="789" t="s">
        <v>6087</v>
      </c>
      <c r="AU23" s="1169" t="s">
        <v>6390</v>
      </c>
      <c r="AV23" s="789" t="str">
        <f t="shared" si="1"/>
        <v>3:46</v>
      </c>
      <c r="AW23" s="1227" t="s">
        <v>1786</v>
      </c>
    </row>
    <row r="24" ht="15.75" customHeight="1">
      <c r="A24" s="1277" t="s">
        <v>6391</v>
      </c>
      <c r="B24" s="1108" t="s">
        <v>5396</v>
      </c>
      <c r="C24" s="1166">
        <v>0.05</v>
      </c>
      <c r="D24" s="63" t="s">
        <v>6392</v>
      </c>
      <c r="E24" s="1169" t="s">
        <v>3294</v>
      </c>
      <c r="F24" s="1169" t="s">
        <v>6326</v>
      </c>
      <c r="G24" s="789" t="s">
        <v>6393</v>
      </c>
      <c r="H24" s="1169" t="s">
        <v>6394</v>
      </c>
      <c r="I24" s="789" t="s">
        <v>5925</v>
      </c>
      <c r="J24" s="1169" t="s">
        <v>6395</v>
      </c>
      <c r="K24" s="1169" t="s">
        <v>6396</v>
      </c>
      <c r="L24" s="1169" t="s">
        <v>6397</v>
      </c>
      <c r="M24" s="1169" t="s">
        <v>6398</v>
      </c>
      <c r="N24" s="1169" t="s">
        <v>6399</v>
      </c>
      <c r="O24" s="1169" t="s">
        <v>6299</v>
      </c>
      <c r="P24" s="789" t="s">
        <v>6400</v>
      </c>
      <c r="Q24" s="1169" t="s">
        <v>5960</v>
      </c>
      <c r="R24" s="1169" t="s">
        <v>316</v>
      </c>
      <c r="S24" s="1169" t="s">
        <v>4911</v>
      </c>
      <c r="T24" s="1169" t="s">
        <v>1713</v>
      </c>
      <c r="U24" s="1169" t="s">
        <v>6401</v>
      </c>
      <c r="V24" s="1169" t="s">
        <v>6402</v>
      </c>
      <c r="W24" s="1169" t="s">
        <v>6403</v>
      </c>
      <c r="X24" s="1169" t="s">
        <v>6404</v>
      </c>
      <c r="Y24" s="1169" t="s">
        <v>6405</v>
      </c>
      <c r="Z24" s="1169" t="s">
        <v>6406</v>
      </c>
      <c r="AA24" s="1169" t="s">
        <v>6407</v>
      </c>
      <c r="AB24" s="1169" t="s">
        <v>6409</v>
      </c>
      <c r="AC24" s="789" t="s">
        <v>3225</v>
      </c>
      <c r="AD24" s="1169" t="s">
        <v>6412</v>
      </c>
      <c r="AE24" s="789" t="s">
        <v>1239</v>
      </c>
      <c r="AF24" s="1279" t="s">
        <v>5423</v>
      </c>
      <c r="AG24" s="1169" t="s">
        <v>2260</v>
      </c>
      <c r="AH24" s="1169" t="s">
        <v>4867</v>
      </c>
      <c r="AI24" s="1169" t="s">
        <v>862</v>
      </c>
      <c r="AJ24" s="789" t="s">
        <v>6413</v>
      </c>
      <c r="AK24" s="1169" t="s">
        <v>6414</v>
      </c>
      <c r="AL24" s="789" t="s">
        <v>6415</v>
      </c>
      <c r="AM24" s="1169" t="s">
        <v>3947</v>
      </c>
      <c r="AN24" s="789" t="s">
        <v>6416</v>
      </c>
      <c r="AO24" s="1169" t="s">
        <v>3842</v>
      </c>
      <c r="AP24" s="1169" t="s">
        <v>6417</v>
      </c>
      <c r="AQ24" s="789" t="s">
        <v>6418</v>
      </c>
      <c r="AR24" s="1169" t="s">
        <v>5629</v>
      </c>
      <c r="AS24" s="789" t="s">
        <v>1745</v>
      </c>
      <c r="AT24" s="1169" t="s">
        <v>6419</v>
      </c>
      <c r="AU24" s="1169" t="s">
        <v>6420</v>
      </c>
      <c r="AV24" s="789" t="str">
        <f t="shared" si="1"/>
        <v>1:53</v>
      </c>
      <c r="AW24" s="1227"/>
    </row>
    <row r="25" ht="15.75" customHeight="1">
      <c r="A25" s="1202" t="s">
        <v>6421</v>
      </c>
      <c r="B25" s="1189" t="s">
        <v>5444</v>
      </c>
      <c r="C25" s="1166">
        <v>0.05008101851851852</v>
      </c>
      <c r="D25" s="63" t="s">
        <v>6422</v>
      </c>
      <c r="E25" s="63" t="s">
        <v>6423</v>
      </c>
      <c r="F25" s="63" t="s">
        <v>6269</v>
      </c>
      <c r="G25" s="63" t="s">
        <v>6424</v>
      </c>
      <c r="H25" s="63" t="s">
        <v>6425</v>
      </c>
      <c r="I25" s="63" t="s">
        <v>6426</v>
      </c>
      <c r="J25" s="63" t="s">
        <v>369</v>
      </c>
      <c r="K25" s="63" t="s">
        <v>2536</v>
      </c>
      <c r="L25" s="63" t="s">
        <v>6123</v>
      </c>
      <c r="M25" s="1208" t="s">
        <v>6074</v>
      </c>
      <c r="N25" s="1206" t="s">
        <v>5452</v>
      </c>
      <c r="O25" s="63" t="s">
        <v>6427</v>
      </c>
      <c r="P25" s="1206" t="s">
        <v>1239</v>
      </c>
      <c r="Q25" s="1206" t="s">
        <v>5454</v>
      </c>
      <c r="R25" s="63" t="s">
        <v>1236</v>
      </c>
      <c r="S25" s="63" t="s">
        <v>354</v>
      </c>
      <c r="T25" s="63" t="s">
        <v>6429</v>
      </c>
      <c r="U25" s="63" t="s">
        <v>6430</v>
      </c>
      <c r="V25" s="63" t="s">
        <v>6431</v>
      </c>
      <c r="W25" s="63" t="s">
        <v>930</v>
      </c>
      <c r="X25" s="63" t="s">
        <v>6432</v>
      </c>
      <c r="Y25" s="63" t="s">
        <v>4311</v>
      </c>
      <c r="Z25" s="63" t="s">
        <v>4406</v>
      </c>
      <c r="AA25" s="63" t="s">
        <v>6187</v>
      </c>
      <c r="AB25" s="63" t="s">
        <v>6433</v>
      </c>
      <c r="AC25" s="63" t="s">
        <v>5907</v>
      </c>
      <c r="AD25" s="63" t="s">
        <v>6434</v>
      </c>
      <c r="AE25" s="63" t="s">
        <v>5615</v>
      </c>
      <c r="AF25" s="63" t="s">
        <v>5468</v>
      </c>
      <c r="AG25" s="63" t="s">
        <v>6435</v>
      </c>
      <c r="AH25" s="63" t="s">
        <v>6436</v>
      </c>
      <c r="AI25" s="63" t="s">
        <v>6437</v>
      </c>
      <c r="AJ25" s="63" t="s">
        <v>6438</v>
      </c>
      <c r="AK25" s="63" t="s">
        <v>6439</v>
      </c>
      <c r="AL25" s="63" t="s">
        <v>6441</v>
      </c>
      <c r="AM25" s="63" t="s">
        <v>5627</v>
      </c>
      <c r="AN25" s="63" t="s">
        <v>6442</v>
      </c>
      <c r="AO25" s="63" t="s">
        <v>2003</v>
      </c>
      <c r="AP25" s="63" t="s">
        <v>6443</v>
      </c>
      <c r="AQ25" s="63" t="s">
        <v>6444</v>
      </c>
      <c r="AR25" s="63" t="s">
        <v>6445</v>
      </c>
      <c r="AS25" s="63" t="s">
        <v>6446</v>
      </c>
      <c r="AT25" s="63" t="s">
        <v>6447</v>
      </c>
      <c r="AU25" s="1234" t="s">
        <v>6448</v>
      </c>
      <c r="AV25" s="789" t="str">
        <f t="shared" si="1"/>
        <v>2:51</v>
      </c>
      <c r="AW25" s="1281"/>
    </row>
    <row r="26">
      <c r="A26" s="1202" t="s">
        <v>104</v>
      </c>
      <c r="B26" s="1200" t="s">
        <v>5444</v>
      </c>
      <c r="C26" s="1166">
        <v>0.05016203703703704</v>
      </c>
      <c r="D26" s="1177" t="s">
        <v>6450</v>
      </c>
      <c r="E26" s="1283" t="s">
        <v>622</v>
      </c>
      <c r="F26" s="1177" t="s">
        <v>6451</v>
      </c>
      <c r="G26" s="1177" t="s">
        <v>6452</v>
      </c>
      <c r="H26" s="1177" t="s">
        <v>6453</v>
      </c>
      <c r="I26" s="1177" t="s">
        <v>6179</v>
      </c>
      <c r="J26" s="1177" t="s">
        <v>6454</v>
      </c>
      <c r="K26" s="1177" t="s">
        <v>6455</v>
      </c>
      <c r="L26" s="63" t="s">
        <v>2046</v>
      </c>
      <c r="M26" s="1206" t="s">
        <v>5451</v>
      </c>
      <c r="N26" s="1177" t="s">
        <v>6456</v>
      </c>
      <c r="O26" s="1177" t="s">
        <v>6457</v>
      </c>
      <c r="P26" s="1177" t="s">
        <v>6458</v>
      </c>
      <c r="Q26" s="1177" t="s">
        <v>6459</v>
      </c>
      <c r="R26" s="1177" t="s">
        <v>4113</v>
      </c>
      <c r="S26" s="1177" t="s">
        <v>6460</v>
      </c>
      <c r="T26" s="1177" t="s">
        <v>3684</v>
      </c>
      <c r="U26" s="1177" t="s">
        <v>6157</v>
      </c>
      <c r="V26" s="1177" t="s">
        <v>6463</v>
      </c>
      <c r="W26" s="1177" t="s">
        <v>6464</v>
      </c>
      <c r="X26" s="1177" t="s">
        <v>2100</v>
      </c>
      <c r="Y26" s="1177" t="s">
        <v>4205</v>
      </c>
      <c r="Z26" s="1177" t="s">
        <v>6301</v>
      </c>
      <c r="AA26" s="1177" t="s">
        <v>6466</v>
      </c>
      <c r="AB26" s="1177" t="s">
        <v>6467</v>
      </c>
      <c r="AC26" s="1177" t="s">
        <v>5421</v>
      </c>
      <c r="AD26" s="1177" t="s">
        <v>6468</v>
      </c>
      <c r="AE26" s="1177" t="s">
        <v>6469</v>
      </c>
      <c r="AF26" s="1177" t="s">
        <v>6470</v>
      </c>
      <c r="AG26" s="1177" t="s">
        <v>6471</v>
      </c>
      <c r="AH26" s="1177" t="s">
        <v>6472</v>
      </c>
      <c r="AI26" s="1169" t="s">
        <v>6473</v>
      </c>
      <c r="AJ26" s="1177" t="s">
        <v>6474</v>
      </c>
      <c r="AK26" s="1177" t="s">
        <v>5450</v>
      </c>
      <c r="AL26" s="1177" t="s">
        <v>6475</v>
      </c>
      <c r="AM26" s="1177" t="s">
        <v>918</v>
      </c>
      <c r="AN26" s="1177" t="s">
        <v>6476</v>
      </c>
      <c r="AO26" s="1177" t="s">
        <v>6477</v>
      </c>
      <c r="AP26" s="1177" t="s">
        <v>6478</v>
      </c>
      <c r="AQ26" s="1177" t="s">
        <v>1781</v>
      </c>
      <c r="AR26" s="1177" t="s">
        <v>2468</v>
      </c>
      <c r="AS26" s="1177" t="s">
        <v>2676</v>
      </c>
      <c r="AT26" s="1177" t="s">
        <v>6480</v>
      </c>
      <c r="AU26" s="1169" t="s">
        <v>6481</v>
      </c>
      <c r="AV26" s="789" t="str">
        <f t="shared" si="1"/>
        <v>3:20</v>
      </c>
      <c r="AW26" s="188"/>
    </row>
    <row r="27" ht="15.75" customHeight="1">
      <c r="A27" s="1165" t="s">
        <v>373</v>
      </c>
      <c r="B27" s="1108" t="s">
        <v>5396</v>
      </c>
      <c r="C27" s="1166">
        <v>0.05025462962962963</v>
      </c>
      <c r="D27" s="63" t="s">
        <v>6483</v>
      </c>
      <c r="E27" s="1231" t="s">
        <v>6484</v>
      </c>
      <c r="F27" s="244" t="s">
        <v>6485</v>
      </c>
      <c r="G27" s="1128" t="s">
        <v>6486</v>
      </c>
      <c r="H27" s="318" t="s">
        <v>6487</v>
      </c>
      <c r="I27" s="318" t="s">
        <v>4375</v>
      </c>
      <c r="J27" s="1208" t="s">
        <v>3600</v>
      </c>
      <c r="K27" s="1257" t="s">
        <v>5566</v>
      </c>
      <c r="L27" s="1257" t="s">
        <v>6488</v>
      </c>
      <c r="M27" s="1287" t="str">
        <f>HYPERLINK("https://youtu.be/teAIifUZjFw","1:14.18")</f>
        <v>1:14.18</v>
      </c>
      <c r="N27" s="1257" t="s">
        <v>6490</v>
      </c>
      <c r="O27" s="1257" t="s">
        <v>6491</v>
      </c>
      <c r="P27" s="1257" t="s">
        <v>6492</v>
      </c>
      <c r="Q27" s="270" t="s">
        <v>6493</v>
      </c>
      <c r="R27" s="269" t="s">
        <v>6494</v>
      </c>
      <c r="S27" s="269" t="s">
        <v>1075</v>
      </c>
      <c r="T27" s="1289" t="str">
        <f>HYPERLINK("https://youtu.be/AiXricVH5ss","1:24.99")</f>
        <v>1:24.99</v>
      </c>
      <c r="U27" s="1290" t="str">
        <f>HYPERLINK("https://www.twitch.tv/videos/450151935","2:00.31")</f>
        <v>2:00.31</v>
      </c>
      <c r="V27" s="269" t="s">
        <v>5458</v>
      </c>
      <c r="W27" s="1291" t="str">
        <f>HYPERLINK("https://youtu.be/eafNhBoXVWA","1:46.09")</f>
        <v>1:46.09</v>
      </c>
      <c r="X27" s="1258" t="s">
        <v>6497</v>
      </c>
      <c r="Y27" s="1258" t="s">
        <v>5975</v>
      </c>
      <c r="Z27" s="1258" t="s">
        <v>6498</v>
      </c>
      <c r="AA27" s="255" t="s">
        <v>5816</v>
      </c>
      <c r="AB27" s="1258" t="s">
        <v>2675</v>
      </c>
      <c r="AC27" s="1258" t="s">
        <v>2965</v>
      </c>
      <c r="AD27" s="1292" t="str">
        <f>HYPERLINK("https://youtu.be/8FEcTKESSh0","1:49.80")</f>
        <v>1:49.80</v>
      </c>
      <c r="AE27" s="1231" t="s">
        <v>5994</v>
      </c>
      <c r="AF27" s="1259" t="s">
        <v>6501</v>
      </c>
      <c r="AG27" s="1259" t="s">
        <v>6502</v>
      </c>
      <c r="AH27" s="1259" t="s">
        <v>6503</v>
      </c>
      <c r="AI27" s="1259" t="s">
        <v>6504</v>
      </c>
      <c r="AJ27" s="1259" t="s">
        <v>6505</v>
      </c>
      <c r="AK27" s="1234" t="s">
        <v>6297</v>
      </c>
      <c r="AL27" s="1259" t="s">
        <v>6506</v>
      </c>
      <c r="AM27" s="1235" t="s">
        <v>6245</v>
      </c>
      <c r="AN27" s="1235" t="s">
        <v>3238</v>
      </c>
      <c r="AO27" s="1235" t="s">
        <v>6445</v>
      </c>
      <c r="AP27" s="288" t="s">
        <v>6507</v>
      </c>
      <c r="AQ27" s="288" t="s">
        <v>6508</v>
      </c>
      <c r="AR27" s="1235" t="s">
        <v>6509</v>
      </c>
      <c r="AS27" s="288" t="s">
        <v>6510</v>
      </c>
      <c r="AT27" s="1287" t="str">
        <f>HYPERLINK("https://youtu.be/xDirVtS1AZ4?t=4416","2:27.45")</f>
        <v>2:27.45</v>
      </c>
      <c r="AU27" s="1255" t="s">
        <v>6513</v>
      </c>
      <c r="AV27" s="789" t="str">
        <f t="shared" si="1"/>
        <v>2:34</v>
      </c>
      <c r="AW27" s="1199" t="s">
        <v>6514</v>
      </c>
    </row>
    <row r="28">
      <c r="A28" s="1202" t="s">
        <v>71</v>
      </c>
      <c r="B28" s="1200" t="s">
        <v>5396</v>
      </c>
      <c r="C28" s="1166">
        <v>0.0502662037037037</v>
      </c>
      <c r="D28" s="63" t="s">
        <v>6515</v>
      </c>
      <c r="E28" s="1169" t="s">
        <v>5800</v>
      </c>
      <c r="F28" s="1169" t="s">
        <v>6516</v>
      </c>
      <c r="G28" s="1169" t="s">
        <v>6517</v>
      </c>
      <c r="H28" s="1169" t="s">
        <v>6518</v>
      </c>
      <c r="I28" s="63" t="s">
        <v>683</v>
      </c>
      <c r="J28" s="63" t="s">
        <v>6519</v>
      </c>
      <c r="K28" s="1169" t="s">
        <v>6396</v>
      </c>
      <c r="L28" s="1169" t="s">
        <v>6052</v>
      </c>
      <c r="M28" s="63" t="s">
        <v>6520</v>
      </c>
      <c r="N28" s="1169" t="s">
        <v>6521</v>
      </c>
      <c r="O28" s="1169" t="s">
        <v>6522</v>
      </c>
      <c r="P28" s="63" t="s">
        <v>6523</v>
      </c>
      <c r="Q28" s="1169" t="s">
        <v>6525</v>
      </c>
      <c r="R28" s="63" t="s">
        <v>4398</v>
      </c>
      <c r="S28" s="1169" t="s">
        <v>6526</v>
      </c>
      <c r="T28" s="63" t="s">
        <v>6527</v>
      </c>
      <c r="U28" s="1169" t="s">
        <v>4348</v>
      </c>
      <c r="V28" s="63" t="s">
        <v>6378</v>
      </c>
      <c r="W28" s="63" t="s">
        <v>943</v>
      </c>
      <c r="X28" s="63" t="s">
        <v>1533</v>
      </c>
      <c r="Y28" s="63" t="s">
        <v>3772</v>
      </c>
      <c r="Z28" s="63" t="s">
        <v>6528</v>
      </c>
      <c r="AA28" s="1169" t="s">
        <v>6529</v>
      </c>
      <c r="AB28" s="63" t="s">
        <v>2952</v>
      </c>
      <c r="AC28" s="1169" t="s">
        <v>6426</v>
      </c>
      <c r="AD28" s="63" t="s">
        <v>6530</v>
      </c>
      <c r="AE28" s="1169" t="s">
        <v>2648</v>
      </c>
      <c r="AF28" s="1169" t="s">
        <v>6531</v>
      </c>
      <c r="AG28" s="63" t="s">
        <v>5372</v>
      </c>
      <c r="AH28" s="63" t="s">
        <v>6532</v>
      </c>
      <c r="AI28" s="1169" t="s">
        <v>6533</v>
      </c>
      <c r="AJ28" s="63" t="s">
        <v>6534</v>
      </c>
      <c r="AK28" s="63" t="s">
        <v>5661</v>
      </c>
      <c r="AL28" s="63" t="s">
        <v>6387</v>
      </c>
      <c r="AM28" s="63" t="s">
        <v>6535</v>
      </c>
      <c r="AN28" s="63" t="s">
        <v>6387</v>
      </c>
      <c r="AO28" s="63" t="s">
        <v>5919</v>
      </c>
      <c r="AP28" s="1169" t="s">
        <v>6536</v>
      </c>
      <c r="AQ28" s="63" t="s">
        <v>6537</v>
      </c>
      <c r="AR28" s="1169" t="s">
        <v>3659</v>
      </c>
      <c r="AS28" s="63" t="s">
        <v>6120</v>
      </c>
      <c r="AT28" s="1169" t="s">
        <v>6539</v>
      </c>
      <c r="AU28" s="1169" t="s">
        <v>5479</v>
      </c>
      <c r="AV28" s="789" t="str">
        <f t="shared" si="1"/>
        <v>2:28</v>
      </c>
      <c r="AW28" s="1201" t="s">
        <v>6540</v>
      </c>
    </row>
    <row r="29">
      <c r="A29" s="1202" t="s">
        <v>6541</v>
      </c>
      <c r="B29" s="1296" t="s">
        <v>5396</v>
      </c>
      <c r="C29" s="1166">
        <v>0.0503125</v>
      </c>
      <c r="D29" s="63" t="s">
        <v>6542</v>
      </c>
      <c r="E29" s="1231" t="s">
        <v>6543</v>
      </c>
      <c r="F29" s="1231" t="s">
        <v>2141</v>
      </c>
      <c r="G29" s="1231" t="s">
        <v>6545</v>
      </c>
      <c r="H29" s="317" t="s">
        <v>2791</v>
      </c>
      <c r="I29" s="317" t="s">
        <v>2016</v>
      </c>
      <c r="J29" s="1208" t="s">
        <v>5914</v>
      </c>
      <c r="K29" s="1208" t="s">
        <v>3179</v>
      </c>
      <c r="L29" s="1208" t="s">
        <v>6546</v>
      </c>
      <c r="M29" s="1208" t="s">
        <v>6547</v>
      </c>
      <c r="N29" s="1208" t="s">
        <v>2528</v>
      </c>
      <c r="O29" s="1208" t="s">
        <v>5459</v>
      </c>
      <c r="P29" s="1208" t="s">
        <v>6548</v>
      </c>
      <c r="Q29" s="269" t="s">
        <v>6549</v>
      </c>
      <c r="R29" s="269" t="s">
        <v>6550</v>
      </c>
      <c r="S29" s="269" t="s">
        <v>1936</v>
      </c>
      <c r="T29" s="269" t="s">
        <v>6551</v>
      </c>
      <c r="U29" s="269" t="s">
        <v>6552</v>
      </c>
      <c r="V29" s="269" t="s">
        <v>6553</v>
      </c>
      <c r="W29" s="255" t="s">
        <v>6554</v>
      </c>
      <c r="X29" s="255" t="s">
        <v>6497</v>
      </c>
      <c r="Y29" s="255" t="s">
        <v>5060</v>
      </c>
      <c r="Z29" s="255" t="s">
        <v>2429</v>
      </c>
      <c r="AA29" s="255" t="s">
        <v>6555</v>
      </c>
      <c r="AB29" s="255" t="s">
        <v>6556</v>
      </c>
      <c r="AC29" s="255" t="s">
        <v>6557</v>
      </c>
      <c r="AD29" s="1231" t="s">
        <v>6558</v>
      </c>
      <c r="AE29" s="1231" t="s">
        <v>6344</v>
      </c>
      <c r="AF29" s="1234" t="s">
        <v>6559</v>
      </c>
      <c r="AG29" s="1234" t="s">
        <v>3902</v>
      </c>
      <c r="AH29" s="1234" t="s">
        <v>6560</v>
      </c>
      <c r="AI29" s="1234" t="s">
        <v>6562</v>
      </c>
      <c r="AJ29" s="1234" t="s">
        <v>6563</v>
      </c>
      <c r="AK29" s="1234" t="s">
        <v>6565</v>
      </c>
      <c r="AL29" s="1234" t="s">
        <v>6566</v>
      </c>
      <c r="AM29" s="1235" t="s">
        <v>6048</v>
      </c>
      <c r="AN29" s="1235" t="s">
        <v>6567</v>
      </c>
      <c r="AO29" s="1235" t="s">
        <v>6568</v>
      </c>
      <c r="AP29" s="1235" t="s">
        <v>6569</v>
      </c>
      <c r="AQ29" s="1235" t="s">
        <v>6570</v>
      </c>
      <c r="AR29" s="1235" t="s">
        <v>6571</v>
      </c>
      <c r="AS29" s="1235" t="s">
        <v>829</v>
      </c>
      <c r="AT29" s="1208" t="s">
        <v>6572</v>
      </c>
      <c r="AU29" s="1192" t="s">
        <v>6574</v>
      </c>
      <c r="AV29" s="789" t="str">
        <f t="shared" si="1"/>
        <v>2:59</v>
      </c>
      <c r="AW29" s="1193" t="s">
        <v>6575</v>
      </c>
    </row>
    <row r="30" ht="15.75" customHeight="1">
      <c r="A30" s="1107" t="s">
        <v>6576</v>
      </c>
      <c r="B30" s="1237" t="s">
        <v>5444</v>
      </c>
      <c r="C30" s="1166">
        <v>0.05042824074074074</v>
      </c>
      <c r="D30" s="63" t="s">
        <v>6060</v>
      </c>
      <c r="E30" s="1231" t="s">
        <v>6578</v>
      </c>
      <c r="F30" s="1231" t="s">
        <v>6579</v>
      </c>
      <c r="G30" s="244" t="s">
        <v>6580</v>
      </c>
      <c r="H30" s="318" t="s">
        <v>6581</v>
      </c>
      <c r="I30" s="317" t="s">
        <v>6582</v>
      </c>
      <c r="J30" s="1208" t="s">
        <v>6583</v>
      </c>
      <c r="K30" s="1208" t="s">
        <v>6455</v>
      </c>
      <c r="L30" s="1208" t="s">
        <v>6584</v>
      </c>
      <c r="M30" s="1208" t="s">
        <v>5333</v>
      </c>
      <c r="N30" s="1208" t="s">
        <v>6585</v>
      </c>
      <c r="O30" s="1208" t="s">
        <v>6586</v>
      </c>
      <c r="P30" s="1257" t="s">
        <v>3154</v>
      </c>
      <c r="Q30" s="269" t="s">
        <v>6587</v>
      </c>
      <c r="R30" s="269" t="s">
        <v>5701</v>
      </c>
      <c r="S30" s="269" t="s">
        <v>2744</v>
      </c>
      <c r="T30" s="270" t="s">
        <v>5851</v>
      </c>
      <c r="U30" s="269" t="s">
        <v>5738</v>
      </c>
      <c r="V30" s="270" t="s">
        <v>6588</v>
      </c>
      <c r="W30" s="1258" t="s">
        <v>1892</v>
      </c>
      <c r="X30" s="255" t="s">
        <v>6589</v>
      </c>
      <c r="Y30" s="1258" t="s">
        <v>6590</v>
      </c>
      <c r="Z30" s="255" t="s">
        <v>6591</v>
      </c>
      <c r="AA30" s="1258" t="s">
        <v>6592</v>
      </c>
      <c r="AB30" s="63" t="s">
        <v>6593</v>
      </c>
      <c r="AC30" s="1258" t="s">
        <v>6594</v>
      </c>
      <c r="AD30" s="1231" t="s">
        <v>6274</v>
      </c>
      <c r="AE30" s="1231" t="s">
        <v>5615</v>
      </c>
      <c r="AF30" s="1234" t="s">
        <v>6595</v>
      </c>
      <c r="AG30" s="1259" t="s">
        <v>6596</v>
      </c>
      <c r="AH30" s="1259" t="s">
        <v>6597</v>
      </c>
      <c r="AI30" s="789" t="s">
        <v>6529</v>
      </c>
      <c r="AJ30" s="1259" t="s">
        <v>6598</v>
      </c>
      <c r="AK30" s="1234" t="s">
        <v>6599</v>
      </c>
      <c r="AL30" s="1259" t="s">
        <v>6600</v>
      </c>
      <c r="AM30" s="1235" t="s">
        <v>6601</v>
      </c>
      <c r="AN30" s="1235" t="s">
        <v>6602</v>
      </c>
      <c r="AO30" s="1235" t="s">
        <v>5527</v>
      </c>
      <c r="AP30" s="1235" t="s">
        <v>6603</v>
      </c>
      <c r="AQ30" s="288" t="s">
        <v>6604</v>
      </c>
      <c r="AR30" s="288" t="s">
        <v>6605</v>
      </c>
      <c r="AS30" s="288" t="s">
        <v>6606</v>
      </c>
      <c r="AT30" s="1208" t="s">
        <v>6607</v>
      </c>
      <c r="AU30" s="1192" t="s">
        <v>6608</v>
      </c>
      <c r="AV30" s="789" t="str">
        <f t="shared" si="1"/>
        <v>2:55</v>
      </c>
      <c r="AW30" s="1256"/>
    </row>
    <row r="31" ht="15.75" customHeight="1">
      <c r="A31" s="1107" t="s">
        <v>6609</v>
      </c>
      <c r="B31" s="1108" t="s">
        <v>5396</v>
      </c>
      <c r="C31" s="1299">
        <v>0.05043981481481481</v>
      </c>
      <c r="D31" s="63" t="s">
        <v>6612</v>
      </c>
      <c r="E31" s="789" t="s">
        <v>2031</v>
      </c>
      <c r="F31" s="789" t="s">
        <v>2457</v>
      </c>
      <c r="G31" s="789" t="s">
        <v>6613</v>
      </c>
      <c r="H31" s="789" t="s">
        <v>5837</v>
      </c>
      <c r="I31" s="789" t="s">
        <v>6614</v>
      </c>
      <c r="J31" s="789" t="s">
        <v>6615</v>
      </c>
      <c r="K31" s="789" t="s">
        <v>6371</v>
      </c>
      <c r="L31" s="789" t="s">
        <v>6616</v>
      </c>
      <c r="M31" s="789" t="s">
        <v>6617</v>
      </c>
      <c r="N31" s="789" t="s">
        <v>6429</v>
      </c>
      <c r="O31" s="789" t="s">
        <v>6618</v>
      </c>
      <c r="P31" s="789" t="s">
        <v>6043</v>
      </c>
      <c r="Q31" s="789" t="s">
        <v>6619</v>
      </c>
      <c r="R31" s="789" t="s">
        <v>6620</v>
      </c>
      <c r="S31" s="789" t="s">
        <v>6621</v>
      </c>
      <c r="T31" s="789" t="s">
        <v>6622</v>
      </c>
      <c r="U31" s="789" t="s">
        <v>6623</v>
      </c>
      <c r="V31" s="789" t="s">
        <v>6624</v>
      </c>
      <c r="W31" s="789" t="s">
        <v>6625</v>
      </c>
      <c r="X31" s="789" t="s">
        <v>6626</v>
      </c>
      <c r="Y31" s="789" t="s">
        <v>6405</v>
      </c>
      <c r="Z31" s="789" t="s">
        <v>4406</v>
      </c>
      <c r="AA31" s="789" t="s">
        <v>6437</v>
      </c>
      <c r="AB31" s="789" t="s">
        <v>6583</v>
      </c>
      <c r="AC31" s="789" t="s">
        <v>2965</v>
      </c>
      <c r="AD31" s="789" t="s">
        <v>6434</v>
      </c>
      <c r="AE31" s="789" t="s">
        <v>6627</v>
      </c>
      <c r="AF31" s="789" t="s">
        <v>6628</v>
      </c>
      <c r="AG31" s="789" t="s">
        <v>6629</v>
      </c>
      <c r="AH31" s="789" t="s">
        <v>6630</v>
      </c>
      <c r="AI31" s="789" t="s">
        <v>6562</v>
      </c>
      <c r="AJ31" s="789" t="s">
        <v>6631</v>
      </c>
      <c r="AK31" s="789" t="s">
        <v>6632</v>
      </c>
      <c r="AL31" s="789" t="s">
        <v>6633</v>
      </c>
      <c r="AM31" s="789" t="s">
        <v>4579</v>
      </c>
      <c r="AN31" s="789" t="s">
        <v>6634</v>
      </c>
      <c r="AO31" s="789" t="s">
        <v>6635</v>
      </c>
      <c r="AP31" s="1180" t="str">
        <f>HYPERLINK("https://www.twitch.tv/videos/511415405","2:00.79")</f>
        <v>2:00.79</v>
      </c>
      <c r="AQ31" s="789" t="s">
        <v>6636</v>
      </c>
      <c r="AR31" s="789" t="s">
        <v>2003</v>
      </c>
      <c r="AS31" s="789" t="s">
        <v>5616</v>
      </c>
      <c r="AT31" s="789" t="s">
        <v>6637</v>
      </c>
      <c r="AU31" s="789" t="s">
        <v>6639</v>
      </c>
      <c r="AV31" s="789" t="str">
        <f t="shared" si="1"/>
        <v>2:36</v>
      </c>
      <c r="AW31" s="1181" t="s">
        <v>871</v>
      </c>
    </row>
    <row r="32">
      <c r="A32" s="1202" t="s">
        <v>107</v>
      </c>
      <c r="B32" s="1189" t="s">
        <v>5396</v>
      </c>
      <c r="C32" s="1166">
        <v>0.050486111111111114</v>
      </c>
      <c r="D32" s="1231" t="s">
        <v>6640</v>
      </c>
      <c r="E32" s="1231" t="s">
        <v>6641</v>
      </c>
      <c r="F32" s="1231" t="s">
        <v>6642</v>
      </c>
      <c r="G32" s="1231" t="s">
        <v>6643</v>
      </c>
      <c r="H32" s="63" t="s">
        <v>6645</v>
      </c>
      <c r="I32" s="317" t="s">
        <v>4005</v>
      </c>
      <c r="J32" s="1208" t="s">
        <v>1284</v>
      </c>
      <c r="K32" s="1208" t="s">
        <v>3923</v>
      </c>
      <c r="L32" s="1208" t="s">
        <v>6646</v>
      </c>
      <c r="M32" s="1208" t="s">
        <v>6647</v>
      </c>
      <c r="N32" s="1208" t="s">
        <v>6648</v>
      </c>
      <c r="O32" s="1208" t="s">
        <v>6649</v>
      </c>
      <c r="P32" s="1208" t="s">
        <v>6236</v>
      </c>
      <c r="Q32" s="269" t="s">
        <v>462</v>
      </c>
      <c r="R32" s="269" t="s">
        <v>1970</v>
      </c>
      <c r="S32" s="269" t="s">
        <v>5450</v>
      </c>
      <c r="T32" s="269" t="s">
        <v>6650</v>
      </c>
      <c r="U32" s="269" t="s">
        <v>6651</v>
      </c>
      <c r="V32" s="269" t="s">
        <v>6652</v>
      </c>
      <c r="W32" s="255" t="s">
        <v>6653</v>
      </c>
      <c r="X32" s="255" t="s">
        <v>6654</v>
      </c>
      <c r="Y32" s="255" t="s">
        <v>5144</v>
      </c>
      <c r="Z32" s="255" t="s">
        <v>6655</v>
      </c>
      <c r="AA32" s="1169" t="s">
        <v>6656</v>
      </c>
      <c r="AB32" s="255" t="s">
        <v>6657</v>
      </c>
      <c r="AC32" s="255" t="s">
        <v>4375</v>
      </c>
      <c r="AD32" s="1231" t="s">
        <v>6658</v>
      </c>
      <c r="AE32" s="1231" t="s">
        <v>6659</v>
      </c>
      <c r="AF32" s="1234" t="s">
        <v>6660</v>
      </c>
      <c r="AG32" s="1234" t="s">
        <v>1879</v>
      </c>
      <c r="AH32" s="1234" t="s">
        <v>6661</v>
      </c>
      <c r="AI32" s="1234" t="s">
        <v>6662</v>
      </c>
      <c r="AJ32" s="1234" t="s">
        <v>6663</v>
      </c>
      <c r="AK32" s="1234" t="s">
        <v>2300</v>
      </c>
      <c r="AL32" s="1234" t="s">
        <v>6664</v>
      </c>
      <c r="AM32" s="1235" t="s">
        <v>6665</v>
      </c>
      <c r="AN32" s="1235" t="s">
        <v>6123</v>
      </c>
      <c r="AO32" s="1235" t="s">
        <v>6666</v>
      </c>
      <c r="AP32" s="1235" t="s">
        <v>6667</v>
      </c>
      <c r="AQ32" s="1235" t="s">
        <v>6668</v>
      </c>
      <c r="AR32" s="1235" t="s">
        <v>4447</v>
      </c>
      <c r="AS32" s="1235" t="s">
        <v>5060</v>
      </c>
      <c r="AT32" s="1208" t="s">
        <v>6670</v>
      </c>
      <c r="AU32" s="1192" t="s">
        <v>6671</v>
      </c>
      <c r="AV32" s="789" t="str">
        <f t="shared" si="1"/>
        <v>3:47</v>
      </c>
      <c r="AW32" s="1193"/>
    </row>
    <row r="33" ht="15.75" customHeight="1">
      <c r="A33" s="1202" t="s">
        <v>141</v>
      </c>
      <c r="B33" s="1108" t="s">
        <v>5396</v>
      </c>
      <c r="C33" s="1166">
        <v>0.05049768518518519</v>
      </c>
      <c r="D33" s="63" t="s">
        <v>6672</v>
      </c>
      <c r="E33" s="244" t="s">
        <v>6673</v>
      </c>
      <c r="F33" s="1292" t="str">
        <f>HYPERLINK("https://www.youtube.com/watch?v=rtR6KkKhM6I","1:59.91")</f>
        <v>1:59.91</v>
      </c>
      <c r="G33" s="244" t="s">
        <v>6675</v>
      </c>
      <c r="H33" s="1303" t="str">
        <f>HYPERLINK("https://www.youtube.com/watch?v=cg-eipYsN1s","1:54.47")</f>
        <v>1:54.47</v>
      </c>
      <c r="I33" s="318" t="s">
        <v>6590</v>
      </c>
      <c r="J33" s="1257" t="s">
        <v>6317</v>
      </c>
      <c r="K33" s="1208" t="s">
        <v>296</v>
      </c>
      <c r="L33" s="1287" t="str">
        <f>HYPERLINK("https://www.youtube.com/watch?v=tJdjPKdAbw4","57.01")</f>
        <v>57.01</v>
      </c>
      <c r="M33" s="1257" t="s">
        <v>1493</v>
      </c>
      <c r="N33" s="1208" t="s">
        <v>6677</v>
      </c>
      <c r="O33" s="1257" t="s">
        <v>6165</v>
      </c>
      <c r="P33" s="1257" t="s">
        <v>752</v>
      </c>
      <c r="Q33" s="270" t="s">
        <v>597</v>
      </c>
      <c r="R33" s="270" t="s">
        <v>6680</v>
      </c>
      <c r="S33" s="1290" t="str">
        <f>HYPERLINK("https://www.youtube.com/watch?v=_3ms_ZhYFzo","1:18.01")</f>
        <v>1:18.01</v>
      </c>
      <c r="T33" s="270" t="s">
        <v>6681</v>
      </c>
      <c r="U33" s="1290" t="str">
        <f>HYPERLINK("https://www.youtube.com/watch?v=ZOy_TI3Zw14","2:02.38")</f>
        <v>2:02.38</v>
      </c>
      <c r="V33" s="270" t="s">
        <v>6652</v>
      </c>
      <c r="W33" s="1258" t="s">
        <v>6682</v>
      </c>
      <c r="X33" s="1258" t="s">
        <v>2300</v>
      </c>
      <c r="Y33" s="1291" t="str">
        <f>HYPERLINK("https://www.youtube.com/watch?v=9NrvSboXXOg","48.25")</f>
        <v>48.25</v>
      </c>
      <c r="Z33" s="1291" t="str">
        <f>HYPERLINK("https://www.youtube.com/watch?v=NwsOKLYrlHA","1:20.36")</f>
        <v>1:20.36</v>
      </c>
      <c r="AA33" s="1291" t="str">
        <f>HYPERLINK("https://www.youtube.com/watch?v=onNUzQt23oU","1:28.94")</f>
        <v>1:28.94</v>
      </c>
      <c r="AB33" s="1291" t="str">
        <f>HYPERLINK("https://www.youtube.com/watch?v=Gu4GucRJZx0","1:20.48")</f>
        <v>1:20.48</v>
      </c>
      <c r="AC33" s="1258" t="s">
        <v>2965</v>
      </c>
      <c r="AD33" s="1292" t="str">
        <f>HYPERLINK("https://www.youtube.com/watch?v=ikF77QyREZg","1:50.30")</f>
        <v>1:50.30</v>
      </c>
      <c r="AE33" s="244" t="s">
        <v>6236</v>
      </c>
      <c r="AF33" s="1259" t="s">
        <v>6686</v>
      </c>
      <c r="AG33" s="1318" t="str">
        <f>HYPERLINK("https://www.youtube.com/watch?v=KXwTRrVVluY","1:30.62")</f>
        <v>1:30.62</v>
      </c>
      <c r="AH33" s="1259" t="s">
        <v>6687</v>
      </c>
      <c r="AI33" s="1259" t="s">
        <v>6502</v>
      </c>
      <c r="AJ33" s="1259" t="s">
        <v>6688</v>
      </c>
      <c r="AK33" s="1234" t="s">
        <v>6689</v>
      </c>
      <c r="AL33" s="1259" t="s">
        <v>6690</v>
      </c>
      <c r="AM33" s="1323" t="str">
        <f>HYPERLINK("https://www.youtube.com/watch?v=BAoEwuQ0LoI","1:25.68")</f>
        <v>1:25.68</v>
      </c>
      <c r="AN33" s="1323" t="str">
        <f>HYPERLINK("https://www.youtube.com/watch?v=F-LtZeEZXek","56.36")</f>
        <v>56.36</v>
      </c>
      <c r="AO33" s="288" t="s">
        <v>6696</v>
      </c>
      <c r="AP33" s="288" t="s">
        <v>6697</v>
      </c>
      <c r="AQ33" s="288" t="s">
        <v>6698</v>
      </c>
      <c r="AR33" s="1323" t="str">
        <f>HYPERLINK("https://www.youtube.com/watch?v=WSIIkWWbKgE","1:21.74")</f>
        <v>1:21.74</v>
      </c>
      <c r="AS33" s="288" t="s">
        <v>6699</v>
      </c>
      <c r="AT33" s="1287" t="str">
        <f>HYPERLINK("https://www.youtube.com/watch?v=H67SXBLcISI","2:29.09")</f>
        <v>2:29.09</v>
      </c>
      <c r="AU33" s="1255" t="s">
        <v>6700</v>
      </c>
      <c r="AV33" s="789" t="str">
        <f t="shared" si="1"/>
        <v>2:03</v>
      </c>
      <c r="AW33" s="1324" t="s">
        <v>6701</v>
      </c>
    </row>
    <row r="34">
      <c r="A34" s="1202" t="s">
        <v>4115</v>
      </c>
      <c r="B34" s="1189" t="s">
        <v>5444</v>
      </c>
      <c r="C34" s="1166">
        <v>0.050520833333333334</v>
      </c>
      <c r="D34" s="1231" t="s">
        <v>6702</v>
      </c>
      <c r="E34" s="1265" t="s">
        <v>6703</v>
      </c>
      <c r="F34" s="1265" t="s">
        <v>5473</v>
      </c>
      <c r="G34" s="1231" t="s">
        <v>6704</v>
      </c>
      <c r="H34" s="1265" t="s">
        <v>6113</v>
      </c>
      <c r="I34" s="1265" t="s">
        <v>6705</v>
      </c>
      <c r="J34" s="1208" t="s">
        <v>6706</v>
      </c>
      <c r="K34" s="1327" t="s">
        <v>6707</v>
      </c>
      <c r="L34" s="1208" t="s">
        <v>6709</v>
      </c>
      <c r="M34" s="1128" t="s">
        <v>6710</v>
      </c>
      <c r="N34" s="1208" t="s">
        <v>3813</v>
      </c>
      <c r="O34" s="1208" t="s">
        <v>6491</v>
      </c>
      <c r="P34" s="1208" t="s">
        <v>1451</v>
      </c>
      <c r="Q34" s="104" t="str">
        <f>HYPERLINK("https://www.twitch.tv/planktonsecretformula/v/1588460220?sr=a", "2:12.43")</f>
        <v>2:12.43</v>
      </c>
      <c r="R34" s="269" t="s">
        <v>6620</v>
      </c>
      <c r="S34" s="269" t="s">
        <v>6712</v>
      </c>
      <c r="T34" s="1245" t="s">
        <v>6713</v>
      </c>
      <c r="U34" s="1265" t="s">
        <v>6717</v>
      </c>
      <c r="V34" s="1265" t="s">
        <v>6718</v>
      </c>
      <c r="W34" s="303" t="s">
        <v>6719</v>
      </c>
      <c r="X34" s="255" t="s">
        <v>3693</v>
      </c>
      <c r="Y34" s="255" t="s">
        <v>3236</v>
      </c>
      <c r="Z34" s="255" t="s">
        <v>5734</v>
      </c>
      <c r="AA34" s="1169" t="s">
        <v>6720</v>
      </c>
      <c r="AB34" s="255" t="s">
        <v>6721</v>
      </c>
      <c r="AC34" s="255" t="s">
        <v>4043</v>
      </c>
      <c r="AD34" s="1231" t="s">
        <v>6722</v>
      </c>
      <c r="AE34" s="1231" t="s">
        <v>6458</v>
      </c>
      <c r="AF34" s="1234" t="s">
        <v>6723</v>
      </c>
      <c r="AG34" s="1265" t="s">
        <v>6724</v>
      </c>
      <c r="AH34" s="1234" t="s">
        <v>6725</v>
      </c>
      <c r="AI34" s="1234" t="s">
        <v>4257</v>
      </c>
      <c r="AJ34" s="1234" t="s">
        <v>6726</v>
      </c>
      <c r="AK34" s="1234" t="s">
        <v>6727</v>
      </c>
      <c r="AL34" s="1234" t="s">
        <v>6728</v>
      </c>
      <c r="AM34" s="1235" t="s">
        <v>5851</v>
      </c>
      <c r="AN34" s="1235" t="s">
        <v>6241</v>
      </c>
      <c r="AO34" s="1235" t="s">
        <v>6571</v>
      </c>
      <c r="AP34" s="1235" t="s">
        <v>6730</v>
      </c>
      <c r="AQ34" s="104" t="str">
        <f>HYPERLINK("https://www.twitch.tv/planktonsecretformula/v/1678454360?sr=a&amp;t=0s", "1:37.46")</f>
        <v>1:37.46</v>
      </c>
      <c r="AR34" s="1235" t="s">
        <v>6731</v>
      </c>
      <c r="AS34" s="1235" t="s">
        <v>3000</v>
      </c>
      <c r="AT34" s="1208" t="s">
        <v>6733</v>
      </c>
      <c r="AU34" s="1192" t="s">
        <v>6734</v>
      </c>
      <c r="AV34" s="789" t="str">
        <f t="shared" si="1"/>
        <v>4:40</v>
      </c>
      <c r="AW34" s="1193" t="s">
        <v>6735</v>
      </c>
    </row>
    <row r="35" ht="15.75" customHeight="1">
      <c r="A35" s="1277" t="s">
        <v>6736</v>
      </c>
      <c r="B35" s="1108" t="s">
        <v>5396</v>
      </c>
      <c r="C35" s="1166">
        <v>0.050555555555555555</v>
      </c>
      <c r="D35" s="63" t="s">
        <v>6737</v>
      </c>
      <c r="E35" s="1231" t="s">
        <v>6738</v>
      </c>
      <c r="F35" s="1231" t="s">
        <v>6739</v>
      </c>
      <c r="G35" s="1231" t="s">
        <v>6741</v>
      </c>
      <c r="H35" s="317" t="s">
        <v>6742</v>
      </c>
      <c r="I35" s="317" t="s">
        <v>6744</v>
      </c>
      <c r="J35" s="1208" t="s">
        <v>6745</v>
      </c>
      <c r="K35" s="1208" t="s">
        <v>6746</v>
      </c>
      <c r="L35" s="1208" t="s">
        <v>6747</v>
      </c>
      <c r="M35" s="1208" t="s">
        <v>6748</v>
      </c>
      <c r="N35" s="1208" t="s">
        <v>6749</v>
      </c>
      <c r="O35" s="1208" t="s">
        <v>6586</v>
      </c>
      <c r="P35" s="1208" t="s">
        <v>2394</v>
      </c>
      <c r="Q35" s="269" t="s">
        <v>6750</v>
      </c>
      <c r="R35" s="269" t="s">
        <v>6751</v>
      </c>
      <c r="S35" s="269" t="s">
        <v>2117</v>
      </c>
      <c r="T35" s="269" t="s">
        <v>6752</v>
      </c>
      <c r="U35" s="269" t="s">
        <v>6753</v>
      </c>
      <c r="V35" s="269" t="s">
        <v>5458</v>
      </c>
      <c r="W35" s="255" t="s">
        <v>6754</v>
      </c>
      <c r="X35" s="255" t="s">
        <v>6755</v>
      </c>
      <c r="Y35" s="255" t="s">
        <v>6757</v>
      </c>
      <c r="Z35" s="255" t="s">
        <v>4814</v>
      </c>
      <c r="AA35" s="255" t="s">
        <v>6759</v>
      </c>
      <c r="AB35" s="255" t="s">
        <v>290</v>
      </c>
      <c r="AC35" s="1258" t="s">
        <v>1778</v>
      </c>
      <c r="AD35" s="1231" t="s">
        <v>6762</v>
      </c>
      <c r="AE35" s="1231" t="s">
        <v>6236</v>
      </c>
      <c r="AF35" s="1234" t="s">
        <v>6764</v>
      </c>
      <c r="AG35" s="1234" t="s">
        <v>6765</v>
      </c>
      <c r="AH35" s="1234" t="s">
        <v>6767</v>
      </c>
      <c r="AI35" s="1234" t="s">
        <v>6769</v>
      </c>
      <c r="AJ35" s="1234" t="s">
        <v>6771</v>
      </c>
      <c r="AK35" s="1234" t="s">
        <v>6497</v>
      </c>
      <c r="AL35" s="1234" t="s">
        <v>6772</v>
      </c>
      <c r="AM35" s="1235" t="s">
        <v>5439</v>
      </c>
      <c r="AN35" s="1235" t="s">
        <v>6195</v>
      </c>
      <c r="AO35" s="1235" t="s">
        <v>6773</v>
      </c>
      <c r="AP35" s="1235" t="s">
        <v>6774</v>
      </c>
      <c r="AQ35" s="1235" t="s">
        <v>6775</v>
      </c>
      <c r="AR35" s="1235" t="s">
        <v>6264</v>
      </c>
      <c r="AS35" s="1235" t="s">
        <v>3772</v>
      </c>
      <c r="AT35" s="1208" t="s">
        <v>6776</v>
      </c>
      <c r="AU35" s="1192" t="s">
        <v>6777</v>
      </c>
      <c r="AV35" s="789" t="str">
        <f t="shared" si="1"/>
        <v>2:07</v>
      </c>
      <c r="AW35" s="1256"/>
    </row>
    <row r="36">
      <c r="A36" s="1202" t="s">
        <v>136</v>
      </c>
      <c r="B36" s="1189" t="s">
        <v>5396</v>
      </c>
      <c r="C36" s="1166">
        <v>0.050555555555555555</v>
      </c>
      <c r="D36" s="63" t="s">
        <v>6778</v>
      </c>
      <c r="E36" s="63" t="s">
        <v>6779</v>
      </c>
      <c r="F36" s="63" t="s">
        <v>6780</v>
      </c>
      <c r="G36" s="63" t="s">
        <v>6781</v>
      </c>
      <c r="H36" s="63" t="s">
        <v>6782</v>
      </c>
      <c r="I36" s="63" t="s">
        <v>6783</v>
      </c>
      <c r="J36" s="63" t="s">
        <v>4448</v>
      </c>
      <c r="K36" s="63" t="s">
        <v>6784</v>
      </c>
      <c r="L36" s="63" t="s">
        <v>6785</v>
      </c>
      <c r="M36" s="63" t="s">
        <v>4109</v>
      </c>
      <c r="N36" s="63" t="s">
        <v>6786</v>
      </c>
      <c r="O36" s="63" t="s">
        <v>6787</v>
      </c>
      <c r="P36" s="63" t="s">
        <v>6789</v>
      </c>
      <c r="Q36" s="63" t="s">
        <v>6790</v>
      </c>
      <c r="R36" s="63" t="s">
        <v>5529</v>
      </c>
      <c r="S36" s="63" t="s">
        <v>6792</v>
      </c>
      <c r="T36" s="63" t="s">
        <v>6565</v>
      </c>
      <c r="U36" s="63" t="s">
        <v>6793</v>
      </c>
      <c r="V36" s="63" t="s">
        <v>6794</v>
      </c>
      <c r="W36" s="63" t="s">
        <v>6796</v>
      </c>
      <c r="X36" s="63" t="s">
        <v>6797</v>
      </c>
      <c r="Y36" s="63" t="s">
        <v>4311</v>
      </c>
      <c r="Z36" s="63" t="s">
        <v>6799</v>
      </c>
      <c r="AA36" s="63" t="s">
        <v>6801</v>
      </c>
      <c r="AB36" s="63" t="s">
        <v>6803</v>
      </c>
      <c r="AC36" s="63" t="s">
        <v>2965</v>
      </c>
      <c r="AD36" s="63" t="s">
        <v>6805</v>
      </c>
      <c r="AE36" s="63" t="s">
        <v>5814</v>
      </c>
      <c r="AF36" s="63" t="s">
        <v>6808</v>
      </c>
      <c r="AG36" s="63" t="s">
        <v>6809</v>
      </c>
      <c r="AH36" s="63" t="s">
        <v>6810</v>
      </c>
      <c r="AI36" s="63" t="s">
        <v>6811</v>
      </c>
      <c r="AJ36" s="63" t="s">
        <v>6812</v>
      </c>
      <c r="AK36" s="63" t="s">
        <v>5191</v>
      </c>
      <c r="AL36" s="63" t="s">
        <v>6813</v>
      </c>
      <c r="AM36" s="63" t="s">
        <v>6814</v>
      </c>
      <c r="AN36" s="63" t="s">
        <v>6815</v>
      </c>
      <c r="AO36" s="63" t="s">
        <v>6816</v>
      </c>
      <c r="AP36" s="63" t="s">
        <v>6817</v>
      </c>
      <c r="AQ36" s="63" t="s">
        <v>6818</v>
      </c>
      <c r="AR36" s="63" t="s">
        <v>6053</v>
      </c>
      <c r="AS36" s="63" t="s">
        <v>3608</v>
      </c>
      <c r="AT36" s="63" t="s">
        <v>6820</v>
      </c>
      <c r="AU36" s="1192" t="s">
        <v>6639</v>
      </c>
      <c r="AV36" s="789" t="str">
        <f t="shared" si="1"/>
        <v>2:26</v>
      </c>
      <c r="AW36" s="1193" t="s">
        <v>6821</v>
      </c>
    </row>
    <row r="37" ht="15.75" customHeight="1">
      <c r="A37" s="1107" t="s">
        <v>78</v>
      </c>
      <c r="B37" s="1237" t="s">
        <v>5444</v>
      </c>
      <c r="C37" s="1166">
        <v>0.05056712962962963</v>
      </c>
      <c r="D37" s="1206" t="s">
        <v>5445</v>
      </c>
      <c r="E37" s="244" t="s">
        <v>6484</v>
      </c>
      <c r="F37" s="1283" t="s">
        <v>5446</v>
      </c>
      <c r="G37" s="1169" t="s">
        <v>6822</v>
      </c>
      <c r="H37" s="1169" t="s">
        <v>6823</v>
      </c>
      <c r="I37" s="1283" t="s">
        <v>5449</v>
      </c>
      <c r="J37" s="1169" t="s">
        <v>4222</v>
      </c>
      <c r="K37" s="1169" t="s">
        <v>2699</v>
      </c>
      <c r="L37" s="1169" t="s">
        <v>6825</v>
      </c>
      <c r="M37" s="1169" t="s">
        <v>6826</v>
      </c>
      <c r="N37" s="1169" t="s">
        <v>6414</v>
      </c>
      <c r="O37" s="1169" t="s">
        <v>6827</v>
      </c>
      <c r="P37" s="1169" t="s">
        <v>6400</v>
      </c>
      <c r="Q37" s="1169" t="s">
        <v>6828</v>
      </c>
      <c r="R37" s="1169" t="s">
        <v>6830</v>
      </c>
      <c r="S37" s="1169" t="s">
        <v>6831</v>
      </c>
      <c r="T37" s="1169" t="s">
        <v>6832</v>
      </c>
      <c r="U37" s="1169" t="s">
        <v>5972</v>
      </c>
      <c r="V37" s="1169" t="s">
        <v>6833</v>
      </c>
      <c r="W37" s="1169" t="s">
        <v>6834</v>
      </c>
      <c r="X37" s="1169" t="s">
        <v>6835</v>
      </c>
      <c r="Y37" s="1169" t="s">
        <v>3716</v>
      </c>
      <c r="Z37" s="1169" t="s">
        <v>6272</v>
      </c>
      <c r="AA37" s="1169" t="s">
        <v>2300</v>
      </c>
      <c r="AB37" s="1169" t="s">
        <v>6836</v>
      </c>
      <c r="AC37" s="789" t="s">
        <v>1906</v>
      </c>
      <c r="AD37" s="1169" t="s">
        <v>6837</v>
      </c>
      <c r="AE37" s="1169" t="s">
        <v>6469</v>
      </c>
      <c r="AF37" s="1169" t="s">
        <v>6838</v>
      </c>
      <c r="AG37" s="1169" t="s">
        <v>6565</v>
      </c>
      <c r="AH37" s="1169" t="s">
        <v>6839</v>
      </c>
      <c r="AI37" s="1169" t="s">
        <v>6840</v>
      </c>
      <c r="AJ37" s="1169" t="s">
        <v>6841</v>
      </c>
      <c r="AK37" s="1169" t="s">
        <v>6842</v>
      </c>
      <c r="AL37" s="1169" t="s">
        <v>6634</v>
      </c>
      <c r="AM37" s="1169" t="s">
        <v>6234</v>
      </c>
      <c r="AN37" s="1169" t="s">
        <v>1099</v>
      </c>
      <c r="AO37" s="1169" t="s">
        <v>6844</v>
      </c>
      <c r="AP37" s="1169" t="s">
        <v>6845</v>
      </c>
      <c r="AQ37" s="1169" t="s">
        <v>2080</v>
      </c>
      <c r="AR37" s="1169" t="s">
        <v>2374</v>
      </c>
      <c r="AS37" s="1169" t="s">
        <v>5418</v>
      </c>
      <c r="AT37" s="1169" t="s">
        <v>6846</v>
      </c>
      <c r="AU37" s="1169" t="s">
        <v>6320</v>
      </c>
      <c r="AV37" s="789" t="str">
        <f t="shared" si="1"/>
        <v>3:34</v>
      </c>
      <c r="AW37" s="1201" t="s">
        <v>6847</v>
      </c>
    </row>
    <row r="38" ht="15.75" customHeight="1">
      <c r="A38" s="1202" t="s">
        <v>136</v>
      </c>
      <c r="B38" s="1237" t="s">
        <v>5444</v>
      </c>
      <c r="C38" s="1299">
        <v>0.05056712962962963</v>
      </c>
      <c r="D38" s="63" t="s">
        <v>6848</v>
      </c>
      <c r="E38" s="789" t="s">
        <v>6849</v>
      </c>
      <c r="F38" s="789" t="s">
        <v>6376</v>
      </c>
      <c r="G38" s="789" t="s">
        <v>6851</v>
      </c>
      <c r="H38" s="789" t="s">
        <v>6852</v>
      </c>
      <c r="I38" s="789" t="s">
        <v>4078</v>
      </c>
      <c r="J38" s="1169" t="s">
        <v>6853</v>
      </c>
      <c r="K38" s="1169" t="s">
        <v>6853</v>
      </c>
      <c r="L38" s="789" t="s">
        <v>6855</v>
      </c>
      <c r="M38" s="789" t="s">
        <v>6856</v>
      </c>
      <c r="N38" s="789" t="s">
        <v>6278</v>
      </c>
      <c r="O38" s="1283" t="s">
        <v>5453</v>
      </c>
      <c r="P38" s="789" t="s">
        <v>5270</v>
      </c>
      <c r="Q38" s="789" t="s">
        <v>3256</v>
      </c>
      <c r="R38" s="1169" t="s">
        <v>6853</v>
      </c>
      <c r="S38" s="789" t="s">
        <v>2781</v>
      </c>
      <c r="T38" s="789" t="s">
        <v>445</v>
      </c>
      <c r="U38" s="789" t="s">
        <v>6857</v>
      </c>
      <c r="V38" s="789" t="s">
        <v>6858</v>
      </c>
      <c r="W38" s="789" t="s">
        <v>6859</v>
      </c>
      <c r="X38" s="789" t="s">
        <v>6555</v>
      </c>
      <c r="Y38" s="789" t="s">
        <v>6557</v>
      </c>
      <c r="Z38" s="789" t="s">
        <v>437</v>
      </c>
      <c r="AA38" s="789" t="s">
        <v>6861</v>
      </c>
      <c r="AB38" s="789" t="s">
        <v>6003</v>
      </c>
      <c r="AC38" s="789" t="s">
        <v>6077</v>
      </c>
      <c r="AD38" s="789" t="s">
        <v>6862</v>
      </c>
      <c r="AE38" s="789" t="s">
        <v>6757</v>
      </c>
      <c r="AF38" s="789" t="s">
        <v>6863</v>
      </c>
      <c r="AG38" s="789" t="s">
        <v>6864</v>
      </c>
      <c r="AH38" s="789" t="s">
        <v>6865</v>
      </c>
      <c r="AI38" s="789" t="s">
        <v>6866</v>
      </c>
      <c r="AJ38" s="789" t="s">
        <v>6867</v>
      </c>
      <c r="AK38" s="789" t="s">
        <v>2512</v>
      </c>
      <c r="AL38" s="789" t="s">
        <v>6560</v>
      </c>
      <c r="AM38" s="789" t="s">
        <v>3744</v>
      </c>
      <c r="AN38" s="1169" t="s">
        <v>6868</v>
      </c>
      <c r="AO38" s="1169" t="s">
        <v>6853</v>
      </c>
      <c r="AP38" s="789" t="s">
        <v>3619</v>
      </c>
      <c r="AQ38" s="789" t="s">
        <v>643</v>
      </c>
      <c r="AR38" s="789" t="s">
        <v>6869</v>
      </c>
      <c r="AS38" s="789" t="s">
        <v>6870</v>
      </c>
      <c r="AT38" s="789" t="s">
        <v>6871</v>
      </c>
      <c r="AU38" s="1169" t="s">
        <v>6872</v>
      </c>
      <c r="AV38" s="789" t="str">
        <f t="shared" si="1"/>
        <v>3:07</v>
      </c>
      <c r="AW38" s="1227" t="s">
        <v>6873</v>
      </c>
    </row>
    <row r="39" ht="15.75" customHeight="1">
      <c r="A39" s="1107" t="s">
        <v>123</v>
      </c>
      <c r="B39" s="1108" t="s">
        <v>5396</v>
      </c>
      <c r="C39" s="1299">
        <v>0.05060185185185185</v>
      </c>
      <c r="D39" s="63" t="s">
        <v>6875</v>
      </c>
      <c r="E39" s="244" t="s">
        <v>5873</v>
      </c>
      <c r="F39" s="244" t="s">
        <v>6876</v>
      </c>
      <c r="G39" s="244" t="s">
        <v>6877</v>
      </c>
      <c r="H39" s="318" t="s">
        <v>6878</v>
      </c>
      <c r="I39" s="318" t="s">
        <v>6879</v>
      </c>
      <c r="J39" s="1257" t="s">
        <v>5839</v>
      </c>
      <c r="K39" s="1257" t="s">
        <v>3923</v>
      </c>
      <c r="L39" s="1257" t="s">
        <v>3432</v>
      </c>
      <c r="M39" s="1257" t="s">
        <v>6880</v>
      </c>
      <c r="N39" s="1257" t="s">
        <v>6881</v>
      </c>
      <c r="O39" s="1257" t="s">
        <v>6882</v>
      </c>
      <c r="P39" s="1257" t="s">
        <v>6344</v>
      </c>
      <c r="Q39" s="270" t="s">
        <v>6883</v>
      </c>
      <c r="R39" s="270" t="s">
        <v>6884</v>
      </c>
      <c r="S39" s="270" t="s">
        <v>290</v>
      </c>
      <c r="T39" s="270" t="s">
        <v>6885</v>
      </c>
      <c r="U39" s="270" t="s">
        <v>6886</v>
      </c>
      <c r="V39" s="270" t="s">
        <v>6887</v>
      </c>
      <c r="W39" s="1258" t="s">
        <v>6889</v>
      </c>
      <c r="X39" s="1258" t="s">
        <v>3906</v>
      </c>
      <c r="Y39" s="1258" t="s">
        <v>2897</v>
      </c>
      <c r="Z39" s="1258" t="s">
        <v>5914</v>
      </c>
      <c r="AA39" s="1258" t="s">
        <v>6890</v>
      </c>
      <c r="AB39" s="1258" t="s">
        <v>6003</v>
      </c>
      <c r="AC39" s="1258" t="s">
        <v>3908</v>
      </c>
      <c r="AD39" s="244" t="s">
        <v>6891</v>
      </c>
      <c r="AE39" s="244" t="s">
        <v>3236</v>
      </c>
      <c r="AF39" s="1259" t="s">
        <v>6892</v>
      </c>
      <c r="AG39" s="1259" t="s">
        <v>6765</v>
      </c>
      <c r="AH39" s="1259" t="s">
        <v>6035</v>
      </c>
      <c r="AI39" s="1259" t="s">
        <v>2867</v>
      </c>
      <c r="AJ39" s="1259" t="s">
        <v>6893</v>
      </c>
      <c r="AK39" s="1259" t="s">
        <v>6894</v>
      </c>
      <c r="AL39" s="1259" t="s">
        <v>6895</v>
      </c>
      <c r="AM39" s="288" t="s">
        <v>6896</v>
      </c>
      <c r="AN39" s="288" t="s">
        <v>6898</v>
      </c>
      <c r="AO39" s="288" t="s">
        <v>6899</v>
      </c>
      <c r="AP39" s="288" t="s">
        <v>6900</v>
      </c>
      <c r="AQ39" s="288" t="s">
        <v>6668</v>
      </c>
      <c r="AR39" s="288" t="s">
        <v>6902</v>
      </c>
      <c r="AS39" s="288" t="s">
        <v>2398</v>
      </c>
      <c r="AT39" s="1257" t="s">
        <v>6903</v>
      </c>
      <c r="AU39" s="1255" t="s">
        <v>6904</v>
      </c>
      <c r="AV39" s="789" t="str">
        <f t="shared" si="1"/>
        <v>1:56</v>
      </c>
      <c r="AW39" s="1256"/>
    </row>
    <row r="40" ht="15.75" customHeight="1">
      <c r="A40" s="1165" t="s">
        <v>274</v>
      </c>
      <c r="B40" s="1108" t="s">
        <v>5396</v>
      </c>
      <c r="C40" s="1166">
        <v>0.05061342592592592</v>
      </c>
      <c r="D40" s="63" t="s">
        <v>6906</v>
      </c>
      <c r="E40" s="1169" t="s">
        <v>5800</v>
      </c>
      <c r="F40" s="1169" t="s">
        <v>6907</v>
      </c>
      <c r="G40" s="789" t="s">
        <v>6908</v>
      </c>
      <c r="H40" s="1169" t="s">
        <v>6910</v>
      </c>
      <c r="I40" s="1169" t="s">
        <v>1341</v>
      </c>
      <c r="J40" s="1169" t="s">
        <v>4259</v>
      </c>
      <c r="K40" s="789" t="s">
        <v>6371</v>
      </c>
      <c r="L40" s="1169" t="s">
        <v>6911</v>
      </c>
      <c r="M40" s="1169" t="s">
        <v>6912</v>
      </c>
      <c r="N40" s="1169" t="s">
        <v>6913</v>
      </c>
      <c r="O40" s="1169" t="s">
        <v>6914</v>
      </c>
      <c r="P40" s="1169" t="s">
        <v>4219</v>
      </c>
      <c r="Q40" s="1118" t="s">
        <v>6915</v>
      </c>
      <c r="R40" s="1169" t="s">
        <v>6921</v>
      </c>
      <c r="S40" s="789" t="s">
        <v>6923</v>
      </c>
      <c r="T40" s="1169" t="s">
        <v>6535</v>
      </c>
      <c r="U40" s="1169" t="s">
        <v>636</v>
      </c>
      <c r="V40" s="1169" t="s">
        <v>6924</v>
      </c>
      <c r="W40" s="1178" t="str">
        <f>HYPERLINK("https://www.youtube.com/watch?v=nn1ub1z3NYM","1:45.96")</f>
        <v>1:45.96</v>
      </c>
      <c r="X40" s="1169" t="s">
        <v>6927</v>
      </c>
      <c r="Y40" s="789" t="s">
        <v>5199</v>
      </c>
      <c r="Z40" s="1169" t="s">
        <v>4990</v>
      </c>
      <c r="AA40" s="1169" t="s">
        <v>6928</v>
      </c>
      <c r="AB40" s="1169" t="s">
        <v>6929</v>
      </c>
      <c r="AC40" s="1169" t="s">
        <v>4375</v>
      </c>
      <c r="AD40" s="1169" t="s">
        <v>6930</v>
      </c>
      <c r="AE40" s="1118" t="s">
        <v>2478</v>
      </c>
      <c r="AF40" s="789" t="s">
        <v>6933</v>
      </c>
      <c r="AG40" s="1169" t="s">
        <v>5526</v>
      </c>
      <c r="AH40" s="1169" t="s">
        <v>6687</v>
      </c>
      <c r="AI40" s="1169" t="s">
        <v>6934</v>
      </c>
      <c r="AJ40" s="789" t="s">
        <v>1357</v>
      </c>
      <c r="AK40" s="1169" t="s">
        <v>6935</v>
      </c>
      <c r="AL40" s="789" t="s">
        <v>6937</v>
      </c>
      <c r="AM40" s="789" t="s">
        <v>6938</v>
      </c>
      <c r="AN40" s="789" t="s">
        <v>6475</v>
      </c>
      <c r="AO40" s="1169" t="s">
        <v>6939</v>
      </c>
      <c r="AP40" s="1169" t="s">
        <v>6940</v>
      </c>
      <c r="AQ40" s="1169" t="s">
        <v>6941</v>
      </c>
      <c r="AR40" s="1169" t="s">
        <v>4448</v>
      </c>
      <c r="AS40" s="1169" t="s">
        <v>6942</v>
      </c>
      <c r="AT40" s="1169" t="s">
        <v>6943</v>
      </c>
      <c r="AU40" s="1169" t="s">
        <v>6944</v>
      </c>
      <c r="AV40" s="789" t="str">
        <f t="shared" si="1"/>
        <v>2:25</v>
      </c>
      <c r="AW40" s="1201"/>
    </row>
    <row r="41">
      <c r="A41" s="1165" t="s">
        <v>6945</v>
      </c>
      <c r="B41" s="1200" t="s">
        <v>5396</v>
      </c>
      <c r="C41" s="1166">
        <v>0.050625</v>
      </c>
      <c r="D41" s="1372" t="s">
        <v>6947</v>
      </c>
      <c r="E41" s="1169" t="s">
        <v>1056</v>
      </c>
      <c r="F41" s="1169" t="s">
        <v>6948</v>
      </c>
      <c r="G41" s="1169" t="s">
        <v>6949</v>
      </c>
      <c r="H41" s="1169" t="s">
        <v>5586</v>
      </c>
      <c r="I41" s="1169" t="s">
        <v>5907</v>
      </c>
      <c r="J41" s="1169" t="s">
        <v>6950</v>
      </c>
      <c r="K41" s="1169" t="s">
        <v>6951</v>
      </c>
      <c r="L41" s="1169" t="s">
        <v>6952</v>
      </c>
      <c r="M41" s="1169" t="s">
        <v>6953</v>
      </c>
      <c r="N41" s="1169" t="s">
        <v>6954</v>
      </c>
      <c r="O41" s="1169" t="s">
        <v>6955</v>
      </c>
      <c r="P41" s="1169" t="s">
        <v>6757</v>
      </c>
      <c r="Q41" s="1169" t="s">
        <v>6956</v>
      </c>
      <c r="R41" s="1169" t="s">
        <v>6958</v>
      </c>
      <c r="S41" s="1169" t="s">
        <v>6959</v>
      </c>
      <c r="T41" s="1169" t="s">
        <v>6832</v>
      </c>
      <c r="U41" s="1169" t="s">
        <v>6960</v>
      </c>
      <c r="V41" s="1169" t="s">
        <v>6961</v>
      </c>
      <c r="W41" s="1169" t="s">
        <v>2581</v>
      </c>
      <c r="X41" s="1169" t="s">
        <v>6962</v>
      </c>
      <c r="Y41" s="1169" t="s">
        <v>6963</v>
      </c>
      <c r="Z41" s="1169" t="s">
        <v>5432</v>
      </c>
      <c r="AA41" s="1169" t="s">
        <v>6964</v>
      </c>
      <c r="AB41" s="1169"/>
      <c r="AC41" s="1169" t="s">
        <v>6965</v>
      </c>
      <c r="AD41" s="1169" t="s">
        <v>6966</v>
      </c>
      <c r="AE41" s="1169" t="s">
        <v>6086</v>
      </c>
      <c r="AF41" s="1169" t="s">
        <v>6967</v>
      </c>
      <c r="AG41" s="1169" t="s">
        <v>6968</v>
      </c>
      <c r="AH41" s="1169" t="s">
        <v>6969</v>
      </c>
      <c r="AI41" s="1169" t="s">
        <v>1258</v>
      </c>
      <c r="AJ41" s="1169" t="s">
        <v>6970</v>
      </c>
      <c r="AK41" s="1169" t="s">
        <v>5416</v>
      </c>
      <c r="AL41" s="1169" t="s">
        <v>6971</v>
      </c>
      <c r="AM41" s="1169" t="s">
        <v>6972</v>
      </c>
      <c r="AN41" s="1169" t="s">
        <v>5515</v>
      </c>
      <c r="AO41" s="1169" t="s">
        <v>6973</v>
      </c>
      <c r="AP41" s="1169" t="s">
        <v>6974</v>
      </c>
      <c r="AQ41" s="1169" t="s">
        <v>6975</v>
      </c>
      <c r="AR41" s="1169" t="s">
        <v>319</v>
      </c>
      <c r="AS41" s="1169" t="s">
        <v>6976</v>
      </c>
      <c r="AT41" s="1169" t="s">
        <v>2938</v>
      </c>
      <c r="AU41" s="1169" t="s">
        <v>6977</v>
      </c>
      <c r="AV41" s="789" t="str">
        <f t="shared" si="1"/>
        <v>2:05</v>
      </c>
      <c r="AW41" s="1227"/>
    </row>
    <row r="42">
      <c r="A42" s="1202" t="s">
        <v>94</v>
      </c>
      <c r="B42" s="1189" t="s">
        <v>5396</v>
      </c>
      <c r="C42" s="1166">
        <v>0.0503587962962963</v>
      </c>
      <c r="D42" s="1372" t="s">
        <v>6978</v>
      </c>
      <c r="E42" s="1231" t="s">
        <v>5873</v>
      </c>
      <c r="F42" s="1231" t="s">
        <v>6979</v>
      </c>
      <c r="G42" s="1231" t="s">
        <v>6980</v>
      </c>
      <c r="H42" s="317" t="s">
        <v>6981</v>
      </c>
      <c r="I42" s="317" t="s">
        <v>6982</v>
      </c>
      <c r="J42" s="1208" t="s">
        <v>6983</v>
      </c>
      <c r="K42" s="1208" t="s">
        <v>6984</v>
      </c>
      <c r="L42" s="1208" t="s">
        <v>1683</v>
      </c>
      <c r="M42" s="1208" t="s">
        <v>6985</v>
      </c>
      <c r="N42" s="1208" t="s">
        <v>6986</v>
      </c>
      <c r="O42" s="1208" t="s">
        <v>6987</v>
      </c>
      <c r="P42" s="1208" t="s">
        <v>2016</v>
      </c>
      <c r="Q42" s="269" t="s">
        <v>3548</v>
      </c>
      <c r="R42" s="269" t="s">
        <v>6751</v>
      </c>
      <c r="S42" s="269" t="s">
        <v>6990</v>
      </c>
      <c r="T42" s="269" t="s">
        <v>6991</v>
      </c>
      <c r="U42" s="269" t="s">
        <v>6993</v>
      </c>
      <c r="V42" s="269" t="s">
        <v>6995</v>
      </c>
      <c r="W42" s="255" t="s">
        <v>6996</v>
      </c>
      <c r="X42" s="255" t="s">
        <v>6998</v>
      </c>
      <c r="Y42" s="255" t="s">
        <v>7000</v>
      </c>
      <c r="Z42" s="255" t="s">
        <v>7002</v>
      </c>
      <c r="AA42" s="1169" t="s">
        <v>7003</v>
      </c>
      <c r="AB42" s="255" t="s">
        <v>7005</v>
      </c>
      <c r="AC42" s="255" t="s">
        <v>2965</v>
      </c>
      <c r="AD42" s="1231" t="s">
        <v>7006</v>
      </c>
      <c r="AE42" s="1231" t="s">
        <v>1906</v>
      </c>
      <c r="AF42" s="1234" t="s">
        <v>7007</v>
      </c>
      <c r="AG42" s="1234" t="s">
        <v>7008</v>
      </c>
      <c r="AH42" s="1234" t="s">
        <v>7009</v>
      </c>
      <c r="AI42" s="1234" t="s">
        <v>7010</v>
      </c>
      <c r="AJ42" s="1234" t="s">
        <v>7011</v>
      </c>
      <c r="AK42" s="1234" t="s">
        <v>1401</v>
      </c>
      <c r="AL42" s="1234" t="s">
        <v>2864</v>
      </c>
      <c r="AM42" s="1235" t="s">
        <v>7012</v>
      </c>
      <c r="AN42" s="1235" t="s">
        <v>1603</v>
      </c>
      <c r="AO42" s="1379" t="s">
        <v>5432</v>
      </c>
      <c r="AP42" s="1235" t="s">
        <v>7015</v>
      </c>
      <c r="AQ42" s="1235" t="s">
        <v>7016</v>
      </c>
      <c r="AR42" s="1235" t="s">
        <v>7017</v>
      </c>
      <c r="AS42" s="1235" t="s">
        <v>4213</v>
      </c>
      <c r="AT42" s="1208" t="s">
        <v>7018</v>
      </c>
      <c r="AU42" s="1192" t="s">
        <v>6671</v>
      </c>
      <c r="AV42" s="789" t="str">
        <f t="shared" si="1"/>
        <v>3:58</v>
      </c>
      <c r="AW42" s="1256"/>
    </row>
    <row r="43" ht="15.75" customHeight="1">
      <c r="A43" s="1277" t="s">
        <v>7019</v>
      </c>
      <c r="B43" s="1108" t="s">
        <v>5396</v>
      </c>
      <c r="C43" s="1166">
        <v>0.05070601851851852</v>
      </c>
      <c r="D43" s="63" t="s">
        <v>7020</v>
      </c>
      <c r="E43" s="244" t="s">
        <v>281</v>
      </c>
      <c r="F43" s="244" t="s">
        <v>5785</v>
      </c>
      <c r="G43" s="244" t="s">
        <v>7022</v>
      </c>
      <c r="H43" s="318" t="s">
        <v>7023</v>
      </c>
      <c r="I43" s="318" t="s">
        <v>1341</v>
      </c>
      <c r="J43" s="1257" t="s">
        <v>7024</v>
      </c>
      <c r="K43" s="1257" t="s">
        <v>7025</v>
      </c>
      <c r="L43" s="1257" t="s">
        <v>3436</v>
      </c>
      <c r="M43" s="1257" t="s">
        <v>7028</v>
      </c>
      <c r="N43" s="1257" t="s">
        <v>6752</v>
      </c>
      <c r="O43" s="1257" t="s">
        <v>7030</v>
      </c>
      <c r="P43" s="1257" t="s">
        <v>7031</v>
      </c>
      <c r="Q43" s="270" t="s">
        <v>7033</v>
      </c>
      <c r="R43" s="270" t="s">
        <v>3053</v>
      </c>
      <c r="S43" s="270" t="s">
        <v>6973</v>
      </c>
      <c r="T43" s="270" t="s">
        <v>6755</v>
      </c>
      <c r="U43" s="270" t="s">
        <v>7035</v>
      </c>
      <c r="V43" s="270" t="s">
        <v>6924</v>
      </c>
      <c r="W43" s="1258" t="s">
        <v>7036</v>
      </c>
      <c r="X43" s="1258" t="s">
        <v>5666</v>
      </c>
      <c r="Y43" s="1258" t="s">
        <v>185</v>
      </c>
      <c r="Z43" s="1258" t="s">
        <v>7037</v>
      </c>
      <c r="AA43" s="1258" t="s">
        <v>7038</v>
      </c>
      <c r="AB43" s="1258" t="s">
        <v>7039</v>
      </c>
      <c r="AC43" s="1258" t="s">
        <v>7040</v>
      </c>
      <c r="AD43" s="244" t="s">
        <v>7042</v>
      </c>
      <c r="AE43" s="244" t="s">
        <v>7043</v>
      </c>
      <c r="AF43" s="1259" t="s">
        <v>5712</v>
      </c>
      <c r="AG43" s="1259" t="s">
        <v>7046</v>
      </c>
      <c r="AH43" s="1259" t="s">
        <v>2361</v>
      </c>
      <c r="AI43" s="1259" t="s">
        <v>7049</v>
      </c>
      <c r="AJ43" s="1259" t="s">
        <v>7052</v>
      </c>
      <c r="AK43" s="1259" t="s">
        <v>7054</v>
      </c>
      <c r="AL43" s="1259" t="s">
        <v>7055</v>
      </c>
      <c r="AM43" s="288" t="s">
        <v>6797</v>
      </c>
      <c r="AN43" s="288" t="s">
        <v>7055</v>
      </c>
      <c r="AO43" s="288" t="s">
        <v>6677</v>
      </c>
      <c r="AP43" s="288" t="s">
        <v>7056</v>
      </c>
      <c r="AQ43" s="288" t="s">
        <v>7057</v>
      </c>
      <c r="AR43" s="288" t="s">
        <v>7058</v>
      </c>
      <c r="AS43" s="288" t="s">
        <v>3187</v>
      </c>
      <c r="AT43" s="1257" t="s">
        <v>7060</v>
      </c>
      <c r="AU43" s="1255" t="s">
        <v>7062</v>
      </c>
      <c r="AV43" s="789" t="str">
        <f t="shared" si="1"/>
        <v>2:54</v>
      </c>
      <c r="AW43" s="1256"/>
    </row>
    <row r="44">
      <c r="A44" s="1202" t="s">
        <v>7064</v>
      </c>
      <c r="B44" s="1200" t="s">
        <v>5396</v>
      </c>
      <c r="C44" s="1166">
        <v>0.050826388888888886</v>
      </c>
      <c r="D44" s="1169" t="s">
        <v>7065</v>
      </c>
      <c r="E44" s="1169" t="s">
        <v>757</v>
      </c>
      <c r="F44" s="1231" t="s">
        <v>7066</v>
      </c>
      <c r="G44" s="1169" t="s">
        <v>7067</v>
      </c>
      <c r="H44" s="1169" t="s">
        <v>7068</v>
      </c>
      <c r="I44" s="1169" t="s">
        <v>4090</v>
      </c>
      <c r="J44" s="1169" t="s">
        <v>7069</v>
      </c>
      <c r="K44" s="1169" t="s">
        <v>7070</v>
      </c>
      <c r="L44" s="1169" t="s">
        <v>7071</v>
      </c>
      <c r="M44" s="1169" t="s">
        <v>7072</v>
      </c>
      <c r="N44" s="1169" t="s">
        <v>467</v>
      </c>
      <c r="O44" s="1169" t="s">
        <v>7074</v>
      </c>
      <c r="P44" s="1169" t="s">
        <v>6384</v>
      </c>
      <c r="Q44" s="1169" t="s">
        <v>7075</v>
      </c>
      <c r="R44" s="1169" t="s">
        <v>7076</v>
      </c>
      <c r="S44" s="1169" t="s">
        <v>7077</v>
      </c>
      <c r="T44" s="1169" t="s">
        <v>5229</v>
      </c>
      <c r="U44" s="1169" t="s">
        <v>7078</v>
      </c>
      <c r="V44" s="1169" t="s">
        <v>6051</v>
      </c>
      <c r="W44" s="1169" t="s">
        <v>7079</v>
      </c>
      <c r="X44" s="1169" t="s">
        <v>7080</v>
      </c>
      <c r="Y44" s="1169" t="s">
        <v>5263</v>
      </c>
      <c r="Z44" s="1169" t="s">
        <v>7081</v>
      </c>
      <c r="AA44" s="255" t="s">
        <v>7082</v>
      </c>
      <c r="AB44" s="1169" t="s">
        <v>5914</v>
      </c>
      <c r="AC44" s="1169" t="s">
        <v>2965</v>
      </c>
      <c r="AD44" s="1169" t="s">
        <v>7084</v>
      </c>
      <c r="AE44" s="1169" t="s">
        <v>6086</v>
      </c>
      <c r="AF44" s="1169" t="s">
        <v>7087</v>
      </c>
      <c r="AG44" s="1169" t="s">
        <v>470</v>
      </c>
      <c r="AH44" s="1169" t="s">
        <v>7089</v>
      </c>
      <c r="AI44" s="1169" t="s">
        <v>7090</v>
      </c>
      <c r="AJ44" s="1169" t="s">
        <v>7093</v>
      </c>
      <c r="AK44" s="1169" t="s">
        <v>6935</v>
      </c>
      <c r="AL44" s="1169" t="s">
        <v>7094</v>
      </c>
      <c r="AM44" s="1169" t="s">
        <v>6935</v>
      </c>
      <c r="AN44" s="1169" t="s">
        <v>5515</v>
      </c>
      <c r="AO44" s="1169" t="s">
        <v>2003</v>
      </c>
      <c r="AP44" s="1169" t="s">
        <v>7095</v>
      </c>
      <c r="AQ44" s="1169" t="s">
        <v>7096</v>
      </c>
      <c r="AR44" s="1169" t="s">
        <v>7097</v>
      </c>
      <c r="AS44" s="1169" t="s">
        <v>7098</v>
      </c>
      <c r="AT44" s="1169" t="s">
        <v>7099</v>
      </c>
      <c r="AU44" s="1169" t="s">
        <v>7100</v>
      </c>
      <c r="AV44" s="789" t="str">
        <f t="shared" si="1"/>
        <v>2:25</v>
      </c>
      <c r="AW44" s="1227"/>
    </row>
    <row r="45" ht="15.75" customHeight="1">
      <c r="A45" s="1202" t="s">
        <v>7101</v>
      </c>
      <c r="B45" s="1108" t="s">
        <v>5396</v>
      </c>
      <c r="C45" s="1299">
        <v>0.050868055555555555</v>
      </c>
      <c r="D45" s="63" t="s">
        <v>7102</v>
      </c>
      <c r="E45" s="789" t="s">
        <v>2727</v>
      </c>
      <c r="F45" s="789" t="s">
        <v>7103</v>
      </c>
      <c r="G45" s="789" t="s">
        <v>7104</v>
      </c>
      <c r="H45" s="789" t="s">
        <v>6823</v>
      </c>
      <c r="I45" s="789" t="s">
        <v>4090</v>
      </c>
      <c r="J45" s="789" t="s">
        <v>7105</v>
      </c>
      <c r="K45" s="789" t="s">
        <v>6396</v>
      </c>
      <c r="L45" s="789" t="s">
        <v>6088</v>
      </c>
      <c r="M45" s="789" t="s">
        <v>7106</v>
      </c>
      <c r="N45" s="789" t="s">
        <v>1905</v>
      </c>
      <c r="O45" s="789" t="s">
        <v>7108</v>
      </c>
      <c r="P45" s="789" t="s">
        <v>2014</v>
      </c>
      <c r="Q45" s="789" t="s">
        <v>7110</v>
      </c>
      <c r="R45" s="789" t="s">
        <v>1731</v>
      </c>
      <c r="S45" s="789" t="s">
        <v>6056</v>
      </c>
      <c r="T45" s="789" t="s">
        <v>2253</v>
      </c>
      <c r="U45" s="789" t="s">
        <v>7112</v>
      </c>
      <c r="V45" s="789" t="s">
        <v>6463</v>
      </c>
      <c r="W45" s="789" t="s">
        <v>7113</v>
      </c>
      <c r="X45" s="789" t="s">
        <v>6471</v>
      </c>
      <c r="Y45" s="789" t="s">
        <v>7114</v>
      </c>
      <c r="Z45" s="789" t="s">
        <v>7115</v>
      </c>
      <c r="AA45" s="789" t="s">
        <v>7116</v>
      </c>
      <c r="AB45" s="789" t="s">
        <v>496</v>
      </c>
      <c r="AC45" s="789" t="s">
        <v>7117</v>
      </c>
      <c r="AD45" s="789" t="s">
        <v>7118</v>
      </c>
      <c r="AE45" s="789" t="s">
        <v>2314</v>
      </c>
      <c r="AF45" s="789" t="s">
        <v>7119</v>
      </c>
      <c r="AG45" s="789" t="s">
        <v>1591</v>
      </c>
      <c r="AH45" s="789" t="s">
        <v>5610</v>
      </c>
      <c r="AI45" s="789" t="s">
        <v>2110</v>
      </c>
      <c r="AJ45" s="789" t="s">
        <v>7121</v>
      </c>
      <c r="AK45" s="789" t="s">
        <v>7122</v>
      </c>
      <c r="AL45" s="789" t="s">
        <v>7123</v>
      </c>
      <c r="AM45" s="789" t="s">
        <v>7124</v>
      </c>
      <c r="AN45" s="789" t="s">
        <v>3852</v>
      </c>
      <c r="AO45" s="789" t="s">
        <v>6371</v>
      </c>
      <c r="AP45" s="789" t="s">
        <v>7125</v>
      </c>
      <c r="AQ45" s="789" t="s">
        <v>7126</v>
      </c>
      <c r="AR45" s="789" t="s">
        <v>6072</v>
      </c>
      <c r="AS45" s="789" t="s">
        <v>3630</v>
      </c>
      <c r="AT45" s="789" t="s">
        <v>7127</v>
      </c>
      <c r="AU45" s="789" t="s">
        <v>7128</v>
      </c>
      <c r="AV45" s="789" t="str">
        <f t="shared" si="1"/>
        <v>2:44</v>
      </c>
      <c r="AW45" s="1181"/>
    </row>
    <row r="46" ht="15.75" customHeight="1">
      <c r="A46" s="1202" t="s">
        <v>88</v>
      </c>
      <c r="B46" s="1384" t="s">
        <v>5482</v>
      </c>
      <c r="C46" s="1385">
        <v>0.05092592592592592</v>
      </c>
      <c r="D46" s="1386" t="s">
        <v>5483</v>
      </c>
      <c r="E46" s="1387" t="s">
        <v>5484</v>
      </c>
      <c r="F46" s="1386" t="s">
        <v>5485</v>
      </c>
      <c r="G46" s="1169" t="s">
        <v>7131</v>
      </c>
      <c r="H46" s="1386" t="s">
        <v>5487</v>
      </c>
      <c r="I46" s="789" t="s">
        <v>4858</v>
      </c>
      <c r="J46" s="244" t="s">
        <v>7134</v>
      </c>
      <c r="K46" s="789" t="s">
        <v>6752</v>
      </c>
      <c r="L46" s="244" t="s">
        <v>7135</v>
      </c>
      <c r="M46" s="789" t="s">
        <v>6751</v>
      </c>
      <c r="N46" s="1386" t="s">
        <v>5430</v>
      </c>
      <c r="O46" s="789" t="s">
        <v>7136</v>
      </c>
      <c r="P46" s="244" t="s">
        <v>2440</v>
      </c>
      <c r="Q46" s="1387" t="s">
        <v>5494</v>
      </c>
      <c r="R46" s="1386" t="s">
        <v>5495</v>
      </c>
      <c r="S46" s="789" t="s">
        <v>2512</v>
      </c>
      <c r="T46" s="244" t="s">
        <v>3158</v>
      </c>
      <c r="U46" s="1387" t="s">
        <v>5498</v>
      </c>
      <c r="V46" s="1386" t="s">
        <v>5499</v>
      </c>
      <c r="W46" s="789" t="s">
        <v>7140</v>
      </c>
      <c r="X46" s="1386" t="s">
        <v>5501</v>
      </c>
      <c r="Y46" s="789" t="s">
        <v>7142</v>
      </c>
      <c r="Z46" s="1231" t="s">
        <v>7143</v>
      </c>
      <c r="AA46" s="789" t="s">
        <v>7144</v>
      </c>
      <c r="AB46" s="244" t="s">
        <v>6200</v>
      </c>
      <c r="AC46" s="1169" t="s">
        <v>7145</v>
      </c>
      <c r="AD46" s="244" t="s">
        <v>7147</v>
      </c>
      <c r="AE46" s="1169" t="s">
        <v>7148</v>
      </c>
      <c r="AF46" s="244" t="s">
        <v>7150</v>
      </c>
      <c r="AG46" s="789" t="s">
        <v>4879</v>
      </c>
      <c r="AH46" s="1231" t="s">
        <v>6952</v>
      </c>
      <c r="AI46" s="1387" t="s">
        <v>5511</v>
      </c>
      <c r="AJ46" s="244" t="s">
        <v>7156</v>
      </c>
      <c r="AK46" s="789" t="s">
        <v>2459</v>
      </c>
      <c r="AL46" s="1386" t="s">
        <v>5513</v>
      </c>
      <c r="AM46" s="789" t="s">
        <v>6302</v>
      </c>
      <c r="AN46" s="244" t="s">
        <v>4062</v>
      </c>
      <c r="AO46" s="1169" t="s">
        <v>7158</v>
      </c>
      <c r="AP46" s="1231" t="s">
        <v>7159</v>
      </c>
      <c r="AQ46" s="1169" t="s">
        <v>7160</v>
      </c>
      <c r="AR46" s="1231" t="s">
        <v>7161</v>
      </c>
      <c r="AS46" s="789" t="s">
        <v>2483</v>
      </c>
      <c r="AT46" s="1386" t="s">
        <v>5520</v>
      </c>
      <c r="AU46" s="1169" t="s">
        <v>5521</v>
      </c>
      <c r="AV46" s="789" t="str">
        <f t="shared" si="1"/>
        <v>2:24</v>
      </c>
      <c r="AW46" s="1201"/>
    </row>
    <row r="47">
      <c r="A47" s="1202" t="s">
        <v>490</v>
      </c>
      <c r="B47" s="1203" t="s">
        <v>5444</v>
      </c>
      <c r="C47" s="1166">
        <v>0.05092592592592592</v>
      </c>
      <c r="D47" s="63" t="s">
        <v>7166</v>
      </c>
      <c r="E47" s="1231" t="s">
        <v>7167</v>
      </c>
      <c r="F47" s="1231" t="s">
        <v>7169</v>
      </c>
      <c r="G47" s="1231" t="s">
        <v>7172</v>
      </c>
      <c r="H47" s="317" t="s">
        <v>7174</v>
      </c>
      <c r="I47" s="317" t="s">
        <v>7176</v>
      </c>
      <c r="J47" s="1208" t="s">
        <v>4436</v>
      </c>
      <c r="K47" s="1208" t="s">
        <v>7177</v>
      </c>
      <c r="L47" s="1208" t="s">
        <v>1425</v>
      </c>
      <c r="M47" s="1208" t="s">
        <v>1524</v>
      </c>
      <c r="N47" s="1208" t="s">
        <v>3744</v>
      </c>
      <c r="O47" s="1208" t="s">
        <v>7179</v>
      </c>
      <c r="P47" s="1208" t="s">
        <v>3204</v>
      </c>
      <c r="Q47" s="269" t="s">
        <v>3019</v>
      </c>
      <c r="R47" s="269" t="s">
        <v>1837</v>
      </c>
      <c r="S47" s="269" t="s">
        <v>296</v>
      </c>
      <c r="T47" s="269" t="s">
        <v>7180</v>
      </c>
      <c r="U47" s="1393" t="s">
        <v>3478</v>
      </c>
      <c r="V47" s="269" t="s">
        <v>7189</v>
      </c>
      <c r="W47" s="255" t="s">
        <v>1556</v>
      </c>
      <c r="X47" s="255" t="s">
        <v>7190</v>
      </c>
      <c r="Y47" s="255" t="s">
        <v>7192</v>
      </c>
      <c r="Z47" s="255" t="s">
        <v>2744</v>
      </c>
      <c r="AA47" s="255" t="s">
        <v>6033</v>
      </c>
      <c r="AB47" s="255" t="s">
        <v>7195</v>
      </c>
      <c r="AC47" s="255" t="s">
        <v>7197</v>
      </c>
      <c r="AD47" s="1231" t="s">
        <v>7199</v>
      </c>
      <c r="AE47" s="1231" t="s">
        <v>7201</v>
      </c>
      <c r="AF47" s="1234" t="s">
        <v>7203</v>
      </c>
      <c r="AG47" s="1234" t="s">
        <v>7204</v>
      </c>
      <c r="AH47" s="1234" t="s">
        <v>6865</v>
      </c>
      <c r="AI47" s="1234" t="s">
        <v>7207</v>
      </c>
      <c r="AJ47" s="1217" t="s">
        <v>5468</v>
      </c>
      <c r="AK47" s="1234" t="s">
        <v>496</v>
      </c>
      <c r="AL47" s="1234" t="s">
        <v>7210</v>
      </c>
      <c r="AM47" s="1235" t="s">
        <v>6504</v>
      </c>
      <c r="AN47" s="1235" t="s">
        <v>7211</v>
      </c>
      <c r="AO47" s="1235" t="s">
        <v>7212</v>
      </c>
      <c r="AP47" s="1235" t="s">
        <v>7213</v>
      </c>
      <c r="AQ47" s="1235" t="s">
        <v>7214</v>
      </c>
      <c r="AR47" s="1235" t="s">
        <v>3002</v>
      </c>
      <c r="AS47" s="1235" t="s">
        <v>4862</v>
      </c>
      <c r="AT47" s="1208" t="s">
        <v>7215</v>
      </c>
      <c r="AU47" s="125" t="s">
        <v>7216</v>
      </c>
      <c r="AV47" s="789" t="str">
        <f t="shared" si="1"/>
        <v>4:25</v>
      </c>
      <c r="AW47" s="1199"/>
    </row>
    <row r="48">
      <c r="A48" s="1202" t="s">
        <v>89</v>
      </c>
      <c r="B48" s="1200" t="s">
        <v>5396</v>
      </c>
      <c r="C48" s="1166">
        <v>0.05096064814814815</v>
      </c>
      <c r="D48" s="74" t="s">
        <v>7217</v>
      </c>
      <c r="E48" s="162" t="s">
        <v>7218</v>
      </c>
      <c r="F48" s="1398" t="s">
        <v>7219</v>
      </c>
      <c r="G48" s="162" t="s">
        <v>7220</v>
      </c>
      <c r="H48" s="63" t="s">
        <v>7222</v>
      </c>
      <c r="I48" s="1399" t="s">
        <v>1451</v>
      </c>
      <c r="J48" s="162" t="s">
        <v>7223</v>
      </c>
      <c r="K48" s="162" t="s">
        <v>7223</v>
      </c>
      <c r="L48" s="162" t="s">
        <v>6192</v>
      </c>
      <c r="M48" s="162" t="s">
        <v>7224</v>
      </c>
      <c r="N48" s="162" t="s">
        <v>7225</v>
      </c>
      <c r="O48" s="162" t="s">
        <v>7226</v>
      </c>
      <c r="P48" s="162" t="s">
        <v>2790</v>
      </c>
      <c r="Q48" s="162" t="s">
        <v>7227</v>
      </c>
      <c r="R48" s="162" t="s">
        <v>7228</v>
      </c>
      <c r="S48" s="1111" t="s">
        <v>1275</v>
      </c>
      <c r="T48" s="162" t="s">
        <v>7229</v>
      </c>
      <c r="U48" s="162" t="s">
        <v>571</v>
      </c>
      <c r="V48" s="162" t="s">
        <v>7230</v>
      </c>
      <c r="W48" s="1398" t="s">
        <v>7231</v>
      </c>
      <c r="X48" s="162" t="s">
        <v>7232</v>
      </c>
      <c r="Y48" s="162" t="s">
        <v>2203</v>
      </c>
      <c r="Z48" s="162" t="s">
        <v>7233</v>
      </c>
      <c r="AA48" s="162" t="s">
        <v>6861</v>
      </c>
      <c r="AB48" s="162" t="s">
        <v>1284</v>
      </c>
      <c r="AC48" s="162" t="s">
        <v>4584</v>
      </c>
      <c r="AD48" s="162" t="s">
        <v>7234</v>
      </c>
      <c r="AE48" s="162" t="s">
        <v>6384</v>
      </c>
      <c r="AF48" s="162" t="s">
        <v>7235</v>
      </c>
      <c r="AG48" s="1398" t="s">
        <v>6347</v>
      </c>
      <c r="AH48" s="162" t="s">
        <v>7236</v>
      </c>
      <c r="AI48" s="162" t="s">
        <v>7237</v>
      </c>
      <c r="AJ48" s="162" t="s">
        <v>7238</v>
      </c>
      <c r="AK48" s="162" t="s">
        <v>7239</v>
      </c>
      <c r="AL48" s="162" t="s">
        <v>7240</v>
      </c>
      <c r="AM48" s="162" t="s">
        <v>7241</v>
      </c>
      <c r="AN48" s="162" t="s">
        <v>3828</v>
      </c>
      <c r="AO48" s="162" t="s">
        <v>7097</v>
      </c>
      <c r="AP48" s="162" t="s">
        <v>7243</v>
      </c>
      <c r="AQ48" s="162" t="s">
        <v>7244</v>
      </c>
      <c r="AR48" s="162" t="s">
        <v>7245</v>
      </c>
      <c r="AS48" s="162" t="s">
        <v>1055</v>
      </c>
      <c r="AT48" s="1398" t="s">
        <v>7247</v>
      </c>
      <c r="AU48" s="162" t="s">
        <v>7251</v>
      </c>
      <c r="AV48" s="789" t="str">
        <f t="shared" si="1"/>
        <v>3:51</v>
      </c>
      <c r="AW48" s="1404" t="s">
        <v>7255</v>
      </c>
    </row>
    <row r="49" ht="15.75" customHeight="1">
      <c r="A49" s="1107" t="s">
        <v>7256</v>
      </c>
      <c r="B49" s="1237" t="s">
        <v>5444</v>
      </c>
      <c r="C49" s="1166">
        <v>0.05100810185185185</v>
      </c>
      <c r="D49" s="63" t="s">
        <v>7257</v>
      </c>
      <c r="E49" s="1231" t="s">
        <v>7258</v>
      </c>
      <c r="F49" s="1231" t="s">
        <v>7259</v>
      </c>
      <c r="G49" s="244" t="s">
        <v>7260</v>
      </c>
      <c r="H49" s="317" t="s">
        <v>7261</v>
      </c>
      <c r="I49" s="317" t="s">
        <v>4858</v>
      </c>
      <c r="J49" s="1208" t="s">
        <v>7097</v>
      </c>
      <c r="K49" s="1208" t="s">
        <v>6749</v>
      </c>
      <c r="L49" s="1208" t="s">
        <v>7263</v>
      </c>
      <c r="M49" s="1208" t="s">
        <v>4921</v>
      </c>
      <c r="N49" s="1208" t="s">
        <v>5562</v>
      </c>
      <c r="O49" s="1208" t="s">
        <v>5810</v>
      </c>
      <c r="P49" s="1208" t="s">
        <v>7265</v>
      </c>
      <c r="Q49" s="269" t="s">
        <v>7267</v>
      </c>
      <c r="R49" s="269" t="s">
        <v>5701</v>
      </c>
      <c r="S49" s="269" t="s">
        <v>2675</v>
      </c>
      <c r="T49" s="269" t="s">
        <v>7270</v>
      </c>
      <c r="U49" s="269" t="s">
        <v>7272</v>
      </c>
      <c r="V49" s="270" t="s">
        <v>4783</v>
      </c>
      <c r="W49" s="255" t="s">
        <v>7273</v>
      </c>
      <c r="X49" s="255" t="s">
        <v>6840</v>
      </c>
      <c r="Y49" s="255" t="s">
        <v>6400</v>
      </c>
      <c r="Z49" s="255" t="s">
        <v>2575</v>
      </c>
      <c r="AA49" s="255" t="s">
        <v>3541</v>
      </c>
      <c r="AB49" s="255" t="s">
        <v>2534</v>
      </c>
      <c r="AC49" s="1258" t="s">
        <v>2570</v>
      </c>
      <c r="AD49" s="1231" t="s">
        <v>7274</v>
      </c>
      <c r="AE49" s="244" t="s">
        <v>7275</v>
      </c>
      <c r="AF49" s="1234" t="s">
        <v>7276</v>
      </c>
      <c r="AG49" s="1234" t="s">
        <v>7277</v>
      </c>
      <c r="AH49" s="1234" t="s">
        <v>7278</v>
      </c>
      <c r="AI49" s="1234" t="s">
        <v>6276</v>
      </c>
      <c r="AJ49" s="1234" t="s">
        <v>7279</v>
      </c>
      <c r="AK49" s="1234" t="s">
        <v>7280</v>
      </c>
      <c r="AL49" s="1234" t="s">
        <v>7281</v>
      </c>
      <c r="AM49" s="1235" t="s">
        <v>7282</v>
      </c>
      <c r="AN49" s="1235" t="s">
        <v>1909</v>
      </c>
      <c r="AO49" s="1235" t="s">
        <v>7283</v>
      </c>
      <c r="AP49" s="1235" t="s">
        <v>7285</v>
      </c>
      <c r="AQ49" s="1235" t="s">
        <v>7214</v>
      </c>
      <c r="AR49" s="1235" t="s">
        <v>7287</v>
      </c>
      <c r="AS49" s="1235" t="s">
        <v>5146</v>
      </c>
      <c r="AT49" s="1208" t="s">
        <v>7289</v>
      </c>
      <c r="AU49" s="1192" t="s">
        <v>7290</v>
      </c>
      <c r="AV49" s="789" t="str">
        <f t="shared" si="1"/>
        <v>3:17</v>
      </c>
      <c r="AW49" s="1193" t="s">
        <v>7291</v>
      </c>
    </row>
    <row r="50" ht="15.75" customHeight="1">
      <c r="A50" s="1202" t="s">
        <v>82</v>
      </c>
      <c r="B50" s="1189" t="s">
        <v>5444</v>
      </c>
      <c r="C50" s="1166">
        <v>0.05112268518518519</v>
      </c>
      <c r="D50" s="1231" t="s">
        <v>7298</v>
      </c>
      <c r="E50" s="1231" t="s">
        <v>7301</v>
      </c>
      <c r="F50" s="1231" t="s">
        <v>7302</v>
      </c>
      <c r="G50" s="1231" t="s">
        <v>7304</v>
      </c>
      <c r="H50" s="63" t="s">
        <v>7305</v>
      </c>
      <c r="I50" s="317" t="s">
        <v>6179</v>
      </c>
      <c r="J50" s="1208" t="s">
        <v>5805</v>
      </c>
      <c r="K50" s="1208" t="s">
        <v>7314</v>
      </c>
      <c r="L50" s="1128" t="s">
        <v>3042</v>
      </c>
      <c r="M50" s="1208" t="s">
        <v>3771</v>
      </c>
      <c r="N50" s="1208" t="s">
        <v>6797</v>
      </c>
      <c r="O50" s="1208" t="s">
        <v>7330</v>
      </c>
      <c r="P50" s="1208" t="s">
        <v>5033</v>
      </c>
      <c r="Q50" s="269" t="s">
        <v>7334</v>
      </c>
      <c r="R50" s="1409" t="s">
        <v>7337</v>
      </c>
      <c r="S50" s="269" t="s">
        <v>1463</v>
      </c>
      <c r="T50" s="269" t="s">
        <v>7354</v>
      </c>
      <c r="U50" s="269" t="s">
        <v>7355</v>
      </c>
      <c r="V50" s="269" t="s">
        <v>7357</v>
      </c>
      <c r="W50" s="255" t="s">
        <v>7361</v>
      </c>
      <c r="X50" s="255" t="s">
        <v>7365</v>
      </c>
      <c r="Y50" s="1247" t="s">
        <v>2483</v>
      </c>
      <c r="Z50" s="255" t="s">
        <v>7370</v>
      </c>
      <c r="AA50" s="1169" t="s">
        <v>7371</v>
      </c>
      <c r="AB50" s="255" t="s">
        <v>2086</v>
      </c>
      <c r="AC50" s="255" t="s">
        <v>5601</v>
      </c>
      <c r="AD50" s="1231" t="s">
        <v>7379</v>
      </c>
      <c r="AE50" s="1231" t="s">
        <v>5506</v>
      </c>
      <c r="AF50" s="1234" t="s">
        <v>5836</v>
      </c>
      <c r="AG50" s="1234" t="s">
        <v>727</v>
      </c>
      <c r="AH50" s="1234" t="s">
        <v>1657</v>
      </c>
      <c r="AI50" s="1234" t="s">
        <v>7389</v>
      </c>
      <c r="AJ50" s="1234" t="s">
        <v>7392</v>
      </c>
      <c r="AK50" s="1234" t="s">
        <v>7393</v>
      </c>
      <c r="AL50" s="1234" t="s">
        <v>7395</v>
      </c>
      <c r="AM50" s="1235" t="s">
        <v>7397</v>
      </c>
      <c r="AN50" s="287" t="s">
        <v>7402</v>
      </c>
      <c r="AO50" s="1235" t="s">
        <v>5593</v>
      </c>
      <c r="AP50" s="1235" t="s">
        <v>7419</v>
      </c>
      <c r="AQ50" s="1235" t="s">
        <v>7422</v>
      </c>
      <c r="AR50" s="1235" t="s">
        <v>7425</v>
      </c>
      <c r="AS50" s="1235" t="s">
        <v>4129</v>
      </c>
      <c r="AT50" s="1208" t="s">
        <v>7428</v>
      </c>
      <c r="AU50" s="1192" t="s">
        <v>7432</v>
      </c>
      <c r="AV50" s="789" t="str">
        <f t="shared" si="1"/>
        <v>4:57</v>
      </c>
      <c r="AW50" s="1256"/>
    </row>
    <row r="51">
      <c r="A51" s="1202" t="s">
        <v>1789</v>
      </c>
      <c r="B51" s="1200" t="s">
        <v>5444</v>
      </c>
      <c r="C51" s="1166">
        <v>0.05112268518518519</v>
      </c>
      <c r="D51" s="1169" t="s">
        <v>7451</v>
      </c>
      <c r="E51" s="1169" t="s">
        <v>3370</v>
      </c>
      <c r="F51" s="1169" t="s">
        <v>7454</v>
      </c>
      <c r="G51" s="1283" t="s">
        <v>5447</v>
      </c>
      <c r="H51" s="63" t="s">
        <v>7455</v>
      </c>
      <c r="I51" s="1169" t="s">
        <v>3171</v>
      </c>
      <c r="J51" s="1169" t="s">
        <v>313</v>
      </c>
      <c r="K51" s="1169" t="s">
        <v>7461</v>
      </c>
      <c r="L51" s="1169" t="s">
        <v>4783</v>
      </c>
      <c r="M51" s="1169" t="s">
        <v>7463</v>
      </c>
      <c r="N51" s="1169" t="s">
        <v>5627</v>
      </c>
      <c r="O51" s="1169" t="s">
        <v>7464</v>
      </c>
      <c r="P51" s="1169" t="s">
        <v>7114</v>
      </c>
      <c r="Q51" s="1169" t="s">
        <v>7465</v>
      </c>
      <c r="R51" s="1169" t="s">
        <v>7466</v>
      </c>
      <c r="S51" s="1169" t="s">
        <v>7467</v>
      </c>
      <c r="T51" s="1169" t="s">
        <v>3906</v>
      </c>
      <c r="U51" s="269" t="s">
        <v>6316</v>
      </c>
      <c r="V51" s="1169" t="s">
        <v>7469</v>
      </c>
      <c r="W51" s="1169" t="s">
        <v>7470</v>
      </c>
      <c r="X51" s="1169" t="s">
        <v>2470</v>
      </c>
      <c r="Y51" s="1169" t="s">
        <v>5270</v>
      </c>
      <c r="Z51" s="1169" t="s">
        <v>5976</v>
      </c>
      <c r="AA51" s="255" t="s">
        <v>2291</v>
      </c>
      <c r="AB51" s="1169" t="s">
        <v>7478</v>
      </c>
      <c r="AC51" s="1169" t="s">
        <v>7201</v>
      </c>
      <c r="AD51" s="1169" t="s">
        <v>7480</v>
      </c>
      <c r="AE51" s="1169" t="s">
        <v>7114</v>
      </c>
      <c r="AF51" s="1169" t="s">
        <v>7482</v>
      </c>
      <c r="AG51" s="1169" t="s">
        <v>7483</v>
      </c>
      <c r="AH51" s="1169" t="s">
        <v>7490</v>
      </c>
      <c r="AI51" s="1169" t="s">
        <v>7492</v>
      </c>
      <c r="AJ51" s="1169" t="s">
        <v>7494</v>
      </c>
      <c r="AK51" s="1169" t="s">
        <v>6477</v>
      </c>
      <c r="AL51" s="1169" t="s">
        <v>7497</v>
      </c>
      <c r="AM51" s="1169" t="s">
        <v>6662</v>
      </c>
      <c r="AN51" s="1169" t="s">
        <v>7500</v>
      </c>
      <c r="AO51" s="1169" t="s">
        <v>3600</v>
      </c>
      <c r="AP51" s="1169" t="s">
        <v>7505</v>
      </c>
      <c r="AQ51" s="1169" t="s">
        <v>7506</v>
      </c>
      <c r="AR51" s="1169" t="s">
        <v>7509</v>
      </c>
      <c r="AS51" s="1169" t="s">
        <v>5263</v>
      </c>
      <c r="AT51" s="1169" t="s">
        <v>7511</v>
      </c>
      <c r="AU51" s="1169" t="s">
        <v>7514</v>
      </c>
      <c r="AV51" s="789" t="str">
        <f t="shared" si="1"/>
        <v>3:15</v>
      </c>
      <c r="AW51" s="186"/>
    </row>
    <row r="52" ht="15.75" customHeight="1">
      <c r="A52" s="1107" t="s">
        <v>147</v>
      </c>
      <c r="B52" s="1357" t="s">
        <v>5396</v>
      </c>
      <c r="C52" s="1166">
        <v>0.051180555555555556</v>
      </c>
      <c r="D52" s="63" t="s">
        <v>7515</v>
      </c>
      <c r="E52" s="1169" t="s">
        <v>7516</v>
      </c>
      <c r="F52" s="1169" t="s">
        <v>7517</v>
      </c>
      <c r="G52" s="1169" t="s">
        <v>7518</v>
      </c>
      <c r="H52" s="1169" t="s">
        <v>7521</v>
      </c>
      <c r="I52" s="1169" t="s">
        <v>4653</v>
      </c>
      <c r="J52" s="1169" t="s">
        <v>3813</v>
      </c>
      <c r="K52" s="1169" t="s">
        <v>2528</v>
      </c>
      <c r="L52" s="1169" t="s">
        <v>5818</v>
      </c>
      <c r="M52" s="1169" t="s">
        <v>7529</v>
      </c>
      <c r="N52" s="1169" t="s">
        <v>7530</v>
      </c>
      <c r="O52" s="1169" t="s">
        <v>7531</v>
      </c>
      <c r="P52" s="1169" t="s">
        <v>7532</v>
      </c>
      <c r="Q52" s="1169" t="s">
        <v>356</v>
      </c>
      <c r="R52" s="1169" t="s">
        <v>7535</v>
      </c>
      <c r="S52" s="1169" t="s">
        <v>3659</v>
      </c>
      <c r="T52" s="789" t="s">
        <v>7540</v>
      </c>
      <c r="U52" s="789" t="s">
        <v>7543</v>
      </c>
      <c r="V52" s="1169" t="s">
        <v>2711</v>
      </c>
      <c r="W52" s="1169" t="s">
        <v>7546</v>
      </c>
      <c r="X52" s="1169" t="s">
        <v>7547</v>
      </c>
      <c r="Y52" s="1169" t="s">
        <v>6384</v>
      </c>
      <c r="Z52" s="1169" t="s">
        <v>7548</v>
      </c>
      <c r="AA52" s="1169" t="s">
        <v>7550</v>
      </c>
      <c r="AB52" s="1169" t="s">
        <v>7553</v>
      </c>
      <c r="AC52" s="1169" t="s">
        <v>3647</v>
      </c>
      <c r="AD52" s="1169" t="s">
        <v>7274</v>
      </c>
      <c r="AE52" s="1169" t="s">
        <v>7557</v>
      </c>
      <c r="AF52" s="789" t="s">
        <v>7559</v>
      </c>
      <c r="AG52" s="1169" t="s">
        <v>1335</v>
      </c>
      <c r="AH52" s="1169" t="s">
        <v>7561</v>
      </c>
      <c r="AI52" s="1169" t="s">
        <v>7562</v>
      </c>
      <c r="AJ52" s="1169" t="s">
        <v>7564</v>
      </c>
      <c r="AK52" s="1169" t="s">
        <v>7566</v>
      </c>
      <c r="AL52" s="1169" t="s">
        <v>7569</v>
      </c>
      <c r="AM52" s="1169" t="s">
        <v>1994</v>
      </c>
      <c r="AN52" s="1169" t="s">
        <v>6690</v>
      </c>
      <c r="AO52" s="1178" t="str">
        <f>HYPERLINK("https://clips.twitch.tv/AltruisticEmpathicManateeDoritosChip","1:20.90")</f>
        <v>1:20.90</v>
      </c>
      <c r="AP52" s="1169" t="s">
        <v>7588</v>
      </c>
      <c r="AQ52" s="1169" t="s">
        <v>7589</v>
      </c>
      <c r="AR52" s="1169" t="s">
        <v>7590</v>
      </c>
      <c r="AS52" s="1169" t="s">
        <v>5616</v>
      </c>
      <c r="AT52" s="1169" t="s">
        <v>7595</v>
      </c>
      <c r="AU52" s="1169" t="s">
        <v>7597</v>
      </c>
      <c r="AV52" s="789" t="str">
        <f t="shared" si="1"/>
        <v>2:40</v>
      </c>
      <c r="AW52" s="1227" t="s">
        <v>7600</v>
      </c>
    </row>
    <row r="53" ht="15.75" customHeight="1">
      <c r="A53" s="1202" t="s">
        <v>7513</v>
      </c>
      <c r="B53" s="1384" t="s">
        <v>5396</v>
      </c>
      <c r="C53" s="1431">
        <v>0.05123738425925926</v>
      </c>
      <c r="D53" s="1231" t="s">
        <v>7602</v>
      </c>
      <c r="E53" s="1231" t="s">
        <v>7603</v>
      </c>
      <c r="F53" s="1231" t="s">
        <v>7604</v>
      </c>
      <c r="G53" s="1231" t="s">
        <v>6413</v>
      </c>
      <c r="H53" s="317" t="s">
        <v>7605</v>
      </c>
      <c r="I53" s="317" t="s">
        <v>6783</v>
      </c>
      <c r="J53" s="1208" t="s">
        <v>6749</v>
      </c>
      <c r="K53" s="1208" t="s">
        <v>5552</v>
      </c>
      <c r="L53" s="1208" t="s">
        <v>7606</v>
      </c>
      <c r="M53" s="1208" t="s">
        <v>6152</v>
      </c>
      <c r="N53" s="1433" t="s">
        <v>4450</v>
      </c>
      <c r="O53" s="1208" t="s">
        <v>7607</v>
      </c>
      <c r="P53" s="1208" t="s">
        <v>5711</v>
      </c>
      <c r="Q53" s="269" t="s">
        <v>7608</v>
      </c>
      <c r="R53" s="269" t="s">
        <v>6680</v>
      </c>
      <c r="S53" s="269" t="s">
        <v>7609</v>
      </c>
      <c r="T53" s="269" t="s">
        <v>7610</v>
      </c>
      <c r="U53" s="269" t="s">
        <v>7611</v>
      </c>
      <c r="V53" s="269" t="s">
        <v>7612</v>
      </c>
      <c r="W53" s="255" t="s">
        <v>7613</v>
      </c>
      <c r="X53" s="255" t="s">
        <v>7614</v>
      </c>
      <c r="Y53" s="255" t="s">
        <v>7615</v>
      </c>
      <c r="Z53" s="255" t="s">
        <v>369</v>
      </c>
      <c r="AA53" s="255" t="s">
        <v>6276</v>
      </c>
      <c r="AB53" s="255" t="s">
        <v>6923</v>
      </c>
      <c r="AC53" s="255" t="s">
        <v>1727</v>
      </c>
      <c r="AD53" s="1231" t="s">
        <v>7616</v>
      </c>
      <c r="AE53" s="1231" t="s">
        <v>5994</v>
      </c>
      <c r="AF53" s="1234" t="s">
        <v>7617</v>
      </c>
      <c r="AG53" s="1234" t="s">
        <v>7618</v>
      </c>
      <c r="AH53" s="1234" t="s">
        <v>7619</v>
      </c>
      <c r="AI53" s="1234" t="s">
        <v>873</v>
      </c>
      <c r="AJ53" s="1234" t="s">
        <v>7620</v>
      </c>
      <c r="AK53" s="1198" t="s">
        <v>6533</v>
      </c>
      <c r="AL53" s="1234" t="s">
        <v>6123</v>
      </c>
      <c r="AM53" s="1235" t="s">
        <v>7621</v>
      </c>
      <c r="AN53" s="1235" t="s">
        <v>2027</v>
      </c>
      <c r="AO53" s="1235" t="s">
        <v>7622</v>
      </c>
      <c r="AP53" s="1235" t="s">
        <v>7623</v>
      </c>
      <c r="AQ53" s="63" t="s">
        <v>7624</v>
      </c>
      <c r="AR53" s="1439" t="s">
        <v>7625</v>
      </c>
      <c r="AS53" s="1235" t="s">
        <v>7626</v>
      </c>
      <c r="AT53" s="1208" t="s">
        <v>7627</v>
      </c>
      <c r="AU53" s="1192" t="s">
        <v>7628</v>
      </c>
      <c r="AV53" s="789" t="str">
        <f t="shared" si="1"/>
        <v>3:45</v>
      </c>
      <c r="AW53" s="1193" t="s">
        <v>7629</v>
      </c>
    </row>
    <row r="54" ht="15.75" customHeight="1">
      <c r="A54" s="1202" t="s">
        <v>141</v>
      </c>
      <c r="B54" s="1434" t="s">
        <v>5482</v>
      </c>
      <c r="C54" s="1299">
        <v>0.051319444444444445</v>
      </c>
      <c r="D54" s="63" t="s">
        <v>7630</v>
      </c>
      <c r="E54" s="789" t="s">
        <v>7631</v>
      </c>
      <c r="F54" s="789" t="s">
        <v>7632</v>
      </c>
      <c r="G54" s="789" t="s">
        <v>7633</v>
      </c>
      <c r="H54" s="789" t="s">
        <v>7634</v>
      </c>
      <c r="I54" s="789" t="s">
        <v>2557</v>
      </c>
      <c r="J54" s="789" t="s">
        <v>7635</v>
      </c>
      <c r="K54" s="789" t="s">
        <v>5740</v>
      </c>
      <c r="L54" s="789" t="s">
        <v>7636</v>
      </c>
      <c r="M54" s="789" t="s">
        <v>7637</v>
      </c>
      <c r="N54" s="789" t="s">
        <v>6654</v>
      </c>
      <c r="O54" s="789" t="s">
        <v>7638</v>
      </c>
      <c r="P54" s="1440" t="s">
        <v>5493</v>
      </c>
      <c r="Q54" s="789" t="s">
        <v>7639</v>
      </c>
      <c r="R54" s="789" t="s">
        <v>7640</v>
      </c>
      <c r="S54" s="789" t="s">
        <v>4447</v>
      </c>
      <c r="T54" s="789" t="s">
        <v>7641</v>
      </c>
      <c r="U54" s="789" t="s">
        <v>4307</v>
      </c>
      <c r="V54" s="789" t="s">
        <v>1615</v>
      </c>
      <c r="W54" s="789" t="s">
        <v>7642</v>
      </c>
      <c r="X54" s="789" t="s">
        <v>862</v>
      </c>
      <c r="Y54" s="789" t="s">
        <v>7643</v>
      </c>
      <c r="Z54" s="789" t="s">
        <v>2019</v>
      </c>
      <c r="AA54" s="789" t="s">
        <v>7049</v>
      </c>
      <c r="AB54" s="789" t="s">
        <v>6279</v>
      </c>
      <c r="AC54" s="789" t="s">
        <v>7644</v>
      </c>
      <c r="AD54" s="789" t="s">
        <v>7645</v>
      </c>
      <c r="AE54" s="1440" t="s">
        <v>5506</v>
      </c>
      <c r="AF54" s="1440" t="s">
        <v>5508</v>
      </c>
      <c r="AG54" s="789" t="s">
        <v>7646</v>
      </c>
      <c r="AH54" s="789" t="s">
        <v>7647</v>
      </c>
      <c r="AI54" s="789" t="s">
        <v>7648</v>
      </c>
      <c r="AJ54" s="789" t="s">
        <v>7649</v>
      </c>
      <c r="AK54" s="789" t="s">
        <v>3179</v>
      </c>
      <c r="AL54" s="789" t="s">
        <v>7650</v>
      </c>
      <c r="AM54" s="1440" t="s">
        <v>5514</v>
      </c>
      <c r="AN54" s="1169" t="s">
        <v>6584</v>
      </c>
      <c r="AO54" s="789" t="s">
        <v>7652</v>
      </c>
      <c r="AP54" s="789" t="s">
        <v>7653</v>
      </c>
      <c r="AQ54" s="789" t="s">
        <v>7654</v>
      </c>
      <c r="AR54" s="789" t="s">
        <v>5566</v>
      </c>
      <c r="AS54" s="789" t="s">
        <v>847</v>
      </c>
      <c r="AT54" s="789" t="s">
        <v>7655</v>
      </c>
      <c r="AU54" s="789" t="s">
        <v>7656</v>
      </c>
      <c r="AV54" s="789" t="str">
        <f t="shared" si="1"/>
        <v>3:15</v>
      </c>
      <c r="AW54" s="1227" t="s">
        <v>7657</v>
      </c>
    </row>
    <row r="55">
      <c r="A55" s="1202" t="s">
        <v>6078</v>
      </c>
      <c r="B55" s="1189" t="s">
        <v>5396</v>
      </c>
      <c r="C55" s="1166">
        <v>0.05133101851851852</v>
      </c>
      <c r="D55" s="1372" t="s">
        <v>7658</v>
      </c>
      <c r="E55" s="1231" t="s">
        <v>7659</v>
      </c>
      <c r="F55" s="1231" t="s">
        <v>7660</v>
      </c>
      <c r="G55" s="1231" t="s">
        <v>7661</v>
      </c>
      <c r="H55" s="317" t="s">
        <v>7663</v>
      </c>
      <c r="I55" s="317" t="s">
        <v>7040</v>
      </c>
      <c r="J55" s="1208" t="s">
        <v>6029</v>
      </c>
      <c r="K55" s="1208" t="s">
        <v>7664</v>
      </c>
      <c r="L55" s="1208" t="s">
        <v>2728</v>
      </c>
      <c r="M55" s="1208" t="s">
        <v>7665</v>
      </c>
      <c r="N55" s="1208" t="s">
        <v>5989</v>
      </c>
      <c r="O55" s="1208" t="s">
        <v>7666</v>
      </c>
      <c r="P55" s="1208" t="s">
        <v>5814</v>
      </c>
      <c r="Q55" s="269" t="s">
        <v>7667</v>
      </c>
      <c r="R55" s="269" t="s">
        <v>7076</v>
      </c>
      <c r="S55" s="269" t="s">
        <v>3970</v>
      </c>
      <c r="T55" s="269" t="s">
        <v>7082</v>
      </c>
      <c r="U55" s="269" t="s">
        <v>7668</v>
      </c>
      <c r="V55" s="269" t="s">
        <v>6718</v>
      </c>
      <c r="W55" s="255" t="s">
        <v>3830</v>
      </c>
      <c r="X55" s="255" t="s">
        <v>7669</v>
      </c>
      <c r="Y55" s="255" t="s">
        <v>5812</v>
      </c>
      <c r="Z55" s="255" t="s">
        <v>4990</v>
      </c>
      <c r="AA55" s="255" t="s">
        <v>7670</v>
      </c>
      <c r="AB55" s="255" t="s">
        <v>7671</v>
      </c>
      <c r="AC55" s="255" t="s">
        <v>683</v>
      </c>
      <c r="AD55" s="1231" t="s">
        <v>6394</v>
      </c>
      <c r="AE55" s="1231" t="s">
        <v>5812</v>
      </c>
      <c r="AF55" s="1234" t="s">
        <v>7672</v>
      </c>
      <c r="AG55" s="1234" t="s">
        <v>3987</v>
      </c>
      <c r="AH55" s="1234" t="s">
        <v>7673</v>
      </c>
      <c r="AI55" s="1234" t="s">
        <v>7674</v>
      </c>
      <c r="AJ55" s="1234" t="s">
        <v>7675</v>
      </c>
      <c r="AK55" s="1234" t="s">
        <v>7547</v>
      </c>
      <c r="AL55" s="1234" t="s">
        <v>7676</v>
      </c>
      <c r="AM55" s="1235" t="s">
        <v>6435</v>
      </c>
      <c r="AN55" s="1235" t="s">
        <v>7677</v>
      </c>
      <c r="AO55" s="1235" t="s">
        <v>7678</v>
      </c>
      <c r="AP55" s="1235" t="s">
        <v>7679</v>
      </c>
      <c r="AQ55" s="1235" t="s">
        <v>6775</v>
      </c>
      <c r="AR55" s="1235" t="s">
        <v>7680</v>
      </c>
      <c r="AS55" s="1235" t="s">
        <v>5409</v>
      </c>
      <c r="AT55" s="1208" t="s">
        <v>7681</v>
      </c>
      <c r="AU55" s="1192" t="s">
        <v>7682</v>
      </c>
      <c r="AV55" s="789" t="str">
        <f t="shared" si="1"/>
        <v>1:34</v>
      </c>
      <c r="AW55" s="1256"/>
    </row>
    <row r="56">
      <c r="A56" s="1202" t="s">
        <v>2496</v>
      </c>
      <c r="B56" s="1189" t="s">
        <v>5396</v>
      </c>
      <c r="C56" s="1166">
        <v>0.05134259259259259</v>
      </c>
      <c r="D56" s="1231" t="s">
        <v>7683</v>
      </c>
      <c r="E56" s="1231" t="s">
        <v>5694</v>
      </c>
      <c r="F56" s="1231" t="s">
        <v>3282</v>
      </c>
      <c r="G56" s="1231" t="s">
        <v>7684</v>
      </c>
      <c r="H56" s="1231" t="s">
        <v>7685</v>
      </c>
      <c r="I56" s="1231" t="s">
        <v>4090</v>
      </c>
      <c r="J56" s="1208" t="s">
        <v>5845</v>
      </c>
      <c r="K56" s="1208" t="s">
        <v>5857</v>
      </c>
      <c r="L56" s="1208" t="s">
        <v>7686</v>
      </c>
      <c r="M56" s="1208" t="s">
        <v>3766</v>
      </c>
      <c r="N56" s="1208" t="s">
        <v>6740</v>
      </c>
      <c r="O56" s="1208" t="s">
        <v>7687</v>
      </c>
      <c r="P56" s="1208" t="s">
        <v>5286</v>
      </c>
      <c r="Q56" s="269" t="s">
        <v>7688</v>
      </c>
      <c r="R56" s="269" t="s">
        <v>1105</v>
      </c>
      <c r="S56" s="269" t="s">
        <v>7689</v>
      </c>
      <c r="T56" s="269" t="s">
        <v>7690</v>
      </c>
      <c r="U56" s="269" t="s">
        <v>7355</v>
      </c>
      <c r="V56" s="269" t="s">
        <v>7691</v>
      </c>
      <c r="W56" s="255" t="s">
        <v>7692</v>
      </c>
      <c r="X56" s="255" t="s">
        <v>5511</v>
      </c>
      <c r="Y56" s="255" t="s">
        <v>6789</v>
      </c>
      <c r="Z56" s="255" t="s">
        <v>2390</v>
      </c>
      <c r="AA56" s="1169" t="s">
        <v>2178</v>
      </c>
      <c r="AB56" s="255" t="s">
        <v>7693</v>
      </c>
      <c r="AC56" s="255" t="s">
        <v>6590</v>
      </c>
      <c r="AD56" s="1231" t="s">
        <v>7694</v>
      </c>
      <c r="AE56" s="1231" t="s">
        <v>7695</v>
      </c>
      <c r="AF56" s="1234" t="s">
        <v>7696</v>
      </c>
      <c r="AG56" s="1234" t="s">
        <v>7697</v>
      </c>
      <c r="AH56" s="1234" t="s">
        <v>6122</v>
      </c>
      <c r="AI56" s="1234" t="s">
        <v>1479</v>
      </c>
      <c r="AJ56" s="1234" t="s">
        <v>7698</v>
      </c>
      <c r="AK56" s="1234" t="s">
        <v>7699</v>
      </c>
      <c r="AL56" s="1234" t="s">
        <v>7700</v>
      </c>
      <c r="AM56" s="1235" t="s">
        <v>7701</v>
      </c>
      <c r="AN56" s="1235" t="s">
        <v>6646</v>
      </c>
      <c r="AO56" s="1235" t="s">
        <v>7702</v>
      </c>
      <c r="AP56" s="1235" t="s">
        <v>7703</v>
      </c>
      <c r="AQ56" s="1235" t="s">
        <v>6775</v>
      </c>
      <c r="AR56" s="1235" t="s">
        <v>6128</v>
      </c>
      <c r="AS56" s="1235" t="s">
        <v>6120</v>
      </c>
      <c r="AT56" s="1208" t="s">
        <v>7704</v>
      </c>
      <c r="AU56" s="1192" t="s">
        <v>7514</v>
      </c>
      <c r="AV56" s="789" t="str">
        <f t="shared" si="1"/>
        <v>2:56</v>
      </c>
      <c r="AW56" s="1193" t="s">
        <v>7705</v>
      </c>
    </row>
    <row r="57" ht="15.75" customHeight="1">
      <c r="A57" s="1165" t="s">
        <v>373</v>
      </c>
      <c r="B57" s="1434" t="s">
        <v>5482</v>
      </c>
      <c r="C57" s="1299">
        <v>0.05134259259259259</v>
      </c>
      <c r="D57" s="63" t="s">
        <v>7707</v>
      </c>
      <c r="E57" s="244" t="s">
        <v>7708</v>
      </c>
      <c r="F57" s="244" t="s">
        <v>3282</v>
      </c>
      <c r="G57" s="244" t="s">
        <v>7709</v>
      </c>
      <c r="H57" s="318" t="s">
        <v>7710</v>
      </c>
      <c r="I57" s="1470" t="s">
        <v>1128</v>
      </c>
      <c r="J57" s="1257" t="s">
        <v>7711</v>
      </c>
      <c r="K57" s="1257" t="s">
        <v>6814</v>
      </c>
      <c r="L57" s="1472" t="s">
        <v>5490</v>
      </c>
      <c r="M57" s="1257" t="s">
        <v>5803</v>
      </c>
      <c r="N57" s="1257" t="s">
        <v>3605</v>
      </c>
      <c r="O57" s="1472" t="s">
        <v>5492</v>
      </c>
      <c r="P57" s="1257" t="s">
        <v>1341</v>
      </c>
      <c r="Q57" s="270" t="s">
        <v>7714</v>
      </c>
      <c r="R57" s="270" t="s">
        <v>5130</v>
      </c>
      <c r="S57" s="270" t="s">
        <v>7715</v>
      </c>
      <c r="T57" s="1474" t="s">
        <v>5497</v>
      </c>
      <c r="U57" s="270" t="s">
        <v>7717</v>
      </c>
      <c r="V57" s="270" t="s">
        <v>7718</v>
      </c>
      <c r="W57" s="1475" t="s">
        <v>5500</v>
      </c>
      <c r="X57" s="1258" t="s">
        <v>7719</v>
      </c>
      <c r="Y57" s="1258" t="s">
        <v>2557</v>
      </c>
      <c r="Z57" s="1258" t="s">
        <v>2842</v>
      </c>
      <c r="AA57" s="1258" t="s">
        <v>6533</v>
      </c>
      <c r="AB57" s="1475" t="s">
        <v>5504</v>
      </c>
      <c r="AC57" s="1258" t="s">
        <v>560</v>
      </c>
      <c r="AD57" s="1235" t="s">
        <v>7720</v>
      </c>
      <c r="AE57" s="244" t="s">
        <v>7721</v>
      </c>
      <c r="AF57" s="1259" t="s">
        <v>7723</v>
      </c>
      <c r="AG57" s="1259" t="s">
        <v>7724</v>
      </c>
      <c r="AH57" s="1259" t="s">
        <v>7726</v>
      </c>
      <c r="AI57" s="1259" t="s">
        <v>7727</v>
      </c>
      <c r="AJ57" s="1259" t="s">
        <v>7728</v>
      </c>
      <c r="AK57" s="1479" t="s">
        <v>3785</v>
      </c>
      <c r="AL57" s="1259" t="s">
        <v>1687</v>
      </c>
      <c r="AM57" s="288" t="s">
        <v>7483</v>
      </c>
      <c r="AN57" s="1235" t="s">
        <v>7730</v>
      </c>
      <c r="AO57" s="288" t="s">
        <v>7731</v>
      </c>
      <c r="AP57" s="288" t="s">
        <v>7732</v>
      </c>
      <c r="AQ57" s="288" t="s">
        <v>7733</v>
      </c>
      <c r="AR57" s="288" t="s">
        <v>7734</v>
      </c>
      <c r="AS57" s="288" t="s">
        <v>2478</v>
      </c>
      <c r="AT57" s="1257" t="s">
        <v>7735</v>
      </c>
      <c r="AU57" s="1255" t="s">
        <v>7736</v>
      </c>
      <c r="AV57" s="789" t="str">
        <f t="shared" si="1"/>
        <v>1:58</v>
      </c>
      <c r="AW57" s="1256"/>
    </row>
    <row r="58" ht="15.75" customHeight="1">
      <c r="A58" s="1107" t="s">
        <v>7738</v>
      </c>
      <c r="B58" s="1108" t="s">
        <v>5396</v>
      </c>
      <c r="C58" s="1299">
        <v>0.05134259259259259</v>
      </c>
      <c r="D58" s="63" t="s">
        <v>7739</v>
      </c>
      <c r="E58" s="789" t="s">
        <v>7740</v>
      </c>
      <c r="F58" s="789" t="s">
        <v>7741</v>
      </c>
      <c r="G58" s="789" t="s">
        <v>3067</v>
      </c>
      <c r="H58" s="789" t="s">
        <v>5972</v>
      </c>
      <c r="I58" s="789" t="s">
        <v>3353</v>
      </c>
      <c r="J58" s="789" t="s">
        <v>7743</v>
      </c>
      <c r="K58" s="789" t="s">
        <v>7070</v>
      </c>
      <c r="L58" s="789" t="s">
        <v>7744</v>
      </c>
      <c r="M58" s="789" t="s">
        <v>7745</v>
      </c>
      <c r="N58" s="789" t="s">
        <v>2645</v>
      </c>
      <c r="O58" s="789" t="s">
        <v>7746</v>
      </c>
      <c r="P58" s="789" t="s">
        <v>4087</v>
      </c>
      <c r="Q58" s="789" t="s">
        <v>7747</v>
      </c>
      <c r="R58" s="789" t="s">
        <v>7076</v>
      </c>
      <c r="S58" s="789" t="s">
        <v>2781</v>
      </c>
      <c r="T58" s="789" t="s">
        <v>7749</v>
      </c>
      <c r="U58" s="789" t="s">
        <v>7750</v>
      </c>
      <c r="V58" s="789" t="s">
        <v>6431</v>
      </c>
      <c r="W58" s="789" t="s">
        <v>7751</v>
      </c>
      <c r="X58" s="789" t="s">
        <v>7752</v>
      </c>
      <c r="Y58" s="789" t="s">
        <v>1341</v>
      </c>
      <c r="Z58" s="789" t="s">
        <v>2675</v>
      </c>
      <c r="AA58" s="789" t="s">
        <v>6765</v>
      </c>
      <c r="AB58" s="789" t="s">
        <v>5676</v>
      </c>
      <c r="AC58" s="789" t="s">
        <v>3647</v>
      </c>
      <c r="AD58" s="789" t="s">
        <v>7754</v>
      </c>
      <c r="AE58" s="789" t="s">
        <v>1341</v>
      </c>
      <c r="AF58" s="789" t="s">
        <v>7755</v>
      </c>
      <c r="AG58" s="789" t="s">
        <v>7756</v>
      </c>
      <c r="AH58" s="789" t="s">
        <v>7757</v>
      </c>
      <c r="AI58" s="789" t="s">
        <v>7758</v>
      </c>
      <c r="AJ58" s="789" t="s">
        <v>7675</v>
      </c>
      <c r="AK58" s="789" t="s">
        <v>1813</v>
      </c>
      <c r="AL58" s="789" t="s">
        <v>7759</v>
      </c>
      <c r="AM58" s="789" t="s">
        <v>7760</v>
      </c>
      <c r="AN58" s="789" t="s">
        <v>7761</v>
      </c>
      <c r="AO58" s="789" t="s">
        <v>5977</v>
      </c>
      <c r="AP58" s="789" t="s">
        <v>7762</v>
      </c>
      <c r="AQ58" s="789" t="s">
        <v>7764</v>
      </c>
      <c r="AR58" s="789" t="s">
        <v>7765</v>
      </c>
      <c r="AS58" s="288" t="s">
        <v>2892</v>
      </c>
      <c r="AT58" s="789" t="s">
        <v>7769</v>
      </c>
      <c r="AU58" s="789" t="s">
        <v>6320</v>
      </c>
      <c r="AV58" s="789" t="str">
        <f t="shared" si="1"/>
        <v>2:27</v>
      </c>
      <c r="AW58" s="1227"/>
    </row>
    <row r="59" ht="15.75" customHeight="1">
      <c r="A59" s="1202" t="s">
        <v>4750</v>
      </c>
      <c r="B59" s="1200" t="s">
        <v>5482</v>
      </c>
      <c r="C59" s="1166">
        <v>0.05140046296296296</v>
      </c>
      <c r="D59" s="1169" t="s">
        <v>7775</v>
      </c>
      <c r="E59" s="1169" t="s">
        <v>5588</v>
      </c>
      <c r="F59" s="1169" t="s">
        <v>7776</v>
      </c>
      <c r="G59" s="1387" t="s">
        <v>5486</v>
      </c>
      <c r="H59" s="63" t="s">
        <v>7778</v>
      </c>
      <c r="I59" s="1169" t="s">
        <v>5129</v>
      </c>
      <c r="J59" s="1387" t="s">
        <v>5488</v>
      </c>
      <c r="K59" s="1169" t="s">
        <v>2588</v>
      </c>
      <c r="L59" s="1169" t="s">
        <v>7781</v>
      </c>
      <c r="M59" s="1387" t="s">
        <v>5491</v>
      </c>
      <c r="N59" s="1169" t="s">
        <v>7784</v>
      </c>
      <c r="O59" s="1169" t="s">
        <v>7786</v>
      </c>
      <c r="P59" s="1169" t="s">
        <v>4375</v>
      </c>
      <c r="Q59" s="1169" t="s">
        <v>7334</v>
      </c>
      <c r="R59" s="1169" t="s">
        <v>7788</v>
      </c>
      <c r="S59" s="1169" t="s">
        <v>5471</v>
      </c>
      <c r="T59" s="1169" t="s">
        <v>7789</v>
      </c>
      <c r="U59" s="1169" t="s">
        <v>7103</v>
      </c>
      <c r="V59" s="1169" t="s">
        <v>7790</v>
      </c>
      <c r="W59" s="1169" t="s">
        <v>7791</v>
      </c>
      <c r="X59" s="1169" t="s">
        <v>2357</v>
      </c>
      <c r="Y59" s="1169" t="s">
        <v>7793</v>
      </c>
      <c r="Z59" s="1169" t="s">
        <v>7794</v>
      </c>
      <c r="AA59" s="1492" t="s">
        <v>5503</v>
      </c>
      <c r="AB59" s="1169" t="s">
        <v>7795</v>
      </c>
      <c r="AC59" s="1169" t="s">
        <v>7796</v>
      </c>
      <c r="AD59" s="1169" t="s">
        <v>6292</v>
      </c>
      <c r="AE59" s="1169" t="s">
        <v>4095</v>
      </c>
      <c r="AF59" s="1169" t="s">
        <v>7797</v>
      </c>
      <c r="AG59" s="1387" t="s">
        <v>5509</v>
      </c>
      <c r="AH59" s="1387" t="s">
        <v>5510</v>
      </c>
      <c r="AI59" s="1169" t="s">
        <v>7799</v>
      </c>
      <c r="AJ59" s="1169" t="s">
        <v>7800</v>
      </c>
      <c r="AK59" s="1169" t="s">
        <v>2724</v>
      </c>
      <c r="AL59" s="1169" t="s">
        <v>7089</v>
      </c>
      <c r="AM59" s="1169" t="s">
        <v>7801</v>
      </c>
      <c r="AN59" s="1169" t="s">
        <v>3334</v>
      </c>
      <c r="AO59" s="1387" t="s">
        <v>5516</v>
      </c>
      <c r="AP59" s="1497" t="s">
        <v>5517</v>
      </c>
      <c r="AQ59" s="1169" t="s">
        <v>7808</v>
      </c>
      <c r="AR59" s="1169" t="s">
        <v>5124</v>
      </c>
      <c r="AS59" s="1169" t="s">
        <v>6548</v>
      </c>
      <c r="AT59" s="1169" t="s">
        <v>7415</v>
      </c>
      <c r="AU59" s="1169" t="s">
        <v>6320</v>
      </c>
      <c r="AV59" s="789" t="str">
        <f t="shared" si="1"/>
        <v>2:22</v>
      </c>
      <c r="AW59" s="1201" t="s">
        <v>7810</v>
      </c>
    </row>
    <row r="60" ht="15.75" customHeight="1">
      <c r="A60" s="1202" t="s">
        <v>96</v>
      </c>
      <c r="B60" s="1189" t="s">
        <v>5396</v>
      </c>
      <c r="C60" s="1166">
        <v>0.05153935185185185</v>
      </c>
      <c r="D60" s="162" t="s">
        <v>7813</v>
      </c>
      <c r="E60" s="162" t="s">
        <v>3764</v>
      </c>
      <c r="F60" s="162" t="s">
        <v>7814</v>
      </c>
      <c r="G60" s="162" t="s">
        <v>7815</v>
      </c>
      <c r="H60" s="63" t="s">
        <v>7816</v>
      </c>
      <c r="I60" s="162" t="s">
        <v>4090</v>
      </c>
      <c r="J60" s="162" t="s">
        <v>7817</v>
      </c>
      <c r="K60" s="162" t="s">
        <v>5590</v>
      </c>
      <c r="L60" s="162" t="s">
        <v>7612</v>
      </c>
      <c r="M60" s="162" t="s">
        <v>877</v>
      </c>
      <c r="N60" s="162" t="s">
        <v>7818</v>
      </c>
      <c r="O60" s="162" t="s">
        <v>7819</v>
      </c>
      <c r="P60" s="162" t="s">
        <v>5270</v>
      </c>
      <c r="Q60" s="162" t="s">
        <v>7820</v>
      </c>
      <c r="R60" s="162" t="s">
        <v>5701</v>
      </c>
      <c r="S60" s="1498" t="s">
        <v>7823</v>
      </c>
      <c r="T60" s="162" t="s">
        <v>6689</v>
      </c>
      <c r="U60" s="162" t="s">
        <v>7824</v>
      </c>
      <c r="V60" s="162" t="s">
        <v>5225</v>
      </c>
      <c r="W60" s="162" t="s">
        <v>7825</v>
      </c>
      <c r="X60" s="162" t="s">
        <v>5641</v>
      </c>
      <c r="Y60" s="162" t="s">
        <v>6594</v>
      </c>
      <c r="Z60" s="162" t="s">
        <v>1979</v>
      </c>
      <c r="AA60" s="162" t="s">
        <v>4101</v>
      </c>
      <c r="AB60" s="162" t="s">
        <v>7826</v>
      </c>
      <c r="AC60" s="162" t="s">
        <v>7796</v>
      </c>
      <c r="AD60" s="162" t="s">
        <v>7827</v>
      </c>
      <c r="AE60" s="162" t="s">
        <v>6086</v>
      </c>
      <c r="AF60" s="1128" t="s">
        <v>7828</v>
      </c>
      <c r="AG60" s="162" t="s">
        <v>7834</v>
      </c>
      <c r="AH60" s="162" t="s">
        <v>7835</v>
      </c>
      <c r="AI60" s="162" t="s">
        <v>7836</v>
      </c>
      <c r="AJ60" s="162" t="s">
        <v>7837</v>
      </c>
      <c r="AK60" s="162" t="s">
        <v>6809</v>
      </c>
      <c r="AL60" s="162" t="s">
        <v>7497</v>
      </c>
      <c r="AM60" s="162" t="s">
        <v>7799</v>
      </c>
      <c r="AN60" s="162" t="s">
        <v>7838</v>
      </c>
      <c r="AO60" s="162" t="s">
        <v>2655</v>
      </c>
      <c r="AP60" s="1498" t="s">
        <v>7213</v>
      </c>
      <c r="AQ60" s="162" t="s">
        <v>7840</v>
      </c>
      <c r="AR60" s="162" t="s">
        <v>5845</v>
      </c>
      <c r="AS60" s="162" t="s">
        <v>5616</v>
      </c>
      <c r="AT60" s="162" t="s">
        <v>7493</v>
      </c>
      <c r="AU60" s="162" t="s">
        <v>7841</v>
      </c>
      <c r="AV60" s="789" t="str">
        <f t="shared" si="1"/>
        <v>2:41</v>
      </c>
      <c r="AW60" s="1510" t="s">
        <v>7843</v>
      </c>
    </row>
    <row r="61" ht="15.75" customHeight="1">
      <c r="A61" s="1107" t="s">
        <v>116</v>
      </c>
      <c r="B61" s="1108" t="s">
        <v>5396</v>
      </c>
      <c r="C61" s="1166">
        <v>0.05157407407407407</v>
      </c>
      <c r="D61" s="63" t="s">
        <v>7847</v>
      </c>
      <c r="E61" s="1231" t="s">
        <v>7849</v>
      </c>
      <c r="F61" s="1231" t="s">
        <v>7850</v>
      </c>
      <c r="G61" s="244" t="s">
        <v>6781</v>
      </c>
      <c r="H61" s="318" t="s">
        <v>7851</v>
      </c>
      <c r="I61" s="318" t="s">
        <v>7137</v>
      </c>
      <c r="J61" s="1257" t="s">
        <v>5750</v>
      </c>
      <c r="K61" s="1257" t="s">
        <v>7025</v>
      </c>
      <c r="L61" s="1257" t="s">
        <v>7857</v>
      </c>
      <c r="M61" s="1257" t="s">
        <v>7072</v>
      </c>
      <c r="N61" s="1257" t="s">
        <v>4575</v>
      </c>
      <c r="O61" s="1257" t="s">
        <v>7791</v>
      </c>
      <c r="P61" s="1257" t="s">
        <v>7859</v>
      </c>
      <c r="Q61" s="270" t="s">
        <v>7860</v>
      </c>
      <c r="R61" s="270" t="s">
        <v>7862</v>
      </c>
      <c r="S61" s="270" t="s">
        <v>7863</v>
      </c>
      <c r="T61" s="270" t="s">
        <v>1994</v>
      </c>
      <c r="U61" s="270" t="s">
        <v>1334</v>
      </c>
      <c r="V61" s="270" t="s">
        <v>7864</v>
      </c>
      <c r="W61" s="1258" t="s">
        <v>7865</v>
      </c>
      <c r="X61" s="1258" t="s">
        <v>7867</v>
      </c>
      <c r="Y61" s="1258" t="s">
        <v>7643</v>
      </c>
      <c r="Z61" s="1258" t="s">
        <v>5504</v>
      </c>
      <c r="AA61" s="1258" t="s">
        <v>7492</v>
      </c>
      <c r="AB61" s="1258" t="s">
        <v>1284</v>
      </c>
      <c r="AC61" s="1258" t="s">
        <v>7874</v>
      </c>
      <c r="AD61" s="1231" t="s">
        <v>7875</v>
      </c>
      <c r="AE61" s="244" t="s">
        <v>1239</v>
      </c>
      <c r="AF61" s="1259" t="s">
        <v>7879</v>
      </c>
      <c r="AG61" s="1259" t="s">
        <v>7881</v>
      </c>
      <c r="AH61" s="1259" t="s">
        <v>7882</v>
      </c>
      <c r="AI61" s="1259" t="s">
        <v>4359</v>
      </c>
      <c r="AJ61" s="1259" t="s">
        <v>7883</v>
      </c>
      <c r="AK61" s="1234" t="s">
        <v>2357</v>
      </c>
      <c r="AL61" s="1234" t="s">
        <v>7884</v>
      </c>
      <c r="AM61" s="288" t="s">
        <v>7885</v>
      </c>
      <c r="AN61" s="288" t="s">
        <v>7886</v>
      </c>
      <c r="AO61" s="288" t="s">
        <v>7887</v>
      </c>
      <c r="AP61" s="288" t="s">
        <v>7888</v>
      </c>
      <c r="AQ61" s="288" t="s">
        <v>2786</v>
      </c>
      <c r="AR61" s="1235" t="s">
        <v>3923</v>
      </c>
      <c r="AS61" s="288" t="s">
        <v>2892</v>
      </c>
      <c r="AT61" s="1257" t="s">
        <v>7891</v>
      </c>
      <c r="AU61" s="1255" t="s">
        <v>7892</v>
      </c>
      <c r="AV61" s="789" t="str">
        <f t="shared" si="1"/>
        <v>4:40</v>
      </c>
      <c r="AW61" s="1256" t="s">
        <v>7894</v>
      </c>
    </row>
    <row r="62" ht="15.75" customHeight="1">
      <c r="A62" s="1202" t="s">
        <v>7496</v>
      </c>
      <c r="B62" s="1189" t="s">
        <v>5396</v>
      </c>
      <c r="C62" s="1166">
        <v>0.051631944444444446</v>
      </c>
      <c r="D62" s="1231" t="s">
        <v>7895</v>
      </c>
      <c r="E62" s="1231" t="s">
        <v>1137</v>
      </c>
      <c r="F62" s="1231" t="s">
        <v>5785</v>
      </c>
      <c r="G62" s="1231" t="s">
        <v>7897</v>
      </c>
      <c r="H62" s="317" t="s">
        <v>7898</v>
      </c>
      <c r="I62" s="317" t="s">
        <v>3892</v>
      </c>
      <c r="J62" s="1208" t="s">
        <v>7899</v>
      </c>
      <c r="K62" s="1208" t="s">
        <v>2724</v>
      </c>
      <c r="L62" s="1208" t="s">
        <v>6227</v>
      </c>
      <c r="M62" s="1208" t="s">
        <v>7900</v>
      </c>
      <c r="N62" s="1208" t="s">
        <v>6681</v>
      </c>
      <c r="O62" s="1208" t="s">
        <v>7901</v>
      </c>
      <c r="P62" s="1208" t="s">
        <v>1778</v>
      </c>
      <c r="Q62" s="269" t="s">
        <v>7902</v>
      </c>
      <c r="R62" s="269" t="s">
        <v>7640</v>
      </c>
      <c r="S62" s="269" t="s">
        <v>2480</v>
      </c>
      <c r="T62" s="269" t="s">
        <v>7903</v>
      </c>
      <c r="U62" s="269" t="s">
        <v>7904</v>
      </c>
      <c r="V62" s="269" t="s">
        <v>7905</v>
      </c>
      <c r="W62" s="255" t="s">
        <v>7906</v>
      </c>
      <c r="X62" s="255" t="s">
        <v>2357</v>
      </c>
      <c r="Y62" s="255" t="s">
        <v>3781</v>
      </c>
      <c r="Z62" s="255" t="s">
        <v>7908</v>
      </c>
      <c r="AA62" s="1169" t="s">
        <v>7909</v>
      </c>
      <c r="AB62" s="255" t="s">
        <v>7910</v>
      </c>
      <c r="AC62" s="255" t="s">
        <v>6614</v>
      </c>
      <c r="AD62" s="1231" t="s">
        <v>7911</v>
      </c>
      <c r="AE62" s="1231" t="s">
        <v>6523</v>
      </c>
      <c r="AF62" s="1526" t="s">
        <v>7914</v>
      </c>
      <c r="AG62" s="1234" t="s">
        <v>3219</v>
      </c>
      <c r="AH62" s="1234" t="s">
        <v>7882</v>
      </c>
      <c r="AI62" s="1234" t="s">
        <v>7916</v>
      </c>
      <c r="AJ62" s="1234" t="s">
        <v>7917</v>
      </c>
      <c r="AK62" s="1234" t="s">
        <v>4432</v>
      </c>
      <c r="AL62" s="1234" t="s">
        <v>7918</v>
      </c>
      <c r="AM62" s="1235" t="s">
        <v>7492</v>
      </c>
      <c r="AN62" s="1235" t="s">
        <v>7700</v>
      </c>
      <c r="AO62" s="1235" t="s">
        <v>307</v>
      </c>
      <c r="AP62" s="1235" t="s">
        <v>7919</v>
      </c>
      <c r="AQ62" s="1235" t="s">
        <v>7920</v>
      </c>
      <c r="AR62" s="1235" t="s">
        <v>6954</v>
      </c>
      <c r="AS62" s="1235" t="s">
        <v>5418</v>
      </c>
      <c r="AT62" s="1208" t="s">
        <v>7510</v>
      </c>
      <c r="AU62" s="1192" t="s">
        <v>7921</v>
      </c>
      <c r="AV62" s="789" t="str">
        <f t="shared" si="1"/>
        <v>2:25</v>
      </c>
      <c r="AW62" s="1281" t="s">
        <v>7922</v>
      </c>
    </row>
    <row r="63" ht="15.75" customHeight="1">
      <c r="A63" s="1277" t="s">
        <v>7924</v>
      </c>
      <c r="B63" s="1108" t="s">
        <v>5396</v>
      </c>
      <c r="C63" s="1299">
        <v>0.051631944444444446</v>
      </c>
      <c r="D63" s="63" t="s">
        <v>7925</v>
      </c>
      <c r="E63" s="164" t="s">
        <v>2707</v>
      </c>
      <c r="F63" s="164" t="s">
        <v>5517</v>
      </c>
      <c r="G63" s="164" t="s">
        <v>7927</v>
      </c>
      <c r="H63" s="164" t="s">
        <v>7928</v>
      </c>
      <c r="I63" s="164" t="s">
        <v>7796</v>
      </c>
      <c r="J63" s="164" t="s">
        <v>7929</v>
      </c>
      <c r="K63" s="164" t="s">
        <v>7930</v>
      </c>
      <c r="L63" s="164" t="s">
        <v>7931</v>
      </c>
      <c r="M63" s="164" t="s">
        <v>2964</v>
      </c>
      <c r="N63" s="164" t="s">
        <v>7933</v>
      </c>
      <c r="O63" s="164" t="s">
        <v>6796</v>
      </c>
      <c r="P63" s="164" t="s">
        <v>5449</v>
      </c>
      <c r="Q63" s="164" t="s">
        <v>7935</v>
      </c>
      <c r="R63" s="164" t="s">
        <v>7936</v>
      </c>
      <c r="S63" s="164" t="s">
        <v>7590</v>
      </c>
      <c r="T63" s="164" t="s">
        <v>6435</v>
      </c>
      <c r="U63" s="164" t="s">
        <v>7937</v>
      </c>
      <c r="V63" s="164" t="s">
        <v>7938</v>
      </c>
      <c r="W63" s="164" t="s">
        <v>7939</v>
      </c>
      <c r="X63" s="164" t="s">
        <v>7799</v>
      </c>
      <c r="Y63" s="164" t="s">
        <v>6614</v>
      </c>
      <c r="Z63" s="164" t="s">
        <v>1277</v>
      </c>
      <c r="AA63" s="164" t="s">
        <v>6629</v>
      </c>
      <c r="AB63" s="164" t="s">
        <v>7941</v>
      </c>
      <c r="AC63" s="164" t="s">
        <v>1341</v>
      </c>
      <c r="AD63" s="164" t="s">
        <v>1041</v>
      </c>
      <c r="AE63" s="164" t="s">
        <v>7040</v>
      </c>
      <c r="AF63" s="164" t="s">
        <v>7260</v>
      </c>
      <c r="AG63" s="164" t="s">
        <v>7943</v>
      </c>
      <c r="AH63" s="164" t="s">
        <v>7944</v>
      </c>
      <c r="AI63" s="164" t="s">
        <v>7945</v>
      </c>
      <c r="AJ63" s="164" t="s">
        <v>7947</v>
      </c>
      <c r="AK63" s="164" t="s">
        <v>7670</v>
      </c>
      <c r="AL63" s="164" t="s">
        <v>7949</v>
      </c>
      <c r="AM63" s="164" t="s">
        <v>7950</v>
      </c>
      <c r="AN63" s="164" t="s">
        <v>3590</v>
      </c>
      <c r="AO63" s="164" t="s">
        <v>7953</v>
      </c>
      <c r="AP63" s="164" t="s">
        <v>7954</v>
      </c>
      <c r="AQ63" s="164" t="s">
        <v>7956</v>
      </c>
      <c r="AR63" s="164" t="s">
        <v>6656</v>
      </c>
      <c r="AS63" s="164" t="s">
        <v>7958</v>
      </c>
      <c r="AT63" s="164" t="s">
        <v>7960</v>
      </c>
      <c r="AU63" s="1531" t="str">
        <f>HYPERLINK("https://splits.io/pc9","1:16:48")</f>
        <v>1:16:48</v>
      </c>
      <c r="AV63" s="789" t="str">
        <f t="shared" si="1"/>
        <v>2:27</v>
      </c>
      <c r="AW63" s="1532" t="s">
        <v>7978</v>
      </c>
    </row>
    <row r="64" ht="15.75" customHeight="1">
      <c r="A64" s="1107" t="s">
        <v>7980</v>
      </c>
      <c r="B64" s="1108" t="s">
        <v>5396</v>
      </c>
      <c r="C64" s="1299">
        <v>0.051631944444444446</v>
      </c>
      <c r="D64" s="63" t="s">
        <v>7982</v>
      </c>
      <c r="E64" s="164" t="s">
        <v>3764</v>
      </c>
      <c r="F64" s="164" t="s">
        <v>7985</v>
      </c>
      <c r="G64" s="164" t="s">
        <v>7987</v>
      </c>
      <c r="H64" s="164" t="s">
        <v>7023</v>
      </c>
      <c r="I64" s="164" t="s">
        <v>6614</v>
      </c>
      <c r="J64" s="164" t="s">
        <v>5771</v>
      </c>
      <c r="K64" s="164" t="s">
        <v>3477</v>
      </c>
      <c r="L64" s="164" t="s">
        <v>2548</v>
      </c>
      <c r="M64" s="164" t="s">
        <v>4030</v>
      </c>
      <c r="N64" s="164" t="s">
        <v>7994</v>
      </c>
      <c r="O64" s="164" t="s">
        <v>7638</v>
      </c>
      <c r="P64" s="164" t="s">
        <v>7265</v>
      </c>
      <c r="Q64" s="164" t="s">
        <v>7995</v>
      </c>
      <c r="R64" s="164" t="s">
        <v>7862</v>
      </c>
      <c r="S64" s="164" t="s">
        <v>273</v>
      </c>
      <c r="T64" s="164" t="s">
        <v>7999</v>
      </c>
      <c r="U64" s="164" t="s">
        <v>8001</v>
      </c>
      <c r="V64" s="164" t="s">
        <v>8003</v>
      </c>
      <c r="W64" s="164" t="s">
        <v>8004</v>
      </c>
      <c r="X64" s="164" t="s">
        <v>8006</v>
      </c>
      <c r="Y64" s="164" t="s">
        <v>451</v>
      </c>
      <c r="Z64" s="164" t="s">
        <v>6583</v>
      </c>
      <c r="AA64" s="164" t="s">
        <v>8010</v>
      </c>
      <c r="AB64" s="164" t="s">
        <v>1510</v>
      </c>
      <c r="AC64" s="164" t="s">
        <v>8011</v>
      </c>
      <c r="AD64" s="164" t="s">
        <v>8012</v>
      </c>
      <c r="AE64" s="162" t="s">
        <v>5812</v>
      </c>
      <c r="AF64" s="164" t="s">
        <v>8013</v>
      </c>
      <c r="AG64" s="164" t="s">
        <v>8015</v>
      </c>
      <c r="AH64" s="164" t="s">
        <v>3562</v>
      </c>
      <c r="AI64" s="164" t="s">
        <v>8018</v>
      </c>
      <c r="AJ64" s="164" t="s">
        <v>2930</v>
      </c>
      <c r="AK64" s="164" t="s">
        <v>5770</v>
      </c>
      <c r="AL64" s="164" t="s">
        <v>7700</v>
      </c>
      <c r="AM64" s="164" t="s">
        <v>8022</v>
      </c>
      <c r="AN64" s="164" t="s">
        <v>8024</v>
      </c>
      <c r="AO64" s="164" t="s">
        <v>6030</v>
      </c>
      <c r="AP64" s="164" t="s">
        <v>8026</v>
      </c>
      <c r="AQ64" s="164" t="s">
        <v>8027</v>
      </c>
      <c r="AR64" s="164" t="s">
        <v>5568</v>
      </c>
      <c r="AS64" s="164" t="s">
        <v>5140</v>
      </c>
      <c r="AT64" s="164" t="s">
        <v>8033</v>
      </c>
      <c r="AU64" s="164" t="s">
        <v>8035</v>
      </c>
      <c r="AV64" s="789" t="str">
        <f t="shared" si="1"/>
        <v>3:33</v>
      </c>
      <c r="AW64" s="1532"/>
    </row>
    <row r="65" ht="15.75" customHeight="1">
      <c r="A65" s="1107" t="s">
        <v>8039</v>
      </c>
      <c r="B65" s="1108" t="s">
        <v>5396</v>
      </c>
      <c r="C65" s="1299">
        <v>0.05164351851851852</v>
      </c>
      <c r="D65" s="63" t="s">
        <v>8040</v>
      </c>
      <c r="E65" s="164" t="s">
        <v>5800</v>
      </c>
      <c r="F65" s="164" t="s">
        <v>8043</v>
      </c>
      <c r="G65" s="164" t="s">
        <v>5486</v>
      </c>
      <c r="H65" s="164" t="s">
        <v>8046</v>
      </c>
      <c r="I65" s="164" t="s">
        <v>4090</v>
      </c>
      <c r="J65" s="164" t="s">
        <v>3428</v>
      </c>
      <c r="K65" s="164" t="s">
        <v>1121</v>
      </c>
      <c r="L65" s="164" t="s">
        <v>7211</v>
      </c>
      <c r="M65" s="164" t="s">
        <v>7900</v>
      </c>
      <c r="N65" s="164" t="s">
        <v>6230</v>
      </c>
      <c r="O65" s="164" t="s">
        <v>7273</v>
      </c>
      <c r="P65" s="164" t="s">
        <v>8053</v>
      </c>
      <c r="Q65" s="164" t="s">
        <v>8055</v>
      </c>
      <c r="R65" s="164" t="s">
        <v>3895</v>
      </c>
      <c r="S65" s="164" t="s">
        <v>2794</v>
      </c>
      <c r="T65" s="164" t="s">
        <v>8060</v>
      </c>
      <c r="U65" s="164" t="s">
        <v>8062</v>
      </c>
      <c r="V65" s="164" t="s">
        <v>8063</v>
      </c>
      <c r="W65" s="164" t="s">
        <v>8065</v>
      </c>
      <c r="X65" s="164" t="s">
        <v>2260</v>
      </c>
      <c r="Y65" s="164" t="s">
        <v>4754</v>
      </c>
      <c r="Z65" s="164" t="s">
        <v>2842</v>
      </c>
      <c r="AA65" s="164" t="s">
        <v>8068</v>
      </c>
      <c r="AB65" s="164" t="s">
        <v>313</v>
      </c>
      <c r="AC65" s="164" t="s">
        <v>2570</v>
      </c>
      <c r="AD65" s="164" t="s">
        <v>8072</v>
      </c>
      <c r="AE65" s="164" t="s">
        <v>5925</v>
      </c>
      <c r="AF65" s="164" t="s">
        <v>8075</v>
      </c>
      <c r="AG65" s="164" t="s">
        <v>1874</v>
      </c>
      <c r="AH65" s="164" t="s">
        <v>7944</v>
      </c>
      <c r="AI65" s="164" t="s">
        <v>8078</v>
      </c>
      <c r="AJ65" s="164" t="s">
        <v>8079</v>
      </c>
      <c r="AK65" s="164" t="s">
        <v>8080</v>
      </c>
      <c r="AL65" s="164" t="s">
        <v>8081</v>
      </c>
      <c r="AM65" s="164" t="s">
        <v>6861</v>
      </c>
      <c r="AN65" s="164" t="s">
        <v>6331</v>
      </c>
      <c r="AO65" s="164" t="s">
        <v>7734</v>
      </c>
      <c r="AP65" s="164" t="s">
        <v>8086</v>
      </c>
      <c r="AQ65" s="164" t="s">
        <v>8088</v>
      </c>
      <c r="AR65" s="164" t="s">
        <v>6951</v>
      </c>
      <c r="AS65" s="164" t="s">
        <v>8090</v>
      </c>
      <c r="AT65" s="164" t="s">
        <v>7672</v>
      </c>
      <c r="AU65" s="164" t="s">
        <v>8092</v>
      </c>
      <c r="AV65" s="789" t="str">
        <f t="shared" si="1"/>
        <v>3:13</v>
      </c>
      <c r="AW65" s="1532" t="s">
        <v>8093</v>
      </c>
    </row>
    <row r="66" ht="15.75" customHeight="1">
      <c r="A66" s="1165" t="s">
        <v>274</v>
      </c>
      <c r="B66" s="1434" t="s">
        <v>5482</v>
      </c>
      <c r="C66" s="1299">
        <v>0.05167824074074074</v>
      </c>
      <c r="D66" s="63" t="s">
        <v>8097</v>
      </c>
      <c r="E66" s="164" t="s">
        <v>6985</v>
      </c>
      <c r="F66" s="164" t="s">
        <v>8100</v>
      </c>
      <c r="G66" s="164" t="s">
        <v>8102</v>
      </c>
      <c r="H66" s="164" t="s">
        <v>8104</v>
      </c>
      <c r="I66" s="164" t="s">
        <v>5912</v>
      </c>
      <c r="J66" s="164" t="s">
        <v>7784</v>
      </c>
      <c r="K66" s="164" t="s">
        <v>6090</v>
      </c>
      <c r="L66" s="164" t="s">
        <v>2711</v>
      </c>
      <c r="M66" s="164" t="s">
        <v>1731</v>
      </c>
      <c r="N66" s="164" t="s">
        <v>8109</v>
      </c>
      <c r="O66" s="164" t="s">
        <v>8110</v>
      </c>
      <c r="P66" s="164" t="s">
        <v>8111</v>
      </c>
      <c r="Q66" s="164" t="s">
        <v>3016</v>
      </c>
      <c r="R66" s="164" t="s">
        <v>8112</v>
      </c>
      <c r="S66" s="164" t="s">
        <v>8113</v>
      </c>
      <c r="T66" s="164" t="s">
        <v>8114</v>
      </c>
      <c r="U66" s="164" t="s">
        <v>7125</v>
      </c>
      <c r="V66" s="164" t="s">
        <v>1739</v>
      </c>
      <c r="W66" s="164" t="s">
        <v>8115</v>
      </c>
      <c r="X66" s="164" t="s">
        <v>8116</v>
      </c>
      <c r="Y66" s="164" t="s">
        <v>4043</v>
      </c>
      <c r="Z66" s="164" t="s">
        <v>2534</v>
      </c>
      <c r="AA66" s="164" t="s">
        <v>5125</v>
      </c>
      <c r="AB66" s="164" t="s">
        <v>8117</v>
      </c>
      <c r="AC66" s="164" t="s">
        <v>534</v>
      </c>
      <c r="AD66" s="162" t="s">
        <v>8118</v>
      </c>
      <c r="AE66" s="164" t="s">
        <v>6017</v>
      </c>
      <c r="AF66" s="164" t="s">
        <v>6933</v>
      </c>
      <c r="AG66" s="164" t="s">
        <v>4268</v>
      </c>
      <c r="AH66" s="164" t="s">
        <v>6227</v>
      </c>
      <c r="AI66" s="164" t="s">
        <v>5228</v>
      </c>
      <c r="AJ66" s="164" t="s">
        <v>8120</v>
      </c>
      <c r="AK66" s="164" t="s">
        <v>5702</v>
      </c>
      <c r="AL66" s="164" t="s">
        <v>5510</v>
      </c>
      <c r="AM66" s="164" t="s">
        <v>8121</v>
      </c>
      <c r="AN66" s="164" t="s">
        <v>8122</v>
      </c>
      <c r="AO66" s="164" t="s">
        <v>8123</v>
      </c>
      <c r="AP66" s="164" t="s">
        <v>8124</v>
      </c>
      <c r="AQ66" s="164" t="s">
        <v>8125</v>
      </c>
      <c r="AR66" s="164" t="s">
        <v>8126</v>
      </c>
      <c r="AS66" s="164" t="s">
        <v>8127</v>
      </c>
      <c r="AT66" s="164" t="s">
        <v>8128</v>
      </c>
      <c r="AU66" s="164" t="s">
        <v>8129</v>
      </c>
      <c r="AV66" s="789" t="str">
        <f t="shared" si="1"/>
        <v>2:51</v>
      </c>
      <c r="AW66" s="1537"/>
    </row>
    <row r="67" ht="15.75" customHeight="1">
      <c r="A67" s="1202" t="s">
        <v>7101</v>
      </c>
      <c r="B67" s="1237" t="s">
        <v>5444</v>
      </c>
      <c r="C67" s="1299">
        <v>0.05170138888888889</v>
      </c>
      <c r="D67" s="63" t="s">
        <v>8133</v>
      </c>
      <c r="E67" s="164" t="s">
        <v>8134</v>
      </c>
      <c r="F67" s="164" t="s">
        <v>7112</v>
      </c>
      <c r="G67" s="164" t="s">
        <v>6949</v>
      </c>
      <c r="H67" s="164" t="s">
        <v>8138</v>
      </c>
      <c r="I67" s="164" t="s">
        <v>8140</v>
      </c>
      <c r="J67" s="164" t="s">
        <v>7134</v>
      </c>
      <c r="K67" s="164" t="s">
        <v>6030</v>
      </c>
      <c r="L67" s="164" t="s">
        <v>8143</v>
      </c>
      <c r="M67" s="164" t="s">
        <v>2409</v>
      </c>
      <c r="N67" s="164" t="s">
        <v>8146</v>
      </c>
      <c r="O67" s="164" t="s">
        <v>7531</v>
      </c>
      <c r="P67" s="164" t="s">
        <v>1727</v>
      </c>
      <c r="Q67" s="164" t="s">
        <v>8147</v>
      </c>
      <c r="R67" s="164" t="s">
        <v>5589</v>
      </c>
      <c r="S67" s="164" t="s">
        <v>7887</v>
      </c>
      <c r="T67" s="164" t="s">
        <v>2645</v>
      </c>
      <c r="U67" s="164" t="s">
        <v>8151</v>
      </c>
      <c r="V67" s="164" t="s">
        <v>8152</v>
      </c>
      <c r="W67" s="164" t="s">
        <v>7939</v>
      </c>
      <c r="X67" s="164" t="s">
        <v>7885</v>
      </c>
      <c r="Y67" s="164" t="s">
        <v>7197</v>
      </c>
      <c r="Z67" s="164" t="s">
        <v>1752</v>
      </c>
      <c r="AA67" s="164" t="s">
        <v>2357</v>
      </c>
      <c r="AB67" s="164" t="s">
        <v>8158</v>
      </c>
      <c r="AC67" s="164" t="s">
        <v>554</v>
      </c>
      <c r="AD67" s="164" t="s">
        <v>7305</v>
      </c>
      <c r="AE67" s="164" t="s">
        <v>427</v>
      </c>
      <c r="AF67" s="164" t="s">
        <v>8162</v>
      </c>
      <c r="AG67" s="164" t="s">
        <v>8164</v>
      </c>
      <c r="AH67" s="164" t="s">
        <v>8166</v>
      </c>
      <c r="AI67" s="164" t="s">
        <v>8167</v>
      </c>
      <c r="AJ67" s="164" t="s">
        <v>8168</v>
      </c>
      <c r="AK67" s="164" t="s">
        <v>6200</v>
      </c>
      <c r="AL67" s="164" t="s">
        <v>8169</v>
      </c>
      <c r="AM67" s="164" t="s">
        <v>7836</v>
      </c>
      <c r="AN67" s="164" t="s">
        <v>8170</v>
      </c>
      <c r="AO67" s="164" t="s">
        <v>7283</v>
      </c>
      <c r="AP67" s="164" t="s">
        <v>8171</v>
      </c>
      <c r="AQ67" s="164" t="s">
        <v>8172</v>
      </c>
      <c r="AR67" s="164" t="s">
        <v>8175</v>
      </c>
      <c r="AS67" s="164" t="s">
        <v>4862</v>
      </c>
      <c r="AT67" s="164" t="s">
        <v>8178</v>
      </c>
      <c r="AU67" s="164" t="s">
        <v>8180</v>
      </c>
      <c r="AV67" s="789" t="str">
        <f t="shared" si="1"/>
        <v>2:37</v>
      </c>
      <c r="AW67" s="1537" t="s">
        <v>8184</v>
      </c>
    </row>
    <row r="68" ht="15.75" customHeight="1">
      <c r="A68" s="1202" t="s">
        <v>8185</v>
      </c>
      <c r="B68" s="1200" t="s">
        <v>5444</v>
      </c>
      <c r="C68" s="1166">
        <v>0.05171296296296296</v>
      </c>
      <c r="D68" s="1372" t="s">
        <v>8187</v>
      </c>
      <c r="E68" s="162" t="s">
        <v>8188</v>
      </c>
      <c r="F68" s="162" t="s">
        <v>453</v>
      </c>
      <c r="G68" s="162" t="s">
        <v>8191</v>
      </c>
      <c r="H68" s="162" t="s">
        <v>8193</v>
      </c>
      <c r="I68" s="162" t="s">
        <v>8195</v>
      </c>
      <c r="J68" s="162" t="s">
        <v>3813</v>
      </c>
      <c r="K68" s="162" t="s">
        <v>2699</v>
      </c>
      <c r="L68" s="162" t="s">
        <v>6102</v>
      </c>
      <c r="M68" s="1539" t="s">
        <v>8199</v>
      </c>
      <c r="N68" s="162" t="s">
        <v>8200</v>
      </c>
      <c r="O68" s="162" t="s">
        <v>5220</v>
      </c>
      <c r="P68" s="162" t="s">
        <v>3781</v>
      </c>
      <c r="Q68" s="162" t="s">
        <v>8203</v>
      </c>
      <c r="R68" s="162" t="s">
        <v>8204</v>
      </c>
      <c r="S68" s="162" t="s">
        <v>5672</v>
      </c>
      <c r="T68" s="162" t="s">
        <v>8206</v>
      </c>
      <c r="U68" s="162" t="s">
        <v>7741</v>
      </c>
      <c r="V68" s="1539" t="s">
        <v>8208</v>
      </c>
      <c r="W68" s="1539" t="s">
        <v>8209</v>
      </c>
      <c r="X68" s="162" t="s">
        <v>7550</v>
      </c>
      <c r="Y68" s="63" t="s">
        <v>6783</v>
      </c>
      <c r="Z68" s="162" t="s">
        <v>5027</v>
      </c>
      <c r="AA68" s="162" t="s">
        <v>504</v>
      </c>
      <c r="AB68" s="1539" t="s">
        <v>8211</v>
      </c>
      <c r="AC68" s="162" t="s">
        <v>5925</v>
      </c>
      <c r="AD68" s="162" t="s">
        <v>8212</v>
      </c>
      <c r="AE68" s="162" t="s">
        <v>555</v>
      </c>
      <c r="AF68" s="162" t="s">
        <v>8213</v>
      </c>
      <c r="AG68" s="162" t="s">
        <v>1874</v>
      </c>
      <c r="AH68" s="162" t="s">
        <v>8214</v>
      </c>
      <c r="AI68" s="162" t="s">
        <v>8215</v>
      </c>
      <c r="AJ68" s="162" t="s">
        <v>8216</v>
      </c>
      <c r="AK68" s="162" t="s">
        <v>8217</v>
      </c>
      <c r="AL68" s="162" t="s">
        <v>5599</v>
      </c>
      <c r="AM68" s="162" t="s">
        <v>7818</v>
      </c>
      <c r="AN68" s="162" t="s">
        <v>8218</v>
      </c>
      <c r="AO68" s="162" t="s">
        <v>2008</v>
      </c>
      <c r="AP68" s="162" t="s">
        <v>6729</v>
      </c>
      <c r="AQ68" s="162" t="s">
        <v>3135</v>
      </c>
      <c r="AR68" s="162" t="s">
        <v>7425</v>
      </c>
      <c r="AS68" s="162" t="s">
        <v>5276</v>
      </c>
      <c r="AT68" s="162" t="s">
        <v>8219</v>
      </c>
      <c r="AU68" s="162" t="s">
        <v>8221</v>
      </c>
      <c r="AV68" s="789" t="str">
        <f t="shared" si="1"/>
        <v>4:14</v>
      </c>
      <c r="AW68" s="1510" t="s">
        <v>8223</v>
      </c>
    </row>
    <row r="69" ht="15.75" customHeight="1">
      <c r="A69" s="1202" t="s">
        <v>2910</v>
      </c>
      <c r="B69" s="1357" t="s">
        <v>5444</v>
      </c>
      <c r="C69" s="1166">
        <v>0.05173611111111111</v>
      </c>
      <c r="D69" s="63" t="s">
        <v>8225</v>
      </c>
      <c r="E69" s="162" t="s">
        <v>8226</v>
      </c>
      <c r="F69" s="162" t="s">
        <v>8227</v>
      </c>
      <c r="G69" s="162" t="s">
        <v>8229</v>
      </c>
      <c r="H69" s="162" t="s">
        <v>2143</v>
      </c>
      <c r="I69" s="162" t="s">
        <v>773</v>
      </c>
      <c r="J69" s="162" t="s">
        <v>6297</v>
      </c>
      <c r="K69" s="162" t="s">
        <v>8232</v>
      </c>
      <c r="L69" s="162" t="s">
        <v>6026</v>
      </c>
      <c r="M69" s="162" t="s">
        <v>538</v>
      </c>
      <c r="N69" s="162" t="s">
        <v>8234</v>
      </c>
      <c r="O69" s="162" t="s">
        <v>8235</v>
      </c>
      <c r="P69" s="162" t="s">
        <v>8236</v>
      </c>
      <c r="Q69" s="162" t="s">
        <v>8237</v>
      </c>
      <c r="R69" s="162" t="s">
        <v>8112</v>
      </c>
      <c r="S69" s="162" t="s">
        <v>8238</v>
      </c>
      <c r="T69" s="162" t="s">
        <v>8239</v>
      </c>
      <c r="U69" s="162" t="s">
        <v>8240</v>
      </c>
      <c r="V69" s="162" t="s">
        <v>404</v>
      </c>
      <c r="W69" s="162" t="s">
        <v>8241</v>
      </c>
      <c r="X69" s="162" t="s">
        <v>7881</v>
      </c>
      <c r="Y69" s="162" t="s">
        <v>451</v>
      </c>
      <c r="Z69" s="162" t="s">
        <v>8242</v>
      </c>
      <c r="AA69" s="162" t="s">
        <v>6629</v>
      </c>
      <c r="AB69" s="162" t="s">
        <v>298</v>
      </c>
      <c r="AC69" s="162" t="s">
        <v>4653</v>
      </c>
      <c r="AD69" s="162" t="s">
        <v>7911</v>
      </c>
      <c r="AE69" s="162" t="s">
        <v>6744</v>
      </c>
      <c r="AF69" s="162" t="s">
        <v>6764</v>
      </c>
      <c r="AG69" s="162" t="s">
        <v>8245</v>
      </c>
      <c r="AH69" s="162" t="s">
        <v>8246</v>
      </c>
      <c r="AI69" s="162" t="s">
        <v>8248</v>
      </c>
      <c r="AJ69" s="162" t="s">
        <v>8249</v>
      </c>
      <c r="AK69" s="162" t="s">
        <v>725</v>
      </c>
      <c r="AL69" s="162" t="s">
        <v>8251</v>
      </c>
      <c r="AM69" s="162" t="s">
        <v>8252</v>
      </c>
      <c r="AN69" s="162" t="s">
        <v>8081</v>
      </c>
      <c r="AO69" s="162" t="s">
        <v>7731</v>
      </c>
      <c r="AP69" s="162" t="s">
        <v>8254</v>
      </c>
      <c r="AQ69" s="162" t="s">
        <v>8255</v>
      </c>
      <c r="AR69" s="162" t="s">
        <v>500</v>
      </c>
      <c r="AS69" s="162" t="s">
        <v>8256</v>
      </c>
      <c r="AT69" s="162" t="s">
        <v>8258</v>
      </c>
      <c r="AU69" s="162" t="s">
        <v>8260</v>
      </c>
      <c r="AV69" s="789" t="str">
        <f t="shared" si="1"/>
        <v>3:51</v>
      </c>
      <c r="AW69" s="1510" t="s">
        <v>8263</v>
      </c>
    </row>
    <row r="70" ht="15.75" customHeight="1">
      <c r="A70" s="1202" t="s">
        <v>347</v>
      </c>
      <c r="B70" s="1189" t="s">
        <v>5482</v>
      </c>
      <c r="C70" s="1166">
        <v>0.051805555555555556</v>
      </c>
      <c r="D70" s="162" t="s">
        <v>8264</v>
      </c>
      <c r="E70" s="162" t="s">
        <v>8266</v>
      </c>
      <c r="F70" s="63" t="s">
        <v>8267</v>
      </c>
      <c r="G70" s="162" t="s">
        <v>8268</v>
      </c>
      <c r="H70" s="1172" t="s">
        <v>8269</v>
      </c>
      <c r="I70" s="1172">
        <v>49.81</v>
      </c>
      <c r="J70" s="1172" t="s">
        <v>8270</v>
      </c>
      <c r="K70" s="1172" t="s">
        <v>8271</v>
      </c>
      <c r="L70" s="1172">
        <v>59.57</v>
      </c>
      <c r="M70" s="1172" t="s">
        <v>8272</v>
      </c>
      <c r="N70" s="1172" t="s">
        <v>8274</v>
      </c>
      <c r="O70" s="1171" t="s">
        <v>1892</v>
      </c>
      <c r="P70" s="1171" t="s">
        <v>8276</v>
      </c>
      <c r="Q70" s="1171" t="s">
        <v>8277</v>
      </c>
      <c r="R70" s="1172" t="s">
        <v>8278</v>
      </c>
      <c r="S70" s="1172" t="s">
        <v>7590</v>
      </c>
      <c r="T70" s="1172" t="s">
        <v>8280</v>
      </c>
      <c r="U70" s="1172" t="s">
        <v>8281</v>
      </c>
      <c r="V70" s="1172" t="s">
        <v>8282</v>
      </c>
      <c r="W70" s="1172" t="s">
        <v>8284</v>
      </c>
      <c r="X70" s="1172" t="s">
        <v>8286</v>
      </c>
      <c r="Y70" s="1171" t="s">
        <v>7145</v>
      </c>
      <c r="Z70" s="1541" t="s">
        <v>5502</v>
      </c>
      <c r="AA70" s="1172" t="s">
        <v>793</v>
      </c>
      <c r="AB70" s="1171" t="s">
        <v>6019</v>
      </c>
      <c r="AC70" s="1172">
        <v>49.53</v>
      </c>
      <c r="AD70" s="1172" t="s">
        <v>6190</v>
      </c>
      <c r="AE70" s="1171" t="s">
        <v>8289</v>
      </c>
      <c r="AF70" s="1172" t="s">
        <v>5782</v>
      </c>
      <c r="AG70" s="1172" t="s">
        <v>8290</v>
      </c>
      <c r="AH70" s="1172">
        <v>59.93</v>
      </c>
      <c r="AI70" s="1172" t="s">
        <v>8291</v>
      </c>
      <c r="AJ70" s="1172" t="s">
        <v>8292</v>
      </c>
      <c r="AK70" s="1172" t="s">
        <v>5670</v>
      </c>
      <c r="AL70" s="1172">
        <v>59.13</v>
      </c>
      <c r="AM70" s="1172" t="s">
        <v>8175</v>
      </c>
      <c r="AN70" s="1172">
        <v>57.86</v>
      </c>
      <c r="AO70" s="1172" t="s">
        <v>3156</v>
      </c>
      <c r="AP70" s="1172" t="s">
        <v>8295</v>
      </c>
      <c r="AQ70" s="1172" t="s">
        <v>7160</v>
      </c>
      <c r="AR70" s="1172" t="s">
        <v>8297</v>
      </c>
      <c r="AS70" s="1172">
        <v>47.67</v>
      </c>
      <c r="AT70" s="162" t="s">
        <v>8298</v>
      </c>
      <c r="AU70" s="162" t="s">
        <v>8300</v>
      </c>
      <c r="AV70" s="789" t="str">
        <f t="shared" si="1"/>
        <v>2:57</v>
      </c>
      <c r="AW70" s="1404" t="s">
        <v>8301</v>
      </c>
    </row>
    <row r="71">
      <c r="A71" s="634" t="s">
        <v>4624</v>
      </c>
      <c r="B71" s="1200" t="s">
        <v>5444</v>
      </c>
      <c r="C71" s="1543">
        <v>0.05181712962962963</v>
      </c>
      <c r="D71" s="1128" t="s">
        <v>8306</v>
      </c>
      <c r="E71" s="1128" t="s">
        <v>1188</v>
      </c>
      <c r="F71" s="1128" t="s">
        <v>8324</v>
      </c>
      <c r="G71" s="1128" t="s">
        <v>8327</v>
      </c>
      <c r="H71" s="1128" t="s">
        <v>8329</v>
      </c>
      <c r="I71" s="1128" t="s">
        <v>1925</v>
      </c>
      <c r="J71" s="1128" t="s">
        <v>6273</v>
      </c>
      <c r="K71" s="1128" t="s">
        <v>6429</v>
      </c>
      <c r="L71" s="1128" t="s">
        <v>8246</v>
      </c>
      <c r="M71" s="1128" t="s">
        <v>4923</v>
      </c>
      <c r="N71" s="1128" t="s">
        <v>7090</v>
      </c>
      <c r="O71" s="1128" t="s">
        <v>2363</v>
      </c>
      <c r="P71" s="1128" t="s">
        <v>6426</v>
      </c>
      <c r="Q71" s="1128" t="s">
        <v>8338</v>
      </c>
      <c r="R71" s="1128" t="s">
        <v>1557</v>
      </c>
      <c r="S71" s="1128" t="s">
        <v>314</v>
      </c>
      <c r="T71" s="1128" t="s">
        <v>8343</v>
      </c>
      <c r="U71" s="1128" t="s">
        <v>8345</v>
      </c>
      <c r="V71" s="1128" t="s">
        <v>8152</v>
      </c>
      <c r="W71" s="1128" t="s">
        <v>8348</v>
      </c>
      <c r="X71" s="1128" t="s">
        <v>7365</v>
      </c>
      <c r="Y71" s="1128" t="s">
        <v>8351</v>
      </c>
      <c r="Z71" s="1128" t="s">
        <v>8352</v>
      </c>
      <c r="AA71" s="1128" t="s">
        <v>4083</v>
      </c>
      <c r="AB71" s="1128" t="s">
        <v>8353</v>
      </c>
      <c r="AC71" s="1128" t="s">
        <v>7137</v>
      </c>
      <c r="AD71" s="1128" t="s">
        <v>8357</v>
      </c>
      <c r="AE71" s="1128" t="s">
        <v>1778</v>
      </c>
      <c r="AF71" s="1128" t="s">
        <v>7672</v>
      </c>
      <c r="AG71" s="1128" t="s">
        <v>1401</v>
      </c>
      <c r="AH71" s="1128" t="s">
        <v>8359</v>
      </c>
      <c r="AI71" s="1128" t="s">
        <v>621</v>
      </c>
      <c r="AJ71" s="1128" t="s">
        <v>8361</v>
      </c>
      <c r="AK71" s="1128" t="s">
        <v>6773</v>
      </c>
      <c r="AL71" s="1128" t="s">
        <v>8362</v>
      </c>
      <c r="AM71" s="1128" t="s">
        <v>8363</v>
      </c>
      <c r="AN71" s="1128" t="s">
        <v>6855</v>
      </c>
      <c r="AO71" s="1128" t="s">
        <v>8367</v>
      </c>
      <c r="AP71" s="1128" t="s">
        <v>8370</v>
      </c>
      <c r="AQ71" s="1128" t="s">
        <v>8371</v>
      </c>
      <c r="AR71" s="1128" t="s">
        <v>8372</v>
      </c>
      <c r="AS71" s="1128" t="s">
        <v>1142</v>
      </c>
      <c r="AT71" s="1128" t="s">
        <v>8377</v>
      </c>
      <c r="AU71" s="1169" t="s">
        <v>8379</v>
      </c>
      <c r="AV71" s="789" t="str">
        <f t="shared" si="1"/>
        <v>3:49</v>
      </c>
      <c r="AW71" s="1560" t="s">
        <v>8380</v>
      </c>
    </row>
    <row r="72" ht="15.75" customHeight="1">
      <c r="A72" s="1107" t="s">
        <v>3858</v>
      </c>
      <c r="B72" s="1237" t="s">
        <v>5444</v>
      </c>
      <c r="C72" s="1299">
        <v>0.051863425925925924</v>
      </c>
      <c r="D72" s="63" t="s">
        <v>8381</v>
      </c>
      <c r="E72" s="164" t="s">
        <v>5879</v>
      </c>
      <c r="F72" s="164" t="s">
        <v>8382</v>
      </c>
      <c r="G72" s="164" t="s">
        <v>8383</v>
      </c>
      <c r="H72" s="164" t="s">
        <v>8384</v>
      </c>
      <c r="I72" s="164" t="s">
        <v>4227</v>
      </c>
      <c r="J72" s="164" t="s">
        <v>5191</v>
      </c>
      <c r="K72" s="164" t="s">
        <v>3934</v>
      </c>
      <c r="L72" s="164" t="s">
        <v>8385</v>
      </c>
      <c r="M72" s="164" t="s">
        <v>7862</v>
      </c>
      <c r="N72" s="164" t="s">
        <v>6809</v>
      </c>
      <c r="O72" s="164" t="s">
        <v>8387</v>
      </c>
      <c r="P72" s="164" t="s">
        <v>4584</v>
      </c>
      <c r="Q72" s="164" t="s">
        <v>8388</v>
      </c>
      <c r="R72" s="164" t="s">
        <v>8389</v>
      </c>
      <c r="S72" s="164" t="s">
        <v>8390</v>
      </c>
      <c r="T72" s="164" t="s">
        <v>8391</v>
      </c>
      <c r="U72" s="164" t="s">
        <v>8392</v>
      </c>
      <c r="V72" s="164" t="s">
        <v>7469</v>
      </c>
      <c r="W72" s="164" t="s">
        <v>8393</v>
      </c>
      <c r="X72" s="164" t="s">
        <v>8167</v>
      </c>
      <c r="Y72" s="164" t="s">
        <v>6582</v>
      </c>
      <c r="Z72" s="164" t="s">
        <v>8394</v>
      </c>
      <c r="AA72" s="164" t="s">
        <v>8395</v>
      </c>
      <c r="AB72" s="164" t="s">
        <v>3659</v>
      </c>
      <c r="AC72" s="164" t="s">
        <v>554</v>
      </c>
      <c r="AD72" s="164" t="s">
        <v>8397</v>
      </c>
      <c r="AE72" s="164" t="s">
        <v>4078</v>
      </c>
      <c r="AF72" s="164" t="s">
        <v>8398</v>
      </c>
      <c r="AG72" s="164" t="s">
        <v>8399</v>
      </c>
      <c r="AH72" s="164" t="s">
        <v>7931</v>
      </c>
      <c r="AI72" s="164" t="s">
        <v>8248</v>
      </c>
      <c r="AJ72" s="164" t="s">
        <v>8400</v>
      </c>
      <c r="AK72" s="164" t="s">
        <v>5914</v>
      </c>
      <c r="AL72" s="164" t="s">
        <v>8359</v>
      </c>
      <c r="AM72" s="164" t="s">
        <v>8401</v>
      </c>
      <c r="AN72" s="164" t="s">
        <v>7123</v>
      </c>
      <c r="AO72" s="164" t="s">
        <v>5774</v>
      </c>
      <c r="AP72" s="164" t="s">
        <v>8402</v>
      </c>
      <c r="AQ72" s="164" t="s">
        <v>8404</v>
      </c>
      <c r="AR72" s="164" t="s">
        <v>5855</v>
      </c>
      <c r="AS72" s="164" t="s">
        <v>5151</v>
      </c>
      <c r="AT72" s="164" t="s">
        <v>8405</v>
      </c>
      <c r="AU72" s="164" t="s">
        <v>8406</v>
      </c>
      <c r="AV72" s="789" t="str">
        <f t="shared" si="1"/>
        <v>2:06</v>
      </c>
      <c r="AW72" s="1510" t="s">
        <v>8407</v>
      </c>
    </row>
    <row r="73" ht="15.75" customHeight="1">
      <c r="A73" s="1107" t="s">
        <v>332</v>
      </c>
      <c r="B73" s="1108" t="s">
        <v>5396</v>
      </c>
      <c r="C73" s="1299">
        <v>0.051875</v>
      </c>
      <c r="D73" s="63" t="s">
        <v>8410</v>
      </c>
      <c r="E73" s="164" t="s">
        <v>2898</v>
      </c>
      <c r="F73" s="164" t="s">
        <v>8412</v>
      </c>
      <c r="G73" s="164" t="s">
        <v>8413</v>
      </c>
      <c r="H73" s="164" t="s">
        <v>8414</v>
      </c>
      <c r="I73" s="164" t="s">
        <v>8415</v>
      </c>
      <c r="J73" s="164" t="s">
        <v>6352</v>
      </c>
      <c r="K73" s="164" t="s">
        <v>8416</v>
      </c>
      <c r="L73" s="164" t="s">
        <v>5986</v>
      </c>
      <c r="M73" s="164" t="s">
        <v>2619</v>
      </c>
      <c r="N73" s="164" t="s">
        <v>6435</v>
      </c>
      <c r="O73" s="164" t="s">
        <v>8417</v>
      </c>
      <c r="P73" s="164" t="s">
        <v>5033</v>
      </c>
      <c r="Q73" s="164" t="s">
        <v>8418</v>
      </c>
      <c r="R73" s="164" t="s">
        <v>5529</v>
      </c>
      <c r="S73" s="164" t="s">
        <v>8419</v>
      </c>
      <c r="T73" s="164" t="s">
        <v>8420</v>
      </c>
      <c r="U73" s="164" t="s">
        <v>7937</v>
      </c>
      <c r="V73" s="164" t="s">
        <v>8421</v>
      </c>
      <c r="W73" s="164" t="s">
        <v>8417</v>
      </c>
      <c r="X73" s="164" t="s">
        <v>7090</v>
      </c>
      <c r="Y73" s="164" t="s">
        <v>7148</v>
      </c>
      <c r="Z73" s="164" t="s">
        <v>8422</v>
      </c>
      <c r="AA73" s="164" t="s">
        <v>1479</v>
      </c>
      <c r="AB73" s="164" t="s">
        <v>2329</v>
      </c>
      <c r="AC73" s="164" t="s">
        <v>8423</v>
      </c>
      <c r="AD73" s="164" t="s">
        <v>8072</v>
      </c>
      <c r="AE73" s="164" t="s">
        <v>3647</v>
      </c>
      <c r="AF73" s="164" t="s">
        <v>8424</v>
      </c>
      <c r="AG73" s="164" t="s">
        <v>8425</v>
      </c>
      <c r="AH73" s="164" t="s">
        <v>7857</v>
      </c>
      <c r="AI73" s="164" t="s">
        <v>8427</v>
      </c>
      <c r="AJ73" s="164" t="s">
        <v>8428</v>
      </c>
      <c r="AK73" s="164" t="s">
        <v>8429</v>
      </c>
      <c r="AL73" s="164" t="s">
        <v>6767</v>
      </c>
      <c r="AM73" s="164" t="s">
        <v>8430</v>
      </c>
      <c r="AN73" s="164" t="s">
        <v>8431</v>
      </c>
      <c r="AO73" s="162" t="s">
        <v>7625</v>
      </c>
      <c r="AP73" s="164" t="s">
        <v>8432</v>
      </c>
      <c r="AQ73" s="164" t="s">
        <v>8433</v>
      </c>
      <c r="AR73" s="164" t="s">
        <v>6835</v>
      </c>
      <c r="AS73" s="164" t="s">
        <v>6942</v>
      </c>
      <c r="AT73" s="164" t="s">
        <v>8434</v>
      </c>
      <c r="AU73" s="162" t="s">
        <v>8435</v>
      </c>
      <c r="AV73" s="789" t="str">
        <f t="shared" si="1"/>
        <v>0:37</v>
      </c>
      <c r="AW73" s="1537" t="s">
        <v>8436</v>
      </c>
    </row>
    <row r="74">
      <c r="A74" s="1202" t="s">
        <v>3418</v>
      </c>
      <c r="B74" s="1200" t="s">
        <v>5396</v>
      </c>
      <c r="C74" s="1166">
        <v>0.05188657407407407</v>
      </c>
      <c r="D74" s="162" t="s">
        <v>8437</v>
      </c>
      <c r="E74" s="63" t="s">
        <v>471</v>
      </c>
      <c r="F74" s="63" t="s">
        <v>8438</v>
      </c>
      <c r="G74" s="63" t="s">
        <v>8440</v>
      </c>
      <c r="H74" s="63" t="s">
        <v>8441</v>
      </c>
      <c r="I74" s="63" t="s">
        <v>427</v>
      </c>
      <c r="J74" s="63" t="s">
        <v>7393</v>
      </c>
      <c r="K74" s="63" t="s">
        <v>6784</v>
      </c>
      <c r="L74" s="63" t="s">
        <v>8442</v>
      </c>
      <c r="M74" s="63" t="s">
        <v>8443</v>
      </c>
      <c r="N74" s="63" t="s">
        <v>6504</v>
      </c>
      <c r="O74" s="63" t="s">
        <v>8444</v>
      </c>
      <c r="P74" s="63" t="s">
        <v>8446</v>
      </c>
      <c r="Q74" s="63" t="s">
        <v>8447</v>
      </c>
      <c r="R74" s="63" t="s">
        <v>8448</v>
      </c>
      <c r="S74" s="63" t="s">
        <v>8449</v>
      </c>
      <c r="T74" s="63" t="s">
        <v>5511</v>
      </c>
      <c r="U74" s="63" t="s">
        <v>8451</v>
      </c>
      <c r="V74" s="63" t="s">
        <v>8452</v>
      </c>
      <c r="W74" s="63" t="s">
        <v>8453</v>
      </c>
      <c r="X74" s="63" t="s">
        <v>8454</v>
      </c>
      <c r="Y74" s="63" t="s">
        <v>8455</v>
      </c>
      <c r="Z74" s="63" t="s">
        <v>6803</v>
      </c>
      <c r="AA74" s="63" t="s">
        <v>6562</v>
      </c>
      <c r="AB74" s="63" t="s">
        <v>2828</v>
      </c>
      <c r="AC74" s="63" t="s">
        <v>8456</v>
      </c>
      <c r="AD74" s="63" t="s">
        <v>8457</v>
      </c>
      <c r="AE74" s="63" t="s">
        <v>6458</v>
      </c>
      <c r="AF74" s="63" t="s">
        <v>8458</v>
      </c>
      <c r="AG74" s="63" t="s">
        <v>8460</v>
      </c>
      <c r="AH74" s="63" t="s">
        <v>8442</v>
      </c>
      <c r="AI74" s="63" t="s">
        <v>503</v>
      </c>
      <c r="AJ74" s="63" t="s">
        <v>8462</v>
      </c>
      <c r="AK74" s="63" t="s">
        <v>6818</v>
      </c>
      <c r="AL74" s="63" t="s">
        <v>7781</v>
      </c>
      <c r="AM74" s="63" t="s">
        <v>6769</v>
      </c>
      <c r="AN74" s="63" t="s">
        <v>2277</v>
      </c>
      <c r="AO74" s="63" t="s">
        <v>8463</v>
      </c>
      <c r="AP74" s="63" t="s">
        <v>7703</v>
      </c>
      <c r="AQ74" s="63" t="s">
        <v>8433</v>
      </c>
      <c r="AR74" s="63" t="s">
        <v>8464</v>
      </c>
      <c r="AS74" s="63" t="s">
        <v>4862</v>
      </c>
      <c r="AT74" s="63" t="s">
        <v>5875</v>
      </c>
      <c r="AU74" s="162" t="s">
        <v>8466</v>
      </c>
      <c r="AV74" s="789" t="str">
        <f t="shared" si="1"/>
        <v>4:21</v>
      </c>
      <c r="AW74" s="1510" t="s">
        <v>8468</v>
      </c>
    </row>
    <row r="75">
      <c r="A75" s="1202" t="s">
        <v>4053</v>
      </c>
      <c r="B75" s="1189" t="s">
        <v>5396</v>
      </c>
      <c r="C75" s="1166">
        <v>0.05193287037037037</v>
      </c>
      <c r="D75" s="1372" t="s">
        <v>8470</v>
      </c>
      <c r="E75" s="162" t="s">
        <v>2727</v>
      </c>
      <c r="F75" s="162" t="s">
        <v>8471</v>
      </c>
      <c r="G75" s="162" t="s">
        <v>8472</v>
      </c>
      <c r="H75" s="162" t="s">
        <v>8473</v>
      </c>
      <c r="I75" s="162" t="s">
        <v>8111</v>
      </c>
      <c r="J75" s="162" t="s">
        <v>5122</v>
      </c>
      <c r="K75" s="162" t="s">
        <v>6696</v>
      </c>
      <c r="L75" s="162"/>
      <c r="M75" s="162" t="s">
        <v>1171</v>
      </c>
      <c r="N75" s="162" t="s">
        <v>7058</v>
      </c>
      <c r="O75" s="162" t="s">
        <v>5500</v>
      </c>
      <c r="P75" s="162" t="s">
        <v>7695</v>
      </c>
      <c r="Q75" s="162" t="s">
        <v>8475</v>
      </c>
      <c r="R75" s="162" t="s">
        <v>8477</v>
      </c>
      <c r="S75" s="162" t="s">
        <v>7693</v>
      </c>
      <c r="T75" s="162" t="s">
        <v>6720</v>
      </c>
      <c r="U75" s="162" t="s">
        <v>8480</v>
      </c>
      <c r="V75" s="162" t="s">
        <v>6463</v>
      </c>
      <c r="W75" s="162" t="s">
        <v>846</v>
      </c>
      <c r="X75" s="162" t="s">
        <v>2357</v>
      </c>
      <c r="Y75" s="162" t="s">
        <v>6405</v>
      </c>
      <c r="Z75" s="162" t="s">
        <v>7037</v>
      </c>
      <c r="AA75" s="162" t="s">
        <v>3210</v>
      </c>
      <c r="AB75" s="162" t="s">
        <v>6128</v>
      </c>
      <c r="AC75" s="162" t="s">
        <v>7117</v>
      </c>
      <c r="AD75" s="162" t="s">
        <v>8483</v>
      </c>
      <c r="AE75" s="162" t="s">
        <v>8484</v>
      </c>
      <c r="AF75" s="162" t="s">
        <v>7359</v>
      </c>
      <c r="AG75" s="162" t="s">
        <v>7943</v>
      </c>
      <c r="AH75" s="162" t="s">
        <v>8485</v>
      </c>
      <c r="AI75" s="162" t="s">
        <v>8486</v>
      </c>
      <c r="AJ75" s="162" t="s">
        <v>8487</v>
      </c>
      <c r="AK75" s="162" t="s">
        <v>8488</v>
      </c>
      <c r="AL75" s="162" t="s">
        <v>8489</v>
      </c>
      <c r="AM75" s="162" t="s">
        <v>8490</v>
      </c>
      <c r="AN75" s="162" t="s">
        <v>3042</v>
      </c>
      <c r="AO75" s="162" t="s">
        <v>8491</v>
      </c>
      <c r="AP75" s="162" t="s">
        <v>8492</v>
      </c>
      <c r="AQ75" s="162" t="s">
        <v>8493</v>
      </c>
      <c r="AR75" s="162" t="s">
        <v>8495</v>
      </c>
      <c r="AS75" s="162" t="s">
        <v>3941</v>
      </c>
      <c r="AT75" s="162" t="s">
        <v>8496</v>
      </c>
      <c r="AU75" s="162" t="s">
        <v>8497</v>
      </c>
      <c r="AV75" s="789" t="str">
        <f t="shared" si="1"/>
        <v>4:12</v>
      </c>
      <c r="AW75" s="1537"/>
    </row>
    <row r="76" ht="15.75" customHeight="1">
      <c r="A76" s="1277" t="s">
        <v>8498</v>
      </c>
      <c r="B76" s="1108" t="s">
        <v>5396</v>
      </c>
      <c r="C76" s="1299">
        <v>0.05199074074074074</v>
      </c>
      <c r="D76" s="63" t="s">
        <v>8499</v>
      </c>
      <c r="E76" s="164" t="s">
        <v>8500</v>
      </c>
      <c r="F76" s="164" t="s">
        <v>8501</v>
      </c>
      <c r="G76" s="164" t="s">
        <v>7347</v>
      </c>
      <c r="H76" s="164" t="s">
        <v>2492</v>
      </c>
      <c r="I76" s="164" t="s">
        <v>7643</v>
      </c>
      <c r="J76" s="164" t="s">
        <v>8502</v>
      </c>
      <c r="K76" s="164" t="s">
        <v>8503</v>
      </c>
      <c r="L76" s="164" t="s">
        <v>8385</v>
      </c>
      <c r="M76" s="164" t="s">
        <v>5605</v>
      </c>
      <c r="N76" s="164" t="s">
        <v>6935</v>
      </c>
      <c r="O76" s="164" t="s">
        <v>8504</v>
      </c>
      <c r="P76" s="164" t="s">
        <v>8505</v>
      </c>
      <c r="Q76" s="164" t="s">
        <v>8506</v>
      </c>
      <c r="R76" s="164" t="s">
        <v>8507</v>
      </c>
      <c r="S76" s="164" t="s">
        <v>8508</v>
      </c>
      <c r="T76" s="164" t="s">
        <v>3987</v>
      </c>
      <c r="U76" s="164" t="s">
        <v>8509</v>
      </c>
      <c r="V76" s="164" t="s">
        <v>8421</v>
      </c>
      <c r="W76" s="164" t="s">
        <v>4039</v>
      </c>
      <c r="X76" s="164" t="s">
        <v>8510</v>
      </c>
      <c r="Y76" s="164" t="s">
        <v>7137</v>
      </c>
      <c r="Z76" s="164" t="s">
        <v>8511</v>
      </c>
      <c r="AA76" s="164" t="s">
        <v>7867</v>
      </c>
      <c r="AB76" s="164" t="s">
        <v>8512</v>
      </c>
      <c r="AC76" s="164" t="s">
        <v>5506</v>
      </c>
      <c r="AD76" s="164" t="s">
        <v>8513</v>
      </c>
      <c r="AE76" s="164" t="s">
        <v>2570</v>
      </c>
      <c r="AF76" s="164" t="s">
        <v>8514</v>
      </c>
      <c r="AG76" s="164" t="s">
        <v>8429</v>
      </c>
      <c r="AH76" s="164" t="s">
        <v>8515</v>
      </c>
      <c r="AI76" s="164" t="s">
        <v>8516</v>
      </c>
      <c r="AJ76" s="164" t="s">
        <v>8517</v>
      </c>
      <c r="AK76" s="164" t="s">
        <v>3445</v>
      </c>
      <c r="AL76" s="164" t="s">
        <v>3852</v>
      </c>
      <c r="AM76" s="164" t="s">
        <v>7389</v>
      </c>
      <c r="AN76" s="164" t="s">
        <v>8518</v>
      </c>
      <c r="AO76" s="162" t="s">
        <v>8519</v>
      </c>
      <c r="AP76" s="162" t="s">
        <v>8520</v>
      </c>
      <c r="AQ76" s="164" t="s">
        <v>8521</v>
      </c>
      <c r="AR76" s="164" t="s">
        <v>7229</v>
      </c>
      <c r="AS76" s="164" t="s">
        <v>4191</v>
      </c>
      <c r="AT76" s="164" t="s">
        <v>7696</v>
      </c>
      <c r="AU76" s="1531" t="str">
        <f>HYPERLINK("https://splits.io/m3t","1:18:40")</f>
        <v>1:18:40</v>
      </c>
      <c r="AV76" s="789" t="str">
        <f t="shared" si="1"/>
        <v>3:48</v>
      </c>
      <c r="AW76" s="1532" t="s">
        <v>8524</v>
      </c>
    </row>
    <row r="77" ht="15.75" customHeight="1">
      <c r="A77" s="1277" t="s">
        <v>8526</v>
      </c>
      <c r="B77" s="1108" t="s">
        <v>5396</v>
      </c>
      <c r="C77" s="1299">
        <v>0.052002314814814814</v>
      </c>
      <c r="D77" s="63" t="s">
        <v>8527</v>
      </c>
      <c r="E77" s="164" t="s">
        <v>6074</v>
      </c>
      <c r="F77" s="164" t="s">
        <v>8528</v>
      </c>
      <c r="G77" s="164" t="s">
        <v>8530</v>
      </c>
      <c r="H77" s="164" t="s">
        <v>8532</v>
      </c>
      <c r="I77" s="164" t="s">
        <v>565</v>
      </c>
      <c r="J77" s="164" t="s">
        <v>6749</v>
      </c>
      <c r="K77" s="164" t="s">
        <v>8419</v>
      </c>
      <c r="L77" s="164" t="s">
        <v>3286</v>
      </c>
      <c r="M77" s="164" t="s">
        <v>7936</v>
      </c>
      <c r="N77" s="164" t="s">
        <v>6497</v>
      </c>
      <c r="O77" s="164" t="s">
        <v>8534</v>
      </c>
      <c r="P77" s="164" t="s">
        <v>8535</v>
      </c>
      <c r="Q77" s="164" t="s">
        <v>8536</v>
      </c>
      <c r="R77" s="164" t="s">
        <v>4923</v>
      </c>
      <c r="S77" s="164" t="s">
        <v>6885</v>
      </c>
      <c r="T77" s="164" t="s">
        <v>1879</v>
      </c>
      <c r="U77" s="164" t="s">
        <v>6162</v>
      </c>
      <c r="V77" s="164" t="s">
        <v>1385</v>
      </c>
      <c r="W77" s="164" t="s">
        <v>8537</v>
      </c>
      <c r="X77" s="164" t="s">
        <v>7562</v>
      </c>
      <c r="Y77" s="164" t="s">
        <v>7197</v>
      </c>
      <c r="Z77" s="164" t="s">
        <v>5880</v>
      </c>
      <c r="AA77" s="164" t="s">
        <v>6935</v>
      </c>
      <c r="AB77" s="164" t="s">
        <v>8540</v>
      </c>
      <c r="AC77" s="164" t="s">
        <v>7040</v>
      </c>
      <c r="AD77" s="164" t="s">
        <v>8541</v>
      </c>
      <c r="AE77" s="164" t="s">
        <v>8446</v>
      </c>
      <c r="AF77" s="164" t="s">
        <v>8543</v>
      </c>
      <c r="AG77" s="164" t="s">
        <v>8544</v>
      </c>
      <c r="AH77" s="164" t="s">
        <v>3562</v>
      </c>
      <c r="AI77" s="164" t="s">
        <v>8545</v>
      </c>
      <c r="AJ77" s="164" t="s">
        <v>8546</v>
      </c>
      <c r="AK77" s="164" t="s">
        <v>6724</v>
      </c>
      <c r="AL77" s="164" t="s">
        <v>5625</v>
      </c>
      <c r="AM77" s="164" t="s">
        <v>4928</v>
      </c>
      <c r="AN77" s="164" t="s">
        <v>5809</v>
      </c>
      <c r="AO77" s="164" t="s">
        <v>6455</v>
      </c>
      <c r="AP77" s="164" t="s">
        <v>8548</v>
      </c>
      <c r="AQ77" s="164" t="s">
        <v>8549</v>
      </c>
      <c r="AR77" s="164" t="s">
        <v>8550</v>
      </c>
      <c r="AS77" s="164" t="s">
        <v>8553</v>
      </c>
      <c r="AT77" s="164" t="s">
        <v>8554</v>
      </c>
      <c r="AU77" s="164" t="s">
        <v>8555</v>
      </c>
      <c r="AV77" s="789" t="str">
        <f t="shared" si="1"/>
        <v>3:32</v>
      </c>
      <c r="AW77" s="1532" t="s">
        <v>8557</v>
      </c>
    </row>
    <row r="78" ht="15.75" customHeight="1">
      <c r="A78" s="1277" t="s">
        <v>8558</v>
      </c>
      <c r="B78" s="1237" t="s">
        <v>5444</v>
      </c>
      <c r="C78" s="1299">
        <v>0.05201388888888889</v>
      </c>
      <c r="D78" s="63" t="s">
        <v>8559</v>
      </c>
      <c r="E78" s="162" t="s">
        <v>8560</v>
      </c>
      <c r="F78" s="164" t="s">
        <v>8561</v>
      </c>
      <c r="G78" s="164" t="s">
        <v>8562</v>
      </c>
      <c r="H78" s="164" t="s">
        <v>406</v>
      </c>
      <c r="I78" s="164" t="s">
        <v>8563</v>
      </c>
      <c r="J78" s="164" t="s">
        <v>8565</v>
      </c>
      <c r="K78" s="164" t="s">
        <v>8566</v>
      </c>
      <c r="L78" s="164" t="s">
        <v>8569</v>
      </c>
      <c r="M78" s="164" t="s">
        <v>8570</v>
      </c>
      <c r="N78" s="164" t="s">
        <v>8571</v>
      </c>
      <c r="O78" s="164" t="s">
        <v>8572</v>
      </c>
      <c r="P78" s="164" t="s">
        <v>4653</v>
      </c>
      <c r="Q78" s="164" t="s">
        <v>8573</v>
      </c>
      <c r="R78" s="164" t="s">
        <v>1837</v>
      </c>
      <c r="S78" s="164" t="s">
        <v>8575</v>
      </c>
      <c r="T78" s="164" t="s">
        <v>8576</v>
      </c>
      <c r="U78" s="164" t="s">
        <v>8577</v>
      </c>
      <c r="V78" s="164" t="s">
        <v>1140</v>
      </c>
      <c r="W78" s="164" t="s">
        <v>8578</v>
      </c>
      <c r="X78" s="164" t="s">
        <v>7562</v>
      </c>
      <c r="Y78" s="164" t="s">
        <v>524</v>
      </c>
      <c r="Z78" s="164" t="s">
        <v>8579</v>
      </c>
      <c r="AA78" s="164" t="s">
        <v>8580</v>
      </c>
      <c r="AB78" s="164" t="s">
        <v>6221</v>
      </c>
      <c r="AC78" s="164" t="s">
        <v>4005</v>
      </c>
      <c r="AD78" s="164" t="s">
        <v>8583</v>
      </c>
      <c r="AE78" s="164" t="s">
        <v>451</v>
      </c>
      <c r="AF78" s="164" t="s">
        <v>8585</v>
      </c>
      <c r="AG78" s="164" t="s">
        <v>8252</v>
      </c>
      <c r="AH78" s="164" t="s">
        <v>8587</v>
      </c>
      <c r="AI78" s="164" t="s">
        <v>3141</v>
      </c>
      <c r="AJ78" s="164" t="s">
        <v>8588</v>
      </c>
      <c r="AK78" s="164" t="s">
        <v>6951</v>
      </c>
      <c r="AL78" s="164" t="s">
        <v>7636</v>
      </c>
      <c r="AM78" s="164" t="s">
        <v>3621</v>
      </c>
      <c r="AN78" s="164" t="s">
        <v>8169</v>
      </c>
      <c r="AO78" s="164" t="s">
        <v>7509</v>
      </c>
      <c r="AP78" s="164" t="s">
        <v>8589</v>
      </c>
      <c r="AQ78" s="164" t="s">
        <v>4302</v>
      </c>
      <c r="AR78" s="164" t="s">
        <v>5501</v>
      </c>
      <c r="AS78" s="164" t="s">
        <v>5409</v>
      </c>
      <c r="AT78" s="164" t="s">
        <v>8590</v>
      </c>
      <c r="AU78" s="164" t="s">
        <v>8591</v>
      </c>
      <c r="AV78" s="789" t="str">
        <f t="shared" si="1"/>
        <v>2:58</v>
      </c>
      <c r="AW78" s="1537" t="s">
        <v>8593</v>
      </c>
    </row>
    <row r="79" ht="15.75" customHeight="1">
      <c r="A79" s="1107" t="s">
        <v>95</v>
      </c>
      <c r="B79" s="1237" t="s">
        <v>5444</v>
      </c>
      <c r="C79" s="1299">
        <v>0.05207175925925926</v>
      </c>
      <c r="D79" s="63" t="s">
        <v>8594</v>
      </c>
      <c r="E79" s="164" t="s">
        <v>8596</v>
      </c>
      <c r="F79" s="164" t="s">
        <v>8597</v>
      </c>
      <c r="G79" s="164" t="s">
        <v>8599</v>
      </c>
      <c r="H79" s="164" t="s">
        <v>5874</v>
      </c>
      <c r="I79" s="164" t="s">
        <v>8600</v>
      </c>
      <c r="J79" s="164" t="s">
        <v>6601</v>
      </c>
      <c r="K79" s="164" t="s">
        <v>7887</v>
      </c>
      <c r="L79" s="164" t="s">
        <v>8601</v>
      </c>
      <c r="M79" s="164" t="s">
        <v>1480</v>
      </c>
      <c r="N79" s="164" t="s">
        <v>8603</v>
      </c>
      <c r="O79" s="164" t="s">
        <v>8604</v>
      </c>
      <c r="P79" s="164" t="s">
        <v>3171</v>
      </c>
      <c r="Q79" s="164" t="s">
        <v>8605</v>
      </c>
      <c r="R79" s="164" t="s">
        <v>8606</v>
      </c>
      <c r="S79" s="164" t="s">
        <v>8608</v>
      </c>
      <c r="T79" s="164" t="s">
        <v>3987</v>
      </c>
      <c r="U79" s="164" t="s">
        <v>8610</v>
      </c>
      <c r="V79" s="164" t="s">
        <v>1828</v>
      </c>
      <c r="W79" s="164" t="s">
        <v>5505</v>
      </c>
      <c r="X79" s="164" t="s">
        <v>8612</v>
      </c>
      <c r="Y79" s="164" t="s">
        <v>4858</v>
      </c>
      <c r="Z79" s="164" t="s">
        <v>1700</v>
      </c>
      <c r="AA79" s="164" t="s">
        <v>4961</v>
      </c>
      <c r="AB79" s="164" t="s">
        <v>8613</v>
      </c>
      <c r="AC79" s="164" t="s">
        <v>601</v>
      </c>
      <c r="AD79" s="164" t="s">
        <v>8614</v>
      </c>
      <c r="AE79" s="164" t="s">
        <v>7644</v>
      </c>
      <c r="AF79" s="164" t="s">
        <v>8615</v>
      </c>
      <c r="AG79" s="164" t="s">
        <v>7562</v>
      </c>
      <c r="AH79" s="164" t="s">
        <v>6038</v>
      </c>
      <c r="AI79" s="164" t="s">
        <v>8248</v>
      </c>
      <c r="AJ79" s="164" t="s">
        <v>8619</v>
      </c>
      <c r="AK79" s="164" t="s">
        <v>8620</v>
      </c>
      <c r="AL79" s="164" t="s">
        <v>8621</v>
      </c>
      <c r="AM79" s="164" t="s">
        <v>7727</v>
      </c>
      <c r="AN79" s="164" t="s">
        <v>7636</v>
      </c>
      <c r="AO79" s="164" t="s">
        <v>8566</v>
      </c>
      <c r="AP79" s="164" t="s">
        <v>7075</v>
      </c>
      <c r="AQ79" s="164" t="s">
        <v>8622</v>
      </c>
      <c r="AR79" s="164" t="s">
        <v>4958</v>
      </c>
      <c r="AS79" s="164" t="s">
        <v>7000</v>
      </c>
      <c r="AT79" s="164" t="s">
        <v>3067</v>
      </c>
      <c r="AU79" s="164" t="s">
        <v>8623</v>
      </c>
      <c r="AV79" s="789" t="str">
        <f t="shared" si="1"/>
        <v>3:10</v>
      </c>
      <c r="AW79" s="1537" t="s">
        <v>8625</v>
      </c>
    </row>
    <row r="80">
      <c r="A80" s="634" t="s">
        <v>128</v>
      </c>
      <c r="B80" s="1434" t="s">
        <v>5482</v>
      </c>
      <c r="C80" s="1240">
        <v>0.052141203703703703</v>
      </c>
      <c r="D80" s="63" t="s">
        <v>8627</v>
      </c>
      <c r="E80" s="1231" t="s">
        <v>8628</v>
      </c>
      <c r="F80" s="1231" t="s">
        <v>8629</v>
      </c>
      <c r="G80" s="1265" t="s">
        <v>8630</v>
      </c>
      <c r="H80" s="1265" t="s">
        <v>8631</v>
      </c>
      <c r="I80" s="1265" t="s">
        <v>8482</v>
      </c>
      <c r="J80" s="1265" t="s">
        <v>4891</v>
      </c>
      <c r="K80" s="1591" t="s">
        <v>5489</v>
      </c>
      <c r="L80" s="1504" t="s">
        <v>6026</v>
      </c>
      <c r="M80" s="1265" t="s">
        <v>8634</v>
      </c>
      <c r="N80" s="1265" t="s">
        <v>3987</v>
      </c>
      <c r="O80" s="1265" t="s">
        <v>8635</v>
      </c>
      <c r="P80" s="1265" t="s">
        <v>5925</v>
      </c>
      <c r="Q80" s="1265" t="s">
        <v>8636</v>
      </c>
      <c r="R80" s="1265" t="s">
        <v>8637</v>
      </c>
      <c r="S80" s="1592" t="s">
        <v>5496</v>
      </c>
      <c r="T80" s="1265" t="s">
        <v>6407</v>
      </c>
      <c r="U80" s="1265" t="s">
        <v>6223</v>
      </c>
      <c r="V80" s="1265" t="s">
        <v>8639</v>
      </c>
      <c r="W80" s="1265" t="s">
        <v>8640</v>
      </c>
      <c r="X80" s="1265" t="s">
        <v>8641</v>
      </c>
      <c r="Y80" s="1265" t="s">
        <v>6594</v>
      </c>
      <c r="Z80" s="1265" t="s">
        <v>8642</v>
      </c>
      <c r="AA80" s="1265" t="s">
        <v>1401</v>
      </c>
      <c r="AB80" s="1265" t="s">
        <v>2341</v>
      </c>
      <c r="AC80" s="1265" t="s">
        <v>7644</v>
      </c>
      <c r="AD80" s="1128" t="s">
        <v>6329</v>
      </c>
      <c r="AE80" s="1265" t="s">
        <v>1706</v>
      </c>
      <c r="AF80" s="1265" t="s">
        <v>8645</v>
      </c>
      <c r="AG80" s="1265" t="s">
        <v>8646</v>
      </c>
      <c r="AH80" s="1265" t="s">
        <v>8647</v>
      </c>
      <c r="AI80" s="1265" t="s">
        <v>8648</v>
      </c>
      <c r="AJ80" s="1265" t="s">
        <v>8649</v>
      </c>
      <c r="AK80" s="1265" t="s">
        <v>8650</v>
      </c>
      <c r="AL80" s="1265" t="s">
        <v>4294</v>
      </c>
      <c r="AM80" s="1265" t="s">
        <v>7950</v>
      </c>
      <c r="AN80" s="1265" t="s">
        <v>1683</v>
      </c>
      <c r="AO80" s="1265" t="s">
        <v>6297</v>
      </c>
      <c r="AP80" s="1265" t="s">
        <v>8652</v>
      </c>
      <c r="AQ80" s="1591" t="s">
        <v>5518</v>
      </c>
      <c r="AR80" s="1265" t="s">
        <v>8655</v>
      </c>
      <c r="AS80" s="1595" t="s">
        <v>2676</v>
      </c>
      <c r="AT80" s="1265" t="s">
        <v>8657</v>
      </c>
      <c r="AU80" s="1192" t="s">
        <v>8658</v>
      </c>
      <c r="AV80" s="789" t="str">
        <f t="shared" si="1"/>
        <v>4:08</v>
      </c>
      <c r="AW80" s="1596" t="s">
        <v>8659</v>
      </c>
    </row>
    <row r="81">
      <c r="A81" s="1202" t="s">
        <v>4119</v>
      </c>
      <c r="B81" s="1189" t="s">
        <v>5396</v>
      </c>
      <c r="C81" s="1166">
        <v>0.0522337962962963</v>
      </c>
      <c r="D81" s="1372" t="s">
        <v>8660</v>
      </c>
      <c r="E81" s="162" t="s">
        <v>8661</v>
      </c>
      <c r="F81" s="162" t="s">
        <v>8662</v>
      </c>
      <c r="G81" s="162" t="s">
        <v>8663</v>
      </c>
      <c r="H81" s="162" t="s">
        <v>8664</v>
      </c>
      <c r="I81" s="162" t="s">
        <v>6130</v>
      </c>
      <c r="J81" s="162" t="s">
        <v>2975</v>
      </c>
      <c r="K81" s="162" t="s">
        <v>8419</v>
      </c>
      <c r="L81" s="162" t="s">
        <v>8665</v>
      </c>
      <c r="M81" s="162" t="s">
        <v>8667</v>
      </c>
      <c r="N81" s="162" t="s">
        <v>7237</v>
      </c>
      <c r="O81" s="162" t="s">
        <v>8668</v>
      </c>
      <c r="P81" s="162" t="s">
        <v>8446</v>
      </c>
      <c r="Q81" s="162" t="s">
        <v>8669</v>
      </c>
      <c r="R81" s="162" t="s">
        <v>8670</v>
      </c>
      <c r="S81" s="162" t="s">
        <v>2260</v>
      </c>
      <c r="T81" s="162" t="s">
        <v>8363</v>
      </c>
      <c r="U81" s="162" t="s">
        <v>6375</v>
      </c>
      <c r="V81" s="162" t="s">
        <v>8671</v>
      </c>
      <c r="W81" s="162" t="s">
        <v>8672</v>
      </c>
      <c r="X81" s="162" t="s">
        <v>8673</v>
      </c>
      <c r="Y81" s="162" t="s">
        <v>3154</v>
      </c>
      <c r="Z81" s="162" t="s">
        <v>8674</v>
      </c>
      <c r="AA81" s="63" t="s">
        <v>8675</v>
      </c>
      <c r="AB81" s="162" t="s">
        <v>5552</v>
      </c>
      <c r="AC81" s="162" t="s">
        <v>8289</v>
      </c>
      <c r="AD81" s="162" t="s">
        <v>2486</v>
      </c>
      <c r="AE81" s="162" t="s">
        <v>7275</v>
      </c>
      <c r="AF81" s="74" t="s">
        <v>8677</v>
      </c>
      <c r="AG81" s="162" t="s">
        <v>8681</v>
      </c>
      <c r="AH81" s="162" t="s">
        <v>8682</v>
      </c>
      <c r="AI81" s="162" t="s">
        <v>3104</v>
      </c>
      <c r="AJ81" s="162" t="s">
        <v>8683</v>
      </c>
      <c r="AK81" s="162" t="s">
        <v>8684</v>
      </c>
      <c r="AL81" s="162" t="s">
        <v>8170</v>
      </c>
      <c r="AM81" s="162" t="s">
        <v>7239</v>
      </c>
      <c r="AN81" s="162" t="s">
        <v>3836</v>
      </c>
      <c r="AO81" s="162" t="s">
        <v>8685</v>
      </c>
      <c r="AP81" s="162" t="s">
        <v>8687</v>
      </c>
      <c r="AQ81" s="162" t="s">
        <v>8688</v>
      </c>
      <c r="AR81" s="162" t="s">
        <v>2694</v>
      </c>
      <c r="AS81" s="74" t="s">
        <v>898</v>
      </c>
      <c r="AT81" s="162" t="s">
        <v>8691</v>
      </c>
      <c r="AU81" s="162" t="s">
        <v>8692</v>
      </c>
      <c r="AV81" s="789" t="str">
        <f t="shared" si="1"/>
        <v>4:32</v>
      </c>
      <c r="AW81" s="1510" t="s">
        <v>8693</v>
      </c>
    </row>
    <row r="82">
      <c r="A82" s="1202" t="s">
        <v>8694</v>
      </c>
      <c r="B82" s="1200" t="s">
        <v>5444</v>
      </c>
      <c r="C82" s="1166">
        <v>0.05232638888888889</v>
      </c>
      <c r="D82" s="1372" t="s">
        <v>8695</v>
      </c>
      <c r="E82" s="162" t="s">
        <v>4578</v>
      </c>
      <c r="F82" s="162" t="s">
        <v>8697</v>
      </c>
      <c r="G82" s="162" t="s">
        <v>8698</v>
      </c>
      <c r="H82" s="162" t="s">
        <v>8700</v>
      </c>
      <c r="I82" s="162" t="s">
        <v>390</v>
      </c>
      <c r="J82" s="162" t="s">
        <v>3389</v>
      </c>
      <c r="K82" s="162" t="s">
        <v>7899</v>
      </c>
      <c r="L82" s="162" t="s">
        <v>8701</v>
      </c>
      <c r="M82" s="162" t="s">
        <v>2462</v>
      </c>
      <c r="N82" s="162" t="s">
        <v>8702</v>
      </c>
      <c r="O82" s="162" t="s">
        <v>8703</v>
      </c>
      <c r="P82" s="162" t="s">
        <v>1847</v>
      </c>
      <c r="Q82" s="162" t="s">
        <v>7639</v>
      </c>
      <c r="R82" s="162" t="s">
        <v>8704</v>
      </c>
      <c r="S82" s="162" t="s">
        <v>7090</v>
      </c>
      <c r="T82" s="162" t="s">
        <v>3829</v>
      </c>
      <c r="U82" s="162" t="s">
        <v>8705</v>
      </c>
      <c r="V82" s="162" t="s">
        <v>8706</v>
      </c>
      <c r="W82" s="162" t="s">
        <v>8707</v>
      </c>
      <c r="X82" s="162" t="s">
        <v>873</v>
      </c>
      <c r="Y82" s="162" t="s">
        <v>561</v>
      </c>
      <c r="Z82" s="162" t="s">
        <v>3239</v>
      </c>
      <c r="AA82" s="164" t="s">
        <v>7090</v>
      </c>
      <c r="AB82" s="162" t="s">
        <v>8708</v>
      </c>
      <c r="AC82" s="162" t="s">
        <v>3353</v>
      </c>
      <c r="AD82" s="162" t="s">
        <v>8709</v>
      </c>
      <c r="AE82" s="162" t="s">
        <v>545</v>
      </c>
      <c r="AF82" s="162" t="s">
        <v>6545</v>
      </c>
      <c r="AG82" s="162" t="s">
        <v>8711</v>
      </c>
      <c r="AH82" s="162" t="s">
        <v>6102</v>
      </c>
      <c r="AI82" s="162" t="s">
        <v>1478</v>
      </c>
      <c r="AJ82" s="162" t="s">
        <v>8712</v>
      </c>
      <c r="AK82" s="162" t="s">
        <v>8713</v>
      </c>
      <c r="AL82" s="162" t="s">
        <v>8251</v>
      </c>
      <c r="AM82" s="162" t="s">
        <v>8252</v>
      </c>
      <c r="AN82" s="162" t="s">
        <v>8715</v>
      </c>
      <c r="AO82" s="162" t="s">
        <v>1224</v>
      </c>
      <c r="AP82" s="162" t="s">
        <v>8716</v>
      </c>
      <c r="AQ82" s="162" t="s">
        <v>2460</v>
      </c>
      <c r="AR82" s="162" t="s">
        <v>8271</v>
      </c>
      <c r="AS82" s="162" t="s">
        <v>8718</v>
      </c>
      <c r="AT82" s="162" t="s">
        <v>8719</v>
      </c>
      <c r="AU82" s="162" t="s">
        <v>8720</v>
      </c>
      <c r="AV82" s="789" t="str">
        <f t="shared" si="1"/>
        <v>3:48</v>
      </c>
      <c r="AW82" s="1537"/>
    </row>
    <row r="83" ht="15.75" customHeight="1">
      <c r="A83" s="1107" t="s">
        <v>8721</v>
      </c>
      <c r="B83" s="1108" t="s">
        <v>5396</v>
      </c>
      <c r="C83" s="1299">
        <v>0.05240740740740741</v>
      </c>
      <c r="D83" s="63" t="s">
        <v>8723</v>
      </c>
      <c r="E83" s="164" t="s">
        <v>5588</v>
      </c>
      <c r="F83" s="164" t="s">
        <v>3680</v>
      </c>
      <c r="G83" s="164" t="s">
        <v>8216</v>
      </c>
      <c r="H83" s="164" t="s">
        <v>8726</v>
      </c>
      <c r="I83" s="164" t="s">
        <v>8727</v>
      </c>
      <c r="J83" s="164" t="s">
        <v>3091</v>
      </c>
      <c r="K83" s="164" t="s">
        <v>8728</v>
      </c>
      <c r="L83" s="164" t="s">
        <v>6865</v>
      </c>
      <c r="M83" s="164" t="s">
        <v>751</v>
      </c>
      <c r="N83" s="164" t="s">
        <v>8729</v>
      </c>
      <c r="O83" s="164" t="s">
        <v>8730</v>
      </c>
      <c r="P83" s="164" t="s">
        <v>8731</v>
      </c>
      <c r="Q83" s="164" t="s">
        <v>8732</v>
      </c>
      <c r="R83" s="164" t="s">
        <v>7466</v>
      </c>
      <c r="S83" s="164" t="s">
        <v>7731</v>
      </c>
      <c r="T83" s="164" t="s">
        <v>584</v>
      </c>
      <c r="U83" s="164" t="s">
        <v>8733</v>
      </c>
      <c r="V83" s="164" t="s">
        <v>8734</v>
      </c>
      <c r="W83" s="164" t="s">
        <v>8735</v>
      </c>
      <c r="X83" s="164" t="s">
        <v>8736</v>
      </c>
      <c r="Y83" s="164" t="s">
        <v>2557</v>
      </c>
      <c r="Z83" s="164" t="s">
        <v>8511</v>
      </c>
      <c r="AA83" s="164" t="s">
        <v>6033</v>
      </c>
      <c r="AB83" s="164" t="s">
        <v>2118</v>
      </c>
      <c r="AC83" s="164" t="s">
        <v>5050</v>
      </c>
      <c r="AD83" s="164" t="s">
        <v>8737</v>
      </c>
      <c r="AE83" s="164" t="s">
        <v>5050</v>
      </c>
      <c r="AF83" s="164" t="s">
        <v>8738</v>
      </c>
      <c r="AG83" s="164" t="s">
        <v>8078</v>
      </c>
      <c r="AH83" s="164" t="s">
        <v>7481</v>
      </c>
      <c r="AI83" s="164" t="s">
        <v>7244</v>
      </c>
      <c r="AJ83" s="164" t="s">
        <v>8739</v>
      </c>
      <c r="AK83" s="164" t="s">
        <v>5554</v>
      </c>
      <c r="AL83" s="164" t="s">
        <v>8741</v>
      </c>
      <c r="AM83" s="164" t="s">
        <v>4499</v>
      </c>
      <c r="AN83" s="164" t="s">
        <v>8743</v>
      </c>
      <c r="AO83" s="164" t="s">
        <v>8744</v>
      </c>
      <c r="AP83" s="164" t="s">
        <v>8745</v>
      </c>
      <c r="AQ83" s="164" t="s">
        <v>8746</v>
      </c>
      <c r="AR83" s="164" t="s">
        <v>8747</v>
      </c>
      <c r="AS83" s="164" t="s">
        <v>5616</v>
      </c>
      <c r="AT83" s="164" t="s">
        <v>6771</v>
      </c>
      <c r="AU83" s="164" t="s">
        <v>8748</v>
      </c>
      <c r="AV83" s="789" t="str">
        <f t="shared" si="1"/>
        <v>3:40</v>
      </c>
      <c r="AW83" s="1532" t="s">
        <v>8749</v>
      </c>
    </row>
    <row r="84" ht="15.75" customHeight="1">
      <c r="A84" s="1277" t="s">
        <v>8679</v>
      </c>
      <c r="B84" s="1108" t="s">
        <v>5396</v>
      </c>
      <c r="C84" s="1299">
        <v>0.05263888888888889</v>
      </c>
      <c r="D84" s="63" t="s">
        <v>8750</v>
      </c>
      <c r="E84" s="164" t="s">
        <v>1188</v>
      </c>
      <c r="F84" s="164" t="s">
        <v>8751</v>
      </c>
      <c r="G84" s="164" t="s">
        <v>8755</v>
      </c>
      <c r="H84" s="164" t="s">
        <v>8756</v>
      </c>
      <c r="I84" s="164" t="s">
        <v>8757</v>
      </c>
      <c r="J84" s="164" t="s">
        <v>8758</v>
      </c>
      <c r="K84" s="164" t="s">
        <v>7393</v>
      </c>
      <c r="L84" s="164" t="s">
        <v>7612</v>
      </c>
      <c r="M84" s="164" t="s">
        <v>6799</v>
      </c>
      <c r="N84" s="164" t="s">
        <v>8759</v>
      </c>
      <c r="O84" s="164" t="s">
        <v>6274</v>
      </c>
      <c r="P84" s="164" t="s">
        <v>1727</v>
      </c>
      <c r="Q84" s="164" t="s">
        <v>8760</v>
      </c>
      <c r="R84" s="164" t="s">
        <v>8448</v>
      </c>
      <c r="S84" s="164" t="s">
        <v>8762</v>
      </c>
      <c r="T84" s="164" t="s">
        <v>8763</v>
      </c>
      <c r="U84" s="164" t="s">
        <v>8764</v>
      </c>
      <c r="V84" s="164" t="s">
        <v>8765</v>
      </c>
      <c r="W84" s="164" t="s">
        <v>8766</v>
      </c>
      <c r="X84" s="164" t="s">
        <v>8767</v>
      </c>
      <c r="Y84" s="164" t="s">
        <v>5050</v>
      </c>
      <c r="Z84" s="164" t="s">
        <v>313</v>
      </c>
      <c r="AA84" s="162" t="s">
        <v>8768</v>
      </c>
      <c r="AB84" s="164" t="s">
        <v>6635</v>
      </c>
      <c r="AC84" s="164" t="s">
        <v>8351</v>
      </c>
      <c r="AD84" s="164" t="s">
        <v>8769</v>
      </c>
      <c r="AE84" s="164" t="s">
        <v>6879</v>
      </c>
      <c r="AF84" s="164" t="s">
        <v>7266</v>
      </c>
      <c r="AG84" s="164" t="s">
        <v>3164</v>
      </c>
      <c r="AH84" s="164" t="s">
        <v>3044</v>
      </c>
      <c r="AI84" s="164" t="s">
        <v>8770</v>
      </c>
      <c r="AJ84" s="164" t="s">
        <v>8772</v>
      </c>
      <c r="AK84" s="164" t="s">
        <v>7550</v>
      </c>
      <c r="AL84" s="164" t="s">
        <v>8773</v>
      </c>
      <c r="AM84" s="164" t="s">
        <v>8774</v>
      </c>
      <c r="AN84" s="164" t="s">
        <v>7089</v>
      </c>
      <c r="AO84" s="164" t="s">
        <v>6297</v>
      </c>
      <c r="AP84" s="164" t="s">
        <v>8775</v>
      </c>
      <c r="AQ84" s="164" t="s">
        <v>8776</v>
      </c>
      <c r="AR84" s="164" t="s">
        <v>4813</v>
      </c>
      <c r="AS84" s="164" t="s">
        <v>4191</v>
      </c>
      <c r="AT84" s="164" t="s">
        <v>8778</v>
      </c>
      <c r="AU84" s="164" t="s">
        <v>8779</v>
      </c>
      <c r="AV84" s="789" t="str">
        <f t="shared" si="1"/>
        <v>4:28</v>
      </c>
      <c r="AW84" s="1532" t="s">
        <v>8780</v>
      </c>
    </row>
    <row r="85">
      <c r="A85" s="1202" t="s">
        <v>3931</v>
      </c>
      <c r="B85" s="1384" t="s">
        <v>5482</v>
      </c>
      <c r="C85" s="1166">
        <v>0.052662037037037035</v>
      </c>
      <c r="D85" s="63" t="s">
        <v>8782</v>
      </c>
      <c r="E85" s="63" t="s">
        <v>1894</v>
      </c>
      <c r="F85" s="63" t="s">
        <v>8783</v>
      </c>
      <c r="G85" s="63" t="s">
        <v>8784</v>
      </c>
      <c r="H85" s="63" t="s">
        <v>5985</v>
      </c>
      <c r="I85" s="63" t="s">
        <v>8785</v>
      </c>
      <c r="J85" s="63" t="s">
        <v>5094</v>
      </c>
      <c r="K85" s="63" t="s">
        <v>8786</v>
      </c>
      <c r="L85" s="63" t="s">
        <v>6833</v>
      </c>
      <c r="M85" s="63" t="s">
        <v>714</v>
      </c>
      <c r="N85" s="63" t="s">
        <v>6508</v>
      </c>
      <c r="O85" s="63" t="s">
        <v>8788</v>
      </c>
      <c r="P85" s="63" t="s">
        <v>8789</v>
      </c>
      <c r="Q85" s="63" t="s">
        <v>8790</v>
      </c>
      <c r="R85" s="63" t="s">
        <v>8791</v>
      </c>
      <c r="S85" s="63" t="s">
        <v>8792</v>
      </c>
      <c r="T85" s="63" t="s">
        <v>8793</v>
      </c>
      <c r="U85" s="63" t="s">
        <v>8794</v>
      </c>
      <c r="V85" s="63" t="s">
        <v>8795</v>
      </c>
      <c r="W85" s="63" t="s">
        <v>8796</v>
      </c>
      <c r="X85" s="63" t="s">
        <v>8797</v>
      </c>
      <c r="Y85" s="63" t="s">
        <v>1768</v>
      </c>
      <c r="Z85" s="63" t="s">
        <v>682</v>
      </c>
      <c r="AA85" s="162" t="s">
        <v>8798</v>
      </c>
      <c r="AB85" s="63" t="s">
        <v>8799</v>
      </c>
      <c r="AC85" s="63" t="s">
        <v>560</v>
      </c>
      <c r="AD85" s="1603" t="s">
        <v>5505</v>
      </c>
      <c r="AE85" s="63" t="s">
        <v>188</v>
      </c>
      <c r="AF85" s="63" t="s">
        <v>8803</v>
      </c>
      <c r="AG85" s="63" t="s">
        <v>2369</v>
      </c>
      <c r="AH85" s="63" t="s">
        <v>8804</v>
      </c>
      <c r="AI85" s="63" t="s">
        <v>8805</v>
      </c>
      <c r="AJ85" s="63" t="s">
        <v>8806</v>
      </c>
      <c r="AK85" s="63" t="s">
        <v>8807</v>
      </c>
      <c r="AL85" s="63" t="s">
        <v>8808</v>
      </c>
      <c r="AM85" s="63" t="s">
        <v>8809</v>
      </c>
      <c r="AN85" s="1603" t="s">
        <v>5515</v>
      </c>
      <c r="AO85" s="63" t="s">
        <v>8812</v>
      </c>
      <c r="AP85" s="63" t="s">
        <v>8813</v>
      </c>
      <c r="AQ85" s="63" t="s">
        <v>8814</v>
      </c>
      <c r="AR85" s="63" t="s">
        <v>3179</v>
      </c>
      <c r="AS85" s="63" t="s">
        <v>5144</v>
      </c>
      <c r="AT85" s="63" t="s">
        <v>8815</v>
      </c>
      <c r="AU85" s="1604" t="s">
        <v>8816</v>
      </c>
      <c r="AV85" s="789" t="str">
        <f t="shared" si="1"/>
        <v>4:43</v>
      </c>
      <c r="AW85" s="1404" t="s">
        <v>8817</v>
      </c>
    </row>
    <row r="86" ht="15.75" customHeight="1">
      <c r="A86" s="1202" t="s">
        <v>8818</v>
      </c>
      <c r="B86" s="1200" t="s">
        <v>5396</v>
      </c>
      <c r="C86" s="1166">
        <v>0.05267361111111111</v>
      </c>
      <c r="D86" s="1372" t="s">
        <v>7683</v>
      </c>
      <c r="E86" s="162" t="s">
        <v>471</v>
      </c>
      <c r="F86" s="162" t="s">
        <v>8819</v>
      </c>
      <c r="G86" s="162" t="s">
        <v>8821</v>
      </c>
      <c r="H86" s="162" t="s">
        <v>8822</v>
      </c>
      <c r="I86" s="162" t="s">
        <v>8824</v>
      </c>
      <c r="J86" s="63" t="s">
        <v>8825</v>
      </c>
      <c r="K86" s="162" t="s">
        <v>8826</v>
      </c>
      <c r="L86" s="162" t="s">
        <v>8804</v>
      </c>
      <c r="M86" s="162" t="s">
        <v>2286</v>
      </c>
      <c r="N86" s="162" t="s">
        <v>8827</v>
      </c>
      <c r="O86" s="162" t="s">
        <v>8828</v>
      </c>
      <c r="P86" s="162" t="s">
        <v>7643</v>
      </c>
      <c r="Q86" s="162" t="s">
        <v>8829</v>
      </c>
      <c r="R86" s="162" t="s">
        <v>8830</v>
      </c>
      <c r="S86" s="162" t="s">
        <v>8831</v>
      </c>
      <c r="T86" s="162" t="s">
        <v>8832</v>
      </c>
      <c r="U86" s="162" t="s">
        <v>8833</v>
      </c>
      <c r="V86" s="162" t="s">
        <v>6887</v>
      </c>
      <c r="W86" s="162" t="s">
        <v>8835</v>
      </c>
      <c r="X86" s="162" t="s">
        <v>8460</v>
      </c>
      <c r="Y86" s="162" t="s">
        <v>6744</v>
      </c>
      <c r="Z86" s="162" t="s">
        <v>5839</v>
      </c>
      <c r="AA86" s="162" t="s">
        <v>8837</v>
      </c>
      <c r="AB86" s="162" t="s">
        <v>2794</v>
      </c>
      <c r="AC86" s="162" t="s">
        <v>6557</v>
      </c>
      <c r="AD86" s="162" t="s">
        <v>8838</v>
      </c>
      <c r="AE86" s="162" t="s">
        <v>8111</v>
      </c>
      <c r="AF86" s="162" t="s">
        <v>8839</v>
      </c>
      <c r="AG86" s="162" t="s">
        <v>8841</v>
      </c>
      <c r="AH86" s="162" t="s">
        <v>7612</v>
      </c>
      <c r="AI86" s="162" t="s">
        <v>8842</v>
      </c>
      <c r="AJ86" s="162" t="s">
        <v>8843</v>
      </c>
      <c r="AK86" s="162" t="s">
        <v>5708</v>
      </c>
      <c r="AL86" s="162" t="s">
        <v>3501</v>
      </c>
      <c r="AM86" s="162" t="s">
        <v>5708</v>
      </c>
      <c r="AN86" s="162" t="s">
        <v>3501</v>
      </c>
      <c r="AO86" s="162" t="s">
        <v>8297</v>
      </c>
      <c r="AP86" s="162" t="s">
        <v>8845</v>
      </c>
      <c r="AQ86" s="162" t="s">
        <v>8341</v>
      </c>
      <c r="AR86" s="162" t="s">
        <v>8549</v>
      </c>
      <c r="AS86" s="162" t="s">
        <v>8846</v>
      </c>
      <c r="AT86" s="162" t="s">
        <v>8847</v>
      </c>
      <c r="AU86" s="162" t="s">
        <v>8848</v>
      </c>
      <c r="AV86" s="789" t="str">
        <f t="shared" si="1"/>
        <v>5:58</v>
      </c>
      <c r="AW86" s="1510" t="s">
        <v>8850</v>
      </c>
    </row>
    <row r="87" ht="15.75" customHeight="1">
      <c r="A87" s="1107" t="s">
        <v>8851</v>
      </c>
      <c r="B87" s="1237" t="s">
        <v>5444</v>
      </c>
      <c r="C87" s="1299">
        <v>0.05275462962962963</v>
      </c>
      <c r="D87" s="63" t="s">
        <v>8852</v>
      </c>
      <c r="E87" s="164" t="s">
        <v>7708</v>
      </c>
      <c r="F87" s="164" t="s">
        <v>8853</v>
      </c>
      <c r="G87" s="164" t="s">
        <v>5782</v>
      </c>
      <c r="H87" s="164" t="s">
        <v>1456</v>
      </c>
      <c r="I87" s="164" t="s">
        <v>8854</v>
      </c>
      <c r="J87" s="164" t="s">
        <v>6473</v>
      </c>
      <c r="K87" s="164" t="s">
        <v>8390</v>
      </c>
      <c r="L87" s="164" t="s">
        <v>2890</v>
      </c>
      <c r="M87" s="164" t="s">
        <v>8855</v>
      </c>
      <c r="N87" s="164" t="s">
        <v>8856</v>
      </c>
      <c r="O87" s="164" t="s">
        <v>8857</v>
      </c>
      <c r="P87" s="164" t="s">
        <v>8859</v>
      </c>
      <c r="Q87" s="164" t="s">
        <v>8860</v>
      </c>
      <c r="R87" s="164" t="s">
        <v>8861</v>
      </c>
      <c r="S87" s="164" t="s">
        <v>5854</v>
      </c>
      <c r="T87" s="164" t="s">
        <v>8862</v>
      </c>
      <c r="U87" s="164" t="s">
        <v>1776</v>
      </c>
      <c r="V87" s="164" t="s">
        <v>8863</v>
      </c>
      <c r="W87" s="164" t="s">
        <v>8864</v>
      </c>
      <c r="X87" s="164" t="s">
        <v>5786</v>
      </c>
      <c r="Y87" s="164" t="s">
        <v>8865</v>
      </c>
      <c r="Z87" s="164" t="s">
        <v>6221</v>
      </c>
      <c r="AA87" s="164" t="s">
        <v>8867</v>
      </c>
      <c r="AB87" s="164" t="s">
        <v>1752</v>
      </c>
      <c r="AC87" s="164" t="s">
        <v>534</v>
      </c>
      <c r="AD87" s="164" t="s">
        <v>8868</v>
      </c>
      <c r="AE87" s="164" t="s">
        <v>8869</v>
      </c>
      <c r="AF87" s="164" t="s">
        <v>8870</v>
      </c>
      <c r="AG87" s="164" t="s">
        <v>4878</v>
      </c>
      <c r="AH87" s="164" t="s">
        <v>3025</v>
      </c>
      <c r="AI87" s="164" t="s">
        <v>8871</v>
      </c>
      <c r="AJ87" s="164" t="s">
        <v>8872</v>
      </c>
      <c r="AK87" s="164" t="s">
        <v>8873</v>
      </c>
      <c r="AL87" s="164" t="s">
        <v>8874</v>
      </c>
      <c r="AM87" s="164" t="s">
        <v>8875</v>
      </c>
      <c r="AN87" s="164" t="s">
        <v>8876</v>
      </c>
      <c r="AO87" s="164" t="s">
        <v>8877</v>
      </c>
      <c r="AP87" s="164" t="s">
        <v>8878</v>
      </c>
      <c r="AQ87" s="164" t="s">
        <v>8879</v>
      </c>
      <c r="AR87" s="164" t="s">
        <v>8239</v>
      </c>
      <c r="AS87" s="164" t="s">
        <v>6236</v>
      </c>
      <c r="AT87" s="164" t="s">
        <v>8880</v>
      </c>
      <c r="AU87" s="164" t="s">
        <v>8882</v>
      </c>
      <c r="AV87" s="789" t="str">
        <f t="shared" si="1"/>
        <v>3:59</v>
      </c>
      <c r="AW87" s="1537" t="s">
        <v>8883</v>
      </c>
    </row>
    <row r="88" ht="15.75" customHeight="1">
      <c r="A88" s="1277" t="s">
        <v>8884</v>
      </c>
      <c r="B88" s="1434" t="s">
        <v>5482</v>
      </c>
      <c r="C88" s="1299">
        <v>0.05291666666666667</v>
      </c>
      <c r="D88" s="63" t="s">
        <v>8885</v>
      </c>
      <c r="E88" s="164" t="s">
        <v>8886</v>
      </c>
      <c r="F88" s="164" t="s">
        <v>8888</v>
      </c>
      <c r="G88" s="164" t="s">
        <v>7392</v>
      </c>
      <c r="H88" s="164" t="s">
        <v>8104</v>
      </c>
      <c r="I88" s="164" t="s">
        <v>6705</v>
      </c>
      <c r="J88" s="164" t="s">
        <v>8889</v>
      </c>
      <c r="K88" s="164" t="s">
        <v>8890</v>
      </c>
      <c r="L88" s="164" t="s">
        <v>1915</v>
      </c>
      <c r="M88" s="164" t="s">
        <v>8891</v>
      </c>
      <c r="N88" s="164" t="s">
        <v>8892</v>
      </c>
      <c r="O88" s="164" t="s">
        <v>8894</v>
      </c>
      <c r="P88" s="164" t="s">
        <v>7796</v>
      </c>
      <c r="Q88" s="164" t="s">
        <v>8895</v>
      </c>
      <c r="R88" s="164" t="s">
        <v>7640</v>
      </c>
      <c r="S88" s="164" t="s">
        <v>6268</v>
      </c>
      <c r="T88" s="164" t="s">
        <v>6242</v>
      </c>
      <c r="U88" s="164" t="s">
        <v>8897</v>
      </c>
      <c r="V88" s="164" t="s">
        <v>4426</v>
      </c>
      <c r="W88" s="164" t="s">
        <v>5745</v>
      </c>
      <c r="X88" s="164" t="s">
        <v>8900</v>
      </c>
      <c r="Y88" s="164" t="s">
        <v>569</v>
      </c>
      <c r="Z88" s="164" t="s">
        <v>8901</v>
      </c>
      <c r="AA88" s="162" t="s">
        <v>3201</v>
      </c>
      <c r="AB88" s="164" t="s">
        <v>5590</v>
      </c>
      <c r="AC88" s="164" t="s">
        <v>7197</v>
      </c>
      <c r="AD88" s="164" t="s">
        <v>8903</v>
      </c>
      <c r="AE88" s="164" t="s">
        <v>8904</v>
      </c>
      <c r="AF88" s="164" t="s">
        <v>8905</v>
      </c>
      <c r="AG88" s="164" t="s">
        <v>8906</v>
      </c>
      <c r="AH88" s="164" t="s">
        <v>7230</v>
      </c>
      <c r="AI88" s="164" t="s">
        <v>8908</v>
      </c>
      <c r="AJ88" s="164" t="s">
        <v>8909</v>
      </c>
      <c r="AK88" s="164" t="s">
        <v>8910</v>
      </c>
      <c r="AL88" s="164" t="s">
        <v>5599</v>
      </c>
      <c r="AM88" s="164" t="s">
        <v>2382</v>
      </c>
      <c r="AN88" s="164" t="s">
        <v>8912</v>
      </c>
      <c r="AO88" s="164" t="s">
        <v>8914</v>
      </c>
      <c r="AP88" s="164" t="s">
        <v>3427</v>
      </c>
      <c r="AQ88" s="164" t="s">
        <v>8915</v>
      </c>
      <c r="AR88" s="164" t="s">
        <v>8763</v>
      </c>
      <c r="AS88" s="164" t="s">
        <v>8916</v>
      </c>
      <c r="AT88" s="164" t="s">
        <v>8917</v>
      </c>
      <c r="AU88" s="164" t="s">
        <v>8918</v>
      </c>
      <c r="AV88" s="789" t="str">
        <f t="shared" si="1"/>
        <v>2:38</v>
      </c>
      <c r="AW88" s="1537"/>
    </row>
    <row r="89" ht="15.75" customHeight="1">
      <c r="A89" s="1202" t="s">
        <v>3942</v>
      </c>
      <c r="B89" s="1189" t="s">
        <v>5396</v>
      </c>
      <c r="C89" s="1166">
        <v>0.05324074074074074</v>
      </c>
      <c r="D89" s="63" t="s">
        <v>8922</v>
      </c>
      <c r="E89" s="63" t="s">
        <v>8924</v>
      </c>
      <c r="F89" s="63" t="s">
        <v>8927</v>
      </c>
      <c r="G89" s="63" t="s">
        <v>6812</v>
      </c>
      <c r="H89" s="63" t="s">
        <v>8929</v>
      </c>
      <c r="I89" s="63" t="s">
        <v>7644</v>
      </c>
      <c r="J89" s="63" t="s">
        <v>5229</v>
      </c>
      <c r="K89" s="63" t="s">
        <v>8931</v>
      </c>
      <c r="L89" s="63" t="s">
        <v>8933</v>
      </c>
      <c r="M89" s="63" t="s">
        <v>8934</v>
      </c>
      <c r="N89" s="63" t="s">
        <v>8936</v>
      </c>
      <c r="O89" s="63" t="s">
        <v>8939</v>
      </c>
      <c r="P89" s="63" t="s">
        <v>8940</v>
      </c>
      <c r="Q89" s="63" t="s">
        <v>8942</v>
      </c>
      <c r="R89" s="63" t="s">
        <v>8944</v>
      </c>
      <c r="S89" s="63" t="s">
        <v>8736</v>
      </c>
      <c r="T89" s="63" t="s">
        <v>8945</v>
      </c>
      <c r="U89" s="63" t="s">
        <v>8946</v>
      </c>
      <c r="V89" s="63" t="s">
        <v>8947</v>
      </c>
      <c r="W89" s="63" t="s">
        <v>8948</v>
      </c>
      <c r="X89" s="63" t="s">
        <v>8950</v>
      </c>
      <c r="Y89" s="63" t="s">
        <v>8824</v>
      </c>
      <c r="Z89" s="63" t="s">
        <v>8952</v>
      </c>
      <c r="AA89" s="162" t="s">
        <v>8953</v>
      </c>
      <c r="AB89" s="63" t="s">
        <v>7689</v>
      </c>
      <c r="AC89" s="63" t="s">
        <v>3908</v>
      </c>
      <c r="AD89" s="63" t="s">
        <v>8954</v>
      </c>
      <c r="AE89" s="63" t="s">
        <v>7148</v>
      </c>
      <c r="AF89" s="63" t="s">
        <v>8955</v>
      </c>
      <c r="AG89" s="63" t="s">
        <v>8646</v>
      </c>
      <c r="AH89" s="63" t="s">
        <v>6995</v>
      </c>
      <c r="AI89" s="63" t="s">
        <v>8956</v>
      </c>
      <c r="AJ89" s="63" t="s">
        <v>748</v>
      </c>
      <c r="AK89" s="162" t="s">
        <v>8957</v>
      </c>
      <c r="AL89" s="63" t="s">
        <v>8359</v>
      </c>
      <c r="AM89" s="63" t="s">
        <v>1373</v>
      </c>
      <c r="AN89" s="63" t="s">
        <v>7938</v>
      </c>
      <c r="AO89" s="63" t="s">
        <v>8959</v>
      </c>
      <c r="AP89" s="63" t="s">
        <v>8960</v>
      </c>
      <c r="AQ89" s="63" t="s">
        <v>8961</v>
      </c>
      <c r="AR89" s="162" t="s">
        <v>8962</v>
      </c>
      <c r="AS89" s="63" t="s">
        <v>8963</v>
      </c>
      <c r="AT89" s="63" t="s">
        <v>8964</v>
      </c>
      <c r="AU89" s="162" t="s">
        <v>8816</v>
      </c>
      <c r="AV89" s="789" t="str">
        <f t="shared" si="1"/>
        <v>3:53</v>
      </c>
      <c r="AW89" s="1510" t="s">
        <v>8965</v>
      </c>
    </row>
    <row r="90">
      <c r="A90" s="1202" t="s">
        <v>3268</v>
      </c>
      <c r="B90" s="1200" t="s">
        <v>5482</v>
      </c>
      <c r="C90" s="1166">
        <v>0.05331018518518518</v>
      </c>
      <c r="D90" s="162" t="s">
        <v>8967</v>
      </c>
      <c r="E90" s="162" t="s">
        <v>3924</v>
      </c>
      <c r="F90" s="162" t="s">
        <v>8597</v>
      </c>
      <c r="G90" s="162" t="s">
        <v>8970</v>
      </c>
      <c r="H90" s="63" t="s">
        <v>8971</v>
      </c>
      <c r="I90" s="162" t="s">
        <v>8973</v>
      </c>
      <c r="J90" s="162" t="s">
        <v>8200</v>
      </c>
      <c r="K90" s="162" t="s">
        <v>5774</v>
      </c>
      <c r="L90" s="162" t="s">
        <v>8978</v>
      </c>
      <c r="M90" s="162" t="s">
        <v>8980</v>
      </c>
      <c r="N90" s="162" t="s">
        <v>7727</v>
      </c>
      <c r="O90" s="162" t="s">
        <v>8982</v>
      </c>
      <c r="P90" s="162" t="s">
        <v>3353</v>
      </c>
      <c r="Q90" s="162" t="s">
        <v>8983</v>
      </c>
      <c r="R90" s="162" t="s">
        <v>2104</v>
      </c>
      <c r="S90" s="162" t="s">
        <v>3110</v>
      </c>
      <c r="T90" s="162" t="s">
        <v>1305</v>
      </c>
      <c r="U90" s="162" t="s">
        <v>8984</v>
      </c>
      <c r="V90" s="162" t="s">
        <v>8152</v>
      </c>
      <c r="W90" s="162" t="s">
        <v>8985</v>
      </c>
      <c r="X90" s="162" t="s">
        <v>4881</v>
      </c>
      <c r="Y90" s="162" t="s">
        <v>8987</v>
      </c>
      <c r="Z90" s="162" t="s">
        <v>7731</v>
      </c>
      <c r="AA90" s="162" t="s">
        <v>8989</v>
      </c>
      <c r="AB90" s="162" t="s">
        <v>5693</v>
      </c>
      <c r="AC90" s="162" t="s">
        <v>8991</v>
      </c>
      <c r="AD90" s="162" t="s">
        <v>8993</v>
      </c>
      <c r="AE90" s="162" t="s">
        <v>8865</v>
      </c>
      <c r="AF90" s="162" t="s">
        <v>8994</v>
      </c>
      <c r="AG90" s="162" t="s">
        <v>6444</v>
      </c>
      <c r="AH90" s="162" t="s">
        <v>8996</v>
      </c>
      <c r="AI90" s="162" t="s">
        <v>8998</v>
      </c>
      <c r="AJ90" s="162" t="s">
        <v>9000</v>
      </c>
      <c r="AK90" s="162" t="s">
        <v>5855</v>
      </c>
      <c r="AL90" s="162" t="s">
        <v>4864</v>
      </c>
      <c r="AM90" s="162" t="s">
        <v>9001</v>
      </c>
      <c r="AN90" s="162" t="s">
        <v>9002</v>
      </c>
      <c r="AO90" s="162" t="s">
        <v>9003</v>
      </c>
      <c r="AP90" s="162" t="s">
        <v>9004</v>
      </c>
      <c r="AQ90" s="162" t="s">
        <v>9005</v>
      </c>
      <c r="AR90" s="162" t="s">
        <v>5639</v>
      </c>
      <c r="AS90" s="162" t="s">
        <v>2483</v>
      </c>
      <c r="AT90" s="162" t="s">
        <v>9006</v>
      </c>
      <c r="AU90" s="162" t="s">
        <v>9007</v>
      </c>
      <c r="AV90" s="789" t="str">
        <f t="shared" si="1"/>
        <v>4:18</v>
      </c>
      <c r="AW90" s="1537"/>
    </row>
    <row r="91" ht="15.75" customHeight="1">
      <c r="A91" s="1277" t="s">
        <v>9008</v>
      </c>
      <c r="B91" s="1434" t="s">
        <v>5482</v>
      </c>
      <c r="C91" s="1166">
        <v>0.05348379629629629</v>
      </c>
      <c r="D91" s="63" t="s">
        <v>9010</v>
      </c>
      <c r="E91" s="164" t="s">
        <v>8661</v>
      </c>
      <c r="F91" s="164" t="s">
        <v>9011</v>
      </c>
      <c r="G91" s="164" t="s">
        <v>9012</v>
      </c>
      <c r="H91" s="164" t="s">
        <v>9013</v>
      </c>
      <c r="I91" s="164" t="s">
        <v>9014</v>
      </c>
      <c r="J91" s="164" t="s">
        <v>6527</v>
      </c>
      <c r="K91" s="164" t="s">
        <v>5497</v>
      </c>
      <c r="L91" s="164" t="s">
        <v>9015</v>
      </c>
      <c r="M91" s="164" t="s">
        <v>9016</v>
      </c>
      <c r="N91" s="164" t="s">
        <v>9017</v>
      </c>
      <c r="O91" s="164" t="s">
        <v>9018</v>
      </c>
      <c r="P91" s="164" t="s">
        <v>4005</v>
      </c>
      <c r="Q91" s="162" t="s">
        <v>9019</v>
      </c>
      <c r="R91" s="164" t="s">
        <v>8278</v>
      </c>
      <c r="S91" s="164" t="s">
        <v>6864</v>
      </c>
      <c r="T91" s="164" t="s">
        <v>8612</v>
      </c>
      <c r="U91" s="164" t="s">
        <v>9020</v>
      </c>
      <c r="V91" s="164" t="s">
        <v>1808</v>
      </c>
      <c r="W91" s="164" t="s">
        <v>9021</v>
      </c>
      <c r="X91" s="164" t="s">
        <v>3879</v>
      </c>
      <c r="Y91" s="164" t="s">
        <v>4894</v>
      </c>
      <c r="Z91" s="164" t="s">
        <v>6371</v>
      </c>
      <c r="AA91" s="162" t="s">
        <v>9023</v>
      </c>
      <c r="AB91" s="164" t="s">
        <v>7743</v>
      </c>
      <c r="AC91" s="164" t="s">
        <v>568</v>
      </c>
      <c r="AD91" s="164" t="s">
        <v>9024</v>
      </c>
      <c r="AE91" s="164" t="s">
        <v>2152</v>
      </c>
      <c r="AF91" s="162" t="s">
        <v>9025</v>
      </c>
      <c r="AG91" s="164" t="s">
        <v>9026</v>
      </c>
      <c r="AH91" s="164" t="s">
        <v>6652</v>
      </c>
      <c r="AI91" s="164" t="s">
        <v>9027</v>
      </c>
      <c r="AJ91" s="164" t="s">
        <v>9028</v>
      </c>
      <c r="AK91" s="164" t="s">
        <v>6396</v>
      </c>
      <c r="AL91" s="164" t="s">
        <v>9029</v>
      </c>
      <c r="AM91" s="164" t="s">
        <v>5862</v>
      </c>
      <c r="AN91" s="164" t="s">
        <v>8359</v>
      </c>
      <c r="AO91" s="164" t="s">
        <v>5740</v>
      </c>
      <c r="AP91" s="164" t="s">
        <v>9030</v>
      </c>
      <c r="AQ91" s="164" t="s">
        <v>9032</v>
      </c>
      <c r="AR91" s="164" t="s">
        <v>4813</v>
      </c>
      <c r="AS91" s="164" t="s">
        <v>5975</v>
      </c>
      <c r="AT91" s="164" t="s">
        <v>9034</v>
      </c>
      <c r="AU91" s="164" t="s">
        <v>9036</v>
      </c>
      <c r="AV91" s="789" t="str">
        <f t="shared" si="1"/>
        <v>3:27</v>
      </c>
      <c r="AW91" s="1510" t="s">
        <v>9037</v>
      </c>
    </row>
    <row r="92">
      <c r="A92" s="1202" t="s">
        <v>9038</v>
      </c>
      <c r="B92" s="1189" t="s">
        <v>5396</v>
      </c>
      <c r="C92" s="1166">
        <v>0.05376157407407407</v>
      </c>
      <c r="D92" s="162" t="s">
        <v>9040</v>
      </c>
      <c r="E92" s="162" t="s">
        <v>9042</v>
      </c>
      <c r="F92" s="162" t="s">
        <v>9043</v>
      </c>
      <c r="G92" s="162" t="s">
        <v>9044</v>
      </c>
      <c r="H92" s="1609" t="s">
        <v>9045</v>
      </c>
      <c r="I92" s="63" t="s">
        <v>601</v>
      </c>
      <c r="J92" s="162" t="s">
        <v>7550</v>
      </c>
      <c r="K92" s="162" t="s">
        <v>9046</v>
      </c>
      <c r="L92" s="162" t="s">
        <v>1283</v>
      </c>
      <c r="M92" s="162" t="s">
        <v>386</v>
      </c>
      <c r="N92" s="162" t="s">
        <v>9047</v>
      </c>
      <c r="O92" s="162" t="s">
        <v>9048</v>
      </c>
      <c r="P92" s="162" t="s">
        <v>3716</v>
      </c>
      <c r="Q92" s="162" t="s">
        <v>9049</v>
      </c>
      <c r="R92" s="162" t="s">
        <v>9050</v>
      </c>
      <c r="S92" s="1610" t="s">
        <v>9051</v>
      </c>
      <c r="T92" s="1610" t="s">
        <v>6592</v>
      </c>
      <c r="U92" s="162" t="s">
        <v>9053</v>
      </c>
      <c r="V92" s="162" t="s">
        <v>9054</v>
      </c>
      <c r="W92" s="162" t="s">
        <v>2558</v>
      </c>
      <c r="X92" s="162" t="s">
        <v>9057</v>
      </c>
      <c r="Y92" s="162" t="s">
        <v>474</v>
      </c>
      <c r="Z92" s="162" t="s">
        <v>7743</v>
      </c>
      <c r="AA92" s="162" t="s">
        <v>9059</v>
      </c>
      <c r="AB92" s="162" t="s">
        <v>9061</v>
      </c>
      <c r="AC92" s="162" t="s">
        <v>2965</v>
      </c>
      <c r="AD92" s="162" t="s">
        <v>9064</v>
      </c>
      <c r="AE92" s="162" t="s">
        <v>7197</v>
      </c>
      <c r="AF92" s="162" t="s">
        <v>9065</v>
      </c>
      <c r="AG92" s="162" t="s">
        <v>3844</v>
      </c>
      <c r="AH92" s="162" t="s">
        <v>6588</v>
      </c>
      <c r="AI92" s="162" t="s">
        <v>2441</v>
      </c>
      <c r="AJ92" s="162" t="s">
        <v>9067</v>
      </c>
      <c r="AK92" s="162" t="s">
        <v>5568</v>
      </c>
      <c r="AL92" s="162" t="s">
        <v>9068</v>
      </c>
      <c r="AM92" s="162" t="s">
        <v>9069</v>
      </c>
      <c r="AN92" s="162" t="s">
        <v>9072</v>
      </c>
      <c r="AO92" s="162" t="s">
        <v>5661</v>
      </c>
      <c r="AP92" s="162" t="s">
        <v>9073</v>
      </c>
      <c r="AQ92" s="162" t="s">
        <v>9075</v>
      </c>
      <c r="AR92" s="162" t="s">
        <v>9076</v>
      </c>
      <c r="AS92" s="162" t="s">
        <v>5825</v>
      </c>
      <c r="AT92" s="162" t="s">
        <v>9077</v>
      </c>
      <c r="AU92" s="162" t="s">
        <v>9078</v>
      </c>
      <c r="AV92" s="789" t="str">
        <f t="shared" si="1"/>
        <v>4:58</v>
      </c>
      <c r="AW92" s="1615"/>
    </row>
    <row r="93" ht="15.75" customHeight="1">
      <c r="A93" s="1277" t="s">
        <v>9079</v>
      </c>
      <c r="B93" s="1434" t="s">
        <v>5482</v>
      </c>
      <c r="C93" s="1299">
        <v>0.05386574074074074</v>
      </c>
      <c r="D93" s="164" t="s">
        <v>9080</v>
      </c>
      <c r="E93" s="164" t="s">
        <v>9081</v>
      </c>
      <c r="F93" s="164" t="s">
        <v>9082</v>
      </c>
      <c r="G93" s="164" t="s">
        <v>9083</v>
      </c>
      <c r="H93" s="164" t="s">
        <v>9084</v>
      </c>
      <c r="I93" s="164" t="s">
        <v>8973</v>
      </c>
      <c r="J93" s="164" t="s">
        <v>9086</v>
      </c>
      <c r="K93" s="164" t="s">
        <v>9087</v>
      </c>
      <c r="L93" s="164" t="s">
        <v>4903</v>
      </c>
      <c r="M93" s="164" t="s">
        <v>9088</v>
      </c>
      <c r="N93" s="164" t="s">
        <v>2243</v>
      </c>
      <c r="O93" s="164" t="s">
        <v>9089</v>
      </c>
      <c r="P93" s="164" t="s">
        <v>3353</v>
      </c>
      <c r="Q93" s="164" t="s">
        <v>7050</v>
      </c>
      <c r="R93" s="164" t="s">
        <v>6155</v>
      </c>
      <c r="S93" s="164" t="s">
        <v>9090</v>
      </c>
      <c r="T93" s="164" t="s">
        <v>3605</v>
      </c>
      <c r="U93" s="164" t="s">
        <v>9091</v>
      </c>
      <c r="V93" s="164" t="s">
        <v>9092</v>
      </c>
      <c r="W93" s="164" t="s">
        <v>9093</v>
      </c>
      <c r="X93" s="164" t="s">
        <v>4724</v>
      </c>
      <c r="Y93" s="164" t="s">
        <v>6084</v>
      </c>
      <c r="Z93" s="164" t="s">
        <v>6429</v>
      </c>
      <c r="AA93" s="63" t="s">
        <v>9094</v>
      </c>
      <c r="AB93" s="164" t="s">
        <v>9096</v>
      </c>
      <c r="AC93" s="164" t="s">
        <v>5264</v>
      </c>
      <c r="AD93" s="164" t="s">
        <v>9097</v>
      </c>
      <c r="AE93" s="164" t="s">
        <v>9098</v>
      </c>
      <c r="AF93" s="164" t="s">
        <v>8428</v>
      </c>
      <c r="AG93" s="164" t="s">
        <v>9099</v>
      </c>
      <c r="AH93" s="164" t="s">
        <v>9101</v>
      </c>
      <c r="AI93" s="164" t="s">
        <v>4277</v>
      </c>
      <c r="AJ93" s="164" t="s">
        <v>9102</v>
      </c>
      <c r="AK93" s="164" t="s">
        <v>9103</v>
      </c>
      <c r="AL93" s="164" t="s">
        <v>9104</v>
      </c>
      <c r="AM93" s="164" t="s">
        <v>7699</v>
      </c>
      <c r="AN93" s="164" t="s">
        <v>6718</v>
      </c>
      <c r="AO93" s="162" t="s">
        <v>9105</v>
      </c>
      <c r="AP93" s="164" t="s">
        <v>9106</v>
      </c>
      <c r="AQ93" s="164" t="s">
        <v>9107</v>
      </c>
      <c r="AR93" s="164" t="s">
        <v>9108</v>
      </c>
      <c r="AS93" s="164" t="s">
        <v>6384</v>
      </c>
      <c r="AT93" s="164" t="s">
        <v>9109</v>
      </c>
      <c r="AU93" s="164" t="s">
        <v>9007</v>
      </c>
      <c r="AV93" s="789" t="str">
        <f t="shared" si="1"/>
        <v>3:30</v>
      </c>
      <c r="AW93" s="1537"/>
    </row>
    <row r="94">
      <c r="A94" s="1202" t="s">
        <v>3491</v>
      </c>
      <c r="B94" s="1189" t="s">
        <v>5482</v>
      </c>
      <c r="C94" s="1166">
        <v>0.05482638888888889</v>
      </c>
      <c r="D94" s="1372" t="s">
        <v>9111</v>
      </c>
      <c r="E94" s="162" t="s">
        <v>6856</v>
      </c>
      <c r="F94" s="162" t="s">
        <v>9112</v>
      </c>
      <c r="G94" s="162" t="s">
        <v>9113</v>
      </c>
      <c r="H94" s="162" t="s">
        <v>9114</v>
      </c>
      <c r="I94" s="162" t="s">
        <v>9115</v>
      </c>
      <c r="J94" s="162" t="s">
        <v>9116</v>
      </c>
      <c r="K94" s="162" t="s">
        <v>7749</v>
      </c>
      <c r="L94" s="162" t="s">
        <v>9117</v>
      </c>
      <c r="M94" s="162" t="s">
        <v>5631</v>
      </c>
      <c r="N94" s="162" t="s">
        <v>9118</v>
      </c>
      <c r="O94" s="162" t="s">
        <v>9119</v>
      </c>
      <c r="P94" s="162" t="s">
        <v>2557</v>
      </c>
      <c r="Q94" s="162" t="s">
        <v>9120</v>
      </c>
      <c r="R94" s="162" t="s">
        <v>6380</v>
      </c>
      <c r="S94" s="162" t="s">
        <v>9121</v>
      </c>
      <c r="T94" s="162" t="s">
        <v>8989</v>
      </c>
      <c r="U94" s="162" t="s">
        <v>9123</v>
      </c>
      <c r="V94" s="162" t="s">
        <v>3628</v>
      </c>
      <c r="W94" s="162" t="s">
        <v>9124</v>
      </c>
      <c r="X94" s="162" t="s">
        <v>9125</v>
      </c>
      <c r="Y94" s="162" t="s">
        <v>5197</v>
      </c>
      <c r="Z94" s="162" t="s">
        <v>7784</v>
      </c>
      <c r="AA94" s="162" t="s">
        <v>3196</v>
      </c>
      <c r="AB94" s="162" t="s">
        <v>790</v>
      </c>
      <c r="AC94" s="162" t="s">
        <v>9126</v>
      </c>
      <c r="AD94" s="162" t="s">
        <v>9128</v>
      </c>
      <c r="AE94" s="162" t="s">
        <v>5050</v>
      </c>
      <c r="AF94" s="162" t="s">
        <v>9129</v>
      </c>
      <c r="AG94" s="162" t="s">
        <v>9130</v>
      </c>
      <c r="AH94" s="162" t="s">
        <v>9131</v>
      </c>
      <c r="AI94" s="162" t="s">
        <v>9132</v>
      </c>
      <c r="AJ94" s="162" t="s">
        <v>9133</v>
      </c>
      <c r="AK94" s="162" t="s">
        <v>621</v>
      </c>
      <c r="AL94" s="162" t="s">
        <v>6026</v>
      </c>
      <c r="AM94" s="162" t="s">
        <v>9134</v>
      </c>
      <c r="AN94" s="162" t="s">
        <v>9135</v>
      </c>
      <c r="AO94" s="162" t="s">
        <v>5229</v>
      </c>
      <c r="AP94" s="162" t="s">
        <v>3780</v>
      </c>
      <c r="AQ94" s="162" t="s">
        <v>9136</v>
      </c>
      <c r="AR94" s="162" t="s">
        <v>9137</v>
      </c>
      <c r="AS94" s="162" t="s">
        <v>6659</v>
      </c>
      <c r="AT94" s="162" t="s">
        <v>9138</v>
      </c>
      <c r="AU94" s="162" t="s">
        <v>9139</v>
      </c>
      <c r="AV94" s="789" t="str">
        <f t="shared" si="1"/>
        <v>3:40</v>
      </c>
      <c r="AW94" s="1510" t="s">
        <v>9140</v>
      </c>
    </row>
    <row r="95">
      <c r="A95" s="1202" t="s">
        <v>132</v>
      </c>
      <c r="B95" s="1189" t="s">
        <v>5396</v>
      </c>
      <c r="C95" s="1166">
        <v>0.05482638888888889</v>
      </c>
      <c r="D95" s="1177" t="s">
        <v>9141</v>
      </c>
      <c r="E95" s="1177" t="s">
        <v>6617</v>
      </c>
      <c r="F95" s="1177" t="s">
        <v>9142</v>
      </c>
      <c r="G95" s="1177" t="s">
        <v>731</v>
      </c>
      <c r="H95" s="1177" t="s">
        <v>9143</v>
      </c>
      <c r="I95" s="1177">
        <v>50.26</v>
      </c>
      <c r="J95" s="1177" t="s">
        <v>9116</v>
      </c>
      <c r="K95" s="1177" t="s">
        <v>9144</v>
      </c>
      <c r="L95" s="1177" t="s">
        <v>745</v>
      </c>
      <c r="M95" s="1177" t="s">
        <v>8411</v>
      </c>
      <c r="N95" s="1177" t="s">
        <v>9145</v>
      </c>
      <c r="O95" s="1177" t="s">
        <v>9146</v>
      </c>
      <c r="P95" s="1177">
        <v>49.15</v>
      </c>
      <c r="Q95" s="1177" t="s">
        <v>9147</v>
      </c>
      <c r="R95" s="1177" t="s">
        <v>3139</v>
      </c>
      <c r="S95" s="1177" t="s">
        <v>9148</v>
      </c>
      <c r="T95" s="1177" t="s">
        <v>584</v>
      </c>
      <c r="U95" s="1177" t="s">
        <v>9149</v>
      </c>
      <c r="V95" s="1177" t="s">
        <v>9150</v>
      </c>
      <c r="W95" s="1177" t="s">
        <v>9151</v>
      </c>
      <c r="X95" s="1177" t="s">
        <v>9152</v>
      </c>
      <c r="Y95" s="1177">
        <v>51.87</v>
      </c>
      <c r="Z95" s="1177" t="s">
        <v>8271</v>
      </c>
      <c r="AA95" s="1177" t="s">
        <v>3189</v>
      </c>
      <c r="AB95" s="1177" t="s">
        <v>8762</v>
      </c>
      <c r="AC95" s="1177">
        <v>49.75</v>
      </c>
      <c r="AD95" s="1177" t="s">
        <v>9153</v>
      </c>
      <c r="AE95" s="1177">
        <v>50.16</v>
      </c>
      <c r="AF95" s="1177" t="s">
        <v>9154</v>
      </c>
      <c r="AG95" s="1177" t="s">
        <v>9155</v>
      </c>
      <c r="AH95" s="1177" t="s">
        <v>9156</v>
      </c>
      <c r="AI95" s="1177" t="s">
        <v>363</v>
      </c>
      <c r="AJ95" s="1177" t="s">
        <v>9157</v>
      </c>
      <c r="AK95" s="1177" t="s">
        <v>9047</v>
      </c>
      <c r="AL95" s="1177">
        <v>59.29</v>
      </c>
      <c r="AM95" s="1177" t="s">
        <v>9032</v>
      </c>
      <c r="AN95" s="1177" t="s">
        <v>2331</v>
      </c>
      <c r="AO95" s="1177" t="s">
        <v>9158</v>
      </c>
      <c r="AP95" s="1177" t="s">
        <v>9159</v>
      </c>
      <c r="AQ95" s="1177" t="s">
        <v>9160</v>
      </c>
      <c r="AR95" s="1177" t="s">
        <v>1664</v>
      </c>
      <c r="AS95" s="1177">
        <v>47.7</v>
      </c>
      <c r="AT95" s="1177" t="s">
        <v>9161</v>
      </c>
      <c r="AU95" s="1182" t="s">
        <v>9162</v>
      </c>
      <c r="AV95" s="789" t="str">
        <f t="shared" si="1"/>
        <v>5:51</v>
      </c>
      <c r="AW95" s="1404" t="s">
        <v>9163</v>
      </c>
    </row>
    <row r="96">
      <c r="A96" s="1202" t="s">
        <v>9164</v>
      </c>
      <c r="B96" s="1200" t="s">
        <v>5396</v>
      </c>
      <c r="C96" s="1166">
        <v>0.05559027777777778</v>
      </c>
      <c r="D96" s="1372" t="s">
        <v>9165</v>
      </c>
      <c r="E96" s="162" t="s">
        <v>9166</v>
      </c>
      <c r="F96" s="162" t="s">
        <v>9167</v>
      </c>
      <c r="G96" s="162" t="s">
        <v>9168</v>
      </c>
      <c r="H96" s="162" t="s">
        <v>9169</v>
      </c>
      <c r="I96" s="162" t="s">
        <v>1923</v>
      </c>
      <c r="J96" s="162" t="s">
        <v>9170</v>
      </c>
      <c r="K96" s="162" t="s">
        <v>9171</v>
      </c>
      <c r="L96" s="162" t="s">
        <v>3397</v>
      </c>
      <c r="M96" s="162" t="s">
        <v>1700</v>
      </c>
      <c r="N96" s="162" t="s">
        <v>9172</v>
      </c>
      <c r="O96" s="162" t="s">
        <v>9173</v>
      </c>
      <c r="P96" s="162" t="s">
        <v>491</v>
      </c>
      <c r="Q96" s="162" t="s">
        <v>5184</v>
      </c>
      <c r="R96" s="162" t="s">
        <v>9174</v>
      </c>
      <c r="S96" s="162" t="s">
        <v>3108</v>
      </c>
      <c r="T96" s="162" t="s">
        <v>9175</v>
      </c>
      <c r="U96" s="162" t="s">
        <v>9176</v>
      </c>
      <c r="V96" s="162" t="s">
        <v>828</v>
      </c>
      <c r="W96" s="162" t="s">
        <v>6823</v>
      </c>
      <c r="X96" s="162" t="s">
        <v>9177</v>
      </c>
      <c r="Y96" s="162" t="s">
        <v>368</v>
      </c>
      <c r="Z96" s="162" t="s">
        <v>9178</v>
      </c>
      <c r="AA96" s="162" t="s">
        <v>8805</v>
      </c>
      <c r="AB96" s="162" t="s">
        <v>7025</v>
      </c>
      <c r="AC96" s="162" t="s">
        <v>6614</v>
      </c>
      <c r="AD96" s="162" t="s">
        <v>7454</v>
      </c>
      <c r="AE96" s="162" t="s">
        <v>3703</v>
      </c>
      <c r="AF96" s="162" t="s">
        <v>9179</v>
      </c>
      <c r="AG96" s="162" t="s">
        <v>9180</v>
      </c>
      <c r="AH96" s="162" t="s">
        <v>2865</v>
      </c>
      <c r="AI96" s="162" t="s">
        <v>9181</v>
      </c>
      <c r="AJ96" s="162" t="s">
        <v>9182</v>
      </c>
      <c r="AK96" s="162" t="s">
        <v>9183</v>
      </c>
      <c r="AL96" s="162" t="s">
        <v>2032</v>
      </c>
      <c r="AM96" s="162" t="s">
        <v>9184</v>
      </c>
      <c r="AN96" s="162" t="s">
        <v>9185</v>
      </c>
      <c r="AO96" s="162" t="s">
        <v>4359</v>
      </c>
      <c r="AP96" s="162" t="s">
        <v>9186</v>
      </c>
      <c r="AQ96" s="162" t="s">
        <v>9187</v>
      </c>
      <c r="AR96" s="162" t="s">
        <v>9188</v>
      </c>
      <c r="AS96" s="162" t="s">
        <v>3532</v>
      </c>
      <c r="AT96" s="162" t="s">
        <v>9189</v>
      </c>
      <c r="AU96" s="162" t="s">
        <v>9190</v>
      </c>
      <c r="AV96" s="789" t="str">
        <f t="shared" si="1"/>
        <v>5:05</v>
      </c>
      <c r="AW96" s="1510" t="s">
        <v>9191</v>
      </c>
    </row>
    <row r="97">
      <c r="A97" s="1202" t="s">
        <v>3748</v>
      </c>
      <c r="B97" s="1200" t="s">
        <v>5444</v>
      </c>
      <c r="C97" s="1224">
        <v>0.05565972222222222</v>
      </c>
      <c r="D97" s="162" t="s">
        <v>9192</v>
      </c>
      <c r="E97" s="162" t="s">
        <v>6748</v>
      </c>
      <c r="F97" s="162" t="s">
        <v>9193</v>
      </c>
      <c r="G97" s="162" t="s">
        <v>9194</v>
      </c>
      <c r="H97" s="63" t="s">
        <v>6478</v>
      </c>
      <c r="I97" s="162" t="s">
        <v>9195</v>
      </c>
      <c r="J97" s="162" t="s">
        <v>6840</v>
      </c>
      <c r="K97" s="162" t="s">
        <v>3428</v>
      </c>
      <c r="L97" s="162" t="s">
        <v>9196</v>
      </c>
      <c r="M97" s="162" t="s">
        <v>9197</v>
      </c>
      <c r="N97" s="162" t="s">
        <v>9198</v>
      </c>
      <c r="O97" s="162" t="s">
        <v>9199</v>
      </c>
      <c r="P97" s="162" t="s">
        <v>8289</v>
      </c>
      <c r="Q97" s="162" t="s">
        <v>9200</v>
      </c>
      <c r="R97" s="162" t="s">
        <v>7788</v>
      </c>
      <c r="S97" s="162" t="s">
        <v>1478</v>
      </c>
      <c r="T97" s="162" t="s">
        <v>9201</v>
      </c>
      <c r="U97" s="162" t="s">
        <v>9202</v>
      </c>
      <c r="V97" s="162" t="s">
        <v>9203</v>
      </c>
      <c r="W97" s="162" t="s">
        <v>9204</v>
      </c>
      <c r="X97" s="162" t="s">
        <v>9205</v>
      </c>
      <c r="Y97" s="162" t="s">
        <v>7197</v>
      </c>
      <c r="Z97" s="162" t="s">
        <v>9206</v>
      </c>
      <c r="AA97" s="162" t="s">
        <v>8167</v>
      </c>
      <c r="AB97" s="162" t="s">
        <v>8728</v>
      </c>
      <c r="AC97" s="162" t="s">
        <v>7796</v>
      </c>
      <c r="AD97" s="162" t="s">
        <v>9207</v>
      </c>
      <c r="AE97" s="162" t="s">
        <v>9208</v>
      </c>
      <c r="AF97" s="162" t="s">
        <v>9209</v>
      </c>
      <c r="AG97" s="162" t="s">
        <v>9210</v>
      </c>
      <c r="AH97" s="162" t="s">
        <v>9211</v>
      </c>
      <c r="AI97" s="162" t="s">
        <v>9212</v>
      </c>
      <c r="AJ97" s="162" t="s">
        <v>9213</v>
      </c>
      <c r="AK97" s="162" t="s">
        <v>1305</v>
      </c>
      <c r="AL97" s="162" t="s">
        <v>7236</v>
      </c>
      <c r="AM97" s="162" t="s">
        <v>9069</v>
      </c>
      <c r="AN97" s="162" t="s">
        <v>9215</v>
      </c>
      <c r="AO97" s="162" t="s">
        <v>3947</v>
      </c>
      <c r="AP97" s="162" t="s">
        <v>9216</v>
      </c>
      <c r="AQ97" s="162" t="s">
        <v>9217</v>
      </c>
      <c r="AR97" s="162" t="s">
        <v>9218</v>
      </c>
      <c r="AS97" s="162" t="s">
        <v>5603</v>
      </c>
      <c r="AT97" s="162" t="s">
        <v>7574</v>
      </c>
      <c r="AU97" s="162" t="s">
        <v>8261</v>
      </c>
      <c r="AV97" s="789" t="str">
        <f t="shared" si="1"/>
        <v>8:24</v>
      </c>
      <c r="AW97" s="1510" t="s">
        <v>7600</v>
      </c>
    </row>
    <row r="98">
      <c r="A98" s="634" t="s">
        <v>3888</v>
      </c>
      <c r="B98" s="1622" t="s">
        <v>7575</v>
      </c>
      <c r="C98" s="1623">
        <v>0.05614583333333333</v>
      </c>
      <c r="D98" s="63" t="s">
        <v>9219</v>
      </c>
      <c r="E98" s="188" t="s">
        <v>7849</v>
      </c>
      <c r="F98" s="188" t="s">
        <v>9220</v>
      </c>
      <c r="G98" s="188" t="s">
        <v>9221</v>
      </c>
      <c r="H98" s="1624" t="s">
        <v>4786</v>
      </c>
      <c r="I98" s="188" t="s">
        <v>6757</v>
      </c>
      <c r="J98" s="188" t="s">
        <v>9222</v>
      </c>
      <c r="K98" s="188" t="s">
        <v>9223</v>
      </c>
      <c r="L98" s="188" t="s">
        <v>9224</v>
      </c>
      <c r="M98" s="188" t="s">
        <v>2842</v>
      </c>
      <c r="N98" s="188" t="s">
        <v>7898</v>
      </c>
      <c r="O98" s="188" t="s">
        <v>9225</v>
      </c>
      <c r="P98" s="188" t="s">
        <v>5711</v>
      </c>
      <c r="Q98" s="188" t="s">
        <v>9226</v>
      </c>
      <c r="R98" s="188" t="s">
        <v>6958</v>
      </c>
      <c r="S98" s="188" t="s">
        <v>9227</v>
      </c>
      <c r="T98" s="188" t="s">
        <v>5168</v>
      </c>
      <c r="U98" s="188" t="s">
        <v>6015</v>
      </c>
      <c r="V98" s="188" t="s">
        <v>3585</v>
      </c>
      <c r="W98" s="188" t="s">
        <v>9228</v>
      </c>
      <c r="X98" s="188" t="s">
        <v>9229</v>
      </c>
      <c r="Y98" s="188" t="s">
        <v>9230</v>
      </c>
      <c r="Z98" s="188" t="s">
        <v>9231</v>
      </c>
      <c r="AA98" s="1625" t="s">
        <v>7725</v>
      </c>
      <c r="AB98" s="188" t="s">
        <v>8812</v>
      </c>
      <c r="AC98" s="188" t="s">
        <v>3252</v>
      </c>
      <c r="AD98" s="188" t="s">
        <v>5841</v>
      </c>
      <c r="AE98" s="188" t="s">
        <v>1906</v>
      </c>
      <c r="AF98" s="188" t="s">
        <v>9232</v>
      </c>
      <c r="AG98" s="188" t="s">
        <v>9233</v>
      </c>
      <c r="AH98" s="188" t="s">
        <v>6858</v>
      </c>
      <c r="AI98" s="188" t="s">
        <v>9234</v>
      </c>
      <c r="AJ98" s="188" t="s">
        <v>9235</v>
      </c>
      <c r="AK98" s="188" t="s">
        <v>9236</v>
      </c>
      <c r="AL98" s="188" t="s">
        <v>8485</v>
      </c>
      <c r="AM98" s="188" t="s">
        <v>6914</v>
      </c>
      <c r="AN98" s="188" t="s">
        <v>9237</v>
      </c>
      <c r="AO98" s="188" t="s">
        <v>9238</v>
      </c>
      <c r="AP98" s="188" t="s">
        <v>9239</v>
      </c>
      <c r="AQ98" s="188" t="s">
        <v>9240</v>
      </c>
      <c r="AR98" s="188" t="s">
        <v>8397</v>
      </c>
      <c r="AS98" s="188" t="s">
        <v>9241</v>
      </c>
      <c r="AT98" s="188" t="s">
        <v>9242</v>
      </c>
      <c r="AU98" s="188" t="s">
        <v>9243</v>
      </c>
      <c r="AV98" s="186" t="str">
        <f t="shared" si="1"/>
        <v>8:47</v>
      </c>
      <c r="AW98" s="1201" t="s">
        <v>9244</v>
      </c>
    </row>
    <row r="99">
      <c r="A99" s="1277" t="s">
        <v>9245</v>
      </c>
      <c r="B99" s="1237" t="s">
        <v>5444</v>
      </c>
      <c r="C99" s="1299">
        <v>0.057881944444444444</v>
      </c>
      <c r="D99" s="162" t="s">
        <v>9246</v>
      </c>
      <c r="E99" s="164" t="s">
        <v>9247</v>
      </c>
      <c r="F99" s="162" t="s">
        <v>9249</v>
      </c>
      <c r="G99" s="162" t="s">
        <v>9250</v>
      </c>
      <c r="H99" s="164" t="s">
        <v>9251</v>
      </c>
      <c r="I99" s="164" t="s">
        <v>4341</v>
      </c>
      <c r="J99" s="164" t="s">
        <v>9252</v>
      </c>
      <c r="K99" s="164" t="s">
        <v>5664</v>
      </c>
      <c r="L99" s="164" t="s">
        <v>9253</v>
      </c>
      <c r="M99" s="164" t="s">
        <v>4259</v>
      </c>
      <c r="N99" s="164" t="s">
        <v>9254</v>
      </c>
      <c r="O99" s="164" t="s">
        <v>9255</v>
      </c>
      <c r="P99" s="164" t="s">
        <v>9256</v>
      </c>
      <c r="Q99" s="164" t="s">
        <v>9257</v>
      </c>
      <c r="R99" s="164" t="s">
        <v>9258</v>
      </c>
      <c r="S99" s="164" t="s">
        <v>9259</v>
      </c>
      <c r="T99" s="164" t="s">
        <v>5194</v>
      </c>
      <c r="U99" s="164" t="s">
        <v>9260</v>
      </c>
      <c r="V99" s="164" t="s">
        <v>9261</v>
      </c>
      <c r="W99" s="164" t="s">
        <v>9262</v>
      </c>
      <c r="X99" s="164" t="s">
        <v>9263</v>
      </c>
      <c r="Y99" s="164" t="s">
        <v>9264</v>
      </c>
      <c r="Z99" s="164" t="s">
        <v>9265</v>
      </c>
      <c r="AA99" s="162" t="s">
        <v>9266</v>
      </c>
      <c r="AB99" s="164" t="s">
        <v>6527</v>
      </c>
      <c r="AC99" s="164" t="s">
        <v>9267</v>
      </c>
      <c r="AD99" s="164" t="s">
        <v>9268</v>
      </c>
      <c r="AE99" s="164" t="s">
        <v>2836</v>
      </c>
      <c r="AF99" s="164" t="s">
        <v>9269</v>
      </c>
      <c r="AG99" s="164" t="s">
        <v>9270</v>
      </c>
      <c r="AH99" s="164" t="s">
        <v>9271</v>
      </c>
      <c r="AI99" s="164" t="s">
        <v>9272</v>
      </c>
      <c r="AJ99" s="164" t="s">
        <v>9273</v>
      </c>
      <c r="AK99" s="164" t="s">
        <v>9274</v>
      </c>
      <c r="AL99" s="164" t="s">
        <v>9275</v>
      </c>
      <c r="AM99" s="164" t="s">
        <v>3571</v>
      </c>
      <c r="AN99" s="164" t="s">
        <v>9276</v>
      </c>
      <c r="AO99" s="164" t="s">
        <v>8290</v>
      </c>
      <c r="AP99" s="164" t="s">
        <v>9277</v>
      </c>
      <c r="AQ99" s="164" t="s">
        <v>1452</v>
      </c>
      <c r="AR99" s="164" t="s">
        <v>9278</v>
      </c>
      <c r="AS99" s="164" t="s">
        <v>2314</v>
      </c>
      <c r="AT99" s="164" t="s">
        <v>9279</v>
      </c>
      <c r="AU99" s="164" t="s">
        <v>9280</v>
      </c>
      <c r="AV99" s="789" t="str">
        <f t="shared" si="1"/>
        <v>2:11</v>
      </c>
      <c r="AW99" s="1537" t="s">
        <v>9281</v>
      </c>
    </row>
    <row r="100">
      <c r="A100" s="1239" t="s">
        <v>3872</v>
      </c>
      <c r="B100" s="1423" t="s">
        <v>7575</v>
      </c>
      <c r="C100" s="1626">
        <v>0.05884259259259259</v>
      </c>
      <c r="D100" s="1627" t="s">
        <v>9282</v>
      </c>
      <c r="E100" s="1628" t="s">
        <v>3766</v>
      </c>
      <c r="F100" s="1628" t="s">
        <v>9283</v>
      </c>
      <c r="G100" s="1628" t="s">
        <v>9284</v>
      </c>
      <c r="H100" s="1627" t="s">
        <v>9285</v>
      </c>
      <c r="I100" s="1629" t="s">
        <v>534</v>
      </c>
      <c r="J100" s="1630" t="s">
        <v>9287</v>
      </c>
      <c r="K100" s="1630" t="s">
        <v>5617</v>
      </c>
      <c r="L100" s="1630" t="s">
        <v>405</v>
      </c>
      <c r="M100" s="1630" t="s">
        <v>7669</v>
      </c>
      <c r="N100" s="1630" t="s">
        <v>9288</v>
      </c>
      <c r="O100" s="1630" t="s">
        <v>9289</v>
      </c>
      <c r="P100" s="1630" t="s">
        <v>4080</v>
      </c>
      <c r="Q100" s="1631" t="s">
        <v>9065</v>
      </c>
      <c r="R100" s="1631" t="s">
        <v>7637</v>
      </c>
      <c r="S100" s="1631" t="s">
        <v>9290</v>
      </c>
      <c r="T100" s="1631" t="s">
        <v>9291</v>
      </c>
      <c r="U100" s="1631" t="s">
        <v>9292</v>
      </c>
      <c r="V100" s="1631" t="s">
        <v>9293</v>
      </c>
      <c r="W100" s="1632" t="s">
        <v>9294</v>
      </c>
      <c r="X100" s="1632" t="s">
        <v>9295</v>
      </c>
      <c r="Y100" s="1632" t="s">
        <v>8869</v>
      </c>
      <c r="Z100" s="1632" t="s">
        <v>6964</v>
      </c>
      <c r="AA100" s="1425" t="s">
        <v>9296</v>
      </c>
      <c r="AB100" s="1632" t="s">
        <v>9297</v>
      </c>
      <c r="AC100" s="1632" t="s">
        <v>9298</v>
      </c>
      <c r="AD100" s="1628" t="s">
        <v>9299</v>
      </c>
      <c r="AE100" s="1628" t="s">
        <v>550</v>
      </c>
      <c r="AF100" s="1633" t="s">
        <v>9300</v>
      </c>
      <c r="AG100" s="1633" t="s">
        <v>2143</v>
      </c>
      <c r="AH100" s="1633" t="s">
        <v>9022</v>
      </c>
      <c r="AI100" s="1633" t="s">
        <v>9301</v>
      </c>
      <c r="AJ100" s="1633" t="s">
        <v>9302</v>
      </c>
      <c r="AK100" s="1633" t="s">
        <v>6740</v>
      </c>
      <c r="AL100" s="1633" t="s">
        <v>7838</v>
      </c>
      <c r="AM100" s="1634" t="s">
        <v>9303</v>
      </c>
      <c r="AN100" s="1634" t="s">
        <v>9304</v>
      </c>
      <c r="AO100" s="1634" t="s">
        <v>3214</v>
      </c>
      <c r="AP100" s="1634" t="s">
        <v>9305</v>
      </c>
      <c r="AQ100" s="1634" t="s">
        <v>9306</v>
      </c>
      <c r="AR100" s="1634" t="s">
        <v>9307</v>
      </c>
      <c r="AS100" s="1634" t="s">
        <v>6858</v>
      </c>
      <c r="AT100" s="1630" t="s">
        <v>9308</v>
      </c>
      <c r="AU100" s="1635" t="s">
        <v>8313</v>
      </c>
      <c r="AV100" s="789" t="str">
        <f t="shared" si="1"/>
        <v>10:59</v>
      </c>
      <c r="AW100" s="1193" t="s">
        <v>9310</v>
      </c>
    </row>
    <row r="101" ht="15.75" customHeight="1">
      <c r="A101" s="1202" t="s">
        <v>9311</v>
      </c>
      <c r="B101" s="1237" t="s">
        <v>5444</v>
      </c>
      <c r="C101" s="1166">
        <v>0.06635416666666667</v>
      </c>
      <c r="D101" s="63" t="s">
        <v>9312</v>
      </c>
      <c r="E101" s="63" t="s">
        <v>3477</v>
      </c>
      <c r="F101" s="63" t="s">
        <v>9313</v>
      </c>
      <c r="G101" s="63" t="s">
        <v>9314</v>
      </c>
      <c r="H101" s="63" t="s">
        <v>9316</v>
      </c>
      <c r="I101" s="63" t="s">
        <v>9317</v>
      </c>
      <c r="J101" s="63" t="s">
        <v>9318</v>
      </c>
      <c r="K101" s="63" t="s">
        <v>9319</v>
      </c>
      <c r="L101" s="63" t="s">
        <v>1702</v>
      </c>
      <c r="M101" s="63" t="s">
        <v>4028</v>
      </c>
      <c r="N101" s="63" t="s">
        <v>9320</v>
      </c>
      <c r="O101" s="63" t="s">
        <v>9321</v>
      </c>
      <c r="P101" s="63" t="s">
        <v>9322</v>
      </c>
      <c r="Q101" s="63" t="s">
        <v>9323</v>
      </c>
      <c r="R101" s="63" t="s">
        <v>3543</v>
      </c>
      <c r="S101" s="63" t="s">
        <v>9324</v>
      </c>
      <c r="T101" s="63" t="s">
        <v>9124</v>
      </c>
      <c r="U101" s="63" t="s">
        <v>9325</v>
      </c>
      <c r="V101" s="63" t="s">
        <v>3924</v>
      </c>
      <c r="W101" s="63" t="s">
        <v>9326</v>
      </c>
      <c r="X101" s="63" t="s">
        <v>9327</v>
      </c>
      <c r="Y101" s="63" t="s">
        <v>3059</v>
      </c>
      <c r="Z101" s="63" t="s">
        <v>9328</v>
      </c>
      <c r="AA101" s="164"/>
      <c r="AB101" s="63" t="s">
        <v>9330</v>
      </c>
      <c r="AC101" s="63" t="s">
        <v>475</v>
      </c>
      <c r="AD101" s="63" t="s">
        <v>9331</v>
      </c>
      <c r="AE101" s="63" t="s">
        <v>9332</v>
      </c>
      <c r="AF101" s="63" t="s">
        <v>9333</v>
      </c>
      <c r="AG101" s="63" t="s">
        <v>9334</v>
      </c>
      <c r="AH101" s="63" t="s">
        <v>9335</v>
      </c>
      <c r="AI101" s="63" t="s">
        <v>9336</v>
      </c>
      <c r="AJ101" s="63" t="s">
        <v>9337</v>
      </c>
      <c r="AK101" s="63" t="s">
        <v>9338</v>
      </c>
      <c r="AL101" s="63" t="s">
        <v>9339</v>
      </c>
      <c r="AM101" s="63" t="s">
        <v>9340</v>
      </c>
      <c r="AN101" s="63" t="s">
        <v>6622</v>
      </c>
      <c r="AO101" s="63" t="s">
        <v>9035</v>
      </c>
      <c r="AP101" s="63" t="s">
        <v>9341</v>
      </c>
      <c r="AQ101" s="63" t="s">
        <v>3733</v>
      </c>
      <c r="AR101" s="63" t="s">
        <v>9342</v>
      </c>
      <c r="AS101" s="63" t="s">
        <v>6815</v>
      </c>
      <c r="AT101" s="63" t="s">
        <v>9343</v>
      </c>
      <c r="AU101" s="454" t="s">
        <v>9344</v>
      </c>
      <c r="AV101" s="789" t="str">
        <f t="shared" si="1"/>
        <v>9:53</v>
      </c>
      <c r="AW101" s="1404" t="s">
        <v>9345</v>
      </c>
    </row>
    <row r="102">
      <c r="A102" s="1202" t="s">
        <v>71</v>
      </c>
      <c r="B102" s="1200" t="s">
        <v>5444</v>
      </c>
      <c r="C102" s="1299"/>
      <c r="D102" s="1177"/>
      <c r="E102" s="1182"/>
      <c r="F102" s="1177"/>
      <c r="G102" s="1177"/>
      <c r="H102" s="1177"/>
      <c r="I102" s="1177"/>
      <c r="J102" s="1177"/>
      <c r="K102" s="1177"/>
      <c r="L102" s="1177"/>
      <c r="M102" s="1177"/>
      <c r="N102" s="1177"/>
      <c r="O102" s="1177"/>
      <c r="P102" s="1177"/>
      <c r="Q102" s="1177"/>
      <c r="R102" s="1177"/>
      <c r="S102" s="1177"/>
      <c r="T102" s="1177"/>
      <c r="U102" s="1177"/>
      <c r="V102" s="1177"/>
      <c r="W102" s="1128" t="s">
        <v>6464</v>
      </c>
      <c r="X102" s="1177"/>
      <c r="Y102" s="1177"/>
      <c r="Z102" s="1177"/>
      <c r="AA102" s="1177"/>
      <c r="AB102" s="1185" t="s">
        <v>9348</v>
      </c>
      <c r="AC102" s="1177"/>
      <c r="AD102" s="1177"/>
      <c r="AE102" s="1182"/>
      <c r="AF102" s="1177"/>
      <c r="AG102" s="1177"/>
      <c r="AH102" s="1177"/>
      <c r="AI102" s="1177"/>
      <c r="AJ102" s="1177"/>
      <c r="AK102" s="1177"/>
      <c r="AL102" s="1177"/>
      <c r="AM102" s="1185" t="s">
        <v>7212</v>
      </c>
      <c r="AN102" s="1177"/>
      <c r="AO102" s="1177"/>
      <c r="AP102" s="1177"/>
      <c r="AQ102" s="1177"/>
      <c r="AR102" s="1177"/>
      <c r="AS102" s="1177"/>
      <c r="AT102" s="1177"/>
      <c r="AU102" s="789"/>
      <c r="AV102" s="789"/>
      <c r="AW102" s="1227"/>
    </row>
    <row r="103">
      <c r="A103" s="1202" t="s">
        <v>3921</v>
      </c>
      <c r="B103" s="1189" t="s">
        <v>5444</v>
      </c>
      <c r="C103" s="1166"/>
      <c r="D103" s="1231"/>
      <c r="E103" s="1231"/>
      <c r="F103" s="1231"/>
      <c r="G103" s="1231"/>
      <c r="H103" s="63"/>
      <c r="I103" s="317"/>
      <c r="J103" s="1208"/>
      <c r="K103" s="1208"/>
      <c r="L103" s="1208"/>
      <c r="M103" s="1208"/>
      <c r="N103" s="1208"/>
      <c r="O103" s="1208"/>
      <c r="P103" s="1208"/>
      <c r="Q103" s="269"/>
      <c r="R103" s="269"/>
      <c r="S103" s="269"/>
      <c r="T103" s="269"/>
      <c r="U103" s="269"/>
      <c r="V103" s="269"/>
      <c r="W103" s="255"/>
      <c r="X103" s="255"/>
      <c r="Y103" s="255"/>
      <c r="Z103" s="255"/>
      <c r="AA103" s="1169"/>
      <c r="AB103" s="255"/>
      <c r="AC103" s="255"/>
      <c r="AD103" s="1231"/>
      <c r="AE103" s="1231"/>
      <c r="AF103" s="1217" t="s">
        <v>5464</v>
      </c>
      <c r="AG103" s="1234"/>
      <c r="AH103" s="1234"/>
      <c r="AI103" s="1234"/>
      <c r="AJ103" s="1234"/>
      <c r="AK103" s="1234"/>
      <c r="AL103" s="1234"/>
      <c r="AM103" s="1235"/>
      <c r="AN103" s="1235"/>
      <c r="AO103" s="1235"/>
      <c r="AP103" s="1235"/>
      <c r="AQ103" s="1235"/>
      <c r="AR103" s="1235"/>
      <c r="AS103" s="1235"/>
      <c r="AT103" s="1208"/>
      <c r="AU103" s="1192"/>
      <c r="AV103" s="1192"/>
      <c r="AW103" s="1193"/>
    </row>
    <row r="104">
      <c r="A104" s="1375"/>
      <c r="B104" s="1636"/>
      <c r="C104" s="1637"/>
      <c r="D104" s="1539"/>
      <c r="E104" s="186"/>
      <c r="F104" s="186"/>
      <c r="G104" s="186"/>
      <c r="H104" s="1638"/>
      <c r="I104" s="186"/>
      <c r="J104" s="186"/>
      <c r="K104" s="186"/>
      <c r="L104" s="186"/>
      <c r="M104" s="186"/>
      <c r="N104" s="186"/>
      <c r="O104" s="186"/>
      <c r="P104" s="186"/>
      <c r="Q104" s="186"/>
      <c r="R104" s="186"/>
      <c r="S104" s="186"/>
      <c r="T104" s="186"/>
      <c r="U104" s="186"/>
      <c r="V104" s="186"/>
      <c r="W104" s="186"/>
      <c r="X104" s="186"/>
      <c r="Y104" s="186"/>
      <c r="Z104" s="186"/>
      <c r="AA104" s="549"/>
      <c r="AB104" s="186"/>
      <c r="AC104" s="186"/>
      <c r="AD104" s="186"/>
      <c r="AE104" s="186"/>
      <c r="AF104" s="186"/>
      <c r="AG104" s="186"/>
      <c r="AH104" s="186"/>
      <c r="AI104" s="186"/>
      <c r="AJ104" s="186"/>
      <c r="AK104" s="186"/>
      <c r="AL104" s="186"/>
      <c r="AM104" s="186"/>
      <c r="AN104" s="186"/>
      <c r="AO104" s="186"/>
      <c r="AP104" s="186"/>
      <c r="AQ104" s="186"/>
      <c r="AR104" s="186"/>
      <c r="AS104" s="186"/>
      <c r="AT104" s="186"/>
      <c r="AU104" s="186"/>
      <c r="AV104" s="186"/>
      <c r="AW104" s="1227"/>
    </row>
    <row r="105">
      <c r="A105" s="1391"/>
      <c r="B105" s="1640"/>
      <c r="C105" s="1641"/>
      <c r="D105" s="1539"/>
      <c r="E105" s="154"/>
      <c r="F105" s="154"/>
      <c r="G105" s="154"/>
      <c r="H105" s="1638"/>
      <c r="I105" s="747"/>
      <c r="J105" s="997"/>
      <c r="K105" s="997"/>
      <c r="L105" s="997"/>
      <c r="M105" s="997"/>
      <c r="N105" s="997"/>
      <c r="O105" s="997"/>
      <c r="P105" s="997"/>
      <c r="Q105" s="809"/>
      <c r="R105" s="809"/>
      <c r="S105" s="809"/>
      <c r="T105" s="809"/>
      <c r="U105" s="809"/>
      <c r="V105" s="809"/>
      <c r="W105" s="549"/>
      <c r="X105" s="549"/>
      <c r="Y105" s="549"/>
      <c r="Z105" s="549"/>
      <c r="AA105" s="186"/>
      <c r="AB105" s="549"/>
      <c r="AC105" s="549"/>
      <c r="AD105" s="154"/>
      <c r="AE105" s="154"/>
      <c r="AF105" s="882"/>
      <c r="AG105" s="882"/>
      <c r="AH105" s="882"/>
      <c r="AI105" s="882"/>
      <c r="AJ105" s="882"/>
      <c r="AK105" s="882"/>
      <c r="AL105" s="882"/>
      <c r="AM105" s="931"/>
      <c r="AN105" s="931"/>
      <c r="AO105" s="931"/>
      <c r="AP105" s="931"/>
      <c r="AQ105" s="931"/>
      <c r="AR105" s="931"/>
      <c r="AS105" s="931"/>
      <c r="AT105" s="997"/>
      <c r="AU105" s="1453"/>
      <c r="AV105" s="1453"/>
      <c r="AW105" s="1256"/>
    </row>
    <row r="106">
      <c r="A106" s="1375"/>
      <c r="B106" s="1636"/>
      <c r="C106" s="1637"/>
      <c r="D106" s="1539"/>
      <c r="E106" s="186"/>
      <c r="F106" s="186"/>
      <c r="G106" s="186"/>
      <c r="H106" s="1638"/>
      <c r="I106" s="186"/>
      <c r="J106" s="186"/>
      <c r="K106" s="186"/>
      <c r="L106" s="186"/>
      <c r="M106" s="186"/>
      <c r="N106" s="186"/>
      <c r="O106" s="186"/>
      <c r="P106" s="186"/>
      <c r="Q106" s="186"/>
      <c r="R106" s="186"/>
      <c r="S106" s="186"/>
      <c r="T106" s="186"/>
      <c r="U106" s="186"/>
      <c r="V106" s="186"/>
      <c r="W106" s="186"/>
      <c r="X106" s="186"/>
      <c r="Y106" s="186"/>
      <c r="Z106" s="186"/>
      <c r="AA106" s="549"/>
      <c r="AB106" s="186"/>
      <c r="AC106" s="186"/>
      <c r="AD106" s="186"/>
      <c r="AE106" s="186"/>
      <c r="AF106" s="186"/>
      <c r="AG106" s="186"/>
      <c r="AH106" s="186"/>
      <c r="AI106" s="186"/>
      <c r="AJ106" s="186"/>
      <c r="AK106" s="186"/>
      <c r="AL106" s="186"/>
      <c r="AM106" s="186"/>
      <c r="AN106" s="186"/>
      <c r="AO106" s="186"/>
      <c r="AP106" s="186"/>
      <c r="AQ106" s="186"/>
      <c r="AR106" s="186"/>
      <c r="AS106" s="186"/>
      <c r="AT106" s="186"/>
      <c r="AU106" s="186"/>
      <c r="AV106" s="186"/>
      <c r="AW106" s="1227"/>
    </row>
    <row r="107">
      <c r="A107" s="1391"/>
      <c r="B107" s="1640"/>
      <c r="C107" s="1641"/>
      <c r="D107" s="1539"/>
      <c r="E107" s="154"/>
      <c r="F107" s="154"/>
      <c r="G107" s="154"/>
      <c r="H107" s="1638"/>
      <c r="I107" s="747"/>
      <c r="J107" s="997"/>
      <c r="K107" s="997"/>
      <c r="L107" s="997"/>
      <c r="M107" s="997"/>
      <c r="N107" s="997"/>
      <c r="O107" s="997"/>
      <c r="P107" s="997"/>
      <c r="Q107" s="809"/>
      <c r="R107" s="809"/>
      <c r="S107" s="809"/>
      <c r="T107" s="809"/>
      <c r="U107" s="809"/>
      <c r="V107" s="809"/>
      <c r="W107" s="549"/>
      <c r="X107" s="549"/>
      <c r="Y107" s="549"/>
      <c r="Z107" s="549"/>
      <c r="AA107" s="186"/>
      <c r="AB107" s="549"/>
      <c r="AC107" s="549"/>
      <c r="AD107" s="154"/>
      <c r="AE107" s="154"/>
      <c r="AF107" s="882"/>
      <c r="AG107" s="882"/>
      <c r="AH107" s="882"/>
      <c r="AI107" s="882"/>
      <c r="AJ107" s="882"/>
      <c r="AK107" s="882"/>
      <c r="AL107" s="882"/>
      <c r="AM107" s="931"/>
      <c r="AN107" s="931"/>
      <c r="AO107" s="931"/>
      <c r="AP107" s="931"/>
      <c r="AQ107" s="931"/>
      <c r="AR107" s="931"/>
      <c r="AS107" s="931"/>
      <c r="AT107" s="997"/>
      <c r="AU107" s="1453"/>
      <c r="AV107" s="1453"/>
      <c r="AW107" s="1256"/>
    </row>
    <row r="108">
      <c r="A108" s="1375"/>
      <c r="B108" s="1636"/>
      <c r="C108" s="1637"/>
      <c r="D108" s="1539"/>
      <c r="E108" s="186"/>
      <c r="F108" s="186"/>
      <c r="G108" s="186"/>
      <c r="H108" s="1638"/>
      <c r="I108" s="186"/>
      <c r="J108" s="186"/>
      <c r="K108" s="186"/>
      <c r="L108" s="186"/>
      <c r="M108" s="186"/>
      <c r="N108" s="186"/>
      <c r="O108" s="186"/>
      <c r="P108" s="186"/>
      <c r="Q108" s="186"/>
      <c r="R108" s="186"/>
      <c r="S108" s="186"/>
      <c r="T108" s="186"/>
      <c r="U108" s="186"/>
      <c r="V108" s="186"/>
      <c r="W108" s="186"/>
      <c r="X108" s="186"/>
      <c r="Y108" s="186"/>
      <c r="Z108" s="186"/>
      <c r="AA108" s="549"/>
      <c r="AB108" s="186"/>
      <c r="AC108" s="186"/>
      <c r="AD108" s="186"/>
      <c r="AE108" s="186"/>
      <c r="AF108" s="186"/>
      <c r="AG108" s="186"/>
      <c r="AH108" s="186"/>
      <c r="AI108" s="186"/>
      <c r="AJ108" s="186"/>
      <c r="AK108" s="186"/>
      <c r="AL108" s="186"/>
      <c r="AM108" s="186"/>
      <c r="AN108" s="186"/>
      <c r="AO108" s="186"/>
      <c r="AP108" s="186"/>
      <c r="AQ108" s="186"/>
      <c r="AR108" s="186"/>
      <c r="AS108" s="186"/>
      <c r="AT108" s="186"/>
      <c r="AU108" s="186"/>
      <c r="AV108" s="186"/>
      <c r="AW108" s="1227"/>
    </row>
    <row r="109">
      <c r="A109" s="1391"/>
      <c r="B109" s="1640"/>
      <c r="C109" s="1641"/>
      <c r="D109" s="1539"/>
      <c r="E109" s="154"/>
      <c r="F109" s="154"/>
      <c r="G109" s="154"/>
      <c r="H109" s="1638"/>
      <c r="I109" s="747"/>
      <c r="J109" s="997"/>
      <c r="K109" s="997"/>
      <c r="L109" s="997"/>
      <c r="M109" s="997"/>
      <c r="N109" s="997"/>
      <c r="O109" s="997"/>
      <c r="P109" s="997"/>
      <c r="Q109" s="809"/>
      <c r="R109" s="809"/>
      <c r="S109" s="809"/>
      <c r="T109" s="809"/>
      <c r="U109" s="809"/>
      <c r="V109" s="809"/>
      <c r="W109" s="549"/>
      <c r="X109" s="549"/>
      <c r="Y109" s="549"/>
      <c r="Z109" s="549"/>
      <c r="AA109" s="186"/>
      <c r="AB109" s="549"/>
      <c r="AC109" s="549"/>
      <c r="AD109" s="154"/>
      <c r="AE109" s="154"/>
      <c r="AF109" s="882"/>
      <c r="AG109" s="882"/>
      <c r="AH109" s="882"/>
      <c r="AI109" s="882"/>
      <c r="AJ109" s="882"/>
      <c r="AK109" s="882"/>
      <c r="AL109" s="882"/>
      <c r="AM109" s="931"/>
      <c r="AN109" s="931"/>
      <c r="AO109" s="931"/>
      <c r="AP109" s="931"/>
      <c r="AQ109" s="931"/>
      <c r="AR109" s="931"/>
      <c r="AS109" s="931"/>
      <c r="AT109" s="997"/>
      <c r="AU109" s="1453"/>
      <c r="AV109" s="1453"/>
      <c r="AW109" s="1256"/>
    </row>
    <row r="110">
      <c r="A110" s="1375"/>
      <c r="B110" s="1636"/>
      <c r="C110" s="1637"/>
      <c r="D110" s="1539"/>
      <c r="E110" s="186"/>
      <c r="F110" s="186"/>
      <c r="G110" s="186"/>
      <c r="H110" s="1638"/>
      <c r="I110" s="186"/>
      <c r="J110" s="186"/>
      <c r="K110" s="186"/>
      <c r="L110" s="186"/>
      <c r="M110" s="186"/>
      <c r="N110" s="186"/>
      <c r="O110" s="186"/>
      <c r="P110" s="186"/>
      <c r="Q110" s="186"/>
      <c r="R110" s="186"/>
      <c r="S110" s="186"/>
      <c r="T110" s="186"/>
      <c r="U110" s="186"/>
      <c r="V110" s="186"/>
      <c r="W110" s="186"/>
      <c r="X110" s="186"/>
      <c r="Y110" s="186"/>
      <c r="Z110" s="186"/>
      <c r="AA110" s="549"/>
      <c r="AB110" s="186"/>
      <c r="AC110" s="186"/>
      <c r="AD110" s="186"/>
      <c r="AE110" s="186"/>
      <c r="AF110" s="186"/>
      <c r="AG110" s="186"/>
      <c r="AH110" s="186"/>
      <c r="AI110" s="186"/>
      <c r="AJ110" s="186"/>
      <c r="AK110" s="186"/>
      <c r="AL110" s="186"/>
      <c r="AM110" s="186"/>
      <c r="AN110" s="186"/>
      <c r="AO110" s="186"/>
      <c r="AP110" s="186"/>
      <c r="AQ110" s="186"/>
      <c r="AR110" s="186"/>
      <c r="AS110" s="186"/>
      <c r="AT110" s="186"/>
      <c r="AU110" s="186"/>
      <c r="AV110" s="186"/>
      <c r="AW110" s="1227"/>
    </row>
    <row r="111">
      <c r="A111" s="1391"/>
      <c r="B111" s="1640"/>
      <c r="C111" s="1641"/>
      <c r="D111" s="1539"/>
      <c r="E111" s="154"/>
      <c r="F111" s="154"/>
      <c r="G111" s="154"/>
      <c r="H111" s="1638"/>
      <c r="I111" s="747"/>
      <c r="J111" s="997"/>
      <c r="K111" s="997"/>
      <c r="L111" s="997"/>
      <c r="M111" s="997"/>
      <c r="N111" s="997"/>
      <c r="O111" s="997"/>
      <c r="P111" s="997"/>
      <c r="Q111" s="809"/>
      <c r="R111" s="809"/>
      <c r="S111" s="809"/>
      <c r="T111" s="809"/>
      <c r="U111" s="809"/>
      <c r="V111" s="809"/>
      <c r="W111" s="549"/>
      <c r="X111" s="549"/>
      <c r="Y111" s="549"/>
      <c r="Z111" s="549"/>
      <c r="AA111" s="186"/>
      <c r="AB111" s="549"/>
      <c r="AC111" s="549"/>
      <c r="AD111" s="154"/>
      <c r="AE111" s="154"/>
      <c r="AF111" s="882"/>
      <c r="AG111" s="882"/>
      <c r="AH111" s="882"/>
      <c r="AI111" s="882"/>
      <c r="AJ111" s="882"/>
      <c r="AK111" s="882"/>
      <c r="AL111" s="882"/>
      <c r="AM111" s="931"/>
      <c r="AN111" s="931"/>
      <c r="AO111" s="931"/>
      <c r="AP111" s="931"/>
      <c r="AQ111" s="931"/>
      <c r="AR111" s="931"/>
      <c r="AS111" s="931"/>
      <c r="AT111" s="997"/>
      <c r="AU111" s="1453"/>
      <c r="AV111" s="1453"/>
      <c r="AW111" s="1256"/>
    </row>
    <row r="112">
      <c r="A112" s="1375"/>
      <c r="B112" s="1636"/>
      <c r="C112" s="1637"/>
      <c r="D112" s="1539"/>
      <c r="E112" s="186"/>
      <c r="F112" s="186"/>
      <c r="G112" s="186"/>
      <c r="H112" s="1638"/>
      <c r="I112" s="186"/>
      <c r="J112" s="186"/>
      <c r="K112" s="186"/>
      <c r="L112" s="186"/>
      <c r="M112" s="186"/>
      <c r="N112" s="186"/>
      <c r="O112" s="186"/>
      <c r="P112" s="186"/>
      <c r="Q112" s="186"/>
      <c r="R112" s="186"/>
      <c r="S112" s="186"/>
      <c r="T112" s="186"/>
      <c r="U112" s="186"/>
      <c r="V112" s="186"/>
      <c r="W112" s="186"/>
      <c r="X112" s="186"/>
      <c r="Y112" s="186"/>
      <c r="Z112" s="186"/>
      <c r="AA112" s="549"/>
      <c r="AB112" s="186"/>
      <c r="AC112" s="186"/>
      <c r="AD112" s="186"/>
      <c r="AE112" s="186"/>
      <c r="AF112" s="186"/>
      <c r="AG112" s="186"/>
      <c r="AH112" s="186"/>
      <c r="AI112" s="186"/>
      <c r="AJ112" s="186"/>
      <c r="AK112" s="186"/>
      <c r="AL112" s="186"/>
      <c r="AM112" s="186"/>
      <c r="AN112" s="186"/>
      <c r="AO112" s="186"/>
      <c r="AP112" s="186"/>
      <c r="AQ112" s="186"/>
      <c r="AR112" s="186"/>
      <c r="AS112" s="186"/>
      <c r="AT112" s="186"/>
      <c r="AU112" s="186"/>
      <c r="AV112" s="186"/>
      <c r="AW112" s="1227"/>
    </row>
    <row r="113">
      <c r="A113" s="1391"/>
      <c r="B113" s="1640"/>
      <c r="C113" s="1641"/>
      <c r="D113" s="1539"/>
      <c r="E113" s="154"/>
      <c r="F113" s="154"/>
      <c r="G113" s="154"/>
      <c r="H113" s="1638"/>
      <c r="I113" s="747"/>
      <c r="J113" s="997"/>
      <c r="K113" s="997"/>
      <c r="L113" s="997"/>
      <c r="M113" s="997"/>
      <c r="N113" s="997"/>
      <c r="O113" s="997"/>
      <c r="P113" s="997"/>
      <c r="Q113" s="809"/>
      <c r="R113" s="809"/>
      <c r="S113" s="809"/>
      <c r="T113" s="809"/>
      <c r="U113" s="809"/>
      <c r="V113" s="809"/>
      <c r="W113" s="549"/>
      <c r="X113" s="549"/>
      <c r="Y113" s="549"/>
      <c r="Z113" s="549"/>
      <c r="AA113" s="186"/>
      <c r="AB113" s="549"/>
      <c r="AC113" s="549"/>
      <c r="AD113" s="154"/>
      <c r="AE113" s="154"/>
      <c r="AF113" s="882"/>
      <c r="AG113" s="882"/>
      <c r="AH113" s="882"/>
      <c r="AI113" s="882"/>
      <c r="AJ113" s="882"/>
      <c r="AK113" s="882"/>
      <c r="AL113" s="882"/>
      <c r="AM113" s="931"/>
      <c r="AN113" s="931"/>
      <c r="AO113" s="931"/>
      <c r="AP113" s="931"/>
      <c r="AQ113" s="931"/>
      <c r="AR113" s="931"/>
      <c r="AS113" s="931"/>
      <c r="AT113" s="997"/>
      <c r="AU113" s="1453"/>
      <c r="AV113" s="1453"/>
      <c r="AW113" s="1256"/>
    </row>
    <row r="114">
      <c r="A114" s="1375"/>
      <c r="B114" s="1636"/>
      <c r="C114" s="1637"/>
      <c r="D114" s="1539"/>
      <c r="E114" s="186"/>
      <c r="F114" s="186"/>
      <c r="G114" s="186"/>
      <c r="H114" s="1638"/>
      <c r="I114" s="186"/>
      <c r="J114" s="186"/>
      <c r="K114" s="186"/>
      <c r="L114" s="186"/>
      <c r="M114" s="186"/>
      <c r="N114" s="186"/>
      <c r="O114" s="186"/>
      <c r="P114" s="186"/>
      <c r="Q114" s="186"/>
      <c r="R114" s="186"/>
      <c r="S114" s="186"/>
      <c r="T114" s="186"/>
      <c r="U114" s="186"/>
      <c r="V114" s="186"/>
      <c r="W114" s="186"/>
      <c r="X114" s="186"/>
      <c r="Y114" s="186"/>
      <c r="Z114" s="186"/>
      <c r="AA114" s="549"/>
      <c r="AB114" s="186"/>
      <c r="AC114" s="186"/>
      <c r="AD114" s="186"/>
      <c r="AE114" s="186"/>
      <c r="AF114" s="186"/>
      <c r="AG114" s="186"/>
      <c r="AH114" s="186"/>
      <c r="AI114" s="186"/>
      <c r="AJ114" s="186"/>
      <c r="AK114" s="186"/>
      <c r="AL114" s="186"/>
      <c r="AM114" s="186"/>
      <c r="AN114" s="186"/>
      <c r="AO114" s="186"/>
      <c r="AP114" s="186"/>
      <c r="AQ114" s="186"/>
      <c r="AR114" s="186"/>
      <c r="AS114" s="186"/>
      <c r="AT114" s="186"/>
      <c r="AU114" s="186"/>
      <c r="AV114" s="186"/>
      <c r="AW114" s="1227"/>
    </row>
    <row r="115">
      <c r="A115" s="1391"/>
      <c r="B115" s="1640"/>
      <c r="C115" s="1641"/>
      <c r="D115" s="1539"/>
      <c r="E115" s="154"/>
      <c r="F115" s="154"/>
      <c r="G115" s="154"/>
      <c r="H115" s="747"/>
      <c r="I115" s="747"/>
      <c r="J115" s="997"/>
      <c r="K115" s="997"/>
      <c r="L115" s="997"/>
      <c r="M115" s="997"/>
      <c r="N115" s="997"/>
      <c r="O115" s="997"/>
      <c r="P115" s="997"/>
      <c r="Q115" s="809"/>
      <c r="R115" s="809"/>
      <c r="S115" s="809"/>
      <c r="T115" s="809"/>
      <c r="U115" s="809"/>
      <c r="V115" s="809"/>
      <c r="W115" s="549"/>
      <c r="X115" s="549"/>
      <c r="Y115" s="549"/>
      <c r="Z115" s="549"/>
      <c r="AA115" s="186"/>
      <c r="AB115" s="549"/>
      <c r="AC115" s="549"/>
      <c r="AD115" s="154"/>
      <c r="AE115" s="154"/>
      <c r="AF115" s="882"/>
      <c r="AG115" s="882"/>
      <c r="AH115" s="882"/>
      <c r="AI115" s="882"/>
      <c r="AJ115" s="882"/>
      <c r="AK115" s="882"/>
      <c r="AL115" s="882"/>
      <c r="AM115" s="931"/>
      <c r="AN115" s="931"/>
      <c r="AO115" s="931"/>
      <c r="AP115" s="931"/>
      <c r="AQ115" s="931"/>
      <c r="AR115" s="931"/>
      <c r="AS115" s="931"/>
      <c r="AT115" s="997"/>
      <c r="AU115" s="1453"/>
      <c r="AV115" s="1453"/>
      <c r="AW115" s="1256"/>
    </row>
    <row r="116">
      <c r="A116" s="1375"/>
      <c r="B116" s="1636"/>
      <c r="C116" s="1637"/>
      <c r="D116" s="1539"/>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549"/>
      <c r="AB116" s="186"/>
      <c r="AC116" s="186"/>
      <c r="AD116" s="186"/>
      <c r="AE116" s="186"/>
      <c r="AF116" s="186"/>
      <c r="AG116" s="186"/>
      <c r="AH116" s="186"/>
      <c r="AI116" s="186"/>
      <c r="AJ116" s="186"/>
      <c r="AK116" s="186"/>
      <c r="AL116" s="186"/>
      <c r="AM116" s="186"/>
      <c r="AN116" s="186"/>
      <c r="AO116" s="186"/>
      <c r="AP116" s="186"/>
      <c r="AQ116" s="186"/>
      <c r="AR116" s="186"/>
      <c r="AS116" s="186"/>
      <c r="AT116" s="186"/>
      <c r="AU116" s="186"/>
      <c r="AV116" s="186"/>
      <c r="AW116" s="1227"/>
    </row>
    <row r="117">
      <c r="A117" s="1391"/>
      <c r="B117" s="1640"/>
      <c r="C117" s="1641"/>
      <c r="D117" s="1539"/>
      <c r="E117" s="154"/>
      <c r="F117" s="154"/>
      <c r="G117" s="154"/>
      <c r="H117" s="747"/>
      <c r="I117" s="747"/>
      <c r="J117" s="997"/>
      <c r="K117" s="997"/>
      <c r="L117" s="997"/>
      <c r="M117" s="997"/>
      <c r="N117" s="997"/>
      <c r="O117" s="997"/>
      <c r="P117" s="997"/>
      <c r="Q117" s="809"/>
      <c r="R117" s="809"/>
      <c r="S117" s="809"/>
      <c r="T117" s="809"/>
      <c r="U117" s="809"/>
      <c r="V117" s="809"/>
      <c r="W117" s="549"/>
      <c r="X117" s="549"/>
      <c r="Y117" s="549"/>
      <c r="Z117" s="549"/>
      <c r="AA117" s="186"/>
      <c r="AB117" s="549"/>
      <c r="AC117" s="549"/>
      <c r="AD117" s="154"/>
      <c r="AE117" s="154"/>
      <c r="AF117" s="882"/>
      <c r="AG117" s="882"/>
      <c r="AH117" s="882"/>
      <c r="AI117" s="882"/>
      <c r="AJ117" s="882"/>
      <c r="AK117" s="882"/>
      <c r="AL117" s="882"/>
      <c r="AM117" s="931"/>
      <c r="AN117" s="931"/>
      <c r="AO117" s="931"/>
      <c r="AP117" s="931"/>
      <c r="AQ117" s="931"/>
      <c r="AR117" s="931"/>
      <c r="AS117" s="931"/>
      <c r="AT117" s="997"/>
      <c r="AU117" s="1453"/>
      <c r="AV117" s="1453"/>
      <c r="AW117" s="1256"/>
    </row>
    <row r="118">
      <c r="A118" s="1375"/>
      <c r="B118" s="1636"/>
      <c r="C118" s="1637"/>
      <c r="D118" s="1539"/>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549"/>
      <c r="AB118" s="186"/>
      <c r="AC118" s="186"/>
      <c r="AD118" s="186"/>
      <c r="AE118" s="186"/>
      <c r="AF118" s="186"/>
      <c r="AG118" s="186"/>
      <c r="AH118" s="186"/>
      <c r="AI118" s="186"/>
      <c r="AJ118" s="186"/>
      <c r="AK118" s="186"/>
      <c r="AL118" s="186"/>
      <c r="AM118" s="186"/>
      <c r="AN118" s="186"/>
      <c r="AO118" s="186"/>
      <c r="AP118" s="186"/>
      <c r="AQ118" s="186"/>
      <c r="AR118" s="186"/>
      <c r="AS118" s="186"/>
      <c r="AT118" s="186"/>
      <c r="AU118" s="186"/>
      <c r="AV118" s="186"/>
      <c r="AW118" s="1227"/>
    </row>
    <row r="119">
      <c r="A119" s="1391"/>
      <c r="B119" s="1640"/>
      <c r="C119" s="1641"/>
      <c r="D119" s="1539"/>
      <c r="E119" s="154"/>
      <c r="F119" s="154"/>
      <c r="G119" s="154"/>
      <c r="H119" s="747"/>
      <c r="I119" s="747"/>
      <c r="J119" s="997"/>
      <c r="K119" s="997"/>
      <c r="L119" s="997"/>
      <c r="M119" s="997"/>
      <c r="N119" s="997"/>
      <c r="O119" s="997"/>
      <c r="P119" s="997"/>
      <c r="Q119" s="809"/>
      <c r="R119" s="809"/>
      <c r="S119" s="809"/>
      <c r="T119" s="809"/>
      <c r="U119" s="809"/>
      <c r="V119" s="809"/>
      <c r="W119" s="549"/>
      <c r="X119" s="549"/>
      <c r="Y119" s="549"/>
      <c r="Z119" s="549"/>
      <c r="AA119" s="186"/>
      <c r="AB119" s="549"/>
      <c r="AC119" s="549"/>
      <c r="AD119" s="154"/>
      <c r="AE119" s="154"/>
      <c r="AF119" s="882"/>
      <c r="AG119" s="882"/>
      <c r="AH119" s="882"/>
      <c r="AI119" s="882"/>
      <c r="AJ119" s="882"/>
      <c r="AK119" s="882"/>
      <c r="AL119" s="882"/>
      <c r="AM119" s="931"/>
      <c r="AN119" s="931"/>
      <c r="AO119" s="931"/>
      <c r="AP119" s="931"/>
      <c r="AQ119" s="931"/>
      <c r="AR119" s="931"/>
      <c r="AS119" s="931"/>
      <c r="AT119" s="997"/>
      <c r="AU119" s="1453"/>
      <c r="AV119" s="1453"/>
      <c r="AW119" s="1256"/>
    </row>
    <row r="120">
      <c r="A120" s="1375"/>
      <c r="B120" s="1636"/>
      <c r="C120" s="1637"/>
      <c r="D120" s="1539"/>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549"/>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227"/>
    </row>
    <row r="121">
      <c r="A121" s="1391"/>
      <c r="B121" s="1640"/>
      <c r="C121" s="1641"/>
      <c r="D121" s="1539"/>
      <c r="E121" s="154"/>
      <c r="F121" s="154"/>
      <c r="G121" s="154"/>
      <c r="H121" s="747"/>
      <c r="I121" s="747"/>
      <c r="J121" s="997"/>
      <c r="K121" s="997"/>
      <c r="L121" s="997"/>
      <c r="M121" s="997"/>
      <c r="N121" s="997"/>
      <c r="O121" s="997"/>
      <c r="P121" s="997"/>
      <c r="Q121" s="809"/>
      <c r="R121" s="809"/>
      <c r="S121" s="809"/>
      <c r="T121" s="809"/>
      <c r="U121" s="809"/>
      <c r="V121" s="809"/>
      <c r="W121" s="549"/>
      <c r="X121" s="549"/>
      <c r="Y121" s="549"/>
      <c r="Z121" s="549"/>
      <c r="AA121" s="186"/>
      <c r="AB121" s="549"/>
      <c r="AC121" s="549"/>
      <c r="AD121" s="154"/>
      <c r="AE121" s="154"/>
      <c r="AF121" s="882"/>
      <c r="AG121" s="882"/>
      <c r="AH121" s="882"/>
      <c r="AI121" s="882"/>
      <c r="AJ121" s="882"/>
      <c r="AK121" s="882"/>
      <c r="AL121" s="882"/>
      <c r="AM121" s="931"/>
      <c r="AN121" s="931"/>
      <c r="AO121" s="931"/>
      <c r="AP121" s="931"/>
      <c r="AQ121" s="931"/>
      <c r="AR121" s="931"/>
      <c r="AS121" s="931"/>
      <c r="AT121" s="997"/>
      <c r="AU121" s="1453"/>
      <c r="AV121" s="1453"/>
      <c r="AW121" s="1256"/>
    </row>
    <row r="122">
      <c r="A122" s="1375"/>
      <c r="B122" s="1636"/>
      <c r="C122" s="1637"/>
      <c r="D122" s="1539"/>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549"/>
      <c r="AB122" s="186"/>
      <c r="AC122" s="186"/>
      <c r="AD122" s="186"/>
      <c r="AE122" s="186"/>
      <c r="AF122" s="186"/>
      <c r="AG122" s="186"/>
      <c r="AH122" s="186"/>
      <c r="AI122" s="186"/>
      <c r="AJ122" s="186"/>
      <c r="AK122" s="186"/>
      <c r="AL122" s="186"/>
      <c r="AM122" s="186"/>
      <c r="AN122" s="186"/>
      <c r="AO122" s="186"/>
      <c r="AP122" s="186"/>
      <c r="AQ122" s="186"/>
      <c r="AR122" s="186"/>
      <c r="AS122" s="186"/>
      <c r="AT122" s="186"/>
      <c r="AU122" s="186"/>
      <c r="AV122" s="186"/>
      <c r="AW122" s="1227"/>
    </row>
    <row r="123">
      <c r="A123" s="1391"/>
      <c r="B123" s="1640"/>
      <c r="C123" s="1641"/>
      <c r="D123" s="1539"/>
      <c r="E123" s="154"/>
      <c r="F123" s="154"/>
      <c r="G123" s="154"/>
      <c r="H123" s="747"/>
      <c r="I123" s="747"/>
      <c r="J123" s="997"/>
      <c r="K123" s="997"/>
      <c r="L123" s="997"/>
      <c r="M123" s="997"/>
      <c r="N123" s="997"/>
      <c r="O123" s="997"/>
      <c r="P123" s="997"/>
      <c r="Q123" s="809"/>
      <c r="R123" s="809"/>
      <c r="S123" s="809"/>
      <c r="T123" s="809"/>
      <c r="U123" s="809"/>
      <c r="V123" s="809"/>
      <c r="W123" s="549"/>
      <c r="X123" s="549"/>
      <c r="Y123" s="549"/>
      <c r="Z123" s="549"/>
      <c r="AA123" s="186"/>
      <c r="AB123" s="549"/>
      <c r="AC123" s="549"/>
      <c r="AD123" s="154"/>
      <c r="AE123" s="154"/>
      <c r="AF123" s="882"/>
      <c r="AG123" s="882"/>
      <c r="AH123" s="882"/>
      <c r="AI123" s="882"/>
      <c r="AJ123" s="882"/>
      <c r="AK123" s="882"/>
      <c r="AL123" s="882"/>
      <c r="AM123" s="931"/>
      <c r="AN123" s="931"/>
      <c r="AO123" s="931"/>
      <c r="AP123" s="931"/>
      <c r="AQ123" s="931"/>
      <c r="AR123" s="931"/>
      <c r="AS123" s="931"/>
      <c r="AT123" s="997"/>
      <c r="AU123" s="1453"/>
      <c r="AV123" s="1453"/>
      <c r="AW123" s="1256"/>
    </row>
    <row r="124">
      <c r="A124" s="1375"/>
      <c r="B124" s="1636"/>
      <c r="C124" s="1637"/>
      <c r="D124" s="1539"/>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549"/>
      <c r="AB124" s="186"/>
      <c r="AC124" s="186"/>
      <c r="AD124" s="186"/>
      <c r="AE124" s="186"/>
      <c r="AF124" s="186"/>
      <c r="AG124" s="186"/>
      <c r="AH124" s="186"/>
      <c r="AI124" s="186"/>
      <c r="AJ124" s="186"/>
      <c r="AK124" s="186"/>
      <c r="AL124" s="186"/>
      <c r="AM124" s="186"/>
      <c r="AN124" s="186"/>
      <c r="AO124" s="186"/>
      <c r="AP124" s="186"/>
      <c r="AQ124" s="186"/>
      <c r="AR124" s="186"/>
      <c r="AS124" s="186"/>
      <c r="AT124" s="186"/>
      <c r="AU124" s="186"/>
      <c r="AV124" s="186"/>
      <c r="AW124" s="1227"/>
    </row>
    <row r="125">
      <c r="A125" s="1391"/>
      <c r="B125" s="1640"/>
      <c r="C125" s="1641"/>
      <c r="D125" s="1539"/>
      <c r="E125" s="154"/>
      <c r="F125" s="154"/>
      <c r="G125" s="154"/>
      <c r="H125" s="747"/>
      <c r="I125" s="747"/>
      <c r="J125" s="997"/>
      <c r="K125" s="997"/>
      <c r="L125" s="997"/>
      <c r="M125" s="997"/>
      <c r="N125" s="997"/>
      <c r="O125" s="997"/>
      <c r="P125" s="997"/>
      <c r="Q125" s="809"/>
      <c r="R125" s="809"/>
      <c r="S125" s="809"/>
      <c r="T125" s="809"/>
      <c r="U125" s="809"/>
      <c r="V125" s="809"/>
      <c r="W125" s="549"/>
      <c r="X125" s="549"/>
      <c r="Y125" s="549"/>
      <c r="Z125" s="549"/>
      <c r="AA125" s="186"/>
      <c r="AB125" s="549"/>
      <c r="AC125" s="549"/>
      <c r="AD125" s="154"/>
      <c r="AE125" s="154"/>
      <c r="AF125" s="882"/>
      <c r="AG125" s="882"/>
      <c r="AH125" s="882"/>
      <c r="AI125" s="882"/>
      <c r="AJ125" s="882"/>
      <c r="AK125" s="882"/>
      <c r="AL125" s="882"/>
      <c r="AM125" s="931"/>
      <c r="AN125" s="931"/>
      <c r="AO125" s="931"/>
      <c r="AP125" s="931"/>
      <c r="AQ125" s="931"/>
      <c r="AR125" s="931"/>
      <c r="AS125" s="931"/>
      <c r="AT125" s="997"/>
      <c r="AU125" s="1453"/>
      <c r="AV125" s="1453"/>
      <c r="AW125" s="1256"/>
    </row>
    <row r="126">
      <c r="A126" s="1375"/>
      <c r="B126" s="1636"/>
      <c r="C126" s="1637"/>
      <c r="D126" s="1539"/>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549"/>
      <c r="AB126" s="186"/>
      <c r="AC126" s="186"/>
      <c r="AD126" s="186"/>
      <c r="AE126" s="186"/>
      <c r="AF126" s="186"/>
      <c r="AG126" s="186"/>
      <c r="AH126" s="186"/>
      <c r="AI126" s="186"/>
      <c r="AJ126" s="186"/>
      <c r="AK126" s="186"/>
      <c r="AL126" s="186"/>
      <c r="AM126" s="186"/>
      <c r="AN126" s="186"/>
      <c r="AO126" s="186"/>
      <c r="AP126" s="186"/>
      <c r="AQ126" s="186"/>
      <c r="AR126" s="186"/>
      <c r="AS126" s="186"/>
      <c r="AT126" s="186"/>
      <c r="AU126" s="186"/>
      <c r="AV126" s="186"/>
      <c r="AW126" s="1227"/>
    </row>
    <row r="127">
      <c r="A127" s="1391"/>
      <c r="B127" s="1640"/>
      <c r="C127" s="1641"/>
      <c r="D127" s="1539"/>
      <c r="E127" s="154"/>
      <c r="F127" s="154"/>
      <c r="G127" s="154"/>
      <c r="H127" s="747"/>
      <c r="I127" s="747"/>
      <c r="J127" s="997"/>
      <c r="K127" s="997"/>
      <c r="L127" s="997"/>
      <c r="M127" s="997"/>
      <c r="N127" s="997"/>
      <c r="O127" s="997"/>
      <c r="P127" s="997"/>
      <c r="Q127" s="809"/>
      <c r="R127" s="809"/>
      <c r="S127" s="809"/>
      <c r="T127" s="809"/>
      <c r="U127" s="809"/>
      <c r="V127" s="809"/>
      <c r="W127" s="549"/>
      <c r="X127" s="549"/>
      <c r="Y127" s="549"/>
      <c r="Z127" s="549"/>
      <c r="AA127" s="186"/>
      <c r="AB127" s="549"/>
      <c r="AC127" s="549"/>
      <c r="AD127" s="154"/>
      <c r="AE127" s="154"/>
      <c r="AF127" s="882"/>
      <c r="AG127" s="882"/>
      <c r="AH127" s="882"/>
      <c r="AI127" s="882"/>
      <c r="AJ127" s="882"/>
      <c r="AK127" s="882"/>
      <c r="AL127" s="882"/>
      <c r="AM127" s="931"/>
      <c r="AN127" s="931"/>
      <c r="AO127" s="931"/>
      <c r="AP127" s="931"/>
      <c r="AQ127" s="931"/>
      <c r="AR127" s="931"/>
      <c r="AS127" s="931"/>
      <c r="AT127" s="997"/>
      <c r="AU127" s="1453"/>
      <c r="AV127" s="1453"/>
      <c r="AW127" s="1256"/>
    </row>
    <row r="128">
      <c r="A128" s="1375"/>
      <c r="B128" s="1636"/>
      <c r="C128" s="1637"/>
      <c r="D128" s="1539"/>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549"/>
      <c r="AB128" s="186"/>
      <c r="AC128" s="186"/>
      <c r="AD128" s="186"/>
      <c r="AE128" s="186"/>
      <c r="AF128" s="186"/>
      <c r="AG128" s="186"/>
      <c r="AH128" s="186"/>
      <c r="AI128" s="186"/>
      <c r="AJ128" s="186"/>
      <c r="AK128" s="186"/>
      <c r="AL128" s="186"/>
      <c r="AM128" s="186"/>
      <c r="AN128" s="186"/>
      <c r="AO128" s="186"/>
      <c r="AP128" s="186"/>
      <c r="AQ128" s="186"/>
      <c r="AR128" s="186"/>
      <c r="AS128" s="186"/>
      <c r="AT128" s="186"/>
      <c r="AU128" s="186"/>
      <c r="AV128" s="186"/>
      <c r="AW128" s="1227"/>
    </row>
    <row r="129">
      <c r="A129" s="1391"/>
      <c r="B129" s="1640"/>
      <c r="C129" s="1641"/>
      <c r="D129" s="1539"/>
      <c r="E129" s="154"/>
      <c r="F129" s="154"/>
      <c r="G129" s="154"/>
      <c r="H129" s="747"/>
      <c r="I129" s="747"/>
      <c r="J129" s="997"/>
      <c r="K129" s="997"/>
      <c r="L129" s="997"/>
      <c r="M129" s="997"/>
      <c r="N129" s="997"/>
      <c r="O129" s="997"/>
      <c r="P129" s="997"/>
      <c r="Q129" s="809"/>
      <c r="R129" s="809"/>
      <c r="S129" s="809"/>
      <c r="T129" s="809"/>
      <c r="U129" s="809"/>
      <c r="V129" s="809"/>
      <c r="W129" s="549"/>
      <c r="X129" s="549"/>
      <c r="Y129" s="549"/>
      <c r="Z129" s="549"/>
      <c r="AA129" s="186"/>
      <c r="AB129" s="549"/>
      <c r="AC129" s="549"/>
      <c r="AD129" s="154"/>
      <c r="AE129" s="154"/>
      <c r="AF129" s="882"/>
      <c r="AG129" s="882"/>
      <c r="AH129" s="882"/>
      <c r="AI129" s="882"/>
      <c r="AJ129" s="882"/>
      <c r="AK129" s="882"/>
      <c r="AL129" s="882"/>
      <c r="AM129" s="931"/>
      <c r="AN129" s="931"/>
      <c r="AO129" s="931"/>
      <c r="AP129" s="931"/>
      <c r="AQ129" s="931"/>
      <c r="AR129" s="931"/>
      <c r="AS129" s="931"/>
      <c r="AT129" s="997"/>
      <c r="AU129" s="1453"/>
      <c r="AV129" s="1453"/>
      <c r="AW129" s="1256"/>
    </row>
    <row r="130">
      <c r="A130" s="1375"/>
      <c r="B130" s="1636"/>
      <c r="C130" s="1637"/>
      <c r="D130" s="1539"/>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549"/>
      <c r="AB130" s="186"/>
      <c r="AC130" s="186"/>
      <c r="AD130" s="186"/>
      <c r="AE130" s="186"/>
      <c r="AF130" s="186"/>
      <c r="AG130" s="186"/>
      <c r="AH130" s="186"/>
      <c r="AI130" s="186"/>
      <c r="AJ130" s="186"/>
      <c r="AK130" s="186"/>
      <c r="AL130" s="186"/>
      <c r="AM130" s="186"/>
      <c r="AN130" s="186"/>
      <c r="AO130" s="186"/>
      <c r="AP130" s="186"/>
      <c r="AQ130" s="186"/>
      <c r="AR130" s="186"/>
      <c r="AS130" s="186"/>
      <c r="AT130" s="186"/>
      <c r="AU130" s="186"/>
      <c r="AV130" s="186"/>
      <c r="AW130" s="1227"/>
    </row>
    <row r="131">
      <c r="A131" s="1391"/>
      <c r="B131" s="1640"/>
      <c r="C131" s="1641"/>
      <c r="D131" s="1539"/>
      <c r="E131" s="154"/>
      <c r="F131" s="154"/>
      <c r="G131" s="154"/>
      <c r="H131" s="747"/>
      <c r="I131" s="747"/>
      <c r="J131" s="997"/>
      <c r="K131" s="997"/>
      <c r="L131" s="997"/>
      <c r="M131" s="997"/>
      <c r="N131" s="997"/>
      <c r="O131" s="997"/>
      <c r="P131" s="997"/>
      <c r="Q131" s="809"/>
      <c r="R131" s="809"/>
      <c r="S131" s="809"/>
      <c r="T131" s="809"/>
      <c r="U131" s="809"/>
      <c r="V131" s="809"/>
      <c r="W131" s="549"/>
      <c r="X131" s="549"/>
      <c r="Y131" s="549"/>
      <c r="Z131" s="549"/>
      <c r="AA131" s="186"/>
      <c r="AB131" s="549"/>
      <c r="AC131" s="549"/>
      <c r="AD131" s="154"/>
      <c r="AE131" s="154"/>
      <c r="AF131" s="882"/>
      <c r="AG131" s="882"/>
      <c r="AH131" s="882"/>
      <c r="AI131" s="882"/>
      <c r="AJ131" s="882"/>
      <c r="AK131" s="882"/>
      <c r="AL131" s="882"/>
      <c r="AM131" s="931"/>
      <c r="AN131" s="931"/>
      <c r="AO131" s="931"/>
      <c r="AP131" s="931"/>
      <c r="AQ131" s="931"/>
      <c r="AR131" s="931"/>
      <c r="AS131" s="931"/>
      <c r="AT131" s="997"/>
      <c r="AU131" s="1453"/>
      <c r="AV131" s="1453"/>
      <c r="AW131" s="1256"/>
    </row>
    <row r="132">
      <c r="A132" s="1375"/>
      <c r="B132" s="1636"/>
      <c r="C132" s="1637"/>
      <c r="D132" s="1539"/>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549"/>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227"/>
    </row>
    <row r="133">
      <c r="A133" s="1391"/>
      <c r="B133" s="1640"/>
      <c r="C133" s="1641"/>
      <c r="D133" s="1539"/>
      <c r="E133" s="154"/>
      <c r="F133" s="154"/>
      <c r="G133" s="154"/>
      <c r="H133" s="747"/>
      <c r="I133" s="747"/>
      <c r="J133" s="997"/>
      <c r="K133" s="997"/>
      <c r="L133" s="997"/>
      <c r="M133" s="997"/>
      <c r="N133" s="997"/>
      <c r="O133" s="997"/>
      <c r="P133" s="997"/>
      <c r="Q133" s="809"/>
      <c r="R133" s="809"/>
      <c r="S133" s="809"/>
      <c r="T133" s="809"/>
      <c r="U133" s="809"/>
      <c r="V133" s="809"/>
      <c r="W133" s="549"/>
      <c r="X133" s="549"/>
      <c r="Y133" s="549"/>
      <c r="Z133" s="549"/>
      <c r="AA133" s="186"/>
      <c r="AB133" s="549"/>
      <c r="AC133" s="549"/>
      <c r="AD133" s="154"/>
      <c r="AE133" s="154"/>
      <c r="AF133" s="882"/>
      <c r="AG133" s="882"/>
      <c r="AH133" s="882"/>
      <c r="AI133" s="882"/>
      <c r="AJ133" s="882"/>
      <c r="AK133" s="882"/>
      <c r="AL133" s="882"/>
      <c r="AM133" s="931"/>
      <c r="AN133" s="931"/>
      <c r="AO133" s="931"/>
      <c r="AP133" s="931"/>
      <c r="AQ133" s="931"/>
      <c r="AR133" s="931"/>
      <c r="AS133" s="931"/>
      <c r="AT133" s="997"/>
      <c r="AU133" s="1453"/>
      <c r="AV133" s="1453"/>
      <c r="AW133" s="1256"/>
    </row>
    <row r="134">
      <c r="A134" s="1375"/>
      <c r="B134" s="1636"/>
      <c r="C134" s="1637"/>
      <c r="D134" s="1539"/>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549"/>
      <c r="AB134" s="186"/>
      <c r="AC134" s="186"/>
      <c r="AD134" s="186"/>
      <c r="AE134" s="186"/>
      <c r="AF134" s="186"/>
      <c r="AG134" s="186"/>
      <c r="AH134" s="186"/>
      <c r="AI134" s="186"/>
      <c r="AJ134" s="186"/>
      <c r="AK134" s="186"/>
      <c r="AL134" s="186"/>
      <c r="AM134" s="186"/>
      <c r="AN134" s="186"/>
      <c r="AO134" s="186"/>
      <c r="AP134" s="186"/>
      <c r="AQ134" s="186"/>
      <c r="AR134" s="186"/>
      <c r="AS134" s="186"/>
      <c r="AT134" s="186"/>
      <c r="AU134" s="186"/>
      <c r="AV134" s="186"/>
      <c r="AW134" s="1227"/>
    </row>
    <row r="135">
      <c r="A135" s="1391"/>
      <c r="B135" s="1640"/>
      <c r="C135" s="1641"/>
      <c r="D135" s="1539"/>
      <c r="E135" s="154"/>
      <c r="F135" s="154"/>
      <c r="G135" s="154"/>
      <c r="H135" s="747"/>
      <c r="I135" s="747"/>
      <c r="J135" s="997"/>
      <c r="K135" s="997"/>
      <c r="L135" s="997"/>
      <c r="M135" s="997"/>
      <c r="N135" s="997"/>
      <c r="O135" s="997"/>
      <c r="P135" s="997"/>
      <c r="Q135" s="809"/>
      <c r="R135" s="809"/>
      <c r="S135" s="809"/>
      <c r="T135" s="809"/>
      <c r="U135" s="809"/>
      <c r="V135" s="809"/>
      <c r="W135" s="549"/>
      <c r="X135" s="549"/>
      <c r="Y135" s="549"/>
      <c r="Z135" s="549"/>
      <c r="AA135" s="186"/>
      <c r="AB135" s="549"/>
      <c r="AC135" s="549"/>
      <c r="AD135" s="154"/>
      <c r="AE135" s="154"/>
      <c r="AF135" s="882"/>
      <c r="AG135" s="882"/>
      <c r="AH135" s="882"/>
      <c r="AI135" s="882"/>
      <c r="AJ135" s="882"/>
      <c r="AK135" s="882"/>
      <c r="AL135" s="882"/>
      <c r="AM135" s="931"/>
      <c r="AN135" s="931"/>
      <c r="AO135" s="931"/>
      <c r="AP135" s="931"/>
      <c r="AQ135" s="931"/>
      <c r="AR135" s="931"/>
      <c r="AS135" s="931"/>
      <c r="AT135" s="997"/>
      <c r="AU135" s="1453"/>
      <c r="AV135" s="1453"/>
      <c r="AW135" s="1256"/>
    </row>
    <row r="136">
      <c r="A136" s="1375"/>
      <c r="B136" s="1636"/>
      <c r="C136" s="1637"/>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549"/>
      <c r="AB136" s="186"/>
      <c r="AC136" s="186"/>
      <c r="AD136" s="186"/>
      <c r="AE136" s="186"/>
      <c r="AF136" s="186"/>
      <c r="AG136" s="186"/>
      <c r="AH136" s="186"/>
      <c r="AI136" s="186"/>
      <c r="AJ136" s="186"/>
      <c r="AK136" s="186"/>
      <c r="AL136" s="186"/>
      <c r="AM136" s="186"/>
      <c r="AN136" s="186"/>
      <c r="AO136" s="186"/>
      <c r="AP136" s="186"/>
      <c r="AQ136" s="186"/>
      <c r="AR136" s="186"/>
      <c r="AS136" s="186"/>
      <c r="AT136" s="186"/>
      <c r="AU136" s="186"/>
      <c r="AV136" s="186"/>
      <c r="AW136" s="1227"/>
    </row>
    <row r="137">
      <c r="A137" s="1391"/>
      <c r="B137" s="1640"/>
      <c r="C137" s="1641"/>
      <c r="D137" s="154"/>
      <c r="E137" s="154"/>
      <c r="F137" s="154"/>
      <c r="G137" s="154"/>
      <c r="H137" s="747"/>
      <c r="I137" s="747"/>
      <c r="J137" s="997"/>
      <c r="K137" s="997"/>
      <c r="L137" s="997"/>
      <c r="M137" s="997"/>
      <c r="N137" s="997"/>
      <c r="O137" s="997"/>
      <c r="P137" s="997"/>
      <c r="Q137" s="809"/>
      <c r="R137" s="809"/>
      <c r="S137" s="809"/>
      <c r="T137" s="809"/>
      <c r="U137" s="809"/>
      <c r="V137" s="809"/>
      <c r="W137" s="549"/>
      <c r="X137" s="549"/>
      <c r="Y137" s="549"/>
      <c r="Z137" s="549"/>
      <c r="AA137" s="186"/>
      <c r="AB137" s="549"/>
      <c r="AC137" s="549"/>
      <c r="AD137" s="154"/>
      <c r="AE137" s="154"/>
      <c r="AF137" s="882"/>
      <c r="AG137" s="882"/>
      <c r="AH137" s="882"/>
      <c r="AI137" s="882"/>
      <c r="AJ137" s="882"/>
      <c r="AK137" s="882"/>
      <c r="AL137" s="882"/>
      <c r="AM137" s="931"/>
      <c r="AN137" s="931"/>
      <c r="AO137" s="931"/>
      <c r="AP137" s="931"/>
      <c r="AQ137" s="931"/>
      <c r="AR137" s="931"/>
      <c r="AS137" s="931"/>
      <c r="AT137" s="997"/>
      <c r="AU137" s="1453"/>
      <c r="AV137" s="1453"/>
      <c r="AW137" s="1256"/>
    </row>
    <row r="138">
      <c r="A138" s="1375"/>
      <c r="B138" s="1636"/>
      <c r="C138" s="1637"/>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549"/>
      <c r="AB138" s="186"/>
      <c r="AC138" s="186"/>
      <c r="AD138" s="186"/>
      <c r="AE138" s="186"/>
      <c r="AF138" s="186"/>
      <c r="AG138" s="186"/>
      <c r="AH138" s="186"/>
      <c r="AI138" s="186"/>
      <c r="AJ138" s="186"/>
      <c r="AK138" s="186"/>
      <c r="AL138" s="186"/>
      <c r="AM138" s="186"/>
      <c r="AN138" s="186"/>
      <c r="AO138" s="186"/>
      <c r="AP138" s="186"/>
      <c r="AQ138" s="186"/>
      <c r="AR138" s="186"/>
      <c r="AS138" s="186"/>
      <c r="AT138" s="186"/>
      <c r="AU138" s="186"/>
      <c r="AV138" s="186"/>
      <c r="AW138" s="1227"/>
    </row>
    <row r="139">
      <c r="A139" s="1391"/>
      <c r="B139" s="1640"/>
      <c r="C139" s="1641"/>
      <c r="D139" s="154"/>
      <c r="E139" s="154"/>
      <c r="F139" s="154"/>
      <c r="G139" s="154"/>
      <c r="H139" s="747"/>
      <c r="I139" s="747"/>
      <c r="J139" s="997"/>
      <c r="K139" s="997"/>
      <c r="L139" s="997"/>
      <c r="M139" s="997"/>
      <c r="N139" s="997"/>
      <c r="O139" s="997"/>
      <c r="P139" s="997"/>
      <c r="Q139" s="809"/>
      <c r="R139" s="809"/>
      <c r="S139" s="809"/>
      <c r="T139" s="809"/>
      <c r="U139" s="809"/>
      <c r="V139" s="809"/>
      <c r="W139" s="549"/>
      <c r="X139" s="549"/>
      <c r="Y139" s="549"/>
      <c r="Z139" s="549"/>
      <c r="AA139" s="186"/>
      <c r="AB139" s="549"/>
      <c r="AC139" s="549"/>
      <c r="AD139" s="154"/>
      <c r="AE139" s="154"/>
      <c r="AF139" s="882"/>
      <c r="AG139" s="882"/>
      <c r="AH139" s="882"/>
      <c r="AI139" s="882"/>
      <c r="AJ139" s="882"/>
      <c r="AK139" s="882"/>
      <c r="AL139" s="882"/>
      <c r="AM139" s="931"/>
      <c r="AN139" s="931"/>
      <c r="AO139" s="931"/>
      <c r="AP139" s="931"/>
      <c r="AQ139" s="931"/>
      <c r="AR139" s="931"/>
      <c r="AS139" s="931"/>
      <c r="AT139" s="997"/>
      <c r="AU139" s="1453"/>
      <c r="AV139" s="1453"/>
      <c r="AW139" s="1256"/>
    </row>
    <row r="140">
      <c r="A140" s="1375"/>
      <c r="B140" s="1636"/>
      <c r="C140" s="1637"/>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549"/>
      <c r="AB140" s="186"/>
      <c r="AC140" s="186"/>
      <c r="AD140" s="186"/>
      <c r="AE140" s="186"/>
      <c r="AF140" s="186"/>
      <c r="AG140" s="186"/>
      <c r="AH140" s="186"/>
      <c r="AI140" s="186"/>
      <c r="AJ140" s="186"/>
      <c r="AK140" s="186"/>
      <c r="AL140" s="186"/>
      <c r="AM140" s="186"/>
      <c r="AN140" s="186"/>
      <c r="AO140" s="186"/>
      <c r="AP140" s="186"/>
      <c r="AQ140" s="186"/>
      <c r="AR140" s="186"/>
      <c r="AS140" s="186"/>
      <c r="AT140" s="186"/>
      <c r="AU140" s="186"/>
      <c r="AV140" s="186"/>
      <c r="AW140" s="1227"/>
    </row>
    <row r="141">
      <c r="A141" s="1391"/>
      <c r="B141" s="1640"/>
      <c r="C141" s="1641"/>
      <c r="D141" s="154"/>
      <c r="E141" s="154"/>
      <c r="F141" s="154"/>
      <c r="G141" s="154"/>
      <c r="H141" s="747"/>
      <c r="I141" s="747"/>
      <c r="J141" s="997"/>
      <c r="K141" s="997"/>
      <c r="L141" s="997"/>
      <c r="M141" s="997"/>
      <c r="N141" s="997"/>
      <c r="O141" s="997"/>
      <c r="P141" s="997"/>
      <c r="Q141" s="809"/>
      <c r="R141" s="809"/>
      <c r="S141" s="809"/>
      <c r="T141" s="809"/>
      <c r="U141" s="809"/>
      <c r="V141" s="809"/>
      <c r="W141" s="549"/>
      <c r="X141" s="549"/>
      <c r="Y141" s="549"/>
      <c r="Z141" s="549"/>
      <c r="AA141" s="186"/>
      <c r="AB141" s="549"/>
      <c r="AC141" s="549"/>
      <c r="AD141" s="154"/>
      <c r="AE141" s="154"/>
      <c r="AF141" s="882"/>
      <c r="AG141" s="882"/>
      <c r="AH141" s="882"/>
      <c r="AI141" s="882"/>
      <c r="AJ141" s="882"/>
      <c r="AK141" s="882"/>
      <c r="AL141" s="882"/>
      <c r="AM141" s="931"/>
      <c r="AN141" s="931"/>
      <c r="AO141" s="931"/>
      <c r="AP141" s="931"/>
      <c r="AQ141" s="931"/>
      <c r="AR141" s="931"/>
      <c r="AS141" s="931"/>
      <c r="AT141" s="997"/>
      <c r="AU141" s="1453"/>
      <c r="AV141" s="1453"/>
      <c r="AW141" s="1256"/>
    </row>
    <row r="142">
      <c r="A142" s="1375"/>
      <c r="B142" s="1636"/>
      <c r="C142" s="1637"/>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549"/>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227"/>
    </row>
    <row r="143">
      <c r="A143" s="1391"/>
      <c r="B143" s="1640"/>
      <c r="C143" s="1641"/>
      <c r="D143" s="154"/>
      <c r="E143" s="154"/>
      <c r="F143" s="154"/>
      <c r="G143" s="154"/>
      <c r="H143" s="747"/>
      <c r="I143" s="747"/>
      <c r="J143" s="997"/>
      <c r="K143" s="997"/>
      <c r="L143" s="997"/>
      <c r="M143" s="997"/>
      <c r="N143" s="997"/>
      <c r="O143" s="997"/>
      <c r="P143" s="997"/>
      <c r="Q143" s="809"/>
      <c r="R143" s="809"/>
      <c r="S143" s="809"/>
      <c r="T143" s="809"/>
      <c r="U143" s="809"/>
      <c r="V143" s="809"/>
      <c r="W143" s="549"/>
      <c r="X143" s="549"/>
      <c r="Y143" s="549"/>
      <c r="Z143" s="549"/>
      <c r="AA143" s="186"/>
      <c r="AB143" s="549"/>
      <c r="AC143" s="549"/>
      <c r="AD143" s="154"/>
      <c r="AE143" s="154"/>
      <c r="AF143" s="882"/>
      <c r="AG143" s="882"/>
      <c r="AH143" s="882"/>
      <c r="AI143" s="882"/>
      <c r="AJ143" s="882"/>
      <c r="AK143" s="882"/>
      <c r="AL143" s="882"/>
      <c r="AM143" s="931"/>
      <c r="AN143" s="931"/>
      <c r="AO143" s="931"/>
      <c r="AP143" s="931"/>
      <c r="AQ143" s="931"/>
      <c r="AR143" s="931"/>
      <c r="AS143" s="931"/>
      <c r="AT143" s="997"/>
      <c r="AU143" s="1453"/>
      <c r="AV143" s="1453"/>
      <c r="AW143" s="1256"/>
    </row>
    <row r="144">
      <c r="A144" s="1375"/>
      <c r="B144" s="1636"/>
      <c r="C144" s="1637"/>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549"/>
      <c r="AB144" s="186"/>
      <c r="AC144" s="186"/>
      <c r="AD144" s="186"/>
      <c r="AE144" s="186"/>
      <c r="AF144" s="186"/>
      <c r="AG144" s="186"/>
      <c r="AH144" s="186"/>
      <c r="AI144" s="186"/>
      <c r="AJ144" s="186"/>
      <c r="AK144" s="186"/>
      <c r="AL144" s="186"/>
      <c r="AM144" s="186"/>
      <c r="AN144" s="186"/>
      <c r="AO144" s="186"/>
      <c r="AP144" s="186"/>
      <c r="AQ144" s="186"/>
      <c r="AR144" s="186"/>
      <c r="AS144" s="186"/>
      <c r="AT144" s="186"/>
      <c r="AU144" s="186"/>
      <c r="AV144" s="186"/>
      <c r="AW144" s="1227"/>
    </row>
    <row r="145">
      <c r="A145" s="1391"/>
      <c r="B145" s="1640"/>
      <c r="C145" s="1641"/>
      <c r="D145" s="154"/>
      <c r="E145" s="154"/>
      <c r="F145" s="154"/>
      <c r="G145" s="154"/>
      <c r="H145" s="747"/>
      <c r="I145" s="747"/>
      <c r="J145" s="997"/>
      <c r="K145" s="997"/>
      <c r="L145" s="997"/>
      <c r="M145" s="997"/>
      <c r="N145" s="997"/>
      <c r="O145" s="997"/>
      <c r="P145" s="997"/>
      <c r="Q145" s="809"/>
      <c r="R145" s="809"/>
      <c r="S145" s="809"/>
      <c r="T145" s="809"/>
      <c r="U145" s="809"/>
      <c r="V145" s="809"/>
      <c r="W145" s="549"/>
      <c r="X145" s="549"/>
      <c r="Y145" s="549"/>
      <c r="Z145" s="549"/>
      <c r="AA145" s="186"/>
      <c r="AB145" s="549"/>
      <c r="AC145" s="549"/>
      <c r="AD145" s="154"/>
      <c r="AE145" s="154"/>
      <c r="AF145" s="882"/>
      <c r="AG145" s="882"/>
      <c r="AH145" s="882"/>
      <c r="AI145" s="882"/>
      <c r="AJ145" s="882"/>
      <c r="AK145" s="882"/>
      <c r="AL145" s="882"/>
      <c r="AM145" s="931"/>
      <c r="AN145" s="931"/>
      <c r="AO145" s="931"/>
      <c r="AP145" s="931"/>
      <c r="AQ145" s="931"/>
      <c r="AR145" s="931"/>
      <c r="AS145" s="931"/>
      <c r="AT145" s="997"/>
      <c r="AU145" s="1453"/>
      <c r="AV145" s="1453"/>
      <c r="AW145" s="1256"/>
    </row>
    <row r="146">
      <c r="A146" s="1375"/>
      <c r="B146" s="1636"/>
      <c r="C146" s="1637"/>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549"/>
      <c r="AB146" s="186"/>
      <c r="AC146" s="186"/>
      <c r="AD146" s="186"/>
      <c r="AE146" s="186"/>
      <c r="AF146" s="186"/>
      <c r="AG146" s="186"/>
      <c r="AH146" s="186"/>
      <c r="AI146" s="186"/>
      <c r="AJ146" s="186"/>
      <c r="AK146" s="186"/>
      <c r="AL146" s="186"/>
      <c r="AM146" s="186"/>
      <c r="AN146" s="186"/>
      <c r="AO146" s="186"/>
      <c r="AP146" s="186"/>
      <c r="AQ146" s="186"/>
      <c r="AR146" s="186"/>
      <c r="AS146" s="186"/>
      <c r="AT146" s="186"/>
      <c r="AU146" s="186"/>
      <c r="AV146" s="186"/>
      <c r="AW146" s="1227"/>
    </row>
    <row r="147">
      <c r="A147" s="1391"/>
      <c r="B147" s="1640"/>
      <c r="C147" s="1641"/>
      <c r="D147" s="154"/>
      <c r="E147" s="154"/>
      <c r="F147" s="154"/>
      <c r="G147" s="154"/>
      <c r="H147" s="747"/>
      <c r="I147" s="747"/>
      <c r="J147" s="997"/>
      <c r="K147" s="997"/>
      <c r="L147" s="997"/>
      <c r="M147" s="997"/>
      <c r="N147" s="997"/>
      <c r="O147" s="997"/>
      <c r="P147" s="997"/>
      <c r="Q147" s="809"/>
      <c r="R147" s="809"/>
      <c r="S147" s="809"/>
      <c r="T147" s="809"/>
      <c r="U147" s="809"/>
      <c r="V147" s="809"/>
      <c r="W147" s="549"/>
      <c r="X147" s="549"/>
      <c r="Y147" s="549"/>
      <c r="Z147" s="549"/>
      <c r="AA147" s="186"/>
      <c r="AB147" s="549"/>
      <c r="AC147" s="549"/>
      <c r="AD147" s="154"/>
      <c r="AE147" s="154"/>
      <c r="AF147" s="882"/>
      <c r="AG147" s="882"/>
      <c r="AH147" s="882"/>
      <c r="AI147" s="882"/>
      <c r="AJ147" s="882"/>
      <c r="AK147" s="882"/>
      <c r="AL147" s="882"/>
      <c r="AM147" s="931"/>
      <c r="AN147" s="931"/>
      <c r="AO147" s="931"/>
      <c r="AP147" s="931"/>
      <c r="AQ147" s="931"/>
      <c r="AR147" s="931"/>
      <c r="AS147" s="931"/>
      <c r="AT147" s="997"/>
      <c r="AU147" s="1453"/>
      <c r="AV147" s="1453"/>
      <c r="AW147" s="1256"/>
    </row>
    <row r="148">
      <c r="A148" s="1375"/>
      <c r="B148" s="1636"/>
      <c r="C148" s="1637"/>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549"/>
      <c r="AB148" s="186"/>
      <c r="AC148" s="186"/>
      <c r="AD148" s="186"/>
      <c r="AE148" s="186"/>
      <c r="AF148" s="186"/>
      <c r="AG148" s="186"/>
      <c r="AH148" s="186"/>
      <c r="AI148" s="186"/>
      <c r="AJ148" s="186"/>
      <c r="AK148" s="186"/>
      <c r="AL148" s="186"/>
      <c r="AM148" s="186"/>
      <c r="AN148" s="186"/>
      <c r="AO148" s="186"/>
      <c r="AP148" s="186"/>
      <c r="AQ148" s="186"/>
      <c r="AR148" s="186"/>
      <c r="AS148" s="186"/>
      <c r="AT148" s="186"/>
      <c r="AU148" s="186"/>
      <c r="AV148" s="186"/>
      <c r="AW148" s="1227"/>
    </row>
    <row r="149">
      <c r="A149" s="1391"/>
      <c r="B149" s="1640"/>
      <c r="C149" s="1641"/>
      <c r="D149" s="154"/>
      <c r="E149" s="154"/>
      <c r="F149" s="154"/>
      <c r="G149" s="154"/>
      <c r="H149" s="747"/>
      <c r="I149" s="747"/>
      <c r="J149" s="997"/>
      <c r="K149" s="997"/>
      <c r="L149" s="997"/>
      <c r="M149" s="997"/>
      <c r="N149" s="997"/>
      <c r="O149" s="997"/>
      <c r="P149" s="997"/>
      <c r="Q149" s="809"/>
      <c r="R149" s="809"/>
      <c r="S149" s="809"/>
      <c r="T149" s="809"/>
      <c r="U149" s="809"/>
      <c r="V149" s="809"/>
      <c r="W149" s="549"/>
      <c r="X149" s="549"/>
      <c r="Y149" s="549"/>
      <c r="Z149" s="549"/>
      <c r="AA149" s="186"/>
      <c r="AB149" s="549"/>
      <c r="AC149" s="549"/>
      <c r="AD149" s="154"/>
      <c r="AE149" s="154"/>
      <c r="AF149" s="882"/>
      <c r="AG149" s="882"/>
      <c r="AH149" s="882"/>
      <c r="AI149" s="882"/>
      <c r="AJ149" s="882"/>
      <c r="AK149" s="882"/>
      <c r="AL149" s="882"/>
      <c r="AM149" s="931"/>
      <c r="AN149" s="931"/>
      <c r="AO149" s="931"/>
      <c r="AP149" s="931"/>
      <c r="AQ149" s="931"/>
      <c r="AR149" s="931"/>
      <c r="AS149" s="931"/>
      <c r="AT149" s="997"/>
      <c r="AU149" s="1453"/>
      <c r="AV149" s="1453"/>
      <c r="AW149" s="1256"/>
    </row>
    <row r="150">
      <c r="A150" s="1375"/>
      <c r="B150" s="1636"/>
      <c r="C150" s="1637"/>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549"/>
      <c r="AB150" s="186"/>
      <c r="AC150" s="186"/>
      <c r="AD150" s="186"/>
      <c r="AE150" s="186"/>
      <c r="AF150" s="186"/>
      <c r="AG150" s="186"/>
      <c r="AH150" s="186"/>
      <c r="AI150" s="186"/>
      <c r="AJ150" s="186"/>
      <c r="AK150" s="186"/>
      <c r="AL150" s="186"/>
      <c r="AM150" s="186"/>
      <c r="AN150" s="186"/>
      <c r="AO150" s="186"/>
      <c r="AP150" s="186"/>
      <c r="AQ150" s="186"/>
      <c r="AR150" s="186"/>
      <c r="AS150" s="186"/>
      <c r="AT150" s="186"/>
      <c r="AU150" s="186"/>
      <c r="AV150" s="186"/>
      <c r="AW150" s="1227"/>
    </row>
    <row r="151">
      <c r="A151" s="1391"/>
      <c r="B151" s="1640"/>
      <c r="C151" s="1641"/>
      <c r="D151" s="154"/>
      <c r="E151" s="154"/>
      <c r="F151" s="154"/>
      <c r="G151" s="154"/>
      <c r="H151" s="747"/>
      <c r="I151" s="747"/>
      <c r="J151" s="997"/>
      <c r="K151" s="997"/>
      <c r="L151" s="997"/>
      <c r="M151" s="997"/>
      <c r="N151" s="997"/>
      <c r="O151" s="997"/>
      <c r="P151" s="997"/>
      <c r="Q151" s="809"/>
      <c r="R151" s="809"/>
      <c r="S151" s="809"/>
      <c r="T151" s="809"/>
      <c r="U151" s="809"/>
      <c r="V151" s="809"/>
      <c r="W151" s="549"/>
      <c r="X151" s="549"/>
      <c r="Y151" s="549"/>
      <c r="Z151" s="549"/>
      <c r="AA151" s="186"/>
      <c r="AB151" s="549"/>
      <c r="AC151" s="549"/>
      <c r="AD151" s="154"/>
      <c r="AE151" s="154"/>
      <c r="AF151" s="882"/>
      <c r="AG151" s="882"/>
      <c r="AH151" s="882"/>
      <c r="AI151" s="882"/>
      <c r="AJ151" s="882"/>
      <c r="AK151" s="882"/>
      <c r="AL151" s="882"/>
      <c r="AM151" s="931"/>
      <c r="AN151" s="931"/>
      <c r="AO151" s="931"/>
      <c r="AP151" s="931"/>
      <c r="AQ151" s="931"/>
      <c r="AR151" s="931"/>
      <c r="AS151" s="931"/>
      <c r="AT151" s="997"/>
      <c r="AU151" s="1453"/>
      <c r="AV151" s="1453"/>
      <c r="AW151" s="1256"/>
    </row>
    <row r="152">
      <c r="A152" s="1375"/>
      <c r="B152" s="1636"/>
      <c r="C152" s="1637"/>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549"/>
      <c r="AB152" s="186"/>
      <c r="AC152" s="186"/>
      <c r="AD152" s="186"/>
      <c r="AE152" s="186"/>
      <c r="AF152" s="186"/>
      <c r="AG152" s="186"/>
      <c r="AH152" s="186"/>
      <c r="AI152" s="186"/>
      <c r="AJ152" s="186"/>
      <c r="AK152" s="186"/>
      <c r="AL152" s="186"/>
      <c r="AM152" s="186"/>
      <c r="AN152" s="186"/>
      <c r="AO152" s="186"/>
      <c r="AP152" s="186"/>
      <c r="AQ152" s="186"/>
      <c r="AR152" s="186"/>
      <c r="AS152" s="186"/>
      <c r="AT152" s="186"/>
      <c r="AU152" s="186"/>
      <c r="AV152" s="186"/>
      <c r="AW152" s="1227"/>
    </row>
    <row r="153">
      <c r="A153" s="1391"/>
      <c r="B153" s="1640"/>
      <c r="C153" s="1641"/>
      <c r="D153" s="154"/>
      <c r="E153" s="154"/>
      <c r="F153" s="154"/>
      <c r="G153" s="154"/>
      <c r="H153" s="747"/>
      <c r="I153" s="747"/>
      <c r="J153" s="997"/>
      <c r="K153" s="997"/>
      <c r="L153" s="997"/>
      <c r="M153" s="997"/>
      <c r="N153" s="997"/>
      <c r="O153" s="997"/>
      <c r="P153" s="997"/>
      <c r="Q153" s="809"/>
      <c r="R153" s="809"/>
      <c r="S153" s="809"/>
      <c r="T153" s="809"/>
      <c r="U153" s="809"/>
      <c r="V153" s="809"/>
      <c r="W153" s="549"/>
      <c r="X153" s="549"/>
      <c r="Y153" s="549"/>
      <c r="Z153" s="549"/>
      <c r="AA153" s="186"/>
      <c r="AB153" s="549"/>
      <c r="AC153" s="549"/>
      <c r="AD153" s="154"/>
      <c r="AE153" s="154"/>
      <c r="AF153" s="882"/>
      <c r="AG153" s="882"/>
      <c r="AH153" s="882"/>
      <c r="AI153" s="882"/>
      <c r="AJ153" s="882"/>
      <c r="AK153" s="882"/>
      <c r="AL153" s="882"/>
      <c r="AM153" s="931"/>
      <c r="AN153" s="931"/>
      <c r="AO153" s="931"/>
      <c r="AP153" s="931"/>
      <c r="AQ153" s="931"/>
      <c r="AR153" s="931"/>
      <c r="AS153" s="931"/>
      <c r="AT153" s="997"/>
      <c r="AU153" s="1453"/>
      <c r="AV153" s="1453"/>
      <c r="AW153" s="1256"/>
    </row>
    <row r="154">
      <c r="A154" s="1375"/>
      <c r="B154" s="1636"/>
      <c r="C154" s="1637"/>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549"/>
      <c r="AB154" s="186"/>
      <c r="AC154" s="186"/>
      <c r="AD154" s="186"/>
      <c r="AE154" s="186"/>
      <c r="AF154" s="186"/>
      <c r="AG154" s="186"/>
      <c r="AH154" s="186"/>
      <c r="AI154" s="186"/>
      <c r="AJ154" s="186"/>
      <c r="AK154" s="186"/>
      <c r="AL154" s="186"/>
      <c r="AM154" s="186"/>
      <c r="AN154" s="186"/>
      <c r="AO154" s="186"/>
      <c r="AP154" s="186"/>
      <c r="AQ154" s="186"/>
      <c r="AR154" s="186"/>
      <c r="AS154" s="186"/>
      <c r="AT154" s="186"/>
      <c r="AU154" s="186"/>
      <c r="AV154" s="186"/>
      <c r="AW154" s="1227"/>
    </row>
    <row r="155">
      <c r="A155" s="1391"/>
      <c r="B155" s="1640"/>
      <c r="C155" s="1641"/>
      <c r="D155" s="154"/>
      <c r="E155" s="154"/>
      <c r="F155" s="154"/>
      <c r="G155" s="154"/>
      <c r="H155" s="747"/>
      <c r="I155" s="747"/>
      <c r="J155" s="997"/>
      <c r="K155" s="997"/>
      <c r="L155" s="997"/>
      <c r="M155" s="997"/>
      <c r="N155" s="997"/>
      <c r="O155" s="997"/>
      <c r="P155" s="997"/>
      <c r="Q155" s="809"/>
      <c r="R155" s="809"/>
      <c r="S155" s="809"/>
      <c r="T155" s="809"/>
      <c r="U155" s="809"/>
      <c r="V155" s="809"/>
      <c r="W155" s="549"/>
      <c r="X155" s="549"/>
      <c r="Y155" s="549"/>
      <c r="Z155" s="549"/>
      <c r="AA155" s="186"/>
      <c r="AB155" s="549"/>
      <c r="AC155" s="549"/>
      <c r="AD155" s="154"/>
      <c r="AE155" s="154"/>
      <c r="AF155" s="882"/>
      <c r="AG155" s="882"/>
      <c r="AH155" s="882"/>
      <c r="AI155" s="882"/>
      <c r="AJ155" s="882"/>
      <c r="AK155" s="882"/>
      <c r="AL155" s="882"/>
      <c r="AM155" s="931"/>
      <c r="AN155" s="931"/>
      <c r="AO155" s="931"/>
      <c r="AP155" s="931"/>
      <c r="AQ155" s="931"/>
      <c r="AR155" s="931"/>
      <c r="AS155" s="931"/>
      <c r="AT155" s="997"/>
      <c r="AU155" s="1453"/>
      <c r="AV155" s="1453"/>
      <c r="AW155" s="1256"/>
    </row>
    <row r="156">
      <c r="A156" s="1375"/>
      <c r="B156" s="1636"/>
      <c r="C156" s="1637"/>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549"/>
      <c r="AB156" s="186"/>
      <c r="AC156" s="186"/>
      <c r="AD156" s="186"/>
      <c r="AE156" s="186"/>
      <c r="AF156" s="186"/>
      <c r="AG156" s="186"/>
      <c r="AH156" s="186"/>
      <c r="AI156" s="186"/>
      <c r="AJ156" s="186"/>
      <c r="AK156" s="186"/>
      <c r="AL156" s="186"/>
      <c r="AM156" s="186"/>
      <c r="AN156" s="186"/>
      <c r="AO156" s="186"/>
      <c r="AP156" s="186"/>
      <c r="AQ156" s="186"/>
      <c r="AR156" s="186"/>
      <c r="AS156" s="186"/>
      <c r="AT156" s="186"/>
      <c r="AU156" s="186"/>
      <c r="AV156" s="186"/>
      <c r="AW156" s="1227"/>
    </row>
    <row r="157">
      <c r="A157" s="1391"/>
      <c r="B157" s="1640"/>
      <c r="C157" s="1641"/>
      <c r="D157" s="154"/>
      <c r="E157" s="154"/>
      <c r="F157" s="154"/>
      <c r="G157" s="154"/>
      <c r="H157" s="747"/>
      <c r="I157" s="747"/>
      <c r="J157" s="997"/>
      <c r="K157" s="997"/>
      <c r="L157" s="997"/>
      <c r="M157" s="997"/>
      <c r="N157" s="997"/>
      <c r="O157" s="997"/>
      <c r="P157" s="997"/>
      <c r="Q157" s="809"/>
      <c r="R157" s="809"/>
      <c r="S157" s="809"/>
      <c r="T157" s="809"/>
      <c r="U157" s="809"/>
      <c r="V157" s="809"/>
      <c r="W157" s="549"/>
      <c r="X157" s="549"/>
      <c r="Y157" s="549"/>
      <c r="Z157" s="549"/>
      <c r="AA157" s="186"/>
      <c r="AB157" s="549"/>
      <c r="AC157" s="549"/>
      <c r="AD157" s="154"/>
      <c r="AE157" s="154"/>
      <c r="AF157" s="882"/>
      <c r="AG157" s="882"/>
      <c r="AH157" s="882"/>
      <c r="AI157" s="882"/>
      <c r="AJ157" s="882"/>
      <c r="AK157" s="882"/>
      <c r="AL157" s="882"/>
      <c r="AM157" s="931"/>
      <c r="AN157" s="931"/>
      <c r="AO157" s="931"/>
      <c r="AP157" s="931"/>
      <c r="AQ157" s="931"/>
      <c r="AR157" s="931"/>
      <c r="AS157" s="931"/>
      <c r="AT157" s="997"/>
      <c r="AU157" s="1453"/>
      <c r="AV157" s="1453"/>
      <c r="AW157" s="1256"/>
    </row>
    <row r="158">
      <c r="A158" s="1375"/>
      <c r="B158" s="1636"/>
      <c r="C158" s="1637"/>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549"/>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227"/>
    </row>
    <row r="159">
      <c r="A159" s="1391"/>
      <c r="B159" s="1640"/>
      <c r="C159" s="1641"/>
      <c r="D159" s="154"/>
      <c r="E159" s="154"/>
      <c r="F159" s="154"/>
      <c r="G159" s="154"/>
      <c r="H159" s="747"/>
      <c r="I159" s="747"/>
      <c r="J159" s="997"/>
      <c r="K159" s="997"/>
      <c r="L159" s="997"/>
      <c r="M159" s="997"/>
      <c r="N159" s="997"/>
      <c r="O159" s="997"/>
      <c r="P159" s="997"/>
      <c r="Q159" s="809"/>
      <c r="R159" s="809"/>
      <c r="S159" s="809"/>
      <c r="T159" s="809"/>
      <c r="U159" s="809"/>
      <c r="V159" s="809"/>
      <c r="W159" s="549"/>
      <c r="X159" s="549"/>
      <c r="Y159" s="549"/>
      <c r="Z159" s="549"/>
      <c r="AA159" s="186"/>
      <c r="AB159" s="549"/>
      <c r="AC159" s="549"/>
      <c r="AD159" s="154"/>
      <c r="AE159" s="154"/>
      <c r="AF159" s="882"/>
      <c r="AG159" s="882"/>
      <c r="AH159" s="882"/>
      <c r="AI159" s="882"/>
      <c r="AJ159" s="882"/>
      <c r="AK159" s="882"/>
      <c r="AL159" s="882"/>
      <c r="AM159" s="931"/>
      <c r="AN159" s="931"/>
      <c r="AO159" s="931"/>
      <c r="AP159" s="931"/>
      <c r="AQ159" s="931"/>
      <c r="AR159" s="931"/>
      <c r="AS159" s="931"/>
      <c r="AT159" s="997"/>
      <c r="AU159" s="1453"/>
      <c r="AV159" s="1453"/>
      <c r="AW159" s="1256"/>
    </row>
    <row r="160">
      <c r="A160" s="1375"/>
      <c r="B160" s="1636"/>
      <c r="C160" s="1637"/>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549"/>
      <c r="AB160" s="186"/>
      <c r="AC160" s="186"/>
      <c r="AD160" s="186"/>
      <c r="AE160" s="186"/>
      <c r="AF160" s="186"/>
      <c r="AG160" s="186"/>
      <c r="AH160" s="186"/>
      <c r="AI160" s="186"/>
      <c r="AJ160" s="186"/>
      <c r="AK160" s="186"/>
      <c r="AL160" s="186"/>
      <c r="AM160" s="186"/>
      <c r="AN160" s="186"/>
      <c r="AO160" s="186"/>
      <c r="AP160" s="186"/>
      <c r="AQ160" s="186"/>
      <c r="AR160" s="186"/>
      <c r="AS160" s="186"/>
      <c r="AT160" s="186"/>
      <c r="AU160" s="186"/>
      <c r="AV160" s="186"/>
      <c r="AW160" s="1227"/>
    </row>
    <row r="161">
      <c r="A161" s="1391"/>
      <c r="B161" s="1640"/>
      <c r="C161" s="1641"/>
      <c r="D161" s="154"/>
      <c r="E161" s="154"/>
      <c r="F161" s="154"/>
      <c r="G161" s="154"/>
      <c r="H161" s="747"/>
      <c r="I161" s="747"/>
      <c r="J161" s="997"/>
      <c r="K161" s="997"/>
      <c r="L161" s="997"/>
      <c r="M161" s="997"/>
      <c r="N161" s="997"/>
      <c r="O161" s="997"/>
      <c r="P161" s="997"/>
      <c r="Q161" s="809"/>
      <c r="R161" s="809"/>
      <c r="S161" s="809"/>
      <c r="T161" s="809"/>
      <c r="U161" s="809"/>
      <c r="V161" s="809"/>
      <c r="W161" s="549"/>
      <c r="X161" s="549"/>
      <c r="Y161" s="549"/>
      <c r="Z161" s="549"/>
      <c r="AA161" s="186"/>
      <c r="AB161" s="549"/>
      <c r="AC161" s="549"/>
      <c r="AD161" s="154"/>
      <c r="AE161" s="154"/>
      <c r="AF161" s="882"/>
      <c r="AG161" s="882"/>
      <c r="AH161" s="882"/>
      <c r="AI161" s="882"/>
      <c r="AJ161" s="882"/>
      <c r="AK161" s="882"/>
      <c r="AL161" s="882"/>
      <c r="AM161" s="931"/>
      <c r="AN161" s="931"/>
      <c r="AO161" s="931"/>
      <c r="AP161" s="931"/>
      <c r="AQ161" s="931"/>
      <c r="AR161" s="931"/>
      <c r="AS161" s="931"/>
      <c r="AT161" s="997"/>
      <c r="AU161" s="1453"/>
      <c r="AV161" s="1453"/>
      <c r="AW161" s="1256"/>
    </row>
    <row r="162">
      <c r="A162" s="1375"/>
      <c r="B162" s="1636"/>
      <c r="C162" s="1637"/>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549"/>
      <c r="AB162" s="186"/>
      <c r="AC162" s="186"/>
      <c r="AD162" s="186"/>
      <c r="AE162" s="186"/>
      <c r="AF162" s="186"/>
      <c r="AG162" s="186"/>
      <c r="AH162" s="186"/>
      <c r="AI162" s="186"/>
      <c r="AJ162" s="186"/>
      <c r="AK162" s="186"/>
      <c r="AL162" s="186"/>
      <c r="AM162" s="186"/>
      <c r="AN162" s="186"/>
      <c r="AO162" s="186"/>
      <c r="AP162" s="186"/>
      <c r="AQ162" s="186"/>
      <c r="AR162" s="186"/>
      <c r="AS162" s="186"/>
      <c r="AT162" s="186"/>
      <c r="AU162" s="186"/>
      <c r="AV162" s="186"/>
      <c r="AW162" s="1227"/>
    </row>
    <row r="163">
      <c r="A163" s="1391"/>
      <c r="B163" s="1640"/>
      <c r="C163" s="1641"/>
      <c r="D163" s="154"/>
      <c r="E163" s="154"/>
      <c r="F163" s="154"/>
      <c r="G163" s="154"/>
      <c r="H163" s="747"/>
      <c r="I163" s="747"/>
      <c r="J163" s="997"/>
      <c r="K163" s="997"/>
      <c r="L163" s="997"/>
      <c r="M163" s="997"/>
      <c r="N163" s="997"/>
      <c r="O163" s="997"/>
      <c r="P163" s="997"/>
      <c r="Q163" s="809"/>
      <c r="R163" s="809"/>
      <c r="S163" s="809"/>
      <c r="T163" s="809"/>
      <c r="U163" s="809"/>
      <c r="V163" s="809"/>
      <c r="W163" s="549"/>
      <c r="X163" s="549"/>
      <c r="Y163" s="549"/>
      <c r="Z163" s="549"/>
      <c r="AA163" s="186"/>
      <c r="AB163" s="549"/>
      <c r="AC163" s="549"/>
      <c r="AD163" s="154"/>
      <c r="AE163" s="154"/>
      <c r="AF163" s="882"/>
      <c r="AG163" s="882"/>
      <c r="AH163" s="882"/>
      <c r="AI163" s="882"/>
      <c r="AJ163" s="882"/>
      <c r="AK163" s="882"/>
      <c r="AL163" s="882"/>
      <c r="AM163" s="931"/>
      <c r="AN163" s="931"/>
      <c r="AO163" s="931"/>
      <c r="AP163" s="931"/>
      <c r="AQ163" s="931"/>
      <c r="AR163" s="931"/>
      <c r="AS163" s="931"/>
      <c r="AT163" s="997"/>
      <c r="AU163" s="1453"/>
      <c r="AV163" s="1453"/>
      <c r="AW163" s="1256"/>
    </row>
    <row r="164">
      <c r="A164" s="1375"/>
      <c r="B164" s="1636"/>
      <c r="C164" s="1637"/>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549"/>
      <c r="AB164" s="186"/>
      <c r="AC164" s="186"/>
      <c r="AD164" s="186"/>
      <c r="AE164" s="186"/>
      <c r="AF164" s="186"/>
      <c r="AG164" s="186"/>
      <c r="AH164" s="186"/>
      <c r="AI164" s="186"/>
      <c r="AJ164" s="186"/>
      <c r="AK164" s="186"/>
      <c r="AL164" s="186"/>
      <c r="AM164" s="186"/>
      <c r="AN164" s="186"/>
      <c r="AO164" s="186"/>
      <c r="AP164" s="186"/>
      <c r="AQ164" s="186"/>
      <c r="AR164" s="186"/>
      <c r="AS164" s="186"/>
      <c r="AT164" s="186"/>
      <c r="AU164" s="186"/>
      <c r="AV164" s="186"/>
      <c r="AW164" s="1227"/>
    </row>
    <row r="165">
      <c r="A165" s="1391"/>
      <c r="B165" s="1640"/>
      <c r="C165" s="1641"/>
      <c r="D165" s="154"/>
      <c r="E165" s="154"/>
      <c r="F165" s="154"/>
      <c r="G165" s="154"/>
      <c r="H165" s="747"/>
      <c r="I165" s="747"/>
      <c r="J165" s="997"/>
      <c r="K165" s="997"/>
      <c r="L165" s="997"/>
      <c r="M165" s="997"/>
      <c r="N165" s="997"/>
      <c r="O165" s="997"/>
      <c r="P165" s="997"/>
      <c r="Q165" s="809"/>
      <c r="R165" s="809"/>
      <c r="S165" s="809"/>
      <c r="T165" s="809"/>
      <c r="U165" s="809"/>
      <c r="V165" s="809"/>
      <c r="W165" s="549"/>
      <c r="X165" s="549"/>
      <c r="Y165" s="549"/>
      <c r="Z165" s="549"/>
      <c r="AA165" s="186"/>
      <c r="AB165" s="549"/>
      <c r="AC165" s="549"/>
      <c r="AD165" s="154"/>
      <c r="AE165" s="154"/>
      <c r="AF165" s="882"/>
      <c r="AG165" s="882"/>
      <c r="AH165" s="882"/>
      <c r="AI165" s="882"/>
      <c r="AJ165" s="882"/>
      <c r="AK165" s="882"/>
      <c r="AL165" s="882"/>
      <c r="AM165" s="931"/>
      <c r="AN165" s="931"/>
      <c r="AO165" s="931"/>
      <c r="AP165" s="931"/>
      <c r="AQ165" s="931"/>
      <c r="AR165" s="931"/>
      <c r="AS165" s="931"/>
      <c r="AT165" s="997"/>
      <c r="AU165" s="1453"/>
      <c r="AV165" s="1453"/>
      <c r="AW165" s="1256"/>
    </row>
    <row r="166">
      <c r="A166" s="1375"/>
      <c r="B166" s="1636"/>
      <c r="C166" s="1637"/>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549"/>
      <c r="AB166" s="186"/>
      <c r="AC166" s="186"/>
      <c r="AD166" s="186"/>
      <c r="AE166" s="186"/>
      <c r="AF166" s="186"/>
      <c r="AG166" s="186"/>
      <c r="AH166" s="186"/>
      <c r="AI166" s="186"/>
      <c r="AJ166" s="186"/>
      <c r="AK166" s="186"/>
      <c r="AL166" s="186"/>
      <c r="AM166" s="186"/>
      <c r="AN166" s="186"/>
      <c r="AO166" s="186"/>
      <c r="AP166" s="186"/>
      <c r="AQ166" s="186"/>
      <c r="AR166" s="186"/>
      <c r="AS166" s="186"/>
      <c r="AT166" s="186"/>
      <c r="AU166" s="186"/>
      <c r="AV166" s="186"/>
      <c r="AW166" s="1227"/>
    </row>
    <row r="167">
      <c r="A167" s="1391"/>
      <c r="B167" s="1640"/>
      <c r="C167" s="1641"/>
      <c r="D167" s="154"/>
      <c r="E167" s="154"/>
      <c r="F167" s="154"/>
      <c r="G167" s="154"/>
      <c r="H167" s="747"/>
      <c r="I167" s="747"/>
      <c r="J167" s="997"/>
      <c r="K167" s="997"/>
      <c r="L167" s="997"/>
      <c r="M167" s="997"/>
      <c r="N167" s="997"/>
      <c r="O167" s="997"/>
      <c r="P167" s="997"/>
      <c r="Q167" s="809"/>
      <c r="R167" s="809"/>
      <c r="S167" s="809"/>
      <c r="T167" s="809"/>
      <c r="U167" s="809"/>
      <c r="V167" s="809"/>
      <c r="W167" s="549"/>
      <c r="X167" s="549"/>
      <c r="Y167" s="549"/>
      <c r="Z167" s="549"/>
      <c r="AA167" s="186"/>
      <c r="AB167" s="549"/>
      <c r="AC167" s="549"/>
      <c r="AD167" s="154"/>
      <c r="AE167" s="154"/>
      <c r="AF167" s="882"/>
      <c r="AG167" s="882"/>
      <c r="AH167" s="882"/>
      <c r="AI167" s="882"/>
      <c r="AJ167" s="882"/>
      <c r="AK167" s="882"/>
      <c r="AL167" s="882"/>
      <c r="AM167" s="931"/>
      <c r="AN167" s="931"/>
      <c r="AO167" s="931"/>
      <c r="AP167" s="931"/>
      <c r="AQ167" s="931"/>
      <c r="AR167" s="931"/>
      <c r="AS167" s="931"/>
      <c r="AT167" s="997"/>
      <c r="AU167" s="1453"/>
      <c r="AV167" s="1453"/>
      <c r="AW167" s="1256"/>
    </row>
    <row r="168">
      <c r="A168" s="1375"/>
      <c r="B168" s="1636"/>
      <c r="C168" s="1637"/>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549"/>
      <c r="AB168" s="186"/>
      <c r="AC168" s="186"/>
      <c r="AD168" s="186"/>
      <c r="AE168" s="186"/>
      <c r="AF168" s="186"/>
      <c r="AG168" s="186"/>
      <c r="AH168" s="186"/>
      <c r="AI168" s="186"/>
      <c r="AJ168" s="186"/>
      <c r="AK168" s="186"/>
      <c r="AL168" s="186"/>
      <c r="AM168" s="186"/>
      <c r="AN168" s="186"/>
      <c r="AO168" s="186"/>
      <c r="AP168" s="186"/>
      <c r="AQ168" s="186"/>
      <c r="AR168" s="186"/>
      <c r="AS168" s="186"/>
      <c r="AT168" s="186"/>
      <c r="AU168" s="186"/>
      <c r="AV168" s="186"/>
      <c r="AW168" s="1227"/>
    </row>
    <row r="169">
      <c r="A169" s="1391"/>
      <c r="B169" s="1640"/>
      <c r="C169" s="1641"/>
      <c r="D169" s="154"/>
      <c r="E169" s="154"/>
      <c r="F169" s="154"/>
      <c r="G169" s="154"/>
      <c r="H169" s="747"/>
      <c r="I169" s="747"/>
      <c r="J169" s="997"/>
      <c r="K169" s="997"/>
      <c r="L169" s="997"/>
      <c r="M169" s="997"/>
      <c r="N169" s="997"/>
      <c r="O169" s="997"/>
      <c r="P169" s="997"/>
      <c r="Q169" s="809"/>
      <c r="R169" s="809"/>
      <c r="S169" s="809"/>
      <c r="T169" s="809"/>
      <c r="U169" s="809"/>
      <c r="V169" s="809"/>
      <c r="W169" s="549"/>
      <c r="X169" s="549"/>
      <c r="Y169" s="549"/>
      <c r="Z169" s="549"/>
      <c r="AA169" s="186"/>
      <c r="AB169" s="549"/>
      <c r="AC169" s="549"/>
      <c r="AD169" s="154"/>
      <c r="AE169" s="154"/>
      <c r="AF169" s="882"/>
      <c r="AG169" s="882"/>
      <c r="AH169" s="882"/>
      <c r="AI169" s="882"/>
      <c r="AJ169" s="882"/>
      <c r="AK169" s="882"/>
      <c r="AL169" s="882"/>
      <c r="AM169" s="931"/>
      <c r="AN169" s="931"/>
      <c r="AO169" s="931"/>
      <c r="AP169" s="931"/>
      <c r="AQ169" s="931"/>
      <c r="AR169" s="931"/>
      <c r="AS169" s="931"/>
      <c r="AT169" s="997"/>
      <c r="AU169" s="1453"/>
      <c r="AV169" s="1453"/>
      <c r="AW169" s="1256"/>
    </row>
    <row r="170">
      <c r="A170" s="1375"/>
      <c r="B170" s="1636"/>
      <c r="C170" s="1637"/>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549"/>
      <c r="AB170" s="186"/>
      <c r="AC170" s="186"/>
      <c r="AD170" s="186"/>
      <c r="AE170" s="186"/>
      <c r="AF170" s="186"/>
      <c r="AG170" s="186"/>
      <c r="AH170" s="186"/>
      <c r="AI170" s="186"/>
      <c r="AJ170" s="186"/>
      <c r="AK170" s="186"/>
      <c r="AL170" s="186"/>
      <c r="AM170" s="186"/>
      <c r="AN170" s="186"/>
      <c r="AO170" s="186"/>
      <c r="AP170" s="186"/>
      <c r="AQ170" s="186"/>
      <c r="AR170" s="186"/>
      <c r="AS170" s="186"/>
      <c r="AT170" s="186"/>
      <c r="AU170" s="186"/>
      <c r="AV170" s="186"/>
      <c r="AW170" s="1227"/>
    </row>
    <row r="171">
      <c r="A171" s="1391"/>
      <c r="B171" s="1640"/>
      <c r="C171" s="1641"/>
      <c r="D171" s="154"/>
      <c r="E171" s="154"/>
      <c r="F171" s="154"/>
      <c r="G171" s="154"/>
      <c r="H171" s="747"/>
      <c r="I171" s="747"/>
      <c r="J171" s="997"/>
      <c r="K171" s="997"/>
      <c r="L171" s="997"/>
      <c r="M171" s="997"/>
      <c r="N171" s="997"/>
      <c r="O171" s="997"/>
      <c r="P171" s="997"/>
      <c r="Q171" s="809"/>
      <c r="R171" s="809"/>
      <c r="S171" s="809"/>
      <c r="T171" s="809"/>
      <c r="U171" s="809"/>
      <c r="V171" s="809"/>
      <c r="W171" s="549"/>
      <c r="X171" s="549"/>
      <c r="Y171" s="549"/>
      <c r="Z171" s="549"/>
      <c r="AA171" s="186"/>
      <c r="AB171" s="549"/>
      <c r="AC171" s="549"/>
      <c r="AD171" s="154"/>
      <c r="AE171" s="154"/>
      <c r="AF171" s="882"/>
      <c r="AG171" s="882"/>
      <c r="AH171" s="882"/>
      <c r="AI171" s="882"/>
      <c r="AJ171" s="882"/>
      <c r="AK171" s="882"/>
      <c r="AL171" s="882"/>
      <c r="AM171" s="931"/>
      <c r="AN171" s="931"/>
      <c r="AO171" s="931"/>
      <c r="AP171" s="931"/>
      <c r="AQ171" s="931"/>
      <c r="AR171" s="931"/>
      <c r="AS171" s="931"/>
      <c r="AT171" s="997"/>
      <c r="AU171" s="1453"/>
      <c r="AV171" s="1453"/>
      <c r="AW171" s="1256"/>
    </row>
    <row r="172">
      <c r="A172" s="1375"/>
      <c r="B172" s="1636"/>
      <c r="C172" s="1637"/>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549"/>
      <c r="AB172" s="186"/>
      <c r="AC172" s="186"/>
      <c r="AD172" s="186"/>
      <c r="AE172" s="186"/>
      <c r="AF172" s="186"/>
      <c r="AG172" s="186"/>
      <c r="AH172" s="186"/>
      <c r="AI172" s="186"/>
      <c r="AJ172" s="186"/>
      <c r="AK172" s="186"/>
      <c r="AL172" s="186"/>
      <c r="AM172" s="186"/>
      <c r="AN172" s="186"/>
      <c r="AO172" s="186"/>
      <c r="AP172" s="186"/>
      <c r="AQ172" s="186"/>
      <c r="AR172" s="186"/>
      <c r="AS172" s="186"/>
      <c r="AT172" s="186"/>
      <c r="AU172" s="186"/>
      <c r="AV172" s="186"/>
      <c r="AW172" s="1227"/>
    </row>
    <row r="173">
      <c r="A173" s="1391"/>
      <c r="B173" s="1640"/>
      <c r="C173" s="1641"/>
      <c r="D173" s="154"/>
      <c r="E173" s="154"/>
      <c r="F173" s="154"/>
      <c r="G173" s="154"/>
      <c r="H173" s="747"/>
      <c r="I173" s="747"/>
      <c r="J173" s="997"/>
      <c r="K173" s="997"/>
      <c r="L173" s="997"/>
      <c r="M173" s="997"/>
      <c r="N173" s="997"/>
      <c r="O173" s="997"/>
      <c r="P173" s="997"/>
      <c r="Q173" s="809"/>
      <c r="R173" s="809"/>
      <c r="S173" s="809"/>
      <c r="T173" s="809"/>
      <c r="U173" s="809"/>
      <c r="V173" s="809"/>
      <c r="W173" s="549"/>
      <c r="X173" s="549"/>
      <c r="Y173" s="549"/>
      <c r="Z173" s="549"/>
      <c r="AA173" s="186"/>
      <c r="AB173" s="549"/>
      <c r="AC173" s="549"/>
      <c r="AD173" s="154"/>
      <c r="AE173" s="154"/>
      <c r="AF173" s="882"/>
      <c r="AG173" s="882"/>
      <c r="AH173" s="882"/>
      <c r="AI173" s="882"/>
      <c r="AJ173" s="882"/>
      <c r="AK173" s="882"/>
      <c r="AL173" s="882"/>
      <c r="AM173" s="931"/>
      <c r="AN173" s="931"/>
      <c r="AO173" s="931"/>
      <c r="AP173" s="931"/>
      <c r="AQ173" s="931"/>
      <c r="AR173" s="931"/>
      <c r="AS173" s="931"/>
      <c r="AT173" s="997"/>
      <c r="AU173" s="1453"/>
      <c r="AV173" s="1453"/>
      <c r="AW173" s="1256"/>
    </row>
    <row r="174">
      <c r="A174" s="1375"/>
      <c r="B174" s="1636"/>
      <c r="C174" s="1637"/>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549"/>
      <c r="AB174" s="186"/>
      <c r="AC174" s="186"/>
      <c r="AD174" s="186"/>
      <c r="AE174" s="186"/>
      <c r="AF174" s="186"/>
      <c r="AG174" s="186"/>
      <c r="AH174" s="186"/>
      <c r="AI174" s="186"/>
      <c r="AJ174" s="186"/>
      <c r="AK174" s="186"/>
      <c r="AL174" s="186"/>
      <c r="AM174" s="186"/>
      <c r="AN174" s="186"/>
      <c r="AO174" s="186"/>
      <c r="AP174" s="186"/>
      <c r="AQ174" s="186"/>
      <c r="AR174" s="186"/>
      <c r="AS174" s="186"/>
      <c r="AT174" s="186"/>
      <c r="AU174" s="186"/>
      <c r="AV174" s="186"/>
      <c r="AW174" s="1227"/>
    </row>
    <row r="175">
      <c r="A175" s="1391"/>
      <c r="B175" s="1640"/>
      <c r="C175" s="1641"/>
      <c r="D175" s="154"/>
      <c r="E175" s="154"/>
      <c r="F175" s="154"/>
      <c r="G175" s="154"/>
      <c r="H175" s="747"/>
      <c r="I175" s="747"/>
      <c r="J175" s="997"/>
      <c r="K175" s="997"/>
      <c r="L175" s="997"/>
      <c r="M175" s="997"/>
      <c r="N175" s="997"/>
      <c r="O175" s="997"/>
      <c r="P175" s="997"/>
      <c r="Q175" s="809"/>
      <c r="R175" s="809"/>
      <c r="S175" s="809"/>
      <c r="T175" s="809"/>
      <c r="U175" s="809"/>
      <c r="V175" s="809"/>
      <c r="W175" s="549"/>
      <c r="X175" s="549"/>
      <c r="Y175" s="549"/>
      <c r="Z175" s="549"/>
      <c r="AA175" s="186"/>
      <c r="AB175" s="549"/>
      <c r="AC175" s="549"/>
      <c r="AD175" s="154"/>
      <c r="AE175" s="154"/>
      <c r="AF175" s="882"/>
      <c r="AG175" s="882"/>
      <c r="AH175" s="882"/>
      <c r="AI175" s="882"/>
      <c r="AJ175" s="882"/>
      <c r="AK175" s="882"/>
      <c r="AL175" s="882"/>
      <c r="AM175" s="931"/>
      <c r="AN175" s="931"/>
      <c r="AO175" s="931"/>
      <c r="AP175" s="931"/>
      <c r="AQ175" s="931"/>
      <c r="AR175" s="931"/>
      <c r="AS175" s="931"/>
      <c r="AT175" s="997"/>
      <c r="AU175" s="1453"/>
      <c r="AV175" s="1453"/>
      <c r="AW175" s="1256"/>
    </row>
    <row r="176">
      <c r="A176" s="1375"/>
      <c r="B176" s="1636"/>
      <c r="C176" s="1637"/>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549"/>
      <c r="AB176" s="186"/>
      <c r="AC176" s="186"/>
      <c r="AD176" s="186"/>
      <c r="AE176" s="186"/>
      <c r="AF176" s="186"/>
      <c r="AG176" s="186"/>
      <c r="AH176" s="186"/>
      <c r="AI176" s="186"/>
      <c r="AJ176" s="186"/>
      <c r="AK176" s="186"/>
      <c r="AL176" s="186"/>
      <c r="AM176" s="186"/>
      <c r="AN176" s="186"/>
      <c r="AO176" s="186"/>
      <c r="AP176" s="186"/>
      <c r="AQ176" s="186"/>
      <c r="AR176" s="186"/>
      <c r="AS176" s="186"/>
      <c r="AT176" s="186"/>
      <c r="AU176" s="186"/>
      <c r="AV176" s="186"/>
      <c r="AW176" s="1227"/>
    </row>
    <row r="177">
      <c r="A177" s="1391"/>
      <c r="B177" s="1640"/>
      <c r="C177" s="1641"/>
      <c r="D177" s="154"/>
      <c r="E177" s="154"/>
      <c r="F177" s="154"/>
      <c r="G177" s="154"/>
      <c r="H177" s="747"/>
      <c r="I177" s="747"/>
      <c r="J177" s="997"/>
      <c r="K177" s="997"/>
      <c r="L177" s="997"/>
      <c r="M177" s="997"/>
      <c r="N177" s="997"/>
      <c r="O177" s="997"/>
      <c r="P177" s="997"/>
      <c r="Q177" s="809"/>
      <c r="R177" s="809"/>
      <c r="S177" s="809"/>
      <c r="T177" s="809"/>
      <c r="U177" s="809"/>
      <c r="V177" s="809"/>
      <c r="W177" s="549"/>
      <c r="X177" s="549"/>
      <c r="Y177" s="549"/>
      <c r="Z177" s="549"/>
      <c r="AA177" s="186"/>
      <c r="AB177" s="549"/>
      <c r="AC177" s="549"/>
      <c r="AD177" s="154"/>
      <c r="AE177" s="154"/>
      <c r="AF177" s="882"/>
      <c r="AG177" s="882"/>
      <c r="AH177" s="882"/>
      <c r="AI177" s="882"/>
      <c r="AJ177" s="882"/>
      <c r="AK177" s="882"/>
      <c r="AL177" s="882"/>
      <c r="AM177" s="931"/>
      <c r="AN177" s="931"/>
      <c r="AO177" s="931"/>
      <c r="AP177" s="931"/>
      <c r="AQ177" s="931"/>
      <c r="AR177" s="931"/>
      <c r="AS177" s="931"/>
      <c r="AT177" s="997"/>
      <c r="AU177" s="1453"/>
      <c r="AV177" s="1453"/>
      <c r="AW177" s="1256"/>
    </row>
    <row r="178">
      <c r="A178" s="1375"/>
      <c r="B178" s="1636"/>
      <c r="C178" s="1637"/>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549"/>
      <c r="AB178" s="186"/>
      <c r="AC178" s="186"/>
      <c r="AD178" s="186"/>
      <c r="AE178" s="186"/>
      <c r="AF178" s="186"/>
      <c r="AG178" s="186"/>
      <c r="AH178" s="186"/>
      <c r="AI178" s="186"/>
      <c r="AJ178" s="186"/>
      <c r="AK178" s="186"/>
      <c r="AL178" s="186"/>
      <c r="AM178" s="186"/>
      <c r="AN178" s="186"/>
      <c r="AO178" s="186"/>
      <c r="AP178" s="186"/>
      <c r="AQ178" s="186"/>
      <c r="AR178" s="186"/>
      <c r="AS178" s="186"/>
      <c r="AT178" s="186"/>
      <c r="AU178" s="186"/>
      <c r="AV178" s="186"/>
      <c r="AW178" s="1227"/>
    </row>
    <row r="179">
      <c r="A179" s="1391"/>
      <c r="B179" s="1640"/>
      <c r="C179" s="1641"/>
      <c r="D179" s="154"/>
      <c r="E179" s="154"/>
      <c r="F179" s="154"/>
      <c r="G179" s="154"/>
      <c r="H179" s="747"/>
      <c r="I179" s="747"/>
      <c r="J179" s="997"/>
      <c r="K179" s="997"/>
      <c r="L179" s="997"/>
      <c r="M179" s="997"/>
      <c r="N179" s="997"/>
      <c r="O179" s="997"/>
      <c r="P179" s="997"/>
      <c r="Q179" s="809"/>
      <c r="R179" s="809"/>
      <c r="S179" s="809"/>
      <c r="T179" s="809"/>
      <c r="U179" s="809"/>
      <c r="V179" s="809"/>
      <c r="W179" s="549"/>
      <c r="X179" s="549"/>
      <c r="Y179" s="549"/>
      <c r="Z179" s="549"/>
      <c r="AA179" s="186"/>
      <c r="AB179" s="549"/>
      <c r="AC179" s="549"/>
      <c r="AD179" s="154"/>
      <c r="AE179" s="154"/>
      <c r="AF179" s="882"/>
      <c r="AG179" s="882"/>
      <c r="AH179" s="882"/>
      <c r="AI179" s="882"/>
      <c r="AJ179" s="882"/>
      <c r="AK179" s="882"/>
      <c r="AL179" s="882"/>
      <c r="AM179" s="931"/>
      <c r="AN179" s="931"/>
      <c r="AO179" s="931"/>
      <c r="AP179" s="931"/>
      <c r="AQ179" s="931"/>
      <c r="AR179" s="931"/>
      <c r="AS179" s="931"/>
      <c r="AT179" s="997"/>
      <c r="AU179" s="1453"/>
      <c r="AV179" s="1453"/>
      <c r="AW179" s="1256"/>
    </row>
    <row r="180">
      <c r="A180" s="1375"/>
      <c r="B180" s="1636"/>
      <c r="C180" s="1637"/>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549"/>
      <c r="AB180" s="186"/>
      <c r="AC180" s="186"/>
      <c r="AD180" s="186"/>
      <c r="AE180" s="186"/>
      <c r="AF180" s="186"/>
      <c r="AG180" s="186"/>
      <c r="AH180" s="186"/>
      <c r="AI180" s="186"/>
      <c r="AJ180" s="186"/>
      <c r="AK180" s="186"/>
      <c r="AL180" s="186"/>
      <c r="AM180" s="186"/>
      <c r="AN180" s="186"/>
      <c r="AO180" s="186"/>
      <c r="AP180" s="186"/>
      <c r="AQ180" s="186"/>
      <c r="AR180" s="186"/>
      <c r="AS180" s="186"/>
      <c r="AT180" s="186"/>
      <c r="AU180" s="186"/>
      <c r="AV180" s="186"/>
      <c r="AW180" s="1227"/>
    </row>
    <row r="181">
      <c r="A181" s="1391"/>
      <c r="B181" s="1640"/>
      <c r="C181" s="1641"/>
      <c r="D181" s="154"/>
      <c r="E181" s="154"/>
      <c r="F181" s="154"/>
      <c r="G181" s="154"/>
      <c r="H181" s="747"/>
      <c r="I181" s="747"/>
      <c r="J181" s="997"/>
      <c r="K181" s="997"/>
      <c r="L181" s="997"/>
      <c r="M181" s="997"/>
      <c r="N181" s="997"/>
      <c r="O181" s="997"/>
      <c r="P181" s="997"/>
      <c r="Q181" s="809"/>
      <c r="R181" s="809"/>
      <c r="S181" s="809"/>
      <c r="T181" s="809"/>
      <c r="U181" s="809"/>
      <c r="V181" s="809"/>
      <c r="W181" s="549"/>
      <c r="X181" s="549"/>
      <c r="Y181" s="549"/>
      <c r="Z181" s="549"/>
      <c r="AA181" s="186"/>
      <c r="AB181" s="549"/>
      <c r="AC181" s="549"/>
      <c r="AD181" s="154"/>
      <c r="AE181" s="154"/>
      <c r="AF181" s="882"/>
      <c r="AG181" s="882"/>
      <c r="AH181" s="882"/>
      <c r="AI181" s="882"/>
      <c r="AJ181" s="882"/>
      <c r="AK181" s="882"/>
      <c r="AL181" s="882"/>
      <c r="AM181" s="931"/>
      <c r="AN181" s="931"/>
      <c r="AO181" s="931"/>
      <c r="AP181" s="931"/>
      <c r="AQ181" s="931"/>
      <c r="AR181" s="931"/>
      <c r="AS181" s="931"/>
      <c r="AT181" s="997"/>
      <c r="AU181" s="1453"/>
      <c r="AV181" s="1453"/>
      <c r="AW181" s="1256"/>
    </row>
    <row r="182">
      <c r="A182" s="1375"/>
      <c r="B182" s="1636"/>
      <c r="C182" s="1637"/>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549"/>
      <c r="AB182" s="186"/>
      <c r="AC182" s="186"/>
      <c r="AD182" s="186"/>
      <c r="AE182" s="186"/>
      <c r="AF182" s="186"/>
      <c r="AG182" s="186"/>
      <c r="AH182" s="186"/>
      <c r="AI182" s="186"/>
      <c r="AJ182" s="186"/>
      <c r="AK182" s="186"/>
      <c r="AL182" s="186"/>
      <c r="AM182" s="186"/>
      <c r="AN182" s="186"/>
      <c r="AO182" s="186"/>
      <c r="AP182" s="186"/>
      <c r="AQ182" s="186"/>
      <c r="AR182" s="186"/>
      <c r="AS182" s="186"/>
      <c r="AT182" s="186"/>
      <c r="AU182" s="186"/>
      <c r="AV182" s="186"/>
      <c r="AW182" s="1227"/>
    </row>
    <row r="183">
      <c r="A183" s="1391"/>
      <c r="B183" s="1640"/>
      <c r="C183" s="1641"/>
      <c r="D183" s="154"/>
      <c r="E183" s="154"/>
      <c r="F183" s="154"/>
      <c r="G183" s="154"/>
      <c r="H183" s="747"/>
      <c r="I183" s="747"/>
      <c r="J183" s="997"/>
      <c r="K183" s="997"/>
      <c r="L183" s="997"/>
      <c r="M183" s="997"/>
      <c r="N183" s="997"/>
      <c r="O183" s="997"/>
      <c r="P183" s="997"/>
      <c r="Q183" s="809"/>
      <c r="R183" s="809"/>
      <c r="S183" s="809"/>
      <c r="T183" s="809"/>
      <c r="U183" s="809"/>
      <c r="V183" s="809"/>
      <c r="W183" s="549"/>
      <c r="X183" s="549"/>
      <c r="Y183" s="549"/>
      <c r="Z183" s="549"/>
      <c r="AA183" s="186"/>
      <c r="AB183" s="549"/>
      <c r="AC183" s="549"/>
      <c r="AD183" s="154"/>
      <c r="AE183" s="154"/>
      <c r="AF183" s="882"/>
      <c r="AG183" s="882"/>
      <c r="AH183" s="882"/>
      <c r="AI183" s="882"/>
      <c r="AJ183" s="882"/>
      <c r="AK183" s="882"/>
      <c r="AL183" s="882"/>
      <c r="AM183" s="931"/>
      <c r="AN183" s="931"/>
      <c r="AO183" s="931"/>
      <c r="AP183" s="931"/>
      <c r="AQ183" s="931"/>
      <c r="AR183" s="931"/>
      <c r="AS183" s="931"/>
      <c r="AT183" s="997"/>
      <c r="AU183" s="1453"/>
      <c r="AV183" s="1453"/>
      <c r="AW183" s="1256"/>
    </row>
    <row r="184">
      <c r="A184" s="1375"/>
      <c r="B184" s="1636"/>
      <c r="C184" s="1637"/>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549"/>
      <c r="AB184" s="186"/>
      <c r="AC184" s="186"/>
      <c r="AD184" s="186"/>
      <c r="AE184" s="186"/>
      <c r="AF184" s="186"/>
      <c r="AG184" s="186"/>
      <c r="AH184" s="186"/>
      <c r="AI184" s="186"/>
      <c r="AJ184" s="186"/>
      <c r="AK184" s="186"/>
      <c r="AL184" s="186"/>
      <c r="AM184" s="186"/>
      <c r="AN184" s="186"/>
      <c r="AO184" s="186"/>
      <c r="AP184" s="186"/>
      <c r="AQ184" s="186"/>
      <c r="AR184" s="186"/>
      <c r="AS184" s="186"/>
      <c r="AT184" s="186"/>
      <c r="AU184" s="186"/>
      <c r="AV184" s="186"/>
      <c r="AW184" s="1227"/>
    </row>
    <row r="185">
      <c r="A185" s="1391"/>
      <c r="B185" s="1640"/>
      <c r="C185" s="1641"/>
      <c r="D185" s="154"/>
      <c r="E185" s="154"/>
      <c r="F185" s="154"/>
      <c r="G185" s="154"/>
      <c r="H185" s="747"/>
      <c r="I185" s="747"/>
      <c r="J185" s="997"/>
      <c r="K185" s="997"/>
      <c r="L185" s="997"/>
      <c r="M185" s="997"/>
      <c r="N185" s="997"/>
      <c r="O185" s="997"/>
      <c r="P185" s="997"/>
      <c r="Q185" s="809"/>
      <c r="R185" s="809"/>
      <c r="S185" s="809"/>
      <c r="T185" s="809"/>
      <c r="U185" s="809"/>
      <c r="V185" s="809"/>
      <c r="W185" s="549"/>
      <c r="X185" s="549"/>
      <c r="Y185" s="549"/>
      <c r="Z185" s="549"/>
      <c r="AA185" s="186"/>
      <c r="AB185" s="549"/>
      <c r="AC185" s="549"/>
      <c r="AD185" s="154"/>
      <c r="AE185" s="154"/>
      <c r="AF185" s="882"/>
      <c r="AG185" s="882"/>
      <c r="AH185" s="882"/>
      <c r="AI185" s="882"/>
      <c r="AJ185" s="882"/>
      <c r="AK185" s="882"/>
      <c r="AL185" s="882"/>
      <c r="AM185" s="931"/>
      <c r="AN185" s="931"/>
      <c r="AO185" s="931"/>
      <c r="AP185" s="931"/>
      <c r="AQ185" s="931"/>
      <c r="AR185" s="931"/>
      <c r="AS185" s="931"/>
      <c r="AT185" s="997"/>
      <c r="AU185" s="1453"/>
      <c r="AV185" s="1453"/>
      <c r="AW185" s="1256"/>
    </row>
    <row r="186">
      <c r="A186" s="1375"/>
      <c r="B186" s="1636"/>
      <c r="C186" s="1637"/>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549"/>
      <c r="AB186" s="186"/>
      <c r="AC186" s="186"/>
      <c r="AD186" s="186"/>
      <c r="AE186" s="186"/>
      <c r="AF186" s="186"/>
      <c r="AG186" s="186"/>
      <c r="AH186" s="186"/>
      <c r="AI186" s="186"/>
      <c r="AJ186" s="186"/>
      <c r="AK186" s="186"/>
      <c r="AL186" s="186"/>
      <c r="AM186" s="186"/>
      <c r="AN186" s="186"/>
      <c r="AO186" s="186"/>
      <c r="AP186" s="186"/>
      <c r="AQ186" s="186"/>
      <c r="AR186" s="186"/>
      <c r="AS186" s="186"/>
      <c r="AT186" s="186"/>
      <c r="AU186" s="186"/>
      <c r="AV186" s="186"/>
      <c r="AW186" s="1227"/>
    </row>
    <row r="187">
      <c r="A187" s="1391"/>
      <c r="B187" s="1640"/>
      <c r="C187" s="1641"/>
      <c r="D187" s="154"/>
      <c r="E187" s="154"/>
      <c r="F187" s="154"/>
      <c r="G187" s="154"/>
      <c r="H187" s="747"/>
      <c r="I187" s="747"/>
      <c r="J187" s="997"/>
      <c r="K187" s="997"/>
      <c r="L187" s="997"/>
      <c r="M187" s="997"/>
      <c r="N187" s="997"/>
      <c r="O187" s="997"/>
      <c r="P187" s="997"/>
      <c r="Q187" s="809"/>
      <c r="R187" s="809"/>
      <c r="S187" s="809"/>
      <c r="T187" s="809"/>
      <c r="U187" s="809"/>
      <c r="V187" s="809"/>
      <c r="W187" s="549"/>
      <c r="X187" s="549"/>
      <c r="Y187" s="549"/>
      <c r="Z187" s="549"/>
      <c r="AA187" s="186"/>
      <c r="AB187" s="549"/>
      <c r="AC187" s="549"/>
      <c r="AD187" s="154"/>
      <c r="AE187" s="154"/>
      <c r="AF187" s="882"/>
      <c r="AG187" s="882"/>
      <c r="AH187" s="882"/>
      <c r="AI187" s="882"/>
      <c r="AJ187" s="882"/>
      <c r="AK187" s="882"/>
      <c r="AL187" s="882"/>
      <c r="AM187" s="931"/>
      <c r="AN187" s="931"/>
      <c r="AO187" s="931"/>
      <c r="AP187" s="931"/>
      <c r="AQ187" s="931"/>
      <c r="AR187" s="931"/>
      <c r="AS187" s="931"/>
      <c r="AT187" s="997"/>
      <c r="AU187" s="1453"/>
      <c r="AV187" s="1453"/>
      <c r="AW187" s="1256"/>
    </row>
    <row r="188">
      <c r="A188" s="1375"/>
      <c r="B188" s="1636"/>
      <c r="C188" s="1637"/>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549"/>
      <c r="AB188" s="186"/>
      <c r="AC188" s="186"/>
      <c r="AD188" s="186"/>
      <c r="AE188" s="186"/>
      <c r="AF188" s="186"/>
      <c r="AG188" s="186"/>
      <c r="AH188" s="186"/>
      <c r="AI188" s="186"/>
      <c r="AJ188" s="186"/>
      <c r="AK188" s="186"/>
      <c r="AL188" s="186"/>
      <c r="AM188" s="186"/>
      <c r="AN188" s="186"/>
      <c r="AO188" s="186"/>
      <c r="AP188" s="186"/>
      <c r="AQ188" s="186"/>
      <c r="AR188" s="186"/>
      <c r="AS188" s="186"/>
      <c r="AT188" s="186"/>
      <c r="AU188" s="186"/>
      <c r="AV188" s="186"/>
      <c r="AW188" s="1227"/>
    </row>
    <row r="189">
      <c r="A189" s="1391"/>
      <c r="B189" s="1640"/>
      <c r="C189" s="1641"/>
      <c r="D189" s="154"/>
      <c r="E189" s="154"/>
      <c r="F189" s="154"/>
      <c r="G189" s="154"/>
      <c r="H189" s="747"/>
      <c r="I189" s="747"/>
      <c r="J189" s="997"/>
      <c r="K189" s="997"/>
      <c r="L189" s="997"/>
      <c r="M189" s="997"/>
      <c r="N189" s="997"/>
      <c r="O189" s="997"/>
      <c r="P189" s="997"/>
      <c r="Q189" s="809"/>
      <c r="R189" s="809"/>
      <c r="S189" s="809"/>
      <c r="T189" s="809"/>
      <c r="U189" s="809"/>
      <c r="V189" s="809"/>
      <c r="W189" s="549"/>
      <c r="X189" s="549"/>
      <c r="Y189" s="549"/>
      <c r="Z189" s="549"/>
      <c r="AA189" s="186"/>
      <c r="AB189" s="549"/>
      <c r="AC189" s="549"/>
      <c r="AD189" s="154"/>
      <c r="AE189" s="154"/>
      <c r="AF189" s="882"/>
      <c r="AG189" s="882"/>
      <c r="AH189" s="882"/>
      <c r="AI189" s="882"/>
      <c r="AJ189" s="882"/>
      <c r="AK189" s="882"/>
      <c r="AL189" s="882"/>
      <c r="AM189" s="931"/>
      <c r="AN189" s="931"/>
      <c r="AO189" s="931"/>
      <c r="AP189" s="931"/>
      <c r="AQ189" s="931"/>
      <c r="AR189" s="931"/>
      <c r="AS189" s="931"/>
      <c r="AT189" s="997"/>
      <c r="AU189" s="1453"/>
      <c r="AV189" s="1453"/>
      <c r="AW189" s="1256"/>
    </row>
    <row r="190">
      <c r="A190" s="1375"/>
      <c r="B190" s="1636"/>
      <c r="C190" s="1637"/>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549"/>
      <c r="AB190" s="186"/>
      <c r="AC190" s="186"/>
      <c r="AD190" s="186"/>
      <c r="AE190" s="186"/>
      <c r="AF190" s="186"/>
      <c r="AG190" s="186"/>
      <c r="AH190" s="186"/>
      <c r="AI190" s="186"/>
      <c r="AJ190" s="186"/>
      <c r="AK190" s="186"/>
      <c r="AL190" s="186"/>
      <c r="AM190" s="186"/>
      <c r="AN190" s="186"/>
      <c r="AO190" s="186"/>
      <c r="AP190" s="186"/>
      <c r="AQ190" s="186"/>
      <c r="AR190" s="186"/>
      <c r="AS190" s="186"/>
      <c r="AT190" s="186"/>
      <c r="AU190" s="186"/>
      <c r="AV190" s="186"/>
      <c r="AW190" s="1227"/>
    </row>
    <row r="191">
      <c r="A191" s="1391"/>
      <c r="B191" s="1640"/>
      <c r="C191" s="1641"/>
      <c r="D191" s="154"/>
      <c r="E191" s="154"/>
      <c r="F191" s="154"/>
      <c r="G191" s="154"/>
      <c r="H191" s="747"/>
      <c r="I191" s="747"/>
      <c r="J191" s="997"/>
      <c r="K191" s="997"/>
      <c r="L191" s="997"/>
      <c r="M191" s="997"/>
      <c r="N191" s="997"/>
      <c r="O191" s="997"/>
      <c r="P191" s="997"/>
      <c r="Q191" s="809"/>
      <c r="R191" s="809"/>
      <c r="S191" s="809"/>
      <c r="T191" s="809"/>
      <c r="U191" s="809"/>
      <c r="V191" s="809"/>
      <c r="W191" s="549"/>
      <c r="X191" s="549"/>
      <c r="Y191" s="549"/>
      <c r="Z191" s="549"/>
      <c r="AA191" s="186"/>
      <c r="AB191" s="549"/>
      <c r="AC191" s="549"/>
      <c r="AD191" s="154"/>
      <c r="AE191" s="154"/>
      <c r="AF191" s="882"/>
      <c r="AG191" s="882"/>
      <c r="AH191" s="882"/>
      <c r="AI191" s="882"/>
      <c r="AJ191" s="882"/>
      <c r="AK191" s="882"/>
      <c r="AL191" s="882"/>
      <c r="AM191" s="931"/>
      <c r="AN191" s="931"/>
      <c r="AO191" s="931"/>
      <c r="AP191" s="931"/>
      <c r="AQ191" s="931"/>
      <c r="AR191" s="931"/>
      <c r="AS191" s="931"/>
      <c r="AT191" s="997"/>
      <c r="AU191" s="1453"/>
      <c r="AV191" s="1453"/>
      <c r="AW191" s="1256"/>
    </row>
    <row r="192">
      <c r="A192" s="1375"/>
      <c r="B192" s="1636"/>
      <c r="C192" s="1637"/>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549"/>
      <c r="AB192" s="186"/>
      <c r="AC192" s="186"/>
      <c r="AD192" s="186"/>
      <c r="AE192" s="186"/>
      <c r="AF192" s="186"/>
      <c r="AG192" s="186"/>
      <c r="AH192" s="186"/>
      <c r="AI192" s="186"/>
      <c r="AJ192" s="186"/>
      <c r="AK192" s="186"/>
      <c r="AL192" s="186"/>
      <c r="AM192" s="186"/>
      <c r="AN192" s="186"/>
      <c r="AO192" s="186"/>
      <c r="AP192" s="186"/>
      <c r="AQ192" s="186"/>
      <c r="AR192" s="186"/>
      <c r="AS192" s="186"/>
      <c r="AT192" s="186"/>
      <c r="AU192" s="186"/>
      <c r="AV192" s="186"/>
      <c r="AW192" s="1227"/>
    </row>
    <row r="193">
      <c r="A193" s="1391"/>
      <c r="B193" s="1640"/>
      <c r="C193" s="1641"/>
      <c r="D193" s="154"/>
      <c r="E193" s="154"/>
      <c r="F193" s="154"/>
      <c r="G193" s="154"/>
      <c r="H193" s="747"/>
      <c r="I193" s="747"/>
      <c r="J193" s="997"/>
      <c r="K193" s="997"/>
      <c r="L193" s="997"/>
      <c r="M193" s="997"/>
      <c r="N193" s="997"/>
      <c r="O193" s="997"/>
      <c r="P193" s="997"/>
      <c r="Q193" s="809"/>
      <c r="R193" s="809"/>
      <c r="S193" s="809"/>
      <c r="T193" s="809"/>
      <c r="U193" s="809"/>
      <c r="V193" s="809"/>
      <c r="W193" s="549"/>
      <c r="X193" s="549"/>
      <c r="Y193" s="549"/>
      <c r="Z193" s="549"/>
      <c r="AA193" s="186"/>
      <c r="AB193" s="549"/>
      <c r="AC193" s="549"/>
      <c r="AD193" s="154"/>
      <c r="AE193" s="154"/>
      <c r="AF193" s="882"/>
      <c r="AG193" s="882"/>
      <c r="AH193" s="882"/>
      <c r="AI193" s="882"/>
      <c r="AJ193" s="882"/>
      <c r="AK193" s="882"/>
      <c r="AL193" s="882"/>
      <c r="AM193" s="931"/>
      <c r="AN193" s="931"/>
      <c r="AO193" s="931"/>
      <c r="AP193" s="931"/>
      <c r="AQ193" s="931"/>
      <c r="AR193" s="931"/>
      <c r="AS193" s="931"/>
      <c r="AT193" s="997"/>
      <c r="AU193" s="1453"/>
      <c r="AV193" s="1453"/>
      <c r="AW193" s="1256"/>
    </row>
    <row r="194">
      <c r="A194" s="1375"/>
      <c r="B194" s="1636"/>
      <c r="C194" s="1637"/>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549"/>
      <c r="AB194" s="186"/>
      <c r="AC194" s="186"/>
      <c r="AD194" s="186"/>
      <c r="AE194" s="186"/>
      <c r="AF194" s="186"/>
      <c r="AG194" s="186"/>
      <c r="AH194" s="186"/>
      <c r="AI194" s="186"/>
      <c r="AJ194" s="186"/>
      <c r="AK194" s="186"/>
      <c r="AL194" s="186"/>
      <c r="AM194" s="186"/>
      <c r="AN194" s="186"/>
      <c r="AO194" s="186"/>
      <c r="AP194" s="186"/>
      <c r="AQ194" s="186"/>
      <c r="AR194" s="186"/>
      <c r="AS194" s="186"/>
      <c r="AT194" s="186"/>
      <c r="AU194" s="186"/>
      <c r="AV194" s="186"/>
      <c r="AW194" s="1227"/>
    </row>
    <row r="195">
      <c r="A195" s="1391"/>
      <c r="B195" s="1640"/>
      <c r="C195" s="1641"/>
      <c r="D195" s="154"/>
      <c r="E195" s="154"/>
      <c r="F195" s="154"/>
      <c r="G195" s="154"/>
      <c r="H195" s="747"/>
      <c r="I195" s="747"/>
      <c r="J195" s="997"/>
      <c r="K195" s="997"/>
      <c r="L195" s="997"/>
      <c r="M195" s="997"/>
      <c r="N195" s="997"/>
      <c r="O195" s="997"/>
      <c r="P195" s="997"/>
      <c r="Q195" s="809"/>
      <c r="R195" s="809"/>
      <c r="S195" s="809"/>
      <c r="T195" s="809"/>
      <c r="U195" s="809"/>
      <c r="V195" s="809"/>
      <c r="W195" s="549"/>
      <c r="X195" s="549"/>
      <c r="Y195" s="549"/>
      <c r="Z195" s="549"/>
      <c r="AA195" s="186"/>
      <c r="AB195" s="549"/>
      <c r="AC195" s="549"/>
      <c r="AD195" s="154"/>
      <c r="AE195" s="154"/>
      <c r="AF195" s="882"/>
      <c r="AG195" s="882"/>
      <c r="AH195" s="882"/>
      <c r="AI195" s="882"/>
      <c r="AJ195" s="882"/>
      <c r="AK195" s="882"/>
      <c r="AL195" s="882"/>
      <c r="AM195" s="931"/>
      <c r="AN195" s="931"/>
      <c r="AO195" s="931"/>
      <c r="AP195" s="931"/>
      <c r="AQ195" s="931"/>
      <c r="AR195" s="931"/>
      <c r="AS195" s="931"/>
      <c r="AT195" s="997"/>
      <c r="AU195" s="1453"/>
      <c r="AV195" s="1453"/>
      <c r="AW195" s="1256"/>
    </row>
    <row r="196">
      <c r="A196" s="1375"/>
      <c r="B196" s="1636"/>
      <c r="C196" s="1637"/>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549"/>
      <c r="AB196" s="186"/>
      <c r="AC196" s="186"/>
      <c r="AD196" s="186"/>
      <c r="AE196" s="186"/>
      <c r="AF196" s="186"/>
      <c r="AG196" s="186"/>
      <c r="AH196" s="186"/>
      <c r="AI196" s="186"/>
      <c r="AJ196" s="186"/>
      <c r="AK196" s="186"/>
      <c r="AL196" s="186"/>
      <c r="AM196" s="186"/>
      <c r="AN196" s="186"/>
      <c r="AO196" s="186"/>
      <c r="AP196" s="186"/>
      <c r="AQ196" s="186"/>
      <c r="AR196" s="186"/>
      <c r="AS196" s="186"/>
      <c r="AT196" s="186"/>
      <c r="AU196" s="186"/>
      <c r="AV196" s="186"/>
      <c r="AW196" s="1227"/>
    </row>
    <row r="197">
      <c r="A197" s="1391"/>
      <c r="B197" s="1640"/>
      <c r="C197" s="1641"/>
      <c r="D197" s="154"/>
      <c r="E197" s="154"/>
      <c r="F197" s="154"/>
      <c r="G197" s="154"/>
      <c r="H197" s="747"/>
      <c r="I197" s="747"/>
      <c r="J197" s="997"/>
      <c r="K197" s="997"/>
      <c r="L197" s="997"/>
      <c r="M197" s="997"/>
      <c r="N197" s="997"/>
      <c r="O197" s="997"/>
      <c r="P197" s="997"/>
      <c r="Q197" s="809"/>
      <c r="R197" s="809"/>
      <c r="S197" s="809"/>
      <c r="T197" s="809"/>
      <c r="U197" s="809"/>
      <c r="V197" s="809"/>
      <c r="W197" s="549"/>
      <c r="X197" s="549"/>
      <c r="Y197" s="549"/>
      <c r="Z197" s="549"/>
      <c r="AA197" s="186"/>
      <c r="AB197" s="549"/>
      <c r="AC197" s="549"/>
      <c r="AD197" s="154"/>
      <c r="AE197" s="154"/>
      <c r="AF197" s="882"/>
      <c r="AG197" s="882"/>
      <c r="AH197" s="882"/>
      <c r="AI197" s="882"/>
      <c r="AJ197" s="882"/>
      <c r="AK197" s="882"/>
      <c r="AL197" s="882"/>
      <c r="AM197" s="931"/>
      <c r="AN197" s="931"/>
      <c r="AO197" s="931"/>
      <c r="AP197" s="931"/>
      <c r="AQ197" s="931"/>
      <c r="AR197" s="931"/>
      <c r="AS197" s="931"/>
      <c r="AT197" s="997"/>
      <c r="AU197" s="1453"/>
      <c r="AV197" s="1453"/>
      <c r="AW197" s="1256"/>
    </row>
    <row r="198">
      <c r="A198" s="1375"/>
      <c r="B198" s="1636"/>
      <c r="C198" s="1637"/>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549"/>
      <c r="AB198" s="186"/>
      <c r="AC198" s="186"/>
      <c r="AD198" s="186"/>
      <c r="AE198" s="186"/>
      <c r="AF198" s="186"/>
      <c r="AG198" s="186"/>
      <c r="AH198" s="186"/>
      <c r="AI198" s="186"/>
      <c r="AJ198" s="186"/>
      <c r="AK198" s="186"/>
      <c r="AL198" s="186"/>
      <c r="AM198" s="186"/>
      <c r="AN198" s="186"/>
      <c r="AO198" s="186"/>
      <c r="AP198" s="186"/>
      <c r="AQ198" s="186"/>
      <c r="AR198" s="186"/>
      <c r="AS198" s="186"/>
      <c r="AT198" s="186"/>
      <c r="AU198" s="186"/>
      <c r="AV198" s="186"/>
      <c r="AW198" s="1227"/>
    </row>
  </sheetData>
  <conditionalFormatting sqref="B2 B5:B99 B101:B198">
    <cfRule type="containsText" dxfId="21" priority="1" operator="containsText" text="NTSC-J">
      <formula>NOT(ISERROR(SEARCH(("NTSC-J"),(B2))))</formula>
    </cfRule>
  </conditionalFormatting>
  <conditionalFormatting sqref="B2 B5:B99 B101:B198">
    <cfRule type="containsText" dxfId="22" priority="2" operator="containsText" text="NTSC-U">
      <formula>NOT(ISERROR(SEARCH(("NTSC-U"),(B2))))</formula>
    </cfRule>
  </conditionalFormatting>
  <conditionalFormatting sqref="B2 B5:B99 B101:B198">
    <cfRule type="containsText" dxfId="23" priority="3" operator="containsText" text="PAL">
      <formula>NOT(ISERROR(SEARCH(("PAL"),(B2))))</formula>
    </cfRule>
  </conditionalFormatting>
  <hyperlinks>
    <hyperlink r:id="rId2" ref="D5"/>
    <hyperlink r:id="rId3" ref="E5"/>
    <hyperlink r:id="rId4" ref="F5"/>
    <hyperlink r:id="rId5" ref="G5"/>
    <hyperlink r:id="rId6" ref="H5"/>
    <hyperlink r:id="rId7" ref="I5"/>
    <hyperlink r:id="rId8" ref="J5"/>
    <hyperlink r:id="rId9" ref="K5"/>
    <hyperlink r:id="rId10" ref="L5"/>
    <hyperlink r:id="rId11" ref="M5"/>
    <hyperlink r:id="rId12" ref="N5"/>
    <hyperlink r:id="rId13" ref="O5"/>
    <hyperlink r:id="rId14" ref="P5"/>
    <hyperlink r:id="rId15" ref="Q5"/>
    <hyperlink r:id="rId16" ref="R5"/>
    <hyperlink r:id="rId17" ref="S5"/>
    <hyperlink r:id="rId18" ref="T5"/>
    <hyperlink r:id="rId19" ref="U5"/>
    <hyperlink r:id="rId20" ref="V5"/>
    <hyperlink r:id="rId21" ref="W5"/>
    <hyperlink r:id="rId22" ref="X5"/>
    <hyperlink r:id="rId23" ref="Y5"/>
    <hyperlink r:id="rId24" ref="Z5"/>
    <hyperlink r:id="rId25" ref="AA5"/>
    <hyperlink r:id="rId26" ref="AB5"/>
    <hyperlink r:id="rId27" ref="AC5"/>
    <hyperlink r:id="rId28" ref="AD5"/>
    <hyperlink r:id="rId29" ref="AE5"/>
    <hyperlink r:id="rId30" ref="AG5"/>
    <hyperlink r:id="rId31" ref="AH5"/>
    <hyperlink r:id="rId32" ref="AI5"/>
    <hyperlink r:id="rId33" ref="AJ5"/>
    <hyperlink r:id="rId34" ref="AK5"/>
    <hyperlink r:id="rId35" ref="AL5"/>
    <hyperlink r:id="rId36" ref="AM5"/>
    <hyperlink r:id="rId37" ref="AN5"/>
    <hyperlink r:id="rId38" ref="AO5"/>
    <hyperlink r:id="rId39" ref="AP5"/>
    <hyperlink r:id="rId40" ref="AQ5"/>
    <hyperlink r:id="rId41" ref="AR5"/>
    <hyperlink r:id="rId42" ref="AS5"/>
    <hyperlink r:id="rId43" ref="AT5"/>
    <hyperlink r:id="rId44" ref="D6"/>
    <hyperlink r:id="rId45" ref="E6"/>
    <hyperlink r:id="rId46" ref="F6"/>
    <hyperlink r:id="rId47" ref="G6"/>
    <hyperlink r:id="rId48" ref="H6"/>
    <hyperlink r:id="rId49" ref="I6"/>
    <hyperlink r:id="rId50" ref="J6"/>
    <hyperlink r:id="rId51" ref="K6"/>
    <hyperlink r:id="rId52" ref="L6"/>
    <hyperlink r:id="rId53" ref="M6"/>
    <hyperlink r:id="rId54" ref="N6"/>
    <hyperlink r:id="rId55" ref="O6"/>
    <hyperlink r:id="rId56" ref="P6"/>
    <hyperlink r:id="rId57" ref="Q6"/>
    <hyperlink r:id="rId58" ref="R6"/>
    <hyperlink r:id="rId59" ref="S6"/>
    <hyperlink r:id="rId60" ref="T6"/>
    <hyperlink r:id="rId61" ref="U6"/>
    <hyperlink r:id="rId62" ref="V6"/>
    <hyperlink r:id="rId63" ref="W6"/>
    <hyperlink r:id="rId64" ref="X6"/>
    <hyperlink r:id="rId65" ref="Y6"/>
    <hyperlink r:id="rId66" ref="Z6"/>
    <hyperlink r:id="rId67" ref="AA6"/>
    <hyperlink r:id="rId68" ref="AB6"/>
    <hyperlink r:id="rId69" ref="AC6"/>
    <hyperlink r:id="rId70" ref="AD6"/>
    <hyperlink r:id="rId71" ref="AE6"/>
    <hyperlink r:id="rId72" ref="AF6"/>
    <hyperlink r:id="rId73" ref="AG6"/>
    <hyperlink r:id="rId74" ref="AH6"/>
    <hyperlink r:id="rId75" ref="AI6"/>
    <hyperlink r:id="rId76" ref="AJ6"/>
    <hyperlink r:id="rId77" ref="AK6"/>
    <hyperlink r:id="rId78" ref="AL6"/>
    <hyperlink r:id="rId79" ref="AM6"/>
    <hyperlink r:id="rId80" ref="AN6"/>
    <hyperlink r:id="rId81" ref="AO6"/>
    <hyperlink r:id="rId82" ref="AP6"/>
    <hyperlink r:id="rId83" ref="AQ6"/>
    <hyperlink r:id="rId84" ref="AR6"/>
    <hyperlink r:id="rId85" ref="AS6"/>
    <hyperlink r:id="rId86" ref="AT6"/>
    <hyperlink r:id="rId87" ref="D8"/>
    <hyperlink r:id="rId88" ref="E8"/>
    <hyperlink r:id="rId89" ref="G8"/>
    <hyperlink r:id="rId90" ref="J8"/>
    <hyperlink r:id="rId91" ref="N8"/>
    <hyperlink r:id="rId92" ref="Q8"/>
    <hyperlink r:id="rId93" ref="AM8"/>
    <hyperlink r:id="rId94" ref="AN8"/>
    <hyperlink r:id="rId95" ref="AO8"/>
    <hyperlink r:id="rId96" ref="AR8"/>
    <hyperlink r:id="rId97" ref="AT8"/>
    <hyperlink r:id="rId98" ref="H9"/>
    <hyperlink r:id="rId99" ref="O9"/>
    <hyperlink r:id="rId100" ref="U9"/>
    <hyperlink r:id="rId101" ref="X9"/>
    <hyperlink r:id="rId102" ref="AF9"/>
    <hyperlink r:id="rId103" ref="AJ9"/>
    <hyperlink r:id="rId104" ref="AR9"/>
    <hyperlink r:id="rId105" ref="AT9"/>
    <hyperlink r:id="rId106" ref="S10"/>
    <hyperlink r:id="rId107" ref="X10"/>
    <hyperlink r:id="rId108" ref="Z10"/>
    <hyperlink r:id="rId109" ref="AA10"/>
    <hyperlink r:id="rId110" ref="AD10"/>
    <hyperlink r:id="rId111" ref="AI10"/>
    <hyperlink r:id="rId112" ref="AK10"/>
    <hyperlink r:id="rId113" ref="AN10"/>
    <hyperlink r:id="rId114" ref="AO10"/>
    <hyperlink r:id="rId115" ref="AQ10"/>
    <hyperlink r:id="rId116" ref="AR10"/>
    <hyperlink r:id="rId117" ref="D13"/>
    <hyperlink r:id="rId118" ref="G13"/>
    <hyperlink r:id="rId119" ref="H13"/>
    <hyperlink r:id="rId120" ref="L13"/>
    <hyperlink r:id="rId121" ref="W13"/>
    <hyperlink r:id="rId122" ref="X13"/>
    <hyperlink r:id="rId123" ref="Z13"/>
    <hyperlink r:id="rId124" ref="AC13"/>
    <hyperlink r:id="rId125" ref="AF13"/>
    <hyperlink r:id="rId126" ref="AG13"/>
    <hyperlink r:id="rId127" ref="AH13"/>
    <hyperlink r:id="rId128" ref="AI13"/>
    <hyperlink r:id="rId129" ref="AK13"/>
    <hyperlink r:id="rId130" ref="AL13"/>
    <hyperlink r:id="rId131" ref="AP13"/>
    <hyperlink r:id="rId132" ref="AQ13"/>
    <hyperlink r:id="rId133" ref="AR13"/>
    <hyperlink r:id="rId134" ref="AS13"/>
    <hyperlink r:id="rId135" ref="G14"/>
    <hyperlink r:id="rId136" ref="K14"/>
    <hyperlink r:id="rId137" ref="AF15"/>
    <hyperlink r:id="rId138" ref="AQ15"/>
    <hyperlink r:id="rId139" ref="H16"/>
    <hyperlink r:id="rId140" ref="Q16"/>
    <hyperlink r:id="rId141" ref="S16"/>
    <hyperlink r:id="rId142" ref="U16"/>
    <hyperlink r:id="rId143" ref="D18"/>
    <hyperlink r:id="rId144" ref="E18"/>
    <hyperlink r:id="rId145" ref="G18"/>
    <hyperlink r:id="rId146" ref="H18"/>
    <hyperlink r:id="rId147" ref="I18"/>
    <hyperlink r:id="rId148" ref="J18"/>
    <hyperlink r:id="rId149" ref="K18"/>
    <hyperlink r:id="rId150" ref="L18"/>
    <hyperlink r:id="rId151" ref="M18"/>
    <hyperlink r:id="rId152" ref="N18"/>
    <hyperlink r:id="rId153" ref="O18"/>
    <hyperlink r:id="rId154" ref="P18"/>
    <hyperlink r:id="rId155" ref="Q18"/>
    <hyperlink r:id="rId156" ref="R18"/>
    <hyperlink r:id="rId157" ref="S18"/>
    <hyperlink r:id="rId158" ref="T18"/>
    <hyperlink r:id="rId159" ref="U18"/>
    <hyperlink r:id="rId160" ref="V18"/>
    <hyperlink r:id="rId161" ref="W18"/>
    <hyperlink r:id="rId162" ref="X18"/>
    <hyperlink r:id="rId163" ref="Z18"/>
    <hyperlink r:id="rId164" ref="AA18"/>
    <hyperlink r:id="rId165" ref="AB18"/>
    <hyperlink r:id="rId166" ref="AC18"/>
    <hyperlink r:id="rId167" ref="AD18"/>
    <hyperlink r:id="rId168" ref="AE18"/>
    <hyperlink r:id="rId169" ref="AF18"/>
    <hyperlink r:id="rId170" ref="AG18"/>
    <hyperlink r:id="rId171" ref="AH18"/>
    <hyperlink r:id="rId172" ref="AI18"/>
    <hyperlink r:id="rId173" ref="AJ18"/>
    <hyperlink r:id="rId174" ref="AK18"/>
    <hyperlink r:id="rId175" ref="AL18"/>
    <hyperlink r:id="rId176" ref="AM18"/>
    <hyperlink r:id="rId177" ref="AN18"/>
    <hyperlink r:id="rId178" ref="AO18"/>
    <hyperlink r:id="rId179" ref="AP18"/>
    <hyperlink r:id="rId180" ref="AQ18"/>
    <hyperlink r:id="rId181" ref="AR18"/>
    <hyperlink r:id="rId182" ref="AS18"/>
    <hyperlink r:id="rId183" ref="AT18"/>
    <hyperlink r:id="rId184" ref="H19"/>
    <hyperlink r:id="rId185" ref="Y21"/>
    <hyperlink r:id="rId186" ref="AK21"/>
    <hyperlink r:id="rId187" ref="AN21"/>
    <hyperlink r:id="rId188" ref="G22"/>
    <hyperlink r:id="rId189" ref="AJ22"/>
    <hyperlink r:id="rId190" ref="G27"/>
    <hyperlink r:id="rId191" ref="M34"/>
    <hyperlink r:id="rId192" ref="T34"/>
    <hyperlink r:id="rId193" ref="Q40"/>
    <hyperlink r:id="rId194" ref="AE40"/>
    <hyperlink r:id="rId195" ref="AO42"/>
    <hyperlink r:id="rId196" ref="U47"/>
    <hyperlink r:id="rId197" ref="AJ47"/>
    <hyperlink r:id="rId198" ref="D48"/>
    <hyperlink r:id="rId199" ref="F48"/>
    <hyperlink r:id="rId200" ref="I48"/>
    <hyperlink r:id="rId201" ref="S48"/>
    <hyperlink r:id="rId202" ref="W48"/>
    <hyperlink r:id="rId203" ref="AG48"/>
    <hyperlink r:id="rId204" ref="AT48"/>
    <hyperlink r:id="rId205" ref="L50"/>
    <hyperlink r:id="rId206" ref="R50"/>
    <hyperlink r:id="rId207" ref="Y50"/>
    <hyperlink r:id="rId208" ref="AN50"/>
    <hyperlink r:id="rId209" ref="AP59"/>
    <hyperlink r:id="rId210" ref="AF60"/>
    <hyperlink r:id="rId211" ref="D71"/>
    <hyperlink r:id="rId212" ref="E71"/>
    <hyperlink r:id="rId213" ref="F71"/>
    <hyperlink r:id="rId214" ref="G71"/>
    <hyperlink r:id="rId215" ref="H71"/>
    <hyperlink r:id="rId216" ref="I71"/>
    <hyperlink r:id="rId217" ref="J71"/>
    <hyperlink r:id="rId218" ref="K71"/>
    <hyperlink r:id="rId219" ref="L71"/>
    <hyperlink r:id="rId220" ref="M71"/>
    <hyperlink r:id="rId221" ref="N71"/>
    <hyperlink r:id="rId222" ref="O71"/>
    <hyperlink r:id="rId223" ref="P71"/>
    <hyperlink r:id="rId224" ref="Q71"/>
    <hyperlink r:id="rId225" ref="R71"/>
    <hyperlink r:id="rId226" ref="S71"/>
    <hyperlink r:id="rId227" ref="T71"/>
    <hyperlink r:id="rId228" ref="U71"/>
    <hyperlink r:id="rId229" ref="V71"/>
    <hyperlink r:id="rId230" ref="W71"/>
    <hyperlink r:id="rId231" ref="X71"/>
    <hyperlink r:id="rId232" ref="Y71"/>
    <hyperlink r:id="rId233" ref="Z71"/>
    <hyperlink r:id="rId234" ref="AA71"/>
    <hyperlink r:id="rId235" ref="AB71"/>
    <hyperlink r:id="rId236" ref="AC71"/>
    <hyperlink r:id="rId237" ref="AD71"/>
    <hyperlink r:id="rId238" ref="AE71"/>
    <hyperlink r:id="rId239" ref="AF71"/>
    <hyperlink r:id="rId240" ref="AG71"/>
    <hyperlink r:id="rId241" ref="AH71"/>
    <hyperlink r:id="rId242" ref="AI71"/>
    <hyperlink r:id="rId243" ref="AJ71"/>
    <hyperlink r:id="rId244" ref="AK71"/>
    <hyperlink r:id="rId245" ref="AL71"/>
    <hyperlink r:id="rId246" ref="AM71"/>
    <hyperlink r:id="rId247" ref="AN71"/>
    <hyperlink r:id="rId248" ref="AO71"/>
    <hyperlink r:id="rId249" ref="AP71"/>
    <hyperlink r:id="rId250" ref="AQ71"/>
    <hyperlink r:id="rId251" ref="AR71"/>
    <hyperlink r:id="rId252" ref="AS71"/>
    <hyperlink r:id="rId253" ref="AT71"/>
    <hyperlink r:id="rId254" ref="K80"/>
    <hyperlink r:id="rId255" ref="AD80"/>
    <hyperlink r:id="rId256" ref="AQ80"/>
    <hyperlink r:id="rId257" ref="AF81"/>
    <hyperlink r:id="rId258" ref="AS81"/>
    <hyperlink r:id="rId259" ref="AD85"/>
    <hyperlink r:id="rId260" ref="AN85"/>
    <hyperlink r:id="rId261" ref="W102"/>
    <hyperlink r:id="rId262" ref="AB102"/>
    <hyperlink r:id="rId263" ref="AM102"/>
    <hyperlink r:id="rId264" ref="AF103"/>
  </hyperlinks>
  <drawing r:id="rId265"/>
  <legacyDrawing r:id="rId266"/>
  <tableParts count="11">
    <tablePart r:id="rId278"/>
    <tablePart r:id="rId279"/>
    <tablePart r:id="rId280"/>
    <tablePart r:id="rId281"/>
    <tablePart r:id="rId282"/>
    <tablePart r:id="rId283"/>
    <tablePart r:id="rId284"/>
    <tablePart r:id="rId285"/>
    <tablePart r:id="rId286"/>
    <tablePart r:id="rId287"/>
    <tablePart r:id="rId28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13" width="10.75"/>
    <col customWidth="1" min="14" max="14" width="8.25"/>
    <col customWidth="1" min="15" max="15" width="62.63"/>
  </cols>
  <sheetData>
    <row r="1">
      <c r="A1" s="1036" t="s">
        <v>43</v>
      </c>
      <c r="B1" s="1037" t="s">
        <v>5340</v>
      </c>
      <c r="C1" s="1038" t="s">
        <v>5342</v>
      </c>
      <c r="D1" s="1304" t="s">
        <v>6678</v>
      </c>
      <c r="E1" s="1306" t="s">
        <v>37</v>
      </c>
      <c r="F1" s="1307" t="s">
        <v>41</v>
      </c>
      <c r="G1" s="1308" t="s">
        <v>38</v>
      </c>
      <c r="H1" s="1310" t="s">
        <v>36</v>
      </c>
      <c r="I1" s="1304" t="s">
        <v>6683</v>
      </c>
      <c r="J1" s="1311" t="s">
        <v>39</v>
      </c>
      <c r="K1" s="1312" t="s">
        <v>40</v>
      </c>
      <c r="L1" s="1048" t="s">
        <v>5389</v>
      </c>
      <c r="M1" s="1049" t="s">
        <v>5392</v>
      </c>
      <c r="N1" s="1313" t="s">
        <v>5393</v>
      </c>
      <c r="O1" s="1314" t="s">
        <v>5394</v>
      </c>
    </row>
    <row r="2" ht="15.75" customHeight="1">
      <c r="A2" s="1315" t="s">
        <v>5395</v>
      </c>
      <c r="B2" s="1316" t="s">
        <v>5396</v>
      </c>
      <c r="C2" s="1317">
        <v>0.0496875</v>
      </c>
      <c r="D2" s="1055" t="s">
        <v>6685</v>
      </c>
      <c r="E2" s="1321" t="s">
        <v>6692</v>
      </c>
      <c r="F2" s="1322" t="s">
        <v>6693</v>
      </c>
      <c r="G2" s="1325" t="s">
        <v>6694</v>
      </c>
      <c r="H2" s="1064" t="s">
        <v>6708</v>
      </c>
      <c r="I2" s="1330" t="s">
        <v>6711</v>
      </c>
      <c r="J2" s="1331" t="s">
        <v>6714</v>
      </c>
      <c r="K2" s="1333" t="s">
        <v>6715</v>
      </c>
      <c r="L2" s="1335" t="s">
        <v>5436</v>
      </c>
      <c r="M2" s="1317">
        <v>0.05017361111111111</v>
      </c>
      <c r="N2" s="1336" t="str">
        <f t="shared" ref="N2:N41" si="1">TEXT(M2-C2, "m:ss")</f>
        <v>0:42</v>
      </c>
      <c r="O2" s="1337"/>
    </row>
    <row r="3" ht="15.75" customHeight="1">
      <c r="A3" s="1338" t="s">
        <v>5443</v>
      </c>
      <c r="B3" s="1339" t="s">
        <v>5444</v>
      </c>
      <c r="C3" s="1340">
        <v>0.051458333333333335</v>
      </c>
      <c r="D3" s="1078" t="s">
        <v>6756</v>
      </c>
      <c r="E3" s="1079" t="s">
        <v>6758</v>
      </c>
      <c r="F3" s="1080" t="s">
        <v>6760</v>
      </c>
      <c r="G3" s="1081" t="s">
        <v>6761</v>
      </c>
      <c r="H3" s="1083" t="s">
        <v>6763</v>
      </c>
      <c r="I3" s="1078" t="s">
        <v>6766</v>
      </c>
      <c r="J3" s="1085" t="s">
        <v>6768</v>
      </c>
      <c r="K3" s="1088" t="s">
        <v>6770</v>
      </c>
      <c r="L3" s="1080" t="s">
        <v>5477</v>
      </c>
      <c r="M3" s="1340">
        <v>0.05236111111111111</v>
      </c>
      <c r="N3" s="1342" t="str">
        <f t="shared" si="1"/>
        <v>1:18</v>
      </c>
      <c r="O3" s="1343"/>
    </row>
    <row r="4" ht="15.75" customHeight="1">
      <c r="A4" s="1344" t="s">
        <v>5481</v>
      </c>
      <c r="B4" s="1345" t="s">
        <v>5482</v>
      </c>
      <c r="C4" s="1347">
        <f>C26</f>
        <v>0.05158564815</v>
      </c>
      <c r="D4" s="1348" t="s">
        <v>6788</v>
      </c>
      <c r="E4" s="1349" t="s">
        <v>6791</v>
      </c>
      <c r="F4" s="1350" t="s">
        <v>6795</v>
      </c>
      <c r="G4" s="1351" t="s">
        <v>6798</v>
      </c>
      <c r="H4" s="1352" t="s">
        <v>6800</v>
      </c>
      <c r="I4" s="1348" t="s">
        <v>6804</v>
      </c>
      <c r="J4" s="1353" t="s">
        <v>6806</v>
      </c>
      <c r="K4" s="1354" t="s">
        <v>6807</v>
      </c>
      <c r="L4" s="1355" t="s">
        <v>5520</v>
      </c>
      <c r="M4" s="1356">
        <f>M26</f>
        <v>0.0521412037</v>
      </c>
      <c r="N4" s="1356" t="str">
        <f t="shared" si="1"/>
        <v>0:48</v>
      </c>
      <c r="O4" s="1337"/>
    </row>
    <row r="5" ht="15.75" customHeight="1">
      <c r="A5" s="634" t="s">
        <v>65</v>
      </c>
      <c r="B5" s="1357" t="s">
        <v>5396</v>
      </c>
      <c r="C5" s="1358">
        <v>0.04954861111111111</v>
      </c>
      <c r="D5" s="1359" t="s">
        <v>6685</v>
      </c>
      <c r="E5" s="1178" t="s">
        <v>6829</v>
      </c>
      <c r="F5" s="1361" t="s">
        <v>6693</v>
      </c>
      <c r="G5" s="1359" t="s">
        <v>6694</v>
      </c>
      <c r="H5" s="1359" t="s">
        <v>6708</v>
      </c>
      <c r="I5" s="1359" t="s">
        <v>6854</v>
      </c>
      <c r="J5" s="1359" t="s">
        <v>6860</v>
      </c>
      <c r="K5" s="1359" t="s">
        <v>6715</v>
      </c>
      <c r="L5" s="1111" t="s">
        <v>5577</v>
      </c>
      <c r="M5" s="1363">
        <v>0.05017361111111111</v>
      </c>
      <c r="N5" s="1364" t="str">
        <f t="shared" si="1"/>
        <v>0:54</v>
      </c>
      <c r="O5" s="1236" t="s">
        <v>6905</v>
      </c>
    </row>
    <row r="6">
      <c r="A6" s="1365" t="s">
        <v>52</v>
      </c>
      <c r="B6" s="1366" t="s">
        <v>5396</v>
      </c>
      <c r="C6" s="1367">
        <v>0.049861342592592596</v>
      </c>
      <c r="D6" s="1368" t="s">
        <v>6909</v>
      </c>
      <c r="E6" s="1369" t="s">
        <v>6916</v>
      </c>
      <c r="F6" s="1370" t="s">
        <v>6918</v>
      </c>
      <c r="G6" s="1370" t="s">
        <v>6925</v>
      </c>
      <c r="H6" s="1371" t="s">
        <v>6931</v>
      </c>
      <c r="I6" s="1370" t="s">
        <v>6936</v>
      </c>
      <c r="J6" s="1370" t="s">
        <v>6946</v>
      </c>
      <c r="K6" s="1373" t="s">
        <v>6957</v>
      </c>
      <c r="L6" s="1370" t="s">
        <v>5643</v>
      </c>
      <c r="M6" s="1374">
        <v>0.05049768518518519</v>
      </c>
      <c r="N6" s="1374" t="str">
        <f t="shared" si="1"/>
        <v>0:55</v>
      </c>
      <c r="O6" s="1236"/>
    </row>
    <row r="7" ht="15.75" customHeight="1">
      <c r="A7" s="1375" t="s">
        <v>88</v>
      </c>
      <c r="B7" s="1108" t="s">
        <v>5396</v>
      </c>
      <c r="C7" s="1376">
        <v>0.0499537037037037</v>
      </c>
      <c r="D7" s="1175" t="s">
        <v>6988</v>
      </c>
      <c r="E7" s="1175" t="s">
        <v>6989</v>
      </c>
      <c r="F7" s="1175" t="s">
        <v>6992</v>
      </c>
      <c r="G7" s="1175" t="s">
        <v>6994</v>
      </c>
      <c r="H7" s="1175" t="s">
        <v>6997</v>
      </c>
      <c r="I7" s="1175" t="s">
        <v>6999</v>
      </c>
      <c r="J7" s="1175" t="s">
        <v>7001</v>
      </c>
      <c r="K7" s="1377" t="s">
        <v>7004</v>
      </c>
      <c r="L7" s="1112" t="s">
        <v>5436</v>
      </c>
      <c r="M7" s="1374">
        <v>0.05056712962962963</v>
      </c>
      <c r="N7" s="1378" t="str">
        <f t="shared" si="1"/>
        <v>0:53</v>
      </c>
      <c r="O7" s="1236" t="s">
        <v>7014</v>
      </c>
    </row>
    <row r="8" ht="15.75" customHeight="1">
      <c r="A8" s="1380" t="s">
        <v>305</v>
      </c>
      <c r="B8" s="1108" t="s">
        <v>5396</v>
      </c>
      <c r="C8" s="1367">
        <v>0.04998842592592593</v>
      </c>
      <c r="D8" s="1175" t="s">
        <v>7021</v>
      </c>
      <c r="E8" s="1381" t="s">
        <v>6692</v>
      </c>
      <c r="F8" s="1175" t="s">
        <v>7026</v>
      </c>
      <c r="G8" s="1175" t="s">
        <v>7027</v>
      </c>
      <c r="H8" s="1175" t="s">
        <v>7029</v>
      </c>
      <c r="I8" s="1175" t="s">
        <v>1889</v>
      </c>
      <c r="J8" s="1175" t="s">
        <v>7032</v>
      </c>
      <c r="K8" s="1175" t="s">
        <v>7034</v>
      </c>
      <c r="L8" s="1175" t="s">
        <v>5678</v>
      </c>
      <c r="M8" s="1374">
        <v>0.0508912037037037</v>
      </c>
      <c r="N8" s="1378" t="str">
        <f t="shared" si="1"/>
        <v>1:18</v>
      </c>
      <c r="O8" s="1236" t="s">
        <v>7014</v>
      </c>
    </row>
    <row r="9" ht="15.75" customHeight="1">
      <c r="A9" s="1380" t="s">
        <v>5829</v>
      </c>
      <c r="B9" s="1203" t="s">
        <v>5396</v>
      </c>
      <c r="C9" s="1376">
        <v>0.05025462962962963</v>
      </c>
      <c r="D9" s="319" t="s">
        <v>7041</v>
      </c>
      <c r="E9" s="1176" t="s">
        <v>7044</v>
      </c>
      <c r="F9" s="1175" t="s">
        <v>7045</v>
      </c>
      <c r="G9" s="1175" t="s">
        <v>7047</v>
      </c>
      <c r="H9" s="1175" t="s">
        <v>7048</v>
      </c>
      <c r="I9" s="1175" t="s">
        <v>7050</v>
      </c>
      <c r="J9" s="1175" t="s">
        <v>7051</v>
      </c>
      <c r="K9" s="1175" t="s">
        <v>7053</v>
      </c>
      <c r="L9" s="1175" t="s">
        <v>5864</v>
      </c>
      <c r="M9" s="1374">
        <v>0.0506712962962963</v>
      </c>
      <c r="N9" s="1378" t="str">
        <f t="shared" si="1"/>
        <v>0:36</v>
      </c>
      <c r="O9" s="1236"/>
    </row>
    <row r="10" ht="15.75" customHeight="1">
      <c r="A10" s="1375" t="s">
        <v>99</v>
      </c>
      <c r="B10" s="1108" t="s">
        <v>5396</v>
      </c>
      <c r="C10" s="1376">
        <v>0.050416666666666665</v>
      </c>
      <c r="D10" s="1175" t="s">
        <v>7059</v>
      </c>
      <c r="E10" s="1176" t="s">
        <v>7061</v>
      </c>
      <c r="F10" s="1178" t="s">
        <v>7063</v>
      </c>
      <c r="G10" s="1178" t="s">
        <v>7073</v>
      </c>
      <c r="H10" s="1175" t="s">
        <v>7083</v>
      </c>
      <c r="I10" s="1175" t="s">
        <v>7085</v>
      </c>
      <c r="J10" s="1175" t="s">
        <v>7086</v>
      </c>
      <c r="K10" s="1175" t="s">
        <v>7088</v>
      </c>
      <c r="L10" s="1178" t="s">
        <v>7091</v>
      </c>
      <c r="M10" s="1374">
        <v>0.0512037037037037</v>
      </c>
      <c r="N10" s="1378" t="str">
        <f t="shared" si="1"/>
        <v>1:08</v>
      </c>
      <c r="O10" s="1236" t="s">
        <v>7014</v>
      </c>
    </row>
    <row r="11">
      <c r="A11" s="1382" t="s">
        <v>129</v>
      </c>
      <c r="B11" s="1383" t="s">
        <v>5396</v>
      </c>
      <c r="C11" s="1376">
        <v>0.05047453703703704</v>
      </c>
      <c r="D11" s="188" t="s">
        <v>7107</v>
      </c>
      <c r="E11" s="1176" t="s">
        <v>7109</v>
      </c>
      <c r="F11" s="1370" t="s">
        <v>7111</v>
      </c>
      <c r="G11" s="1370" t="s">
        <v>7120</v>
      </c>
      <c r="H11" s="1370" t="s">
        <v>7129</v>
      </c>
      <c r="I11" s="1175" t="s">
        <v>7130</v>
      </c>
      <c r="J11" s="1175" t="s">
        <v>7132</v>
      </c>
      <c r="K11" s="1370" t="s">
        <v>7133</v>
      </c>
      <c r="L11" s="1175" t="s">
        <v>7138</v>
      </c>
      <c r="M11" s="1374">
        <v>0.051076388888888886</v>
      </c>
      <c r="N11" s="1378" t="str">
        <f t="shared" si="1"/>
        <v>0:52</v>
      </c>
      <c r="O11" s="1236" t="s">
        <v>7141</v>
      </c>
    </row>
    <row r="12">
      <c r="A12" s="1239" t="s">
        <v>144</v>
      </c>
      <c r="B12" s="1383" t="s">
        <v>5396</v>
      </c>
      <c r="C12" s="1367">
        <v>0.050514884259259256</v>
      </c>
      <c r="D12" s="319" t="s">
        <v>7146</v>
      </c>
      <c r="E12" s="1176" t="s">
        <v>7149</v>
      </c>
      <c r="F12" s="1175" t="s">
        <v>7151</v>
      </c>
      <c r="G12" s="1175" t="s">
        <v>7152</v>
      </c>
      <c r="H12" s="1175" t="s">
        <v>7153</v>
      </c>
      <c r="I12" s="1175" t="s">
        <v>7154</v>
      </c>
      <c r="J12" s="1175" t="s">
        <v>7155</v>
      </c>
      <c r="K12" s="1175" t="s">
        <v>7157</v>
      </c>
      <c r="L12" s="1175" t="s">
        <v>5968</v>
      </c>
      <c r="M12" s="1374">
        <v>0.051319444444444445</v>
      </c>
      <c r="N12" s="1378" t="str">
        <f t="shared" si="1"/>
        <v>1:10</v>
      </c>
      <c r="O12" s="1236"/>
    </row>
    <row r="13" ht="15.75" customHeight="1">
      <c r="A13" s="634" t="s">
        <v>55</v>
      </c>
      <c r="B13" s="1388" t="s">
        <v>5396</v>
      </c>
      <c r="C13" s="1376">
        <v>0.05061342592592592</v>
      </c>
      <c r="D13" s="1389" t="s">
        <v>7162</v>
      </c>
      <c r="E13" s="1176" t="s">
        <v>7163</v>
      </c>
      <c r="F13" s="1390" t="s">
        <v>7164</v>
      </c>
      <c r="G13" s="1175" t="s">
        <v>7165</v>
      </c>
      <c r="H13" s="1390" t="s">
        <v>7168</v>
      </c>
      <c r="I13" s="1390" t="s">
        <v>7170</v>
      </c>
      <c r="J13" s="1175" t="s">
        <v>7171</v>
      </c>
      <c r="K13" s="1175" t="s">
        <v>7173</v>
      </c>
      <c r="L13" s="1175" t="s">
        <v>7175</v>
      </c>
      <c r="M13" s="1374">
        <v>0.05122685185185185</v>
      </c>
      <c r="N13" s="1378" t="str">
        <f t="shared" si="1"/>
        <v>0:53</v>
      </c>
      <c r="O13" s="1236" t="s">
        <v>7178</v>
      </c>
    </row>
    <row r="14" ht="15.75" customHeight="1">
      <c r="A14" s="1391" t="s">
        <v>110</v>
      </c>
      <c r="B14" s="1108" t="s">
        <v>5396</v>
      </c>
      <c r="C14" s="1367">
        <v>0.05061342592592592</v>
      </c>
      <c r="D14" s="188" t="s">
        <v>7181</v>
      </c>
      <c r="E14" s="1392" t="s">
        <v>7182</v>
      </c>
      <c r="F14" s="1175" t="s">
        <v>7183</v>
      </c>
      <c r="G14" s="1175" t="s">
        <v>7184</v>
      </c>
      <c r="H14" s="1175" t="s">
        <v>7185</v>
      </c>
      <c r="I14" s="1175" t="s">
        <v>7186</v>
      </c>
      <c r="J14" s="1175" t="s">
        <v>7187</v>
      </c>
      <c r="K14" s="1175" t="s">
        <v>7188</v>
      </c>
      <c r="L14" s="1175" t="s">
        <v>6255</v>
      </c>
      <c r="M14" s="1374">
        <v>0.05153935185185185</v>
      </c>
      <c r="N14" s="1378" t="str">
        <f t="shared" si="1"/>
        <v>1:20</v>
      </c>
      <c r="O14" s="1236" t="s">
        <v>7014</v>
      </c>
    </row>
    <row r="15" ht="15.75" customHeight="1">
      <c r="A15" s="1380" t="s">
        <v>984</v>
      </c>
      <c r="B15" s="1108" t="s">
        <v>5396</v>
      </c>
      <c r="C15" s="1367">
        <v>0.05068287037037037</v>
      </c>
      <c r="D15" s="1175" t="s">
        <v>7191</v>
      </c>
      <c r="E15" s="1392" t="s">
        <v>7193</v>
      </c>
      <c r="F15" s="1175" t="s">
        <v>7194</v>
      </c>
      <c r="G15" s="1175" t="s">
        <v>7196</v>
      </c>
      <c r="H15" s="1175" t="s">
        <v>7198</v>
      </c>
      <c r="I15" s="1175" t="s">
        <v>7200</v>
      </c>
      <c r="J15" s="1175" t="s">
        <v>7202</v>
      </c>
      <c r="K15" s="1175" t="s">
        <v>7206</v>
      </c>
      <c r="L15" s="1175" t="s">
        <v>5826</v>
      </c>
      <c r="M15" s="1374">
        <v>0.05164351851851852</v>
      </c>
      <c r="N15" s="1378" t="str">
        <f t="shared" si="1"/>
        <v>1:23</v>
      </c>
      <c r="O15" s="1236" t="s">
        <v>7014</v>
      </c>
    </row>
    <row r="16" ht="15.75" customHeight="1">
      <c r="A16" s="1239" t="s">
        <v>6100</v>
      </c>
      <c r="B16" s="1357" t="s">
        <v>5444</v>
      </c>
      <c r="C16" s="1395">
        <v>0.050729166666666665</v>
      </c>
      <c r="D16" s="319" t="s">
        <v>7208</v>
      </c>
      <c r="E16" s="1396" t="s">
        <v>7209</v>
      </c>
      <c r="F16" s="1397" t="s">
        <v>6760</v>
      </c>
      <c r="G16" s="1397" t="s">
        <v>6761</v>
      </c>
      <c r="H16" s="1397" t="s">
        <v>6763</v>
      </c>
      <c r="I16" s="1397" t="s">
        <v>6766</v>
      </c>
      <c r="J16" s="1397" t="s">
        <v>6768</v>
      </c>
      <c r="K16" s="1397" t="s">
        <v>6770</v>
      </c>
      <c r="L16" s="1008" t="s">
        <v>6209</v>
      </c>
      <c r="M16" s="1374">
        <v>0.05143506944444444</v>
      </c>
      <c r="N16" s="1400" t="str">
        <f t="shared" si="1"/>
        <v>1:01</v>
      </c>
      <c r="O16" s="1236"/>
    </row>
    <row r="17" ht="15.75" customHeight="1">
      <c r="A17" s="1239" t="s">
        <v>5868</v>
      </c>
      <c r="B17" s="1357" t="s">
        <v>5444</v>
      </c>
      <c r="C17" s="1376">
        <v>0.05085648148148148</v>
      </c>
      <c r="D17" s="1401" t="s">
        <v>7246</v>
      </c>
      <c r="E17" s="1402" t="s">
        <v>6758</v>
      </c>
      <c r="F17" s="1403" t="s">
        <v>7248</v>
      </c>
      <c r="G17" s="1403" t="s">
        <v>7249</v>
      </c>
      <c r="H17" s="1403" t="s">
        <v>7250</v>
      </c>
      <c r="I17" s="1403" t="s">
        <v>7252</v>
      </c>
      <c r="J17" s="1403" t="s">
        <v>7253</v>
      </c>
      <c r="K17" s="1403" t="s">
        <v>7254</v>
      </c>
      <c r="L17" s="1405" t="s">
        <v>5477</v>
      </c>
      <c r="M17" s="1374">
        <v>0.05197916666666667</v>
      </c>
      <c r="N17" s="1378" t="str">
        <f t="shared" si="1"/>
        <v>1:37</v>
      </c>
      <c r="O17" s="1236" t="s">
        <v>7014</v>
      </c>
    </row>
    <row r="18" ht="15.75" customHeight="1">
      <c r="A18" s="1406" t="s">
        <v>3861</v>
      </c>
      <c r="B18" s="1108" t="s">
        <v>5396</v>
      </c>
      <c r="C18" s="1407">
        <v>0.05103009259259259</v>
      </c>
      <c r="D18" s="1175" t="s">
        <v>7264</v>
      </c>
      <c r="E18" s="1392" t="s">
        <v>7266</v>
      </c>
      <c r="F18" s="1175" t="s">
        <v>7268</v>
      </c>
      <c r="G18" s="1175" t="s">
        <v>7269</v>
      </c>
      <c r="H18" s="1370" t="s">
        <v>7271</v>
      </c>
      <c r="I18" s="1175" t="s">
        <v>2577</v>
      </c>
      <c r="J18" s="1175" t="s">
        <v>7284</v>
      </c>
      <c r="K18" s="1175" t="s">
        <v>7286</v>
      </c>
      <c r="L18" s="1175" t="s">
        <v>7288</v>
      </c>
      <c r="M18" s="1374">
        <v>0.051909722222222225</v>
      </c>
      <c r="N18" s="1378" t="str">
        <f t="shared" si="1"/>
        <v>1:16</v>
      </c>
      <c r="O18" s="1236" t="s">
        <v>7014</v>
      </c>
    </row>
    <row r="19" ht="15.75" customHeight="1">
      <c r="A19" s="1239" t="s">
        <v>6322</v>
      </c>
      <c r="B19" s="1203" t="s">
        <v>5396</v>
      </c>
      <c r="C19" s="1367">
        <v>0.051145833333333335</v>
      </c>
      <c r="D19" s="188" t="s">
        <v>7292</v>
      </c>
      <c r="E19" s="1176" t="s">
        <v>7293</v>
      </c>
      <c r="F19" s="1175" t="s">
        <v>7294</v>
      </c>
      <c r="G19" s="1175" t="s">
        <v>7295</v>
      </c>
      <c r="H19" s="1175" t="s">
        <v>7296</v>
      </c>
      <c r="I19" s="1175" t="s">
        <v>7297</v>
      </c>
      <c r="J19" s="1175" t="s">
        <v>7299</v>
      </c>
      <c r="K19" s="1175" t="s">
        <v>7300</v>
      </c>
      <c r="L19" s="1175" t="s">
        <v>6359</v>
      </c>
      <c r="M19" s="1374">
        <v>0.05228009259259259</v>
      </c>
      <c r="N19" s="1378" t="str">
        <f t="shared" si="1"/>
        <v>1:38</v>
      </c>
      <c r="O19" s="1236" t="s">
        <v>7303</v>
      </c>
    </row>
    <row r="20" ht="15.75" customHeight="1">
      <c r="A20" s="1380" t="s">
        <v>373</v>
      </c>
      <c r="B20" s="1108" t="s">
        <v>5396</v>
      </c>
      <c r="C20" s="1367">
        <v>0.05122685185185185</v>
      </c>
      <c r="D20" s="1175" t="s">
        <v>7306</v>
      </c>
      <c r="E20" s="1392" t="s">
        <v>5486</v>
      </c>
      <c r="F20" s="1175" t="s">
        <v>7307</v>
      </c>
      <c r="G20" s="1175" t="s">
        <v>7308</v>
      </c>
      <c r="H20" s="1175" t="s">
        <v>7309</v>
      </c>
      <c r="I20" s="1175" t="s">
        <v>7310</v>
      </c>
      <c r="J20" s="1175" t="s">
        <v>7311</v>
      </c>
      <c r="K20" s="1175" t="s">
        <v>7312</v>
      </c>
      <c r="L20" s="1175" t="s">
        <v>7313</v>
      </c>
      <c r="M20" s="1374">
        <v>0.052037037037037034</v>
      </c>
      <c r="N20" s="1378" t="str">
        <f t="shared" si="1"/>
        <v>1:10</v>
      </c>
      <c r="O20" s="1236" t="s">
        <v>7014</v>
      </c>
    </row>
    <row r="21" ht="15.75" customHeight="1">
      <c r="A21" s="1239" t="s">
        <v>109</v>
      </c>
      <c r="B21" s="1203" t="s">
        <v>5396</v>
      </c>
      <c r="C21" s="1367">
        <v>0.05122685185185185</v>
      </c>
      <c r="D21" s="319" t="s">
        <v>7315</v>
      </c>
      <c r="E21" s="1176" t="s">
        <v>7316</v>
      </c>
      <c r="F21" s="1175" t="s">
        <v>7317</v>
      </c>
      <c r="G21" s="1175" t="s">
        <v>7318</v>
      </c>
      <c r="H21" s="1175" t="s">
        <v>7319</v>
      </c>
      <c r="I21" s="1175" t="s">
        <v>7320</v>
      </c>
      <c r="J21" s="1175" t="s">
        <v>7321</v>
      </c>
      <c r="K21" s="1175" t="s">
        <v>7322</v>
      </c>
      <c r="L21" s="1175" t="s">
        <v>7323</v>
      </c>
      <c r="M21" s="1374">
        <v>0.05224537037037037</v>
      </c>
      <c r="N21" s="1378" t="str">
        <f t="shared" si="1"/>
        <v>1:28</v>
      </c>
      <c r="O21" s="1236" t="s">
        <v>7324</v>
      </c>
    </row>
    <row r="22" ht="15.75" customHeight="1">
      <c r="A22" s="1239" t="s">
        <v>71</v>
      </c>
      <c r="B22" s="1203" t="s">
        <v>5396</v>
      </c>
      <c r="C22" s="1367">
        <v>0.05133101851851852</v>
      </c>
      <c r="D22" s="1175" t="s">
        <v>7325</v>
      </c>
      <c r="E22" s="1176" t="s">
        <v>7326</v>
      </c>
      <c r="F22" s="1175" t="s">
        <v>7327</v>
      </c>
      <c r="G22" s="1178" t="s">
        <v>7328</v>
      </c>
      <c r="H22" s="1178" t="s">
        <v>7329</v>
      </c>
      <c r="I22" s="1175" t="s">
        <v>7331</v>
      </c>
      <c r="J22" s="1175" t="s">
        <v>7332</v>
      </c>
      <c r="K22" s="1175" t="s">
        <v>7333</v>
      </c>
      <c r="L22" s="1175" t="s">
        <v>7335</v>
      </c>
      <c r="M22" s="1374">
        <v>0.05197916666666667</v>
      </c>
      <c r="N22" s="1378" t="str">
        <f t="shared" si="1"/>
        <v>0:56</v>
      </c>
      <c r="O22" s="1236" t="s">
        <v>7336</v>
      </c>
    </row>
    <row r="23" ht="15.75" customHeight="1">
      <c r="A23" s="1375" t="s">
        <v>6362</v>
      </c>
      <c r="B23" s="1108" t="s">
        <v>5396</v>
      </c>
      <c r="C23" s="1376">
        <v>0.05144675925925926</v>
      </c>
      <c r="D23" s="1175" t="s">
        <v>7338</v>
      </c>
      <c r="E23" s="1392" t="s">
        <v>7339</v>
      </c>
      <c r="F23" s="1175" t="s">
        <v>7340</v>
      </c>
      <c r="G23" s="1175" t="s">
        <v>7341</v>
      </c>
      <c r="H23" s="1175" t="s">
        <v>7342</v>
      </c>
      <c r="I23" s="1175" t="s">
        <v>7343</v>
      </c>
      <c r="J23" s="1175" t="s">
        <v>7344</v>
      </c>
      <c r="K23" s="1175" t="s">
        <v>7345</v>
      </c>
      <c r="L23" s="949" t="s">
        <v>6087</v>
      </c>
      <c r="M23" s="1374">
        <v>0.05258101851851852</v>
      </c>
      <c r="N23" s="1378" t="str">
        <f t="shared" si="1"/>
        <v>1:38</v>
      </c>
      <c r="O23" s="1236" t="s">
        <v>7014</v>
      </c>
    </row>
    <row r="24" ht="15.75" customHeight="1">
      <c r="A24" s="1239" t="s">
        <v>6576</v>
      </c>
      <c r="B24" s="1203" t="s">
        <v>5444</v>
      </c>
      <c r="C24" s="1367">
        <v>0.05146990740740741</v>
      </c>
      <c r="D24" s="1402" t="s">
        <v>6756</v>
      </c>
      <c r="E24" s="1176" t="s">
        <v>7347</v>
      </c>
      <c r="F24" s="1176" t="s">
        <v>7348</v>
      </c>
      <c r="G24" s="1176" t="s">
        <v>7349</v>
      </c>
      <c r="H24" s="1176" t="s">
        <v>7350</v>
      </c>
      <c r="I24" s="1175" t="s">
        <v>7351</v>
      </c>
      <c r="J24" s="188" t="s">
        <v>7352</v>
      </c>
      <c r="K24" s="1175" t="s">
        <v>7353</v>
      </c>
      <c r="L24" s="188" t="s">
        <v>6607</v>
      </c>
      <c r="M24" s="1410">
        <v>0.05236111111111111</v>
      </c>
      <c r="N24" s="1378" t="str">
        <f t="shared" si="1"/>
        <v>1:17</v>
      </c>
      <c r="O24" s="1236" t="s">
        <v>7014</v>
      </c>
    </row>
    <row r="25" ht="15.75" customHeight="1">
      <c r="A25" s="1380" t="s">
        <v>274</v>
      </c>
      <c r="B25" s="1108" t="s">
        <v>5396</v>
      </c>
      <c r="C25" s="1376">
        <v>0.051550925925925924</v>
      </c>
      <c r="D25" s="1175" t="s">
        <v>7358</v>
      </c>
      <c r="E25" s="1392" t="s">
        <v>7359</v>
      </c>
      <c r="F25" s="1175" t="s">
        <v>7360</v>
      </c>
      <c r="G25" s="1175" t="s">
        <v>7362</v>
      </c>
      <c r="H25" s="1175" t="s">
        <v>7363</v>
      </c>
      <c r="I25" s="1175" t="s">
        <v>7364</v>
      </c>
      <c r="J25" s="1175" t="s">
        <v>7366</v>
      </c>
      <c r="K25" s="1175" t="s">
        <v>7367</v>
      </c>
      <c r="L25" s="949" t="s">
        <v>7368</v>
      </c>
      <c r="M25" s="1374">
        <v>0.05229166666666667</v>
      </c>
      <c r="N25" s="1378" t="str">
        <f t="shared" si="1"/>
        <v>1:04</v>
      </c>
      <c r="O25" s="1236" t="s">
        <v>7014</v>
      </c>
    </row>
    <row r="26">
      <c r="A26" s="1365" t="s">
        <v>88</v>
      </c>
      <c r="B26" s="1357" t="s">
        <v>5482</v>
      </c>
      <c r="C26" s="1412">
        <v>0.05158564814814815</v>
      </c>
      <c r="D26" s="1413" t="s">
        <v>6788</v>
      </c>
      <c r="E26" s="1414" t="s">
        <v>6791</v>
      </c>
      <c r="F26" s="1413" t="s">
        <v>6795</v>
      </c>
      <c r="G26" s="1413" t="s">
        <v>6798</v>
      </c>
      <c r="H26" s="1413" t="s">
        <v>6800</v>
      </c>
      <c r="I26" s="1413" t="s">
        <v>6804</v>
      </c>
      <c r="J26" s="1413" t="s">
        <v>6806</v>
      </c>
      <c r="K26" s="1413" t="s">
        <v>6807</v>
      </c>
      <c r="L26" s="1413" t="s">
        <v>5520</v>
      </c>
      <c r="M26" s="1415">
        <v>0.052141203703703703</v>
      </c>
      <c r="N26" s="1378" t="str">
        <f t="shared" si="1"/>
        <v>0:48</v>
      </c>
      <c r="O26" s="1236" t="s">
        <v>7372</v>
      </c>
    </row>
    <row r="27" ht="15.75" customHeight="1">
      <c r="A27" s="634" t="s">
        <v>7064</v>
      </c>
      <c r="B27" s="1203" t="s">
        <v>5396</v>
      </c>
      <c r="C27" s="1376">
        <v>0.051706365740740744</v>
      </c>
      <c r="D27" s="188" t="s">
        <v>7373</v>
      </c>
      <c r="E27" s="1176" t="s">
        <v>7374</v>
      </c>
      <c r="F27" s="1175" t="s">
        <v>7375</v>
      </c>
      <c r="G27" s="1175" t="s">
        <v>7376</v>
      </c>
      <c r="H27" s="1175" t="s">
        <v>7377</v>
      </c>
      <c r="I27" s="1175" t="s">
        <v>7378</v>
      </c>
      <c r="J27" s="1175" t="s">
        <v>7380</v>
      </c>
      <c r="K27" s="1175" t="s">
        <v>7381</v>
      </c>
      <c r="L27" s="1175" t="s">
        <v>7099</v>
      </c>
      <c r="M27" s="1374">
        <v>0.0525</v>
      </c>
      <c r="N27" s="1374" t="str">
        <f t="shared" si="1"/>
        <v>1:09</v>
      </c>
      <c r="O27" s="1236"/>
    </row>
    <row r="28" ht="15.75" customHeight="1">
      <c r="A28" s="1416" t="s">
        <v>6286</v>
      </c>
      <c r="B28" s="1384" t="s">
        <v>5396</v>
      </c>
      <c r="C28" s="1376">
        <v>0.05171296296296296</v>
      </c>
      <c r="D28" s="1417" t="s">
        <v>7383</v>
      </c>
      <c r="E28" s="1417" t="s">
        <v>7384</v>
      </c>
      <c r="F28" s="1417" t="s">
        <v>7385</v>
      </c>
      <c r="G28" s="1417" t="s">
        <v>7386</v>
      </c>
      <c r="H28" s="188" t="s">
        <v>7387</v>
      </c>
      <c r="I28" s="1417" t="s">
        <v>7388</v>
      </c>
      <c r="J28" s="188" t="s">
        <v>7390</v>
      </c>
      <c r="K28" s="1417" t="s">
        <v>7391</v>
      </c>
      <c r="L28" s="188" t="s">
        <v>6319</v>
      </c>
      <c r="M28" s="1374">
        <v>0.054375</v>
      </c>
      <c r="N28" s="1378" t="str">
        <f t="shared" si="1"/>
        <v>3:50</v>
      </c>
      <c r="O28" s="1236" t="s">
        <v>7394</v>
      </c>
    </row>
    <row r="29" ht="15.75" customHeight="1">
      <c r="A29" s="1239" t="s">
        <v>4115</v>
      </c>
      <c r="B29" s="1203" t="s">
        <v>5396</v>
      </c>
      <c r="C29" s="1367">
        <v>0.05180160879629629</v>
      </c>
      <c r="D29" s="188" t="s">
        <v>7396</v>
      </c>
      <c r="E29" s="1176" t="s">
        <v>7398</v>
      </c>
      <c r="F29" s="1175" t="s">
        <v>7399</v>
      </c>
      <c r="G29" s="1175" t="s">
        <v>7400</v>
      </c>
      <c r="H29" s="1175" t="s">
        <v>7401</v>
      </c>
      <c r="I29" s="1175" t="s">
        <v>7403</v>
      </c>
      <c r="J29" s="1175" t="s">
        <v>7404</v>
      </c>
      <c r="K29" s="1175" t="s">
        <v>7405</v>
      </c>
      <c r="L29" s="1175" t="s">
        <v>7406</v>
      </c>
      <c r="M29" s="1374">
        <v>0.05303240740740741</v>
      </c>
      <c r="N29" s="1378" t="str">
        <f t="shared" si="1"/>
        <v>1:46</v>
      </c>
      <c r="O29" s="1236"/>
    </row>
    <row r="30" ht="15.75" customHeight="1">
      <c r="A30" s="634" t="s">
        <v>4750</v>
      </c>
      <c r="B30" s="1357" t="s">
        <v>5482</v>
      </c>
      <c r="C30" s="1376">
        <v>0.052088194444444444</v>
      </c>
      <c r="D30" s="188" t="s">
        <v>7407</v>
      </c>
      <c r="E30" s="1176" t="s">
        <v>7408</v>
      </c>
      <c r="F30" s="1175" t="s">
        <v>7409</v>
      </c>
      <c r="G30" s="1175" t="s">
        <v>7410</v>
      </c>
      <c r="H30" s="1175" t="s">
        <v>7411</v>
      </c>
      <c r="I30" s="1175" t="s">
        <v>7412</v>
      </c>
      <c r="J30" s="1175" t="s">
        <v>7413</v>
      </c>
      <c r="K30" s="1175" t="s">
        <v>7414</v>
      </c>
      <c r="L30" s="1175" t="s">
        <v>7415</v>
      </c>
      <c r="M30" s="1374">
        <v>0.053043981481481484</v>
      </c>
      <c r="N30" s="1378" t="str">
        <f t="shared" si="1"/>
        <v>1:23</v>
      </c>
      <c r="O30" s="1236" t="s">
        <v>7014</v>
      </c>
    </row>
    <row r="31" ht="15.75" customHeight="1">
      <c r="A31" s="634" t="s">
        <v>490</v>
      </c>
      <c r="B31" s="1203" t="s">
        <v>5444</v>
      </c>
      <c r="C31" s="1376">
        <v>0.05215277777777778</v>
      </c>
      <c r="D31" s="1175" t="s">
        <v>7417</v>
      </c>
      <c r="E31" s="1175" t="s">
        <v>7418</v>
      </c>
      <c r="F31" s="1175" t="s">
        <v>7420</v>
      </c>
      <c r="G31" s="1175" t="s">
        <v>7421</v>
      </c>
      <c r="H31" s="1175" t="s">
        <v>7423</v>
      </c>
      <c r="I31" s="1175" t="s">
        <v>7163</v>
      </c>
      <c r="J31" s="1175" t="s">
        <v>7424</v>
      </c>
      <c r="K31" s="1175" t="s">
        <v>7426</v>
      </c>
      <c r="L31" s="1175" t="s">
        <v>7215</v>
      </c>
      <c r="M31" s="1374">
        <v>0.05399305555555556</v>
      </c>
      <c r="N31" s="1378" t="str">
        <f t="shared" si="1"/>
        <v>2:39</v>
      </c>
      <c r="O31" s="1236" t="s">
        <v>7427</v>
      </c>
    </row>
    <row r="32" ht="15.75" customHeight="1">
      <c r="A32" s="1239" t="s">
        <v>2496</v>
      </c>
      <c r="B32" s="1203" t="s">
        <v>5396</v>
      </c>
      <c r="C32" s="1367">
        <v>0.05216435185185185</v>
      </c>
      <c r="D32" s="1175" t="s">
        <v>7429</v>
      </c>
      <c r="E32" s="1176" t="s">
        <v>7430</v>
      </c>
      <c r="F32" s="1175" t="s">
        <v>7431</v>
      </c>
      <c r="G32" s="1175" t="s">
        <v>7433</v>
      </c>
      <c r="H32" s="1175" t="s">
        <v>7434</v>
      </c>
      <c r="I32" s="1175" t="s">
        <v>7435</v>
      </c>
      <c r="J32" s="1175" t="s">
        <v>7436</v>
      </c>
      <c r="K32" s="1175" t="s">
        <v>7437</v>
      </c>
      <c r="L32" s="1175" t="s">
        <v>7438</v>
      </c>
      <c r="M32" s="1374">
        <v>0.05337962962962963</v>
      </c>
      <c r="N32" s="1378" t="str">
        <f t="shared" si="1"/>
        <v>1:45</v>
      </c>
      <c r="O32" s="1236" t="s">
        <v>7440</v>
      </c>
    </row>
    <row r="33" ht="15.75" customHeight="1">
      <c r="A33" s="634" t="s">
        <v>89</v>
      </c>
      <c r="B33" s="1203" t="s">
        <v>5396</v>
      </c>
      <c r="C33" s="1376">
        <v>0.0522337962962963</v>
      </c>
      <c r="D33" s="188" t="s">
        <v>7441</v>
      </c>
      <c r="E33" s="1176" t="s">
        <v>7442</v>
      </c>
      <c r="F33" s="1175" t="s">
        <v>7443</v>
      </c>
      <c r="G33" s="1175" t="s">
        <v>7444</v>
      </c>
      <c r="H33" s="1175" t="s">
        <v>7445</v>
      </c>
      <c r="I33" s="1175" t="s">
        <v>7446</v>
      </c>
      <c r="J33" s="1175" t="s">
        <v>7447</v>
      </c>
      <c r="K33" s="1175" t="s">
        <v>7448</v>
      </c>
      <c r="L33" s="1175" t="s">
        <v>7449</v>
      </c>
      <c r="M33" s="1374">
        <v>0.053634259259259257</v>
      </c>
      <c r="N33" s="1378" t="str">
        <f t="shared" si="1"/>
        <v>2:01</v>
      </c>
      <c r="O33" s="1236" t="s">
        <v>7450</v>
      </c>
    </row>
    <row r="34" ht="15.75" customHeight="1">
      <c r="A34" s="634" t="s">
        <v>78</v>
      </c>
      <c r="B34" s="1203" t="s">
        <v>5444</v>
      </c>
      <c r="C34" s="1376">
        <v>0.05224537037037037</v>
      </c>
      <c r="D34" s="1175" t="s">
        <v>7452</v>
      </c>
      <c r="E34" s="1419" t="s">
        <v>7453</v>
      </c>
      <c r="F34" s="1175" t="s">
        <v>7456</v>
      </c>
      <c r="G34" s="1175" t="s">
        <v>7457</v>
      </c>
      <c r="H34" s="1175" t="s">
        <v>7458</v>
      </c>
      <c r="I34" s="1175" t="s">
        <v>7459</v>
      </c>
      <c r="J34" s="1175" t="s">
        <v>7460</v>
      </c>
      <c r="K34" s="1178" t="s">
        <v>7462</v>
      </c>
      <c r="L34" s="1175" t="s">
        <v>7468</v>
      </c>
      <c r="M34" s="1374">
        <v>0.053043981481481484</v>
      </c>
      <c r="N34" s="1378" t="str">
        <f t="shared" si="1"/>
        <v>1:09</v>
      </c>
      <c r="O34" s="1236" t="s">
        <v>7303</v>
      </c>
    </row>
    <row r="35" ht="15.75" customHeight="1">
      <c r="A35" s="1239" t="s">
        <v>4115</v>
      </c>
      <c r="B35" s="1357" t="s">
        <v>5444</v>
      </c>
      <c r="C35" s="1367">
        <v>0.052316898148148154</v>
      </c>
      <c r="D35" s="188" t="s">
        <v>7471</v>
      </c>
      <c r="E35" s="1176" t="s">
        <v>7472</v>
      </c>
      <c r="F35" s="1175" t="s">
        <v>7473</v>
      </c>
      <c r="G35" s="1175" t="s">
        <v>7474</v>
      </c>
      <c r="H35" s="1175" t="s">
        <v>7475</v>
      </c>
      <c r="I35" s="1175" t="s">
        <v>7476</v>
      </c>
      <c r="J35" s="1175" t="s">
        <v>7477</v>
      </c>
      <c r="K35" s="1175" t="s">
        <v>7479</v>
      </c>
      <c r="L35" s="1175" t="s">
        <v>6733</v>
      </c>
      <c r="M35" s="1374">
        <v>0.05376157407407407</v>
      </c>
      <c r="N35" s="1378" t="str">
        <f t="shared" si="1"/>
        <v>2:05</v>
      </c>
      <c r="O35" s="1236" t="s">
        <v>7014</v>
      </c>
    </row>
    <row r="36" ht="15.75" customHeight="1">
      <c r="A36" s="634" t="s">
        <v>96</v>
      </c>
      <c r="B36" s="1203" t="s">
        <v>5396</v>
      </c>
      <c r="C36" s="1376">
        <v>0.05238425925925926</v>
      </c>
      <c r="D36" s="319" t="s">
        <v>7484</v>
      </c>
      <c r="E36" s="1176" t="s">
        <v>7430</v>
      </c>
      <c r="F36" s="1175" t="s">
        <v>7485</v>
      </c>
      <c r="G36" s="1377" t="s">
        <v>7486</v>
      </c>
      <c r="H36" s="1175" t="s">
        <v>7487</v>
      </c>
      <c r="I36" s="1175" t="s">
        <v>7488</v>
      </c>
      <c r="J36" s="1175" t="s">
        <v>7489</v>
      </c>
      <c r="K36" s="1175" t="s">
        <v>7491</v>
      </c>
      <c r="L36" s="1175" t="s">
        <v>7493</v>
      </c>
      <c r="M36" s="1374">
        <v>0.05340277777777778</v>
      </c>
      <c r="N36" s="1378" t="str">
        <f t="shared" si="1"/>
        <v>1:28</v>
      </c>
      <c r="O36" s="1236" t="s">
        <v>7495</v>
      </c>
    </row>
    <row r="37" ht="15.75" customHeight="1">
      <c r="A37" s="1239" t="s">
        <v>7496</v>
      </c>
      <c r="B37" s="1203" t="s">
        <v>5396</v>
      </c>
      <c r="C37" s="1367">
        <v>0.05268518518518518</v>
      </c>
      <c r="D37" s="188" t="s">
        <v>7498</v>
      </c>
      <c r="E37" s="1176" t="s">
        <v>7499</v>
      </c>
      <c r="F37" s="1175" t="s">
        <v>7501</v>
      </c>
      <c r="G37" s="1175" t="s">
        <v>7502</v>
      </c>
      <c r="H37" s="1175" t="s">
        <v>7504</v>
      </c>
      <c r="I37" s="1175" t="s">
        <v>3853</v>
      </c>
      <c r="J37" s="1175" t="s">
        <v>7507</v>
      </c>
      <c r="K37" s="1175" t="s">
        <v>7508</v>
      </c>
      <c r="L37" s="1175" t="s">
        <v>7510</v>
      </c>
      <c r="M37" s="1374">
        <v>0.05331018518518518</v>
      </c>
      <c r="N37" s="1378" t="str">
        <f t="shared" si="1"/>
        <v>0:54</v>
      </c>
      <c r="O37" s="1236" t="s">
        <v>7512</v>
      </c>
    </row>
    <row r="38" ht="15.75" customHeight="1">
      <c r="A38" s="1239" t="s">
        <v>7513</v>
      </c>
      <c r="B38" s="1383" t="s">
        <v>5396</v>
      </c>
      <c r="C38" s="1367">
        <v>0.05270034722222223</v>
      </c>
      <c r="D38" s="319" t="s">
        <v>7519</v>
      </c>
      <c r="E38" s="1176" t="s">
        <v>7520</v>
      </c>
      <c r="F38" s="1175" t="s">
        <v>7522</v>
      </c>
      <c r="G38" s="1175" t="s">
        <v>7523</v>
      </c>
      <c r="H38" s="1175" t="s">
        <v>7524</v>
      </c>
      <c r="I38" s="1175" t="s">
        <v>7525</v>
      </c>
      <c r="J38" s="1175" t="s">
        <v>7526</v>
      </c>
      <c r="K38" s="1175" t="s">
        <v>7527</v>
      </c>
      <c r="L38" s="1175" t="s">
        <v>7528</v>
      </c>
      <c r="M38" s="1374">
        <v>0.05425925925925926</v>
      </c>
      <c r="N38" s="1378" t="str">
        <f t="shared" si="1"/>
        <v>2:15</v>
      </c>
      <c r="O38" s="1236" t="s">
        <v>7014</v>
      </c>
    </row>
    <row r="39">
      <c r="A39" s="1422" t="s">
        <v>2634</v>
      </c>
      <c r="B39" s="1383" t="s">
        <v>5396</v>
      </c>
      <c r="C39" s="1367">
        <v>0.05243055555555556</v>
      </c>
      <c r="D39" s="319" t="s">
        <v>7533</v>
      </c>
      <c r="E39" s="1176" t="s">
        <v>7534</v>
      </c>
      <c r="F39" s="1175" t="s">
        <v>7536</v>
      </c>
      <c r="G39" s="1175" t="s">
        <v>7537</v>
      </c>
      <c r="H39" s="1175" t="s">
        <v>7539</v>
      </c>
      <c r="I39" s="1175" t="s">
        <v>7541</v>
      </c>
      <c r="J39" s="1175" t="s">
        <v>7542</v>
      </c>
      <c r="K39" s="1175" t="s">
        <v>7544</v>
      </c>
      <c r="L39" s="1175" t="s">
        <v>7545</v>
      </c>
      <c r="M39" s="1374">
        <v>0.05372685185185185</v>
      </c>
      <c r="N39" s="1378" t="str">
        <f t="shared" si="1"/>
        <v>1:52</v>
      </c>
      <c r="O39" s="1236" t="s">
        <v>7014</v>
      </c>
    </row>
    <row r="40" ht="15.75" customHeight="1">
      <c r="A40" s="634" t="s">
        <v>82</v>
      </c>
      <c r="B40" s="1339" t="s">
        <v>5444</v>
      </c>
      <c r="C40" s="1376">
        <v>0.05378472222222222</v>
      </c>
      <c r="D40" s="188" t="s">
        <v>7549</v>
      </c>
      <c r="E40" s="1176" t="s">
        <v>7551</v>
      </c>
      <c r="F40" s="1175" t="s">
        <v>7552</v>
      </c>
      <c r="G40" s="1175" t="s">
        <v>7554</v>
      </c>
      <c r="H40" s="1175" t="s">
        <v>7555</v>
      </c>
      <c r="I40" s="1175" t="s">
        <v>6545</v>
      </c>
      <c r="J40" s="1175" t="s">
        <v>7556</v>
      </c>
      <c r="K40" s="1175" t="s">
        <v>7558</v>
      </c>
      <c r="L40" s="1175" t="s">
        <v>7428</v>
      </c>
      <c r="M40" s="1374">
        <v>0.054560185185185184</v>
      </c>
      <c r="N40" s="1378" t="str">
        <f t="shared" si="1"/>
        <v>1:07</v>
      </c>
      <c r="O40" s="1236"/>
    </row>
    <row r="41" ht="15.75" customHeight="1">
      <c r="A41" s="634" t="s">
        <v>3748</v>
      </c>
      <c r="B41" s="1357" t="s">
        <v>5444</v>
      </c>
      <c r="C41" s="1376">
        <v>0.05748842592592593</v>
      </c>
      <c r="D41" s="1176" t="s">
        <v>7563</v>
      </c>
      <c r="E41" s="1176" t="s">
        <v>7565</v>
      </c>
      <c r="F41" s="1175" t="s">
        <v>7567</v>
      </c>
      <c r="G41" s="1175" t="s">
        <v>7568</v>
      </c>
      <c r="H41" s="1175" t="s">
        <v>7570</v>
      </c>
      <c r="I41" s="1175" t="s">
        <v>7571</v>
      </c>
      <c r="J41" s="1175" t="s">
        <v>7572</v>
      </c>
      <c r="K41" s="1175" t="s">
        <v>7573</v>
      </c>
      <c r="L41" s="1175" t="s">
        <v>7574</v>
      </c>
      <c r="M41" s="1374">
        <v>0.06149305555555556</v>
      </c>
      <c r="N41" s="1378" t="str">
        <f t="shared" si="1"/>
        <v>5:46</v>
      </c>
      <c r="O41" s="1236" t="s">
        <v>7014</v>
      </c>
    </row>
    <row r="42" ht="15.75" customHeight="1">
      <c r="A42" s="634" t="s">
        <v>3872</v>
      </c>
      <c r="B42" s="1423" t="s">
        <v>7575</v>
      </c>
      <c r="C42" s="1424">
        <v>0.05884259259259259</v>
      </c>
      <c r="D42" s="1425" t="s">
        <v>7576</v>
      </c>
      <c r="E42" s="1426" t="s">
        <v>7577</v>
      </c>
      <c r="F42" s="1426" t="s">
        <v>7578</v>
      </c>
      <c r="G42" s="1426" t="s">
        <v>7579</v>
      </c>
      <c r="H42" s="1426" t="s">
        <v>7580</v>
      </c>
      <c r="I42" s="1426" t="s">
        <v>7581</v>
      </c>
      <c r="J42" s="1426" t="s">
        <v>7582</v>
      </c>
      <c r="K42" s="1426" t="s">
        <v>7583</v>
      </c>
      <c r="L42" s="1426" t="s">
        <v>7584</v>
      </c>
      <c r="M42" s="1427">
        <v>0.06646990740740741</v>
      </c>
      <c r="N42" s="1426" t="s">
        <v>7586</v>
      </c>
      <c r="O42" s="1236" t="s">
        <v>7587</v>
      </c>
    </row>
    <row r="43" ht="15.75" customHeight="1">
      <c r="A43" s="1239" t="s">
        <v>94</v>
      </c>
      <c r="B43" s="1203" t="s">
        <v>5396</v>
      </c>
      <c r="C43" s="1428">
        <v>0.0503587962962963</v>
      </c>
      <c r="D43" s="319" t="s">
        <v>7591</v>
      </c>
      <c r="E43" s="1176" t="s">
        <v>7592</v>
      </c>
      <c r="F43" s="1175" t="s">
        <v>7593</v>
      </c>
      <c r="G43" s="1175" t="s">
        <v>7594</v>
      </c>
      <c r="H43" s="1175" t="s">
        <v>7596</v>
      </c>
      <c r="I43" s="1175" t="s">
        <v>7488</v>
      </c>
      <c r="J43" s="1429" t="s">
        <v>7598</v>
      </c>
      <c r="K43" s="1175" t="s">
        <v>7599</v>
      </c>
      <c r="L43" s="1175" t="s">
        <v>7018</v>
      </c>
      <c r="M43" s="1374">
        <v>0.053113425925925925</v>
      </c>
      <c r="N43" s="1175" t="s">
        <v>3379</v>
      </c>
      <c r="O43" s="1430" t="s">
        <v>7601</v>
      </c>
    </row>
    <row r="44">
      <c r="A44" s="1365"/>
      <c r="B44" s="1366"/>
      <c r="C44" s="1432"/>
      <c r="D44" s="186"/>
      <c r="E44" s="1392"/>
      <c r="F44" s="1175"/>
      <c r="G44" s="1175"/>
      <c r="H44" s="1175"/>
      <c r="I44" s="1175"/>
      <c r="J44" s="1175"/>
      <c r="K44" s="1175"/>
      <c r="L44" s="1175"/>
      <c r="M44" s="1175"/>
      <c r="N44" s="1374"/>
      <c r="O44" s="1236"/>
    </row>
    <row r="45" ht="15.75" customHeight="1">
      <c r="A45" s="1239"/>
      <c r="B45" s="1203"/>
      <c r="C45" s="1432"/>
      <c r="D45" s="154"/>
      <c r="E45" s="1392"/>
      <c r="F45" s="1175"/>
      <c r="G45" s="1175"/>
      <c r="H45" s="1175"/>
      <c r="I45" s="1175"/>
      <c r="J45" s="1175"/>
      <c r="K45" s="1175"/>
      <c r="L45" s="1175"/>
      <c r="M45" s="1175"/>
      <c r="N45" s="1374"/>
      <c r="O45" s="1236"/>
    </row>
    <row r="46" ht="15.75" customHeight="1">
      <c r="A46" s="1391"/>
      <c r="B46" s="1434"/>
      <c r="C46" s="1435"/>
      <c r="D46" s="186"/>
      <c r="E46" s="1392"/>
      <c r="F46" s="1175"/>
      <c r="G46" s="1175"/>
      <c r="H46" s="1175"/>
      <c r="I46" s="1175"/>
      <c r="J46" s="1175"/>
      <c r="K46" s="1175"/>
      <c r="L46" s="1175"/>
      <c r="M46" s="1175"/>
      <c r="N46" s="1374"/>
      <c r="O46" s="1236"/>
    </row>
    <row r="47">
      <c r="A47" s="1422"/>
      <c r="B47" s="1383"/>
      <c r="C47" s="1437"/>
      <c r="D47" s="154"/>
      <c r="E47" s="1392"/>
      <c r="F47" s="1175"/>
      <c r="G47" s="1175"/>
      <c r="H47" s="1175"/>
      <c r="I47" s="1175"/>
      <c r="J47" s="1175"/>
      <c r="K47" s="1175"/>
      <c r="L47" s="1175"/>
      <c r="M47" s="1175"/>
      <c r="N47" s="1374"/>
      <c r="O47" s="1236"/>
    </row>
    <row r="48" ht="15.75" customHeight="1">
      <c r="A48" s="1375"/>
      <c r="B48" s="1108"/>
      <c r="C48" s="1438"/>
      <c r="D48" s="186"/>
      <c r="E48" s="1392"/>
      <c r="F48" s="1175"/>
      <c r="G48" s="1175"/>
      <c r="H48" s="1175"/>
      <c r="I48" s="1175"/>
      <c r="J48" s="1175"/>
      <c r="K48" s="1175"/>
      <c r="L48" s="1175"/>
      <c r="M48" s="1175"/>
      <c r="N48" s="1374"/>
      <c r="O48" s="1236"/>
    </row>
    <row r="49" ht="15.75" customHeight="1">
      <c r="A49" s="1391"/>
      <c r="B49" s="1108"/>
      <c r="C49" s="1435"/>
      <c r="D49" s="154"/>
      <c r="E49" s="1392"/>
      <c r="F49" s="1175"/>
      <c r="G49" s="1175"/>
      <c r="H49" s="1175"/>
      <c r="I49" s="1175"/>
      <c r="J49" s="1175"/>
      <c r="K49" s="1175"/>
      <c r="L49" s="1175"/>
      <c r="M49" s="1175"/>
      <c r="N49" s="1374"/>
      <c r="O49" s="1236"/>
    </row>
    <row r="50" ht="15.75" customHeight="1">
      <c r="A50" s="1365"/>
      <c r="B50" s="1366"/>
      <c r="C50" s="1432"/>
      <c r="D50" s="186"/>
      <c r="E50" s="1392"/>
      <c r="F50" s="1175"/>
      <c r="G50" s="1175"/>
      <c r="H50" s="1175"/>
      <c r="I50" s="1175"/>
      <c r="J50" s="1175"/>
      <c r="K50" s="1175"/>
      <c r="L50" s="1175"/>
      <c r="M50" s="1175"/>
      <c r="N50" s="1374"/>
      <c r="O50" s="1236"/>
    </row>
    <row r="51" ht="15.75" customHeight="1">
      <c r="A51" s="1375"/>
      <c r="B51" s="1237"/>
      <c r="C51" s="1438"/>
      <c r="D51" s="154"/>
      <c r="E51" s="1392"/>
      <c r="F51" s="1175"/>
      <c r="G51" s="1175"/>
      <c r="H51" s="1175"/>
      <c r="I51" s="1175"/>
      <c r="J51" s="1175"/>
      <c r="K51" s="1175"/>
      <c r="L51" s="1175"/>
      <c r="M51" s="1175"/>
      <c r="N51" s="1374"/>
      <c r="O51" s="1236"/>
    </row>
    <row r="52" ht="15.75" customHeight="1">
      <c r="A52" s="1391"/>
      <c r="B52" s="1434"/>
      <c r="C52" s="1435"/>
      <c r="D52" s="186"/>
      <c r="E52" s="1392"/>
      <c r="F52" s="1175"/>
      <c r="G52" s="1175"/>
      <c r="H52" s="1175"/>
      <c r="I52" s="1175"/>
      <c r="J52" s="1175"/>
      <c r="K52" s="1175"/>
      <c r="L52" s="1175"/>
      <c r="M52" s="1175"/>
      <c r="N52" s="1374"/>
      <c r="O52" s="1236"/>
    </row>
    <row r="53" ht="15.75" customHeight="1">
      <c r="A53" s="1365"/>
      <c r="B53" s="1203"/>
      <c r="C53" s="1432"/>
      <c r="D53" s="154"/>
      <c r="E53" s="1392"/>
      <c r="F53" s="1175"/>
      <c r="G53" s="1175"/>
      <c r="H53" s="1175"/>
      <c r="I53" s="1175"/>
      <c r="J53" s="1175"/>
      <c r="K53" s="1175"/>
      <c r="L53" s="1175"/>
      <c r="M53" s="1175"/>
      <c r="N53" s="1374"/>
      <c r="O53" s="1236"/>
    </row>
    <row r="54" ht="15.75" customHeight="1">
      <c r="A54" s="1239"/>
      <c r="B54" s="1357"/>
      <c r="C54" s="1432"/>
      <c r="D54" s="186"/>
      <c r="E54" s="1392"/>
      <c r="F54" s="1175"/>
      <c r="G54" s="1175"/>
      <c r="H54" s="1175"/>
      <c r="I54" s="1175"/>
      <c r="J54" s="1175"/>
      <c r="K54" s="1175"/>
      <c r="L54" s="1175"/>
      <c r="M54" s="1175"/>
      <c r="N54" s="1374"/>
      <c r="O54" s="1236"/>
    </row>
    <row r="55" ht="15.75" customHeight="1">
      <c r="A55" s="1365"/>
      <c r="B55" s="1366"/>
      <c r="C55" s="1432"/>
      <c r="D55" s="154"/>
      <c r="E55" s="1392"/>
      <c r="F55" s="1175"/>
      <c r="G55" s="1175"/>
      <c r="H55" s="1175"/>
      <c r="I55" s="1175"/>
      <c r="J55" s="1175"/>
      <c r="K55" s="1175"/>
      <c r="L55" s="1175"/>
      <c r="M55" s="1175"/>
      <c r="N55" s="1374"/>
      <c r="O55" s="1236"/>
    </row>
    <row r="56" ht="15.75" customHeight="1">
      <c r="A56" s="1391"/>
      <c r="B56" s="1434"/>
      <c r="C56" s="1435"/>
      <c r="D56" s="186"/>
      <c r="E56" s="1392"/>
      <c r="F56" s="1175"/>
      <c r="G56" s="1175"/>
      <c r="H56" s="1175"/>
      <c r="I56" s="1175"/>
      <c r="J56" s="1175"/>
      <c r="K56" s="1175"/>
      <c r="L56" s="1175"/>
      <c r="M56" s="1175"/>
      <c r="N56" s="1374"/>
      <c r="O56" s="1236"/>
    </row>
    <row r="57" ht="16.5" customHeight="1">
      <c r="A57" s="1375"/>
      <c r="B57" s="1434"/>
      <c r="C57" s="1438"/>
      <c r="D57" s="154"/>
      <c r="E57" s="1392"/>
      <c r="F57" s="1175"/>
      <c r="G57" s="1175"/>
      <c r="H57" s="1175"/>
      <c r="I57" s="1175"/>
      <c r="J57" s="1175"/>
      <c r="K57" s="1175"/>
      <c r="L57" s="1175"/>
      <c r="M57" s="1175"/>
      <c r="N57" s="1374"/>
      <c r="O57" s="1236"/>
    </row>
    <row r="58">
      <c r="A58" s="1365"/>
      <c r="B58" s="1366"/>
      <c r="C58" s="1441"/>
      <c r="D58" s="186"/>
      <c r="E58" s="1392"/>
      <c r="F58" s="1175"/>
      <c r="G58" s="1175"/>
      <c r="H58" s="1175"/>
      <c r="I58" s="1175"/>
      <c r="J58" s="1175"/>
      <c r="K58" s="1175"/>
      <c r="L58" s="1175"/>
      <c r="M58" s="1175"/>
      <c r="N58" s="1374"/>
      <c r="O58" s="1236"/>
    </row>
    <row r="59">
      <c r="A59" s="1422"/>
      <c r="B59" s="1384"/>
      <c r="C59" s="1441"/>
      <c r="D59" s="186"/>
      <c r="E59" s="1392"/>
      <c r="F59" s="1175"/>
      <c r="G59" s="1175"/>
      <c r="H59" s="1175"/>
      <c r="I59" s="1175"/>
      <c r="J59" s="1175"/>
      <c r="K59" s="1175"/>
      <c r="L59" s="1175"/>
      <c r="M59" s="1175"/>
      <c r="N59" s="1374"/>
      <c r="O59" s="1236"/>
    </row>
    <row r="60">
      <c r="A60" s="1365"/>
      <c r="B60" s="1366"/>
      <c r="C60" s="1432"/>
      <c r="D60" s="1175"/>
      <c r="E60" s="1392"/>
      <c r="F60" s="1175"/>
      <c r="G60" s="1175"/>
      <c r="H60" s="1175"/>
      <c r="I60" s="1175"/>
      <c r="J60" s="1175"/>
      <c r="K60" s="1175"/>
      <c r="L60" s="1175"/>
      <c r="M60" s="1175"/>
      <c r="N60" s="1374"/>
      <c r="O60" s="1236"/>
    </row>
    <row r="61">
      <c r="A61" s="1391"/>
      <c r="B61" s="1237"/>
      <c r="C61" s="1435"/>
      <c r="D61" s="1175"/>
      <c r="E61" s="1392"/>
      <c r="F61" s="1175"/>
      <c r="G61" s="1175"/>
      <c r="H61" s="1175"/>
      <c r="I61" s="1175"/>
      <c r="J61" s="1175"/>
      <c r="K61" s="1175"/>
      <c r="L61" s="1175"/>
      <c r="M61" s="1175"/>
      <c r="N61" s="1374"/>
      <c r="O61" s="1236"/>
    </row>
    <row r="62">
      <c r="A62" s="1442"/>
      <c r="B62" s="1443"/>
      <c r="C62" s="1444"/>
      <c r="D62" s="1445"/>
      <c r="E62" s="1446"/>
      <c r="F62" s="1447"/>
      <c r="G62" s="1448"/>
      <c r="H62" s="1449"/>
      <c r="I62" s="1450"/>
      <c r="J62" s="1451"/>
      <c r="K62" s="1452"/>
      <c r="L62" s="1447"/>
      <c r="M62" s="1453"/>
      <c r="N62" s="1454"/>
      <c r="O62" s="1455"/>
    </row>
    <row r="63">
      <c r="A63" s="1456"/>
      <c r="B63" s="1457"/>
      <c r="C63" s="1458"/>
      <c r="D63" s="1445"/>
      <c r="E63" s="1459"/>
      <c r="F63" s="1460"/>
      <c r="G63" s="1460"/>
      <c r="H63" s="1460"/>
      <c r="I63" s="1460"/>
      <c r="J63" s="1460"/>
      <c r="K63" s="1460"/>
      <c r="L63" s="1460"/>
      <c r="M63" s="186"/>
      <c r="N63" s="1461"/>
      <c r="O63" s="1462"/>
    </row>
    <row r="64">
      <c r="A64" s="1442"/>
      <c r="B64" s="1443"/>
      <c r="C64" s="1444"/>
      <c r="D64" s="1445"/>
      <c r="E64" s="1446"/>
      <c r="F64" s="1447"/>
      <c r="G64" s="1448"/>
      <c r="H64" s="1449"/>
      <c r="I64" s="1450"/>
      <c r="J64" s="1451"/>
      <c r="K64" s="1452"/>
      <c r="L64" s="1447"/>
      <c r="M64" s="1453"/>
      <c r="N64" s="1454"/>
      <c r="O64" s="1455"/>
    </row>
    <row r="65">
      <c r="A65" s="1456"/>
      <c r="B65" s="1457"/>
      <c r="C65" s="1458"/>
      <c r="D65" s="1445"/>
      <c r="E65" s="1459"/>
      <c r="F65" s="1460"/>
      <c r="G65" s="1460"/>
      <c r="H65" s="1460"/>
      <c r="I65" s="1460"/>
      <c r="J65" s="1460"/>
      <c r="K65" s="1460"/>
      <c r="L65" s="1460"/>
      <c r="M65" s="186"/>
      <c r="N65" s="1461"/>
      <c r="O65" s="1462"/>
    </row>
    <row r="66">
      <c r="A66" s="1442"/>
      <c r="B66" s="1443"/>
      <c r="C66" s="1444"/>
      <c r="D66" s="1445"/>
      <c r="E66" s="1446"/>
      <c r="F66" s="1447"/>
      <c r="G66" s="1448"/>
      <c r="H66" s="1449"/>
      <c r="I66" s="1450"/>
      <c r="J66" s="1451"/>
      <c r="K66" s="1452"/>
      <c r="L66" s="1447"/>
      <c r="M66" s="1453"/>
      <c r="N66" s="1454"/>
      <c r="O66" s="1455"/>
    </row>
    <row r="67">
      <c r="A67" s="1456"/>
      <c r="B67" s="1457"/>
      <c r="C67" s="1458"/>
      <c r="D67" s="1445"/>
      <c r="E67" s="1459"/>
      <c r="F67" s="1460"/>
      <c r="G67" s="1460"/>
      <c r="H67" s="1460"/>
      <c r="I67" s="1460"/>
      <c r="J67" s="1460"/>
      <c r="K67" s="1460"/>
      <c r="L67" s="1460"/>
      <c r="M67" s="186"/>
      <c r="N67" s="1461"/>
      <c r="O67" s="1462"/>
    </row>
    <row r="68">
      <c r="A68" s="1442"/>
      <c r="B68" s="1443"/>
      <c r="C68" s="1444"/>
      <c r="D68" s="1445"/>
      <c r="E68" s="1446"/>
      <c r="F68" s="1447"/>
      <c r="G68" s="1448"/>
      <c r="H68" s="1449"/>
      <c r="I68" s="1450"/>
      <c r="J68" s="1451"/>
      <c r="K68" s="1452"/>
      <c r="L68" s="1447"/>
      <c r="M68" s="1453"/>
      <c r="N68" s="1454"/>
      <c r="O68" s="1455"/>
    </row>
    <row r="69">
      <c r="A69" s="1456"/>
      <c r="B69" s="1457"/>
      <c r="C69" s="1458"/>
      <c r="D69" s="1445"/>
      <c r="E69" s="1459"/>
      <c r="F69" s="1460"/>
      <c r="G69" s="1460"/>
      <c r="H69" s="1460"/>
      <c r="I69" s="1460"/>
      <c r="J69" s="1460"/>
      <c r="K69" s="1460"/>
      <c r="L69" s="1460"/>
      <c r="M69" s="186"/>
      <c r="N69" s="1461"/>
      <c r="O69" s="1462"/>
    </row>
    <row r="70">
      <c r="A70" s="1442"/>
      <c r="B70" s="1443"/>
      <c r="C70" s="1444"/>
      <c r="D70" s="1445"/>
      <c r="E70" s="1446"/>
      <c r="F70" s="1447"/>
      <c r="G70" s="1448"/>
      <c r="H70" s="1449"/>
      <c r="I70" s="1450"/>
      <c r="J70" s="1451"/>
      <c r="K70" s="1452"/>
      <c r="L70" s="1447"/>
      <c r="M70" s="1453"/>
      <c r="N70" s="1454"/>
      <c r="O70" s="1455"/>
    </row>
    <row r="71">
      <c r="A71" s="1456"/>
      <c r="B71" s="1457"/>
      <c r="C71" s="1458"/>
      <c r="D71" s="1445"/>
      <c r="E71" s="1459"/>
      <c r="F71" s="1460"/>
      <c r="G71" s="1460"/>
      <c r="H71" s="1460"/>
      <c r="I71" s="1460"/>
      <c r="J71" s="1460"/>
      <c r="K71" s="1460"/>
      <c r="L71" s="1460"/>
      <c r="M71" s="186"/>
      <c r="N71" s="1461"/>
      <c r="O71" s="1462"/>
    </row>
    <row r="72">
      <c r="A72" s="1442"/>
      <c r="B72" s="1443"/>
      <c r="C72" s="1444"/>
      <c r="D72" s="1445"/>
      <c r="E72" s="1446"/>
      <c r="F72" s="1447"/>
      <c r="G72" s="1448"/>
      <c r="H72" s="1449"/>
      <c r="I72" s="1450"/>
      <c r="J72" s="1451"/>
      <c r="K72" s="1452"/>
      <c r="L72" s="1447"/>
      <c r="M72" s="1453"/>
      <c r="N72" s="1454"/>
      <c r="O72" s="1455"/>
    </row>
    <row r="73">
      <c r="A73" s="1456"/>
      <c r="B73" s="1457"/>
      <c r="C73" s="1458"/>
      <c r="D73" s="1445"/>
      <c r="E73" s="1459"/>
      <c r="F73" s="1460"/>
      <c r="G73" s="1460"/>
      <c r="H73" s="1460"/>
      <c r="I73" s="1460"/>
      <c r="J73" s="1460"/>
      <c r="K73" s="1460"/>
      <c r="L73" s="1460"/>
      <c r="M73" s="186"/>
      <c r="N73" s="1461"/>
      <c r="O73" s="1462"/>
    </row>
    <row r="74">
      <c r="A74" s="1442"/>
      <c r="B74" s="1443"/>
      <c r="C74" s="1444"/>
      <c r="D74" s="1445"/>
      <c r="E74" s="1446"/>
      <c r="F74" s="1447"/>
      <c r="G74" s="1448"/>
      <c r="H74" s="1449"/>
      <c r="I74" s="1450"/>
      <c r="J74" s="1451"/>
      <c r="K74" s="1452"/>
      <c r="L74" s="1447"/>
      <c r="M74" s="1453"/>
      <c r="N74" s="1454"/>
      <c r="O74" s="1455"/>
    </row>
    <row r="75">
      <c r="A75" s="1456"/>
      <c r="B75" s="1457"/>
      <c r="C75" s="1458"/>
      <c r="D75" s="1445"/>
      <c r="E75" s="1459"/>
      <c r="F75" s="1460"/>
      <c r="G75" s="1460"/>
      <c r="H75" s="1460"/>
      <c r="I75" s="1460"/>
      <c r="J75" s="1460"/>
      <c r="K75" s="1460"/>
      <c r="L75" s="1460"/>
      <c r="M75" s="186"/>
      <c r="N75" s="1461"/>
      <c r="O75" s="1462"/>
    </row>
    <row r="76">
      <c r="A76" s="1442"/>
      <c r="B76" s="1443"/>
      <c r="C76" s="1444"/>
      <c r="D76" s="1445"/>
      <c r="E76" s="1446"/>
      <c r="F76" s="1447"/>
      <c r="G76" s="1448"/>
      <c r="H76" s="1449"/>
      <c r="I76" s="1450"/>
      <c r="J76" s="1451"/>
      <c r="K76" s="1452"/>
      <c r="L76" s="1447"/>
      <c r="M76" s="1453"/>
      <c r="N76" s="1454"/>
      <c r="O76" s="1455"/>
    </row>
    <row r="77">
      <c r="A77" s="1456"/>
      <c r="B77" s="1457"/>
      <c r="C77" s="1458"/>
      <c r="D77" s="1445"/>
      <c r="E77" s="1459"/>
      <c r="F77" s="1460"/>
      <c r="G77" s="1460"/>
      <c r="H77" s="1460"/>
      <c r="I77" s="1460"/>
      <c r="J77" s="1460"/>
      <c r="K77" s="1460"/>
      <c r="L77" s="1460"/>
      <c r="M77" s="186"/>
      <c r="N77" s="1461"/>
      <c r="O77" s="1462"/>
    </row>
    <row r="78">
      <c r="A78" s="1442"/>
      <c r="B78" s="1443"/>
      <c r="C78" s="1444"/>
      <c r="D78" s="1445"/>
      <c r="E78" s="1446"/>
      <c r="F78" s="1447"/>
      <c r="G78" s="1448"/>
      <c r="H78" s="1449"/>
      <c r="I78" s="1450"/>
      <c r="J78" s="1451"/>
      <c r="K78" s="1452"/>
      <c r="L78" s="1447"/>
      <c r="M78" s="1453"/>
      <c r="N78" s="1454"/>
      <c r="O78" s="1455"/>
    </row>
    <row r="79">
      <c r="A79" s="1456"/>
      <c r="B79" s="1457"/>
      <c r="C79" s="1458"/>
      <c r="D79" s="1445"/>
      <c r="E79" s="1459"/>
      <c r="F79" s="1460"/>
      <c r="G79" s="1460"/>
      <c r="H79" s="1460"/>
      <c r="I79" s="1460"/>
      <c r="J79" s="1460"/>
      <c r="K79" s="1460"/>
      <c r="L79" s="1460"/>
      <c r="M79" s="186"/>
      <c r="N79" s="1461"/>
      <c r="O79" s="1462"/>
    </row>
    <row r="80">
      <c r="A80" s="1442"/>
      <c r="B80" s="1443"/>
      <c r="C80" s="1444"/>
      <c r="D80" s="1445"/>
      <c r="E80" s="1446"/>
      <c r="F80" s="1447"/>
      <c r="G80" s="1448"/>
      <c r="H80" s="1449"/>
      <c r="I80" s="1450"/>
      <c r="J80" s="1451"/>
      <c r="K80" s="1452"/>
      <c r="L80" s="1447"/>
      <c r="M80" s="1453"/>
      <c r="N80" s="1454"/>
      <c r="O80" s="1455"/>
    </row>
    <row r="81">
      <c r="A81" s="1456"/>
      <c r="B81" s="1457"/>
      <c r="C81" s="1458"/>
      <c r="D81" s="1445"/>
      <c r="E81" s="1459"/>
      <c r="F81" s="1460"/>
      <c r="G81" s="1460"/>
      <c r="H81" s="1460"/>
      <c r="I81" s="1460"/>
      <c r="J81" s="1460"/>
      <c r="K81" s="1460"/>
      <c r="L81" s="1460"/>
      <c r="M81" s="186"/>
      <c r="N81" s="1461"/>
      <c r="O81" s="1462"/>
    </row>
    <row r="82">
      <c r="A82" s="1442"/>
      <c r="B82" s="1443"/>
      <c r="C82" s="1444"/>
      <c r="D82" s="1445"/>
      <c r="E82" s="1446"/>
      <c r="F82" s="1447"/>
      <c r="G82" s="1448"/>
      <c r="H82" s="1449"/>
      <c r="I82" s="1450"/>
      <c r="J82" s="1451"/>
      <c r="K82" s="1452"/>
      <c r="L82" s="1447"/>
      <c r="M82" s="1453"/>
      <c r="N82" s="1454"/>
      <c r="O82" s="1455"/>
    </row>
    <row r="83">
      <c r="A83" s="1456"/>
      <c r="B83" s="1457"/>
      <c r="C83" s="1458"/>
      <c r="D83" s="1445"/>
      <c r="E83" s="1459"/>
      <c r="F83" s="1460"/>
      <c r="G83" s="1460"/>
      <c r="H83" s="1460"/>
      <c r="I83" s="1460"/>
      <c r="J83" s="1460"/>
      <c r="K83" s="1460"/>
      <c r="L83" s="1460"/>
      <c r="M83" s="186"/>
      <c r="N83" s="1461"/>
      <c r="O83" s="1462"/>
    </row>
    <row r="84">
      <c r="A84" s="1442"/>
      <c r="B84" s="1443"/>
      <c r="C84" s="1444"/>
      <c r="D84" s="1445"/>
      <c r="E84" s="1446"/>
      <c r="F84" s="1447"/>
      <c r="G84" s="1448"/>
      <c r="H84" s="1449"/>
      <c r="I84" s="1450"/>
      <c r="J84" s="1451"/>
      <c r="K84" s="1452"/>
      <c r="L84" s="1447"/>
      <c r="M84" s="1453"/>
      <c r="N84" s="1454"/>
      <c r="O84" s="1455"/>
    </row>
    <row r="85">
      <c r="A85" s="1456"/>
      <c r="B85" s="1457"/>
      <c r="C85" s="1458"/>
      <c r="D85" s="1445"/>
      <c r="E85" s="1459"/>
      <c r="F85" s="1460"/>
      <c r="G85" s="1460"/>
      <c r="H85" s="1460"/>
      <c r="I85" s="1460"/>
      <c r="J85" s="1460"/>
      <c r="K85" s="1460"/>
      <c r="L85" s="1460"/>
      <c r="M85" s="186"/>
      <c r="N85" s="1461"/>
      <c r="O85" s="1462"/>
    </row>
    <row r="86">
      <c r="A86" s="1442"/>
      <c r="B86" s="1443"/>
      <c r="C86" s="1444"/>
      <c r="D86" s="1445"/>
      <c r="E86" s="1446"/>
      <c r="F86" s="1447"/>
      <c r="G86" s="1448"/>
      <c r="H86" s="1449"/>
      <c r="I86" s="1450"/>
      <c r="J86" s="1451"/>
      <c r="K86" s="1452"/>
      <c r="L86" s="1447"/>
      <c r="M86" s="1453"/>
      <c r="N86" s="1454"/>
      <c r="O86" s="1455"/>
    </row>
    <row r="87">
      <c r="A87" s="1456"/>
      <c r="B87" s="1457"/>
      <c r="C87" s="1458"/>
      <c r="D87" s="1445"/>
      <c r="E87" s="1459"/>
      <c r="F87" s="1460"/>
      <c r="G87" s="1460"/>
      <c r="H87" s="1460"/>
      <c r="I87" s="1460"/>
      <c r="J87" s="1460"/>
      <c r="K87" s="1460"/>
      <c r="L87" s="1460"/>
      <c r="M87" s="186"/>
      <c r="N87" s="1461"/>
      <c r="O87" s="1462"/>
    </row>
    <row r="88">
      <c r="A88" s="1442"/>
      <c r="B88" s="1443"/>
      <c r="C88" s="1444"/>
      <c r="D88" s="1445"/>
      <c r="E88" s="1446"/>
      <c r="F88" s="1447"/>
      <c r="G88" s="1448"/>
      <c r="H88" s="1449"/>
      <c r="I88" s="1450"/>
      <c r="J88" s="1451"/>
      <c r="K88" s="1452"/>
      <c r="L88" s="1447"/>
      <c r="M88" s="1453"/>
      <c r="N88" s="1454"/>
      <c r="O88" s="1455"/>
    </row>
    <row r="89">
      <c r="A89" s="1456"/>
      <c r="B89" s="1457"/>
      <c r="C89" s="1458"/>
      <c r="D89" s="1445"/>
      <c r="E89" s="1459"/>
      <c r="F89" s="1460"/>
      <c r="G89" s="1460"/>
      <c r="H89" s="1460"/>
      <c r="I89" s="1460"/>
      <c r="J89" s="1460"/>
      <c r="K89" s="1460"/>
      <c r="L89" s="1460"/>
      <c r="M89" s="186"/>
      <c r="N89" s="1461"/>
      <c r="O89" s="1462"/>
    </row>
    <row r="90">
      <c r="A90" s="1442"/>
      <c r="B90" s="1443"/>
      <c r="C90" s="1444"/>
      <c r="D90" s="1450"/>
      <c r="E90" s="1446"/>
      <c r="F90" s="1447"/>
      <c r="G90" s="1448"/>
      <c r="H90" s="1449"/>
      <c r="I90" s="1450"/>
      <c r="J90" s="1451"/>
      <c r="K90" s="1452"/>
      <c r="L90" s="1447"/>
      <c r="M90" s="1453"/>
      <c r="N90" s="1454"/>
      <c r="O90" s="1455"/>
    </row>
    <row r="91">
      <c r="A91" s="1456"/>
      <c r="B91" s="1457"/>
      <c r="C91" s="1458"/>
      <c r="D91" s="1460"/>
      <c r="E91" s="1459"/>
      <c r="F91" s="1460"/>
      <c r="G91" s="1460"/>
      <c r="H91" s="1460"/>
      <c r="I91" s="1460"/>
      <c r="J91" s="1460"/>
      <c r="K91" s="1460"/>
      <c r="L91" s="1460"/>
      <c r="M91" s="186"/>
      <c r="N91" s="1461"/>
      <c r="O91" s="1462"/>
    </row>
    <row r="92">
      <c r="A92" s="1442"/>
      <c r="B92" s="1443"/>
      <c r="C92" s="1444"/>
      <c r="D92" s="1450"/>
      <c r="E92" s="1446"/>
      <c r="F92" s="1447"/>
      <c r="G92" s="1448"/>
      <c r="H92" s="1449"/>
      <c r="I92" s="1450"/>
      <c r="J92" s="1451"/>
      <c r="K92" s="1452"/>
      <c r="L92" s="1447"/>
      <c r="M92" s="1453"/>
      <c r="N92" s="1454"/>
      <c r="O92" s="1455"/>
    </row>
    <row r="93">
      <c r="A93" s="1456"/>
      <c r="B93" s="1457"/>
      <c r="C93" s="1458"/>
      <c r="D93" s="1460"/>
      <c r="E93" s="1459"/>
      <c r="F93" s="1460"/>
      <c r="G93" s="1460"/>
      <c r="H93" s="1460"/>
      <c r="I93" s="1460"/>
      <c r="J93" s="1460"/>
      <c r="K93" s="1460"/>
      <c r="L93" s="1460"/>
      <c r="M93" s="186"/>
      <c r="N93" s="1461"/>
      <c r="O93" s="1462"/>
    </row>
    <row r="94">
      <c r="A94" s="1442"/>
      <c r="B94" s="1443"/>
      <c r="C94" s="1444"/>
      <c r="D94" s="1450"/>
      <c r="E94" s="1446"/>
      <c r="F94" s="1447"/>
      <c r="G94" s="1448"/>
      <c r="H94" s="1449"/>
      <c r="I94" s="1450"/>
      <c r="J94" s="1451"/>
      <c r="K94" s="1452"/>
      <c r="L94" s="1447"/>
      <c r="M94" s="1453"/>
      <c r="N94" s="1454"/>
      <c r="O94" s="1455"/>
    </row>
    <row r="95">
      <c r="A95" s="1456"/>
      <c r="B95" s="1457"/>
      <c r="C95" s="1458"/>
      <c r="D95" s="1460"/>
      <c r="E95" s="1459"/>
      <c r="F95" s="1460"/>
      <c r="G95" s="1460"/>
      <c r="H95" s="1460"/>
      <c r="I95" s="1460"/>
      <c r="J95" s="1460"/>
      <c r="K95" s="1460"/>
      <c r="L95" s="1460"/>
      <c r="M95" s="186"/>
      <c r="N95" s="1461"/>
      <c r="O95" s="1462"/>
    </row>
    <row r="96">
      <c r="A96" s="1442"/>
      <c r="B96" s="1443"/>
      <c r="C96" s="1444"/>
      <c r="D96" s="1450"/>
      <c r="E96" s="1446"/>
      <c r="F96" s="1447"/>
      <c r="G96" s="1448"/>
      <c r="H96" s="1449"/>
      <c r="I96" s="1450"/>
      <c r="J96" s="1451"/>
      <c r="K96" s="1452"/>
      <c r="L96" s="1447"/>
      <c r="M96" s="1453"/>
      <c r="N96" s="1454"/>
      <c r="O96" s="1455"/>
    </row>
    <row r="97">
      <c r="A97" s="1456"/>
      <c r="B97" s="1457"/>
      <c r="C97" s="1458"/>
      <c r="D97" s="1460"/>
      <c r="E97" s="1459"/>
      <c r="F97" s="1460"/>
      <c r="G97" s="1460"/>
      <c r="H97" s="1460"/>
      <c r="I97" s="1460"/>
      <c r="J97" s="1460"/>
      <c r="K97" s="1460"/>
      <c r="L97" s="1460"/>
      <c r="M97" s="186"/>
      <c r="N97" s="1461"/>
      <c r="O97" s="1462"/>
    </row>
    <row r="98">
      <c r="A98" s="1442"/>
      <c r="B98" s="1443"/>
      <c r="C98" s="1444"/>
      <c r="D98" s="1450"/>
      <c r="E98" s="1446"/>
      <c r="F98" s="1447"/>
      <c r="G98" s="1448"/>
      <c r="H98" s="1449"/>
      <c r="I98" s="1450"/>
      <c r="J98" s="1451"/>
      <c r="K98" s="1452"/>
      <c r="L98" s="1447"/>
      <c r="M98" s="1453"/>
      <c r="N98" s="1454"/>
      <c r="O98" s="1455"/>
    </row>
    <row r="99">
      <c r="A99" s="1456"/>
      <c r="B99" s="1457"/>
      <c r="C99" s="1458"/>
      <c r="D99" s="1460"/>
      <c r="E99" s="1459"/>
      <c r="F99" s="1460"/>
      <c r="G99" s="1460"/>
      <c r="H99" s="1460"/>
      <c r="I99" s="1460"/>
      <c r="J99" s="1460"/>
      <c r="K99" s="1460"/>
      <c r="L99" s="1460"/>
      <c r="M99" s="186"/>
      <c r="N99" s="1461"/>
      <c r="O99" s="1462"/>
    </row>
    <row r="100">
      <c r="A100" s="1442"/>
      <c r="B100" s="1443"/>
      <c r="C100" s="1444"/>
      <c r="D100" s="1450"/>
      <c r="E100" s="1446"/>
      <c r="F100" s="1447"/>
      <c r="G100" s="1448"/>
      <c r="H100" s="1449"/>
      <c r="I100" s="1450"/>
      <c r="J100" s="1451"/>
      <c r="K100" s="1452"/>
      <c r="L100" s="1447"/>
      <c r="M100" s="1453"/>
      <c r="N100" s="1454"/>
      <c r="O100" s="1455"/>
    </row>
    <row r="101">
      <c r="A101" s="1456"/>
      <c r="B101" s="1457"/>
      <c r="C101" s="1458"/>
      <c r="D101" s="1460"/>
      <c r="E101" s="1459"/>
      <c r="F101" s="1460"/>
      <c r="G101" s="1460"/>
      <c r="H101" s="1460"/>
      <c r="I101" s="1460"/>
      <c r="J101" s="1460"/>
      <c r="K101" s="1460"/>
      <c r="L101" s="1460"/>
      <c r="M101" s="186"/>
      <c r="N101" s="1461"/>
      <c r="O101" s="1462"/>
    </row>
    <row r="102">
      <c r="A102" s="1442"/>
      <c r="B102" s="1443"/>
      <c r="C102" s="1444"/>
      <c r="D102" s="1450"/>
      <c r="E102" s="1446"/>
      <c r="F102" s="1447"/>
      <c r="G102" s="1448"/>
      <c r="H102" s="1449"/>
      <c r="I102" s="1450"/>
      <c r="J102" s="1451"/>
      <c r="K102" s="1452"/>
      <c r="L102" s="1447"/>
      <c r="M102" s="1453"/>
      <c r="N102" s="1454"/>
      <c r="O102" s="1455"/>
    </row>
    <row r="103">
      <c r="A103" s="1456"/>
      <c r="B103" s="1457"/>
      <c r="C103" s="1458"/>
      <c r="D103" s="1460"/>
      <c r="E103" s="1459"/>
      <c r="F103" s="1460"/>
      <c r="G103" s="1460"/>
      <c r="H103" s="1460"/>
      <c r="I103" s="1460"/>
      <c r="J103" s="1460"/>
      <c r="K103" s="1460"/>
      <c r="L103" s="1460"/>
      <c r="M103" s="186"/>
      <c r="N103" s="1461"/>
      <c r="O103" s="1462"/>
    </row>
    <row r="104">
      <c r="A104" s="1442"/>
      <c r="B104" s="1443"/>
      <c r="C104" s="1444"/>
      <c r="D104" s="1450"/>
      <c r="E104" s="1446"/>
      <c r="F104" s="1447"/>
      <c r="G104" s="1448"/>
      <c r="H104" s="1449"/>
      <c r="I104" s="1450"/>
      <c r="J104" s="1451"/>
      <c r="K104" s="1452"/>
      <c r="L104" s="1447"/>
      <c r="M104" s="1453"/>
      <c r="N104" s="1454"/>
      <c r="O104" s="1455"/>
    </row>
    <row r="105">
      <c r="A105" s="1456"/>
      <c r="B105" s="1457"/>
      <c r="C105" s="1458"/>
      <c r="D105" s="1460"/>
      <c r="E105" s="1459"/>
      <c r="F105" s="1460"/>
      <c r="G105" s="1460"/>
      <c r="H105" s="1460"/>
      <c r="I105" s="1460"/>
      <c r="J105" s="1460"/>
      <c r="K105" s="1460"/>
      <c r="L105" s="1460"/>
      <c r="M105" s="186"/>
      <c r="N105" s="1461"/>
      <c r="O105" s="1462"/>
    </row>
    <row r="106">
      <c r="A106" s="1442"/>
      <c r="B106" s="1443"/>
      <c r="C106" s="1444"/>
      <c r="D106" s="1450"/>
      <c r="E106" s="1446"/>
      <c r="F106" s="1447"/>
      <c r="G106" s="1448"/>
      <c r="H106" s="1449"/>
      <c r="I106" s="1450"/>
      <c r="J106" s="1451"/>
      <c r="K106" s="1452"/>
      <c r="L106" s="1447"/>
      <c r="M106" s="1453"/>
      <c r="N106" s="1454"/>
      <c r="O106" s="1455"/>
    </row>
    <row r="107">
      <c r="A107" s="1456"/>
      <c r="B107" s="1457"/>
      <c r="C107" s="1458"/>
      <c r="D107" s="1460"/>
      <c r="E107" s="1459"/>
      <c r="F107" s="1460"/>
      <c r="G107" s="1460"/>
      <c r="H107" s="1460"/>
      <c r="I107" s="1460"/>
      <c r="J107" s="1460"/>
      <c r="K107" s="1460"/>
      <c r="L107" s="1460"/>
      <c r="M107" s="186"/>
      <c r="N107" s="1461"/>
      <c r="O107" s="1462"/>
    </row>
    <row r="108">
      <c r="A108" s="1442"/>
      <c r="B108" s="1443"/>
      <c r="C108" s="1444"/>
      <c r="D108" s="1450"/>
      <c r="E108" s="1446"/>
      <c r="F108" s="1447"/>
      <c r="G108" s="1448"/>
      <c r="H108" s="1449"/>
      <c r="I108" s="1450"/>
      <c r="J108" s="1451"/>
      <c r="K108" s="1452"/>
      <c r="L108" s="1447"/>
      <c r="M108" s="1453"/>
      <c r="N108" s="1454"/>
      <c r="O108" s="1455"/>
    </row>
    <row r="109">
      <c r="A109" s="1456"/>
      <c r="B109" s="1457"/>
      <c r="C109" s="1458"/>
      <c r="D109" s="1460"/>
      <c r="E109" s="1459"/>
      <c r="F109" s="1460"/>
      <c r="G109" s="1460"/>
      <c r="H109" s="1460"/>
      <c r="I109" s="1460"/>
      <c r="J109" s="1460"/>
      <c r="K109" s="1460"/>
      <c r="L109" s="1460"/>
      <c r="M109" s="186"/>
      <c r="N109" s="1461"/>
      <c r="O109" s="1462"/>
    </row>
    <row r="110">
      <c r="A110" s="1442"/>
      <c r="B110" s="1443"/>
      <c r="C110" s="1444"/>
      <c r="D110" s="1450"/>
      <c r="E110" s="1446"/>
      <c r="F110" s="1447"/>
      <c r="G110" s="1448"/>
      <c r="H110" s="1449"/>
      <c r="I110" s="1450"/>
      <c r="J110" s="1451"/>
      <c r="K110" s="1452"/>
      <c r="L110" s="1447"/>
      <c r="M110" s="1453"/>
      <c r="N110" s="1454"/>
      <c r="O110" s="1455"/>
    </row>
    <row r="111">
      <c r="A111" s="1456"/>
      <c r="B111" s="1457"/>
      <c r="C111" s="1458"/>
      <c r="D111" s="1460"/>
      <c r="E111" s="1459"/>
      <c r="F111" s="1460"/>
      <c r="G111" s="1460"/>
      <c r="H111" s="1460"/>
      <c r="I111" s="1460"/>
      <c r="J111" s="1460"/>
      <c r="K111" s="1460"/>
      <c r="L111" s="1460"/>
      <c r="M111" s="186"/>
      <c r="N111" s="1461"/>
      <c r="O111" s="1462"/>
    </row>
    <row r="112">
      <c r="A112" s="1442"/>
      <c r="B112" s="1443"/>
      <c r="C112" s="1444"/>
      <c r="D112" s="1450"/>
      <c r="E112" s="1446"/>
      <c r="F112" s="1447"/>
      <c r="G112" s="1448"/>
      <c r="H112" s="1449"/>
      <c r="I112" s="1450"/>
      <c r="J112" s="1451"/>
      <c r="K112" s="1452"/>
      <c r="L112" s="1447"/>
      <c r="M112" s="1453"/>
      <c r="N112" s="1454"/>
      <c r="O112" s="1455"/>
    </row>
    <row r="113">
      <c r="A113" s="1456"/>
      <c r="B113" s="1457"/>
      <c r="C113" s="1458"/>
      <c r="D113" s="1460"/>
      <c r="E113" s="1459"/>
      <c r="F113" s="1460"/>
      <c r="G113" s="1460"/>
      <c r="H113" s="1460"/>
      <c r="I113" s="1460"/>
      <c r="J113" s="1460"/>
      <c r="K113" s="1460"/>
      <c r="L113" s="1460"/>
      <c r="M113" s="186"/>
      <c r="N113" s="1461"/>
      <c r="O113" s="1462"/>
    </row>
    <row r="114">
      <c r="A114" s="1442"/>
      <c r="B114" s="1443"/>
      <c r="C114" s="1444"/>
      <c r="D114" s="1450"/>
      <c r="E114" s="1446"/>
      <c r="F114" s="1447"/>
      <c r="G114" s="1448"/>
      <c r="H114" s="1449"/>
      <c r="I114" s="1450"/>
      <c r="J114" s="1451"/>
      <c r="K114" s="1452"/>
      <c r="L114" s="1447"/>
      <c r="M114" s="1453"/>
      <c r="N114" s="1454"/>
      <c r="O114" s="1455"/>
    </row>
    <row r="115">
      <c r="A115" s="1456"/>
      <c r="B115" s="1457"/>
      <c r="C115" s="1458"/>
      <c r="D115" s="1460"/>
      <c r="E115" s="1459"/>
      <c r="F115" s="1460"/>
      <c r="G115" s="1460"/>
      <c r="H115" s="1460"/>
      <c r="I115" s="1460"/>
      <c r="J115" s="1460"/>
      <c r="K115" s="1460"/>
      <c r="L115" s="1460"/>
      <c r="M115" s="186"/>
      <c r="N115" s="1461"/>
      <c r="O115" s="1462"/>
    </row>
    <row r="116">
      <c r="A116" s="1442"/>
      <c r="B116" s="1443"/>
      <c r="C116" s="1444"/>
      <c r="D116" s="1450"/>
      <c r="E116" s="1446"/>
      <c r="F116" s="1447"/>
      <c r="G116" s="1448"/>
      <c r="H116" s="1449"/>
      <c r="I116" s="1450"/>
      <c r="J116" s="1451"/>
      <c r="K116" s="1452"/>
      <c r="L116" s="1447"/>
      <c r="M116" s="1453"/>
      <c r="N116" s="1454"/>
      <c r="O116" s="1455"/>
    </row>
    <row r="117">
      <c r="A117" s="1456"/>
      <c r="B117" s="1457"/>
      <c r="C117" s="1458"/>
      <c r="D117" s="1460"/>
      <c r="E117" s="1459"/>
      <c r="F117" s="1460"/>
      <c r="G117" s="1460"/>
      <c r="H117" s="1460"/>
      <c r="I117" s="1460"/>
      <c r="J117" s="1460"/>
      <c r="K117" s="1460"/>
      <c r="L117" s="1460"/>
      <c r="M117" s="186"/>
      <c r="N117" s="1461"/>
      <c r="O117" s="1462"/>
    </row>
    <row r="118">
      <c r="A118" s="1442"/>
      <c r="B118" s="1443"/>
      <c r="C118" s="1444"/>
      <c r="D118" s="1450"/>
      <c r="E118" s="1446"/>
      <c r="F118" s="1447"/>
      <c r="G118" s="1448"/>
      <c r="H118" s="1449"/>
      <c r="I118" s="1450"/>
      <c r="J118" s="1451"/>
      <c r="K118" s="1452"/>
      <c r="L118" s="1447"/>
      <c r="M118" s="1453"/>
      <c r="N118" s="1454"/>
      <c r="O118" s="1455"/>
    </row>
    <row r="119">
      <c r="A119" s="1456"/>
      <c r="B119" s="1457"/>
      <c r="C119" s="1458"/>
      <c r="D119" s="1460"/>
      <c r="E119" s="1459"/>
      <c r="F119" s="1460"/>
      <c r="G119" s="1460"/>
      <c r="H119" s="1460"/>
      <c r="I119" s="1460"/>
      <c r="J119" s="1460"/>
      <c r="K119" s="1460"/>
      <c r="L119" s="1460"/>
      <c r="M119" s="186"/>
      <c r="N119" s="1461"/>
      <c r="O119" s="1462"/>
    </row>
    <row r="120">
      <c r="A120" s="1442"/>
      <c r="B120" s="1443"/>
      <c r="C120" s="1444"/>
      <c r="D120" s="1450"/>
      <c r="E120" s="1446"/>
      <c r="F120" s="1447"/>
      <c r="G120" s="1448"/>
      <c r="H120" s="1449"/>
      <c r="I120" s="1450"/>
      <c r="J120" s="1451"/>
      <c r="K120" s="1452"/>
      <c r="L120" s="1447"/>
      <c r="M120" s="1453"/>
      <c r="N120" s="1454"/>
      <c r="O120" s="1455"/>
    </row>
    <row r="121">
      <c r="A121" s="1456"/>
      <c r="B121" s="1457"/>
      <c r="C121" s="1458"/>
      <c r="D121" s="1460"/>
      <c r="E121" s="1459"/>
      <c r="F121" s="1460"/>
      <c r="G121" s="1460"/>
      <c r="H121" s="1460"/>
      <c r="I121" s="1460"/>
      <c r="J121" s="1460"/>
      <c r="K121" s="1460"/>
      <c r="L121" s="1460"/>
      <c r="M121" s="186"/>
      <c r="N121" s="1461"/>
      <c r="O121" s="1462"/>
    </row>
    <row r="122">
      <c r="A122" s="1442"/>
      <c r="B122" s="1443"/>
      <c r="C122" s="1444"/>
      <c r="D122" s="1450"/>
      <c r="E122" s="1446"/>
      <c r="F122" s="1447"/>
      <c r="G122" s="1448"/>
      <c r="H122" s="1449"/>
      <c r="I122" s="1450"/>
      <c r="J122" s="1451"/>
      <c r="K122" s="1452"/>
      <c r="L122" s="1447"/>
      <c r="M122" s="1453"/>
      <c r="N122" s="1454"/>
      <c r="O122" s="1455"/>
    </row>
    <row r="123">
      <c r="A123" s="1456"/>
      <c r="B123" s="1457"/>
      <c r="C123" s="1458"/>
      <c r="D123" s="1460"/>
      <c r="E123" s="1459"/>
      <c r="F123" s="1460"/>
      <c r="G123" s="1460"/>
      <c r="H123" s="1460"/>
      <c r="I123" s="1460"/>
      <c r="J123" s="1460"/>
      <c r="K123" s="1460"/>
      <c r="L123" s="1460"/>
      <c r="M123" s="186"/>
      <c r="N123" s="1461"/>
      <c r="O123" s="1462"/>
    </row>
    <row r="124">
      <c r="A124" s="1442"/>
      <c r="B124" s="1443"/>
      <c r="C124" s="1444"/>
      <c r="D124" s="1450"/>
      <c r="E124" s="1446"/>
      <c r="F124" s="1447"/>
      <c r="G124" s="1448"/>
      <c r="H124" s="1449"/>
      <c r="I124" s="1450"/>
      <c r="J124" s="1451"/>
      <c r="K124" s="1452"/>
      <c r="L124" s="1447"/>
      <c r="M124" s="1453"/>
      <c r="N124" s="1454"/>
      <c r="O124" s="1455"/>
    </row>
    <row r="125">
      <c r="A125" s="1456"/>
      <c r="B125" s="1457"/>
      <c r="C125" s="1458"/>
      <c r="D125" s="1460"/>
      <c r="E125" s="1459"/>
      <c r="F125" s="1460"/>
      <c r="G125" s="1460"/>
      <c r="H125" s="1460"/>
      <c r="I125" s="1460"/>
      <c r="J125" s="1460"/>
      <c r="K125" s="1460"/>
      <c r="L125" s="1460"/>
      <c r="M125" s="186"/>
      <c r="N125" s="1461"/>
      <c r="O125" s="1462"/>
    </row>
    <row r="126">
      <c r="A126" s="1442"/>
      <c r="B126" s="1443"/>
      <c r="C126" s="1444"/>
      <c r="D126" s="1450"/>
      <c r="E126" s="1446"/>
      <c r="F126" s="1447"/>
      <c r="G126" s="1448"/>
      <c r="H126" s="1449"/>
      <c r="I126" s="1450"/>
      <c r="J126" s="1451"/>
      <c r="K126" s="1452"/>
      <c r="L126" s="1447"/>
      <c r="M126" s="1453"/>
      <c r="N126" s="1454"/>
      <c r="O126" s="1455"/>
    </row>
    <row r="127">
      <c r="A127" s="1456"/>
      <c r="B127" s="1457"/>
      <c r="C127" s="1458"/>
      <c r="D127" s="1460"/>
      <c r="E127" s="1459"/>
      <c r="F127" s="1460"/>
      <c r="G127" s="1460"/>
      <c r="H127" s="1460"/>
      <c r="I127" s="1460"/>
      <c r="J127" s="1460"/>
      <c r="K127" s="1460"/>
      <c r="L127" s="1460"/>
      <c r="M127" s="186"/>
      <c r="N127" s="1461"/>
      <c r="O127" s="1462"/>
    </row>
    <row r="128">
      <c r="A128" s="1442"/>
      <c r="B128" s="1443"/>
      <c r="C128" s="1444"/>
      <c r="D128" s="1450"/>
      <c r="E128" s="1446"/>
      <c r="F128" s="1447"/>
      <c r="G128" s="1448"/>
      <c r="H128" s="1449"/>
      <c r="I128" s="1450"/>
      <c r="J128" s="1451"/>
      <c r="K128" s="1452"/>
      <c r="L128" s="1447"/>
      <c r="M128" s="1453"/>
      <c r="N128" s="1454"/>
      <c r="O128" s="1455"/>
    </row>
    <row r="129">
      <c r="A129" s="1456"/>
      <c r="B129" s="1457"/>
      <c r="C129" s="1458"/>
      <c r="D129" s="1460"/>
      <c r="E129" s="1459"/>
      <c r="F129" s="1460"/>
      <c r="G129" s="1460"/>
      <c r="H129" s="1460"/>
      <c r="I129" s="1460"/>
      <c r="J129" s="1460"/>
      <c r="K129" s="1460"/>
      <c r="L129" s="1460"/>
      <c r="M129" s="186"/>
      <c r="N129" s="1461"/>
      <c r="O129" s="1462"/>
    </row>
    <row r="130">
      <c r="A130" s="1442"/>
      <c r="B130" s="1443"/>
      <c r="C130" s="1444"/>
      <c r="D130" s="1450"/>
      <c r="E130" s="1446"/>
      <c r="F130" s="1447"/>
      <c r="G130" s="1448"/>
      <c r="H130" s="1449"/>
      <c r="I130" s="1450"/>
      <c r="J130" s="1451"/>
      <c r="K130" s="1452"/>
      <c r="L130" s="1447"/>
      <c r="M130" s="1453"/>
      <c r="N130" s="1454"/>
      <c r="O130" s="1455"/>
    </row>
    <row r="131">
      <c r="A131" s="1456"/>
      <c r="B131" s="1457"/>
      <c r="C131" s="1458"/>
      <c r="D131" s="1460"/>
      <c r="E131" s="1459"/>
      <c r="F131" s="1460"/>
      <c r="G131" s="1460"/>
      <c r="H131" s="1460"/>
      <c r="I131" s="1460"/>
      <c r="J131" s="1460"/>
      <c r="K131" s="1460"/>
      <c r="L131" s="1460"/>
      <c r="M131" s="186"/>
      <c r="N131" s="1461"/>
      <c r="O131" s="1462"/>
    </row>
    <row r="132">
      <c r="A132" s="1442"/>
      <c r="B132" s="1443"/>
      <c r="C132" s="1444"/>
      <c r="D132" s="1450"/>
      <c r="E132" s="1446"/>
      <c r="F132" s="1447"/>
      <c r="G132" s="1448"/>
      <c r="H132" s="1449"/>
      <c r="I132" s="1450"/>
      <c r="J132" s="1451"/>
      <c r="K132" s="1452"/>
      <c r="L132" s="1447"/>
      <c r="M132" s="1453"/>
      <c r="N132" s="1454"/>
      <c r="O132" s="1455"/>
    </row>
    <row r="133">
      <c r="A133" s="1456"/>
      <c r="B133" s="1457"/>
      <c r="C133" s="1458"/>
      <c r="D133" s="1460"/>
      <c r="E133" s="1459"/>
      <c r="F133" s="1460"/>
      <c r="G133" s="1460"/>
      <c r="H133" s="1460"/>
      <c r="I133" s="1460"/>
      <c r="J133" s="1460"/>
      <c r="K133" s="1460"/>
      <c r="L133" s="1460"/>
      <c r="M133" s="186"/>
      <c r="N133" s="1461"/>
      <c r="O133" s="1462"/>
    </row>
    <row r="134">
      <c r="A134" s="1442"/>
      <c r="B134" s="1443"/>
      <c r="C134" s="1444"/>
      <c r="D134" s="1450"/>
      <c r="E134" s="1446"/>
      <c r="F134" s="1447"/>
      <c r="G134" s="1448"/>
      <c r="H134" s="1449"/>
      <c r="I134" s="1450"/>
      <c r="J134" s="1451"/>
      <c r="K134" s="1452"/>
      <c r="L134" s="1447"/>
      <c r="M134" s="1453"/>
      <c r="N134" s="1454"/>
      <c r="O134" s="1455"/>
    </row>
    <row r="135">
      <c r="A135" s="1456"/>
      <c r="B135" s="1457"/>
      <c r="C135" s="1458"/>
      <c r="D135" s="1460"/>
      <c r="E135" s="1459"/>
      <c r="F135" s="1460"/>
      <c r="G135" s="1460"/>
      <c r="H135" s="1460"/>
      <c r="I135" s="1460"/>
      <c r="J135" s="1460"/>
      <c r="K135" s="1460"/>
      <c r="L135" s="1460"/>
      <c r="M135" s="186"/>
      <c r="N135" s="1461"/>
      <c r="O135" s="1462"/>
    </row>
    <row r="136">
      <c r="A136" s="1442"/>
      <c r="B136" s="1443"/>
      <c r="C136" s="1444"/>
      <c r="D136" s="1450"/>
      <c r="E136" s="1446"/>
      <c r="F136" s="1447"/>
      <c r="G136" s="1448"/>
      <c r="H136" s="1449"/>
      <c r="I136" s="1450"/>
      <c r="J136" s="1451"/>
      <c r="K136" s="1452"/>
      <c r="L136" s="1447"/>
      <c r="M136" s="1453"/>
      <c r="N136" s="1454"/>
      <c r="O136" s="1455"/>
    </row>
    <row r="137">
      <c r="A137" s="1456"/>
      <c r="B137" s="1457"/>
      <c r="C137" s="1458"/>
      <c r="D137" s="1460"/>
      <c r="E137" s="1459"/>
      <c r="F137" s="1460"/>
      <c r="G137" s="1460"/>
      <c r="H137" s="1460"/>
      <c r="I137" s="1460"/>
      <c r="J137" s="1460"/>
      <c r="K137" s="1460"/>
      <c r="L137" s="1460"/>
      <c r="M137" s="186"/>
      <c r="N137" s="1461"/>
      <c r="O137" s="1462"/>
    </row>
    <row r="138">
      <c r="A138" s="1442"/>
      <c r="B138" s="1443"/>
      <c r="C138" s="1444"/>
      <c r="D138" s="1450"/>
      <c r="E138" s="1446"/>
      <c r="F138" s="1447"/>
      <c r="G138" s="1448"/>
      <c r="H138" s="1449"/>
      <c r="I138" s="1450"/>
      <c r="J138" s="1451"/>
      <c r="K138" s="1452"/>
      <c r="L138" s="1447"/>
      <c r="M138" s="1453"/>
      <c r="N138" s="1454"/>
      <c r="O138" s="1455"/>
    </row>
    <row r="139">
      <c r="A139" s="1456"/>
      <c r="B139" s="1457"/>
      <c r="C139" s="1458"/>
      <c r="D139" s="1460"/>
      <c r="E139" s="1459"/>
      <c r="F139" s="1460"/>
      <c r="G139" s="1460"/>
      <c r="H139" s="1460"/>
      <c r="I139" s="1460"/>
      <c r="J139" s="1460"/>
      <c r="K139" s="1460"/>
      <c r="L139" s="1460"/>
      <c r="M139" s="186"/>
      <c r="N139" s="1461"/>
      <c r="O139" s="1462"/>
    </row>
    <row r="140">
      <c r="A140" s="1442"/>
      <c r="B140" s="1443"/>
      <c r="C140" s="1444"/>
      <c r="D140" s="1450"/>
      <c r="E140" s="1446"/>
      <c r="F140" s="1447"/>
      <c r="G140" s="1448"/>
      <c r="H140" s="1449"/>
      <c r="I140" s="1450"/>
      <c r="J140" s="1451"/>
      <c r="K140" s="1452"/>
      <c r="L140" s="1447"/>
      <c r="M140" s="1453"/>
      <c r="N140" s="1454"/>
      <c r="O140" s="1455"/>
    </row>
    <row r="141">
      <c r="A141" s="1456"/>
      <c r="B141" s="1457"/>
      <c r="C141" s="1458"/>
      <c r="D141" s="1460"/>
      <c r="E141" s="1459"/>
      <c r="F141" s="1460"/>
      <c r="G141" s="1460"/>
      <c r="H141" s="1460"/>
      <c r="I141" s="1460"/>
      <c r="J141" s="1460"/>
      <c r="K141" s="1460"/>
      <c r="L141" s="1460"/>
      <c r="M141" s="186"/>
      <c r="N141" s="1461"/>
      <c r="O141" s="1462"/>
    </row>
    <row r="142">
      <c r="A142" s="1442"/>
      <c r="B142" s="1443"/>
      <c r="C142" s="1444"/>
      <c r="D142" s="1450"/>
      <c r="E142" s="1446"/>
      <c r="F142" s="1447"/>
      <c r="G142" s="1448"/>
      <c r="H142" s="1449"/>
      <c r="I142" s="1450"/>
      <c r="J142" s="1451"/>
      <c r="K142" s="1452"/>
      <c r="L142" s="1447"/>
      <c r="M142" s="1453"/>
      <c r="N142" s="1454"/>
      <c r="O142" s="1455"/>
    </row>
    <row r="143">
      <c r="A143" s="1456"/>
      <c r="B143" s="1457"/>
      <c r="C143" s="1458"/>
      <c r="D143" s="1460"/>
      <c r="E143" s="1459"/>
      <c r="F143" s="1460"/>
      <c r="G143" s="1460"/>
      <c r="H143" s="1460"/>
      <c r="I143" s="1460"/>
      <c r="J143" s="1460"/>
      <c r="K143" s="1460"/>
      <c r="L143" s="1460"/>
      <c r="M143" s="186"/>
      <c r="N143" s="1461"/>
      <c r="O143" s="1462"/>
    </row>
    <row r="144">
      <c r="A144" s="1442"/>
      <c r="B144" s="1443"/>
      <c r="C144" s="1444"/>
      <c r="D144" s="1450"/>
      <c r="E144" s="1446"/>
      <c r="F144" s="1447"/>
      <c r="G144" s="1448"/>
      <c r="H144" s="1449"/>
      <c r="I144" s="1450"/>
      <c r="J144" s="1451"/>
      <c r="K144" s="1452"/>
      <c r="L144" s="1447"/>
      <c r="M144" s="1453"/>
      <c r="N144" s="1454"/>
      <c r="O144" s="1455"/>
    </row>
    <row r="145">
      <c r="A145" s="1456"/>
      <c r="B145" s="1457"/>
      <c r="C145" s="1458"/>
      <c r="D145" s="1460"/>
      <c r="E145" s="1459"/>
      <c r="F145" s="1460"/>
      <c r="G145" s="1460"/>
      <c r="H145" s="1460"/>
      <c r="I145" s="1460"/>
      <c r="J145" s="1460"/>
      <c r="K145" s="1460"/>
      <c r="L145" s="1460"/>
      <c r="M145" s="186"/>
      <c r="N145" s="1461"/>
      <c r="O145" s="1462"/>
    </row>
    <row r="146">
      <c r="A146" s="1442"/>
      <c r="B146" s="1443"/>
      <c r="C146" s="1444"/>
      <c r="D146" s="1450"/>
      <c r="E146" s="1446"/>
      <c r="F146" s="1447"/>
      <c r="G146" s="1448"/>
      <c r="H146" s="1449"/>
      <c r="I146" s="1450"/>
      <c r="J146" s="1451"/>
      <c r="K146" s="1452"/>
      <c r="L146" s="1447"/>
      <c r="M146" s="1453"/>
      <c r="N146" s="1454"/>
      <c r="O146" s="1455"/>
    </row>
    <row r="147">
      <c r="A147" s="1456"/>
      <c r="B147" s="1457"/>
      <c r="C147" s="1458"/>
      <c r="D147" s="1460"/>
      <c r="E147" s="1459"/>
      <c r="F147" s="1460"/>
      <c r="G147" s="1460"/>
      <c r="H147" s="1460"/>
      <c r="I147" s="1460"/>
      <c r="J147" s="1460"/>
      <c r="K147" s="1460"/>
      <c r="L147" s="1460"/>
      <c r="M147" s="186"/>
      <c r="N147" s="1461"/>
      <c r="O147" s="1462"/>
    </row>
    <row r="148">
      <c r="A148" s="1442"/>
      <c r="B148" s="1443"/>
      <c r="C148" s="1444"/>
      <c r="D148" s="1450"/>
      <c r="E148" s="1446"/>
      <c r="F148" s="1447"/>
      <c r="G148" s="1448"/>
      <c r="H148" s="1449"/>
      <c r="I148" s="1450"/>
      <c r="J148" s="1451"/>
      <c r="K148" s="1452"/>
      <c r="L148" s="1447"/>
      <c r="M148" s="1453"/>
      <c r="N148" s="1454"/>
      <c r="O148" s="1455"/>
    </row>
    <row r="149">
      <c r="A149" s="1456"/>
      <c r="B149" s="1457"/>
      <c r="C149" s="1458"/>
      <c r="D149" s="1460"/>
      <c r="E149" s="1459"/>
      <c r="F149" s="1460"/>
      <c r="G149" s="1460"/>
      <c r="H149" s="1460"/>
      <c r="I149" s="1460"/>
      <c r="J149" s="1460"/>
      <c r="K149" s="1460"/>
      <c r="L149" s="1460"/>
      <c r="M149" s="186"/>
      <c r="N149" s="1461"/>
      <c r="O149" s="1462"/>
    </row>
    <row r="150">
      <c r="A150" s="1442"/>
      <c r="B150" s="1443"/>
      <c r="C150" s="1444"/>
      <c r="D150" s="1450"/>
      <c r="E150" s="1446"/>
      <c r="F150" s="1447"/>
      <c r="G150" s="1448"/>
      <c r="H150" s="1449"/>
      <c r="I150" s="1450"/>
      <c r="J150" s="1451"/>
      <c r="K150" s="1452"/>
      <c r="L150" s="1447"/>
      <c r="M150" s="1453"/>
      <c r="N150" s="1454"/>
      <c r="O150" s="1455"/>
    </row>
    <row r="151">
      <c r="A151" s="1456"/>
      <c r="B151" s="1457"/>
      <c r="C151" s="1458"/>
      <c r="D151" s="1460"/>
      <c r="E151" s="1459"/>
      <c r="F151" s="1460"/>
      <c r="G151" s="1460"/>
      <c r="H151" s="1460"/>
      <c r="I151" s="1460"/>
      <c r="J151" s="1460"/>
      <c r="K151" s="1460"/>
      <c r="L151" s="1460"/>
      <c r="M151" s="186"/>
      <c r="N151" s="1461"/>
      <c r="O151" s="1462"/>
    </row>
    <row r="152">
      <c r="A152" s="1442"/>
      <c r="B152" s="1443"/>
      <c r="C152" s="1444"/>
      <c r="D152" s="1450"/>
      <c r="E152" s="1446"/>
      <c r="F152" s="1447"/>
      <c r="G152" s="1448"/>
      <c r="H152" s="1449"/>
      <c r="I152" s="1450"/>
      <c r="J152" s="1451"/>
      <c r="K152" s="1452"/>
      <c r="L152" s="1447"/>
      <c r="M152" s="1453"/>
      <c r="N152" s="1454"/>
      <c r="O152" s="1455"/>
    </row>
    <row r="153">
      <c r="A153" s="1456"/>
      <c r="B153" s="1457"/>
      <c r="C153" s="1458"/>
      <c r="D153" s="1460"/>
      <c r="E153" s="1459"/>
      <c r="F153" s="1460"/>
      <c r="G153" s="1460"/>
      <c r="H153" s="1460"/>
      <c r="I153" s="1460"/>
      <c r="J153" s="1460"/>
      <c r="K153" s="1460"/>
      <c r="L153" s="1460"/>
      <c r="M153" s="186"/>
      <c r="N153" s="1461"/>
      <c r="O153" s="1462"/>
    </row>
    <row r="154">
      <c r="A154" s="1442"/>
      <c r="B154" s="1443"/>
      <c r="C154" s="1444"/>
      <c r="D154" s="1450"/>
      <c r="E154" s="1446"/>
      <c r="F154" s="1447"/>
      <c r="G154" s="1448"/>
      <c r="H154" s="1449"/>
      <c r="I154" s="1450"/>
      <c r="J154" s="1451"/>
      <c r="K154" s="1452"/>
      <c r="L154" s="1447"/>
      <c r="M154" s="1453"/>
      <c r="N154" s="1454"/>
      <c r="O154" s="1455"/>
    </row>
    <row r="155">
      <c r="A155" s="1456"/>
      <c r="B155" s="1457"/>
      <c r="C155" s="1458"/>
      <c r="D155" s="1460"/>
      <c r="E155" s="1459"/>
      <c r="F155" s="1460"/>
      <c r="G155" s="1460"/>
      <c r="H155" s="1460"/>
      <c r="I155" s="1460"/>
      <c r="J155" s="1460"/>
      <c r="K155" s="1460"/>
      <c r="L155" s="1460"/>
      <c r="M155" s="186"/>
      <c r="N155" s="1461"/>
      <c r="O155" s="1462"/>
    </row>
    <row r="156">
      <c r="A156" s="1442"/>
      <c r="B156" s="1443"/>
      <c r="C156" s="1444"/>
      <c r="D156" s="1450"/>
      <c r="E156" s="1446"/>
      <c r="F156" s="1447"/>
      <c r="G156" s="1448"/>
      <c r="H156" s="1449"/>
      <c r="I156" s="1450"/>
      <c r="J156" s="1451"/>
      <c r="K156" s="1452"/>
      <c r="L156" s="1447"/>
      <c r="M156" s="1453"/>
      <c r="N156" s="1454"/>
      <c r="O156" s="1455"/>
    </row>
    <row r="157">
      <c r="A157" s="1456"/>
      <c r="B157" s="1457"/>
      <c r="C157" s="1458"/>
      <c r="D157" s="1460"/>
      <c r="E157" s="1459"/>
      <c r="F157" s="1460"/>
      <c r="G157" s="1460"/>
      <c r="H157" s="1460"/>
      <c r="I157" s="1460"/>
      <c r="J157" s="1460"/>
      <c r="K157" s="1460"/>
      <c r="L157" s="1460"/>
      <c r="M157" s="186"/>
      <c r="N157" s="1461"/>
      <c r="O157" s="1462"/>
    </row>
    <row r="158">
      <c r="A158" s="1442"/>
      <c r="B158" s="1443"/>
      <c r="C158" s="1444"/>
      <c r="D158" s="1450"/>
      <c r="E158" s="1446"/>
      <c r="F158" s="1447"/>
      <c r="G158" s="1448"/>
      <c r="H158" s="1449"/>
      <c r="I158" s="1450"/>
      <c r="J158" s="1451"/>
      <c r="K158" s="1452"/>
      <c r="L158" s="1447"/>
      <c r="M158" s="1453"/>
      <c r="N158" s="1454"/>
      <c r="O158" s="1455"/>
    </row>
    <row r="159">
      <c r="A159" s="1456"/>
      <c r="B159" s="1457"/>
      <c r="C159" s="1458"/>
      <c r="D159" s="1460"/>
      <c r="E159" s="1459"/>
      <c r="F159" s="1460"/>
      <c r="G159" s="1460"/>
      <c r="H159" s="1460"/>
      <c r="I159" s="1460"/>
      <c r="J159" s="1460"/>
      <c r="K159" s="1460"/>
      <c r="L159" s="1460"/>
      <c r="M159" s="186"/>
      <c r="N159" s="1461"/>
      <c r="O159" s="1462"/>
    </row>
    <row r="160">
      <c r="A160" s="1442"/>
      <c r="B160" s="1443"/>
      <c r="C160" s="1444"/>
      <c r="D160" s="1450"/>
      <c r="E160" s="1446"/>
      <c r="F160" s="1447"/>
      <c r="G160" s="1448"/>
      <c r="H160" s="1449"/>
      <c r="I160" s="1450"/>
      <c r="J160" s="1451"/>
      <c r="K160" s="1452"/>
      <c r="L160" s="1447"/>
      <c r="M160" s="1453"/>
      <c r="N160" s="1454"/>
      <c r="O160" s="1455"/>
    </row>
    <row r="161">
      <c r="A161" s="1456"/>
      <c r="B161" s="1457"/>
      <c r="C161" s="1458"/>
      <c r="D161" s="1460"/>
      <c r="E161" s="1459"/>
      <c r="F161" s="1460"/>
      <c r="G161" s="1460"/>
      <c r="H161" s="1460"/>
      <c r="I161" s="1460"/>
      <c r="J161" s="1460"/>
      <c r="K161" s="1460"/>
      <c r="L161" s="1460"/>
      <c r="M161" s="186"/>
      <c r="N161" s="1461"/>
      <c r="O161" s="1462"/>
    </row>
    <row r="162">
      <c r="A162" s="1442"/>
      <c r="B162" s="1443"/>
      <c r="C162" s="1444"/>
      <c r="D162" s="1450"/>
      <c r="E162" s="1446"/>
      <c r="F162" s="1447"/>
      <c r="G162" s="1448"/>
      <c r="H162" s="1449"/>
      <c r="I162" s="1450"/>
      <c r="J162" s="1451"/>
      <c r="K162" s="1452"/>
      <c r="L162" s="1447"/>
      <c r="M162" s="1453"/>
      <c r="N162" s="1454"/>
      <c r="O162" s="1455"/>
    </row>
    <row r="163">
      <c r="A163" s="1456"/>
      <c r="B163" s="1457"/>
      <c r="C163" s="1458"/>
      <c r="D163" s="1460"/>
      <c r="E163" s="1459"/>
      <c r="F163" s="1460"/>
      <c r="G163" s="1460"/>
      <c r="H163" s="1460"/>
      <c r="I163" s="1460"/>
      <c r="J163" s="1460"/>
      <c r="K163" s="1460"/>
      <c r="L163" s="1460"/>
      <c r="M163" s="186"/>
      <c r="N163" s="1461"/>
      <c r="O163" s="1462"/>
    </row>
    <row r="164">
      <c r="A164" s="1442"/>
      <c r="B164" s="1443"/>
      <c r="C164" s="1444"/>
      <c r="D164" s="1450"/>
      <c r="E164" s="1446"/>
      <c r="F164" s="1447"/>
      <c r="G164" s="1448"/>
      <c r="H164" s="1449"/>
      <c r="I164" s="1450"/>
      <c r="J164" s="1451"/>
      <c r="K164" s="1452"/>
      <c r="L164" s="1447"/>
      <c r="M164" s="1453"/>
      <c r="N164" s="1454"/>
      <c r="O164" s="1455"/>
    </row>
    <row r="165">
      <c r="A165" s="1456"/>
      <c r="B165" s="1457"/>
      <c r="C165" s="1458"/>
      <c r="D165" s="1460"/>
      <c r="E165" s="1459"/>
      <c r="F165" s="1460"/>
      <c r="G165" s="1460"/>
      <c r="H165" s="1460"/>
      <c r="I165" s="1460"/>
      <c r="J165" s="1460"/>
      <c r="K165" s="1460"/>
      <c r="L165" s="1460"/>
      <c r="M165" s="186"/>
      <c r="N165" s="1461"/>
      <c r="O165" s="1462"/>
    </row>
    <row r="166">
      <c r="A166" s="1442"/>
      <c r="B166" s="1443"/>
      <c r="C166" s="1444"/>
      <c r="D166" s="1450"/>
      <c r="E166" s="1446"/>
      <c r="F166" s="1447"/>
      <c r="G166" s="1448"/>
      <c r="H166" s="1449"/>
      <c r="I166" s="1450"/>
      <c r="J166" s="1451"/>
      <c r="K166" s="1452"/>
      <c r="L166" s="1447"/>
      <c r="M166" s="1453"/>
      <c r="N166" s="1454"/>
      <c r="O166" s="1455"/>
    </row>
    <row r="167">
      <c r="A167" s="1456"/>
      <c r="B167" s="1457"/>
      <c r="C167" s="1458"/>
      <c r="D167" s="1460"/>
      <c r="E167" s="1459"/>
      <c r="F167" s="1460"/>
      <c r="G167" s="1460"/>
      <c r="H167" s="1460"/>
      <c r="I167" s="1460"/>
      <c r="J167" s="1460"/>
      <c r="K167" s="1460"/>
      <c r="L167" s="1460"/>
      <c r="M167" s="186"/>
      <c r="N167" s="1461"/>
      <c r="O167" s="1462"/>
    </row>
    <row r="168">
      <c r="A168" s="1442"/>
      <c r="B168" s="1443"/>
      <c r="C168" s="1444"/>
      <c r="D168" s="1450"/>
      <c r="E168" s="1446"/>
      <c r="F168" s="1447"/>
      <c r="G168" s="1448"/>
      <c r="H168" s="1449"/>
      <c r="I168" s="1450"/>
      <c r="J168" s="1451"/>
      <c r="K168" s="1452"/>
      <c r="L168" s="1447"/>
      <c r="M168" s="1453"/>
      <c r="N168" s="1454"/>
      <c r="O168" s="1455"/>
    </row>
    <row r="169">
      <c r="A169" s="1456"/>
      <c r="B169" s="1457"/>
      <c r="C169" s="1458"/>
      <c r="D169" s="1460"/>
      <c r="E169" s="1459"/>
      <c r="F169" s="1460"/>
      <c r="G169" s="1460"/>
      <c r="H169" s="1460"/>
      <c r="I169" s="1460"/>
      <c r="J169" s="1460"/>
      <c r="K169" s="1460"/>
      <c r="L169" s="1460"/>
      <c r="M169" s="186"/>
      <c r="N169" s="1461"/>
      <c r="O169" s="1462"/>
    </row>
    <row r="170">
      <c r="A170" s="1442"/>
      <c r="B170" s="1443"/>
      <c r="C170" s="1444"/>
      <c r="D170" s="1450"/>
      <c r="E170" s="1446"/>
      <c r="F170" s="1447"/>
      <c r="G170" s="1448"/>
      <c r="H170" s="1449"/>
      <c r="I170" s="1450"/>
      <c r="J170" s="1451"/>
      <c r="K170" s="1452"/>
      <c r="L170" s="1447"/>
      <c r="M170" s="1453"/>
      <c r="N170" s="1454"/>
      <c r="O170" s="1455"/>
    </row>
    <row r="171">
      <c r="A171" s="1456"/>
      <c r="B171" s="1457"/>
      <c r="C171" s="1458"/>
      <c r="D171" s="1460"/>
      <c r="E171" s="1459"/>
      <c r="F171" s="1460"/>
      <c r="G171" s="1460"/>
      <c r="H171" s="1460"/>
      <c r="I171" s="1460"/>
      <c r="J171" s="1460"/>
      <c r="K171" s="1460"/>
      <c r="L171" s="1460"/>
      <c r="M171" s="186"/>
      <c r="N171" s="1461"/>
      <c r="O171" s="1462"/>
    </row>
    <row r="172">
      <c r="A172" s="1442"/>
      <c r="B172" s="1443"/>
      <c r="C172" s="1444"/>
      <c r="D172" s="1450"/>
      <c r="E172" s="1446"/>
      <c r="F172" s="1447"/>
      <c r="G172" s="1448"/>
      <c r="H172" s="1449"/>
      <c r="I172" s="1450"/>
      <c r="J172" s="1451"/>
      <c r="K172" s="1452"/>
      <c r="L172" s="1447"/>
      <c r="M172" s="1453"/>
      <c r="N172" s="1454"/>
      <c r="O172" s="1455"/>
    </row>
    <row r="173">
      <c r="A173" s="1456"/>
      <c r="B173" s="1457"/>
      <c r="C173" s="1458"/>
      <c r="D173" s="1460"/>
      <c r="E173" s="1459"/>
      <c r="F173" s="1460"/>
      <c r="G173" s="1460"/>
      <c r="H173" s="1460"/>
      <c r="I173" s="1460"/>
      <c r="J173" s="1460"/>
      <c r="K173" s="1460"/>
      <c r="L173" s="1460"/>
      <c r="M173" s="186"/>
      <c r="N173" s="1461"/>
      <c r="O173" s="1462"/>
    </row>
    <row r="174">
      <c r="A174" s="1442"/>
      <c r="B174" s="1443"/>
      <c r="C174" s="1444"/>
      <c r="D174" s="1450"/>
      <c r="E174" s="1446"/>
      <c r="F174" s="1447"/>
      <c r="G174" s="1448"/>
      <c r="H174" s="1449"/>
      <c r="I174" s="1450"/>
      <c r="J174" s="1451"/>
      <c r="K174" s="1452"/>
      <c r="L174" s="1447"/>
      <c r="M174" s="1453"/>
      <c r="N174" s="1454"/>
      <c r="O174" s="1455"/>
    </row>
    <row r="175">
      <c r="A175" s="1456"/>
      <c r="B175" s="1457"/>
      <c r="C175" s="1458"/>
      <c r="D175" s="1460"/>
      <c r="E175" s="1459"/>
      <c r="F175" s="1460"/>
      <c r="G175" s="1460"/>
      <c r="H175" s="1460"/>
      <c r="I175" s="1460"/>
      <c r="J175" s="1460"/>
      <c r="K175" s="1460"/>
      <c r="L175" s="1460"/>
      <c r="M175" s="186"/>
      <c r="N175" s="1461"/>
      <c r="O175" s="1462"/>
    </row>
    <row r="176">
      <c r="A176" s="1442"/>
      <c r="B176" s="1443"/>
      <c r="C176" s="1444"/>
      <c r="D176" s="1450"/>
      <c r="E176" s="1446"/>
      <c r="F176" s="1447"/>
      <c r="G176" s="1448"/>
      <c r="H176" s="1449"/>
      <c r="I176" s="1450"/>
      <c r="J176" s="1451"/>
      <c r="K176" s="1452"/>
      <c r="L176" s="1447"/>
      <c r="M176" s="1453"/>
      <c r="N176" s="1454"/>
      <c r="O176" s="1455"/>
    </row>
    <row r="177">
      <c r="A177" s="1456"/>
      <c r="B177" s="1457"/>
      <c r="C177" s="1458"/>
      <c r="D177" s="1460"/>
      <c r="E177" s="1459"/>
      <c r="F177" s="1460"/>
      <c r="G177" s="1460"/>
      <c r="H177" s="1460"/>
      <c r="I177" s="1460"/>
      <c r="J177" s="1460"/>
      <c r="K177" s="1460"/>
      <c r="L177" s="1460"/>
      <c r="M177" s="186"/>
      <c r="N177" s="1461"/>
      <c r="O177" s="1462"/>
    </row>
    <row r="178">
      <c r="A178" s="1442"/>
      <c r="B178" s="1443"/>
      <c r="C178" s="1444"/>
      <c r="D178" s="1450"/>
      <c r="E178" s="1446"/>
      <c r="F178" s="1447"/>
      <c r="G178" s="1448"/>
      <c r="H178" s="1449"/>
      <c r="I178" s="1450"/>
      <c r="J178" s="1451"/>
      <c r="K178" s="1452"/>
      <c r="L178" s="1447"/>
      <c r="M178" s="1453"/>
      <c r="N178" s="1454"/>
      <c r="O178" s="1455"/>
    </row>
    <row r="179">
      <c r="A179" s="1456"/>
      <c r="B179" s="1457"/>
      <c r="C179" s="1458"/>
      <c r="D179" s="1460"/>
      <c r="E179" s="1459"/>
      <c r="F179" s="1460"/>
      <c r="G179" s="1460"/>
      <c r="H179" s="1460"/>
      <c r="I179" s="1460"/>
      <c r="J179" s="1460"/>
      <c r="K179" s="1460"/>
      <c r="L179" s="1460"/>
      <c r="M179" s="186"/>
      <c r="N179" s="1461"/>
      <c r="O179" s="1462"/>
    </row>
    <row r="180">
      <c r="A180" s="1442"/>
      <c r="B180" s="1443"/>
      <c r="C180" s="1444"/>
      <c r="D180" s="1450"/>
      <c r="E180" s="1446"/>
      <c r="F180" s="1447"/>
      <c r="G180" s="1448"/>
      <c r="H180" s="1449"/>
      <c r="I180" s="1450"/>
      <c r="J180" s="1451"/>
      <c r="K180" s="1452"/>
      <c r="L180" s="1447"/>
      <c r="M180" s="1453"/>
      <c r="N180" s="1454"/>
      <c r="O180" s="1455"/>
    </row>
    <row r="181">
      <c r="A181" s="1456"/>
      <c r="B181" s="1457"/>
      <c r="C181" s="1458"/>
      <c r="D181" s="1460"/>
      <c r="E181" s="1459"/>
      <c r="F181" s="1460"/>
      <c r="G181" s="1460"/>
      <c r="H181" s="1460"/>
      <c r="I181" s="1460"/>
      <c r="J181" s="1460"/>
      <c r="K181" s="1460"/>
      <c r="L181" s="1460"/>
      <c r="M181" s="186"/>
      <c r="N181" s="1461"/>
      <c r="O181" s="1462"/>
    </row>
    <row r="182">
      <c r="A182" s="1442"/>
      <c r="B182" s="1443"/>
      <c r="C182" s="1444"/>
      <c r="D182" s="1450"/>
      <c r="E182" s="1446"/>
      <c r="F182" s="1447"/>
      <c r="G182" s="1448"/>
      <c r="H182" s="1449"/>
      <c r="I182" s="1450"/>
      <c r="J182" s="1451"/>
      <c r="K182" s="1452"/>
      <c r="L182" s="1447"/>
      <c r="M182" s="1453"/>
      <c r="N182" s="1454"/>
      <c r="O182" s="1455"/>
    </row>
    <row r="183">
      <c r="A183" s="1456"/>
      <c r="B183" s="1457"/>
      <c r="C183" s="1458"/>
      <c r="D183" s="1460"/>
      <c r="E183" s="1459"/>
      <c r="F183" s="1460"/>
      <c r="G183" s="1460"/>
      <c r="H183" s="1460"/>
      <c r="I183" s="1460"/>
      <c r="J183" s="1460"/>
      <c r="K183" s="1460"/>
      <c r="L183" s="1460"/>
      <c r="M183" s="186"/>
      <c r="N183" s="1461"/>
      <c r="O183" s="1462"/>
    </row>
    <row r="184">
      <c r="A184" s="1442"/>
      <c r="B184" s="1443"/>
      <c r="C184" s="1444"/>
      <c r="D184" s="1450"/>
      <c r="E184" s="1446"/>
      <c r="F184" s="1447"/>
      <c r="G184" s="1448"/>
      <c r="H184" s="1449"/>
      <c r="I184" s="1450"/>
      <c r="J184" s="1451"/>
      <c r="K184" s="1452"/>
      <c r="L184" s="1447"/>
      <c r="M184" s="1453"/>
      <c r="N184" s="1454"/>
      <c r="O184" s="1455"/>
    </row>
    <row r="185">
      <c r="A185" s="1456"/>
      <c r="B185" s="1457"/>
      <c r="C185" s="1458"/>
      <c r="D185" s="1460"/>
      <c r="E185" s="1459"/>
      <c r="F185" s="1460"/>
      <c r="G185" s="1460"/>
      <c r="H185" s="1460"/>
      <c r="I185" s="1460"/>
      <c r="J185" s="1460"/>
      <c r="K185" s="1460"/>
      <c r="L185" s="1460"/>
      <c r="M185" s="186"/>
      <c r="N185" s="1461"/>
      <c r="O185" s="1462"/>
    </row>
    <row r="186">
      <c r="A186" s="1442"/>
      <c r="B186" s="1443"/>
      <c r="C186" s="1444"/>
      <c r="D186" s="1450"/>
      <c r="E186" s="1446"/>
      <c r="F186" s="1447"/>
      <c r="G186" s="1448"/>
      <c r="H186" s="1449"/>
      <c r="I186" s="1450"/>
      <c r="J186" s="1451"/>
      <c r="K186" s="1452"/>
      <c r="L186" s="1447"/>
      <c r="M186" s="1453"/>
      <c r="N186" s="1454"/>
      <c r="O186" s="1455"/>
    </row>
    <row r="187">
      <c r="A187" s="1456"/>
      <c r="B187" s="1457"/>
      <c r="C187" s="1458"/>
      <c r="D187" s="1460"/>
      <c r="E187" s="1459"/>
      <c r="F187" s="1460"/>
      <c r="G187" s="1460"/>
      <c r="H187" s="1460"/>
      <c r="I187" s="1460"/>
      <c r="J187" s="1460"/>
      <c r="K187" s="1460"/>
      <c r="L187" s="1460"/>
      <c r="M187" s="186"/>
      <c r="N187" s="1461"/>
      <c r="O187" s="1462"/>
    </row>
    <row r="188">
      <c r="A188" s="1442"/>
      <c r="B188" s="1443"/>
      <c r="C188" s="1444"/>
      <c r="D188" s="1450"/>
      <c r="E188" s="1446"/>
      <c r="F188" s="1447"/>
      <c r="G188" s="1448"/>
      <c r="H188" s="1449"/>
      <c r="I188" s="1450"/>
      <c r="J188" s="1451"/>
      <c r="K188" s="1452"/>
      <c r="L188" s="1447"/>
      <c r="M188" s="1453"/>
      <c r="N188" s="1454"/>
      <c r="O188" s="1455"/>
    </row>
    <row r="189">
      <c r="A189" s="1456"/>
      <c r="B189" s="1457"/>
      <c r="C189" s="1458"/>
      <c r="D189" s="1460"/>
      <c r="E189" s="1459"/>
      <c r="F189" s="1460"/>
      <c r="G189" s="1460"/>
      <c r="H189" s="1460"/>
      <c r="I189" s="1460"/>
      <c r="J189" s="1460"/>
      <c r="K189" s="1460"/>
      <c r="L189" s="1460"/>
      <c r="M189" s="186"/>
      <c r="N189" s="1461"/>
      <c r="O189" s="1462"/>
    </row>
    <row r="190">
      <c r="A190" s="1442"/>
      <c r="B190" s="1443"/>
      <c r="C190" s="1444"/>
      <c r="D190" s="1450"/>
      <c r="E190" s="1446"/>
      <c r="F190" s="1447"/>
      <c r="G190" s="1448"/>
      <c r="H190" s="1449"/>
      <c r="I190" s="1450"/>
      <c r="J190" s="1451"/>
      <c r="K190" s="1452"/>
      <c r="L190" s="1447"/>
      <c r="M190" s="1453"/>
      <c r="N190" s="1454"/>
      <c r="O190" s="1455"/>
    </row>
    <row r="191">
      <c r="A191" s="1456"/>
      <c r="B191" s="1457"/>
      <c r="C191" s="1458"/>
      <c r="D191" s="1460"/>
      <c r="E191" s="1459"/>
      <c r="F191" s="1460"/>
      <c r="G191" s="1460"/>
      <c r="H191" s="1460"/>
      <c r="I191" s="1460"/>
      <c r="J191" s="1460"/>
      <c r="K191" s="1460"/>
      <c r="L191" s="1460"/>
      <c r="M191" s="186"/>
      <c r="N191" s="1461"/>
      <c r="O191" s="1462"/>
    </row>
    <row r="192">
      <c r="A192" s="1442"/>
      <c r="B192" s="1443"/>
      <c r="C192" s="1444"/>
      <c r="D192" s="1450"/>
      <c r="E192" s="1446"/>
      <c r="F192" s="1447"/>
      <c r="G192" s="1448"/>
      <c r="H192" s="1449"/>
      <c r="I192" s="1450"/>
      <c r="J192" s="1451"/>
      <c r="K192" s="1452"/>
      <c r="L192" s="1447"/>
      <c r="M192" s="1453"/>
      <c r="N192" s="1454"/>
      <c r="O192" s="1455"/>
    </row>
    <row r="193">
      <c r="A193" s="1456"/>
      <c r="B193" s="1457"/>
      <c r="C193" s="1458"/>
      <c r="D193" s="1460"/>
      <c r="E193" s="1459"/>
      <c r="F193" s="1460"/>
      <c r="G193" s="1460"/>
      <c r="H193" s="1460"/>
      <c r="I193" s="1460"/>
      <c r="J193" s="1460"/>
      <c r="K193" s="1460"/>
      <c r="L193" s="1460"/>
      <c r="M193" s="186"/>
      <c r="N193" s="1461"/>
      <c r="O193" s="1462"/>
    </row>
    <row r="194">
      <c r="A194" s="1442"/>
      <c r="B194" s="1443"/>
      <c r="C194" s="1444"/>
      <c r="D194" s="1450"/>
      <c r="E194" s="1446"/>
      <c r="F194" s="1447"/>
      <c r="G194" s="1448"/>
      <c r="H194" s="1449"/>
      <c r="I194" s="1450"/>
      <c r="J194" s="1451"/>
      <c r="K194" s="1452"/>
      <c r="L194" s="1447"/>
      <c r="M194" s="1453"/>
      <c r="N194" s="1454"/>
      <c r="O194" s="1455"/>
    </row>
    <row r="195">
      <c r="A195" s="1456"/>
      <c r="B195" s="1457"/>
      <c r="C195" s="1458"/>
      <c r="D195" s="1460"/>
      <c r="E195" s="1459"/>
      <c r="F195" s="1460"/>
      <c r="G195" s="1460"/>
      <c r="H195" s="1460"/>
      <c r="I195" s="1460"/>
      <c r="J195" s="1460"/>
      <c r="K195" s="1460"/>
      <c r="L195" s="1460"/>
      <c r="M195" s="186"/>
      <c r="N195" s="1461"/>
      <c r="O195" s="1462"/>
    </row>
    <row r="196">
      <c r="A196" s="1442"/>
      <c r="B196" s="1443"/>
      <c r="C196" s="1444"/>
      <c r="D196" s="1450"/>
      <c r="E196" s="1446"/>
      <c r="F196" s="1447"/>
      <c r="G196" s="1448"/>
      <c r="H196" s="1449"/>
      <c r="I196" s="1450"/>
      <c r="J196" s="1451"/>
      <c r="K196" s="1452"/>
      <c r="L196" s="1447"/>
      <c r="M196" s="1453"/>
      <c r="N196" s="1454"/>
      <c r="O196" s="1455"/>
    </row>
    <row r="197">
      <c r="A197" s="1456"/>
      <c r="B197" s="1457"/>
      <c r="C197" s="1458"/>
      <c r="D197" s="1460"/>
      <c r="E197" s="1459"/>
      <c r="F197" s="1460"/>
      <c r="G197" s="1460"/>
      <c r="H197" s="1460"/>
      <c r="I197" s="1460"/>
      <c r="J197" s="1460"/>
      <c r="K197" s="1460"/>
      <c r="L197" s="1460"/>
      <c r="M197" s="186"/>
      <c r="N197" s="1461"/>
      <c r="O197" s="1462"/>
    </row>
    <row r="198">
      <c r="A198" s="1442"/>
      <c r="B198" s="1443"/>
      <c r="C198" s="1444"/>
      <c r="D198" s="1450"/>
      <c r="E198" s="1446"/>
      <c r="F198" s="1447"/>
      <c r="G198" s="1448"/>
      <c r="H198" s="1449"/>
      <c r="I198" s="1450"/>
      <c r="J198" s="1451"/>
      <c r="K198" s="1452"/>
      <c r="L198" s="1447"/>
      <c r="M198" s="1453"/>
      <c r="N198" s="1454"/>
      <c r="O198" s="1455"/>
    </row>
    <row r="199">
      <c r="A199" s="1456"/>
      <c r="B199" s="1457"/>
      <c r="C199" s="1458"/>
      <c r="D199" s="1460"/>
      <c r="E199" s="1459"/>
      <c r="F199" s="1460"/>
      <c r="G199" s="1460"/>
      <c r="H199" s="1460"/>
      <c r="I199" s="1460"/>
      <c r="J199" s="1460"/>
      <c r="K199" s="1460"/>
      <c r="L199" s="1460"/>
      <c r="M199" s="186"/>
      <c r="N199" s="1461"/>
      <c r="O199" s="1462"/>
    </row>
    <row r="200">
      <c r="A200" s="1442"/>
      <c r="B200" s="1443"/>
      <c r="C200" s="1444"/>
      <c r="D200" s="1450"/>
      <c r="E200" s="1446"/>
      <c r="F200" s="1447"/>
      <c r="G200" s="1448"/>
      <c r="H200" s="1449"/>
      <c r="I200" s="1450"/>
      <c r="J200" s="1451"/>
      <c r="K200" s="1452"/>
      <c r="L200" s="1447"/>
      <c r="M200" s="1453"/>
      <c r="N200" s="1454"/>
      <c r="O200" s="1455"/>
    </row>
    <row r="201">
      <c r="A201" s="1456"/>
      <c r="B201" s="1457"/>
      <c r="C201" s="1458"/>
      <c r="D201" s="1460"/>
      <c r="E201" s="1459"/>
      <c r="F201" s="1460"/>
      <c r="G201" s="1460"/>
      <c r="H201" s="1460"/>
      <c r="I201" s="1460"/>
      <c r="J201" s="1460"/>
      <c r="K201" s="1460"/>
      <c r="L201" s="1460"/>
      <c r="M201" s="186"/>
      <c r="N201" s="1461"/>
      <c r="O201" s="1462"/>
    </row>
    <row r="202">
      <c r="A202" s="1442"/>
      <c r="B202" s="1443"/>
      <c r="C202" s="1444"/>
      <c r="D202" s="1450"/>
      <c r="E202" s="1446"/>
      <c r="F202" s="1447"/>
      <c r="G202" s="1448"/>
      <c r="H202" s="1449"/>
      <c r="I202" s="1450"/>
      <c r="J202" s="1451"/>
      <c r="K202" s="1452"/>
      <c r="L202" s="1447"/>
      <c r="M202" s="1453"/>
      <c r="N202" s="1454"/>
      <c r="O202" s="1455"/>
    </row>
    <row r="203">
      <c r="A203" s="1456"/>
      <c r="B203" s="1457"/>
      <c r="C203" s="1458"/>
      <c r="D203" s="1460"/>
      <c r="E203" s="1459"/>
      <c r="F203" s="1460"/>
      <c r="G203" s="1460"/>
      <c r="H203" s="1460"/>
      <c r="I203" s="1460"/>
      <c r="J203" s="1460"/>
      <c r="K203" s="1460"/>
      <c r="L203" s="1460"/>
      <c r="M203" s="186"/>
      <c r="N203" s="1461"/>
      <c r="O203" s="1462"/>
    </row>
    <row r="204">
      <c r="A204" s="1442"/>
      <c r="B204" s="1443"/>
      <c r="C204" s="1444"/>
      <c r="D204" s="1450"/>
      <c r="E204" s="1446"/>
      <c r="F204" s="1447"/>
      <c r="G204" s="1448"/>
      <c r="H204" s="1449"/>
      <c r="I204" s="1450"/>
      <c r="J204" s="1451"/>
      <c r="K204" s="1452"/>
      <c r="L204" s="1447"/>
      <c r="M204" s="1453"/>
      <c r="N204" s="1454"/>
      <c r="O204" s="1455"/>
    </row>
    <row r="205">
      <c r="A205" s="1456"/>
      <c r="B205" s="1457"/>
      <c r="C205" s="1458"/>
      <c r="D205" s="1460"/>
      <c r="E205" s="1459"/>
      <c r="F205" s="1460"/>
      <c r="G205" s="1460"/>
      <c r="H205" s="1460"/>
      <c r="I205" s="1460"/>
      <c r="J205" s="1460"/>
      <c r="K205" s="1460"/>
      <c r="L205" s="1460"/>
      <c r="M205" s="186"/>
      <c r="N205" s="1461"/>
      <c r="O205" s="1462"/>
    </row>
    <row r="206">
      <c r="A206" s="1442"/>
      <c r="B206" s="1443"/>
      <c r="C206" s="1444"/>
      <c r="D206" s="1450"/>
      <c r="E206" s="1446"/>
      <c r="F206" s="1447"/>
      <c r="G206" s="1448"/>
      <c r="H206" s="1449"/>
      <c r="I206" s="1450"/>
      <c r="J206" s="1451"/>
      <c r="K206" s="1452"/>
      <c r="L206" s="1447"/>
      <c r="M206" s="1453"/>
      <c r="N206" s="1454"/>
      <c r="O206" s="1455"/>
    </row>
    <row r="207">
      <c r="A207" s="1456"/>
      <c r="B207" s="1457"/>
      <c r="C207" s="1458"/>
      <c r="D207" s="1460"/>
      <c r="E207" s="1459"/>
      <c r="F207" s="1460"/>
      <c r="G207" s="1460"/>
      <c r="H207" s="1460"/>
      <c r="I207" s="1460"/>
      <c r="J207" s="1460"/>
      <c r="K207" s="1460"/>
      <c r="L207" s="1460"/>
      <c r="M207" s="186"/>
      <c r="N207" s="1461"/>
      <c r="O207" s="1462"/>
    </row>
    <row r="208">
      <c r="A208" s="1442"/>
      <c r="B208" s="1443"/>
      <c r="C208" s="1444"/>
      <c r="D208" s="1450"/>
      <c r="E208" s="1446"/>
      <c r="F208" s="1447"/>
      <c r="G208" s="1448"/>
      <c r="H208" s="1449"/>
      <c r="I208" s="1450"/>
      <c r="J208" s="1451"/>
      <c r="K208" s="1452"/>
      <c r="L208" s="1447"/>
      <c r="M208" s="1453"/>
      <c r="N208" s="1454"/>
      <c r="O208" s="1455"/>
    </row>
    <row r="209">
      <c r="A209" s="1456"/>
      <c r="B209" s="1457"/>
      <c r="C209" s="1458"/>
      <c r="D209" s="1460"/>
      <c r="E209" s="1459"/>
      <c r="F209" s="1460"/>
      <c r="G209" s="1460"/>
      <c r="H209" s="1460"/>
      <c r="I209" s="1460"/>
      <c r="J209" s="1460"/>
      <c r="K209" s="1460"/>
      <c r="L209" s="1460"/>
      <c r="M209" s="186"/>
      <c r="N209" s="1461"/>
      <c r="O209" s="1462"/>
    </row>
    <row r="210">
      <c r="A210" s="1442"/>
      <c r="B210" s="1443"/>
      <c r="C210" s="1444"/>
      <c r="D210" s="1450"/>
      <c r="E210" s="1446"/>
      <c r="F210" s="1447"/>
      <c r="G210" s="1448"/>
      <c r="H210" s="1449"/>
      <c r="I210" s="1450"/>
      <c r="J210" s="1451"/>
      <c r="K210" s="1452"/>
      <c r="L210" s="1447"/>
      <c r="M210" s="1453"/>
      <c r="N210" s="1454"/>
      <c r="O210" s="1455"/>
    </row>
    <row r="211">
      <c r="A211" s="1456"/>
      <c r="B211" s="1457"/>
      <c r="C211" s="1458"/>
      <c r="D211" s="1460"/>
      <c r="E211" s="1459"/>
      <c r="F211" s="1460"/>
      <c r="G211" s="1460"/>
      <c r="H211" s="1460"/>
      <c r="I211" s="1460"/>
      <c r="J211" s="1460"/>
      <c r="K211" s="1460"/>
      <c r="L211" s="1460"/>
      <c r="M211" s="186"/>
      <c r="N211" s="1461"/>
      <c r="O211" s="1462"/>
    </row>
    <row r="212">
      <c r="A212" s="1442"/>
      <c r="B212" s="1443"/>
      <c r="C212" s="1444"/>
      <c r="D212" s="1450"/>
      <c r="E212" s="1446"/>
      <c r="F212" s="1447"/>
      <c r="G212" s="1448"/>
      <c r="H212" s="1449"/>
      <c r="I212" s="1450"/>
      <c r="J212" s="1451"/>
      <c r="K212" s="1452"/>
      <c r="L212" s="1447"/>
      <c r="M212" s="1453"/>
      <c r="N212" s="1454"/>
      <c r="O212" s="1455"/>
    </row>
    <row r="213">
      <c r="A213" s="1456"/>
      <c r="B213" s="1457"/>
      <c r="C213" s="1458"/>
      <c r="D213" s="1460"/>
      <c r="E213" s="1459"/>
      <c r="F213" s="1460"/>
      <c r="G213" s="1460"/>
      <c r="H213" s="1460"/>
      <c r="I213" s="1460"/>
      <c r="J213" s="1460"/>
      <c r="K213" s="1460"/>
      <c r="L213" s="1460"/>
      <c r="M213" s="186"/>
      <c r="N213" s="1461"/>
      <c r="O213" s="1462"/>
    </row>
    <row r="214">
      <c r="A214" s="1442"/>
      <c r="B214" s="1443"/>
      <c r="C214" s="1444"/>
      <c r="D214" s="1450"/>
      <c r="E214" s="1446"/>
      <c r="F214" s="1447"/>
      <c r="G214" s="1448"/>
      <c r="H214" s="1449"/>
      <c r="I214" s="1450"/>
      <c r="J214" s="1451"/>
      <c r="K214" s="1452"/>
      <c r="L214" s="1447"/>
      <c r="M214" s="1453"/>
      <c r="N214" s="1454"/>
      <c r="O214" s="1455"/>
    </row>
    <row r="215">
      <c r="A215" s="1456"/>
      <c r="B215" s="1457"/>
      <c r="C215" s="1458"/>
      <c r="D215" s="1460"/>
      <c r="E215" s="1459"/>
      <c r="F215" s="1460"/>
      <c r="G215" s="1460"/>
      <c r="H215" s="1460"/>
      <c r="I215" s="1460"/>
      <c r="J215" s="1460"/>
      <c r="K215" s="1460"/>
      <c r="L215" s="1460"/>
      <c r="M215" s="186"/>
      <c r="N215" s="1461"/>
      <c r="O215" s="1462"/>
    </row>
    <row r="216">
      <c r="A216" s="1442"/>
      <c r="B216" s="1443"/>
      <c r="C216" s="1444"/>
      <c r="D216" s="1450"/>
      <c r="E216" s="1446"/>
      <c r="F216" s="1447"/>
      <c r="G216" s="1448"/>
      <c r="H216" s="1449"/>
      <c r="I216" s="1450"/>
      <c r="J216" s="1451"/>
      <c r="K216" s="1452"/>
      <c r="L216" s="1447"/>
      <c r="M216" s="1453"/>
      <c r="N216" s="1454"/>
      <c r="O216" s="1455"/>
    </row>
    <row r="217">
      <c r="A217" s="1456"/>
      <c r="B217" s="1457"/>
      <c r="C217" s="1458"/>
      <c r="D217" s="1460"/>
      <c r="E217" s="1459"/>
      <c r="F217" s="1460"/>
      <c r="G217" s="1460"/>
      <c r="H217" s="1460"/>
      <c r="I217" s="1460"/>
      <c r="J217" s="1460"/>
      <c r="K217" s="1460"/>
      <c r="L217" s="1460"/>
      <c r="M217" s="186"/>
      <c r="N217" s="1461"/>
      <c r="O217" s="1462"/>
    </row>
    <row r="218">
      <c r="A218" s="1442"/>
      <c r="B218" s="1443"/>
      <c r="C218" s="1444"/>
      <c r="D218" s="1450"/>
      <c r="E218" s="1446"/>
      <c r="F218" s="1447"/>
      <c r="G218" s="1448"/>
      <c r="H218" s="1449"/>
      <c r="I218" s="1450"/>
      <c r="J218" s="1451"/>
      <c r="K218" s="1452"/>
      <c r="L218" s="1447"/>
      <c r="M218" s="1453"/>
      <c r="N218" s="1454"/>
      <c r="O218" s="1455"/>
    </row>
    <row r="219">
      <c r="A219" s="1456"/>
      <c r="B219" s="1457"/>
      <c r="C219" s="1458"/>
      <c r="D219" s="1460"/>
      <c r="E219" s="1459"/>
      <c r="F219" s="1460"/>
      <c r="G219" s="1460"/>
      <c r="H219" s="1460"/>
      <c r="I219" s="1460"/>
      <c r="J219" s="1460"/>
      <c r="K219" s="1460"/>
      <c r="L219" s="1460"/>
      <c r="M219" s="186"/>
      <c r="N219" s="1461"/>
      <c r="O219" s="1462"/>
    </row>
    <row r="220">
      <c r="A220" s="1442"/>
      <c r="B220" s="1443"/>
      <c r="C220" s="1444"/>
      <c r="D220" s="1450"/>
      <c r="E220" s="1446"/>
      <c r="F220" s="1447"/>
      <c r="G220" s="1448"/>
      <c r="H220" s="1449"/>
      <c r="I220" s="1450"/>
      <c r="J220" s="1451"/>
      <c r="K220" s="1452"/>
      <c r="L220" s="1447"/>
      <c r="M220" s="1453"/>
      <c r="N220" s="1454"/>
      <c r="O220" s="1455"/>
    </row>
    <row r="221">
      <c r="A221" s="1456"/>
      <c r="B221" s="1457"/>
      <c r="C221" s="1458"/>
      <c r="D221" s="1460"/>
      <c r="E221" s="1459"/>
      <c r="F221" s="1460"/>
      <c r="G221" s="1460"/>
      <c r="H221" s="1460"/>
      <c r="I221" s="1460"/>
      <c r="J221" s="1460"/>
      <c r="K221" s="1460"/>
      <c r="L221" s="1460"/>
      <c r="M221" s="186"/>
      <c r="N221" s="1461"/>
      <c r="O221" s="1462"/>
    </row>
    <row r="222">
      <c r="A222" s="1442"/>
      <c r="B222" s="1443"/>
      <c r="C222" s="1444"/>
      <c r="D222" s="1450"/>
      <c r="E222" s="1446"/>
      <c r="F222" s="1447"/>
      <c r="G222" s="1448"/>
      <c r="H222" s="1449"/>
      <c r="I222" s="1450"/>
      <c r="J222" s="1451"/>
      <c r="K222" s="1452"/>
      <c r="L222" s="1447"/>
      <c r="M222" s="1453"/>
      <c r="N222" s="1454"/>
      <c r="O222" s="1455"/>
    </row>
    <row r="223">
      <c r="A223" s="1456"/>
      <c r="B223" s="1457"/>
      <c r="C223" s="1458"/>
      <c r="D223" s="1460"/>
      <c r="E223" s="1459"/>
      <c r="F223" s="1460"/>
      <c r="G223" s="1460"/>
      <c r="H223" s="1460"/>
      <c r="I223" s="1460"/>
      <c r="J223" s="1460"/>
      <c r="K223" s="1460"/>
      <c r="L223" s="1460"/>
      <c r="M223" s="186"/>
      <c r="N223" s="1461"/>
      <c r="O223" s="1462"/>
    </row>
    <row r="224">
      <c r="A224" s="1442"/>
      <c r="B224" s="1443"/>
      <c r="C224" s="1444"/>
      <c r="D224" s="1450"/>
      <c r="E224" s="1446"/>
      <c r="F224" s="1447"/>
      <c r="G224" s="1448"/>
      <c r="H224" s="1449"/>
      <c r="I224" s="1450"/>
      <c r="J224" s="1451"/>
      <c r="K224" s="1452"/>
      <c r="L224" s="1447"/>
      <c r="M224" s="1453"/>
      <c r="N224" s="1454"/>
      <c r="O224" s="1455"/>
    </row>
    <row r="225">
      <c r="A225" s="1456"/>
      <c r="B225" s="1457"/>
      <c r="C225" s="1458"/>
      <c r="D225" s="1460"/>
      <c r="E225" s="1459"/>
      <c r="F225" s="1460"/>
      <c r="G225" s="1460"/>
      <c r="H225" s="1460"/>
      <c r="I225" s="1460"/>
      <c r="J225" s="1460"/>
      <c r="K225" s="1460"/>
      <c r="L225" s="1460"/>
      <c r="M225" s="186"/>
      <c r="N225" s="1461"/>
      <c r="O225" s="1462"/>
    </row>
    <row r="226">
      <c r="A226" s="1442"/>
      <c r="B226" s="1443"/>
      <c r="C226" s="1444"/>
      <c r="D226" s="1450"/>
      <c r="E226" s="1446"/>
      <c r="F226" s="1447"/>
      <c r="G226" s="1448"/>
      <c r="H226" s="1449"/>
      <c r="I226" s="1450"/>
      <c r="J226" s="1451"/>
      <c r="K226" s="1452"/>
      <c r="L226" s="1447"/>
      <c r="M226" s="1453"/>
      <c r="N226" s="1454"/>
      <c r="O226" s="1455"/>
    </row>
    <row r="227">
      <c r="A227" s="1456"/>
      <c r="B227" s="1457"/>
      <c r="C227" s="1458"/>
      <c r="D227" s="1460"/>
      <c r="E227" s="1459"/>
      <c r="F227" s="1460"/>
      <c r="G227" s="1460"/>
      <c r="H227" s="1460"/>
      <c r="I227" s="1460"/>
      <c r="J227" s="1460"/>
      <c r="K227" s="1460"/>
      <c r="L227" s="1460"/>
      <c r="M227" s="186"/>
      <c r="N227" s="1461"/>
      <c r="O227" s="1462"/>
    </row>
    <row r="228">
      <c r="A228" s="1442"/>
      <c r="B228" s="1443"/>
      <c r="C228" s="1444"/>
      <c r="D228" s="1450"/>
      <c r="E228" s="1446"/>
      <c r="F228" s="1447"/>
      <c r="G228" s="1448"/>
      <c r="H228" s="1449"/>
      <c r="I228" s="1450"/>
      <c r="J228" s="1451"/>
      <c r="K228" s="1452"/>
      <c r="L228" s="1447"/>
      <c r="M228" s="1453"/>
      <c r="N228" s="1454"/>
      <c r="O228" s="1455"/>
    </row>
    <row r="229">
      <c r="A229" s="1456"/>
      <c r="B229" s="1457"/>
      <c r="C229" s="1458"/>
      <c r="D229" s="1460"/>
      <c r="E229" s="1459"/>
      <c r="F229" s="1460"/>
      <c r="G229" s="1460"/>
      <c r="H229" s="1460"/>
      <c r="I229" s="1460"/>
      <c r="J229" s="1460"/>
      <c r="K229" s="1460"/>
      <c r="L229" s="1460"/>
      <c r="M229" s="186"/>
      <c r="N229" s="1461"/>
      <c r="O229" s="1462"/>
    </row>
    <row r="230">
      <c r="A230" s="1442"/>
      <c r="B230" s="1443"/>
      <c r="C230" s="1444"/>
      <c r="D230" s="1450"/>
      <c r="E230" s="1446"/>
      <c r="F230" s="1447"/>
      <c r="G230" s="1448"/>
      <c r="H230" s="1449"/>
      <c r="I230" s="1450"/>
      <c r="J230" s="1451"/>
      <c r="K230" s="1452"/>
      <c r="L230" s="1447"/>
      <c r="M230" s="1453"/>
      <c r="N230" s="1454"/>
      <c r="O230" s="1455"/>
    </row>
    <row r="231">
      <c r="A231" s="1456"/>
      <c r="B231" s="1457"/>
      <c r="C231" s="1458"/>
      <c r="D231" s="1460"/>
      <c r="E231" s="1459"/>
      <c r="F231" s="1460"/>
      <c r="G231" s="1460"/>
      <c r="H231" s="1460"/>
      <c r="I231" s="1460"/>
      <c r="J231" s="1460"/>
      <c r="K231" s="1460"/>
      <c r="L231" s="1460"/>
      <c r="M231" s="186"/>
      <c r="N231" s="1461"/>
      <c r="O231" s="1462"/>
    </row>
    <row r="232">
      <c r="A232" s="1442"/>
      <c r="B232" s="1443"/>
      <c r="C232" s="1444"/>
      <c r="D232" s="1450"/>
      <c r="E232" s="1446"/>
      <c r="F232" s="1447"/>
      <c r="G232" s="1448"/>
      <c r="H232" s="1449"/>
      <c r="I232" s="1450"/>
      <c r="J232" s="1451"/>
      <c r="K232" s="1452"/>
      <c r="L232" s="1447"/>
      <c r="M232" s="1453"/>
      <c r="N232" s="1454"/>
      <c r="O232" s="1455"/>
    </row>
    <row r="233">
      <c r="A233" s="1456"/>
      <c r="B233" s="1457"/>
      <c r="C233" s="1458"/>
      <c r="D233" s="1460"/>
      <c r="E233" s="1459"/>
      <c r="F233" s="1460"/>
      <c r="G233" s="1460"/>
      <c r="H233" s="1460"/>
      <c r="I233" s="1460"/>
      <c r="J233" s="1460"/>
      <c r="K233" s="1460"/>
      <c r="L233" s="1460"/>
      <c r="M233" s="186"/>
      <c r="N233" s="1461"/>
      <c r="O233" s="1462"/>
    </row>
    <row r="234">
      <c r="A234" s="1442"/>
      <c r="B234" s="1443"/>
      <c r="C234" s="1444"/>
      <c r="D234" s="1450"/>
      <c r="E234" s="1446"/>
      <c r="F234" s="1447"/>
      <c r="G234" s="1448"/>
      <c r="H234" s="1449"/>
      <c r="I234" s="1450"/>
      <c r="J234" s="1451"/>
      <c r="K234" s="1452"/>
      <c r="L234" s="1447"/>
      <c r="M234" s="1453"/>
      <c r="N234" s="1454"/>
      <c r="O234" s="1455"/>
    </row>
    <row r="235">
      <c r="A235" s="1456"/>
      <c r="B235" s="1457"/>
      <c r="C235" s="1458"/>
      <c r="D235" s="1460"/>
      <c r="E235" s="1459"/>
      <c r="F235" s="1460"/>
      <c r="G235" s="1460"/>
      <c r="H235" s="1460"/>
      <c r="I235" s="1460"/>
      <c r="J235" s="1460"/>
      <c r="K235" s="1460"/>
      <c r="L235" s="1460"/>
      <c r="M235" s="186"/>
      <c r="N235" s="1461"/>
      <c r="O235" s="1462"/>
    </row>
    <row r="236">
      <c r="A236" s="1442"/>
      <c r="B236" s="1443"/>
      <c r="C236" s="1444"/>
      <c r="D236" s="1450"/>
      <c r="E236" s="1446"/>
      <c r="F236" s="1447"/>
      <c r="G236" s="1448"/>
      <c r="H236" s="1449"/>
      <c r="I236" s="1450"/>
      <c r="J236" s="1451"/>
      <c r="K236" s="1452"/>
      <c r="L236" s="1447"/>
      <c r="M236" s="1453"/>
      <c r="N236" s="1454"/>
      <c r="O236" s="1455"/>
    </row>
    <row r="237">
      <c r="A237" s="1456"/>
      <c r="B237" s="1457"/>
      <c r="C237" s="1458"/>
      <c r="D237" s="1460"/>
      <c r="E237" s="1459"/>
      <c r="F237" s="1460"/>
      <c r="G237" s="1460"/>
      <c r="H237" s="1460"/>
      <c r="I237" s="1460"/>
      <c r="J237" s="1460"/>
      <c r="K237" s="1460"/>
      <c r="L237" s="1460"/>
      <c r="M237" s="186"/>
      <c r="N237" s="1461"/>
      <c r="O237" s="1462"/>
    </row>
    <row r="238">
      <c r="A238" s="1442"/>
      <c r="B238" s="1443"/>
      <c r="C238" s="1444"/>
      <c r="D238" s="1450"/>
      <c r="E238" s="1446"/>
      <c r="F238" s="1447"/>
      <c r="G238" s="1448"/>
      <c r="H238" s="1449"/>
      <c r="I238" s="1450"/>
      <c r="J238" s="1451"/>
      <c r="K238" s="1452"/>
      <c r="L238" s="1447"/>
      <c r="M238" s="1453"/>
      <c r="N238" s="1454"/>
      <c r="O238" s="1455"/>
    </row>
    <row r="239">
      <c r="A239" s="1456"/>
      <c r="B239" s="1457"/>
      <c r="C239" s="1458"/>
      <c r="D239" s="1460"/>
      <c r="E239" s="1459"/>
      <c r="F239" s="1460"/>
      <c r="G239" s="1460"/>
      <c r="H239" s="1460"/>
      <c r="I239" s="1460"/>
      <c r="J239" s="1460"/>
      <c r="K239" s="1460"/>
      <c r="L239" s="1460"/>
      <c r="M239" s="186"/>
      <c r="N239" s="1461"/>
      <c r="O239" s="1462"/>
    </row>
    <row r="240">
      <c r="A240" s="1442"/>
      <c r="B240" s="1443"/>
      <c r="C240" s="1444"/>
      <c r="D240" s="1450"/>
      <c r="E240" s="1446"/>
      <c r="F240" s="1447"/>
      <c r="G240" s="1448"/>
      <c r="H240" s="1449"/>
      <c r="I240" s="1450"/>
      <c r="J240" s="1451"/>
      <c r="K240" s="1452"/>
      <c r="L240" s="1447"/>
      <c r="M240" s="1453"/>
      <c r="N240" s="1454"/>
      <c r="O240" s="1455"/>
    </row>
    <row r="241">
      <c r="A241" s="1456"/>
      <c r="B241" s="1457"/>
      <c r="C241" s="1458"/>
      <c r="D241" s="1460"/>
      <c r="E241" s="1459"/>
      <c r="F241" s="1460"/>
      <c r="G241" s="1460"/>
      <c r="H241" s="1460"/>
      <c r="I241" s="1460"/>
      <c r="J241" s="1460"/>
      <c r="K241" s="1460"/>
      <c r="L241" s="1460"/>
      <c r="M241" s="186"/>
      <c r="N241" s="1461"/>
      <c r="O241" s="1462"/>
    </row>
    <row r="242">
      <c r="A242" s="1442"/>
      <c r="B242" s="1443"/>
      <c r="C242" s="1444"/>
      <c r="D242" s="1450"/>
      <c r="E242" s="1446"/>
      <c r="F242" s="1447"/>
      <c r="G242" s="1448"/>
      <c r="H242" s="1449"/>
      <c r="I242" s="1450"/>
      <c r="J242" s="1451"/>
      <c r="K242" s="1452"/>
      <c r="L242" s="1447"/>
      <c r="M242" s="1453"/>
      <c r="N242" s="1454"/>
      <c r="O242" s="1455"/>
    </row>
    <row r="243">
      <c r="A243" s="1456"/>
      <c r="B243" s="1457"/>
      <c r="C243" s="1458"/>
      <c r="D243" s="1460"/>
      <c r="E243" s="1459"/>
      <c r="F243" s="1460"/>
      <c r="G243" s="1460"/>
      <c r="H243" s="1460"/>
      <c r="I243" s="1460"/>
      <c r="J243" s="1460"/>
      <c r="K243" s="1460"/>
      <c r="L243" s="1460"/>
      <c r="M243" s="186"/>
      <c r="N243" s="1461"/>
      <c r="O243" s="1462"/>
    </row>
    <row r="244">
      <c r="A244" s="1442"/>
      <c r="B244" s="1443"/>
      <c r="C244" s="1444"/>
      <c r="D244" s="1450"/>
      <c r="E244" s="1446"/>
      <c r="F244" s="1447"/>
      <c r="G244" s="1448"/>
      <c r="H244" s="1449"/>
      <c r="I244" s="1450"/>
      <c r="J244" s="1451"/>
      <c r="K244" s="1452"/>
      <c r="L244" s="1447"/>
      <c r="M244" s="1453"/>
      <c r="N244" s="1454"/>
      <c r="O244" s="1455"/>
    </row>
    <row r="245">
      <c r="A245" s="1456"/>
      <c r="B245" s="1457"/>
      <c r="C245" s="1458"/>
      <c r="D245" s="1460"/>
      <c r="E245" s="1459"/>
      <c r="F245" s="1460"/>
      <c r="G245" s="1460"/>
      <c r="H245" s="1460"/>
      <c r="I245" s="1460"/>
      <c r="J245" s="1460"/>
      <c r="K245" s="1460"/>
      <c r="L245" s="1460"/>
      <c r="M245" s="186"/>
      <c r="N245" s="1461"/>
      <c r="O245" s="1462"/>
    </row>
    <row r="246">
      <c r="A246" s="1442"/>
      <c r="B246" s="1443"/>
      <c r="C246" s="1444"/>
      <c r="D246" s="1450"/>
      <c r="E246" s="1446"/>
      <c r="F246" s="1447"/>
      <c r="G246" s="1448"/>
      <c r="H246" s="1449"/>
      <c r="I246" s="1450"/>
      <c r="J246" s="1451"/>
      <c r="K246" s="1452"/>
      <c r="L246" s="1447"/>
      <c r="M246" s="1453"/>
      <c r="N246" s="1454"/>
      <c r="O246" s="1455"/>
    </row>
    <row r="247">
      <c r="A247" s="1456"/>
      <c r="B247" s="1457"/>
      <c r="C247" s="1458"/>
      <c r="D247" s="1460"/>
      <c r="E247" s="1459"/>
      <c r="F247" s="1460"/>
      <c r="G247" s="1460"/>
      <c r="H247" s="1460"/>
      <c r="I247" s="1460"/>
      <c r="J247" s="1460"/>
      <c r="K247" s="1460"/>
      <c r="L247" s="1460"/>
      <c r="M247" s="186"/>
      <c r="N247" s="1461"/>
      <c r="O247" s="1462"/>
    </row>
    <row r="248">
      <c r="A248" s="1442"/>
      <c r="B248" s="1443"/>
      <c r="C248" s="1444"/>
      <c r="D248" s="1450"/>
      <c r="E248" s="1446"/>
      <c r="F248" s="1447"/>
      <c r="G248" s="1448"/>
      <c r="H248" s="1449"/>
      <c r="I248" s="1450"/>
      <c r="J248" s="1451"/>
      <c r="K248" s="1452"/>
      <c r="L248" s="1447"/>
      <c r="M248" s="1453"/>
      <c r="N248" s="1454"/>
      <c r="O248" s="1455"/>
    </row>
    <row r="249">
      <c r="A249" s="1456"/>
      <c r="B249" s="1457"/>
      <c r="C249" s="1458"/>
      <c r="D249" s="1460"/>
      <c r="E249" s="1459"/>
      <c r="F249" s="1460"/>
      <c r="G249" s="1460"/>
      <c r="H249" s="1460"/>
      <c r="I249" s="1460"/>
      <c r="J249" s="1460"/>
      <c r="K249" s="1460"/>
      <c r="L249" s="1460"/>
      <c r="M249" s="186"/>
      <c r="N249" s="1461"/>
      <c r="O249" s="1462"/>
    </row>
    <row r="250">
      <c r="A250" s="1442"/>
      <c r="B250" s="1443"/>
      <c r="C250" s="1444"/>
      <c r="D250" s="1450"/>
      <c r="E250" s="1446"/>
      <c r="F250" s="1447"/>
      <c r="G250" s="1448"/>
      <c r="H250" s="1449"/>
      <c r="I250" s="1450"/>
      <c r="J250" s="1451"/>
      <c r="K250" s="1452"/>
      <c r="L250" s="1447"/>
      <c r="M250" s="1453"/>
      <c r="N250" s="1454"/>
      <c r="O250" s="1455"/>
    </row>
    <row r="251">
      <c r="A251" s="1456"/>
      <c r="B251" s="1457"/>
      <c r="C251" s="1458"/>
      <c r="D251" s="1460"/>
      <c r="E251" s="1459"/>
      <c r="F251" s="1460"/>
      <c r="G251" s="1460"/>
      <c r="H251" s="1460"/>
      <c r="I251" s="1460"/>
      <c r="J251" s="1460"/>
      <c r="K251" s="1460"/>
      <c r="L251" s="1460"/>
      <c r="M251" s="186"/>
      <c r="N251" s="1461"/>
      <c r="O251" s="1462"/>
    </row>
    <row r="252">
      <c r="A252" s="1442"/>
      <c r="B252" s="1443"/>
      <c r="C252" s="1444"/>
      <c r="D252" s="1450"/>
      <c r="E252" s="1446"/>
      <c r="F252" s="1447"/>
      <c r="G252" s="1448"/>
      <c r="H252" s="1449"/>
      <c r="I252" s="1450"/>
      <c r="J252" s="1451"/>
      <c r="K252" s="1452"/>
      <c r="L252" s="1447"/>
      <c r="M252" s="1453"/>
      <c r="N252" s="1454"/>
      <c r="O252" s="1455"/>
    </row>
    <row r="253">
      <c r="A253" s="1456"/>
      <c r="B253" s="1457"/>
      <c r="C253" s="1458"/>
      <c r="D253" s="1460"/>
      <c r="E253" s="1459"/>
      <c r="F253" s="1460"/>
      <c r="G253" s="1460"/>
      <c r="H253" s="1460"/>
      <c r="I253" s="1460"/>
      <c r="J253" s="1460"/>
      <c r="K253" s="1460"/>
      <c r="L253" s="1460"/>
      <c r="M253" s="186"/>
      <c r="N253" s="1461"/>
      <c r="O253" s="1462"/>
    </row>
    <row r="254">
      <c r="A254" s="1442"/>
      <c r="B254" s="1443"/>
      <c r="C254" s="1444"/>
      <c r="D254" s="1450"/>
      <c r="E254" s="1446"/>
      <c r="F254" s="1447"/>
      <c r="G254" s="1448"/>
      <c r="H254" s="1449"/>
      <c r="I254" s="1450"/>
      <c r="J254" s="1451"/>
      <c r="K254" s="1452"/>
      <c r="L254" s="1447"/>
      <c r="M254" s="1453"/>
      <c r="N254" s="1454"/>
      <c r="O254" s="1455"/>
    </row>
    <row r="255">
      <c r="A255" s="1456"/>
      <c r="B255" s="1457"/>
      <c r="C255" s="1458"/>
      <c r="D255" s="1460"/>
      <c r="E255" s="1459"/>
      <c r="F255" s="1460"/>
      <c r="G255" s="1460"/>
      <c r="H255" s="1460"/>
      <c r="I255" s="1460"/>
      <c r="J255" s="1460"/>
      <c r="K255" s="1460"/>
      <c r="L255" s="1460"/>
      <c r="M255" s="186"/>
      <c r="N255" s="1461"/>
      <c r="O255" s="1462"/>
    </row>
    <row r="256">
      <c r="A256" s="1442"/>
      <c r="B256" s="1443"/>
      <c r="C256" s="1444"/>
      <c r="D256" s="1450"/>
      <c r="E256" s="1446"/>
      <c r="F256" s="1447"/>
      <c r="G256" s="1448"/>
      <c r="H256" s="1449"/>
      <c r="I256" s="1450"/>
      <c r="J256" s="1451"/>
      <c r="K256" s="1452"/>
      <c r="L256" s="1447"/>
      <c r="M256" s="1453"/>
      <c r="N256" s="1454"/>
      <c r="O256" s="1455"/>
    </row>
    <row r="257">
      <c r="A257" s="1456"/>
      <c r="B257" s="1457"/>
      <c r="C257" s="1458"/>
      <c r="D257" s="1460"/>
      <c r="E257" s="1459"/>
      <c r="F257" s="1460"/>
      <c r="G257" s="1460"/>
      <c r="H257" s="1460"/>
      <c r="I257" s="1460"/>
      <c r="J257" s="1460"/>
      <c r="K257" s="1460"/>
      <c r="L257" s="1460"/>
      <c r="M257" s="186"/>
      <c r="N257" s="1461"/>
      <c r="O257" s="1462"/>
    </row>
    <row r="258">
      <c r="A258" s="1442"/>
      <c r="B258" s="1443"/>
      <c r="C258" s="1444"/>
      <c r="D258" s="1450"/>
      <c r="E258" s="1446"/>
      <c r="F258" s="1447"/>
      <c r="G258" s="1448"/>
      <c r="H258" s="1449"/>
      <c r="I258" s="1450"/>
      <c r="J258" s="1451"/>
      <c r="K258" s="1452"/>
      <c r="L258" s="1447"/>
      <c r="M258" s="1453"/>
      <c r="N258" s="1454"/>
      <c r="O258" s="1455"/>
    </row>
    <row r="259">
      <c r="A259" s="1456"/>
      <c r="B259" s="1457"/>
      <c r="C259" s="1458"/>
      <c r="D259" s="1460"/>
      <c r="E259" s="1459"/>
      <c r="F259" s="1460"/>
      <c r="G259" s="1460"/>
      <c r="H259" s="1460"/>
      <c r="I259" s="1460"/>
      <c r="J259" s="1460"/>
      <c r="K259" s="1460"/>
      <c r="L259" s="1460"/>
      <c r="M259" s="186"/>
      <c r="N259" s="1461"/>
      <c r="O259" s="1462"/>
    </row>
    <row r="260">
      <c r="A260" s="1442"/>
      <c r="B260" s="1443"/>
      <c r="C260" s="1444"/>
      <c r="D260" s="1450"/>
      <c r="E260" s="1446"/>
      <c r="F260" s="1447"/>
      <c r="G260" s="1448"/>
      <c r="H260" s="1449"/>
      <c r="I260" s="1450"/>
      <c r="J260" s="1451"/>
      <c r="K260" s="1452"/>
      <c r="L260" s="1447"/>
      <c r="M260" s="1453"/>
      <c r="N260" s="1454"/>
      <c r="O260" s="1455"/>
    </row>
    <row r="261">
      <c r="A261" s="1456"/>
      <c r="B261" s="1457"/>
      <c r="C261" s="1458"/>
      <c r="D261" s="1460"/>
      <c r="E261" s="1459"/>
      <c r="F261" s="1460"/>
      <c r="G261" s="1460"/>
      <c r="H261" s="1460"/>
      <c r="I261" s="1460"/>
      <c r="J261" s="1460"/>
      <c r="K261" s="1460"/>
      <c r="L261" s="1460"/>
      <c r="M261" s="186"/>
      <c r="N261" s="1461"/>
      <c r="O261" s="1462"/>
    </row>
    <row r="262">
      <c r="A262" s="1442"/>
      <c r="B262" s="1443"/>
      <c r="C262" s="1444"/>
      <c r="D262" s="1450"/>
      <c r="E262" s="1446"/>
      <c r="F262" s="1447"/>
      <c r="G262" s="1448"/>
      <c r="H262" s="1449"/>
      <c r="I262" s="1450"/>
      <c r="J262" s="1451"/>
      <c r="K262" s="1452"/>
      <c r="L262" s="1447"/>
      <c r="M262" s="1453"/>
      <c r="N262" s="1454"/>
      <c r="O262" s="1455"/>
    </row>
    <row r="263">
      <c r="A263" s="1456"/>
      <c r="B263" s="1457"/>
      <c r="C263" s="1458"/>
      <c r="D263" s="1460"/>
      <c r="E263" s="1459"/>
      <c r="F263" s="1460"/>
      <c r="G263" s="1460"/>
      <c r="H263" s="1460"/>
      <c r="I263" s="1460"/>
      <c r="J263" s="1460"/>
      <c r="K263" s="1460"/>
      <c r="L263" s="1460"/>
      <c r="M263" s="186"/>
      <c r="N263" s="1461"/>
      <c r="O263" s="1462"/>
    </row>
    <row r="264">
      <c r="A264" s="1442"/>
      <c r="B264" s="1443"/>
      <c r="C264" s="1444"/>
      <c r="D264" s="1450"/>
      <c r="E264" s="1446"/>
      <c r="F264" s="1447"/>
      <c r="G264" s="1448"/>
      <c r="H264" s="1449"/>
      <c r="I264" s="1450"/>
      <c r="J264" s="1451"/>
      <c r="K264" s="1452"/>
      <c r="L264" s="1447"/>
      <c r="M264" s="1453"/>
      <c r="N264" s="1454"/>
      <c r="O264" s="1455"/>
    </row>
    <row r="265">
      <c r="A265" s="1456"/>
      <c r="B265" s="1457"/>
      <c r="C265" s="1458"/>
      <c r="D265" s="1460"/>
      <c r="E265" s="1459"/>
      <c r="F265" s="1460"/>
      <c r="G265" s="1460"/>
      <c r="H265" s="1460"/>
      <c r="I265" s="1460"/>
      <c r="J265" s="1460"/>
      <c r="K265" s="1460"/>
      <c r="L265" s="1460"/>
      <c r="M265" s="186"/>
      <c r="N265" s="1461"/>
      <c r="O265" s="1462"/>
    </row>
    <row r="266">
      <c r="A266" s="1442"/>
      <c r="B266" s="1443"/>
      <c r="C266" s="1444"/>
      <c r="D266" s="1450"/>
      <c r="E266" s="1446"/>
      <c r="F266" s="1447"/>
      <c r="G266" s="1448"/>
      <c r="H266" s="1449"/>
      <c r="I266" s="1450"/>
      <c r="J266" s="1451"/>
      <c r="K266" s="1452"/>
      <c r="L266" s="1447"/>
      <c r="M266" s="1453"/>
      <c r="N266" s="1454"/>
      <c r="O266" s="1455"/>
    </row>
    <row r="267">
      <c r="A267" s="1456"/>
      <c r="B267" s="1457"/>
      <c r="C267" s="1458"/>
      <c r="D267" s="1460"/>
      <c r="E267" s="1459"/>
      <c r="F267" s="1460"/>
      <c r="G267" s="1460"/>
      <c r="H267" s="1460"/>
      <c r="I267" s="1460"/>
      <c r="J267" s="1460"/>
      <c r="K267" s="1460"/>
      <c r="L267" s="1460"/>
      <c r="M267" s="186"/>
      <c r="N267" s="1461"/>
      <c r="O267" s="1462"/>
    </row>
    <row r="268">
      <c r="A268" s="1442"/>
      <c r="B268" s="1443"/>
      <c r="C268" s="1444"/>
      <c r="D268" s="1450"/>
      <c r="E268" s="1446"/>
      <c r="F268" s="1447"/>
      <c r="G268" s="1448"/>
      <c r="H268" s="1449"/>
      <c r="I268" s="1450"/>
      <c r="J268" s="1451"/>
      <c r="K268" s="1452"/>
      <c r="L268" s="1447"/>
      <c r="M268" s="1453"/>
      <c r="N268" s="1454"/>
      <c r="O268" s="1455"/>
    </row>
    <row r="269">
      <c r="A269" s="1456"/>
      <c r="B269" s="1457"/>
      <c r="C269" s="1458"/>
      <c r="D269" s="1460"/>
      <c r="E269" s="1459"/>
      <c r="F269" s="1460"/>
      <c r="G269" s="1460"/>
      <c r="H269" s="1460"/>
      <c r="I269" s="1460"/>
      <c r="J269" s="1460"/>
      <c r="K269" s="1460"/>
      <c r="L269" s="1460"/>
      <c r="M269" s="186"/>
      <c r="N269" s="1461"/>
      <c r="O269" s="1462"/>
    </row>
    <row r="270">
      <c r="A270" s="1442"/>
      <c r="B270" s="1443"/>
      <c r="C270" s="1444"/>
      <c r="D270" s="1450"/>
      <c r="E270" s="1446"/>
      <c r="F270" s="1447"/>
      <c r="G270" s="1448"/>
      <c r="H270" s="1449"/>
      <c r="I270" s="1450"/>
      <c r="J270" s="1451"/>
      <c r="K270" s="1452"/>
      <c r="L270" s="1447"/>
      <c r="M270" s="1453"/>
      <c r="N270" s="1454"/>
      <c r="O270" s="1455"/>
    </row>
    <row r="271">
      <c r="A271" s="1456"/>
      <c r="B271" s="1457"/>
      <c r="C271" s="1458"/>
      <c r="D271" s="1460"/>
      <c r="E271" s="1459"/>
      <c r="F271" s="1460"/>
      <c r="G271" s="1460"/>
      <c r="H271" s="1460"/>
      <c r="I271" s="1460"/>
      <c r="J271" s="1460"/>
      <c r="K271" s="1460"/>
      <c r="L271" s="1460"/>
      <c r="M271" s="186"/>
      <c r="N271" s="1461"/>
      <c r="O271" s="1462"/>
    </row>
    <row r="272">
      <c r="A272" s="1442"/>
      <c r="B272" s="1443"/>
      <c r="C272" s="1444"/>
      <c r="D272" s="1450"/>
      <c r="E272" s="1446"/>
      <c r="F272" s="1447"/>
      <c r="G272" s="1448"/>
      <c r="H272" s="1449"/>
      <c r="I272" s="1450"/>
      <c r="J272" s="1451"/>
      <c r="K272" s="1452"/>
      <c r="L272" s="1447"/>
      <c r="M272" s="1453"/>
      <c r="N272" s="1454"/>
      <c r="O272" s="1455"/>
    </row>
    <row r="273">
      <c r="A273" s="1456"/>
      <c r="B273" s="1457"/>
      <c r="C273" s="1458"/>
      <c r="D273" s="1460"/>
      <c r="E273" s="1459"/>
      <c r="F273" s="1460"/>
      <c r="G273" s="1460"/>
      <c r="H273" s="1460"/>
      <c r="I273" s="1460"/>
      <c r="J273" s="1460"/>
      <c r="K273" s="1460"/>
      <c r="L273" s="1460"/>
      <c r="M273" s="186"/>
      <c r="N273" s="1461"/>
      <c r="O273" s="1462"/>
    </row>
    <row r="274">
      <c r="A274" s="1442"/>
      <c r="B274" s="1443"/>
      <c r="C274" s="1444"/>
      <c r="D274" s="1450"/>
      <c r="E274" s="1446"/>
      <c r="F274" s="1447"/>
      <c r="G274" s="1448"/>
      <c r="H274" s="1449"/>
      <c r="I274" s="1450"/>
      <c r="J274" s="1451"/>
      <c r="K274" s="1452"/>
      <c r="L274" s="1447"/>
      <c r="M274" s="1453"/>
      <c r="N274" s="1454"/>
      <c r="O274" s="1455"/>
    </row>
    <row r="275">
      <c r="A275" s="1456"/>
      <c r="B275" s="1457"/>
      <c r="C275" s="1458"/>
      <c r="D275" s="1460"/>
      <c r="E275" s="1459"/>
      <c r="F275" s="1460"/>
      <c r="G275" s="1460"/>
      <c r="H275" s="1460"/>
      <c r="I275" s="1460"/>
      <c r="J275" s="1460"/>
      <c r="K275" s="1460"/>
      <c r="L275" s="1460"/>
      <c r="M275" s="186"/>
      <c r="N275" s="1461"/>
      <c r="O275" s="1462"/>
    </row>
    <row r="276">
      <c r="A276" s="1442"/>
      <c r="B276" s="1443"/>
      <c r="C276" s="1444"/>
      <c r="D276" s="1450"/>
      <c r="E276" s="1446"/>
      <c r="F276" s="1447"/>
      <c r="G276" s="1448"/>
      <c r="H276" s="1449"/>
      <c r="I276" s="1450"/>
      <c r="J276" s="1451"/>
      <c r="K276" s="1452"/>
      <c r="L276" s="1447"/>
      <c r="M276" s="1453"/>
      <c r="N276" s="1454"/>
      <c r="O276" s="1455"/>
    </row>
    <row r="277">
      <c r="A277" s="1456"/>
      <c r="B277" s="1457"/>
      <c r="C277" s="1458"/>
      <c r="D277" s="1460"/>
      <c r="E277" s="1459"/>
      <c r="F277" s="1460"/>
      <c r="G277" s="1460"/>
      <c r="H277" s="1460"/>
      <c r="I277" s="1460"/>
      <c r="J277" s="1460"/>
      <c r="K277" s="1460"/>
      <c r="L277" s="1460"/>
      <c r="M277" s="186"/>
      <c r="N277" s="1461"/>
      <c r="O277" s="1462"/>
    </row>
    <row r="278">
      <c r="A278" s="1442"/>
      <c r="B278" s="1443"/>
      <c r="C278" s="1444"/>
      <c r="D278" s="1450"/>
      <c r="E278" s="1446"/>
      <c r="F278" s="1447"/>
      <c r="G278" s="1448"/>
      <c r="H278" s="1449"/>
      <c r="I278" s="1450"/>
      <c r="J278" s="1451"/>
      <c r="K278" s="1452"/>
      <c r="L278" s="1447"/>
      <c r="M278" s="1453"/>
      <c r="N278" s="1454"/>
      <c r="O278" s="1455"/>
    </row>
    <row r="279">
      <c r="A279" s="1456"/>
      <c r="B279" s="1457"/>
      <c r="C279" s="1458"/>
      <c r="D279" s="1460"/>
      <c r="E279" s="1459"/>
      <c r="F279" s="1460"/>
      <c r="G279" s="1460"/>
      <c r="H279" s="1460"/>
      <c r="I279" s="1460"/>
      <c r="J279" s="1460"/>
      <c r="K279" s="1460"/>
      <c r="L279" s="1460"/>
      <c r="M279" s="186"/>
      <c r="N279" s="1461"/>
      <c r="O279" s="1462"/>
    </row>
    <row r="280">
      <c r="A280" s="1442"/>
      <c r="B280" s="1443"/>
      <c r="C280" s="1444"/>
      <c r="D280" s="1450"/>
      <c r="E280" s="1446"/>
      <c r="F280" s="1447"/>
      <c r="G280" s="1448"/>
      <c r="H280" s="1449"/>
      <c r="I280" s="1450"/>
      <c r="J280" s="1451"/>
      <c r="K280" s="1452"/>
      <c r="L280" s="1447"/>
      <c r="M280" s="1453"/>
      <c r="N280" s="1454"/>
      <c r="O280" s="1455"/>
    </row>
    <row r="281">
      <c r="A281" s="1456"/>
      <c r="B281" s="1457"/>
      <c r="C281" s="1458"/>
      <c r="D281" s="1460"/>
      <c r="E281" s="1459"/>
      <c r="F281" s="1460"/>
      <c r="G281" s="1460"/>
      <c r="H281" s="1460"/>
      <c r="I281" s="1460"/>
      <c r="J281" s="1460"/>
      <c r="K281" s="1460"/>
      <c r="L281" s="1460"/>
      <c r="M281" s="186"/>
      <c r="N281" s="1461"/>
      <c r="O281" s="1462"/>
    </row>
    <row r="282">
      <c r="A282" s="1442"/>
      <c r="B282" s="1443"/>
      <c r="C282" s="1444"/>
      <c r="D282" s="1450"/>
      <c r="E282" s="1446"/>
      <c r="F282" s="1447"/>
      <c r="G282" s="1448"/>
      <c r="H282" s="1449"/>
      <c r="I282" s="1450"/>
      <c r="J282" s="1451"/>
      <c r="K282" s="1452"/>
      <c r="L282" s="1447"/>
      <c r="M282" s="1453"/>
      <c r="N282" s="1454"/>
      <c r="O282" s="1455"/>
    </row>
    <row r="283">
      <c r="A283" s="1456"/>
      <c r="B283" s="1457"/>
      <c r="C283" s="1458"/>
      <c r="D283" s="1460"/>
      <c r="E283" s="1459"/>
      <c r="F283" s="1460"/>
      <c r="G283" s="1460"/>
      <c r="H283" s="1460"/>
      <c r="I283" s="1460"/>
      <c r="J283" s="1460"/>
      <c r="K283" s="1460"/>
      <c r="L283" s="1460"/>
      <c r="M283" s="186"/>
      <c r="N283" s="1461"/>
      <c r="O283" s="1462"/>
    </row>
    <row r="284">
      <c r="A284" s="1442"/>
      <c r="B284" s="1443"/>
      <c r="C284" s="1444"/>
      <c r="D284" s="1450"/>
      <c r="E284" s="1446"/>
      <c r="F284" s="1447"/>
      <c r="G284" s="1448"/>
      <c r="H284" s="1449"/>
      <c r="I284" s="1450"/>
      <c r="J284" s="1451"/>
      <c r="K284" s="1452"/>
      <c r="L284" s="1447"/>
      <c r="M284" s="1453"/>
      <c r="N284" s="1454"/>
      <c r="O284" s="1455"/>
    </row>
    <row r="285">
      <c r="A285" s="1456"/>
      <c r="B285" s="1457"/>
      <c r="C285" s="1458"/>
      <c r="D285" s="1460"/>
      <c r="E285" s="1459"/>
      <c r="F285" s="1460"/>
      <c r="G285" s="1460"/>
      <c r="H285" s="1460"/>
      <c r="I285" s="1460"/>
      <c r="J285" s="1460"/>
      <c r="K285" s="1460"/>
      <c r="L285" s="1460"/>
      <c r="M285" s="186"/>
      <c r="N285" s="1461"/>
      <c r="O285" s="1462"/>
    </row>
    <row r="286">
      <c r="A286" s="1442"/>
      <c r="B286" s="1443"/>
      <c r="C286" s="1444"/>
      <c r="D286" s="1450"/>
      <c r="E286" s="1446"/>
      <c r="F286" s="1447"/>
      <c r="G286" s="1448"/>
      <c r="H286" s="1449"/>
      <c r="I286" s="1450"/>
      <c r="J286" s="1451"/>
      <c r="K286" s="1452"/>
      <c r="L286" s="1447"/>
      <c r="M286" s="1453"/>
      <c r="N286" s="1454"/>
      <c r="O286" s="1455"/>
    </row>
    <row r="287">
      <c r="A287" s="1456"/>
      <c r="B287" s="1457"/>
      <c r="C287" s="1458"/>
      <c r="D287" s="1460"/>
      <c r="E287" s="1459"/>
      <c r="F287" s="1460"/>
      <c r="G287" s="1460"/>
      <c r="H287" s="1460"/>
      <c r="I287" s="1460"/>
      <c r="J287" s="1460"/>
      <c r="K287" s="1460"/>
      <c r="L287" s="1460"/>
      <c r="M287" s="186"/>
      <c r="N287" s="1461"/>
      <c r="O287" s="1462"/>
    </row>
    <row r="288">
      <c r="A288" s="1442"/>
      <c r="B288" s="1443"/>
      <c r="C288" s="1444"/>
      <c r="D288" s="1450"/>
      <c r="E288" s="1446"/>
      <c r="F288" s="1447"/>
      <c r="G288" s="1448"/>
      <c r="H288" s="1449"/>
      <c r="I288" s="1450"/>
      <c r="J288" s="1451"/>
      <c r="K288" s="1452"/>
      <c r="L288" s="1447"/>
      <c r="M288" s="1453"/>
      <c r="N288" s="1454"/>
      <c r="O288" s="1455"/>
    </row>
    <row r="289">
      <c r="A289" s="1456"/>
      <c r="B289" s="1457"/>
      <c r="C289" s="1458"/>
      <c r="D289" s="1460"/>
      <c r="E289" s="1459"/>
      <c r="F289" s="1460"/>
      <c r="G289" s="1460"/>
      <c r="H289" s="1460"/>
      <c r="I289" s="1460"/>
      <c r="J289" s="1460"/>
      <c r="K289" s="1460"/>
      <c r="L289" s="1460"/>
      <c r="M289" s="186"/>
      <c r="N289" s="1461"/>
      <c r="O289" s="1462"/>
    </row>
    <row r="290">
      <c r="A290" s="1442"/>
      <c r="B290" s="1443"/>
      <c r="C290" s="1444"/>
      <c r="D290" s="1450"/>
      <c r="E290" s="1446"/>
      <c r="F290" s="1447"/>
      <c r="G290" s="1448"/>
      <c r="H290" s="1449"/>
      <c r="I290" s="1450"/>
      <c r="J290" s="1451"/>
      <c r="K290" s="1452"/>
      <c r="L290" s="1447"/>
      <c r="M290" s="1453"/>
      <c r="N290" s="1454"/>
      <c r="O290" s="1455"/>
    </row>
    <row r="291">
      <c r="A291" s="1456"/>
      <c r="B291" s="1457"/>
      <c r="C291" s="1458"/>
      <c r="D291" s="1460"/>
      <c r="E291" s="1459"/>
      <c r="F291" s="1460"/>
      <c r="G291" s="1460"/>
      <c r="H291" s="1460"/>
      <c r="I291" s="1460"/>
      <c r="J291" s="1460"/>
      <c r="K291" s="1460"/>
      <c r="L291" s="1460"/>
      <c r="M291" s="186"/>
      <c r="N291" s="1461"/>
      <c r="O291" s="1462"/>
    </row>
    <row r="292">
      <c r="A292" s="1442"/>
      <c r="B292" s="1443"/>
      <c r="C292" s="1444"/>
      <c r="D292" s="1450"/>
      <c r="E292" s="1446"/>
      <c r="F292" s="1447"/>
      <c r="G292" s="1448"/>
      <c r="H292" s="1449"/>
      <c r="I292" s="1450"/>
      <c r="J292" s="1451"/>
      <c r="K292" s="1452"/>
      <c r="L292" s="1447"/>
      <c r="M292" s="1453"/>
      <c r="N292" s="1454"/>
      <c r="O292" s="1455"/>
    </row>
    <row r="293">
      <c r="A293" s="1456"/>
      <c r="B293" s="1457"/>
      <c r="C293" s="1458"/>
      <c r="D293" s="1460"/>
      <c r="E293" s="1459"/>
      <c r="F293" s="1460"/>
      <c r="G293" s="1460"/>
      <c r="H293" s="1460"/>
      <c r="I293" s="1460"/>
      <c r="J293" s="1460"/>
      <c r="K293" s="1460"/>
      <c r="L293" s="1460"/>
      <c r="M293" s="186"/>
      <c r="N293" s="1461"/>
      <c r="O293" s="1462"/>
    </row>
    <row r="294">
      <c r="A294" s="1442"/>
      <c r="B294" s="1443"/>
      <c r="C294" s="1444"/>
      <c r="D294" s="1450"/>
      <c r="E294" s="1446"/>
      <c r="F294" s="1447"/>
      <c r="G294" s="1448"/>
      <c r="H294" s="1449"/>
      <c r="I294" s="1450"/>
      <c r="J294" s="1451"/>
      <c r="K294" s="1452"/>
      <c r="L294" s="1447"/>
      <c r="M294" s="1453"/>
      <c r="N294" s="1454"/>
      <c r="O294" s="1455"/>
    </row>
    <row r="295">
      <c r="A295" s="1456"/>
      <c r="B295" s="1457"/>
      <c r="C295" s="1458"/>
      <c r="D295" s="1460"/>
      <c r="E295" s="1459"/>
      <c r="F295" s="1460"/>
      <c r="G295" s="1460"/>
      <c r="H295" s="1460"/>
      <c r="I295" s="1460"/>
      <c r="J295" s="1460"/>
      <c r="K295" s="1460"/>
      <c r="L295" s="1460"/>
      <c r="M295" s="186"/>
      <c r="N295" s="1461"/>
      <c r="O295" s="1462"/>
    </row>
    <row r="296">
      <c r="A296" s="1442"/>
      <c r="B296" s="1443"/>
      <c r="C296" s="1444"/>
      <c r="D296" s="1450"/>
      <c r="E296" s="1446"/>
      <c r="F296" s="1447"/>
      <c r="G296" s="1448"/>
      <c r="H296" s="1449"/>
      <c r="I296" s="1450"/>
      <c r="J296" s="1451"/>
      <c r="K296" s="1452"/>
      <c r="L296" s="1447"/>
      <c r="M296" s="1453"/>
      <c r="N296" s="1454"/>
      <c r="O296" s="1455"/>
    </row>
    <row r="297">
      <c r="A297" s="1456"/>
      <c r="B297" s="1457"/>
      <c r="C297" s="1458"/>
      <c r="D297" s="1460"/>
      <c r="E297" s="1459"/>
      <c r="F297" s="1460"/>
      <c r="G297" s="1460"/>
      <c r="H297" s="1460"/>
      <c r="I297" s="1460"/>
      <c r="J297" s="1460"/>
      <c r="K297" s="1460"/>
      <c r="L297" s="1460"/>
      <c r="M297" s="186"/>
      <c r="N297" s="1461"/>
      <c r="O297" s="1462"/>
    </row>
    <row r="298">
      <c r="A298" s="1442"/>
      <c r="B298" s="1443"/>
      <c r="C298" s="1444"/>
      <c r="D298" s="1450"/>
      <c r="E298" s="1446"/>
      <c r="F298" s="1447"/>
      <c r="G298" s="1448"/>
      <c r="H298" s="1449"/>
      <c r="I298" s="1450"/>
      <c r="J298" s="1451"/>
      <c r="K298" s="1452"/>
      <c r="L298" s="1447"/>
      <c r="M298" s="1453"/>
      <c r="N298" s="1454"/>
      <c r="O298" s="1455"/>
    </row>
    <row r="299">
      <c r="A299" s="1456"/>
      <c r="B299" s="1457"/>
      <c r="C299" s="1458"/>
      <c r="D299" s="1460"/>
      <c r="E299" s="1459"/>
      <c r="F299" s="1460"/>
      <c r="G299" s="1460"/>
      <c r="H299" s="1460"/>
      <c r="I299" s="1460"/>
      <c r="J299" s="1460"/>
      <c r="K299" s="1460"/>
      <c r="L299" s="1460"/>
      <c r="M299" s="186"/>
      <c r="N299" s="1461"/>
      <c r="O299" s="1462"/>
    </row>
    <row r="300">
      <c r="A300" s="1442"/>
      <c r="B300" s="1443"/>
      <c r="C300" s="1444"/>
      <c r="D300" s="1450"/>
      <c r="E300" s="1446"/>
      <c r="F300" s="1447"/>
      <c r="G300" s="1448"/>
      <c r="H300" s="1449"/>
      <c r="I300" s="1450"/>
      <c r="J300" s="1451"/>
      <c r="K300" s="1452"/>
      <c r="L300" s="1447"/>
      <c r="M300" s="1453"/>
      <c r="N300" s="1454"/>
      <c r="O300" s="1455"/>
    </row>
    <row r="301">
      <c r="A301" s="1456"/>
      <c r="B301" s="1457"/>
      <c r="C301" s="1458"/>
      <c r="D301" s="1460"/>
      <c r="E301" s="1459"/>
      <c r="F301" s="1460"/>
      <c r="G301" s="1460"/>
      <c r="H301" s="1460"/>
      <c r="I301" s="1460"/>
      <c r="J301" s="1460"/>
      <c r="K301" s="1460"/>
      <c r="L301" s="1460"/>
      <c r="M301" s="186"/>
      <c r="N301" s="1461"/>
      <c r="O301" s="1462"/>
    </row>
    <row r="302">
      <c r="A302" s="1442"/>
      <c r="B302" s="1443"/>
      <c r="C302" s="1444"/>
      <c r="D302" s="1450"/>
      <c r="E302" s="1446"/>
      <c r="F302" s="1447"/>
      <c r="G302" s="1448"/>
      <c r="H302" s="1449"/>
      <c r="I302" s="1450"/>
      <c r="J302" s="1451"/>
      <c r="K302" s="1452"/>
      <c r="L302" s="1447"/>
      <c r="M302" s="1453"/>
      <c r="N302" s="1454"/>
      <c r="O302" s="1455"/>
    </row>
    <row r="303">
      <c r="A303" s="1456"/>
      <c r="B303" s="1457"/>
      <c r="C303" s="1458"/>
      <c r="D303" s="1460"/>
      <c r="E303" s="1459"/>
      <c r="F303" s="1460"/>
      <c r="G303" s="1460"/>
      <c r="H303" s="1460"/>
      <c r="I303" s="1460"/>
      <c r="J303" s="1460"/>
      <c r="K303" s="1460"/>
      <c r="L303" s="1460"/>
      <c r="M303" s="186"/>
      <c r="N303" s="1461"/>
      <c r="O303" s="1462"/>
    </row>
    <row r="304">
      <c r="A304" s="1442"/>
      <c r="B304" s="1443"/>
      <c r="C304" s="1444"/>
      <c r="D304" s="1450"/>
      <c r="E304" s="1446"/>
      <c r="F304" s="1447"/>
      <c r="G304" s="1448"/>
      <c r="H304" s="1449"/>
      <c r="I304" s="1450"/>
      <c r="J304" s="1451"/>
      <c r="K304" s="1452"/>
      <c r="L304" s="1447"/>
      <c r="M304" s="1453"/>
      <c r="N304" s="1454"/>
      <c r="O304" s="1455"/>
    </row>
    <row r="305">
      <c r="A305" s="1456"/>
      <c r="B305" s="1457"/>
      <c r="C305" s="1458"/>
      <c r="D305" s="1460"/>
      <c r="E305" s="1459"/>
      <c r="F305" s="1460"/>
      <c r="G305" s="1460"/>
      <c r="H305" s="1460"/>
      <c r="I305" s="1460"/>
      <c r="J305" s="1460"/>
      <c r="K305" s="1460"/>
      <c r="L305" s="1460"/>
      <c r="M305" s="186"/>
      <c r="N305" s="1461"/>
      <c r="O305" s="1462"/>
    </row>
    <row r="306">
      <c r="A306" s="1442"/>
      <c r="B306" s="1443"/>
      <c r="C306" s="1444"/>
      <c r="D306" s="1450"/>
      <c r="E306" s="1446"/>
      <c r="F306" s="1447"/>
      <c r="G306" s="1448"/>
      <c r="H306" s="1449"/>
      <c r="I306" s="1450"/>
      <c r="J306" s="1451"/>
      <c r="K306" s="1452"/>
      <c r="L306" s="1447"/>
      <c r="M306" s="1453"/>
      <c r="N306" s="1454"/>
      <c r="O306" s="1455"/>
    </row>
    <row r="307">
      <c r="A307" s="1456"/>
      <c r="B307" s="1457"/>
      <c r="C307" s="1458"/>
      <c r="D307" s="1460"/>
      <c r="E307" s="1459"/>
      <c r="F307" s="1460"/>
      <c r="G307" s="1460"/>
      <c r="H307" s="1460"/>
      <c r="I307" s="1460"/>
      <c r="J307" s="1460"/>
      <c r="K307" s="1460"/>
      <c r="L307" s="1460"/>
      <c r="M307" s="186"/>
      <c r="N307" s="1461"/>
      <c r="O307" s="1462"/>
    </row>
    <row r="308">
      <c r="A308" s="1442"/>
      <c r="B308" s="1443"/>
      <c r="C308" s="1444"/>
      <c r="D308" s="1450"/>
      <c r="E308" s="1446"/>
      <c r="F308" s="1447"/>
      <c r="G308" s="1448"/>
      <c r="H308" s="1449"/>
      <c r="I308" s="1450"/>
      <c r="J308" s="1451"/>
      <c r="K308" s="1452"/>
      <c r="L308" s="1447"/>
      <c r="M308" s="1453"/>
      <c r="N308" s="1454"/>
      <c r="O308" s="1455"/>
    </row>
    <row r="309">
      <c r="A309" s="1456"/>
      <c r="B309" s="1457"/>
      <c r="C309" s="1458"/>
      <c r="D309" s="1460"/>
      <c r="E309" s="1459"/>
      <c r="F309" s="1460"/>
      <c r="G309" s="1460"/>
      <c r="H309" s="1460"/>
      <c r="I309" s="1460"/>
      <c r="J309" s="1460"/>
      <c r="K309" s="1460"/>
      <c r="L309" s="1460"/>
      <c r="M309" s="186"/>
      <c r="N309" s="1461"/>
      <c r="O309" s="1462"/>
    </row>
    <row r="310">
      <c r="A310" s="1442"/>
      <c r="B310" s="1443"/>
      <c r="C310" s="1444"/>
      <c r="D310" s="1450"/>
      <c r="E310" s="1446"/>
      <c r="F310" s="1447"/>
      <c r="G310" s="1448"/>
      <c r="H310" s="1449"/>
      <c r="I310" s="1450"/>
      <c r="J310" s="1451"/>
      <c r="K310" s="1452"/>
      <c r="L310" s="1447"/>
      <c r="M310" s="1453"/>
      <c r="N310" s="1454"/>
      <c r="O310" s="1455"/>
    </row>
    <row r="311">
      <c r="A311" s="1456"/>
      <c r="B311" s="1457"/>
      <c r="C311" s="1458"/>
      <c r="D311" s="1460"/>
      <c r="E311" s="1459"/>
      <c r="F311" s="1460"/>
      <c r="G311" s="1460"/>
      <c r="H311" s="1460"/>
      <c r="I311" s="1460"/>
      <c r="J311" s="1460"/>
      <c r="K311" s="1460"/>
      <c r="L311" s="1460"/>
      <c r="M311" s="186"/>
      <c r="N311" s="1461"/>
      <c r="O311" s="1462"/>
    </row>
    <row r="312">
      <c r="A312" s="1442"/>
      <c r="B312" s="1443"/>
      <c r="C312" s="1444"/>
      <c r="D312" s="1450"/>
      <c r="E312" s="1446"/>
      <c r="F312" s="1447"/>
      <c r="G312" s="1448"/>
      <c r="H312" s="1449"/>
      <c r="I312" s="1450"/>
      <c r="J312" s="1451"/>
      <c r="K312" s="1452"/>
      <c r="L312" s="1447"/>
      <c r="M312" s="1453"/>
      <c r="N312" s="1454"/>
      <c r="O312" s="1455"/>
    </row>
    <row r="313">
      <c r="A313" s="1456"/>
      <c r="B313" s="1457"/>
      <c r="C313" s="1458"/>
      <c r="D313" s="1460"/>
      <c r="E313" s="1459"/>
      <c r="F313" s="1460"/>
      <c r="G313" s="1460"/>
      <c r="H313" s="1460"/>
      <c r="I313" s="1460"/>
      <c r="J313" s="1460"/>
      <c r="K313" s="1460"/>
      <c r="L313" s="1460"/>
      <c r="M313" s="186"/>
      <c r="N313" s="1461"/>
      <c r="O313" s="1462"/>
    </row>
    <row r="314">
      <c r="A314" s="1442"/>
      <c r="B314" s="1443"/>
      <c r="C314" s="1444"/>
      <c r="D314" s="1450"/>
      <c r="E314" s="1446"/>
      <c r="F314" s="1447"/>
      <c r="G314" s="1448"/>
      <c r="H314" s="1449"/>
      <c r="I314" s="1450"/>
      <c r="J314" s="1451"/>
      <c r="K314" s="1452"/>
      <c r="L314" s="1447"/>
      <c r="M314" s="1453"/>
      <c r="N314" s="1454"/>
      <c r="O314" s="1455"/>
    </row>
    <row r="315">
      <c r="A315" s="1456"/>
      <c r="B315" s="1457"/>
      <c r="C315" s="1458"/>
      <c r="D315" s="1460"/>
      <c r="E315" s="1459"/>
      <c r="F315" s="1460"/>
      <c r="G315" s="1460"/>
      <c r="H315" s="1460"/>
      <c r="I315" s="1460"/>
      <c r="J315" s="1460"/>
      <c r="K315" s="1460"/>
      <c r="L315" s="1460"/>
      <c r="M315" s="186"/>
      <c r="N315" s="1461"/>
      <c r="O315" s="1462"/>
    </row>
    <row r="316">
      <c r="A316" s="1442"/>
      <c r="B316" s="1443"/>
      <c r="C316" s="1444"/>
      <c r="D316" s="1450"/>
      <c r="E316" s="1446"/>
      <c r="F316" s="1447"/>
      <c r="G316" s="1448"/>
      <c r="H316" s="1449"/>
      <c r="I316" s="1450"/>
      <c r="J316" s="1451"/>
      <c r="K316" s="1452"/>
      <c r="L316" s="1447"/>
      <c r="M316" s="1453"/>
      <c r="N316" s="1454"/>
      <c r="O316" s="1455"/>
    </row>
    <row r="317">
      <c r="A317" s="1456"/>
      <c r="B317" s="1457"/>
      <c r="C317" s="1458"/>
      <c r="D317" s="1460"/>
      <c r="E317" s="1459"/>
      <c r="F317" s="1460"/>
      <c r="G317" s="1460"/>
      <c r="H317" s="1460"/>
      <c r="I317" s="1460"/>
      <c r="J317" s="1460"/>
      <c r="K317" s="1460"/>
      <c r="L317" s="1460"/>
      <c r="M317" s="186"/>
      <c r="N317" s="1461"/>
      <c r="O317" s="1462"/>
    </row>
    <row r="318">
      <c r="A318" s="1442"/>
      <c r="B318" s="1443"/>
      <c r="C318" s="1444"/>
      <c r="D318" s="1450"/>
      <c r="E318" s="1446"/>
      <c r="F318" s="1447"/>
      <c r="G318" s="1448"/>
      <c r="H318" s="1449"/>
      <c r="I318" s="1450"/>
      <c r="J318" s="1451"/>
      <c r="K318" s="1452"/>
      <c r="L318" s="1447"/>
      <c r="M318" s="1453"/>
      <c r="N318" s="1454"/>
      <c r="O318" s="1455"/>
    </row>
    <row r="319">
      <c r="A319" s="1456"/>
      <c r="B319" s="1457"/>
      <c r="C319" s="1458"/>
      <c r="D319" s="1460"/>
      <c r="E319" s="1459"/>
      <c r="F319" s="1460"/>
      <c r="G319" s="1460"/>
      <c r="H319" s="1460"/>
      <c r="I319" s="1460"/>
      <c r="J319" s="1460"/>
      <c r="K319" s="1460"/>
      <c r="L319" s="1460"/>
      <c r="M319" s="186"/>
      <c r="N319" s="1461"/>
      <c r="O319" s="1462"/>
    </row>
    <row r="320">
      <c r="A320" s="1442"/>
      <c r="B320" s="1443"/>
      <c r="C320" s="1444"/>
      <c r="D320" s="1450"/>
      <c r="E320" s="1446"/>
      <c r="F320" s="1447"/>
      <c r="G320" s="1448"/>
      <c r="H320" s="1449"/>
      <c r="I320" s="1450"/>
      <c r="J320" s="1451"/>
      <c r="K320" s="1452"/>
      <c r="L320" s="1447"/>
      <c r="M320" s="1453"/>
      <c r="N320" s="1454"/>
      <c r="O320" s="1455"/>
    </row>
    <row r="321">
      <c r="A321" s="1456"/>
      <c r="B321" s="1457"/>
      <c r="C321" s="1458"/>
      <c r="D321" s="1460"/>
      <c r="E321" s="1459"/>
      <c r="F321" s="1460"/>
      <c r="G321" s="1460"/>
      <c r="H321" s="1460"/>
      <c r="I321" s="1460"/>
      <c r="J321" s="1460"/>
      <c r="K321" s="1460"/>
      <c r="L321" s="1460"/>
      <c r="M321" s="186"/>
      <c r="N321" s="1461"/>
      <c r="O321" s="1462"/>
    </row>
    <row r="322">
      <c r="A322" s="1442"/>
      <c r="B322" s="1443"/>
      <c r="C322" s="1444"/>
      <c r="D322" s="1450"/>
      <c r="E322" s="1446"/>
      <c r="F322" s="1447"/>
      <c r="G322" s="1448"/>
      <c r="H322" s="1449"/>
      <c r="I322" s="1450"/>
      <c r="J322" s="1451"/>
      <c r="K322" s="1452"/>
      <c r="L322" s="1447"/>
      <c r="M322" s="1453"/>
      <c r="N322" s="1454"/>
      <c r="O322" s="1455"/>
    </row>
    <row r="323">
      <c r="A323" s="1456"/>
      <c r="B323" s="1457"/>
      <c r="C323" s="1458"/>
      <c r="D323" s="1460"/>
      <c r="E323" s="1459"/>
      <c r="F323" s="1460"/>
      <c r="G323" s="1460"/>
      <c r="H323" s="1460"/>
      <c r="I323" s="1460"/>
      <c r="J323" s="1460"/>
      <c r="K323" s="1460"/>
      <c r="L323" s="1460"/>
      <c r="M323" s="186"/>
      <c r="N323" s="1461"/>
      <c r="O323" s="1462"/>
    </row>
    <row r="324">
      <c r="A324" s="1442"/>
      <c r="B324" s="1443"/>
      <c r="C324" s="1444"/>
      <c r="D324" s="1450"/>
      <c r="E324" s="1446"/>
      <c r="F324" s="1447"/>
      <c r="G324" s="1448"/>
      <c r="H324" s="1449"/>
      <c r="I324" s="1450"/>
      <c r="J324" s="1451"/>
      <c r="K324" s="1452"/>
      <c r="L324" s="1447"/>
      <c r="M324" s="1453"/>
      <c r="N324" s="1454"/>
      <c r="O324" s="1455"/>
    </row>
    <row r="325">
      <c r="A325" s="1456"/>
      <c r="B325" s="1457"/>
      <c r="C325" s="1458"/>
      <c r="D325" s="1460"/>
      <c r="E325" s="1459"/>
      <c r="F325" s="1460"/>
      <c r="G325" s="1460"/>
      <c r="H325" s="1460"/>
      <c r="I325" s="1460"/>
      <c r="J325" s="1460"/>
      <c r="K325" s="1460"/>
      <c r="L325" s="1460"/>
      <c r="M325" s="186"/>
      <c r="N325" s="1461"/>
      <c r="O325" s="1462"/>
    </row>
    <row r="326">
      <c r="A326" s="1442"/>
      <c r="B326" s="1443"/>
      <c r="C326" s="1444"/>
      <c r="D326" s="1450"/>
      <c r="E326" s="1446"/>
      <c r="F326" s="1447"/>
      <c r="G326" s="1448"/>
      <c r="H326" s="1449"/>
      <c r="I326" s="1450"/>
      <c r="J326" s="1451"/>
      <c r="K326" s="1452"/>
      <c r="L326" s="1447"/>
      <c r="M326" s="1453"/>
      <c r="N326" s="1454"/>
      <c r="O326" s="1455"/>
    </row>
    <row r="327">
      <c r="A327" s="1456"/>
      <c r="B327" s="1457"/>
      <c r="C327" s="1458"/>
      <c r="D327" s="1460"/>
      <c r="E327" s="1459"/>
      <c r="F327" s="1460"/>
      <c r="G327" s="1460"/>
      <c r="H327" s="1460"/>
      <c r="I327" s="1460"/>
      <c r="J327" s="1460"/>
      <c r="K327" s="1460"/>
      <c r="L327" s="1460"/>
      <c r="M327" s="186"/>
      <c r="N327" s="1461"/>
      <c r="O327" s="1462"/>
    </row>
    <row r="328">
      <c r="A328" s="1442"/>
      <c r="B328" s="1443"/>
      <c r="C328" s="1444"/>
      <c r="D328" s="1450"/>
      <c r="E328" s="1446"/>
      <c r="F328" s="1447"/>
      <c r="G328" s="1448"/>
      <c r="H328" s="1449"/>
      <c r="I328" s="1450"/>
      <c r="J328" s="1451"/>
      <c r="K328" s="1452"/>
      <c r="L328" s="1447"/>
      <c r="M328" s="1453"/>
      <c r="N328" s="1454"/>
      <c r="O328" s="1455"/>
    </row>
    <row r="329">
      <c r="A329" s="1456"/>
      <c r="B329" s="1457"/>
      <c r="C329" s="1458"/>
      <c r="D329" s="1460"/>
      <c r="E329" s="1459"/>
      <c r="F329" s="1460"/>
      <c r="G329" s="1460"/>
      <c r="H329" s="1460"/>
      <c r="I329" s="1460"/>
      <c r="J329" s="1460"/>
      <c r="K329" s="1460"/>
      <c r="L329" s="1460"/>
      <c r="M329" s="186"/>
      <c r="N329" s="1461"/>
      <c r="O329" s="1462"/>
    </row>
    <row r="330">
      <c r="A330" s="1442"/>
      <c r="B330" s="1443"/>
      <c r="C330" s="1444"/>
      <c r="D330" s="1450"/>
      <c r="E330" s="1446"/>
      <c r="F330" s="1447"/>
      <c r="G330" s="1448"/>
      <c r="H330" s="1449"/>
      <c r="I330" s="1450"/>
      <c r="J330" s="1451"/>
      <c r="K330" s="1452"/>
      <c r="L330" s="1447"/>
      <c r="M330" s="1453"/>
      <c r="N330" s="1454"/>
      <c r="O330" s="1455"/>
    </row>
    <row r="331">
      <c r="A331" s="1456"/>
      <c r="B331" s="1457"/>
      <c r="C331" s="1458"/>
      <c r="D331" s="1460"/>
      <c r="E331" s="1459"/>
      <c r="F331" s="1460"/>
      <c r="G331" s="1460"/>
      <c r="H331" s="1460"/>
      <c r="I331" s="1460"/>
      <c r="J331" s="1460"/>
      <c r="K331" s="1460"/>
      <c r="L331" s="1460"/>
      <c r="M331" s="186"/>
      <c r="N331" s="1461"/>
      <c r="O331" s="1462"/>
    </row>
    <row r="332">
      <c r="A332" s="1442"/>
      <c r="B332" s="1443"/>
      <c r="C332" s="1444"/>
      <c r="D332" s="1450"/>
      <c r="E332" s="1446"/>
      <c r="F332" s="1447"/>
      <c r="G332" s="1448"/>
      <c r="H332" s="1449"/>
      <c r="I332" s="1450"/>
      <c r="J332" s="1451"/>
      <c r="K332" s="1452"/>
      <c r="L332" s="1447"/>
      <c r="M332" s="1453"/>
      <c r="N332" s="1454"/>
      <c r="O332" s="1455"/>
    </row>
    <row r="333">
      <c r="A333" s="1456"/>
      <c r="B333" s="1457"/>
      <c r="C333" s="1458"/>
      <c r="D333" s="1460"/>
      <c r="E333" s="1459"/>
      <c r="F333" s="1460"/>
      <c r="G333" s="1460"/>
      <c r="H333" s="1460"/>
      <c r="I333" s="1460"/>
      <c r="J333" s="1460"/>
      <c r="K333" s="1460"/>
      <c r="L333" s="1460"/>
      <c r="M333" s="186"/>
      <c r="N333" s="1461"/>
      <c r="O333" s="1462"/>
    </row>
    <row r="334">
      <c r="A334" s="1442"/>
      <c r="B334" s="1443"/>
      <c r="C334" s="1444"/>
      <c r="D334" s="1450"/>
      <c r="E334" s="1446"/>
      <c r="F334" s="1447"/>
      <c r="G334" s="1448"/>
      <c r="H334" s="1449"/>
      <c r="I334" s="1450"/>
      <c r="J334" s="1451"/>
      <c r="K334" s="1452"/>
      <c r="L334" s="1447"/>
      <c r="M334" s="1453"/>
      <c r="N334" s="1454"/>
      <c r="O334" s="1455"/>
    </row>
    <row r="335">
      <c r="A335" s="1456"/>
      <c r="B335" s="1457"/>
      <c r="C335" s="1458"/>
      <c r="D335" s="1460"/>
      <c r="E335" s="1459"/>
      <c r="F335" s="1460"/>
      <c r="G335" s="1460"/>
      <c r="H335" s="1460"/>
      <c r="I335" s="1460"/>
      <c r="J335" s="1460"/>
      <c r="K335" s="1460"/>
      <c r="L335" s="1460"/>
      <c r="M335" s="186"/>
      <c r="N335" s="1461"/>
      <c r="O335" s="1462"/>
    </row>
    <row r="336">
      <c r="A336" s="1442"/>
      <c r="B336" s="1443"/>
      <c r="C336" s="1444"/>
      <c r="D336" s="1450"/>
      <c r="E336" s="1446"/>
      <c r="F336" s="1447"/>
      <c r="G336" s="1448"/>
      <c r="H336" s="1449"/>
      <c r="I336" s="1450"/>
      <c r="J336" s="1451"/>
      <c r="K336" s="1452"/>
      <c r="L336" s="1447"/>
      <c r="M336" s="1453"/>
      <c r="N336" s="1454"/>
      <c r="O336" s="1455"/>
    </row>
    <row r="337">
      <c r="A337" s="1456"/>
      <c r="B337" s="1457"/>
      <c r="C337" s="1458"/>
      <c r="D337" s="1460"/>
      <c r="E337" s="1459"/>
      <c r="F337" s="1460"/>
      <c r="G337" s="1460"/>
      <c r="H337" s="1460"/>
      <c r="I337" s="1460"/>
      <c r="J337" s="1460"/>
      <c r="K337" s="1460"/>
      <c r="L337" s="1460"/>
      <c r="M337" s="186"/>
      <c r="N337" s="1461"/>
      <c r="O337" s="1462"/>
    </row>
    <row r="338">
      <c r="A338" s="1442"/>
      <c r="B338" s="1443"/>
      <c r="C338" s="1444"/>
      <c r="D338" s="1450"/>
      <c r="E338" s="1446"/>
      <c r="F338" s="1447"/>
      <c r="G338" s="1448"/>
      <c r="H338" s="1449"/>
      <c r="I338" s="1450"/>
      <c r="J338" s="1451"/>
      <c r="K338" s="1452"/>
      <c r="L338" s="1447"/>
      <c r="M338" s="1453"/>
      <c r="N338" s="1454"/>
      <c r="O338" s="1455"/>
    </row>
    <row r="339">
      <c r="A339" s="1456"/>
      <c r="B339" s="1457"/>
      <c r="C339" s="1458"/>
      <c r="D339" s="1460"/>
      <c r="E339" s="1459"/>
      <c r="F339" s="1460"/>
      <c r="G339" s="1460"/>
      <c r="H339" s="1460"/>
      <c r="I339" s="1460"/>
      <c r="J339" s="1460"/>
      <c r="K339" s="1460"/>
      <c r="L339" s="1460"/>
      <c r="M339" s="186"/>
      <c r="N339" s="1461"/>
      <c r="O339" s="1462"/>
    </row>
    <row r="340">
      <c r="A340" s="1442"/>
      <c r="B340" s="1443"/>
      <c r="C340" s="1444"/>
      <c r="D340" s="1450"/>
      <c r="E340" s="1446"/>
      <c r="F340" s="1447"/>
      <c r="G340" s="1448"/>
      <c r="H340" s="1449"/>
      <c r="I340" s="1450"/>
      <c r="J340" s="1451"/>
      <c r="K340" s="1452"/>
      <c r="L340" s="1447"/>
      <c r="M340" s="1453"/>
      <c r="N340" s="1454"/>
      <c r="O340" s="1455"/>
    </row>
    <row r="341">
      <c r="A341" s="1456"/>
      <c r="B341" s="1457"/>
      <c r="C341" s="1458"/>
      <c r="D341" s="1460"/>
      <c r="E341" s="1459"/>
      <c r="F341" s="1460"/>
      <c r="G341" s="1460"/>
      <c r="H341" s="1460"/>
      <c r="I341" s="1460"/>
      <c r="J341" s="1460"/>
      <c r="K341" s="1460"/>
      <c r="L341" s="1460"/>
      <c r="M341" s="186"/>
      <c r="N341" s="1461"/>
      <c r="O341" s="1462"/>
    </row>
    <row r="342">
      <c r="A342" s="1442"/>
      <c r="B342" s="1443"/>
      <c r="C342" s="1444"/>
      <c r="D342" s="1450"/>
      <c r="E342" s="1446"/>
      <c r="F342" s="1447"/>
      <c r="G342" s="1448"/>
      <c r="H342" s="1449"/>
      <c r="I342" s="1450"/>
      <c r="J342" s="1451"/>
      <c r="K342" s="1452"/>
      <c r="L342" s="1447"/>
      <c r="M342" s="1453"/>
      <c r="N342" s="1454"/>
      <c r="O342" s="1455"/>
    </row>
    <row r="343">
      <c r="A343" s="1456"/>
      <c r="B343" s="1457"/>
      <c r="C343" s="1458"/>
      <c r="D343" s="1460"/>
      <c r="E343" s="1459"/>
      <c r="F343" s="1460"/>
      <c r="G343" s="1460"/>
      <c r="H343" s="1460"/>
      <c r="I343" s="1460"/>
      <c r="J343" s="1460"/>
      <c r="K343" s="1460"/>
      <c r="L343" s="1460"/>
      <c r="M343" s="186"/>
      <c r="N343" s="1461"/>
      <c r="O343" s="1462"/>
    </row>
    <row r="344">
      <c r="A344" s="1442"/>
      <c r="B344" s="1443"/>
      <c r="C344" s="1444"/>
      <c r="D344" s="1450"/>
      <c r="E344" s="1446"/>
      <c r="F344" s="1447"/>
      <c r="G344" s="1448"/>
      <c r="H344" s="1449"/>
      <c r="I344" s="1450"/>
      <c r="J344" s="1451"/>
      <c r="K344" s="1452"/>
      <c r="L344" s="1447"/>
      <c r="M344" s="1453"/>
      <c r="N344" s="1454"/>
      <c r="O344" s="1455"/>
    </row>
    <row r="345">
      <c r="A345" s="1456"/>
      <c r="B345" s="1457"/>
      <c r="C345" s="1458"/>
      <c r="D345" s="1460"/>
      <c r="E345" s="1459"/>
      <c r="F345" s="1460"/>
      <c r="G345" s="1460"/>
      <c r="H345" s="1460"/>
      <c r="I345" s="1460"/>
      <c r="J345" s="1460"/>
      <c r="K345" s="1460"/>
      <c r="L345" s="1460"/>
      <c r="M345" s="186"/>
      <c r="N345" s="1461"/>
      <c r="O345" s="1462"/>
    </row>
    <row r="346">
      <c r="A346" s="1442"/>
      <c r="B346" s="1443"/>
      <c r="C346" s="1444"/>
      <c r="D346" s="1450"/>
      <c r="E346" s="1446"/>
      <c r="F346" s="1447"/>
      <c r="G346" s="1448"/>
      <c r="H346" s="1449"/>
      <c r="I346" s="1450"/>
      <c r="J346" s="1451"/>
      <c r="K346" s="1452"/>
      <c r="L346" s="1447"/>
      <c r="M346" s="1453"/>
      <c r="N346" s="1454"/>
      <c r="O346" s="1455"/>
    </row>
    <row r="347">
      <c r="A347" s="1456"/>
      <c r="B347" s="1457"/>
      <c r="C347" s="1458"/>
      <c r="D347" s="1460"/>
      <c r="E347" s="1459"/>
      <c r="F347" s="1460"/>
      <c r="G347" s="1460"/>
      <c r="H347" s="1460"/>
      <c r="I347" s="1460"/>
      <c r="J347" s="1460"/>
      <c r="K347" s="1460"/>
      <c r="L347" s="1460"/>
      <c r="M347" s="186"/>
      <c r="N347" s="1461"/>
      <c r="O347" s="1462"/>
    </row>
    <row r="348">
      <c r="A348" s="1442"/>
      <c r="B348" s="1443"/>
      <c r="C348" s="1444"/>
      <c r="D348" s="1450"/>
      <c r="E348" s="1446"/>
      <c r="F348" s="1447"/>
      <c r="G348" s="1448"/>
      <c r="H348" s="1449"/>
      <c r="I348" s="1450"/>
      <c r="J348" s="1451"/>
      <c r="K348" s="1452"/>
      <c r="L348" s="1447"/>
      <c r="M348" s="1453"/>
      <c r="N348" s="1454"/>
      <c r="O348" s="1455"/>
    </row>
    <row r="349">
      <c r="A349" s="1456"/>
      <c r="B349" s="1457"/>
      <c r="C349" s="1458"/>
      <c r="D349" s="1460"/>
      <c r="E349" s="1459"/>
      <c r="F349" s="1460"/>
      <c r="G349" s="1460"/>
      <c r="H349" s="1460"/>
      <c r="I349" s="1460"/>
      <c r="J349" s="1460"/>
      <c r="K349" s="1460"/>
      <c r="L349" s="1460"/>
      <c r="M349" s="186"/>
      <c r="N349" s="1461"/>
      <c r="O349" s="1462"/>
    </row>
    <row r="350">
      <c r="A350" s="1442"/>
      <c r="B350" s="1443"/>
      <c r="C350" s="1444"/>
      <c r="D350" s="1450"/>
      <c r="E350" s="1446"/>
      <c r="F350" s="1447"/>
      <c r="G350" s="1448"/>
      <c r="H350" s="1449"/>
      <c r="I350" s="1450"/>
      <c r="J350" s="1451"/>
      <c r="K350" s="1452"/>
      <c r="L350" s="1447"/>
      <c r="M350" s="1453"/>
      <c r="N350" s="1454"/>
      <c r="O350" s="1455"/>
    </row>
    <row r="351">
      <c r="A351" s="1456"/>
      <c r="B351" s="1457"/>
      <c r="C351" s="1458"/>
      <c r="D351" s="1460"/>
      <c r="E351" s="1459"/>
      <c r="F351" s="1460"/>
      <c r="G351" s="1460"/>
      <c r="H351" s="1460"/>
      <c r="I351" s="1460"/>
      <c r="J351" s="1460"/>
      <c r="K351" s="1460"/>
      <c r="L351" s="1460"/>
      <c r="M351" s="186"/>
      <c r="N351" s="1461"/>
      <c r="O351" s="1462"/>
    </row>
    <row r="352">
      <c r="A352" s="1442"/>
      <c r="B352" s="1443"/>
      <c r="C352" s="1444"/>
      <c r="D352" s="1450"/>
      <c r="E352" s="1446"/>
      <c r="F352" s="1447"/>
      <c r="G352" s="1448"/>
      <c r="H352" s="1449"/>
      <c r="I352" s="1450"/>
      <c r="J352" s="1451"/>
      <c r="K352" s="1452"/>
      <c r="L352" s="1447"/>
      <c r="M352" s="1453"/>
      <c r="N352" s="1454"/>
      <c r="O352" s="1455"/>
    </row>
    <row r="353">
      <c r="A353" s="1456"/>
      <c r="B353" s="1457"/>
      <c r="C353" s="1458"/>
      <c r="D353" s="1460"/>
      <c r="E353" s="1459"/>
      <c r="F353" s="1460"/>
      <c r="G353" s="1460"/>
      <c r="H353" s="1460"/>
      <c r="I353" s="1460"/>
      <c r="J353" s="1460"/>
      <c r="K353" s="1460"/>
      <c r="L353" s="1460"/>
      <c r="M353" s="186"/>
      <c r="N353" s="1461"/>
      <c r="O353" s="1462"/>
    </row>
    <row r="354">
      <c r="A354" s="1442"/>
      <c r="B354" s="1443"/>
      <c r="C354" s="1444"/>
      <c r="D354" s="1450"/>
      <c r="E354" s="1446"/>
      <c r="F354" s="1447"/>
      <c r="G354" s="1448"/>
      <c r="H354" s="1449"/>
      <c r="I354" s="1450"/>
      <c r="J354" s="1451"/>
      <c r="K354" s="1452"/>
      <c r="L354" s="1447"/>
      <c r="M354" s="1453"/>
      <c r="N354" s="1454"/>
      <c r="O354" s="1455"/>
    </row>
    <row r="355">
      <c r="A355" s="1456"/>
      <c r="B355" s="1457"/>
      <c r="C355" s="1458"/>
      <c r="D355" s="1460"/>
      <c r="E355" s="1459"/>
      <c r="F355" s="1460"/>
      <c r="G355" s="1460"/>
      <c r="H355" s="1460"/>
      <c r="I355" s="1460"/>
      <c r="J355" s="1460"/>
      <c r="K355" s="1460"/>
      <c r="L355" s="1460"/>
      <c r="M355" s="186"/>
      <c r="N355" s="1461"/>
      <c r="O355" s="1462"/>
    </row>
    <row r="356">
      <c r="A356" s="1442"/>
      <c r="B356" s="1443"/>
      <c r="C356" s="1444"/>
      <c r="D356" s="1450"/>
      <c r="E356" s="1446"/>
      <c r="F356" s="1447"/>
      <c r="G356" s="1448"/>
      <c r="H356" s="1449"/>
      <c r="I356" s="1450"/>
      <c r="J356" s="1451"/>
      <c r="K356" s="1452"/>
      <c r="L356" s="1447"/>
      <c r="M356" s="1453"/>
      <c r="N356" s="1454"/>
      <c r="O356" s="1455"/>
    </row>
    <row r="357">
      <c r="A357" s="1456"/>
      <c r="B357" s="1457"/>
      <c r="C357" s="1458"/>
      <c r="D357" s="1460"/>
      <c r="E357" s="1459"/>
      <c r="F357" s="1460"/>
      <c r="G357" s="1460"/>
      <c r="H357" s="1460"/>
      <c r="I357" s="1460"/>
      <c r="J357" s="1460"/>
      <c r="K357" s="1460"/>
      <c r="L357" s="1460"/>
      <c r="M357" s="186"/>
      <c r="N357" s="1461"/>
      <c r="O357" s="1462"/>
    </row>
    <row r="358">
      <c r="A358" s="1442"/>
      <c r="B358" s="1443"/>
      <c r="C358" s="1444"/>
      <c r="D358" s="1450"/>
      <c r="E358" s="1446"/>
      <c r="F358" s="1447"/>
      <c r="G358" s="1448"/>
      <c r="H358" s="1449"/>
      <c r="I358" s="1450"/>
      <c r="J358" s="1451"/>
      <c r="K358" s="1452"/>
      <c r="L358" s="1447"/>
      <c r="M358" s="1453"/>
      <c r="N358" s="1454"/>
      <c r="O358" s="1455"/>
    </row>
    <row r="359">
      <c r="A359" s="1456"/>
      <c r="B359" s="1457"/>
      <c r="C359" s="1458"/>
      <c r="D359" s="1460"/>
      <c r="E359" s="1459"/>
      <c r="F359" s="1460"/>
      <c r="G359" s="1460"/>
      <c r="H359" s="1460"/>
      <c r="I359" s="1460"/>
      <c r="J359" s="1460"/>
      <c r="K359" s="1460"/>
      <c r="L359" s="1460"/>
      <c r="M359" s="186"/>
      <c r="N359" s="1461"/>
      <c r="O359" s="1462"/>
    </row>
    <row r="360">
      <c r="A360" s="1442"/>
      <c r="B360" s="1443"/>
      <c r="C360" s="1444"/>
      <c r="D360" s="1450"/>
      <c r="E360" s="1446"/>
      <c r="F360" s="1447"/>
      <c r="G360" s="1448"/>
      <c r="H360" s="1449"/>
      <c r="I360" s="1450"/>
      <c r="J360" s="1451"/>
      <c r="K360" s="1452"/>
      <c r="L360" s="1447"/>
      <c r="M360" s="1453"/>
      <c r="N360" s="1454"/>
      <c r="O360" s="1455"/>
    </row>
    <row r="361">
      <c r="A361" s="1456"/>
      <c r="B361" s="1457"/>
      <c r="C361" s="1458"/>
      <c r="D361" s="1460"/>
      <c r="E361" s="1459"/>
      <c r="F361" s="1460"/>
      <c r="G361" s="1460"/>
      <c r="H361" s="1460"/>
      <c r="I361" s="1460"/>
      <c r="J361" s="1460"/>
      <c r="K361" s="1460"/>
      <c r="L361" s="1460"/>
      <c r="M361" s="186"/>
      <c r="N361" s="1461"/>
      <c r="O361" s="1462"/>
    </row>
    <row r="362">
      <c r="A362" s="1442"/>
      <c r="B362" s="1443"/>
      <c r="C362" s="1444"/>
      <c r="D362" s="1450"/>
      <c r="E362" s="1446"/>
      <c r="F362" s="1447"/>
      <c r="G362" s="1448"/>
      <c r="H362" s="1449"/>
      <c r="I362" s="1450"/>
      <c r="J362" s="1451"/>
      <c r="K362" s="1452"/>
      <c r="L362" s="1447"/>
      <c r="M362" s="1453"/>
      <c r="N362" s="1454"/>
      <c r="O362" s="1455"/>
    </row>
    <row r="363">
      <c r="A363" s="1456"/>
      <c r="B363" s="1457"/>
      <c r="C363" s="1458"/>
      <c r="D363" s="1460"/>
      <c r="E363" s="1459"/>
      <c r="F363" s="1460"/>
      <c r="G363" s="1460"/>
      <c r="H363" s="1460"/>
      <c r="I363" s="1460"/>
      <c r="J363" s="1460"/>
      <c r="K363" s="1460"/>
      <c r="L363" s="1460"/>
      <c r="M363" s="186"/>
      <c r="N363" s="1461"/>
      <c r="O363" s="1462"/>
    </row>
    <row r="364">
      <c r="A364" s="1442"/>
      <c r="B364" s="1443"/>
      <c r="C364" s="1444"/>
      <c r="D364" s="1450"/>
      <c r="E364" s="1446"/>
      <c r="F364" s="1447"/>
      <c r="G364" s="1448"/>
      <c r="H364" s="1449"/>
      <c r="I364" s="1450"/>
      <c r="J364" s="1451"/>
      <c r="K364" s="1452"/>
      <c r="L364" s="1447"/>
      <c r="M364" s="1453"/>
      <c r="N364" s="1454"/>
      <c r="O364" s="1455"/>
    </row>
    <row r="365">
      <c r="A365" s="1456"/>
      <c r="B365" s="1457"/>
      <c r="C365" s="1458"/>
      <c r="D365" s="1460"/>
      <c r="E365" s="1459"/>
      <c r="F365" s="1460"/>
      <c r="G365" s="1460"/>
      <c r="H365" s="1460"/>
      <c r="I365" s="1460"/>
      <c r="J365" s="1460"/>
      <c r="K365" s="1460"/>
      <c r="L365" s="1460"/>
      <c r="M365" s="186"/>
      <c r="N365" s="1461"/>
      <c r="O365" s="1462"/>
    </row>
    <row r="366">
      <c r="A366" s="1442"/>
      <c r="B366" s="1443"/>
      <c r="C366" s="1444"/>
      <c r="D366" s="1450"/>
      <c r="E366" s="1446"/>
      <c r="F366" s="1447"/>
      <c r="G366" s="1448"/>
      <c r="H366" s="1449"/>
      <c r="I366" s="1450"/>
      <c r="J366" s="1451"/>
      <c r="K366" s="1452"/>
      <c r="L366" s="1447"/>
      <c r="M366" s="1453"/>
      <c r="N366" s="1454"/>
      <c r="O366" s="1455"/>
    </row>
    <row r="367">
      <c r="A367" s="1456"/>
      <c r="B367" s="1457"/>
      <c r="C367" s="1458"/>
      <c r="D367" s="1460"/>
      <c r="E367" s="1459"/>
      <c r="F367" s="1460"/>
      <c r="G367" s="1460"/>
      <c r="H367" s="1460"/>
      <c r="I367" s="1460"/>
      <c r="J367" s="1460"/>
      <c r="K367" s="1460"/>
      <c r="L367" s="1460"/>
      <c r="M367" s="186"/>
      <c r="N367" s="1461"/>
      <c r="O367" s="1462"/>
    </row>
    <row r="368">
      <c r="A368" s="1442"/>
      <c r="B368" s="1443"/>
      <c r="C368" s="1444"/>
      <c r="D368" s="1450"/>
      <c r="E368" s="1446"/>
      <c r="F368" s="1447"/>
      <c r="G368" s="1448"/>
      <c r="H368" s="1449"/>
      <c r="I368" s="1450"/>
      <c r="J368" s="1451"/>
      <c r="K368" s="1452"/>
      <c r="L368" s="1447"/>
      <c r="M368" s="1453"/>
      <c r="N368" s="1454"/>
      <c r="O368" s="1455"/>
    </row>
    <row r="369">
      <c r="A369" s="1456"/>
      <c r="B369" s="1457"/>
      <c r="C369" s="1458"/>
      <c r="D369" s="1460"/>
      <c r="E369" s="1459"/>
      <c r="F369" s="1460"/>
      <c r="G369" s="1460"/>
      <c r="H369" s="1460"/>
      <c r="I369" s="1460"/>
      <c r="J369" s="1460"/>
      <c r="K369" s="1460"/>
      <c r="L369" s="1460"/>
      <c r="M369" s="186"/>
      <c r="N369" s="1461"/>
      <c r="O369" s="1462"/>
    </row>
    <row r="370">
      <c r="A370" s="1442"/>
      <c r="B370" s="1443"/>
      <c r="C370" s="1444"/>
      <c r="D370" s="1450"/>
      <c r="E370" s="1446"/>
      <c r="F370" s="1447"/>
      <c r="G370" s="1448"/>
      <c r="H370" s="1449"/>
      <c r="I370" s="1450"/>
      <c r="J370" s="1451"/>
      <c r="K370" s="1452"/>
      <c r="L370" s="1447"/>
      <c r="M370" s="1453"/>
      <c r="N370" s="1454"/>
      <c r="O370" s="1455"/>
    </row>
    <row r="371">
      <c r="A371" s="1456"/>
      <c r="B371" s="1457"/>
      <c r="C371" s="1458"/>
      <c r="D371" s="1460"/>
      <c r="E371" s="1459"/>
      <c r="F371" s="1460"/>
      <c r="G371" s="1460"/>
      <c r="H371" s="1460"/>
      <c r="I371" s="1460"/>
      <c r="J371" s="1460"/>
      <c r="K371" s="1460"/>
      <c r="L371" s="1460"/>
      <c r="M371" s="186"/>
      <c r="N371" s="1461"/>
      <c r="O371" s="1462"/>
    </row>
    <row r="372">
      <c r="A372" s="1442"/>
      <c r="B372" s="1443"/>
      <c r="C372" s="1444"/>
      <c r="D372" s="1450"/>
      <c r="E372" s="1446"/>
      <c r="F372" s="1447"/>
      <c r="G372" s="1448"/>
      <c r="H372" s="1449"/>
      <c r="I372" s="1450"/>
      <c r="J372" s="1451"/>
      <c r="K372" s="1452"/>
      <c r="L372" s="1447"/>
      <c r="M372" s="1453"/>
      <c r="N372" s="1454"/>
      <c r="O372" s="1455"/>
    </row>
    <row r="373">
      <c r="A373" s="1456"/>
      <c r="B373" s="1457"/>
      <c r="C373" s="1458"/>
      <c r="D373" s="1460"/>
      <c r="E373" s="1459"/>
      <c r="F373" s="1460"/>
      <c r="G373" s="1460"/>
      <c r="H373" s="1460"/>
      <c r="I373" s="1460"/>
      <c r="J373" s="1460"/>
      <c r="K373" s="1460"/>
      <c r="L373" s="1460"/>
      <c r="M373" s="186"/>
      <c r="N373" s="1461"/>
      <c r="O373" s="1462"/>
    </row>
    <row r="374">
      <c r="A374" s="1442"/>
      <c r="B374" s="1443"/>
      <c r="C374" s="1444"/>
      <c r="D374" s="1450"/>
      <c r="E374" s="1446"/>
      <c r="F374" s="1447"/>
      <c r="G374" s="1448"/>
      <c r="H374" s="1449"/>
      <c r="I374" s="1450"/>
      <c r="J374" s="1451"/>
      <c r="K374" s="1452"/>
      <c r="L374" s="1447"/>
      <c r="M374" s="1453"/>
      <c r="N374" s="1454"/>
      <c r="O374" s="1455"/>
    </row>
    <row r="375">
      <c r="A375" s="1456"/>
      <c r="B375" s="1457"/>
      <c r="C375" s="1458"/>
      <c r="D375" s="1460"/>
      <c r="E375" s="1459"/>
      <c r="F375" s="1460"/>
      <c r="G375" s="1460"/>
      <c r="H375" s="1460"/>
      <c r="I375" s="1460"/>
      <c r="J375" s="1460"/>
      <c r="K375" s="1460"/>
      <c r="L375" s="1460"/>
      <c r="M375" s="186"/>
      <c r="N375" s="1461"/>
      <c r="O375" s="1462"/>
    </row>
    <row r="376">
      <c r="A376" s="1442"/>
      <c r="B376" s="1443"/>
      <c r="C376" s="1444"/>
      <c r="D376" s="1450"/>
      <c r="E376" s="1446"/>
      <c r="F376" s="1447"/>
      <c r="G376" s="1448"/>
      <c r="H376" s="1449"/>
      <c r="I376" s="1450"/>
      <c r="J376" s="1451"/>
      <c r="K376" s="1452"/>
      <c r="L376" s="1447"/>
      <c r="M376" s="1453"/>
      <c r="N376" s="1454"/>
      <c r="O376" s="1455"/>
    </row>
    <row r="377">
      <c r="A377" s="1456"/>
      <c r="B377" s="1457"/>
      <c r="C377" s="1458"/>
      <c r="D377" s="1460"/>
      <c r="E377" s="1459"/>
      <c r="F377" s="1460"/>
      <c r="G377" s="1460"/>
      <c r="H377" s="1460"/>
      <c r="I377" s="1460"/>
      <c r="J377" s="1460"/>
      <c r="K377" s="1460"/>
      <c r="L377" s="1460"/>
      <c r="M377" s="186"/>
      <c r="N377" s="1461"/>
      <c r="O377" s="1462"/>
    </row>
    <row r="378">
      <c r="A378" s="1442"/>
      <c r="B378" s="1443"/>
      <c r="C378" s="1444"/>
      <c r="D378" s="1450"/>
      <c r="E378" s="1446"/>
      <c r="F378" s="1447"/>
      <c r="G378" s="1448"/>
      <c r="H378" s="1449"/>
      <c r="I378" s="1450"/>
      <c r="J378" s="1451"/>
      <c r="K378" s="1452"/>
      <c r="L378" s="1447"/>
      <c r="M378" s="1453"/>
      <c r="N378" s="1454"/>
      <c r="O378" s="1455"/>
    </row>
    <row r="379">
      <c r="A379" s="1456"/>
      <c r="B379" s="1457"/>
      <c r="C379" s="1458"/>
      <c r="D379" s="1460"/>
      <c r="E379" s="1459"/>
      <c r="F379" s="1460"/>
      <c r="G379" s="1460"/>
      <c r="H379" s="1460"/>
      <c r="I379" s="1460"/>
      <c r="J379" s="1460"/>
      <c r="K379" s="1460"/>
      <c r="L379" s="1460"/>
      <c r="M379" s="186"/>
      <c r="N379" s="1461"/>
      <c r="O379" s="1462"/>
    </row>
    <row r="380">
      <c r="A380" s="1442"/>
      <c r="B380" s="1443"/>
      <c r="C380" s="1444"/>
      <c r="D380" s="1450"/>
      <c r="E380" s="1446"/>
      <c r="F380" s="1447"/>
      <c r="G380" s="1448"/>
      <c r="H380" s="1449"/>
      <c r="I380" s="1450"/>
      <c r="J380" s="1451"/>
      <c r="K380" s="1452"/>
      <c r="L380" s="1447"/>
      <c r="M380" s="1453"/>
      <c r="N380" s="1454"/>
      <c r="O380" s="1455"/>
    </row>
    <row r="381">
      <c r="A381" s="1456"/>
      <c r="B381" s="1457"/>
      <c r="C381" s="1458"/>
      <c r="D381" s="1460"/>
      <c r="E381" s="1459"/>
      <c r="F381" s="1460"/>
      <c r="G381" s="1460"/>
      <c r="H381" s="1460"/>
      <c r="I381" s="1460"/>
      <c r="J381" s="1460"/>
      <c r="K381" s="1460"/>
      <c r="L381" s="1460"/>
      <c r="M381" s="186"/>
      <c r="N381" s="1461"/>
      <c r="O381" s="1462"/>
    </row>
    <row r="382">
      <c r="A382" s="1442"/>
      <c r="B382" s="1443"/>
      <c r="C382" s="1444"/>
      <c r="D382" s="1450"/>
      <c r="E382" s="1446"/>
      <c r="F382" s="1447"/>
      <c r="G382" s="1448"/>
      <c r="H382" s="1449"/>
      <c r="I382" s="1450"/>
      <c r="J382" s="1451"/>
      <c r="K382" s="1452"/>
      <c r="L382" s="1447"/>
      <c r="M382" s="1453"/>
      <c r="N382" s="1454"/>
      <c r="O382" s="1455"/>
    </row>
    <row r="383">
      <c r="A383" s="1456"/>
      <c r="B383" s="1457"/>
      <c r="C383" s="1458"/>
      <c r="D383" s="1460"/>
      <c r="E383" s="1459"/>
      <c r="F383" s="1460"/>
      <c r="G383" s="1460"/>
      <c r="H383" s="1460"/>
      <c r="I383" s="1460"/>
      <c r="J383" s="1460"/>
      <c r="K383" s="1460"/>
      <c r="L383" s="1460"/>
      <c r="M383" s="186"/>
      <c r="N383" s="1461"/>
      <c r="O383" s="1462"/>
    </row>
    <row r="384">
      <c r="A384" s="1442"/>
      <c r="B384" s="1443"/>
      <c r="C384" s="1444"/>
      <c r="D384" s="1450"/>
      <c r="E384" s="1446"/>
      <c r="F384" s="1447"/>
      <c r="G384" s="1448"/>
      <c r="H384" s="1449"/>
      <c r="I384" s="1450"/>
      <c r="J384" s="1451"/>
      <c r="K384" s="1452"/>
      <c r="L384" s="1447"/>
      <c r="M384" s="1453"/>
      <c r="N384" s="1454"/>
      <c r="O384" s="1455"/>
    </row>
    <row r="385">
      <c r="A385" s="1456"/>
      <c r="B385" s="1457"/>
      <c r="C385" s="1458"/>
      <c r="D385" s="1460"/>
      <c r="E385" s="1459"/>
      <c r="F385" s="1460"/>
      <c r="G385" s="1460"/>
      <c r="H385" s="1460"/>
      <c r="I385" s="1460"/>
      <c r="J385" s="1460"/>
      <c r="K385" s="1460"/>
      <c r="L385" s="1460"/>
      <c r="M385" s="186"/>
      <c r="N385" s="1461"/>
      <c r="O385" s="1462"/>
    </row>
    <row r="386">
      <c r="A386" s="1442"/>
      <c r="B386" s="1443"/>
      <c r="C386" s="1444"/>
      <c r="D386" s="1450"/>
      <c r="E386" s="1446"/>
      <c r="F386" s="1447"/>
      <c r="G386" s="1448"/>
      <c r="H386" s="1449"/>
      <c r="I386" s="1450"/>
      <c r="J386" s="1451"/>
      <c r="K386" s="1452"/>
      <c r="L386" s="1447"/>
      <c r="M386" s="1453"/>
      <c r="N386" s="1454"/>
      <c r="O386" s="1455"/>
    </row>
    <row r="387">
      <c r="A387" s="1456"/>
      <c r="B387" s="1457"/>
      <c r="C387" s="1458"/>
      <c r="D387" s="1460"/>
      <c r="E387" s="1459"/>
      <c r="F387" s="1460"/>
      <c r="G387" s="1460"/>
      <c r="H387" s="1460"/>
      <c r="I387" s="1460"/>
      <c r="J387" s="1460"/>
      <c r="K387" s="1460"/>
      <c r="L387" s="1460"/>
      <c r="M387" s="186"/>
      <c r="N387" s="1461"/>
      <c r="O387" s="1462"/>
    </row>
    <row r="388">
      <c r="A388" s="1442"/>
      <c r="B388" s="1443"/>
      <c r="C388" s="1444"/>
      <c r="D388" s="1450"/>
      <c r="E388" s="1446"/>
      <c r="F388" s="1447"/>
      <c r="G388" s="1448"/>
      <c r="H388" s="1449"/>
      <c r="I388" s="1450"/>
      <c r="J388" s="1451"/>
      <c r="K388" s="1452"/>
      <c r="L388" s="1447"/>
      <c r="M388" s="1453"/>
      <c r="N388" s="1454"/>
      <c r="O388" s="1455"/>
    </row>
    <row r="389">
      <c r="A389" s="1456"/>
      <c r="B389" s="1457"/>
      <c r="C389" s="1458"/>
      <c r="D389" s="1460"/>
      <c r="E389" s="1459"/>
      <c r="F389" s="1460"/>
      <c r="G389" s="1460"/>
      <c r="H389" s="1460"/>
      <c r="I389" s="1460"/>
      <c r="J389" s="1460"/>
      <c r="K389" s="1460"/>
      <c r="L389" s="1460"/>
      <c r="M389" s="186"/>
      <c r="N389" s="1461"/>
      <c r="O389" s="1462"/>
    </row>
    <row r="390">
      <c r="A390" s="1442"/>
      <c r="B390" s="1443"/>
      <c r="C390" s="1444"/>
      <c r="D390" s="1450"/>
      <c r="E390" s="1446"/>
      <c r="F390" s="1447"/>
      <c r="G390" s="1448"/>
      <c r="H390" s="1449"/>
      <c r="I390" s="1450"/>
      <c r="J390" s="1451"/>
      <c r="K390" s="1452"/>
      <c r="L390" s="1447"/>
      <c r="M390" s="1453"/>
      <c r="N390" s="1454"/>
      <c r="O390" s="1455"/>
    </row>
    <row r="391">
      <c r="A391" s="1456"/>
      <c r="B391" s="1457"/>
      <c r="C391" s="1458"/>
      <c r="D391" s="1460"/>
      <c r="E391" s="1459"/>
      <c r="F391" s="1460"/>
      <c r="G391" s="1460"/>
      <c r="H391" s="1460"/>
      <c r="I391" s="1460"/>
      <c r="J391" s="1460"/>
      <c r="K391" s="1460"/>
      <c r="L391" s="1460"/>
      <c r="M391" s="186"/>
      <c r="N391" s="1461"/>
      <c r="O391" s="1462"/>
    </row>
    <row r="392">
      <c r="A392" s="1442"/>
      <c r="B392" s="1443"/>
      <c r="C392" s="1444"/>
      <c r="D392" s="1450"/>
      <c r="E392" s="1446"/>
      <c r="F392" s="1447"/>
      <c r="G392" s="1448"/>
      <c r="H392" s="1449"/>
      <c r="I392" s="1450"/>
      <c r="J392" s="1451"/>
      <c r="K392" s="1452"/>
      <c r="L392" s="1447"/>
      <c r="M392" s="1453"/>
      <c r="N392" s="1454"/>
      <c r="O392" s="1455"/>
    </row>
    <row r="393">
      <c r="A393" s="1456"/>
      <c r="B393" s="1457"/>
      <c r="C393" s="1458"/>
      <c r="D393" s="1460"/>
      <c r="E393" s="1459"/>
      <c r="F393" s="1460"/>
      <c r="G393" s="1460"/>
      <c r="H393" s="1460"/>
      <c r="I393" s="1460"/>
      <c r="J393" s="1460"/>
      <c r="K393" s="1460"/>
      <c r="L393" s="1460"/>
      <c r="M393" s="186"/>
      <c r="N393" s="1461"/>
      <c r="O393" s="1462"/>
    </row>
    <row r="394">
      <c r="A394" s="1442"/>
      <c r="B394" s="1443"/>
      <c r="C394" s="1444"/>
      <c r="D394" s="1450"/>
      <c r="E394" s="1446"/>
      <c r="F394" s="1447"/>
      <c r="G394" s="1448"/>
      <c r="H394" s="1449"/>
      <c r="I394" s="1450"/>
      <c r="J394" s="1451"/>
      <c r="K394" s="1452"/>
      <c r="L394" s="1447"/>
      <c r="M394" s="1453"/>
      <c r="N394" s="1454"/>
      <c r="O394" s="1455"/>
    </row>
    <row r="395">
      <c r="A395" s="1456"/>
      <c r="B395" s="1457"/>
      <c r="C395" s="1458"/>
      <c r="D395" s="1460"/>
      <c r="E395" s="1459"/>
      <c r="F395" s="1460"/>
      <c r="G395" s="1460"/>
      <c r="H395" s="1460"/>
      <c r="I395" s="1460"/>
      <c r="J395" s="1460"/>
      <c r="K395" s="1460"/>
      <c r="L395" s="1460"/>
      <c r="M395" s="186"/>
      <c r="N395" s="1461"/>
      <c r="O395" s="1462"/>
    </row>
    <row r="396">
      <c r="A396" s="1442"/>
      <c r="B396" s="1443"/>
      <c r="C396" s="1444"/>
      <c r="D396" s="1450"/>
      <c r="E396" s="1446"/>
      <c r="F396" s="1447"/>
      <c r="G396" s="1448"/>
      <c r="H396" s="1449"/>
      <c r="I396" s="1450"/>
      <c r="J396" s="1451"/>
      <c r="K396" s="1452"/>
      <c r="L396" s="1447"/>
      <c r="M396" s="1453"/>
      <c r="N396" s="1454"/>
      <c r="O396" s="1455"/>
    </row>
    <row r="397">
      <c r="A397" s="1456"/>
      <c r="B397" s="1457"/>
      <c r="C397" s="1458"/>
      <c r="D397" s="1460"/>
      <c r="E397" s="1459"/>
      <c r="F397" s="1460"/>
      <c r="G397" s="1460"/>
      <c r="H397" s="1460"/>
      <c r="I397" s="1460"/>
      <c r="J397" s="1460"/>
      <c r="K397" s="1460"/>
      <c r="L397" s="1460"/>
      <c r="M397" s="186"/>
      <c r="N397" s="1461"/>
      <c r="O397" s="1462"/>
    </row>
    <row r="398">
      <c r="A398" s="1442"/>
      <c r="B398" s="1443"/>
      <c r="C398" s="1444"/>
      <c r="D398" s="1450"/>
      <c r="E398" s="1446"/>
      <c r="F398" s="1447"/>
      <c r="G398" s="1448"/>
      <c r="H398" s="1449"/>
      <c r="I398" s="1450"/>
      <c r="J398" s="1451"/>
      <c r="K398" s="1452"/>
      <c r="L398" s="1447"/>
      <c r="M398" s="1453"/>
      <c r="N398" s="1454"/>
      <c r="O398" s="1455"/>
    </row>
    <row r="399">
      <c r="A399" s="1456"/>
      <c r="B399" s="1457"/>
      <c r="C399" s="1458"/>
      <c r="D399" s="1460"/>
      <c r="E399" s="1459"/>
      <c r="F399" s="1460"/>
      <c r="G399" s="1460"/>
      <c r="H399" s="1460"/>
      <c r="I399" s="1460"/>
      <c r="J399" s="1460"/>
      <c r="K399" s="1460"/>
      <c r="L399" s="1460"/>
      <c r="M399" s="186"/>
      <c r="N399" s="1461"/>
      <c r="O399" s="1462"/>
    </row>
    <row r="400">
      <c r="A400" s="1442"/>
      <c r="B400" s="1443"/>
      <c r="C400" s="1444"/>
      <c r="D400" s="1450"/>
      <c r="E400" s="1446"/>
      <c r="F400" s="1447"/>
      <c r="G400" s="1448"/>
      <c r="H400" s="1449"/>
      <c r="I400" s="1450"/>
      <c r="J400" s="1451"/>
      <c r="K400" s="1452"/>
      <c r="L400" s="1447"/>
      <c r="M400" s="1453"/>
      <c r="N400" s="1454"/>
      <c r="O400" s="1455"/>
    </row>
    <row r="401">
      <c r="A401" s="1456"/>
      <c r="B401" s="1457"/>
      <c r="C401" s="1458"/>
      <c r="D401" s="1460"/>
      <c r="E401" s="1459"/>
      <c r="F401" s="1460"/>
      <c r="G401" s="1460"/>
      <c r="H401" s="1460"/>
      <c r="I401" s="1460"/>
      <c r="J401" s="1460"/>
      <c r="K401" s="1460"/>
      <c r="L401" s="1460"/>
      <c r="M401" s="186"/>
      <c r="N401" s="1461"/>
      <c r="O401" s="1462"/>
    </row>
    <row r="402">
      <c r="A402" s="1442"/>
      <c r="B402" s="1443"/>
      <c r="C402" s="1444"/>
      <c r="D402" s="1450"/>
      <c r="E402" s="1446"/>
      <c r="F402" s="1447"/>
      <c r="G402" s="1448"/>
      <c r="H402" s="1449"/>
      <c r="I402" s="1450"/>
      <c r="J402" s="1451"/>
      <c r="K402" s="1452"/>
      <c r="L402" s="1447"/>
      <c r="M402" s="1453"/>
      <c r="N402" s="1454"/>
      <c r="O402" s="1455"/>
    </row>
    <row r="403">
      <c r="A403" s="1456"/>
      <c r="B403" s="1457"/>
      <c r="C403" s="1458"/>
      <c r="D403" s="1460"/>
      <c r="E403" s="1459"/>
      <c r="F403" s="1460"/>
      <c r="G403" s="1460"/>
      <c r="H403" s="1460"/>
      <c r="I403" s="1460"/>
      <c r="J403" s="1460"/>
      <c r="K403" s="1460"/>
      <c r="L403" s="1460"/>
      <c r="M403" s="186"/>
      <c r="N403" s="1461"/>
      <c r="O403" s="1462"/>
    </row>
    <row r="404">
      <c r="A404" s="1442"/>
      <c r="B404" s="1443"/>
      <c r="C404" s="1444"/>
      <c r="D404" s="1450"/>
      <c r="E404" s="1446"/>
      <c r="F404" s="1447"/>
      <c r="G404" s="1448"/>
      <c r="H404" s="1449"/>
      <c r="I404" s="1450"/>
      <c r="J404" s="1451"/>
      <c r="K404" s="1452"/>
      <c r="L404" s="1447"/>
      <c r="M404" s="1453"/>
      <c r="N404" s="1454"/>
      <c r="O404" s="1455"/>
    </row>
    <row r="405">
      <c r="A405" s="1456"/>
      <c r="B405" s="1457"/>
      <c r="C405" s="1458"/>
      <c r="D405" s="1460"/>
      <c r="E405" s="1459"/>
      <c r="F405" s="1460"/>
      <c r="G405" s="1460"/>
      <c r="H405" s="1460"/>
      <c r="I405" s="1460"/>
      <c r="J405" s="1460"/>
      <c r="K405" s="1460"/>
      <c r="L405" s="1460"/>
      <c r="M405" s="186"/>
      <c r="N405" s="1461"/>
      <c r="O405" s="1462"/>
    </row>
    <row r="406">
      <c r="A406" s="1442"/>
      <c r="B406" s="1443"/>
      <c r="C406" s="1444"/>
      <c r="D406" s="1450"/>
      <c r="E406" s="1446"/>
      <c r="F406" s="1447"/>
      <c r="G406" s="1448"/>
      <c r="H406" s="1449"/>
      <c r="I406" s="1450"/>
      <c r="J406" s="1451"/>
      <c r="K406" s="1452"/>
      <c r="L406" s="1447"/>
      <c r="M406" s="1453"/>
      <c r="N406" s="1454"/>
      <c r="O406" s="1455"/>
    </row>
    <row r="407">
      <c r="A407" s="1456"/>
      <c r="B407" s="1457"/>
      <c r="C407" s="1458"/>
      <c r="D407" s="1460"/>
      <c r="E407" s="1459"/>
      <c r="F407" s="1460"/>
      <c r="G407" s="1460"/>
      <c r="H407" s="1460"/>
      <c r="I407" s="1460"/>
      <c r="J407" s="1460"/>
      <c r="K407" s="1460"/>
      <c r="L407" s="1460"/>
      <c r="M407" s="186"/>
      <c r="N407" s="1461"/>
      <c r="O407" s="1462"/>
    </row>
    <row r="408">
      <c r="A408" s="1442"/>
      <c r="B408" s="1443"/>
      <c r="C408" s="1444"/>
      <c r="D408" s="1450"/>
      <c r="E408" s="1446"/>
      <c r="F408" s="1447"/>
      <c r="G408" s="1448"/>
      <c r="H408" s="1449"/>
      <c r="I408" s="1450"/>
      <c r="J408" s="1451"/>
      <c r="K408" s="1452"/>
      <c r="L408" s="1447"/>
      <c r="M408" s="1453"/>
      <c r="N408" s="1454"/>
      <c r="O408" s="1455"/>
    </row>
    <row r="409">
      <c r="A409" s="1456"/>
      <c r="B409" s="1457"/>
      <c r="C409" s="1458"/>
      <c r="D409" s="1460"/>
      <c r="E409" s="1459"/>
      <c r="F409" s="1460"/>
      <c r="G409" s="1460"/>
      <c r="H409" s="1460"/>
      <c r="I409" s="1460"/>
      <c r="J409" s="1460"/>
      <c r="K409" s="1460"/>
      <c r="L409" s="1460"/>
      <c r="M409" s="186"/>
      <c r="N409" s="1461"/>
      <c r="O409" s="1462"/>
    </row>
    <row r="410">
      <c r="A410" s="1442"/>
      <c r="B410" s="1443"/>
      <c r="C410" s="1444"/>
      <c r="D410" s="1450"/>
      <c r="E410" s="1446"/>
      <c r="F410" s="1447"/>
      <c r="G410" s="1448"/>
      <c r="H410" s="1449"/>
      <c r="I410" s="1450"/>
      <c r="J410" s="1451"/>
      <c r="K410" s="1452"/>
      <c r="L410" s="1447"/>
      <c r="M410" s="1453"/>
      <c r="N410" s="1454"/>
      <c r="O410" s="1455"/>
    </row>
    <row r="411">
      <c r="A411" s="1456"/>
      <c r="B411" s="1457"/>
      <c r="C411" s="1458"/>
      <c r="D411" s="1460"/>
      <c r="E411" s="1459"/>
      <c r="F411" s="1460"/>
      <c r="G411" s="1460"/>
      <c r="H411" s="1460"/>
      <c r="I411" s="1460"/>
      <c r="J411" s="1460"/>
      <c r="K411" s="1460"/>
      <c r="L411" s="1460"/>
      <c r="M411" s="186"/>
      <c r="N411" s="1461"/>
      <c r="O411" s="1462"/>
    </row>
    <row r="412">
      <c r="A412" s="1442"/>
      <c r="B412" s="1443"/>
      <c r="C412" s="1444"/>
      <c r="D412" s="1450"/>
      <c r="E412" s="1446"/>
      <c r="F412" s="1447"/>
      <c r="G412" s="1448"/>
      <c r="H412" s="1449"/>
      <c r="I412" s="1450"/>
      <c r="J412" s="1451"/>
      <c r="K412" s="1452"/>
      <c r="L412" s="1447"/>
      <c r="M412" s="1453"/>
      <c r="N412" s="1454"/>
      <c r="O412" s="1455"/>
    </row>
    <row r="413">
      <c r="A413" s="1456"/>
      <c r="B413" s="1457"/>
      <c r="C413" s="1458"/>
      <c r="D413" s="1460"/>
      <c r="E413" s="1459"/>
      <c r="F413" s="1460"/>
      <c r="G413" s="1460"/>
      <c r="H413" s="1460"/>
      <c r="I413" s="1460"/>
      <c r="J413" s="1460"/>
      <c r="K413" s="1460"/>
      <c r="L413" s="1460"/>
      <c r="M413" s="186"/>
      <c r="N413" s="1461"/>
      <c r="O413" s="1462"/>
    </row>
    <row r="414">
      <c r="A414" s="1442"/>
      <c r="B414" s="1443"/>
      <c r="C414" s="1444"/>
      <c r="D414" s="1450"/>
      <c r="E414" s="1446"/>
      <c r="F414" s="1447"/>
      <c r="G414" s="1448"/>
      <c r="H414" s="1449"/>
      <c r="I414" s="1450"/>
      <c r="J414" s="1451"/>
      <c r="K414" s="1452"/>
      <c r="L414" s="1447"/>
      <c r="M414" s="1453"/>
      <c r="N414" s="1454"/>
      <c r="O414" s="1455"/>
    </row>
    <row r="415">
      <c r="A415" s="1456"/>
      <c r="B415" s="1457"/>
      <c r="C415" s="1458"/>
      <c r="D415" s="1460"/>
      <c r="E415" s="1459"/>
      <c r="F415" s="1460"/>
      <c r="G415" s="1460"/>
      <c r="H415" s="1460"/>
      <c r="I415" s="1460"/>
      <c r="J415" s="1460"/>
      <c r="K415" s="1460"/>
      <c r="L415" s="1460"/>
      <c r="M415" s="186"/>
      <c r="N415" s="1461"/>
      <c r="O415" s="1462"/>
    </row>
    <row r="416">
      <c r="A416" s="1442"/>
      <c r="B416" s="1443"/>
      <c r="C416" s="1444"/>
      <c r="D416" s="1450"/>
      <c r="E416" s="1446"/>
      <c r="F416" s="1447"/>
      <c r="G416" s="1448"/>
      <c r="H416" s="1449"/>
      <c r="I416" s="1450"/>
      <c r="J416" s="1451"/>
      <c r="K416" s="1452"/>
      <c r="L416" s="1447"/>
      <c r="M416" s="1453"/>
      <c r="N416" s="1454"/>
      <c r="O416" s="1455"/>
    </row>
    <row r="417">
      <c r="A417" s="1456"/>
      <c r="B417" s="1457"/>
      <c r="C417" s="1458"/>
      <c r="D417" s="1460"/>
      <c r="E417" s="1459"/>
      <c r="F417" s="1460"/>
      <c r="G417" s="1460"/>
      <c r="H417" s="1460"/>
      <c r="I417" s="1460"/>
      <c r="J417" s="1460"/>
      <c r="K417" s="1460"/>
      <c r="L417" s="1460"/>
      <c r="M417" s="186"/>
      <c r="N417" s="1461"/>
      <c r="O417" s="1462"/>
    </row>
    <row r="418">
      <c r="A418" s="1442"/>
      <c r="B418" s="1443"/>
      <c r="C418" s="1444"/>
      <c r="D418" s="1450"/>
      <c r="E418" s="1446"/>
      <c r="F418" s="1447"/>
      <c r="G418" s="1448"/>
      <c r="H418" s="1449"/>
      <c r="I418" s="1450"/>
      <c r="J418" s="1451"/>
      <c r="K418" s="1452"/>
      <c r="L418" s="1447"/>
      <c r="M418" s="1453"/>
      <c r="N418" s="1454"/>
      <c r="O418" s="1455"/>
    </row>
    <row r="419">
      <c r="A419" s="1456"/>
      <c r="B419" s="1457"/>
      <c r="C419" s="1458"/>
      <c r="D419" s="1460"/>
      <c r="E419" s="1459"/>
      <c r="F419" s="1460"/>
      <c r="G419" s="1460"/>
      <c r="H419" s="1460"/>
      <c r="I419" s="1460"/>
      <c r="J419" s="1460"/>
      <c r="K419" s="1460"/>
      <c r="L419" s="1460"/>
      <c r="M419" s="186"/>
      <c r="N419" s="1461"/>
      <c r="O419" s="1462"/>
    </row>
    <row r="420">
      <c r="A420" s="1442"/>
      <c r="B420" s="1443"/>
      <c r="C420" s="1444"/>
      <c r="D420" s="1450"/>
      <c r="E420" s="1446"/>
      <c r="F420" s="1447"/>
      <c r="G420" s="1448"/>
      <c r="H420" s="1449"/>
      <c r="I420" s="1450"/>
      <c r="J420" s="1451"/>
      <c r="K420" s="1452"/>
      <c r="L420" s="1447"/>
      <c r="M420" s="1453"/>
      <c r="N420" s="1454"/>
      <c r="O420" s="1455"/>
    </row>
    <row r="421">
      <c r="A421" s="1456"/>
      <c r="B421" s="1457"/>
      <c r="C421" s="1458"/>
      <c r="D421" s="1460"/>
      <c r="E421" s="1459"/>
      <c r="F421" s="1460"/>
      <c r="G421" s="1460"/>
      <c r="H421" s="1460"/>
      <c r="I421" s="1460"/>
      <c r="J421" s="1460"/>
      <c r="K421" s="1460"/>
      <c r="L421" s="1460"/>
      <c r="M421" s="186"/>
      <c r="N421" s="1461"/>
      <c r="O421" s="1462"/>
    </row>
    <row r="422">
      <c r="A422" s="1442"/>
      <c r="B422" s="1443"/>
      <c r="C422" s="1444"/>
      <c r="D422" s="1450"/>
      <c r="E422" s="1446"/>
      <c r="F422" s="1447"/>
      <c r="G422" s="1448"/>
      <c r="H422" s="1449"/>
      <c r="I422" s="1450"/>
      <c r="J422" s="1451"/>
      <c r="K422" s="1452"/>
      <c r="L422" s="1447"/>
      <c r="M422" s="1453"/>
      <c r="N422" s="1454"/>
      <c r="O422" s="1455"/>
    </row>
    <row r="423">
      <c r="A423" s="1456"/>
      <c r="B423" s="1457"/>
      <c r="C423" s="1458"/>
      <c r="D423" s="1460"/>
      <c r="E423" s="1459"/>
      <c r="F423" s="1460"/>
      <c r="G423" s="1460"/>
      <c r="H423" s="1460"/>
      <c r="I423" s="1460"/>
      <c r="J423" s="1460"/>
      <c r="K423" s="1460"/>
      <c r="L423" s="1460"/>
      <c r="M423" s="186"/>
      <c r="N423" s="1461"/>
      <c r="O423" s="1462"/>
    </row>
    <row r="424">
      <c r="A424" s="1442"/>
      <c r="B424" s="1443"/>
      <c r="C424" s="1444"/>
      <c r="D424" s="1450"/>
      <c r="E424" s="1446"/>
      <c r="F424" s="1447"/>
      <c r="G424" s="1448"/>
      <c r="H424" s="1449"/>
      <c r="I424" s="1450"/>
      <c r="J424" s="1451"/>
      <c r="K424" s="1452"/>
      <c r="L424" s="1447"/>
      <c r="M424" s="1453"/>
      <c r="N424" s="1454"/>
      <c r="O424" s="1455"/>
    </row>
    <row r="425">
      <c r="A425" s="1456"/>
      <c r="B425" s="1457"/>
      <c r="C425" s="1458"/>
      <c r="D425" s="1460"/>
      <c r="E425" s="1459"/>
      <c r="F425" s="1460"/>
      <c r="G425" s="1460"/>
      <c r="H425" s="1460"/>
      <c r="I425" s="1460"/>
      <c r="J425" s="1460"/>
      <c r="K425" s="1460"/>
      <c r="L425" s="1460"/>
      <c r="M425" s="186"/>
      <c r="N425" s="1461"/>
      <c r="O425" s="1462"/>
    </row>
    <row r="426">
      <c r="A426" s="1442"/>
      <c r="B426" s="1443"/>
      <c r="C426" s="1444"/>
      <c r="D426" s="1450"/>
      <c r="E426" s="1446"/>
      <c r="F426" s="1447"/>
      <c r="G426" s="1448"/>
      <c r="H426" s="1449"/>
      <c r="I426" s="1450"/>
      <c r="J426" s="1451"/>
      <c r="K426" s="1452"/>
      <c r="L426" s="1447"/>
      <c r="M426" s="1453"/>
      <c r="N426" s="1454"/>
      <c r="O426" s="1455"/>
    </row>
    <row r="427">
      <c r="A427" s="1456"/>
      <c r="B427" s="1457"/>
      <c r="C427" s="1458"/>
      <c r="D427" s="1460"/>
      <c r="E427" s="1459"/>
      <c r="F427" s="1460"/>
      <c r="G427" s="1460"/>
      <c r="H427" s="1460"/>
      <c r="I427" s="1460"/>
      <c r="J427" s="1460"/>
      <c r="K427" s="1460"/>
      <c r="L427" s="1460"/>
      <c r="M427" s="186"/>
      <c r="N427" s="1461"/>
      <c r="O427" s="1462"/>
    </row>
    <row r="428">
      <c r="A428" s="1442"/>
      <c r="B428" s="1443"/>
      <c r="C428" s="1444"/>
      <c r="D428" s="1450"/>
      <c r="E428" s="1446"/>
      <c r="F428" s="1447"/>
      <c r="G428" s="1448"/>
      <c r="H428" s="1449"/>
      <c r="I428" s="1450"/>
      <c r="J428" s="1451"/>
      <c r="K428" s="1452"/>
      <c r="L428" s="1447"/>
      <c r="M428" s="1453"/>
      <c r="N428" s="1454"/>
      <c r="O428" s="1455"/>
    </row>
    <row r="429">
      <c r="A429" s="1456"/>
      <c r="B429" s="1457"/>
      <c r="C429" s="1458"/>
      <c r="D429" s="1460"/>
      <c r="E429" s="1459"/>
      <c r="F429" s="1460"/>
      <c r="G429" s="1460"/>
      <c r="H429" s="1460"/>
      <c r="I429" s="1460"/>
      <c r="J429" s="1460"/>
      <c r="K429" s="1460"/>
      <c r="L429" s="1460"/>
      <c r="M429" s="186"/>
      <c r="N429" s="1461"/>
      <c r="O429" s="1462"/>
    </row>
    <row r="430">
      <c r="A430" s="1442"/>
      <c r="B430" s="1443"/>
      <c r="C430" s="1444"/>
      <c r="D430" s="1450"/>
      <c r="E430" s="1446"/>
      <c r="F430" s="1447"/>
      <c r="G430" s="1448"/>
      <c r="H430" s="1449"/>
      <c r="I430" s="1450"/>
      <c r="J430" s="1451"/>
      <c r="K430" s="1452"/>
      <c r="L430" s="1447"/>
      <c r="M430" s="1453"/>
      <c r="N430" s="1454"/>
      <c r="O430" s="1455"/>
    </row>
    <row r="431">
      <c r="A431" s="1456"/>
      <c r="B431" s="1457"/>
      <c r="C431" s="1458"/>
      <c r="D431" s="1460"/>
      <c r="E431" s="1459"/>
      <c r="F431" s="1460"/>
      <c r="G431" s="1460"/>
      <c r="H431" s="1460"/>
      <c r="I431" s="1460"/>
      <c r="J431" s="1460"/>
      <c r="K431" s="1460"/>
      <c r="L431" s="1460"/>
      <c r="M431" s="186"/>
      <c r="N431" s="1461"/>
      <c r="O431" s="1462"/>
    </row>
    <row r="432">
      <c r="A432" s="1442"/>
      <c r="B432" s="1443"/>
      <c r="C432" s="1444"/>
      <c r="D432" s="1450"/>
      <c r="E432" s="1446"/>
      <c r="F432" s="1447"/>
      <c r="G432" s="1448"/>
      <c r="H432" s="1449"/>
      <c r="I432" s="1450"/>
      <c r="J432" s="1451"/>
      <c r="K432" s="1452"/>
      <c r="L432" s="1447"/>
      <c r="M432" s="1453"/>
      <c r="N432" s="1454"/>
      <c r="O432" s="1455"/>
    </row>
    <row r="433">
      <c r="A433" s="1456"/>
      <c r="B433" s="1457"/>
      <c r="C433" s="1458"/>
      <c r="D433" s="1460"/>
      <c r="E433" s="1459"/>
      <c r="F433" s="1460"/>
      <c r="G433" s="1460"/>
      <c r="H433" s="1460"/>
      <c r="I433" s="1460"/>
      <c r="J433" s="1460"/>
      <c r="K433" s="1460"/>
      <c r="L433" s="1460"/>
      <c r="M433" s="186"/>
      <c r="N433" s="1461"/>
      <c r="O433" s="1462"/>
    </row>
    <row r="434">
      <c r="A434" s="1442"/>
      <c r="B434" s="1443"/>
      <c r="C434" s="1444"/>
      <c r="D434" s="1450"/>
      <c r="E434" s="1446"/>
      <c r="F434" s="1447"/>
      <c r="G434" s="1448"/>
      <c r="H434" s="1449"/>
      <c r="I434" s="1450"/>
      <c r="J434" s="1451"/>
      <c r="K434" s="1452"/>
      <c r="L434" s="1447"/>
      <c r="M434" s="1453"/>
      <c r="N434" s="1454"/>
      <c r="O434" s="1455"/>
    </row>
    <row r="435">
      <c r="A435" s="1456"/>
      <c r="B435" s="1457"/>
      <c r="C435" s="1458"/>
      <c r="D435" s="1460"/>
      <c r="E435" s="1459"/>
      <c r="F435" s="1460"/>
      <c r="G435" s="1460"/>
      <c r="H435" s="1460"/>
      <c r="I435" s="1460"/>
      <c r="J435" s="1460"/>
      <c r="K435" s="1460"/>
      <c r="L435" s="1460"/>
      <c r="M435" s="186"/>
      <c r="N435" s="1461"/>
      <c r="O435" s="1462"/>
    </row>
    <row r="436">
      <c r="A436" s="1442"/>
      <c r="B436" s="1443"/>
      <c r="C436" s="1444"/>
      <c r="D436" s="1450"/>
      <c r="E436" s="1446"/>
      <c r="F436" s="1447"/>
      <c r="G436" s="1448"/>
      <c r="H436" s="1449"/>
      <c r="I436" s="1450"/>
      <c r="J436" s="1451"/>
      <c r="K436" s="1452"/>
      <c r="L436" s="1447"/>
      <c r="M436" s="1453"/>
      <c r="N436" s="1454"/>
      <c r="O436" s="1455"/>
    </row>
    <row r="437">
      <c r="A437" s="1456"/>
      <c r="B437" s="1457"/>
      <c r="C437" s="1458"/>
      <c r="D437" s="1460"/>
      <c r="E437" s="1459"/>
      <c r="F437" s="1460"/>
      <c r="G437" s="1460"/>
      <c r="H437" s="1460"/>
      <c r="I437" s="1460"/>
      <c r="J437" s="1460"/>
      <c r="K437" s="1460"/>
      <c r="L437" s="1460"/>
      <c r="M437" s="186"/>
      <c r="N437" s="1461"/>
      <c r="O437" s="1462"/>
    </row>
    <row r="438">
      <c r="A438" s="1442"/>
      <c r="B438" s="1443"/>
      <c r="C438" s="1444"/>
      <c r="D438" s="1450"/>
      <c r="E438" s="1446"/>
      <c r="F438" s="1447"/>
      <c r="G438" s="1448"/>
      <c r="H438" s="1449"/>
      <c r="I438" s="1450"/>
      <c r="J438" s="1451"/>
      <c r="K438" s="1452"/>
      <c r="L438" s="1447"/>
      <c r="M438" s="1453"/>
      <c r="N438" s="1454"/>
      <c r="O438" s="1455"/>
    </row>
    <row r="439">
      <c r="A439" s="1456"/>
      <c r="B439" s="1457"/>
      <c r="C439" s="1458"/>
      <c r="D439" s="1460"/>
      <c r="E439" s="1459"/>
      <c r="F439" s="1460"/>
      <c r="G439" s="1460"/>
      <c r="H439" s="1460"/>
      <c r="I439" s="1460"/>
      <c r="J439" s="1460"/>
      <c r="K439" s="1460"/>
      <c r="L439" s="1460"/>
      <c r="M439" s="186"/>
      <c r="N439" s="1461"/>
      <c r="O439" s="1462"/>
    </row>
    <row r="440">
      <c r="A440" s="1442"/>
      <c r="B440" s="1443"/>
      <c r="C440" s="1444"/>
      <c r="D440" s="1450"/>
      <c r="E440" s="1446"/>
      <c r="F440" s="1447"/>
      <c r="G440" s="1448"/>
      <c r="H440" s="1449"/>
      <c r="I440" s="1450"/>
      <c r="J440" s="1451"/>
      <c r="K440" s="1452"/>
      <c r="L440" s="1447"/>
      <c r="M440" s="1453"/>
      <c r="N440" s="1454"/>
      <c r="O440" s="1455"/>
    </row>
    <row r="441">
      <c r="A441" s="1456"/>
      <c r="B441" s="1457"/>
      <c r="C441" s="1458"/>
      <c r="D441" s="1460"/>
      <c r="E441" s="1459"/>
      <c r="F441" s="1460"/>
      <c r="G441" s="1460"/>
      <c r="H441" s="1460"/>
      <c r="I441" s="1460"/>
      <c r="J441" s="1460"/>
      <c r="K441" s="1460"/>
      <c r="L441" s="1460"/>
      <c r="M441" s="186"/>
      <c r="N441" s="1461"/>
      <c r="O441" s="1462"/>
    </row>
    <row r="442">
      <c r="A442" s="1442"/>
      <c r="B442" s="1443"/>
      <c r="C442" s="1444"/>
      <c r="D442" s="1450"/>
      <c r="E442" s="1446"/>
      <c r="F442" s="1447"/>
      <c r="G442" s="1448"/>
      <c r="H442" s="1449"/>
      <c r="I442" s="1450"/>
      <c r="J442" s="1451"/>
      <c r="K442" s="1452"/>
      <c r="L442" s="1447"/>
      <c r="M442" s="1453"/>
      <c r="N442" s="1454"/>
      <c r="O442" s="1455"/>
    </row>
    <row r="443">
      <c r="A443" s="1456"/>
      <c r="B443" s="1457"/>
      <c r="C443" s="1458"/>
      <c r="D443" s="1460"/>
      <c r="E443" s="1459"/>
      <c r="F443" s="1460"/>
      <c r="G443" s="1460"/>
      <c r="H443" s="1460"/>
      <c r="I443" s="1460"/>
      <c r="J443" s="1460"/>
      <c r="K443" s="1460"/>
      <c r="L443" s="1460"/>
      <c r="M443" s="186"/>
      <c r="N443" s="1461"/>
      <c r="O443" s="1462"/>
    </row>
    <row r="444">
      <c r="A444" s="1442"/>
      <c r="B444" s="1443"/>
      <c r="C444" s="1444"/>
      <c r="D444" s="1450"/>
      <c r="E444" s="1446"/>
      <c r="F444" s="1447"/>
      <c r="G444" s="1448"/>
      <c r="H444" s="1449"/>
      <c r="I444" s="1450"/>
      <c r="J444" s="1451"/>
      <c r="K444" s="1452"/>
      <c r="L444" s="1447"/>
      <c r="M444" s="1453"/>
      <c r="N444" s="1454"/>
      <c r="O444" s="1455"/>
    </row>
    <row r="445">
      <c r="A445" s="1456"/>
      <c r="B445" s="1457"/>
      <c r="C445" s="1458"/>
      <c r="D445" s="1460"/>
      <c r="E445" s="1459"/>
      <c r="F445" s="1460"/>
      <c r="G445" s="1460"/>
      <c r="H445" s="1460"/>
      <c r="I445" s="1460"/>
      <c r="J445" s="1460"/>
      <c r="K445" s="1460"/>
      <c r="L445" s="1460"/>
      <c r="M445" s="186"/>
      <c r="N445" s="1461"/>
      <c r="O445" s="1462"/>
    </row>
    <row r="446">
      <c r="A446" s="1442"/>
      <c r="B446" s="1443"/>
      <c r="C446" s="1444"/>
      <c r="D446" s="1450"/>
      <c r="E446" s="1446"/>
      <c r="F446" s="1447"/>
      <c r="G446" s="1448"/>
      <c r="H446" s="1449"/>
      <c r="I446" s="1450"/>
      <c r="J446" s="1451"/>
      <c r="K446" s="1452"/>
      <c r="L446" s="1447"/>
      <c r="M446" s="1453"/>
      <c r="N446" s="1454"/>
      <c r="O446" s="1455"/>
    </row>
    <row r="447">
      <c r="A447" s="1456"/>
      <c r="B447" s="1457"/>
      <c r="C447" s="1458"/>
      <c r="D447" s="1460"/>
      <c r="E447" s="1459"/>
      <c r="F447" s="1460"/>
      <c r="G447" s="1460"/>
      <c r="H447" s="1460"/>
      <c r="I447" s="1460"/>
      <c r="J447" s="1460"/>
      <c r="K447" s="1460"/>
      <c r="L447" s="1460"/>
      <c r="M447" s="186"/>
      <c r="N447" s="1461"/>
      <c r="O447" s="1462"/>
    </row>
    <row r="448">
      <c r="A448" s="1442"/>
      <c r="B448" s="1443"/>
      <c r="C448" s="1444"/>
      <c r="D448" s="1450"/>
      <c r="E448" s="1446"/>
      <c r="F448" s="1447"/>
      <c r="G448" s="1448"/>
      <c r="H448" s="1449"/>
      <c r="I448" s="1450"/>
      <c r="J448" s="1451"/>
      <c r="K448" s="1452"/>
      <c r="L448" s="1447"/>
      <c r="M448" s="1453"/>
      <c r="N448" s="1454"/>
      <c r="O448" s="1455"/>
    </row>
    <row r="449">
      <c r="A449" s="1456"/>
      <c r="B449" s="1457"/>
      <c r="C449" s="1458"/>
      <c r="D449" s="1460"/>
      <c r="E449" s="1459"/>
      <c r="F449" s="1460"/>
      <c r="G449" s="1460"/>
      <c r="H449" s="1460"/>
      <c r="I449" s="1460"/>
      <c r="J449" s="1460"/>
      <c r="K449" s="1460"/>
      <c r="L449" s="1460"/>
      <c r="M449" s="186"/>
      <c r="N449" s="1461"/>
      <c r="O449" s="1462"/>
    </row>
    <row r="450">
      <c r="A450" s="1442"/>
      <c r="B450" s="1443"/>
      <c r="C450" s="1444"/>
      <c r="D450" s="1450"/>
      <c r="E450" s="1446"/>
      <c r="F450" s="1447"/>
      <c r="G450" s="1448"/>
      <c r="H450" s="1449"/>
      <c r="I450" s="1450"/>
      <c r="J450" s="1451"/>
      <c r="K450" s="1452"/>
      <c r="L450" s="1447"/>
      <c r="M450" s="1453"/>
      <c r="N450" s="1454"/>
      <c r="O450" s="1455"/>
    </row>
    <row r="451">
      <c r="A451" s="1456"/>
      <c r="B451" s="1457"/>
      <c r="C451" s="1458"/>
      <c r="D451" s="1460"/>
      <c r="E451" s="1459"/>
      <c r="F451" s="1460"/>
      <c r="G451" s="1460"/>
      <c r="H451" s="1460"/>
      <c r="I451" s="1460"/>
      <c r="J451" s="1460"/>
      <c r="K451" s="1460"/>
      <c r="L451" s="1460"/>
      <c r="M451" s="186"/>
      <c r="N451" s="1461"/>
      <c r="O451" s="1462"/>
    </row>
    <row r="452">
      <c r="A452" s="1442"/>
      <c r="B452" s="1443"/>
      <c r="C452" s="1444"/>
      <c r="D452" s="1450"/>
      <c r="E452" s="1446"/>
      <c r="F452" s="1447"/>
      <c r="G452" s="1448"/>
      <c r="H452" s="1449"/>
      <c r="I452" s="1450"/>
      <c r="J452" s="1451"/>
      <c r="K452" s="1452"/>
      <c r="L452" s="1447"/>
      <c r="M452" s="1453"/>
      <c r="N452" s="1454"/>
      <c r="O452" s="1455"/>
    </row>
    <row r="453">
      <c r="A453" s="1456"/>
      <c r="B453" s="1457"/>
      <c r="C453" s="1458"/>
      <c r="D453" s="1460"/>
      <c r="E453" s="1459"/>
      <c r="F453" s="1460"/>
      <c r="G453" s="1460"/>
      <c r="H453" s="1460"/>
      <c r="I453" s="1460"/>
      <c r="J453" s="1460"/>
      <c r="K453" s="1460"/>
      <c r="L453" s="1460"/>
      <c r="M453" s="186"/>
      <c r="N453" s="1461"/>
      <c r="O453" s="1462"/>
    </row>
    <row r="454">
      <c r="A454" s="1442"/>
      <c r="B454" s="1443"/>
      <c r="C454" s="1444"/>
      <c r="D454" s="1450"/>
      <c r="E454" s="1446"/>
      <c r="F454" s="1447"/>
      <c r="G454" s="1448"/>
      <c r="H454" s="1449"/>
      <c r="I454" s="1450"/>
      <c r="J454" s="1451"/>
      <c r="K454" s="1452"/>
      <c r="L454" s="1447"/>
      <c r="M454" s="1453"/>
      <c r="N454" s="1454"/>
      <c r="O454" s="1455"/>
    </row>
    <row r="455">
      <c r="A455" s="1456"/>
      <c r="B455" s="1457"/>
      <c r="C455" s="1458"/>
      <c r="D455" s="1460"/>
      <c r="E455" s="1459"/>
      <c r="F455" s="1460"/>
      <c r="G455" s="1460"/>
      <c r="H455" s="1460"/>
      <c r="I455" s="1460"/>
      <c r="J455" s="1460"/>
      <c r="K455" s="1460"/>
      <c r="L455" s="1460"/>
      <c r="M455" s="186"/>
      <c r="N455" s="1461"/>
      <c r="O455" s="1462"/>
    </row>
    <row r="456">
      <c r="A456" s="1442"/>
      <c r="B456" s="1443"/>
      <c r="C456" s="1444"/>
      <c r="D456" s="1450"/>
      <c r="E456" s="1446"/>
      <c r="F456" s="1447"/>
      <c r="G456" s="1448"/>
      <c r="H456" s="1449"/>
      <c r="I456" s="1450"/>
      <c r="J456" s="1451"/>
      <c r="K456" s="1452"/>
      <c r="L456" s="1447"/>
      <c r="M456" s="1453"/>
      <c r="N456" s="1454"/>
      <c r="O456" s="1455"/>
    </row>
    <row r="457">
      <c r="A457" s="1456"/>
      <c r="B457" s="1457"/>
      <c r="C457" s="1458"/>
      <c r="D457" s="1460"/>
      <c r="E457" s="1459"/>
      <c r="F457" s="1460"/>
      <c r="G457" s="1460"/>
      <c r="H457" s="1460"/>
      <c r="I457" s="1460"/>
      <c r="J457" s="1460"/>
      <c r="K457" s="1460"/>
      <c r="L457" s="1460"/>
      <c r="M457" s="186"/>
      <c r="N457" s="1461"/>
      <c r="O457" s="1462"/>
    </row>
    <row r="458">
      <c r="A458" s="1442"/>
      <c r="B458" s="1443"/>
      <c r="C458" s="1444"/>
      <c r="D458" s="1450"/>
      <c r="E458" s="1446"/>
      <c r="F458" s="1447"/>
      <c r="G458" s="1448"/>
      <c r="H458" s="1449"/>
      <c r="I458" s="1450"/>
      <c r="J458" s="1451"/>
      <c r="K458" s="1452"/>
      <c r="L458" s="1447"/>
      <c r="M458" s="1453"/>
      <c r="N458" s="1454"/>
      <c r="O458" s="1455"/>
    </row>
    <row r="459">
      <c r="A459" s="1456"/>
      <c r="B459" s="1457"/>
      <c r="C459" s="1458"/>
      <c r="D459" s="1460"/>
      <c r="E459" s="1459"/>
      <c r="F459" s="1460"/>
      <c r="G459" s="1460"/>
      <c r="H459" s="1460"/>
      <c r="I459" s="1460"/>
      <c r="J459" s="1460"/>
      <c r="K459" s="1460"/>
      <c r="L459" s="1460"/>
      <c r="M459" s="186"/>
      <c r="N459" s="1461"/>
      <c r="O459" s="1462"/>
    </row>
    <row r="460">
      <c r="A460" s="1442"/>
      <c r="B460" s="1443"/>
      <c r="C460" s="1444"/>
      <c r="D460" s="1450"/>
      <c r="E460" s="1446"/>
      <c r="F460" s="1447"/>
      <c r="G460" s="1448"/>
      <c r="H460" s="1449"/>
      <c r="I460" s="1450"/>
      <c r="J460" s="1451"/>
      <c r="K460" s="1452"/>
      <c r="L460" s="1447"/>
      <c r="M460" s="1453"/>
      <c r="N460" s="1454"/>
      <c r="O460" s="1455"/>
    </row>
    <row r="461">
      <c r="A461" s="1456"/>
      <c r="B461" s="1457"/>
      <c r="C461" s="1458"/>
      <c r="D461" s="1460"/>
      <c r="E461" s="1459"/>
      <c r="F461" s="1460"/>
      <c r="G461" s="1460"/>
      <c r="H461" s="1460"/>
      <c r="I461" s="1460"/>
      <c r="J461" s="1460"/>
      <c r="K461" s="1460"/>
      <c r="L461" s="1460"/>
      <c r="M461" s="186"/>
      <c r="N461" s="1461"/>
      <c r="O461" s="1462"/>
    </row>
    <row r="462">
      <c r="A462" s="1442"/>
      <c r="B462" s="1443"/>
      <c r="C462" s="1444"/>
      <c r="D462" s="1450"/>
      <c r="E462" s="1446"/>
      <c r="F462" s="1447"/>
      <c r="G462" s="1448"/>
      <c r="H462" s="1449"/>
      <c r="I462" s="1450"/>
      <c r="J462" s="1451"/>
      <c r="K462" s="1452"/>
      <c r="L462" s="1447"/>
      <c r="M462" s="1453"/>
      <c r="N462" s="1454"/>
      <c r="O462" s="1455"/>
    </row>
    <row r="463">
      <c r="A463" s="1456"/>
      <c r="B463" s="1457"/>
      <c r="C463" s="1458"/>
      <c r="D463" s="1460"/>
      <c r="E463" s="1459"/>
      <c r="F463" s="1460"/>
      <c r="G463" s="1460"/>
      <c r="H463" s="1460"/>
      <c r="I463" s="1460"/>
      <c r="J463" s="1460"/>
      <c r="K463" s="1460"/>
      <c r="L463" s="1460"/>
      <c r="M463" s="186"/>
      <c r="N463" s="1461"/>
      <c r="O463" s="1462"/>
    </row>
    <row r="464">
      <c r="A464" s="1442"/>
      <c r="B464" s="1443"/>
      <c r="C464" s="1444"/>
      <c r="D464" s="1450"/>
      <c r="E464" s="1446"/>
      <c r="F464" s="1447"/>
      <c r="G464" s="1448"/>
      <c r="H464" s="1449"/>
      <c r="I464" s="1450"/>
      <c r="J464" s="1451"/>
      <c r="K464" s="1452"/>
      <c r="L464" s="1447"/>
      <c r="M464" s="1453"/>
      <c r="N464" s="1454"/>
      <c r="O464" s="1455"/>
    </row>
    <row r="465">
      <c r="A465" s="1456"/>
      <c r="B465" s="1457"/>
      <c r="C465" s="1458"/>
      <c r="D465" s="1460"/>
      <c r="E465" s="1459"/>
      <c r="F465" s="1460"/>
      <c r="G465" s="1460"/>
      <c r="H465" s="1460"/>
      <c r="I465" s="1460"/>
      <c r="J465" s="1460"/>
      <c r="K465" s="1460"/>
      <c r="L465" s="1460"/>
      <c r="M465" s="186"/>
      <c r="N465" s="1461"/>
      <c r="O465" s="1462"/>
    </row>
    <row r="466">
      <c r="A466" s="1442"/>
      <c r="B466" s="1443"/>
      <c r="C466" s="1444"/>
      <c r="D466" s="1450"/>
      <c r="E466" s="1446"/>
      <c r="F466" s="1447"/>
      <c r="G466" s="1448"/>
      <c r="H466" s="1449"/>
      <c r="I466" s="1450"/>
      <c r="J466" s="1451"/>
      <c r="K466" s="1452"/>
      <c r="L466" s="1447"/>
      <c r="M466" s="1453"/>
      <c r="N466" s="1454"/>
      <c r="O466" s="1455"/>
    </row>
    <row r="467">
      <c r="A467" s="1456"/>
      <c r="B467" s="1457"/>
      <c r="C467" s="1458"/>
      <c r="D467" s="1460"/>
      <c r="E467" s="1459"/>
      <c r="F467" s="1460"/>
      <c r="G467" s="1460"/>
      <c r="H467" s="1460"/>
      <c r="I467" s="1460"/>
      <c r="J467" s="1460"/>
      <c r="K467" s="1460"/>
      <c r="L467" s="1460"/>
      <c r="M467" s="186"/>
      <c r="N467" s="1461"/>
      <c r="O467" s="1462"/>
    </row>
    <row r="468">
      <c r="A468" s="1442"/>
      <c r="B468" s="1443"/>
      <c r="C468" s="1444"/>
      <c r="D468" s="1450"/>
      <c r="E468" s="1446"/>
      <c r="F468" s="1447"/>
      <c r="G468" s="1448"/>
      <c r="H468" s="1449"/>
      <c r="I468" s="1450"/>
      <c r="J468" s="1451"/>
      <c r="K468" s="1452"/>
      <c r="L468" s="1447"/>
      <c r="M468" s="1453"/>
      <c r="N468" s="1454"/>
      <c r="O468" s="1455"/>
    </row>
    <row r="469">
      <c r="A469" s="1456"/>
      <c r="B469" s="1457"/>
      <c r="C469" s="1458"/>
      <c r="D469" s="1460"/>
      <c r="E469" s="1459"/>
      <c r="F469" s="1460"/>
      <c r="G469" s="1460"/>
      <c r="H469" s="1460"/>
      <c r="I469" s="1460"/>
      <c r="J469" s="1460"/>
      <c r="K469" s="1460"/>
      <c r="L469" s="1460"/>
      <c r="M469" s="186"/>
      <c r="N469" s="1461"/>
      <c r="O469" s="1462"/>
    </row>
    <row r="470">
      <c r="A470" s="1442"/>
      <c r="B470" s="1443"/>
      <c r="C470" s="1444"/>
      <c r="D470" s="1450"/>
      <c r="E470" s="1446"/>
      <c r="F470" s="1447"/>
      <c r="G470" s="1448"/>
      <c r="H470" s="1449"/>
      <c r="I470" s="1450"/>
      <c r="J470" s="1451"/>
      <c r="K470" s="1452"/>
      <c r="L470" s="1447"/>
      <c r="M470" s="1453"/>
      <c r="N470" s="1454"/>
      <c r="O470" s="1455"/>
    </row>
    <row r="471">
      <c r="A471" s="1456"/>
      <c r="B471" s="1457"/>
      <c r="C471" s="1458"/>
      <c r="D471" s="1460"/>
      <c r="E471" s="1459"/>
      <c r="F471" s="1460"/>
      <c r="G471" s="1460"/>
      <c r="H471" s="1460"/>
      <c r="I471" s="1460"/>
      <c r="J471" s="1460"/>
      <c r="K471" s="1460"/>
      <c r="L471" s="1460"/>
      <c r="M471" s="186"/>
      <c r="N471" s="1461"/>
      <c r="O471" s="1462"/>
    </row>
    <row r="472">
      <c r="A472" s="1442"/>
      <c r="B472" s="1443"/>
      <c r="C472" s="1444"/>
      <c r="D472" s="1450"/>
      <c r="E472" s="1446"/>
      <c r="F472" s="1447"/>
      <c r="G472" s="1448"/>
      <c r="H472" s="1449"/>
      <c r="I472" s="1450"/>
      <c r="J472" s="1451"/>
      <c r="K472" s="1452"/>
      <c r="L472" s="1447"/>
      <c r="M472" s="1453"/>
      <c r="N472" s="1454"/>
      <c r="O472" s="1455"/>
    </row>
    <row r="473">
      <c r="A473" s="1456"/>
      <c r="B473" s="1457"/>
      <c r="C473" s="1458"/>
      <c r="D473" s="1460"/>
      <c r="E473" s="1459"/>
      <c r="F473" s="1460"/>
      <c r="G473" s="1460"/>
      <c r="H473" s="1460"/>
      <c r="I473" s="1460"/>
      <c r="J473" s="1460"/>
      <c r="K473" s="1460"/>
      <c r="L473" s="1460"/>
      <c r="M473" s="186"/>
      <c r="N473" s="1461"/>
      <c r="O473" s="1462"/>
    </row>
    <row r="474">
      <c r="A474" s="1442"/>
      <c r="B474" s="1443"/>
      <c r="C474" s="1444"/>
      <c r="D474" s="1450"/>
      <c r="E474" s="1446"/>
      <c r="F474" s="1447"/>
      <c r="G474" s="1448"/>
      <c r="H474" s="1449"/>
      <c r="I474" s="1450"/>
      <c r="J474" s="1451"/>
      <c r="K474" s="1452"/>
      <c r="L474" s="1447"/>
      <c r="M474" s="1453"/>
      <c r="N474" s="1454"/>
      <c r="O474" s="1455"/>
    </row>
    <row r="475">
      <c r="A475" s="1456"/>
      <c r="B475" s="1457"/>
      <c r="C475" s="1458"/>
      <c r="D475" s="1460"/>
      <c r="E475" s="1459"/>
      <c r="F475" s="1460"/>
      <c r="G475" s="1460"/>
      <c r="H475" s="1460"/>
      <c r="I475" s="1460"/>
      <c r="J475" s="1460"/>
      <c r="K475" s="1460"/>
      <c r="L475" s="1460"/>
      <c r="M475" s="186"/>
      <c r="N475" s="1461"/>
      <c r="O475" s="1462"/>
    </row>
    <row r="476">
      <c r="A476" s="1442"/>
      <c r="B476" s="1443"/>
      <c r="C476" s="1444"/>
      <c r="D476" s="1450"/>
      <c r="E476" s="1446"/>
      <c r="F476" s="1447"/>
      <c r="G476" s="1448"/>
      <c r="H476" s="1449"/>
      <c r="I476" s="1450"/>
      <c r="J476" s="1451"/>
      <c r="K476" s="1452"/>
      <c r="L476" s="1447"/>
      <c r="M476" s="1453"/>
      <c r="N476" s="1454"/>
      <c r="O476" s="1455"/>
    </row>
    <row r="477">
      <c r="A477" s="1456"/>
      <c r="B477" s="1457"/>
      <c r="C477" s="1458"/>
      <c r="D477" s="1460"/>
      <c r="E477" s="1459"/>
      <c r="F477" s="1460"/>
      <c r="G477" s="1460"/>
      <c r="H477" s="1460"/>
      <c r="I477" s="1460"/>
      <c r="J477" s="1460"/>
      <c r="K477" s="1460"/>
      <c r="L477" s="1460"/>
      <c r="M477" s="186"/>
      <c r="N477" s="1461"/>
      <c r="O477" s="1462"/>
    </row>
    <row r="478">
      <c r="A478" s="1442"/>
      <c r="B478" s="1443"/>
      <c r="C478" s="1444"/>
      <c r="D478" s="1450"/>
      <c r="E478" s="1446"/>
      <c r="F478" s="1447"/>
      <c r="G478" s="1448"/>
      <c r="H478" s="1449"/>
      <c r="I478" s="1450"/>
      <c r="J478" s="1451"/>
      <c r="K478" s="1452"/>
      <c r="L478" s="1447"/>
      <c r="M478" s="1453"/>
      <c r="N478" s="1454"/>
      <c r="O478" s="1455"/>
    </row>
    <row r="479">
      <c r="A479" s="1456"/>
      <c r="B479" s="1457"/>
      <c r="C479" s="1458"/>
      <c r="D479" s="1460"/>
      <c r="E479" s="1459"/>
      <c r="F479" s="1460"/>
      <c r="G479" s="1460"/>
      <c r="H479" s="1460"/>
      <c r="I479" s="1460"/>
      <c r="J479" s="1460"/>
      <c r="K479" s="1460"/>
      <c r="L479" s="1460"/>
      <c r="M479" s="186"/>
      <c r="N479" s="1461"/>
      <c r="O479" s="1462"/>
    </row>
    <row r="480">
      <c r="A480" s="1442"/>
      <c r="B480" s="1443"/>
      <c r="C480" s="1444"/>
      <c r="D480" s="1450"/>
      <c r="E480" s="1446"/>
      <c r="F480" s="1447"/>
      <c r="G480" s="1448"/>
      <c r="H480" s="1449"/>
      <c r="I480" s="1450"/>
      <c r="J480" s="1451"/>
      <c r="K480" s="1452"/>
      <c r="L480" s="1447"/>
      <c r="M480" s="1453"/>
      <c r="N480" s="1454"/>
      <c r="O480" s="1455"/>
    </row>
    <row r="481">
      <c r="A481" s="1456"/>
      <c r="B481" s="1457"/>
      <c r="C481" s="1458"/>
      <c r="D481" s="1460"/>
      <c r="E481" s="1459"/>
      <c r="F481" s="1460"/>
      <c r="G481" s="1460"/>
      <c r="H481" s="1460"/>
      <c r="I481" s="1460"/>
      <c r="J481" s="1460"/>
      <c r="K481" s="1460"/>
      <c r="L481" s="1460"/>
      <c r="M481" s="186"/>
      <c r="N481" s="1461"/>
      <c r="O481" s="1462"/>
    </row>
    <row r="482">
      <c r="A482" s="1442"/>
      <c r="B482" s="1443"/>
      <c r="C482" s="1444"/>
      <c r="D482" s="1450"/>
      <c r="E482" s="1446"/>
      <c r="F482" s="1447"/>
      <c r="G482" s="1448"/>
      <c r="H482" s="1449"/>
      <c r="I482" s="1450"/>
      <c r="J482" s="1451"/>
      <c r="K482" s="1452"/>
      <c r="L482" s="1447"/>
      <c r="M482" s="1453"/>
      <c r="N482" s="1454"/>
      <c r="O482" s="1455"/>
    </row>
    <row r="483">
      <c r="A483" s="1456"/>
      <c r="B483" s="1457"/>
      <c r="C483" s="1458"/>
      <c r="D483" s="1460"/>
      <c r="E483" s="1459"/>
      <c r="F483" s="1460"/>
      <c r="G483" s="1460"/>
      <c r="H483" s="1460"/>
      <c r="I483" s="1460"/>
      <c r="J483" s="1460"/>
      <c r="K483" s="1460"/>
      <c r="L483" s="1460"/>
      <c r="M483" s="186"/>
      <c r="N483" s="1461"/>
      <c r="O483" s="1462"/>
    </row>
    <row r="484">
      <c r="A484" s="1442"/>
      <c r="B484" s="1443"/>
      <c r="C484" s="1444"/>
      <c r="D484" s="1450"/>
      <c r="E484" s="1446"/>
      <c r="F484" s="1447"/>
      <c r="G484" s="1448"/>
      <c r="H484" s="1449"/>
      <c r="I484" s="1450"/>
      <c r="J484" s="1451"/>
      <c r="K484" s="1452"/>
      <c r="L484" s="1447"/>
      <c r="M484" s="1453"/>
      <c r="N484" s="1454"/>
      <c r="O484" s="1455"/>
    </row>
    <row r="485">
      <c r="A485" s="1456"/>
      <c r="B485" s="1457"/>
      <c r="C485" s="1458"/>
      <c r="D485" s="1460"/>
      <c r="E485" s="1459"/>
      <c r="F485" s="1460"/>
      <c r="G485" s="1460"/>
      <c r="H485" s="1460"/>
      <c r="I485" s="1460"/>
      <c r="J485" s="1460"/>
      <c r="K485" s="1460"/>
      <c r="L485" s="1460"/>
      <c r="M485" s="186"/>
      <c r="N485" s="1461"/>
      <c r="O485" s="1462"/>
    </row>
    <row r="486">
      <c r="A486" s="1442"/>
      <c r="B486" s="1443"/>
      <c r="C486" s="1444"/>
      <c r="D486" s="1450"/>
      <c r="E486" s="1446"/>
      <c r="F486" s="1447"/>
      <c r="G486" s="1448"/>
      <c r="H486" s="1449"/>
      <c r="I486" s="1450"/>
      <c r="J486" s="1451"/>
      <c r="K486" s="1452"/>
      <c r="L486" s="1447"/>
      <c r="M486" s="1453"/>
      <c r="N486" s="1454"/>
      <c r="O486" s="1455"/>
    </row>
    <row r="487">
      <c r="A487" s="1456"/>
      <c r="B487" s="1457"/>
      <c r="C487" s="1458"/>
      <c r="D487" s="1460"/>
      <c r="E487" s="1459"/>
      <c r="F487" s="1460"/>
      <c r="G487" s="1460"/>
      <c r="H487" s="1460"/>
      <c r="I487" s="1460"/>
      <c r="J487" s="1460"/>
      <c r="K487" s="1460"/>
      <c r="L487" s="1460"/>
      <c r="M487" s="186"/>
      <c r="N487" s="1461"/>
      <c r="O487" s="1462"/>
    </row>
    <row r="488">
      <c r="A488" s="1442"/>
      <c r="B488" s="1443"/>
      <c r="C488" s="1444"/>
      <c r="D488" s="1450"/>
      <c r="E488" s="1446"/>
      <c r="F488" s="1447"/>
      <c r="G488" s="1448"/>
      <c r="H488" s="1449"/>
      <c r="I488" s="1450"/>
      <c r="J488" s="1451"/>
      <c r="K488" s="1452"/>
      <c r="L488" s="1447"/>
      <c r="M488" s="1453"/>
      <c r="N488" s="1454"/>
      <c r="O488" s="1455"/>
    </row>
    <row r="489">
      <c r="A489" s="1456"/>
      <c r="B489" s="1457"/>
      <c r="C489" s="1458"/>
      <c r="D489" s="1460"/>
      <c r="E489" s="1459"/>
      <c r="F489" s="1460"/>
      <c r="G489" s="1460"/>
      <c r="H489" s="1460"/>
      <c r="I489" s="1460"/>
      <c r="J489" s="1460"/>
      <c r="K489" s="1460"/>
      <c r="L489" s="1460"/>
      <c r="M489" s="186"/>
      <c r="N489" s="1461"/>
      <c r="O489" s="1462"/>
    </row>
    <row r="490">
      <c r="A490" s="1442"/>
      <c r="B490" s="1443"/>
      <c r="C490" s="1444"/>
      <c r="D490" s="1450"/>
      <c r="E490" s="1446"/>
      <c r="F490" s="1447"/>
      <c r="G490" s="1448"/>
      <c r="H490" s="1449"/>
      <c r="I490" s="1450"/>
      <c r="J490" s="1451"/>
      <c r="K490" s="1452"/>
      <c r="L490" s="1447"/>
      <c r="M490" s="1453"/>
      <c r="N490" s="1454"/>
      <c r="O490" s="1455"/>
    </row>
    <row r="491">
      <c r="A491" s="1456"/>
      <c r="B491" s="1457"/>
      <c r="C491" s="1458"/>
      <c r="D491" s="1460"/>
      <c r="E491" s="1459"/>
      <c r="F491" s="1460"/>
      <c r="G491" s="1460"/>
      <c r="H491" s="1460"/>
      <c r="I491" s="1460"/>
      <c r="J491" s="1460"/>
      <c r="K491" s="1460"/>
      <c r="L491" s="1460"/>
      <c r="M491" s="186"/>
      <c r="N491" s="1461"/>
      <c r="O491" s="1462"/>
    </row>
    <row r="492">
      <c r="A492" s="1442"/>
      <c r="B492" s="1443"/>
      <c r="C492" s="1444"/>
      <c r="D492" s="1450"/>
      <c r="E492" s="1446"/>
      <c r="F492" s="1447"/>
      <c r="G492" s="1448"/>
      <c r="H492" s="1449"/>
      <c r="I492" s="1450"/>
      <c r="J492" s="1451"/>
      <c r="K492" s="1452"/>
      <c r="L492" s="1447"/>
      <c r="M492" s="1453"/>
      <c r="N492" s="1454"/>
      <c r="O492" s="1455"/>
    </row>
    <row r="493">
      <c r="A493" s="1456"/>
      <c r="B493" s="1457"/>
      <c r="C493" s="1458"/>
      <c r="D493" s="1460"/>
      <c r="E493" s="1459"/>
      <c r="F493" s="1460"/>
      <c r="G493" s="1460"/>
      <c r="H493" s="1460"/>
      <c r="I493" s="1460"/>
      <c r="J493" s="1460"/>
      <c r="K493" s="1460"/>
      <c r="L493" s="1460"/>
      <c r="M493" s="186"/>
      <c r="N493" s="1461"/>
      <c r="O493" s="1462"/>
    </row>
    <row r="494">
      <c r="A494" s="1442"/>
      <c r="B494" s="1443"/>
      <c r="C494" s="1444"/>
      <c r="D494" s="1450"/>
      <c r="E494" s="1446"/>
      <c r="F494" s="1447"/>
      <c r="G494" s="1448"/>
      <c r="H494" s="1449"/>
      <c r="I494" s="1450"/>
      <c r="J494" s="1451"/>
      <c r="K494" s="1452"/>
      <c r="L494" s="1447"/>
      <c r="M494" s="1453"/>
      <c r="N494" s="1454"/>
      <c r="O494" s="1455"/>
    </row>
    <row r="495">
      <c r="A495" s="1456"/>
      <c r="B495" s="1457"/>
      <c r="C495" s="1458"/>
      <c r="D495" s="1460"/>
      <c r="E495" s="1459"/>
      <c r="F495" s="1460"/>
      <c r="G495" s="1460"/>
      <c r="H495" s="1460"/>
      <c r="I495" s="1460"/>
      <c r="J495" s="1460"/>
      <c r="K495" s="1460"/>
      <c r="L495" s="1460"/>
      <c r="M495" s="186"/>
      <c r="N495" s="1461"/>
      <c r="O495" s="1462"/>
    </row>
    <row r="496">
      <c r="A496" s="1442"/>
      <c r="B496" s="1443"/>
      <c r="C496" s="1444"/>
      <c r="D496" s="1450"/>
      <c r="E496" s="1446"/>
      <c r="F496" s="1447"/>
      <c r="G496" s="1448"/>
      <c r="H496" s="1449"/>
      <c r="I496" s="1450"/>
      <c r="J496" s="1451"/>
      <c r="K496" s="1452"/>
      <c r="L496" s="1447"/>
      <c r="M496" s="1453"/>
      <c r="N496" s="1454"/>
      <c r="O496" s="1455"/>
    </row>
    <row r="497">
      <c r="A497" s="1456"/>
      <c r="B497" s="1457"/>
      <c r="C497" s="1458"/>
      <c r="D497" s="1460"/>
      <c r="E497" s="1459"/>
      <c r="F497" s="1460"/>
      <c r="G497" s="1460"/>
      <c r="H497" s="1460"/>
      <c r="I497" s="1460"/>
      <c r="J497" s="1460"/>
      <c r="K497" s="1460"/>
      <c r="L497" s="1460"/>
      <c r="M497" s="186"/>
      <c r="N497" s="1461"/>
      <c r="O497" s="1462"/>
    </row>
    <row r="498">
      <c r="A498" s="1442"/>
      <c r="B498" s="1443"/>
      <c r="C498" s="1444"/>
      <c r="D498" s="1450"/>
      <c r="E498" s="1446"/>
      <c r="F498" s="1447"/>
      <c r="G498" s="1448"/>
      <c r="H498" s="1449"/>
      <c r="I498" s="1450"/>
      <c r="J498" s="1451"/>
      <c r="K498" s="1452"/>
      <c r="L498" s="1447"/>
      <c r="M498" s="1453"/>
      <c r="N498" s="1454"/>
      <c r="O498" s="1455"/>
    </row>
    <row r="499">
      <c r="A499" s="1456"/>
      <c r="B499" s="1457"/>
      <c r="C499" s="1458"/>
      <c r="D499" s="1460"/>
      <c r="E499" s="1459"/>
      <c r="F499" s="1460"/>
      <c r="G499" s="1460"/>
      <c r="H499" s="1460"/>
      <c r="I499" s="1460"/>
      <c r="J499" s="1460"/>
      <c r="K499" s="1460"/>
      <c r="L499" s="1460"/>
      <c r="M499" s="186"/>
      <c r="N499" s="1461"/>
      <c r="O499" s="1462"/>
    </row>
    <row r="500">
      <c r="A500" s="1442"/>
      <c r="B500" s="1443"/>
      <c r="C500" s="1444"/>
      <c r="D500" s="1450"/>
      <c r="E500" s="1446"/>
      <c r="F500" s="1447"/>
      <c r="G500" s="1448"/>
      <c r="H500" s="1449"/>
      <c r="I500" s="1450"/>
      <c r="J500" s="1451"/>
      <c r="K500" s="1452"/>
      <c r="L500" s="1447"/>
      <c r="M500" s="1453"/>
      <c r="N500" s="1454"/>
      <c r="O500" s="1455"/>
    </row>
    <row r="501">
      <c r="A501" s="1456"/>
      <c r="B501" s="1457"/>
      <c r="C501" s="1458"/>
      <c r="D501" s="1460"/>
      <c r="E501" s="1459"/>
      <c r="F501" s="1460"/>
      <c r="G501" s="1460"/>
      <c r="H501" s="1460"/>
      <c r="I501" s="1460"/>
      <c r="J501" s="1460"/>
      <c r="K501" s="1460"/>
      <c r="L501" s="1460"/>
      <c r="M501" s="186"/>
      <c r="N501" s="1461"/>
      <c r="O501" s="1462"/>
    </row>
    <row r="502">
      <c r="A502" s="1442"/>
      <c r="B502" s="1443"/>
      <c r="C502" s="1444"/>
      <c r="D502" s="1450"/>
      <c r="E502" s="1446"/>
      <c r="F502" s="1447"/>
      <c r="G502" s="1448"/>
      <c r="H502" s="1449"/>
      <c r="I502" s="1450"/>
      <c r="J502" s="1451"/>
      <c r="K502" s="1452"/>
      <c r="L502" s="1447"/>
      <c r="M502" s="1453"/>
      <c r="N502" s="1454"/>
      <c r="O502" s="1455"/>
    </row>
    <row r="503">
      <c r="A503" s="1456"/>
      <c r="B503" s="1457"/>
      <c r="C503" s="1458"/>
      <c r="D503" s="1460"/>
      <c r="E503" s="1459"/>
      <c r="F503" s="1460"/>
      <c r="G503" s="1460"/>
      <c r="H503" s="1460"/>
      <c r="I503" s="1460"/>
      <c r="J503" s="1460"/>
      <c r="K503" s="1460"/>
      <c r="L503" s="1460"/>
      <c r="M503" s="186"/>
      <c r="N503" s="1461"/>
      <c r="O503" s="1462"/>
    </row>
    <row r="504">
      <c r="A504" s="1442"/>
      <c r="B504" s="1443"/>
      <c r="C504" s="1444"/>
      <c r="D504" s="1450"/>
      <c r="E504" s="1446"/>
      <c r="F504" s="1447"/>
      <c r="G504" s="1448"/>
      <c r="H504" s="1449"/>
      <c r="I504" s="1450"/>
      <c r="J504" s="1451"/>
      <c r="K504" s="1452"/>
      <c r="L504" s="1447"/>
      <c r="M504" s="1453"/>
      <c r="N504" s="1454"/>
      <c r="O504" s="1455"/>
    </row>
    <row r="505">
      <c r="A505" s="1456"/>
      <c r="B505" s="1457"/>
      <c r="C505" s="1458"/>
      <c r="D505" s="1460"/>
      <c r="E505" s="1459"/>
      <c r="F505" s="1460"/>
      <c r="G505" s="1460"/>
      <c r="H505" s="1460"/>
      <c r="I505" s="1460"/>
      <c r="J505" s="1460"/>
      <c r="K505" s="1460"/>
      <c r="L505" s="1460"/>
      <c r="M505" s="186"/>
      <c r="N505" s="1461"/>
      <c r="O505" s="1462"/>
    </row>
    <row r="506">
      <c r="A506" s="1442"/>
      <c r="B506" s="1443"/>
      <c r="C506" s="1444"/>
      <c r="D506" s="1450"/>
      <c r="E506" s="1446"/>
      <c r="F506" s="1447"/>
      <c r="G506" s="1448"/>
      <c r="H506" s="1449"/>
      <c r="I506" s="1450"/>
      <c r="J506" s="1451"/>
      <c r="K506" s="1452"/>
      <c r="L506" s="1447"/>
      <c r="M506" s="1453"/>
      <c r="N506" s="1454"/>
      <c r="O506" s="1455"/>
    </row>
    <row r="507">
      <c r="A507" s="1456"/>
      <c r="B507" s="1457"/>
      <c r="C507" s="1458"/>
      <c r="D507" s="1460"/>
      <c r="E507" s="1459"/>
      <c r="F507" s="1460"/>
      <c r="G507" s="1460"/>
      <c r="H507" s="1460"/>
      <c r="I507" s="1460"/>
      <c r="J507" s="1460"/>
      <c r="K507" s="1460"/>
      <c r="L507" s="1460"/>
      <c r="M507" s="186"/>
      <c r="N507" s="1461"/>
      <c r="O507" s="1462"/>
    </row>
    <row r="508">
      <c r="A508" s="1442"/>
      <c r="B508" s="1443"/>
      <c r="C508" s="1444"/>
      <c r="D508" s="1450"/>
      <c r="E508" s="1446"/>
      <c r="F508" s="1447"/>
      <c r="G508" s="1448"/>
      <c r="H508" s="1449"/>
      <c r="I508" s="1450"/>
      <c r="J508" s="1451"/>
      <c r="K508" s="1452"/>
      <c r="L508" s="1447"/>
      <c r="M508" s="1453"/>
      <c r="N508" s="1454"/>
      <c r="O508" s="1455"/>
    </row>
    <row r="509">
      <c r="A509" s="1456"/>
      <c r="B509" s="1457"/>
      <c r="C509" s="1458"/>
      <c r="D509" s="1460"/>
      <c r="E509" s="1459"/>
      <c r="F509" s="1460"/>
      <c r="G509" s="1460"/>
      <c r="H509" s="1460"/>
      <c r="I509" s="1460"/>
      <c r="J509" s="1460"/>
      <c r="K509" s="1460"/>
      <c r="L509" s="1460"/>
      <c r="M509" s="186"/>
      <c r="N509" s="1461"/>
      <c r="O509" s="1462"/>
    </row>
    <row r="510">
      <c r="A510" s="1442"/>
      <c r="B510" s="1443"/>
      <c r="C510" s="1444"/>
      <c r="D510" s="1450"/>
      <c r="E510" s="1446"/>
      <c r="F510" s="1447"/>
      <c r="G510" s="1448"/>
      <c r="H510" s="1449"/>
      <c r="I510" s="1450"/>
      <c r="J510" s="1451"/>
      <c r="K510" s="1452"/>
      <c r="L510" s="1447"/>
      <c r="M510" s="1453"/>
      <c r="N510" s="1454"/>
      <c r="O510" s="1455"/>
    </row>
    <row r="511">
      <c r="A511" s="1456"/>
      <c r="B511" s="1457"/>
      <c r="C511" s="1458"/>
      <c r="D511" s="1460"/>
      <c r="E511" s="1459"/>
      <c r="F511" s="1460"/>
      <c r="G511" s="1460"/>
      <c r="H511" s="1460"/>
      <c r="I511" s="1460"/>
      <c r="J511" s="1460"/>
      <c r="K511" s="1460"/>
      <c r="L511" s="1460"/>
      <c r="M511" s="186"/>
      <c r="N511" s="1461"/>
      <c r="O511" s="1462"/>
    </row>
    <row r="512">
      <c r="A512" s="1442"/>
      <c r="B512" s="1443"/>
      <c r="C512" s="1444"/>
      <c r="D512" s="1450"/>
      <c r="E512" s="1446"/>
      <c r="F512" s="1447"/>
      <c r="G512" s="1448"/>
      <c r="H512" s="1449"/>
      <c r="I512" s="1450"/>
      <c r="J512" s="1451"/>
      <c r="K512" s="1452"/>
      <c r="L512" s="1447"/>
      <c r="M512" s="1453"/>
      <c r="N512" s="1454"/>
      <c r="O512" s="1455"/>
    </row>
    <row r="513">
      <c r="A513" s="1456"/>
      <c r="B513" s="1457"/>
      <c r="C513" s="1458"/>
      <c r="D513" s="1460"/>
      <c r="E513" s="1459"/>
      <c r="F513" s="1460"/>
      <c r="G513" s="1460"/>
      <c r="H513" s="1460"/>
      <c r="I513" s="1460"/>
      <c r="J513" s="1460"/>
      <c r="K513" s="1460"/>
      <c r="L513" s="1460"/>
      <c r="M513" s="186"/>
      <c r="N513" s="1461"/>
      <c r="O513" s="1462"/>
    </row>
    <row r="514">
      <c r="A514" s="1442"/>
      <c r="B514" s="1443"/>
      <c r="C514" s="1444"/>
      <c r="D514" s="1450"/>
      <c r="E514" s="1446"/>
      <c r="F514" s="1447"/>
      <c r="G514" s="1448"/>
      <c r="H514" s="1449"/>
      <c r="I514" s="1450"/>
      <c r="J514" s="1451"/>
      <c r="K514" s="1452"/>
      <c r="L514" s="1447"/>
      <c r="M514" s="1453"/>
      <c r="N514" s="1454"/>
      <c r="O514" s="1455"/>
    </row>
    <row r="515">
      <c r="A515" s="1456"/>
      <c r="B515" s="1457"/>
      <c r="C515" s="1458"/>
      <c r="D515" s="1460"/>
      <c r="E515" s="1459"/>
      <c r="F515" s="1460"/>
      <c r="G515" s="1460"/>
      <c r="H515" s="1460"/>
      <c r="I515" s="1460"/>
      <c r="J515" s="1460"/>
      <c r="K515" s="1460"/>
      <c r="L515" s="1460"/>
      <c r="M515" s="186"/>
      <c r="N515" s="1461"/>
      <c r="O515" s="1462"/>
    </row>
    <row r="516">
      <c r="A516" s="1442"/>
      <c r="B516" s="1443"/>
      <c r="C516" s="1444"/>
      <c r="D516" s="1450"/>
      <c r="E516" s="1446"/>
      <c r="F516" s="1447"/>
      <c r="G516" s="1448"/>
      <c r="H516" s="1449"/>
      <c r="I516" s="1450"/>
      <c r="J516" s="1451"/>
      <c r="K516" s="1452"/>
      <c r="L516" s="1447"/>
      <c r="M516" s="1453"/>
      <c r="N516" s="1454"/>
      <c r="O516" s="1455"/>
    </row>
    <row r="517">
      <c r="A517" s="1456"/>
      <c r="B517" s="1457"/>
      <c r="C517" s="1458"/>
      <c r="D517" s="1460"/>
      <c r="E517" s="1459"/>
      <c r="F517" s="1460"/>
      <c r="G517" s="1460"/>
      <c r="H517" s="1460"/>
      <c r="I517" s="1460"/>
      <c r="J517" s="1460"/>
      <c r="K517" s="1460"/>
      <c r="L517" s="1460"/>
      <c r="M517" s="186"/>
      <c r="N517" s="1461"/>
      <c r="O517" s="1462"/>
    </row>
    <row r="518">
      <c r="A518" s="1442"/>
      <c r="B518" s="1443"/>
      <c r="C518" s="1444"/>
      <c r="D518" s="1450"/>
      <c r="E518" s="1446"/>
      <c r="F518" s="1447"/>
      <c r="G518" s="1448"/>
      <c r="H518" s="1449"/>
      <c r="I518" s="1450"/>
      <c r="J518" s="1451"/>
      <c r="K518" s="1452"/>
      <c r="L518" s="1447"/>
      <c r="M518" s="1453"/>
      <c r="N518" s="1454"/>
      <c r="O518" s="1455"/>
    </row>
    <row r="519">
      <c r="A519" s="1456"/>
      <c r="B519" s="1457"/>
      <c r="C519" s="1458"/>
      <c r="D519" s="1460"/>
      <c r="E519" s="1459"/>
      <c r="F519" s="1460"/>
      <c r="G519" s="1460"/>
      <c r="H519" s="1460"/>
      <c r="I519" s="1460"/>
      <c r="J519" s="1460"/>
      <c r="K519" s="1460"/>
      <c r="L519" s="1460"/>
      <c r="M519" s="186"/>
      <c r="N519" s="1461"/>
      <c r="O519" s="1462"/>
    </row>
    <row r="520">
      <c r="A520" s="1442"/>
      <c r="B520" s="1443"/>
      <c r="C520" s="1444"/>
      <c r="D520" s="1450"/>
      <c r="E520" s="1446"/>
      <c r="F520" s="1447"/>
      <c r="G520" s="1448"/>
      <c r="H520" s="1449"/>
      <c r="I520" s="1450"/>
      <c r="J520" s="1451"/>
      <c r="K520" s="1452"/>
      <c r="L520" s="1447"/>
      <c r="M520" s="1453"/>
      <c r="N520" s="1454"/>
      <c r="O520" s="1455"/>
    </row>
    <row r="521">
      <c r="A521" s="1456"/>
      <c r="B521" s="1457"/>
      <c r="C521" s="1458"/>
      <c r="D521" s="1460"/>
      <c r="E521" s="1459"/>
      <c r="F521" s="1460"/>
      <c r="G521" s="1460"/>
      <c r="H521" s="1460"/>
      <c r="I521" s="1460"/>
      <c r="J521" s="1460"/>
      <c r="K521" s="1460"/>
      <c r="L521" s="1460"/>
      <c r="M521" s="186"/>
      <c r="N521" s="1461"/>
      <c r="O521" s="1462"/>
    </row>
    <row r="522">
      <c r="A522" s="1442"/>
      <c r="B522" s="1443"/>
      <c r="C522" s="1444"/>
      <c r="D522" s="1450"/>
      <c r="E522" s="1446"/>
      <c r="F522" s="1447"/>
      <c r="G522" s="1448"/>
      <c r="H522" s="1449"/>
      <c r="I522" s="1450"/>
      <c r="J522" s="1451"/>
      <c r="K522" s="1452"/>
      <c r="L522" s="1447"/>
      <c r="M522" s="1453"/>
      <c r="N522" s="1454"/>
      <c r="O522" s="1455"/>
    </row>
    <row r="523">
      <c r="A523" s="1456"/>
      <c r="B523" s="1457"/>
      <c r="C523" s="1458"/>
      <c r="D523" s="1460"/>
      <c r="E523" s="1459"/>
      <c r="F523" s="1460"/>
      <c r="G523" s="1460"/>
      <c r="H523" s="1460"/>
      <c r="I523" s="1460"/>
      <c r="J523" s="1460"/>
      <c r="K523" s="1460"/>
      <c r="L523" s="1460"/>
      <c r="M523" s="186"/>
      <c r="N523" s="1461"/>
      <c r="O523" s="1462"/>
    </row>
    <row r="524">
      <c r="A524" s="1442"/>
      <c r="B524" s="1443"/>
      <c r="C524" s="1444"/>
      <c r="D524" s="1450"/>
      <c r="E524" s="1446"/>
      <c r="F524" s="1447"/>
      <c r="G524" s="1448"/>
      <c r="H524" s="1449"/>
      <c r="I524" s="1450"/>
      <c r="J524" s="1451"/>
      <c r="K524" s="1452"/>
      <c r="L524" s="1447"/>
      <c r="M524" s="1453"/>
      <c r="N524" s="1454"/>
      <c r="O524" s="1455"/>
    </row>
    <row r="525">
      <c r="A525" s="1456"/>
      <c r="B525" s="1457"/>
      <c r="C525" s="1458"/>
      <c r="D525" s="1460"/>
      <c r="E525" s="1459"/>
      <c r="F525" s="1460"/>
      <c r="G525" s="1460"/>
      <c r="H525" s="1460"/>
      <c r="I525" s="1460"/>
      <c r="J525" s="1460"/>
      <c r="K525" s="1460"/>
      <c r="L525" s="1460"/>
      <c r="M525" s="186"/>
      <c r="N525" s="1461"/>
      <c r="O525" s="1462"/>
    </row>
    <row r="526">
      <c r="A526" s="1442"/>
      <c r="B526" s="1443"/>
      <c r="C526" s="1444"/>
      <c r="D526" s="1450"/>
      <c r="E526" s="1446"/>
      <c r="F526" s="1447"/>
      <c r="G526" s="1448"/>
      <c r="H526" s="1449"/>
      <c r="I526" s="1450"/>
      <c r="J526" s="1451"/>
      <c r="K526" s="1452"/>
      <c r="L526" s="1447"/>
      <c r="M526" s="1453"/>
      <c r="N526" s="1454"/>
      <c r="O526" s="1455"/>
    </row>
    <row r="527">
      <c r="A527" s="1456"/>
      <c r="B527" s="1457"/>
      <c r="C527" s="1458"/>
      <c r="D527" s="1460"/>
      <c r="E527" s="1459"/>
      <c r="F527" s="1460"/>
      <c r="G527" s="1460"/>
      <c r="H527" s="1460"/>
      <c r="I527" s="1460"/>
      <c r="J527" s="1460"/>
      <c r="K527" s="1460"/>
      <c r="L527" s="1460"/>
      <c r="M527" s="186"/>
      <c r="N527" s="1461"/>
      <c r="O527" s="1462"/>
    </row>
    <row r="528">
      <c r="A528" s="1442"/>
      <c r="B528" s="1443"/>
      <c r="C528" s="1444"/>
      <c r="D528" s="1450"/>
      <c r="E528" s="1446"/>
      <c r="F528" s="1447"/>
      <c r="G528" s="1448"/>
      <c r="H528" s="1449"/>
      <c r="I528" s="1450"/>
      <c r="J528" s="1451"/>
      <c r="K528" s="1452"/>
      <c r="L528" s="1447"/>
      <c r="M528" s="1453"/>
      <c r="N528" s="1454"/>
      <c r="O528" s="1455"/>
    </row>
    <row r="529">
      <c r="A529" s="1456"/>
      <c r="B529" s="1457"/>
      <c r="C529" s="1458"/>
      <c r="D529" s="1460"/>
      <c r="E529" s="1459"/>
      <c r="F529" s="1460"/>
      <c r="G529" s="1460"/>
      <c r="H529" s="1460"/>
      <c r="I529" s="1460"/>
      <c r="J529" s="1460"/>
      <c r="K529" s="1460"/>
      <c r="L529" s="1460"/>
      <c r="M529" s="186"/>
      <c r="N529" s="1461"/>
      <c r="O529" s="1462"/>
    </row>
    <row r="530">
      <c r="A530" s="1442"/>
      <c r="B530" s="1443"/>
      <c r="C530" s="1444"/>
      <c r="D530" s="1450"/>
      <c r="E530" s="1446"/>
      <c r="F530" s="1447"/>
      <c r="G530" s="1448"/>
      <c r="H530" s="1449"/>
      <c r="I530" s="1450"/>
      <c r="J530" s="1451"/>
      <c r="K530" s="1452"/>
      <c r="L530" s="1447"/>
      <c r="M530" s="1453"/>
      <c r="N530" s="1454"/>
      <c r="O530" s="1455"/>
    </row>
    <row r="531">
      <c r="A531" s="1456"/>
      <c r="B531" s="1457"/>
      <c r="C531" s="1458"/>
      <c r="D531" s="1460"/>
      <c r="E531" s="1459"/>
      <c r="F531" s="1460"/>
      <c r="G531" s="1460"/>
      <c r="H531" s="1460"/>
      <c r="I531" s="1460"/>
      <c r="J531" s="1460"/>
      <c r="K531" s="1460"/>
      <c r="L531" s="1460"/>
      <c r="M531" s="186"/>
      <c r="N531" s="1461"/>
      <c r="O531" s="1462"/>
    </row>
    <row r="532">
      <c r="A532" s="1442"/>
      <c r="B532" s="1443"/>
      <c r="C532" s="1444"/>
      <c r="D532" s="1450"/>
      <c r="E532" s="1446"/>
      <c r="F532" s="1447"/>
      <c r="G532" s="1448"/>
      <c r="H532" s="1449"/>
      <c r="I532" s="1450"/>
      <c r="J532" s="1451"/>
      <c r="K532" s="1452"/>
      <c r="L532" s="1447"/>
      <c r="M532" s="1453"/>
      <c r="N532" s="1454"/>
      <c r="O532" s="1455"/>
    </row>
    <row r="533">
      <c r="A533" s="1456"/>
      <c r="B533" s="1457"/>
      <c r="C533" s="1458"/>
      <c r="D533" s="1460"/>
      <c r="E533" s="1459"/>
      <c r="F533" s="1460"/>
      <c r="G533" s="1460"/>
      <c r="H533" s="1460"/>
      <c r="I533" s="1460"/>
      <c r="J533" s="1460"/>
      <c r="K533" s="1460"/>
      <c r="L533" s="1460"/>
      <c r="M533" s="186"/>
      <c r="N533" s="1461"/>
      <c r="O533" s="1462"/>
    </row>
    <row r="534">
      <c r="A534" s="1442"/>
      <c r="B534" s="1443"/>
      <c r="C534" s="1444"/>
      <c r="D534" s="1450"/>
      <c r="E534" s="1446"/>
      <c r="F534" s="1447"/>
      <c r="G534" s="1448"/>
      <c r="H534" s="1449"/>
      <c r="I534" s="1450"/>
      <c r="J534" s="1451"/>
      <c r="K534" s="1452"/>
      <c r="L534" s="1447"/>
      <c r="M534" s="1453"/>
      <c r="N534" s="1454"/>
      <c r="O534" s="1455"/>
    </row>
    <row r="535">
      <c r="A535" s="1456"/>
      <c r="B535" s="1457"/>
      <c r="C535" s="1458"/>
      <c r="D535" s="1460"/>
      <c r="E535" s="1459"/>
      <c r="F535" s="1460"/>
      <c r="G535" s="1460"/>
      <c r="H535" s="1460"/>
      <c r="I535" s="1460"/>
      <c r="J535" s="1460"/>
      <c r="K535" s="1460"/>
      <c r="L535" s="1460"/>
      <c r="M535" s="186"/>
      <c r="N535" s="1461"/>
      <c r="O535" s="1462"/>
    </row>
    <row r="536">
      <c r="A536" s="1442"/>
      <c r="B536" s="1443"/>
      <c r="C536" s="1444"/>
      <c r="D536" s="1450"/>
      <c r="E536" s="1446"/>
      <c r="F536" s="1447"/>
      <c r="G536" s="1448"/>
      <c r="H536" s="1449"/>
      <c r="I536" s="1450"/>
      <c r="J536" s="1451"/>
      <c r="K536" s="1452"/>
      <c r="L536" s="1447"/>
      <c r="M536" s="1453"/>
      <c r="N536" s="1454"/>
      <c r="O536" s="1455"/>
    </row>
    <row r="537">
      <c r="A537" s="1456"/>
      <c r="B537" s="1457"/>
      <c r="C537" s="1458"/>
      <c r="D537" s="1460"/>
      <c r="E537" s="1459"/>
      <c r="F537" s="1460"/>
      <c r="G537" s="1460"/>
      <c r="H537" s="1460"/>
      <c r="I537" s="1460"/>
      <c r="J537" s="1460"/>
      <c r="K537" s="1460"/>
      <c r="L537" s="1460"/>
      <c r="M537" s="186"/>
      <c r="N537" s="1461"/>
      <c r="O537" s="1462"/>
    </row>
    <row r="538">
      <c r="A538" s="1442"/>
      <c r="B538" s="1443"/>
      <c r="C538" s="1444"/>
      <c r="D538" s="1450"/>
      <c r="E538" s="1446"/>
      <c r="F538" s="1447"/>
      <c r="G538" s="1448"/>
      <c r="H538" s="1449"/>
      <c r="I538" s="1450"/>
      <c r="J538" s="1451"/>
      <c r="K538" s="1452"/>
      <c r="L538" s="1447"/>
      <c r="M538" s="1453"/>
      <c r="N538" s="1454"/>
      <c r="O538" s="1455"/>
    </row>
    <row r="539">
      <c r="A539" s="1456"/>
      <c r="B539" s="1457"/>
      <c r="C539" s="1458"/>
      <c r="D539" s="1460"/>
      <c r="E539" s="1459"/>
      <c r="F539" s="1460"/>
      <c r="G539" s="1460"/>
      <c r="H539" s="1460"/>
      <c r="I539" s="1460"/>
      <c r="J539" s="1460"/>
      <c r="K539" s="1460"/>
      <c r="L539" s="1460"/>
      <c r="M539" s="186"/>
      <c r="N539" s="1461"/>
      <c r="O539" s="1462"/>
    </row>
    <row r="540">
      <c r="A540" s="1442"/>
      <c r="B540" s="1443"/>
      <c r="C540" s="1444"/>
      <c r="D540" s="1450"/>
      <c r="E540" s="1446"/>
      <c r="F540" s="1447"/>
      <c r="G540" s="1448"/>
      <c r="H540" s="1449"/>
      <c r="I540" s="1450"/>
      <c r="J540" s="1451"/>
      <c r="K540" s="1452"/>
      <c r="L540" s="1447"/>
      <c r="M540" s="1453"/>
      <c r="N540" s="1454"/>
      <c r="O540" s="1455"/>
    </row>
    <row r="541">
      <c r="A541" s="1456"/>
      <c r="B541" s="1457"/>
      <c r="C541" s="1458"/>
      <c r="D541" s="1460"/>
      <c r="E541" s="1459"/>
      <c r="F541" s="1460"/>
      <c r="G541" s="1460"/>
      <c r="H541" s="1460"/>
      <c r="I541" s="1460"/>
      <c r="J541" s="1460"/>
      <c r="K541" s="1460"/>
      <c r="L541" s="1460"/>
      <c r="M541" s="186"/>
      <c r="N541" s="1461"/>
      <c r="O541" s="1462"/>
    </row>
    <row r="542">
      <c r="A542" s="1442"/>
      <c r="B542" s="1443"/>
      <c r="C542" s="1444"/>
      <c r="D542" s="1450"/>
      <c r="E542" s="1446"/>
      <c r="F542" s="1447"/>
      <c r="G542" s="1448"/>
      <c r="H542" s="1449"/>
      <c r="I542" s="1450"/>
      <c r="J542" s="1451"/>
      <c r="K542" s="1452"/>
      <c r="L542" s="1447"/>
      <c r="M542" s="1453"/>
      <c r="N542" s="1454"/>
      <c r="O542" s="1455"/>
    </row>
    <row r="543">
      <c r="A543" s="1456"/>
      <c r="B543" s="1457"/>
      <c r="C543" s="1458"/>
      <c r="D543" s="1460"/>
      <c r="E543" s="1459"/>
      <c r="F543" s="1460"/>
      <c r="G543" s="1460"/>
      <c r="H543" s="1460"/>
      <c r="I543" s="1460"/>
      <c r="J543" s="1460"/>
      <c r="K543" s="1460"/>
      <c r="L543" s="1460"/>
      <c r="M543" s="186"/>
      <c r="N543" s="1461"/>
      <c r="O543" s="1462"/>
    </row>
    <row r="544">
      <c r="A544" s="1442"/>
      <c r="B544" s="1443"/>
      <c r="C544" s="1444"/>
      <c r="D544" s="1450"/>
      <c r="E544" s="1446"/>
      <c r="F544" s="1447"/>
      <c r="G544" s="1448"/>
      <c r="H544" s="1449"/>
      <c r="I544" s="1450"/>
      <c r="J544" s="1451"/>
      <c r="K544" s="1452"/>
      <c r="L544" s="1447"/>
      <c r="M544" s="1453"/>
      <c r="N544" s="1454"/>
      <c r="O544" s="1455"/>
    </row>
    <row r="545">
      <c r="A545" s="1456"/>
      <c r="B545" s="1457"/>
      <c r="C545" s="1458"/>
      <c r="D545" s="1460"/>
      <c r="E545" s="1459"/>
      <c r="F545" s="1460"/>
      <c r="G545" s="1460"/>
      <c r="H545" s="1460"/>
      <c r="I545" s="1460"/>
      <c r="J545" s="1460"/>
      <c r="K545" s="1460"/>
      <c r="L545" s="1460"/>
      <c r="M545" s="186"/>
      <c r="N545" s="1461"/>
      <c r="O545" s="1462"/>
    </row>
    <row r="546">
      <c r="A546" s="1442"/>
      <c r="B546" s="1443"/>
      <c r="C546" s="1444"/>
      <c r="D546" s="1450"/>
      <c r="E546" s="1446"/>
      <c r="F546" s="1447"/>
      <c r="G546" s="1448"/>
      <c r="H546" s="1449"/>
      <c r="I546" s="1450"/>
      <c r="J546" s="1451"/>
      <c r="K546" s="1452"/>
      <c r="L546" s="1447"/>
      <c r="M546" s="1453"/>
      <c r="N546" s="1454"/>
      <c r="O546" s="1455"/>
    </row>
    <row r="547">
      <c r="A547" s="1456"/>
      <c r="B547" s="1457"/>
      <c r="C547" s="1458"/>
      <c r="D547" s="1460"/>
      <c r="E547" s="1459"/>
      <c r="F547" s="1460"/>
      <c r="G547" s="1460"/>
      <c r="H547" s="1460"/>
      <c r="I547" s="1460"/>
      <c r="J547" s="1460"/>
      <c r="K547" s="1460"/>
      <c r="L547" s="1460"/>
      <c r="M547" s="186"/>
      <c r="N547" s="1461"/>
      <c r="O547" s="1462"/>
    </row>
    <row r="548">
      <c r="A548" s="1442"/>
      <c r="B548" s="1443"/>
      <c r="C548" s="1444"/>
      <c r="D548" s="1450"/>
      <c r="E548" s="1446"/>
      <c r="F548" s="1447"/>
      <c r="G548" s="1448"/>
      <c r="H548" s="1449"/>
      <c r="I548" s="1450"/>
      <c r="J548" s="1451"/>
      <c r="K548" s="1452"/>
      <c r="L548" s="1447"/>
      <c r="M548" s="1453"/>
      <c r="N548" s="1454"/>
      <c r="O548" s="1455"/>
    </row>
    <row r="549">
      <c r="A549" s="1456"/>
      <c r="B549" s="1457"/>
      <c r="C549" s="1458"/>
      <c r="D549" s="1460"/>
      <c r="E549" s="1459"/>
      <c r="F549" s="1460"/>
      <c r="G549" s="1460"/>
      <c r="H549" s="1460"/>
      <c r="I549" s="1460"/>
      <c r="J549" s="1460"/>
      <c r="K549" s="1460"/>
      <c r="L549" s="1460"/>
      <c r="M549" s="186"/>
      <c r="N549" s="1461"/>
      <c r="O549" s="1462"/>
    </row>
    <row r="550">
      <c r="A550" s="1442"/>
      <c r="B550" s="1443"/>
      <c r="C550" s="1444"/>
      <c r="D550" s="1450"/>
      <c r="E550" s="1446"/>
      <c r="F550" s="1447"/>
      <c r="G550" s="1448"/>
      <c r="H550" s="1449"/>
      <c r="I550" s="1450"/>
      <c r="J550" s="1451"/>
      <c r="K550" s="1452"/>
      <c r="L550" s="1447"/>
      <c r="M550" s="1453"/>
      <c r="N550" s="1454"/>
      <c r="O550" s="1455"/>
    </row>
    <row r="551">
      <c r="A551" s="1456"/>
      <c r="B551" s="1457"/>
      <c r="C551" s="1458"/>
      <c r="D551" s="1460"/>
      <c r="E551" s="1459"/>
      <c r="F551" s="1460"/>
      <c r="G551" s="1460"/>
      <c r="H551" s="1460"/>
      <c r="I551" s="1460"/>
      <c r="J551" s="1460"/>
      <c r="K551" s="1460"/>
      <c r="L551" s="1460"/>
      <c r="M551" s="186"/>
      <c r="N551" s="1461"/>
      <c r="O551" s="1462"/>
    </row>
    <row r="552">
      <c r="A552" s="1442"/>
      <c r="B552" s="1443"/>
      <c r="C552" s="1444"/>
      <c r="D552" s="1450"/>
      <c r="E552" s="1446"/>
      <c r="F552" s="1447"/>
      <c r="G552" s="1448"/>
      <c r="H552" s="1449"/>
      <c r="I552" s="1450"/>
      <c r="J552" s="1451"/>
      <c r="K552" s="1452"/>
      <c r="L552" s="1447"/>
      <c r="M552" s="1453"/>
      <c r="N552" s="1454"/>
      <c r="O552" s="1455"/>
    </row>
    <row r="553">
      <c r="A553" s="1456"/>
      <c r="B553" s="1457"/>
      <c r="C553" s="1458"/>
      <c r="D553" s="1460"/>
      <c r="E553" s="1459"/>
      <c r="F553" s="1460"/>
      <c r="G553" s="1460"/>
      <c r="H553" s="1460"/>
      <c r="I553" s="1460"/>
      <c r="J553" s="1460"/>
      <c r="K553" s="1460"/>
      <c r="L553" s="1460"/>
      <c r="M553" s="186"/>
      <c r="N553" s="1461"/>
      <c r="O553" s="1462"/>
    </row>
    <row r="554">
      <c r="A554" s="1442"/>
      <c r="B554" s="1443"/>
      <c r="C554" s="1444"/>
      <c r="D554" s="1450"/>
      <c r="E554" s="1446"/>
      <c r="F554" s="1447"/>
      <c r="G554" s="1448"/>
      <c r="H554" s="1449"/>
      <c r="I554" s="1450"/>
      <c r="J554" s="1451"/>
      <c r="K554" s="1452"/>
      <c r="L554" s="1447"/>
      <c r="M554" s="1453"/>
      <c r="N554" s="1454"/>
      <c r="O554" s="1455"/>
    </row>
    <row r="555">
      <c r="A555" s="1456"/>
      <c r="B555" s="1457"/>
      <c r="C555" s="1458"/>
      <c r="D555" s="1460"/>
      <c r="E555" s="1459"/>
      <c r="F555" s="1460"/>
      <c r="G555" s="1460"/>
      <c r="H555" s="1460"/>
      <c r="I555" s="1460"/>
      <c r="J555" s="1460"/>
      <c r="K555" s="1460"/>
      <c r="L555" s="1460"/>
      <c r="M555" s="186"/>
      <c r="N555" s="1461"/>
      <c r="O555" s="1462"/>
    </row>
    <row r="556">
      <c r="A556" s="1442"/>
      <c r="B556" s="1443"/>
      <c r="C556" s="1444"/>
      <c r="D556" s="1450"/>
      <c r="E556" s="1446"/>
      <c r="F556" s="1447"/>
      <c r="G556" s="1448"/>
      <c r="H556" s="1449"/>
      <c r="I556" s="1450"/>
      <c r="J556" s="1451"/>
      <c r="K556" s="1452"/>
      <c r="L556" s="1447"/>
      <c r="M556" s="1453"/>
      <c r="N556" s="1454"/>
      <c r="O556" s="1455"/>
    </row>
    <row r="557">
      <c r="A557" s="1456"/>
      <c r="B557" s="1457"/>
      <c r="C557" s="1458"/>
      <c r="D557" s="1460"/>
      <c r="E557" s="1459"/>
      <c r="F557" s="1460"/>
      <c r="G557" s="1460"/>
      <c r="H557" s="1460"/>
      <c r="I557" s="1460"/>
      <c r="J557" s="1460"/>
      <c r="K557" s="1460"/>
      <c r="L557" s="1460"/>
      <c r="M557" s="186"/>
      <c r="N557" s="1461"/>
      <c r="O557" s="1462"/>
    </row>
    <row r="558">
      <c r="A558" s="1442"/>
      <c r="B558" s="1443"/>
      <c r="C558" s="1444"/>
      <c r="D558" s="1450"/>
      <c r="E558" s="1446"/>
      <c r="F558" s="1447"/>
      <c r="G558" s="1448"/>
      <c r="H558" s="1449"/>
      <c r="I558" s="1450"/>
      <c r="J558" s="1451"/>
      <c r="K558" s="1452"/>
      <c r="L558" s="1447"/>
      <c r="M558" s="1453"/>
      <c r="N558" s="1454"/>
      <c r="O558" s="1455"/>
    </row>
    <row r="559">
      <c r="A559" s="1456"/>
      <c r="B559" s="1457"/>
      <c r="C559" s="1458"/>
      <c r="D559" s="1460"/>
      <c r="E559" s="1459"/>
      <c r="F559" s="1460"/>
      <c r="G559" s="1460"/>
      <c r="H559" s="1460"/>
      <c r="I559" s="1460"/>
      <c r="J559" s="1460"/>
      <c r="K559" s="1460"/>
      <c r="L559" s="1460"/>
      <c r="M559" s="186"/>
      <c r="N559" s="1461"/>
      <c r="O559" s="1462"/>
    </row>
    <row r="560">
      <c r="A560" s="1442"/>
      <c r="B560" s="1443"/>
      <c r="C560" s="1444"/>
      <c r="D560" s="1450"/>
      <c r="E560" s="1446"/>
      <c r="F560" s="1447"/>
      <c r="G560" s="1448"/>
      <c r="H560" s="1449"/>
      <c r="I560" s="1450"/>
      <c r="J560" s="1451"/>
      <c r="K560" s="1452"/>
      <c r="L560" s="1447"/>
      <c r="M560" s="1453"/>
      <c r="N560" s="1454"/>
      <c r="O560" s="1455"/>
    </row>
    <row r="561">
      <c r="A561" s="1456"/>
      <c r="B561" s="1457"/>
      <c r="C561" s="1458"/>
      <c r="D561" s="1460"/>
      <c r="E561" s="1459"/>
      <c r="F561" s="1460"/>
      <c r="G561" s="1460"/>
      <c r="H561" s="1460"/>
      <c r="I561" s="1460"/>
      <c r="J561" s="1460"/>
      <c r="K561" s="1460"/>
      <c r="L561" s="1460"/>
      <c r="M561" s="186"/>
      <c r="N561" s="1461"/>
      <c r="O561" s="1462"/>
    </row>
    <row r="562">
      <c r="A562" s="1442"/>
      <c r="B562" s="1443"/>
      <c r="C562" s="1444"/>
      <c r="D562" s="1450"/>
      <c r="E562" s="1446"/>
      <c r="F562" s="1447"/>
      <c r="G562" s="1448"/>
      <c r="H562" s="1449"/>
      <c r="I562" s="1450"/>
      <c r="J562" s="1451"/>
      <c r="K562" s="1452"/>
      <c r="L562" s="1447"/>
      <c r="M562" s="1453"/>
      <c r="N562" s="1454"/>
      <c r="O562" s="1455"/>
    </row>
    <row r="563">
      <c r="A563" s="1456"/>
      <c r="B563" s="1457"/>
      <c r="C563" s="1458"/>
      <c r="D563" s="1460"/>
      <c r="E563" s="1459"/>
      <c r="F563" s="1460"/>
      <c r="G563" s="1460"/>
      <c r="H563" s="1460"/>
      <c r="I563" s="1460"/>
      <c r="J563" s="1460"/>
      <c r="K563" s="1460"/>
      <c r="L563" s="1460"/>
      <c r="M563" s="186"/>
      <c r="N563" s="1461"/>
      <c r="O563" s="1462"/>
    </row>
    <row r="564">
      <c r="A564" s="1442"/>
      <c r="B564" s="1443"/>
      <c r="C564" s="1444"/>
      <c r="D564" s="1450"/>
      <c r="E564" s="1446"/>
      <c r="F564" s="1447"/>
      <c r="G564" s="1448"/>
      <c r="H564" s="1449"/>
      <c r="I564" s="1450"/>
      <c r="J564" s="1451"/>
      <c r="K564" s="1452"/>
      <c r="L564" s="1447"/>
      <c r="M564" s="1453"/>
      <c r="N564" s="1454"/>
      <c r="O564" s="1455"/>
    </row>
    <row r="565">
      <c r="A565" s="1456"/>
      <c r="B565" s="1457"/>
      <c r="C565" s="1458"/>
      <c r="D565" s="1460"/>
      <c r="E565" s="1459"/>
      <c r="F565" s="1460"/>
      <c r="G565" s="1460"/>
      <c r="H565" s="1460"/>
      <c r="I565" s="1460"/>
      <c r="J565" s="1460"/>
      <c r="K565" s="1460"/>
      <c r="L565" s="1460"/>
      <c r="M565" s="186"/>
      <c r="N565" s="1461"/>
      <c r="O565" s="1462"/>
    </row>
    <row r="566">
      <c r="A566" s="1442"/>
      <c r="B566" s="1443"/>
      <c r="C566" s="1444"/>
      <c r="D566" s="1450"/>
      <c r="E566" s="1446"/>
      <c r="F566" s="1447"/>
      <c r="G566" s="1448"/>
      <c r="H566" s="1449"/>
      <c r="I566" s="1450"/>
      <c r="J566" s="1451"/>
      <c r="K566" s="1452"/>
      <c r="L566" s="1447"/>
      <c r="M566" s="1453"/>
      <c r="N566" s="1454"/>
      <c r="O566" s="1455"/>
    </row>
    <row r="567">
      <c r="A567" s="1456"/>
      <c r="B567" s="1457"/>
      <c r="C567" s="1458"/>
      <c r="D567" s="1460"/>
      <c r="E567" s="1459"/>
      <c r="F567" s="1460"/>
      <c r="G567" s="1460"/>
      <c r="H567" s="1460"/>
      <c r="I567" s="1460"/>
      <c r="J567" s="1460"/>
      <c r="K567" s="1460"/>
      <c r="L567" s="1460"/>
      <c r="M567" s="186"/>
      <c r="N567" s="1461"/>
      <c r="O567" s="1462"/>
    </row>
    <row r="568">
      <c r="A568" s="1442"/>
      <c r="B568" s="1443"/>
      <c r="C568" s="1444"/>
      <c r="D568" s="1450"/>
      <c r="E568" s="1446"/>
      <c r="F568" s="1447"/>
      <c r="G568" s="1448"/>
      <c r="H568" s="1449"/>
      <c r="I568" s="1450"/>
      <c r="J568" s="1451"/>
      <c r="K568" s="1452"/>
      <c r="L568" s="1447"/>
      <c r="M568" s="1453"/>
      <c r="N568" s="1454"/>
      <c r="O568" s="1455"/>
    </row>
    <row r="569">
      <c r="A569" s="1456"/>
      <c r="B569" s="1457"/>
      <c r="C569" s="1458"/>
      <c r="D569" s="1460"/>
      <c r="E569" s="1459"/>
      <c r="F569" s="1460"/>
      <c r="G569" s="1460"/>
      <c r="H569" s="1460"/>
      <c r="I569" s="1460"/>
      <c r="J569" s="1460"/>
      <c r="K569" s="1460"/>
      <c r="L569" s="1460"/>
      <c r="M569" s="186"/>
      <c r="N569" s="1461"/>
      <c r="O569" s="1462"/>
    </row>
    <row r="570">
      <c r="A570" s="1442"/>
      <c r="B570" s="1443"/>
      <c r="C570" s="1444"/>
      <c r="D570" s="1450"/>
      <c r="E570" s="1446"/>
      <c r="F570" s="1447"/>
      <c r="G570" s="1448"/>
      <c r="H570" s="1449"/>
      <c r="I570" s="1450"/>
      <c r="J570" s="1451"/>
      <c r="K570" s="1452"/>
      <c r="L570" s="1447"/>
      <c r="M570" s="1453"/>
      <c r="N570" s="1454"/>
      <c r="O570" s="1455"/>
    </row>
    <row r="571">
      <c r="A571" s="1456"/>
      <c r="B571" s="1457"/>
      <c r="C571" s="1458"/>
      <c r="D571" s="1460"/>
      <c r="E571" s="1459"/>
      <c r="F571" s="1460"/>
      <c r="G571" s="1460"/>
      <c r="H571" s="1460"/>
      <c r="I571" s="1460"/>
      <c r="J571" s="1460"/>
      <c r="K571" s="1460"/>
      <c r="L571" s="1460"/>
      <c r="M571" s="186"/>
      <c r="N571" s="1461"/>
      <c r="O571" s="1462"/>
    </row>
    <row r="572">
      <c r="A572" s="1442"/>
      <c r="B572" s="1443"/>
      <c r="C572" s="1444"/>
      <c r="D572" s="1450"/>
      <c r="E572" s="1446"/>
      <c r="F572" s="1447"/>
      <c r="G572" s="1448"/>
      <c r="H572" s="1449"/>
      <c r="I572" s="1450"/>
      <c r="J572" s="1451"/>
      <c r="K572" s="1452"/>
      <c r="L572" s="1447"/>
      <c r="M572" s="1453"/>
      <c r="N572" s="1454"/>
      <c r="O572" s="1455"/>
    </row>
    <row r="573">
      <c r="A573" s="1456"/>
      <c r="B573" s="1457"/>
      <c r="C573" s="1458"/>
      <c r="D573" s="1460"/>
      <c r="E573" s="1459"/>
      <c r="F573" s="1460"/>
      <c r="G573" s="1460"/>
      <c r="H573" s="1460"/>
      <c r="I573" s="1460"/>
      <c r="J573" s="1460"/>
      <c r="K573" s="1460"/>
      <c r="L573" s="1460"/>
      <c r="M573" s="186"/>
      <c r="N573" s="1461"/>
      <c r="O573" s="1462"/>
    </row>
    <row r="574">
      <c r="A574" s="1442"/>
      <c r="B574" s="1443"/>
      <c r="C574" s="1444"/>
      <c r="D574" s="1450"/>
      <c r="E574" s="1446"/>
      <c r="F574" s="1447"/>
      <c r="G574" s="1448"/>
      <c r="H574" s="1449"/>
      <c r="I574" s="1450"/>
      <c r="J574" s="1451"/>
      <c r="K574" s="1452"/>
      <c r="L574" s="1447"/>
      <c r="M574" s="1453"/>
      <c r="N574" s="1454"/>
      <c r="O574" s="1455"/>
    </row>
    <row r="575">
      <c r="A575" s="1456"/>
      <c r="B575" s="1457"/>
      <c r="C575" s="1458"/>
      <c r="D575" s="1460"/>
      <c r="E575" s="1459"/>
      <c r="F575" s="1460"/>
      <c r="G575" s="1460"/>
      <c r="H575" s="1460"/>
      <c r="I575" s="1460"/>
      <c r="J575" s="1460"/>
      <c r="K575" s="1460"/>
      <c r="L575" s="1460"/>
      <c r="M575" s="186"/>
      <c r="N575" s="1461"/>
      <c r="O575" s="1462"/>
    </row>
    <row r="576">
      <c r="A576" s="1442"/>
      <c r="B576" s="1443"/>
      <c r="C576" s="1444"/>
      <c r="D576" s="1450"/>
      <c r="E576" s="1446"/>
      <c r="F576" s="1447"/>
      <c r="G576" s="1448"/>
      <c r="H576" s="1449"/>
      <c r="I576" s="1450"/>
      <c r="J576" s="1451"/>
      <c r="K576" s="1452"/>
      <c r="L576" s="1447"/>
      <c r="M576" s="1453"/>
      <c r="N576" s="1454"/>
      <c r="O576" s="1455"/>
    </row>
    <row r="577">
      <c r="A577" s="1456"/>
      <c r="B577" s="1457"/>
      <c r="C577" s="1458"/>
      <c r="D577" s="1460"/>
      <c r="E577" s="1459"/>
      <c r="F577" s="1460"/>
      <c r="G577" s="1460"/>
      <c r="H577" s="1460"/>
      <c r="I577" s="1460"/>
      <c r="J577" s="1460"/>
      <c r="K577" s="1460"/>
      <c r="L577" s="1460"/>
      <c r="M577" s="186"/>
      <c r="N577" s="1461"/>
      <c r="O577" s="1462"/>
    </row>
    <row r="578">
      <c r="A578" s="1442"/>
      <c r="B578" s="1443"/>
      <c r="C578" s="1444"/>
      <c r="D578" s="1450"/>
      <c r="E578" s="1446"/>
      <c r="F578" s="1447"/>
      <c r="G578" s="1448"/>
      <c r="H578" s="1449"/>
      <c r="I578" s="1450"/>
      <c r="J578" s="1451"/>
      <c r="K578" s="1452"/>
      <c r="L578" s="1447"/>
      <c r="M578" s="1453"/>
      <c r="N578" s="1454"/>
      <c r="O578" s="1455"/>
    </row>
    <row r="579">
      <c r="A579" s="1456"/>
      <c r="B579" s="1457"/>
      <c r="C579" s="1458"/>
      <c r="D579" s="1460"/>
      <c r="E579" s="1459"/>
      <c r="F579" s="1460"/>
      <c r="G579" s="1460"/>
      <c r="H579" s="1460"/>
      <c r="I579" s="1460"/>
      <c r="J579" s="1460"/>
      <c r="K579" s="1460"/>
      <c r="L579" s="1460"/>
      <c r="M579" s="186"/>
      <c r="N579" s="1461"/>
      <c r="O579" s="1462"/>
    </row>
    <row r="580">
      <c r="A580" s="1442"/>
      <c r="B580" s="1443"/>
      <c r="C580" s="1444"/>
      <c r="D580" s="1450"/>
      <c r="E580" s="1446"/>
      <c r="F580" s="1447"/>
      <c r="G580" s="1448"/>
      <c r="H580" s="1449"/>
      <c r="I580" s="1450"/>
      <c r="J580" s="1451"/>
      <c r="K580" s="1452"/>
      <c r="L580" s="1447"/>
      <c r="M580" s="1453"/>
      <c r="N580" s="1454"/>
      <c r="O580" s="1455"/>
    </row>
    <row r="581">
      <c r="A581" s="1456"/>
      <c r="B581" s="1457"/>
      <c r="C581" s="1458"/>
      <c r="D581" s="1460"/>
      <c r="E581" s="1459"/>
      <c r="F581" s="1460"/>
      <c r="G581" s="1460"/>
      <c r="H581" s="1460"/>
      <c r="I581" s="1460"/>
      <c r="J581" s="1460"/>
      <c r="K581" s="1460"/>
      <c r="L581" s="1460"/>
      <c r="M581" s="186"/>
      <c r="N581" s="1461"/>
      <c r="O581" s="1462"/>
    </row>
    <row r="582">
      <c r="A582" s="1442"/>
      <c r="B582" s="1443"/>
      <c r="C582" s="1444"/>
      <c r="D582" s="1450"/>
      <c r="E582" s="1446"/>
      <c r="F582" s="1447"/>
      <c r="G582" s="1448"/>
      <c r="H582" s="1449"/>
      <c r="I582" s="1450"/>
      <c r="J582" s="1451"/>
      <c r="K582" s="1452"/>
      <c r="L582" s="1447"/>
      <c r="M582" s="1453"/>
      <c r="N582" s="1454"/>
      <c r="O582" s="1455"/>
    </row>
    <row r="583">
      <c r="A583" s="1456"/>
      <c r="B583" s="1457"/>
      <c r="C583" s="1458"/>
      <c r="D583" s="1460"/>
      <c r="E583" s="1459"/>
      <c r="F583" s="1460"/>
      <c r="G583" s="1460"/>
      <c r="H583" s="1460"/>
      <c r="I583" s="1460"/>
      <c r="J583" s="1460"/>
      <c r="K583" s="1460"/>
      <c r="L583" s="1460"/>
      <c r="M583" s="186"/>
      <c r="N583" s="1461"/>
      <c r="O583" s="1462"/>
    </row>
    <row r="584">
      <c r="A584" s="1442"/>
      <c r="B584" s="1443"/>
      <c r="C584" s="1444"/>
      <c r="D584" s="1450"/>
      <c r="E584" s="1446"/>
      <c r="F584" s="1447"/>
      <c r="G584" s="1448"/>
      <c r="H584" s="1449"/>
      <c r="I584" s="1450"/>
      <c r="J584" s="1451"/>
      <c r="K584" s="1452"/>
      <c r="L584" s="1447"/>
      <c r="M584" s="1453"/>
      <c r="N584" s="1454"/>
      <c r="O584" s="1455"/>
    </row>
    <row r="585">
      <c r="A585" s="1456"/>
      <c r="B585" s="1457"/>
      <c r="C585" s="1458"/>
      <c r="D585" s="1460"/>
      <c r="E585" s="1459"/>
      <c r="F585" s="1460"/>
      <c r="G585" s="1460"/>
      <c r="H585" s="1460"/>
      <c r="I585" s="1460"/>
      <c r="J585" s="1460"/>
      <c r="K585" s="1460"/>
      <c r="L585" s="1460"/>
      <c r="M585" s="186"/>
      <c r="N585" s="1461"/>
      <c r="O585" s="1462"/>
    </row>
    <row r="586">
      <c r="A586" s="1442"/>
      <c r="B586" s="1443"/>
      <c r="C586" s="1444"/>
      <c r="D586" s="1450"/>
      <c r="E586" s="1446"/>
      <c r="F586" s="1447"/>
      <c r="G586" s="1448"/>
      <c r="H586" s="1449"/>
      <c r="I586" s="1450"/>
      <c r="J586" s="1451"/>
      <c r="K586" s="1452"/>
      <c r="L586" s="1447"/>
      <c r="M586" s="1453"/>
      <c r="N586" s="1454"/>
      <c r="O586" s="1455"/>
    </row>
    <row r="587">
      <c r="A587" s="1456"/>
      <c r="B587" s="1457"/>
      <c r="C587" s="1458"/>
      <c r="D587" s="1460"/>
      <c r="E587" s="1459"/>
      <c r="F587" s="1460"/>
      <c r="G587" s="1460"/>
      <c r="H587" s="1460"/>
      <c r="I587" s="1460"/>
      <c r="J587" s="1460"/>
      <c r="K587" s="1460"/>
      <c r="L587" s="1460"/>
      <c r="M587" s="186"/>
      <c r="N587" s="1461"/>
      <c r="O587" s="1462"/>
    </row>
    <row r="588">
      <c r="A588" s="1442"/>
      <c r="B588" s="1443"/>
      <c r="C588" s="1444"/>
      <c r="D588" s="1450"/>
      <c r="E588" s="1446"/>
      <c r="F588" s="1447"/>
      <c r="G588" s="1448"/>
      <c r="H588" s="1449"/>
      <c r="I588" s="1450"/>
      <c r="J588" s="1451"/>
      <c r="K588" s="1452"/>
      <c r="L588" s="1447"/>
      <c r="M588" s="1453"/>
      <c r="N588" s="1454"/>
      <c r="O588" s="1455"/>
    </row>
    <row r="589">
      <c r="A589" s="1456"/>
      <c r="B589" s="1457"/>
      <c r="C589" s="1458"/>
      <c r="D589" s="1460"/>
      <c r="E589" s="1459"/>
      <c r="F589" s="1460"/>
      <c r="G589" s="1460"/>
      <c r="H589" s="1460"/>
      <c r="I589" s="1460"/>
      <c r="J589" s="1460"/>
      <c r="K589" s="1460"/>
      <c r="L589" s="1460"/>
      <c r="M589" s="186"/>
      <c r="N589" s="1461"/>
      <c r="O589" s="1462"/>
    </row>
    <row r="590">
      <c r="A590" s="1442"/>
      <c r="B590" s="1443"/>
      <c r="C590" s="1444"/>
      <c r="D590" s="1450"/>
      <c r="E590" s="1446"/>
      <c r="F590" s="1447"/>
      <c r="G590" s="1448"/>
      <c r="H590" s="1449"/>
      <c r="I590" s="1450"/>
      <c r="J590" s="1451"/>
      <c r="K590" s="1452"/>
      <c r="L590" s="1447"/>
      <c r="M590" s="1453"/>
      <c r="N590" s="1454"/>
      <c r="O590" s="1455"/>
    </row>
    <row r="591">
      <c r="A591" s="1456"/>
      <c r="B591" s="1457"/>
      <c r="C591" s="1458"/>
      <c r="D591" s="1460"/>
      <c r="E591" s="1459"/>
      <c r="F591" s="1460"/>
      <c r="G591" s="1460"/>
      <c r="H591" s="1460"/>
      <c r="I591" s="1460"/>
      <c r="J591" s="1460"/>
      <c r="K591" s="1460"/>
      <c r="L591" s="1460"/>
      <c r="M591" s="186"/>
      <c r="N591" s="1461"/>
      <c r="O591" s="1462"/>
    </row>
    <row r="592">
      <c r="A592" s="1442"/>
      <c r="B592" s="1443"/>
      <c r="C592" s="1444"/>
      <c r="D592" s="1450"/>
      <c r="E592" s="1446"/>
      <c r="F592" s="1447"/>
      <c r="G592" s="1448"/>
      <c r="H592" s="1449"/>
      <c r="I592" s="1450"/>
      <c r="J592" s="1451"/>
      <c r="K592" s="1452"/>
      <c r="L592" s="1447"/>
      <c r="M592" s="1453"/>
      <c r="N592" s="1454"/>
      <c r="O592" s="1455"/>
    </row>
    <row r="593">
      <c r="A593" s="1456"/>
      <c r="B593" s="1457"/>
      <c r="C593" s="1458"/>
      <c r="D593" s="1460"/>
      <c r="E593" s="1459"/>
      <c r="F593" s="1460"/>
      <c r="G593" s="1460"/>
      <c r="H593" s="1460"/>
      <c r="I593" s="1460"/>
      <c r="J593" s="1460"/>
      <c r="K593" s="1460"/>
      <c r="L593" s="1460"/>
      <c r="M593" s="186"/>
      <c r="N593" s="1461"/>
      <c r="O593" s="1462"/>
    </row>
    <row r="594">
      <c r="A594" s="1442"/>
      <c r="B594" s="1443"/>
      <c r="C594" s="1444"/>
      <c r="D594" s="1450"/>
      <c r="E594" s="1446"/>
      <c r="F594" s="1447"/>
      <c r="G594" s="1448"/>
      <c r="H594" s="1449"/>
      <c r="I594" s="1450"/>
      <c r="J594" s="1451"/>
      <c r="K594" s="1452"/>
      <c r="L594" s="1447"/>
      <c r="M594" s="1453"/>
      <c r="N594" s="1454"/>
      <c r="O594" s="1455"/>
    </row>
    <row r="595">
      <c r="A595" s="1456"/>
      <c r="B595" s="1457"/>
      <c r="C595" s="1458"/>
      <c r="D595" s="1460"/>
      <c r="E595" s="1459"/>
      <c r="F595" s="1460"/>
      <c r="G595" s="1460"/>
      <c r="H595" s="1460"/>
      <c r="I595" s="1460"/>
      <c r="J595" s="1460"/>
      <c r="K595" s="1460"/>
      <c r="L595" s="1460"/>
      <c r="M595" s="186"/>
      <c r="N595" s="1461"/>
      <c r="O595" s="1462"/>
    </row>
    <row r="596">
      <c r="A596" s="1442"/>
      <c r="B596" s="1443"/>
      <c r="C596" s="1444"/>
      <c r="D596" s="1450"/>
      <c r="E596" s="1446"/>
      <c r="F596" s="1447"/>
      <c r="G596" s="1448"/>
      <c r="H596" s="1449"/>
      <c r="I596" s="1450"/>
      <c r="J596" s="1451"/>
      <c r="K596" s="1452"/>
      <c r="L596" s="1447"/>
      <c r="M596" s="1453"/>
      <c r="N596" s="1454"/>
      <c r="O596" s="1455"/>
    </row>
    <row r="597">
      <c r="A597" s="1456"/>
      <c r="B597" s="1457"/>
      <c r="C597" s="1458"/>
      <c r="D597" s="1460"/>
      <c r="E597" s="1459"/>
      <c r="F597" s="1460"/>
      <c r="G597" s="1460"/>
      <c r="H597" s="1460"/>
      <c r="I597" s="1460"/>
      <c r="J597" s="1460"/>
      <c r="K597" s="1460"/>
      <c r="L597" s="1460"/>
      <c r="M597" s="186"/>
      <c r="N597" s="1461"/>
      <c r="O597" s="1462"/>
    </row>
    <row r="598">
      <c r="A598" s="1442"/>
      <c r="B598" s="1443"/>
      <c r="C598" s="1444"/>
      <c r="D598" s="1450"/>
      <c r="E598" s="1446"/>
      <c r="F598" s="1447"/>
      <c r="G598" s="1448"/>
      <c r="H598" s="1449"/>
      <c r="I598" s="1450"/>
      <c r="J598" s="1451"/>
      <c r="K598" s="1452"/>
      <c r="L598" s="1447"/>
      <c r="M598" s="1453"/>
      <c r="N598" s="1454"/>
      <c r="O598" s="1455"/>
    </row>
    <row r="599">
      <c r="A599" s="1456"/>
      <c r="B599" s="1457"/>
      <c r="C599" s="1458"/>
      <c r="D599" s="1460"/>
      <c r="E599" s="1459"/>
      <c r="F599" s="1460"/>
      <c r="G599" s="1460"/>
      <c r="H599" s="1460"/>
      <c r="I599" s="1460"/>
      <c r="J599" s="1460"/>
      <c r="K599" s="1460"/>
      <c r="L599" s="1460"/>
      <c r="M599" s="186"/>
      <c r="N599" s="1461"/>
      <c r="O599" s="1462"/>
    </row>
    <row r="600">
      <c r="A600" s="1442"/>
      <c r="B600" s="1443"/>
      <c r="C600" s="1444"/>
      <c r="D600" s="1450"/>
      <c r="E600" s="1446"/>
      <c r="F600" s="1447"/>
      <c r="G600" s="1448"/>
      <c r="H600" s="1449"/>
      <c r="I600" s="1450"/>
      <c r="J600" s="1451"/>
      <c r="K600" s="1452"/>
      <c r="L600" s="1447"/>
      <c r="M600" s="1453"/>
      <c r="N600" s="1454"/>
      <c r="O600" s="1455"/>
    </row>
    <row r="601">
      <c r="A601" s="1456"/>
      <c r="B601" s="1457"/>
      <c r="C601" s="1458"/>
      <c r="D601" s="1460"/>
      <c r="E601" s="1459"/>
      <c r="F601" s="1460"/>
      <c r="G601" s="1460"/>
      <c r="H601" s="1460"/>
      <c r="I601" s="1460"/>
      <c r="J601" s="1460"/>
      <c r="K601" s="1460"/>
      <c r="L601" s="1460"/>
      <c r="M601" s="186"/>
      <c r="N601" s="1461"/>
      <c r="O601" s="1462"/>
    </row>
    <row r="602">
      <c r="A602" s="1442"/>
      <c r="B602" s="1443"/>
      <c r="C602" s="1444"/>
      <c r="D602" s="1450"/>
      <c r="E602" s="1446"/>
      <c r="F602" s="1447"/>
      <c r="G602" s="1448"/>
      <c r="H602" s="1449"/>
      <c r="I602" s="1450"/>
      <c r="J602" s="1451"/>
      <c r="K602" s="1452"/>
      <c r="L602" s="1447"/>
      <c r="M602" s="1453"/>
      <c r="N602" s="1454"/>
      <c r="O602" s="1455"/>
    </row>
    <row r="603">
      <c r="A603" s="1456"/>
      <c r="B603" s="1457"/>
      <c r="C603" s="1458"/>
      <c r="D603" s="1460"/>
      <c r="E603" s="1459"/>
      <c r="F603" s="1460"/>
      <c r="G603" s="1460"/>
      <c r="H603" s="1460"/>
      <c r="I603" s="1460"/>
      <c r="J603" s="1460"/>
      <c r="K603" s="1460"/>
      <c r="L603" s="1460"/>
      <c r="M603" s="186"/>
      <c r="N603" s="1461"/>
      <c r="O603" s="1462"/>
    </row>
    <row r="604">
      <c r="A604" s="1442"/>
      <c r="B604" s="1443"/>
      <c r="C604" s="1444"/>
      <c r="D604" s="1450"/>
      <c r="E604" s="1446"/>
      <c r="F604" s="1447"/>
      <c r="G604" s="1448"/>
      <c r="H604" s="1449"/>
      <c r="I604" s="1450"/>
      <c r="J604" s="1451"/>
      <c r="K604" s="1452"/>
      <c r="L604" s="1447"/>
      <c r="M604" s="1453"/>
      <c r="N604" s="1454"/>
      <c r="O604" s="1455"/>
    </row>
    <row r="605">
      <c r="A605" s="1456"/>
      <c r="B605" s="1457"/>
      <c r="C605" s="1458"/>
      <c r="D605" s="1460"/>
      <c r="E605" s="1459"/>
      <c r="F605" s="1460"/>
      <c r="G605" s="1460"/>
      <c r="H605" s="1460"/>
      <c r="I605" s="1460"/>
      <c r="J605" s="1460"/>
      <c r="K605" s="1460"/>
      <c r="L605" s="1460"/>
      <c r="M605" s="186"/>
      <c r="N605" s="1461"/>
      <c r="O605" s="1462"/>
    </row>
    <row r="606">
      <c r="A606" s="1442"/>
      <c r="B606" s="1443"/>
      <c r="C606" s="1444"/>
      <c r="D606" s="1450"/>
      <c r="E606" s="1446"/>
      <c r="F606" s="1447"/>
      <c r="G606" s="1448"/>
      <c r="H606" s="1449"/>
      <c r="I606" s="1450"/>
      <c r="J606" s="1451"/>
      <c r="K606" s="1452"/>
      <c r="L606" s="1447"/>
      <c r="M606" s="1453"/>
      <c r="N606" s="1454"/>
      <c r="O606" s="1455"/>
    </row>
    <row r="607">
      <c r="A607" s="1456"/>
      <c r="B607" s="1457"/>
      <c r="C607" s="1458"/>
      <c r="D607" s="1460"/>
      <c r="E607" s="1459"/>
      <c r="F607" s="1460"/>
      <c r="G607" s="1460"/>
      <c r="H607" s="1460"/>
      <c r="I607" s="1460"/>
      <c r="J607" s="1460"/>
      <c r="K607" s="1460"/>
      <c r="L607" s="1460"/>
      <c r="M607" s="186"/>
      <c r="N607" s="1461"/>
      <c r="O607" s="1462"/>
    </row>
    <row r="608">
      <c r="A608" s="1442"/>
      <c r="B608" s="1443"/>
      <c r="C608" s="1444"/>
      <c r="D608" s="1450"/>
      <c r="E608" s="1446"/>
      <c r="F608" s="1447"/>
      <c r="G608" s="1448"/>
      <c r="H608" s="1449"/>
      <c r="I608" s="1450"/>
      <c r="J608" s="1451"/>
      <c r="K608" s="1452"/>
      <c r="L608" s="1447"/>
      <c r="M608" s="1453"/>
      <c r="N608" s="1454"/>
      <c r="O608" s="1455"/>
    </row>
    <row r="609">
      <c r="A609" s="1456"/>
      <c r="B609" s="1457"/>
      <c r="C609" s="1458"/>
      <c r="D609" s="1460"/>
      <c r="E609" s="1459"/>
      <c r="F609" s="1460"/>
      <c r="G609" s="1460"/>
      <c r="H609" s="1460"/>
      <c r="I609" s="1460"/>
      <c r="J609" s="1460"/>
      <c r="K609" s="1460"/>
      <c r="L609" s="1460"/>
      <c r="M609" s="186"/>
      <c r="N609" s="1461"/>
      <c r="O609" s="1462"/>
    </row>
    <row r="610">
      <c r="A610" s="1442"/>
      <c r="B610" s="1443"/>
      <c r="C610" s="1444"/>
      <c r="D610" s="1450"/>
      <c r="E610" s="1446"/>
      <c r="F610" s="1447"/>
      <c r="G610" s="1448"/>
      <c r="H610" s="1449"/>
      <c r="I610" s="1450"/>
      <c r="J610" s="1451"/>
      <c r="K610" s="1452"/>
      <c r="L610" s="1447"/>
      <c r="M610" s="1453"/>
      <c r="N610" s="1454"/>
      <c r="O610" s="1455"/>
    </row>
    <row r="611">
      <c r="A611" s="1456"/>
      <c r="B611" s="1457"/>
      <c r="C611" s="1458"/>
      <c r="D611" s="1460"/>
      <c r="E611" s="1459"/>
      <c r="F611" s="1460"/>
      <c r="G611" s="1460"/>
      <c r="H611" s="1460"/>
      <c r="I611" s="1460"/>
      <c r="J611" s="1460"/>
      <c r="K611" s="1460"/>
      <c r="L611" s="1460"/>
      <c r="M611" s="186"/>
      <c r="N611" s="1461"/>
      <c r="O611" s="1462"/>
    </row>
    <row r="612">
      <c r="A612" s="1442"/>
      <c r="B612" s="1443"/>
      <c r="C612" s="1444"/>
      <c r="D612" s="1450"/>
      <c r="E612" s="1446"/>
      <c r="F612" s="1447"/>
      <c r="G612" s="1448"/>
      <c r="H612" s="1449"/>
      <c r="I612" s="1450"/>
      <c r="J612" s="1451"/>
      <c r="K612" s="1452"/>
      <c r="L612" s="1447"/>
      <c r="M612" s="1453"/>
      <c r="N612" s="1454"/>
      <c r="O612" s="1455"/>
    </row>
    <row r="613">
      <c r="A613" s="1456"/>
      <c r="B613" s="1457"/>
      <c r="C613" s="1458"/>
      <c r="D613" s="1460"/>
      <c r="E613" s="1459"/>
      <c r="F613" s="1460"/>
      <c r="G613" s="1460"/>
      <c r="H613" s="1460"/>
      <c r="I613" s="1460"/>
      <c r="J613" s="1460"/>
      <c r="K613" s="1460"/>
      <c r="L613" s="1460"/>
      <c r="M613" s="186"/>
      <c r="N613" s="1461"/>
      <c r="O613" s="1462"/>
    </row>
    <row r="614">
      <c r="A614" s="1442"/>
      <c r="B614" s="1443"/>
      <c r="C614" s="1444"/>
      <c r="D614" s="1450"/>
      <c r="E614" s="1446"/>
      <c r="F614" s="1447"/>
      <c r="G614" s="1448"/>
      <c r="H614" s="1449"/>
      <c r="I614" s="1450"/>
      <c r="J614" s="1451"/>
      <c r="K614" s="1452"/>
      <c r="L614" s="1447"/>
      <c r="M614" s="1453"/>
      <c r="N614" s="1454"/>
      <c r="O614" s="1455"/>
    </row>
    <row r="615">
      <c r="A615" s="1456"/>
      <c r="B615" s="1457"/>
      <c r="C615" s="1458"/>
      <c r="D615" s="1460"/>
      <c r="E615" s="1459"/>
      <c r="F615" s="1460"/>
      <c r="G615" s="1460"/>
      <c r="H615" s="1460"/>
      <c r="I615" s="1460"/>
      <c r="J615" s="1460"/>
      <c r="K615" s="1460"/>
      <c r="L615" s="1460"/>
      <c r="M615" s="186"/>
      <c r="N615" s="1461"/>
      <c r="O615" s="1462"/>
    </row>
    <row r="616">
      <c r="A616" s="1442"/>
      <c r="B616" s="1443"/>
      <c r="C616" s="1444"/>
      <c r="D616" s="1450"/>
      <c r="E616" s="1446"/>
      <c r="F616" s="1447"/>
      <c r="G616" s="1448"/>
      <c r="H616" s="1449"/>
      <c r="I616" s="1450"/>
      <c r="J616" s="1451"/>
      <c r="K616" s="1452"/>
      <c r="L616" s="1447"/>
      <c r="M616" s="1453"/>
      <c r="N616" s="1454"/>
      <c r="O616" s="1455"/>
    </row>
    <row r="617">
      <c r="A617" s="1456"/>
      <c r="B617" s="1457"/>
      <c r="C617" s="1458"/>
      <c r="D617" s="1460"/>
      <c r="E617" s="1459"/>
      <c r="F617" s="1460"/>
      <c r="G617" s="1460"/>
      <c r="H617" s="1460"/>
      <c r="I617" s="1460"/>
      <c r="J617" s="1460"/>
      <c r="K617" s="1460"/>
      <c r="L617" s="1460"/>
      <c r="M617" s="186"/>
      <c r="N617" s="1461"/>
      <c r="O617" s="1462"/>
    </row>
    <row r="618">
      <c r="A618" s="1442"/>
      <c r="B618" s="1443"/>
      <c r="C618" s="1444"/>
      <c r="D618" s="1450"/>
      <c r="E618" s="1446"/>
      <c r="F618" s="1447"/>
      <c r="G618" s="1448"/>
      <c r="H618" s="1449"/>
      <c r="I618" s="1450"/>
      <c r="J618" s="1451"/>
      <c r="K618" s="1452"/>
      <c r="L618" s="1447"/>
      <c r="M618" s="1453"/>
      <c r="N618" s="1454"/>
      <c r="O618" s="1455"/>
    </row>
    <row r="619">
      <c r="A619" s="1456"/>
      <c r="B619" s="1457"/>
      <c r="C619" s="1458"/>
      <c r="D619" s="1460"/>
      <c r="E619" s="1459"/>
      <c r="F619" s="1460"/>
      <c r="G619" s="1460"/>
      <c r="H619" s="1460"/>
      <c r="I619" s="1460"/>
      <c r="J619" s="1460"/>
      <c r="K619" s="1460"/>
      <c r="L619" s="1460"/>
      <c r="M619" s="186"/>
      <c r="N619" s="1461"/>
      <c r="O619" s="1462"/>
    </row>
    <row r="620">
      <c r="A620" s="1442"/>
      <c r="B620" s="1443"/>
      <c r="C620" s="1444"/>
      <c r="D620" s="1450"/>
      <c r="E620" s="1446"/>
      <c r="F620" s="1447"/>
      <c r="G620" s="1448"/>
      <c r="H620" s="1449"/>
      <c r="I620" s="1450"/>
      <c r="J620" s="1451"/>
      <c r="K620" s="1452"/>
      <c r="L620" s="1447"/>
      <c r="M620" s="1453"/>
      <c r="N620" s="1454"/>
      <c r="O620" s="1455"/>
    </row>
    <row r="621">
      <c r="A621" s="1456"/>
      <c r="B621" s="1457"/>
      <c r="C621" s="1458"/>
      <c r="D621" s="1460"/>
      <c r="E621" s="1459"/>
      <c r="F621" s="1460"/>
      <c r="G621" s="1460"/>
      <c r="H621" s="1460"/>
      <c r="I621" s="1460"/>
      <c r="J621" s="1460"/>
      <c r="K621" s="1460"/>
      <c r="L621" s="1460"/>
      <c r="M621" s="186"/>
      <c r="N621" s="1461"/>
      <c r="O621" s="1462"/>
    </row>
    <row r="622">
      <c r="A622" s="1442"/>
      <c r="B622" s="1443"/>
      <c r="C622" s="1444"/>
      <c r="D622" s="1450"/>
      <c r="E622" s="1446"/>
      <c r="F622" s="1447"/>
      <c r="G622" s="1448"/>
      <c r="H622" s="1449"/>
      <c r="I622" s="1450"/>
      <c r="J622" s="1451"/>
      <c r="K622" s="1452"/>
      <c r="L622" s="1447"/>
      <c r="M622" s="1453"/>
      <c r="N622" s="1454"/>
      <c r="O622" s="1455"/>
    </row>
    <row r="623">
      <c r="A623" s="1456"/>
      <c r="B623" s="1457"/>
      <c r="C623" s="1458"/>
      <c r="D623" s="1460"/>
      <c r="E623" s="1459"/>
      <c r="F623" s="1460"/>
      <c r="G623" s="1460"/>
      <c r="H623" s="1460"/>
      <c r="I623" s="1460"/>
      <c r="J623" s="1460"/>
      <c r="K623" s="1460"/>
      <c r="L623" s="1460"/>
      <c r="M623" s="186"/>
      <c r="N623" s="1461"/>
      <c r="O623" s="1462"/>
    </row>
    <row r="624">
      <c r="A624" s="1442"/>
      <c r="B624" s="1443"/>
      <c r="C624" s="1444"/>
      <c r="D624" s="1450"/>
      <c r="E624" s="1446"/>
      <c r="F624" s="1447"/>
      <c r="G624" s="1448"/>
      <c r="H624" s="1449"/>
      <c r="I624" s="1450"/>
      <c r="J624" s="1451"/>
      <c r="K624" s="1452"/>
      <c r="L624" s="1447"/>
      <c r="M624" s="1453"/>
      <c r="N624" s="1454"/>
      <c r="O624" s="1455"/>
    </row>
    <row r="625">
      <c r="A625" s="1456"/>
      <c r="B625" s="1457"/>
      <c r="C625" s="1458"/>
      <c r="D625" s="1460"/>
      <c r="E625" s="1459"/>
      <c r="F625" s="1460"/>
      <c r="G625" s="1460"/>
      <c r="H625" s="1460"/>
      <c r="I625" s="1460"/>
      <c r="J625" s="1460"/>
      <c r="K625" s="1460"/>
      <c r="L625" s="1460"/>
      <c r="M625" s="186"/>
      <c r="N625" s="1461"/>
      <c r="O625" s="1462"/>
    </row>
    <row r="626">
      <c r="A626" s="1442"/>
      <c r="B626" s="1443"/>
      <c r="C626" s="1444"/>
      <c r="D626" s="1450"/>
      <c r="E626" s="1446"/>
      <c r="F626" s="1447"/>
      <c r="G626" s="1448"/>
      <c r="H626" s="1449"/>
      <c r="I626" s="1450"/>
      <c r="J626" s="1451"/>
      <c r="K626" s="1452"/>
      <c r="L626" s="1447"/>
      <c r="M626" s="1453"/>
      <c r="N626" s="1454"/>
      <c r="O626" s="1455"/>
    </row>
    <row r="627">
      <c r="A627" s="1456"/>
      <c r="B627" s="1457"/>
      <c r="C627" s="1458"/>
      <c r="D627" s="1460"/>
      <c r="E627" s="1459"/>
      <c r="F627" s="1460"/>
      <c r="G627" s="1460"/>
      <c r="H627" s="1460"/>
      <c r="I627" s="1460"/>
      <c r="J627" s="1460"/>
      <c r="K627" s="1460"/>
      <c r="L627" s="1460"/>
      <c r="M627" s="186"/>
      <c r="N627" s="1461"/>
      <c r="O627" s="1462"/>
    </row>
    <row r="628">
      <c r="A628" s="1442"/>
      <c r="B628" s="1443"/>
      <c r="C628" s="1444"/>
      <c r="D628" s="1450"/>
      <c r="E628" s="1446"/>
      <c r="F628" s="1447"/>
      <c r="G628" s="1448"/>
      <c r="H628" s="1449"/>
      <c r="I628" s="1450"/>
      <c r="J628" s="1451"/>
      <c r="K628" s="1452"/>
      <c r="L628" s="1447"/>
      <c r="M628" s="1453"/>
      <c r="N628" s="1454"/>
      <c r="O628" s="1455"/>
    </row>
    <row r="629">
      <c r="A629" s="1456"/>
      <c r="B629" s="1457"/>
      <c r="C629" s="1458"/>
      <c r="D629" s="1460"/>
      <c r="E629" s="1459"/>
      <c r="F629" s="1460"/>
      <c r="G629" s="1460"/>
      <c r="H629" s="1460"/>
      <c r="I629" s="1460"/>
      <c r="J629" s="1460"/>
      <c r="K629" s="1460"/>
      <c r="L629" s="1460"/>
      <c r="M629" s="186"/>
      <c r="N629" s="1461"/>
      <c r="O629" s="1462"/>
    </row>
    <row r="630">
      <c r="A630" s="1442"/>
      <c r="B630" s="1443"/>
      <c r="C630" s="1444"/>
      <c r="D630" s="1450"/>
      <c r="E630" s="1446"/>
      <c r="F630" s="1447"/>
      <c r="G630" s="1448"/>
      <c r="H630" s="1449"/>
      <c r="I630" s="1450"/>
      <c r="J630" s="1451"/>
      <c r="K630" s="1452"/>
      <c r="L630" s="1447"/>
      <c r="M630" s="1453"/>
      <c r="N630" s="1454"/>
      <c r="O630" s="1455"/>
    </row>
    <row r="631">
      <c r="A631" s="1456"/>
      <c r="B631" s="1457"/>
      <c r="C631" s="1458"/>
      <c r="D631" s="1460"/>
      <c r="E631" s="1459"/>
      <c r="F631" s="1460"/>
      <c r="G631" s="1460"/>
      <c r="H631" s="1460"/>
      <c r="I631" s="1460"/>
      <c r="J631" s="1460"/>
      <c r="K631" s="1460"/>
      <c r="L631" s="1460"/>
      <c r="M631" s="186"/>
      <c r="N631" s="1461"/>
      <c r="O631" s="1462"/>
    </row>
    <row r="632">
      <c r="A632" s="1442"/>
      <c r="B632" s="1443"/>
      <c r="C632" s="1444"/>
      <c r="D632" s="1450"/>
      <c r="E632" s="1446"/>
      <c r="F632" s="1447"/>
      <c r="G632" s="1448"/>
      <c r="H632" s="1449"/>
      <c r="I632" s="1450"/>
      <c r="J632" s="1451"/>
      <c r="K632" s="1452"/>
      <c r="L632" s="1447"/>
      <c r="M632" s="1453"/>
      <c r="N632" s="1454"/>
      <c r="O632" s="1455"/>
    </row>
    <row r="633">
      <c r="A633" s="1456"/>
      <c r="B633" s="1457"/>
      <c r="C633" s="1458"/>
      <c r="D633" s="1460"/>
      <c r="E633" s="1459"/>
      <c r="F633" s="1460"/>
      <c r="G633" s="1460"/>
      <c r="H633" s="1460"/>
      <c r="I633" s="1460"/>
      <c r="J633" s="1460"/>
      <c r="K633" s="1460"/>
      <c r="L633" s="1460"/>
      <c r="M633" s="186"/>
      <c r="N633" s="1461"/>
      <c r="O633" s="1462"/>
    </row>
    <row r="634">
      <c r="A634" s="1442"/>
      <c r="B634" s="1443"/>
      <c r="C634" s="1444"/>
      <c r="D634" s="1450"/>
      <c r="E634" s="1446"/>
      <c r="F634" s="1447"/>
      <c r="G634" s="1448"/>
      <c r="H634" s="1449"/>
      <c r="I634" s="1450"/>
      <c r="J634" s="1451"/>
      <c r="K634" s="1452"/>
      <c r="L634" s="1447"/>
      <c r="M634" s="1453"/>
      <c r="N634" s="1454"/>
      <c r="O634" s="1455"/>
    </row>
    <row r="635">
      <c r="A635" s="1456"/>
      <c r="B635" s="1457"/>
      <c r="C635" s="1458"/>
      <c r="D635" s="1460"/>
      <c r="E635" s="1459"/>
      <c r="F635" s="1460"/>
      <c r="G635" s="1460"/>
      <c r="H635" s="1460"/>
      <c r="I635" s="1460"/>
      <c r="J635" s="1460"/>
      <c r="K635" s="1460"/>
      <c r="L635" s="1460"/>
      <c r="M635" s="186"/>
      <c r="N635" s="1461"/>
      <c r="O635" s="1462"/>
    </row>
    <row r="636">
      <c r="A636" s="1442"/>
      <c r="B636" s="1443"/>
      <c r="C636" s="1444"/>
      <c r="D636" s="1450"/>
      <c r="E636" s="1446"/>
      <c r="F636" s="1447"/>
      <c r="G636" s="1448"/>
      <c r="H636" s="1449"/>
      <c r="I636" s="1450"/>
      <c r="J636" s="1451"/>
      <c r="K636" s="1452"/>
      <c r="L636" s="1447"/>
      <c r="M636" s="1453"/>
      <c r="N636" s="1454"/>
      <c r="O636" s="1455"/>
    </row>
    <row r="637">
      <c r="A637" s="1456"/>
      <c r="B637" s="1457"/>
      <c r="C637" s="1458"/>
      <c r="D637" s="1460"/>
      <c r="E637" s="1459"/>
      <c r="F637" s="1460"/>
      <c r="G637" s="1460"/>
      <c r="H637" s="1460"/>
      <c r="I637" s="1460"/>
      <c r="J637" s="1460"/>
      <c r="K637" s="1460"/>
      <c r="L637" s="1460"/>
      <c r="M637" s="186"/>
      <c r="N637" s="1461"/>
      <c r="O637" s="1462"/>
    </row>
    <row r="638">
      <c r="A638" s="1442"/>
      <c r="B638" s="1443"/>
      <c r="C638" s="1444"/>
      <c r="D638" s="1450"/>
      <c r="E638" s="1446"/>
      <c r="F638" s="1447"/>
      <c r="G638" s="1448"/>
      <c r="H638" s="1449"/>
      <c r="I638" s="1450"/>
      <c r="J638" s="1451"/>
      <c r="K638" s="1452"/>
      <c r="L638" s="1447"/>
      <c r="M638" s="1453"/>
      <c r="N638" s="1454"/>
      <c r="O638" s="1455"/>
    </row>
    <row r="639">
      <c r="A639" s="1456"/>
      <c r="B639" s="1457"/>
      <c r="C639" s="1458"/>
      <c r="D639" s="1460"/>
      <c r="E639" s="1459"/>
      <c r="F639" s="1460"/>
      <c r="G639" s="1460"/>
      <c r="H639" s="1460"/>
      <c r="I639" s="1460"/>
      <c r="J639" s="1460"/>
      <c r="K639" s="1460"/>
      <c r="L639" s="1460"/>
      <c r="M639" s="186"/>
      <c r="N639" s="1461"/>
      <c r="O639" s="1462"/>
    </row>
    <row r="640">
      <c r="A640" s="1442"/>
      <c r="B640" s="1443"/>
      <c r="C640" s="1444"/>
      <c r="D640" s="1450"/>
      <c r="E640" s="1446"/>
      <c r="F640" s="1447"/>
      <c r="G640" s="1448"/>
      <c r="H640" s="1449"/>
      <c r="I640" s="1450"/>
      <c r="J640" s="1451"/>
      <c r="K640" s="1452"/>
      <c r="L640" s="1447"/>
      <c r="M640" s="1453"/>
      <c r="N640" s="1454"/>
      <c r="O640" s="1455"/>
    </row>
    <row r="641">
      <c r="A641" s="1456"/>
      <c r="B641" s="1457"/>
      <c r="C641" s="1458"/>
      <c r="D641" s="1460"/>
      <c r="E641" s="1459"/>
      <c r="F641" s="1460"/>
      <c r="G641" s="1460"/>
      <c r="H641" s="1460"/>
      <c r="I641" s="1460"/>
      <c r="J641" s="1460"/>
      <c r="K641" s="1460"/>
      <c r="L641" s="1460"/>
      <c r="M641" s="186"/>
      <c r="N641" s="1461"/>
      <c r="O641" s="1462"/>
    </row>
    <row r="642">
      <c r="A642" s="1442"/>
      <c r="B642" s="1443"/>
      <c r="C642" s="1444"/>
      <c r="D642" s="1450"/>
      <c r="E642" s="1446"/>
      <c r="F642" s="1447"/>
      <c r="G642" s="1448"/>
      <c r="H642" s="1449"/>
      <c r="I642" s="1450"/>
      <c r="J642" s="1451"/>
      <c r="K642" s="1452"/>
      <c r="L642" s="1447"/>
      <c r="M642" s="1453"/>
      <c r="N642" s="1454"/>
      <c r="O642" s="1455"/>
    </row>
    <row r="643">
      <c r="A643" s="1456"/>
      <c r="B643" s="1457"/>
      <c r="C643" s="1458"/>
      <c r="D643" s="1460"/>
      <c r="E643" s="1459"/>
      <c r="F643" s="1460"/>
      <c r="G643" s="1460"/>
      <c r="H643" s="1460"/>
      <c r="I643" s="1460"/>
      <c r="J643" s="1460"/>
      <c r="K643" s="1460"/>
      <c r="L643" s="1460"/>
      <c r="M643" s="186"/>
      <c r="N643" s="1461"/>
      <c r="O643" s="1462"/>
    </row>
    <row r="644">
      <c r="A644" s="1442"/>
      <c r="B644" s="1443"/>
      <c r="C644" s="1444"/>
      <c r="D644" s="1450"/>
      <c r="E644" s="1446"/>
      <c r="F644" s="1447"/>
      <c r="G644" s="1448"/>
      <c r="H644" s="1449"/>
      <c r="I644" s="1450"/>
      <c r="J644" s="1451"/>
      <c r="K644" s="1452"/>
      <c r="L644" s="1447"/>
      <c r="M644" s="1453"/>
      <c r="N644" s="1454"/>
      <c r="O644" s="1455"/>
    </row>
    <row r="645">
      <c r="A645" s="1456"/>
      <c r="B645" s="1457"/>
      <c r="C645" s="1458"/>
      <c r="D645" s="1460"/>
      <c r="E645" s="1459"/>
      <c r="F645" s="1460"/>
      <c r="G645" s="1460"/>
      <c r="H645" s="1460"/>
      <c r="I645" s="1460"/>
      <c r="J645" s="1460"/>
      <c r="K645" s="1460"/>
      <c r="L645" s="1460"/>
      <c r="M645" s="186"/>
      <c r="N645" s="1461"/>
      <c r="O645" s="1462"/>
    </row>
    <row r="646">
      <c r="A646" s="1442"/>
      <c r="B646" s="1443"/>
      <c r="C646" s="1444"/>
      <c r="D646" s="1450"/>
      <c r="E646" s="1446"/>
      <c r="F646" s="1447"/>
      <c r="G646" s="1448"/>
      <c r="H646" s="1449"/>
      <c r="I646" s="1450"/>
      <c r="J646" s="1451"/>
      <c r="K646" s="1452"/>
      <c r="L646" s="1447"/>
      <c r="M646" s="1453"/>
      <c r="N646" s="1454"/>
      <c r="O646" s="1455"/>
    </row>
    <row r="647">
      <c r="A647" s="1456"/>
      <c r="B647" s="1457"/>
      <c r="C647" s="1458"/>
      <c r="D647" s="1460"/>
      <c r="E647" s="1459"/>
      <c r="F647" s="1460"/>
      <c r="G647" s="1460"/>
      <c r="H647" s="1460"/>
      <c r="I647" s="1460"/>
      <c r="J647" s="1460"/>
      <c r="K647" s="1460"/>
      <c r="L647" s="1460"/>
      <c r="M647" s="186"/>
      <c r="N647" s="1461"/>
      <c r="O647" s="1462"/>
    </row>
    <row r="648">
      <c r="A648" s="1442"/>
      <c r="B648" s="1443"/>
      <c r="C648" s="1444"/>
      <c r="D648" s="1450"/>
      <c r="E648" s="1446"/>
      <c r="F648" s="1447"/>
      <c r="G648" s="1448"/>
      <c r="H648" s="1449"/>
      <c r="I648" s="1450"/>
      <c r="J648" s="1451"/>
      <c r="K648" s="1452"/>
      <c r="L648" s="1447"/>
      <c r="M648" s="1453"/>
      <c r="N648" s="1454"/>
      <c r="O648" s="1455"/>
    </row>
    <row r="649">
      <c r="A649" s="1456"/>
      <c r="B649" s="1457"/>
      <c r="C649" s="1458"/>
      <c r="D649" s="1460"/>
      <c r="E649" s="1459"/>
      <c r="F649" s="1460"/>
      <c r="G649" s="1460"/>
      <c r="H649" s="1460"/>
      <c r="I649" s="1460"/>
      <c r="J649" s="1460"/>
      <c r="K649" s="1460"/>
      <c r="L649" s="1460"/>
      <c r="M649" s="186"/>
      <c r="N649" s="1461"/>
      <c r="O649" s="1462"/>
    </row>
    <row r="650">
      <c r="A650" s="1442"/>
      <c r="B650" s="1443"/>
      <c r="C650" s="1444"/>
      <c r="D650" s="1450"/>
      <c r="E650" s="1446"/>
      <c r="F650" s="1447"/>
      <c r="G650" s="1448"/>
      <c r="H650" s="1449"/>
      <c r="I650" s="1450"/>
      <c r="J650" s="1451"/>
      <c r="K650" s="1452"/>
      <c r="L650" s="1447"/>
      <c r="M650" s="1453"/>
      <c r="N650" s="1454"/>
      <c r="O650" s="1455"/>
    </row>
    <row r="651">
      <c r="A651" s="1456"/>
      <c r="B651" s="1457"/>
      <c r="C651" s="1458"/>
      <c r="D651" s="1460"/>
      <c r="E651" s="1459"/>
      <c r="F651" s="1460"/>
      <c r="G651" s="1460"/>
      <c r="H651" s="1460"/>
      <c r="I651" s="1460"/>
      <c r="J651" s="1460"/>
      <c r="K651" s="1460"/>
      <c r="L651" s="1460"/>
      <c r="M651" s="186"/>
      <c r="N651" s="1461"/>
      <c r="O651" s="1462"/>
    </row>
    <row r="652">
      <c r="A652" s="1442"/>
      <c r="B652" s="1443"/>
      <c r="C652" s="1444"/>
      <c r="D652" s="1450"/>
      <c r="E652" s="1446"/>
      <c r="F652" s="1447"/>
      <c r="G652" s="1448"/>
      <c r="H652" s="1449"/>
      <c r="I652" s="1450"/>
      <c r="J652" s="1451"/>
      <c r="K652" s="1452"/>
      <c r="L652" s="1447"/>
      <c r="M652" s="1453"/>
      <c r="N652" s="1454"/>
      <c r="O652" s="1455"/>
    </row>
    <row r="653">
      <c r="A653" s="1456"/>
      <c r="B653" s="1457"/>
      <c r="C653" s="1458"/>
      <c r="D653" s="1460"/>
      <c r="E653" s="1459"/>
      <c r="F653" s="1460"/>
      <c r="G653" s="1460"/>
      <c r="H653" s="1460"/>
      <c r="I653" s="1460"/>
      <c r="J653" s="1460"/>
      <c r="K653" s="1460"/>
      <c r="L653" s="1460"/>
      <c r="M653" s="186"/>
      <c r="N653" s="1461"/>
      <c r="O653" s="1462"/>
    </row>
    <row r="654">
      <c r="A654" s="1442"/>
      <c r="B654" s="1443"/>
      <c r="C654" s="1444"/>
      <c r="D654" s="1450"/>
      <c r="E654" s="1446"/>
      <c r="F654" s="1447"/>
      <c r="G654" s="1448"/>
      <c r="H654" s="1449"/>
      <c r="I654" s="1450"/>
      <c r="J654" s="1451"/>
      <c r="K654" s="1452"/>
      <c r="L654" s="1447"/>
      <c r="M654" s="1453"/>
      <c r="N654" s="1454"/>
      <c r="O654" s="1455"/>
    </row>
    <row r="655">
      <c r="A655" s="1456"/>
      <c r="B655" s="1457"/>
      <c r="C655" s="1458"/>
      <c r="D655" s="1460"/>
      <c r="E655" s="1459"/>
      <c r="F655" s="1460"/>
      <c r="G655" s="1460"/>
      <c r="H655" s="1460"/>
      <c r="I655" s="1460"/>
      <c r="J655" s="1460"/>
      <c r="K655" s="1460"/>
      <c r="L655" s="1460"/>
      <c r="M655" s="186"/>
      <c r="N655" s="1461"/>
      <c r="O655" s="1462"/>
    </row>
    <row r="656">
      <c r="A656" s="1442"/>
      <c r="B656" s="1443"/>
      <c r="C656" s="1444"/>
      <c r="D656" s="1450"/>
      <c r="E656" s="1446"/>
      <c r="F656" s="1447"/>
      <c r="G656" s="1448"/>
      <c r="H656" s="1449"/>
      <c r="I656" s="1450"/>
      <c r="J656" s="1451"/>
      <c r="K656" s="1452"/>
      <c r="L656" s="1447"/>
      <c r="M656" s="1453"/>
      <c r="N656" s="1454"/>
      <c r="O656" s="1455"/>
    </row>
    <row r="657">
      <c r="A657" s="1456"/>
      <c r="B657" s="1457"/>
      <c r="C657" s="1458"/>
      <c r="D657" s="1460"/>
      <c r="E657" s="1459"/>
      <c r="F657" s="1460"/>
      <c r="G657" s="1460"/>
      <c r="H657" s="1460"/>
      <c r="I657" s="1460"/>
      <c r="J657" s="1460"/>
      <c r="K657" s="1460"/>
      <c r="L657" s="1460"/>
      <c r="M657" s="186"/>
      <c r="N657" s="1461"/>
      <c r="O657" s="1462"/>
    </row>
    <row r="658">
      <c r="A658" s="1442"/>
      <c r="B658" s="1443"/>
      <c r="C658" s="1444"/>
      <c r="D658" s="1450"/>
      <c r="E658" s="1446"/>
      <c r="F658" s="1447"/>
      <c r="G658" s="1448"/>
      <c r="H658" s="1449"/>
      <c r="I658" s="1450"/>
      <c r="J658" s="1451"/>
      <c r="K658" s="1452"/>
      <c r="L658" s="1447"/>
      <c r="M658" s="1453"/>
      <c r="N658" s="1454"/>
      <c r="O658" s="1455"/>
    </row>
    <row r="659">
      <c r="A659" s="1456"/>
      <c r="B659" s="1457"/>
      <c r="C659" s="1458"/>
      <c r="D659" s="1460"/>
      <c r="E659" s="1459"/>
      <c r="F659" s="1460"/>
      <c r="G659" s="1460"/>
      <c r="H659" s="1460"/>
      <c r="I659" s="1460"/>
      <c r="J659" s="1460"/>
      <c r="K659" s="1460"/>
      <c r="L659" s="1460"/>
      <c r="M659" s="186"/>
      <c r="N659" s="1461"/>
      <c r="O659" s="1462"/>
    </row>
    <row r="660">
      <c r="A660" s="1442"/>
      <c r="B660" s="1443"/>
      <c r="C660" s="1444"/>
      <c r="D660" s="1450"/>
      <c r="E660" s="1446"/>
      <c r="F660" s="1447"/>
      <c r="G660" s="1448"/>
      <c r="H660" s="1449"/>
      <c r="I660" s="1450"/>
      <c r="J660" s="1451"/>
      <c r="K660" s="1452"/>
      <c r="L660" s="1447"/>
      <c r="M660" s="1453"/>
      <c r="N660" s="1454"/>
      <c r="O660" s="1455"/>
    </row>
    <row r="661">
      <c r="A661" s="1456"/>
      <c r="B661" s="1457"/>
      <c r="C661" s="1458"/>
      <c r="D661" s="1460"/>
      <c r="E661" s="1459"/>
      <c r="F661" s="1460"/>
      <c r="G661" s="1460"/>
      <c r="H661" s="1460"/>
      <c r="I661" s="1460"/>
      <c r="J661" s="1460"/>
      <c r="K661" s="1460"/>
      <c r="L661" s="1460"/>
      <c r="M661" s="186"/>
      <c r="N661" s="1461"/>
      <c r="O661" s="1462"/>
    </row>
    <row r="662">
      <c r="A662" s="1442"/>
      <c r="B662" s="1443"/>
      <c r="C662" s="1444"/>
      <c r="D662" s="1450"/>
      <c r="E662" s="1446"/>
      <c r="F662" s="1447"/>
      <c r="G662" s="1448"/>
      <c r="H662" s="1449"/>
      <c r="I662" s="1450"/>
      <c r="J662" s="1451"/>
      <c r="K662" s="1452"/>
      <c r="L662" s="1447"/>
      <c r="M662" s="1453"/>
      <c r="N662" s="1454"/>
      <c r="O662" s="1455"/>
    </row>
    <row r="663">
      <c r="A663" s="1456"/>
      <c r="B663" s="1457"/>
      <c r="C663" s="1458"/>
      <c r="D663" s="1460"/>
      <c r="E663" s="1459"/>
      <c r="F663" s="1460"/>
      <c r="G663" s="1460"/>
      <c r="H663" s="1460"/>
      <c r="I663" s="1460"/>
      <c r="J663" s="1460"/>
      <c r="K663" s="1460"/>
      <c r="L663" s="1460"/>
      <c r="M663" s="186"/>
      <c r="N663" s="1461"/>
      <c r="O663" s="1462"/>
    </row>
    <row r="664">
      <c r="A664" s="1442"/>
      <c r="B664" s="1443"/>
      <c r="C664" s="1444"/>
      <c r="D664" s="1450"/>
      <c r="E664" s="1446"/>
      <c r="F664" s="1447"/>
      <c r="G664" s="1448"/>
      <c r="H664" s="1449"/>
      <c r="I664" s="1450"/>
      <c r="J664" s="1451"/>
      <c r="K664" s="1452"/>
      <c r="L664" s="1447"/>
      <c r="M664" s="1453"/>
      <c r="N664" s="1454"/>
      <c r="O664" s="1455"/>
    </row>
    <row r="665">
      <c r="A665" s="1456"/>
      <c r="B665" s="1457"/>
      <c r="C665" s="1458"/>
      <c r="D665" s="1460"/>
      <c r="E665" s="1459"/>
      <c r="F665" s="1460"/>
      <c r="G665" s="1460"/>
      <c r="H665" s="1460"/>
      <c r="I665" s="1460"/>
      <c r="J665" s="1460"/>
      <c r="K665" s="1460"/>
      <c r="L665" s="1460"/>
      <c r="M665" s="186"/>
      <c r="N665" s="1461"/>
      <c r="O665" s="1462"/>
    </row>
    <row r="666">
      <c r="A666" s="1442"/>
      <c r="B666" s="1443"/>
      <c r="C666" s="1444"/>
      <c r="D666" s="1450"/>
      <c r="E666" s="1446"/>
      <c r="F666" s="1447"/>
      <c r="G666" s="1448"/>
      <c r="H666" s="1449"/>
      <c r="I666" s="1450"/>
      <c r="J666" s="1451"/>
      <c r="K666" s="1452"/>
      <c r="L666" s="1447"/>
      <c r="M666" s="1453"/>
      <c r="N666" s="1454"/>
      <c r="O666" s="1455"/>
    </row>
    <row r="667">
      <c r="A667" s="1456"/>
      <c r="B667" s="1457"/>
      <c r="C667" s="1458"/>
      <c r="D667" s="1460"/>
      <c r="E667" s="1459"/>
      <c r="F667" s="1460"/>
      <c r="G667" s="1460"/>
      <c r="H667" s="1460"/>
      <c r="I667" s="1460"/>
      <c r="J667" s="1460"/>
      <c r="K667" s="1460"/>
      <c r="L667" s="1460"/>
      <c r="M667" s="186"/>
      <c r="N667" s="1461"/>
      <c r="O667" s="1462"/>
    </row>
    <row r="668">
      <c r="A668" s="1442"/>
      <c r="B668" s="1443"/>
      <c r="C668" s="1444"/>
      <c r="D668" s="1450"/>
      <c r="E668" s="1446"/>
      <c r="F668" s="1447"/>
      <c r="G668" s="1448"/>
      <c r="H668" s="1449"/>
      <c r="I668" s="1450"/>
      <c r="J668" s="1451"/>
      <c r="K668" s="1452"/>
      <c r="L668" s="1447"/>
      <c r="M668" s="1453"/>
      <c r="N668" s="1454"/>
      <c r="O668" s="1455"/>
    </row>
    <row r="669">
      <c r="A669" s="1456"/>
      <c r="B669" s="1457"/>
      <c r="C669" s="1458"/>
      <c r="D669" s="1460"/>
      <c r="E669" s="1459"/>
      <c r="F669" s="1460"/>
      <c r="G669" s="1460"/>
      <c r="H669" s="1460"/>
      <c r="I669" s="1460"/>
      <c r="J669" s="1460"/>
      <c r="K669" s="1460"/>
      <c r="L669" s="1460"/>
      <c r="M669" s="186"/>
      <c r="N669" s="1461"/>
      <c r="O669" s="1462"/>
    </row>
    <row r="670">
      <c r="A670" s="1442"/>
      <c r="B670" s="1443"/>
      <c r="C670" s="1444"/>
      <c r="D670" s="1450"/>
      <c r="E670" s="1446"/>
      <c r="F670" s="1447"/>
      <c r="G670" s="1448"/>
      <c r="H670" s="1449"/>
      <c r="I670" s="1450"/>
      <c r="J670" s="1451"/>
      <c r="K670" s="1452"/>
      <c r="L670" s="1447"/>
      <c r="M670" s="1453"/>
      <c r="N670" s="1454"/>
      <c r="O670" s="1455"/>
    </row>
    <row r="671">
      <c r="A671" s="1456"/>
      <c r="B671" s="1457"/>
      <c r="C671" s="1458"/>
      <c r="D671" s="1460"/>
      <c r="E671" s="1459"/>
      <c r="F671" s="1460"/>
      <c r="G671" s="1460"/>
      <c r="H671" s="1460"/>
      <c r="I671" s="1460"/>
      <c r="J671" s="1460"/>
      <c r="K671" s="1460"/>
      <c r="L671" s="1460"/>
      <c r="M671" s="186"/>
      <c r="N671" s="1461"/>
      <c r="O671" s="1462"/>
    </row>
    <row r="672">
      <c r="A672" s="1442"/>
      <c r="B672" s="1443"/>
      <c r="C672" s="1444"/>
      <c r="D672" s="1450"/>
      <c r="E672" s="1446"/>
      <c r="F672" s="1447"/>
      <c r="G672" s="1448"/>
      <c r="H672" s="1449"/>
      <c r="I672" s="1450"/>
      <c r="J672" s="1451"/>
      <c r="K672" s="1452"/>
      <c r="L672" s="1447"/>
      <c r="M672" s="1453"/>
      <c r="N672" s="1454"/>
      <c r="O672" s="1455"/>
    </row>
    <row r="673">
      <c r="A673" s="1456"/>
      <c r="B673" s="1457"/>
      <c r="C673" s="1458"/>
      <c r="D673" s="1460"/>
      <c r="E673" s="1459"/>
      <c r="F673" s="1460"/>
      <c r="G673" s="1460"/>
      <c r="H673" s="1460"/>
      <c r="I673" s="1460"/>
      <c r="J673" s="1460"/>
      <c r="K673" s="1460"/>
      <c r="L673" s="1460"/>
      <c r="M673" s="186"/>
      <c r="N673" s="1461"/>
      <c r="O673" s="1462"/>
    </row>
    <row r="674">
      <c r="A674" s="1442"/>
      <c r="B674" s="1443"/>
      <c r="C674" s="1444"/>
      <c r="D674" s="1450"/>
      <c r="E674" s="1446"/>
      <c r="F674" s="1447"/>
      <c r="G674" s="1448"/>
      <c r="H674" s="1449"/>
      <c r="I674" s="1450"/>
      <c r="J674" s="1451"/>
      <c r="K674" s="1452"/>
      <c r="L674" s="1447"/>
      <c r="M674" s="1453"/>
      <c r="N674" s="1454"/>
      <c r="O674" s="1455"/>
    </row>
    <row r="675">
      <c r="A675" s="1456"/>
      <c r="B675" s="1457"/>
      <c r="C675" s="1458"/>
      <c r="D675" s="1460"/>
      <c r="E675" s="1459"/>
      <c r="F675" s="1460"/>
      <c r="G675" s="1460"/>
      <c r="H675" s="1460"/>
      <c r="I675" s="1460"/>
      <c r="J675" s="1460"/>
      <c r="K675" s="1460"/>
      <c r="L675" s="1460"/>
      <c r="M675" s="186"/>
      <c r="N675" s="1461"/>
      <c r="O675" s="1462"/>
    </row>
    <row r="676">
      <c r="A676" s="1442"/>
      <c r="B676" s="1443"/>
      <c r="C676" s="1444"/>
      <c r="D676" s="1450"/>
      <c r="E676" s="1446"/>
      <c r="F676" s="1447"/>
      <c r="G676" s="1448"/>
      <c r="H676" s="1449"/>
      <c r="I676" s="1450"/>
      <c r="J676" s="1451"/>
      <c r="K676" s="1452"/>
      <c r="L676" s="1447"/>
      <c r="M676" s="1453"/>
      <c r="N676" s="1454"/>
      <c r="O676" s="1455"/>
    </row>
    <row r="677">
      <c r="A677" s="1456"/>
      <c r="B677" s="1457"/>
      <c r="C677" s="1458"/>
      <c r="D677" s="1460"/>
      <c r="E677" s="1459"/>
      <c r="F677" s="1460"/>
      <c r="G677" s="1460"/>
      <c r="H677" s="1460"/>
      <c r="I677" s="1460"/>
      <c r="J677" s="1460"/>
      <c r="K677" s="1460"/>
      <c r="L677" s="1460"/>
      <c r="M677" s="186"/>
      <c r="N677" s="1461"/>
      <c r="O677" s="1462"/>
    </row>
    <row r="678">
      <c r="A678" s="1442"/>
      <c r="B678" s="1443"/>
      <c r="C678" s="1444"/>
      <c r="D678" s="1450"/>
      <c r="E678" s="1446"/>
      <c r="F678" s="1447"/>
      <c r="G678" s="1448"/>
      <c r="H678" s="1449"/>
      <c r="I678" s="1450"/>
      <c r="J678" s="1451"/>
      <c r="K678" s="1452"/>
      <c r="L678" s="1447"/>
      <c r="M678" s="1453"/>
      <c r="N678" s="1454"/>
      <c r="O678" s="1455"/>
    </row>
    <row r="679">
      <c r="A679" s="1456"/>
      <c r="B679" s="1457"/>
      <c r="C679" s="1458"/>
      <c r="D679" s="1460"/>
      <c r="E679" s="1459"/>
      <c r="F679" s="1460"/>
      <c r="G679" s="1460"/>
      <c r="H679" s="1460"/>
      <c r="I679" s="1460"/>
      <c r="J679" s="1460"/>
      <c r="K679" s="1460"/>
      <c r="L679" s="1460"/>
      <c r="M679" s="186"/>
      <c r="N679" s="1461"/>
      <c r="O679" s="1462"/>
    </row>
    <row r="680">
      <c r="A680" s="1442"/>
      <c r="B680" s="1443"/>
      <c r="C680" s="1444"/>
      <c r="D680" s="1450"/>
      <c r="E680" s="1446"/>
      <c r="F680" s="1447"/>
      <c r="G680" s="1448"/>
      <c r="H680" s="1449"/>
      <c r="I680" s="1450"/>
      <c r="J680" s="1451"/>
      <c r="K680" s="1452"/>
      <c r="L680" s="1447"/>
      <c r="M680" s="1453"/>
      <c r="N680" s="1454"/>
      <c r="O680" s="1455"/>
    </row>
    <row r="681">
      <c r="A681" s="1456"/>
      <c r="B681" s="1457"/>
      <c r="C681" s="1458"/>
      <c r="D681" s="1460"/>
      <c r="E681" s="1459"/>
      <c r="F681" s="1460"/>
      <c r="G681" s="1460"/>
      <c r="H681" s="1460"/>
      <c r="I681" s="1460"/>
      <c r="J681" s="1460"/>
      <c r="K681" s="1460"/>
      <c r="L681" s="1460"/>
      <c r="M681" s="186"/>
      <c r="N681" s="1461"/>
      <c r="O681" s="1462"/>
    </row>
    <row r="682">
      <c r="A682" s="1442"/>
      <c r="B682" s="1443"/>
      <c r="C682" s="1444"/>
      <c r="D682" s="1450"/>
      <c r="E682" s="1446"/>
      <c r="F682" s="1447"/>
      <c r="G682" s="1448"/>
      <c r="H682" s="1449"/>
      <c r="I682" s="1450"/>
      <c r="J682" s="1451"/>
      <c r="K682" s="1452"/>
      <c r="L682" s="1447"/>
      <c r="M682" s="1453"/>
      <c r="N682" s="1454"/>
      <c r="O682" s="1455"/>
    </row>
    <row r="683">
      <c r="A683" s="1456"/>
      <c r="B683" s="1457"/>
      <c r="C683" s="1458"/>
      <c r="D683" s="1460"/>
      <c r="E683" s="1459"/>
      <c r="F683" s="1460"/>
      <c r="G683" s="1460"/>
      <c r="H683" s="1460"/>
      <c r="I683" s="1460"/>
      <c r="J683" s="1460"/>
      <c r="K683" s="1460"/>
      <c r="L683" s="1460"/>
      <c r="M683" s="186"/>
      <c r="N683" s="1461"/>
      <c r="O683" s="1462"/>
    </row>
    <row r="684">
      <c r="A684" s="1442"/>
      <c r="B684" s="1443"/>
      <c r="C684" s="1444"/>
      <c r="D684" s="1450"/>
      <c r="E684" s="1446"/>
      <c r="F684" s="1447"/>
      <c r="G684" s="1448"/>
      <c r="H684" s="1449"/>
      <c r="I684" s="1450"/>
      <c r="J684" s="1451"/>
      <c r="K684" s="1452"/>
      <c r="L684" s="1447"/>
      <c r="M684" s="1453"/>
      <c r="N684" s="1454"/>
      <c r="O684" s="1455"/>
    </row>
    <row r="685">
      <c r="A685" s="1456"/>
      <c r="B685" s="1457"/>
      <c r="C685" s="1458"/>
      <c r="D685" s="1460"/>
      <c r="E685" s="1459"/>
      <c r="F685" s="1460"/>
      <c r="G685" s="1460"/>
      <c r="H685" s="1460"/>
      <c r="I685" s="1460"/>
      <c r="J685" s="1460"/>
      <c r="K685" s="1460"/>
      <c r="L685" s="1460"/>
      <c r="M685" s="186"/>
      <c r="N685" s="1461"/>
      <c r="O685" s="1462"/>
    </row>
    <row r="686">
      <c r="A686" s="1442"/>
      <c r="B686" s="1443"/>
      <c r="C686" s="1444"/>
      <c r="D686" s="1450"/>
      <c r="E686" s="1446"/>
      <c r="F686" s="1447"/>
      <c r="G686" s="1448"/>
      <c r="H686" s="1449"/>
      <c r="I686" s="1450"/>
      <c r="J686" s="1451"/>
      <c r="K686" s="1452"/>
      <c r="L686" s="1447"/>
      <c r="M686" s="1453"/>
      <c r="N686" s="1454"/>
      <c r="O686" s="1455"/>
    </row>
    <row r="687">
      <c r="A687" s="1456"/>
      <c r="B687" s="1457"/>
      <c r="C687" s="1458"/>
      <c r="D687" s="1460"/>
      <c r="E687" s="1459"/>
      <c r="F687" s="1460"/>
      <c r="G687" s="1460"/>
      <c r="H687" s="1460"/>
      <c r="I687" s="1460"/>
      <c r="J687" s="1460"/>
      <c r="K687" s="1460"/>
      <c r="L687" s="1460"/>
      <c r="M687" s="186"/>
      <c r="N687" s="1461"/>
      <c r="O687" s="1462"/>
    </row>
    <row r="688">
      <c r="A688" s="1442"/>
      <c r="B688" s="1443"/>
      <c r="C688" s="1444"/>
      <c r="D688" s="1450"/>
      <c r="E688" s="1446"/>
      <c r="F688" s="1447"/>
      <c r="G688" s="1448"/>
      <c r="H688" s="1449"/>
      <c r="I688" s="1450"/>
      <c r="J688" s="1451"/>
      <c r="K688" s="1452"/>
      <c r="L688" s="1447"/>
      <c r="M688" s="1453"/>
      <c r="N688" s="1454"/>
      <c r="O688" s="1455"/>
    </row>
    <row r="689">
      <c r="A689" s="1456"/>
      <c r="B689" s="1457"/>
      <c r="C689" s="1458"/>
      <c r="D689" s="1460"/>
      <c r="E689" s="1459"/>
      <c r="F689" s="1460"/>
      <c r="G689" s="1460"/>
      <c r="H689" s="1460"/>
      <c r="I689" s="1460"/>
      <c r="J689" s="1460"/>
      <c r="K689" s="1460"/>
      <c r="L689" s="1460"/>
      <c r="M689" s="186"/>
      <c r="N689" s="1461"/>
      <c r="O689" s="1462"/>
    </row>
    <row r="690">
      <c r="A690" s="1442"/>
      <c r="B690" s="1443"/>
      <c r="C690" s="1444"/>
      <c r="D690" s="1450"/>
      <c r="E690" s="1446"/>
      <c r="F690" s="1447"/>
      <c r="G690" s="1448"/>
      <c r="H690" s="1449"/>
      <c r="I690" s="1450"/>
      <c r="J690" s="1451"/>
      <c r="K690" s="1452"/>
      <c r="L690" s="1447"/>
      <c r="M690" s="1453"/>
      <c r="N690" s="1454"/>
      <c r="O690" s="1455"/>
    </row>
    <row r="691">
      <c r="A691" s="1456"/>
      <c r="B691" s="1457"/>
      <c r="C691" s="1458"/>
      <c r="D691" s="1460"/>
      <c r="E691" s="1459"/>
      <c r="F691" s="1460"/>
      <c r="G691" s="1460"/>
      <c r="H691" s="1460"/>
      <c r="I691" s="1460"/>
      <c r="J691" s="1460"/>
      <c r="K691" s="1460"/>
      <c r="L691" s="1460"/>
      <c r="M691" s="186"/>
      <c r="N691" s="1461"/>
      <c r="O691" s="1462"/>
    </row>
    <row r="692">
      <c r="A692" s="1442"/>
      <c r="B692" s="1443"/>
      <c r="C692" s="1444"/>
      <c r="D692" s="1450"/>
      <c r="E692" s="1446"/>
      <c r="F692" s="1447"/>
      <c r="G692" s="1448"/>
      <c r="H692" s="1449"/>
      <c r="I692" s="1450"/>
      <c r="J692" s="1451"/>
      <c r="K692" s="1452"/>
      <c r="L692" s="1447"/>
      <c r="M692" s="1453"/>
      <c r="N692" s="1454"/>
      <c r="O692" s="1455"/>
    </row>
    <row r="693">
      <c r="A693" s="1456"/>
      <c r="B693" s="1457"/>
      <c r="C693" s="1458"/>
      <c r="D693" s="1460"/>
      <c r="E693" s="1459"/>
      <c r="F693" s="1460"/>
      <c r="G693" s="1460"/>
      <c r="H693" s="1460"/>
      <c r="I693" s="1460"/>
      <c r="J693" s="1460"/>
      <c r="K693" s="1460"/>
      <c r="L693" s="1460"/>
      <c r="M693" s="186"/>
      <c r="N693" s="1461"/>
      <c r="O693" s="1462"/>
    </row>
    <row r="694">
      <c r="A694" s="1442"/>
      <c r="B694" s="1443"/>
      <c r="C694" s="1444"/>
      <c r="D694" s="1450"/>
      <c r="E694" s="1446"/>
      <c r="F694" s="1447"/>
      <c r="G694" s="1448"/>
      <c r="H694" s="1449"/>
      <c r="I694" s="1450"/>
      <c r="J694" s="1451"/>
      <c r="K694" s="1452"/>
      <c r="L694" s="1447"/>
      <c r="M694" s="1453"/>
      <c r="N694" s="1454"/>
      <c r="O694" s="1455"/>
    </row>
    <row r="695">
      <c r="A695" s="1456"/>
      <c r="B695" s="1457"/>
      <c r="C695" s="1458"/>
      <c r="D695" s="1460"/>
      <c r="E695" s="1459"/>
      <c r="F695" s="1460"/>
      <c r="G695" s="1460"/>
      <c r="H695" s="1460"/>
      <c r="I695" s="1460"/>
      <c r="J695" s="1460"/>
      <c r="K695" s="1460"/>
      <c r="L695" s="1460"/>
      <c r="M695" s="186"/>
      <c r="N695" s="1461"/>
      <c r="O695" s="1462"/>
    </row>
    <row r="696">
      <c r="A696" s="1442"/>
      <c r="B696" s="1443"/>
      <c r="C696" s="1444"/>
      <c r="D696" s="1450"/>
      <c r="E696" s="1446"/>
      <c r="F696" s="1447"/>
      <c r="G696" s="1448"/>
      <c r="H696" s="1449"/>
      <c r="I696" s="1450"/>
      <c r="J696" s="1451"/>
      <c r="K696" s="1452"/>
      <c r="L696" s="1447"/>
      <c r="M696" s="1453"/>
      <c r="N696" s="1454"/>
      <c r="O696" s="1455"/>
    </row>
    <row r="697">
      <c r="A697" s="1456"/>
      <c r="B697" s="1457"/>
      <c r="C697" s="1458"/>
      <c r="D697" s="1460"/>
      <c r="E697" s="1459"/>
      <c r="F697" s="1460"/>
      <c r="G697" s="1460"/>
      <c r="H697" s="1460"/>
      <c r="I697" s="1460"/>
      <c r="J697" s="1460"/>
      <c r="K697" s="1460"/>
      <c r="L697" s="1460"/>
      <c r="M697" s="186"/>
      <c r="N697" s="1461"/>
      <c r="O697" s="1462"/>
    </row>
    <row r="698">
      <c r="A698" s="1442"/>
      <c r="B698" s="1443"/>
      <c r="C698" s="1444"/>
      <c r="D698" s="1450"/>
      <c r="E698" s="1446"/>
      <c r="F698" s="1447"/>
      <c r="G698" s="1448"/>
      <c r="H698" s="1449"/>
      <c r="I698" s="1450"/>
      <c r="J698" s="1451"/>
      <c r="K698" s="1452"/>
      <c r="L698" s="1447"/>
      <c r="M698" s="1453"/>
      <c r="N698" s="1454"/>
      <c r="O698" s="1455"/>
    </row>
    <row r="699">
      <c r="A699" s="1456"/>
      <c r="B699" s="1457"/>
      <c r="C699" s="1458"/>
      <c r="D699" s="1460"/>
      <c r="E699" s="1459"/>
      <c r="F699" s="1460"/>
      <c r="G699" s="1460"/>
      <c r="H699" s="1460"/>
      <c r="I699" s="1460"/>
      <c r="J699" s="1460"/>
      <c r="K699" s="1460"/>
      <c r="L699" s="1460"/>
      <c r="M699" s="186"/>
      <c r="N699" s="1461"/>
      <c r="O699" s="1462"/>
    </row>
    <row r="700">
      <c r="A700" s="1442"/>
      <c r="B700" s="1443"/>
      <c r="C700" s="1444"/>
      <c r="D700" s="1450"/>
      <c r="E700" s="1446"/>
      <c r="F700" s="1447"/>
      <c r="G700" s="1448"/>
      <c r="H700" s="1449"/>
      <c r="I700" s="1450"/>
      <c r="J700" s="1451"/>
      <c r="K700" s="1452"/>
      <c r="L700" s="1447"/>
      <c r="M700" s="1453"/>
      <c r="N700" s="1454"/>
      <c r="O700" s="1455"/>
    </row>
    <row r="701">
      <c r="A701" s="1456"/>
      <c r="B701" s="1457"/>
      <c r="C701" s="1458"/>
      <c r="D701" s="1460"/>
      <c r="E701" s="1459"/>
      <c r="F701" s="1460"/>
      <c r="G701" s="1460"/>
      <c r="H701" s="1460"/>
      <c r="I701" s="1460"/>
      <c r="J701" s="1460"/>
      <c r="K701" s="1460"/>
      <c r="L701" s="1460"/>
      <c r="M701" s="186"/>
      <c r="N701" s="1461"/>
      <c r="O701" s="1462"/>
    </row>
    <row r="702">
      <c r="A702" s="1442"/>
      <c r="B702" s="1443"/>
      <c r="C702" s="1444"/>
      <c r="D702" s="1450"/>
      <c r="E702" s="1446"/>
      <c r="F702" s="1447"/>
      <c r="G702" s="1448"/>
      <c r="H702" s="1449"/>
      <c r="I702" s="1450"/>
      <c r="J702" s="1451"/>
      <c r="K702" s="1452"/>
      <c r="L702" s="1447"/>
      <c r="M702" s="1453"/>
      <c r="N702" s="1454"/>
      <c r="O702" s="1455"/>
    </row>
    <row r="703">
      <c r="A703" s="1456"/>
      <c r="B703" s="1457"/>
      <c r="C703" s="1458"/>
      <c r="D703" s="1460"/>
      <c r="E703" s="1459"/>
      <c r="F703" s="1460"/>
      <c r="G703" s="1460"/>
      <c r="H703" s="1460"/>
      <c r="I703" s="1460"/>
      <c r="J703" s="1460"/>
      <c r="K703" s="1460"/>
      <c r="L703" s="1460"/>
      <c r="M703" s="186"/>
      <c r="N703" s="1461"/>
      <c r="O703" s="1462"/>
    </row>
    <row r="704">
      <c r="A704" s="1442"/>
      <c r="B704" s="1443"/>
      <c r="C704" s="1444"/>
      <c r="D704" s="1450"/>
      <c r="E704" s="1446"/>
      <c r="F704" s="1447"/>
      <c r="G704" s="1448"/>
      <c r="H704" s="1449"/>
      <c r="I704" s="1450"/>
      <c r="J704" s="1451"/>
      <c r="K704" s="1452"/>
      <c r="L704" s="1447"/>
      <c r="M704" s="1453"/>
      <c r="N704" s="1454"/>
      <c r="O704" s="1455"/>
    </row>
    <row r="705">
      <c r="A705" s="1456"/>
      <c r="B705" s="1457"/>
      <c r="C705" s="1458"/>
      <c r="D705" s="1460"/>
      <c r="E705" s="1459"/>
      <c r="F705" s="1460"/>
      <c r="G705" s="1460"/>
      <c r="H705" s="1460"/>
      <c r="I705" s="1460"/>
      <c r="J705" s="1460"/>
      <c r="K705" s="1460"/>
      <c r="L705" s="1460"/>
      <c r="M705" s="186"/>
      <c r="N705" s="1461"/>
      <c r="O705" s="1462"/>
    </row>
    <row r="706">
      <c r="A706" s="1442"/>
      <c r="B706" s="1443"/>
      <c r="C706" s="1444"/>
      <c r="D706" s="1450"/>
      <c r="E706" s="1446"/>
      <c r="F706" s="1447"/>
      <c r="G706" s="1448"/>
      <c r="H706" s="1449"/>
      <c r="I706" s="1450"/>
      <c r="J706" s="1451"/>
      <c r="K706" s="1452"/>
      <c r="L706" s="1447"/>
      <c r="M706" s="1453"/>
      <c r="N706" s="1454"/>
      <c r="O706" s="1455"/>
    </row>
    <row r="707">
      <c r="A707" s="1456"/>
      <c r="B707" s="1457"/>
      <c r="C707" s="1458"/>
      <c r="D707" s="1460"/>
      <c r="E707" s="1459"/>
      <c r="F707" s="1460"/>
      <c r="G707" s="1460"/>
      <c r="H707" s="1460"/>
      <c r="I707" s="1460"/>
      <c r="J707" s="1460"/>
      <c r="K707" s="1460"/>
      <c r="L707" s="1460"/>
      <c r="M707" s="186"/>
      <c r="N707" s="1461"/>
      <c r="O707" s="1462"/>
    </row>
    <row r="708">
      <c r="A708" s="1442"/>
      <c r="B708" s="1443"/>
      <c r="C708" s="1444"/>
      <c r="D708" s="1450"/>
      <c r="E708" s="1446"/>
      <c r="F708" s="1447"/>
      <c r="G708" s="1448"/>
      <c r="H708" s="1449"/>
      <c r="I708" s="1450"/>
      <c r="J708" s="1451"/>
      <c r="K708" s="1452"/>
      <c r="L708" s="1447"/>
      <c r="M708" s="1453"/>
      <c r="N708" s="1454"/>
      <c r="O708" s="1455"/>
    </row>
    <row r="709">
      <c r="A709" s="1456"/>
      <c r="B709" s="1457"/>
      <c r="C709" s="1458"/>
      <c r="D709" s="1460"/>
      <c r="E709" s="1459"/>
      <c r="F709" s="1460"/>
      <c r="G709" s="1460"/>
      <c r="H709" s="1460"/>
      <c r="I709" s="1460"/>
      <c r="J709" s="1460"/>
      <c r="K709" s="1460"/>
      <c r="L709" s="1460"/>
      <c r="M709" s="186"/>
      <c r="N709" s="1461"/>
      <c r="O709" s="1462"/>
    </row>
    <row r="710">
      <c r="A710" s="1442"/>
      <c r="B710" s="1443"/>
      <c r="C710" s="1444"/>
      <c r="D710" s="1450"/>
      <c r="E710" s="1446"/>
      <c r="F710" s="1447"/>
      <c r="G710" s="1448"/>
      <c r="H710" s="1449"/>
      <c r="I710" s="1450"/>
      <c r="J710" s="1451"/>
      <c r="K710" s="1452"/>
      <c r="L710" s="1447"/>
      <c r="M710" s="1453"/>
      <c r="N710" s="1454"/>
      <c r="O710" s="1455"/>
    </row>
    <row r="711">
      <c r="A711" s="1456"/>
      <c r="B711" s="1457"/>
      <c r="C711" s="1458"/>
      <c r="D711" s="1460"/>
      <c r="E711" s="1459"/>
      <c r="F711" s="1460"/>
      <c r="G711" s="1460"/>
      <c r="H711" s="1460"/>
      <c r="I711" s="1460"/>
      <c r="J711" s="1460"/>
      <c r="K711" s="1460"/>
      <c r="L711" s="1460"/>
      <c r="M711" s="186"/>
      <c r="N711" s="1461"/>
      <c r="O711" s="1462"/>
    </row>
    <row r="712">
      <c r="A712" s="1442"/>
      <c r="B712" s="1443"/>
      <c r="C712" s="1444"/>
      <c r="D712" s="1450"/>
      <c r="E712" s="1446"/>
      <c r="F712" s="1447"/>
      <c r="G712" s="1448"/>
      <c r="H712" s="1449"/>
      <c r="I712" s="1450"/>
      <c r="J712" s="1451"/>
      <c r="K712" s="1452"/>
      <c r="L712" s="1447"/>
      <c r="M712" s="1453"/>
      <c r="N712" s="1454"/>
      <c r="O712" s="1455"/>
    </row>
    <row r="713">
      <c r="A713" s="1456"/>
      <c r="B713" s="1457"/>
      <c r="C713" s="1458"/>
      <c r="D713" s="1460"/>
      <c r="E713" s="1459"/>
      <c r="F713" s="1460"/>
      <c r="G713" s="1460"/>
      <c r="H713" s="1460"/>
      <c r="I713" s="1460"/>
      <c r="J713" s="1460"/>
      <c r="K713" s="1460"/>
      <c r="L713" s="1460"/>
      <c r="M713" s="186"/>
      <c r="N713" s="1461"/>
      <c r="O713" s="1462"/>
    </row>
    <row r="714">
      <c r="A714" s="1442"/>
      <c r="B714" s="1443"/>
      <c r="C714" s="1444"/>
      <c r="D714" s="1450"/>
      <c r="E714" s="1446"/>
      <c r="F714" s="1447"/>
      <c r="G714" s="1448"/>
      <c r="H714" s="1449"/>
      <c r="I714" s="1450"/>
      <c r="J714" s="1451"/>
      <c r="K714" s="1452"/>
      <c r="L714" s="1447"/>
      <c r="M714" s="1453"/>
      <c r="N714" s="1454"/>
      <c r="O714" s="1455"/>
    </row>
    <row r="715">
      <c r="A715" s="1456"/>
      <c r="B715" s="1457"/>
      <c r="C715" s="1458"/>
      <c r="D715" s="1460"/>
      <c r="E715" s="1459"/>
      <c r="F715" s="1460"/>
      <c r="G715" s="1460"/>
      <c r="H715" s="1460"/>
      <c r="I715" s="1460"/>
      <c r="J715" s="1460"/>
      <c r="K715" s="1460"/>
      <c r="L715" s="1460"/>
      <c r="M715" s="186"/>
      <c r="N715" s="1461"/>
      <c r="O715" s="1462"/>
    </row>
    <row r="716">
      <c r="A716" s="1442"/>
      <c r="B716" s="1443"/>
      <c r="C716" s="1444"/>
      <c r="D716" s="1450"/>
      <c r="E716" s="1446"/>
      <c r="F716" s="1447"/>
      <c r="G716" s="1448"/>
      <c r="H716" s="1449"/>
      <c r="I716" s="1450"/>
      <c r="J716" s="1451"/>
      <c r="K716" s="1452"/>
      <c r="L716" s="1447"/>
      <c r="M716" s="1453"/>
      <c r="N716" s="1454"/>
      <c r="O716" s="1455"/>
    </row>
    <row r="717">
      <c r="A717" s="1456"/>
      <c r="B717" s="1457"/>
      <c r="C717" s="1458"/>
      <c r="D717" s="1460"/>
      <c r="E717" s="1459"/>
      <c r="F717" s="1460"/>
      <c r="G717" s="1460"/>
      <c r="H717" s="1460"/>
      <c r="I717" s="1460"/>
      <c r="J717" s="1460"/>
      <c r="K717" s="1460"/>
      <c r="L717" s="1460"/>
      <c r="M717" s="186"/>
      <c r="N717" s="1461"/>
      <c r="O717" s="1462"/>
    </row>
    <row r="718">
      <c r="A718" s="1442"/>
      <c r="B718" s="1443"/>
      <c r="C718" s="1444"/>
      <c r="D718" s="1450"/>
      <c r="E718" s="1446"/>
      <c r="F718" s="1447"/>
      <c r="G718" s="1448"/>
      <c r="H718" s="1449"/>
      <c r="I718" s="1450"/>
      <c r="J718" s="1451"/>
      <c r="K718" s="1452"/>
      <c r="L718" s="1447"/>
      <c r="M718" s="1453"/>
      <c r="N718" s="1454"/>
      <c r="O718" s="1455"/>
    </row>
    <row r="719">
      <c r="A719" s="1456"/>
      <c r="B719" s="1457"/>
      <c r="C719" s="1458"/>
      <c r="D719" s="1460"/>
      <c r="E719" s="1459"/>
      <c r="F719" s="1460"/>
      <c r="G719" s="1460"/>
      <c r="H719" s="1460"/>
      <c r="I719" s="1460"/>
      <c r="J719" s="1460"/>
      <c r="K719" s="1460"/>
      <c r="L719" s="1460"/>
      <c r="M719" s="186"/>
      <c r="N719" s="1461"/>
      <c r="O719" s="1462"/>
    </row>
    <row r="720">
      <c r="A720" s="1442"/>
      <c r="B720" s="1443"/>
      <c r="C720" s="1444"/>
      <c r="D720" s="1450"/>
      <c r="E720" s="1446"/>
      <c r="F720" s="1447"/>
      <c r="G720" s="1448"/>
      <c r="H720" s="1449"/>
      <c r="I720" s="1450"/>
      <c r="J720" s="1451"/>
      <c r="K720" s="1452"/>
      <c r="L720" s="1447"/>
      <c r="M720" s="1453"/>
      <c r="N720" s="1454"/>
      <c r="O720" s="1455"/>
    </row>
    <row r="721">
      <c r="A721" s="1456"/>
      <c r="B721" s="1457"/>
      <c r="C721" s="1458"/>
      <c r="D721" s="1460"/>
      <c r="E721" s="1459"/>
      <c r="F721" s="1460"/>
      <c r="G721" s="1460"/>
      <c r="H721" s="1460"/>
      <c r="I721" s="1460"/>
      <c r="J721" s="1460"/>
      <c r="K721" s="1460"/>
      <c r="L721" s="1460"/>
      <c r="M721" s="186"/>
      <c r="N721" s="1461"/>
      <c r="O721" s="1462"/>
    </row>
    <row r="722">
      <c r="A722" s="1442"/>
      <c r="B722" s="1443"/>
      <c r="C722" s="1444"/>
      <c r="D722" s="1450"/>
      <c r="E722" s="1446"/>
      <c r="F722" s="1447"/>
      <c r="G722" s="1448"/>
      <c r="H722" s="1449"/>
      <c r="I722" s="1450"/>
      <c r="J722" s="1451"/>
      <c r="K722" s="1452"/>
      <c r="L722" s="1447"/>
      <c r="M722" s="1453"/>
      <c r="N722" s="1454"/>
      <c r="O722" s="1455"/>
    </row>
    <row r="723">
      <c r="A723" s="1456"/>
      <c r="B723" s="1457"/>
      <c r="C723" s="1458"/>
      <c r="D723" s="1460"/>
      <c r="E723" s="1459"/>
      <c r="F723" s="1460"/>
      <c r="G723" s="1460"/>
      <c r="H723" s="1460"/>
      <c r="I723" s="1460"/>
      <c r="J723" s="1460"/>
      <c r="K723" s="1460"/>
      <c r="L723" s="1460"/>
      <c r="M723" s="186"/>
      <c r="N723" s="1461"/>
      <c r="O723" s="1462"/>
    </row>
    <row r="724">
      <c r="A724" s="1442"/>
      <c r="B724" s="1443"/>
      <c r="C724" s="1444"/>
      <c r="D724" s="1450"/>
      <c r="E724" s="1446"/>
      <c r="F724" s="1447"/>
      <c r="G724" s="1448"/>
      <c r="H724" s="1449"/>
      <c r="I724" s="1450"/>
      <c r="J724" s="1451"/>
      <c r="K724" s="1452"/>
      <c r="L724" s="1447"/>
      <c r="M724" s="1453"/>
      <c r="N724" s="1454"/>
      <c r="O724" s="1455"/>
    </row>
    <row r="725">
      <c r="A725" s="1456"/>
      <c r="B725" s="1457"/>
      <c r="C725" s="1458"/>
      <c r="D725" s="1460"/>
      <c r="E725" s="1459"/>
      <c r="F725" s="1460"/>
      <c r="G725" s="1460"/>
      <c r="H725" s="1460"/>
      <c r="I725" s="1460"/>
      <c r="J725" s="1460"/>
      <c r="K725" s="1460"/>
      <c r="L725" s="1460"/>
      <c r="M725" s="186"/>
      <c r="N725" s="1461"/>
      <c r="O725" s="1462"/>
    </row>
    <row r="726">
      <c r="A726" s="1442"/>
      <c r="B726" s="1443"/>
      <c r="C726" s="1444"/>
      <c r="D726" s="1450"/>
      <c r="E726" s="1446"/>
      <c r="F726" s="1447"/>
      <c r="G726" s="1448"/>
      <c r="H726" s="1449"/>
      <c r="I726" s="1450"/>
      <c r="J726" s="1451"/>
      <c r="K726" s="1452"/>
      <c r="L726" s="1447"/>
      <c r="M726" s="1453"/>
      <c r="N726" s="1454"/>
      <c r="O726" s="1455"/>
    </row>
    <row r="727">
      <c r="A727" s="1456"/>
      <c r="B727" s="1457"/>
      <c r="C727" s="1458"/>
      <c r="D727" s="1460"/>
      <c r="E727" s="1459"/>
      <c r="F727" s="1460"/>
      <c r="G727" s="1460"/>
      <c r="H727" s="1460"/>
      <c r="I727" s="1460"/>
      <c r="J727" s="1460"/>
      <c r="K727" s="1460"/>
      <c r="L727" s="1460"/>
      <c r="M727" s="186"/>
      <c r="N727" s="1461"/>
      <c r="O727" s="1462"/>
    </row>
    <row r="728">
      <c r="A728" s="1442"/>
      <c r="B728" s="1443"/>
      <c r="C728" s="1444"/>
      <c r="D728" s="1450"/>
      <c r="E728" s="1446"/>
      <c r="F728" s="1447"/>
      <c r="G728" s="1448"/>
      <c r="H728" s="1449"/>
      <c r="I728" s="1450"/>
      <c r="J728" s="1451"/>
      <c r="K728" s="1452"/>
      <c r="L728" s="1447"/>
      <c r="M728" s="1453"/>
      <c r="N728" s="1454"/>
      <c r="O728" s="1455"/>
    </row>
    <row r="729">
      <c r="A729" s="1456"/>
      <c r="B729" s="1457"/>
      <c r="C729" s="1458"/>
      <c r="D729" s="1460"/>
      <c r="E729" s="1459"/>
      <c r="F729" s="1460"/>
      <c r="G729" s="1460"/>
      <c r="H729" s="1460"/>
      <c r="I729" s="1460"/>
      <c r="J729" s="1460"/>
      <c r="K729" s="1460"/>
      <c r="L729" s="1460"/>
      <c r="M729" s="186"/>
      <c r="N729" s="1461"/>
      <c r="O729" s="1462"/>
    </row>
    <row r="730">
      <c r="A730" s="1442"/>
      <c r="B730" s="1443"/>
      <c r="C730" s="1444"/>
      <c r="D730" s="1450"/>
      <c r="E730" s="1446"/>
      <c r="F730" s="1447"/>
      <c r="G730" s="1448"/>
      <c r="H730" s="1449"/>
      <c r="I730" s="1450"/>
      <c r="J730" s="1451"/>
      <c r="K730" s="1452"/>
      <c r="L730" s="1447"/>
      <c r="M730" s="1453"/>
      <c r="N730" s="1454"/>
      <c r="O730" s="1455"/>
    </row>
    <row r="731">
      <c r="A731" s="1456"/>
      <c r="B731" s="1457"/>
      <c r="C731" s="1458"/>
      <c r="D731" s="1460"/>
      <c r="E731" s="1459"/>
      <c r="F731" s="1460"/>
      <c r="G731" s="1460"/>
      <c r="H731" s="1460"/>
      <c r="I731" s="1460"/>
      <c r="J731" s="1460"/>
      <c r="K731" s="1460"/>
      <c r="L731" s="1460"/>
      <c r="M731" s="186"/>
      <c r="N731" s="1461"/>
      <c r="O731" s="1462"/>
    </row>
    <row r="732">
      <c r="A732" s="1442"/>
      <c r="B732" s="1443"/>
      <c r="C732" s="1444"/>
      <c r="D732" s="1450"/>
      <c r="E732" s="1446"/>
      <c r="F732" s="1447"/>
      <c r="G732" s="1448"/>
      <c r="H732" s="1449"/>
      <c r="I732" s="1450"/>
      <c r="J732" s="1451"/>
      <c r="K732" s="1452"/>
      <c r="L732" s="1447"/>
      <c r="M732" s="1453"/>
      <c r="N732" s="1454"/>
      <c r="O732" s="1455"/>
    </row>
    <row r="733">
      <c r="A733" s="1456"/>
      <c r="B733" s="1457"/>
      <c r="C733" s="1458"/>
      <c r="D733" s="1460"/>
      <c r="E733" s="1459"/>
      <c r="F733" s="1460"/>
      <c r="G733" s="1460"/>
      <c r="H733" s="1460"/>
      <c r="I733" s="1460"/>
      <c r="J733" s="1460"/>
      <c r="K733" s="1460"/>
      <c r="L733" s="1460"/>
      <c r="M733" s="186"/>
      <c r="N733" s="1461"/>
      <c r="O733" s="1462"/>
    </row>
    <row r="734">
      <c r="A734" s="1442"/>
      <c r="B734" s="1443"/>
      <c r="C734" s="1444"/>
      <c r="D734" s="1450"/>
      <c r="E734" s="1446"/>
      <c r="F734" s="1447"/>
      <c r="G734" s="1448"/>
      <c r="H734" s="1449"/>
      <c r="I734" s="1450"/>
      <c r="J734" s="1451"/>
      <c r="K734" s="1452"/>
      <c r="L734" s="1447"/>
      <c r="M734" s="1453"/>
      <c r="N734" s="1454"/>
      <c r="O734" s="1455"/>
    </row>
    <row r="735">
      <c r="A735" s="1456"/>
      <c r="B735" s="1457"/>
      <c r="C735" s="1458"/>
      <c r="D735" s="1460"/>
      <c r="E735" s="1459"/>
      <c r="F735" s="1460"/>
      <c r="G735" s="1460"/>
      <c r="H735" s="1460"/>
      <c r="I735" s="1460"/>
      <c r="J735" s="1460"/>
      <c r="K735" s="1460"/>
      <c r="L735" s="1460"/>
      <c r="M735" s="186"/>
      <c r="N735" s="1461"/>
      <c r="O735" s="1462"/>
    </row>
    <row r="736">
      <c r="A736" s="1442"/>
      <c r="B736" s="1443"/>
      <c r="C736" s="1444"/>
      <c r="D736" s="1450"/>
      <c r="E736" s="1446"/>
      <c r="F736" s="1447"/>
      <c r="G736" s="1448"/>
      <c r="H736" s="1449"/>
      <c r="I736" s="1450"/>
      <c r="J736" s="1451"/>
      <c r="K736" s="1452"/>
      <c r="L736" s="1447"/>
      <c r="M736" s="1453"/>
      <c r="N736" s="1454"/>
      <c r="O736" s="1455"/>
    </row>
    <row r="737">
      <c r="A737" s="1456"/>
      <c r="B737" s="1457"/>
      <c r="C737" s="1458"/>
      <c r="D737" s="1460"/>
      <c r="E737" s="1459"/>
      <c r="F737" s="1460"/>
      <c r="G737" s="1460"/>
      <c r="H737" s="1460"/>
      <c r="I737" s="1460"/>
      <c r="J737" s="1460"/>
      <c r="K737" s="1460"/>
      <c r="L737" s="1460"/>
      <c r="M737" s="186"/>
      <c r="N737" s="1461"/>
      <c r="O737" s="1462"/>
    </row>
    <row r="738">
      <c r="A738" s="1442"/>
      <c r="B738" s="1443"/>
      <c r="C738" s="1444"/>
      <c r="D738" s="1450"/>
      <c r="E738" s="1446"/>
      <c r="F738" s="1447"/>
      <c r="G738" s="1448"/>
      <c r="H738" s="1449"/>
      <c r="I738" s="1450"/>
      <c r="J738" s="1451"/>
      <c r="K738" s="1452"/>
      <c r="L738" s="1447"/>
      <c r="M738" s="1453"/>
      <c r="N738" s="1454"/>
      <c r="O738" s="1455"/>
    </row>
    <row r="739">
      <c r="A739" s="1456"/>
      <c r="B739" s="1457"/>
      <c r="C739" s="1458"/>
      <c r="D739" s="1460"/>
      <c r="E739" s="1459"/>
      <c r="F739" s="1460"/>
      <c r="G739" s="1460"/>
      <c r="H739" s="1460"/>
      <c r="I739" s="1460"/>
      <c r="J739" s="1460"/>
      <c r="K739" s="1460"/>
      <c r="L739" s="1460"/>
      <c r="M739" s="186"/>
      <c r="N739" s="1461"/>
      <c r="O739" s="1462"/>
    </row>
    <row r="740">
      <c r="A740" s="1442"/>
      <c r="B740" s="1443"/>
      <c r="C740" s="1444"/>
      <c r="D740" s="1450"/>
      <c r="E740" s="1446"/>
      <c r="F740" s="1447"/>
      <c r="G740" s="1448"/>
      <c r="H740" s="1449"/>
      <c r="I740" s="1450"/>
      <c r="J740" s="1451"/>
      <c r="K740" s="1452"/>
      <c r="L740" s="1447"/>
      <c r="M740" s="1453"/>
      <c r="N740" s="1454"/>
      <c r="O740" s="1455"/>
    </row>
    <row r="741">
      <c r="A741" s="1456"/>
      <c r="B741" s="1457"/>
      <c r="C741" s="1458"/>
      <c r="D741" s="1460"/>
      <c r="E741" s="1459"/>
      <c r="F741" s="1460"/>
      <c r="G741" s="1460"/>
      <c r="H741" s="1460"/>
      <c r="I741" s="1460"/>
      <c r="J741" s="1460"/>
      <c r="K741" s="1460"/>
      <c r="L741" s="1460"/>
      <c r="M741" s="186"/>
      <c r="N741" s="1461"/>
      <c r="O741" s="1462"/>
    </row>
    <row r="742">
      <c r="A742" s="1442"/>
      <c r="B742" s="1443"/>
      <c r="C742" s="1444"/>
      <c r="D742" s="1450"/>
      <c r="E742" s="1446"/>
      <c r="F742" s="1447"/>
      <c r="G742" s="1448"/>
      <c r="H742" s="1449"/>
      <c r="I742" s="1450"/>
      <c r="J742" s="1451"/>
      <c r="K742" s="1452"/>
      <c r="L742" s="1447"/>
      <c r="M742" s="1453"/>
      <c r="N742" s="1454"/>
      <c r="O742" s="1455"/>
    </row>
    <row r="743">
      <c r="A743" s="1456"/>
      <c r="B743" s="1457"/>
      <c r="C743" s="1458"/>
      <c r="D743" s="1460"/>
      <c r="E743" s="1459"/>
      <c r="F743" s="1460"/>
      <c r="G743" s="1460"/>
      <c r="H743" s="1460"/>
      <c r="I743" s="1460"/>
      <c r="J743" s="1460"/>
      <c r="K743" s="1460"/>
      <c r="L743" s="1460"/>
      <c r="M743" s="186"/>
      <c r="N743" s="1461"/>
      <c r="O743" s="1462"/>
    </row>
    <row r="744">
      <c r="A744" s="1442"/>
      <c r="B744" s="1443"/>
      <c r="C744" s="1444"/>
      <c r="D744" s="1450"/>
      <c r="E744" s="1446"/>
      <c r="F744" s="1447"/>
      <c r="G744" s="1448"/>
      <c r="H744" s="1449"/>
      <c r="I744" s="1450"/>
      <c r="J744" s="1451"/>
      <c r="K744" s="1452"/>
      <c r="L744" s="1447"/>
      <c r="M744" s="1453"/>
      <c r="N744" s="1454"/>
      <c r="O744" s="1455"/>
    </row>
    <row r="745">
      <c r="A745" s="1456"/>
      <c r="B745" s="1457"/>
      <c r="C745" s="1458"/>
      <c r="D745" s="1460"/>
      <c r="E745" s="1459"/>
      <c r="F745" s="1460"/>
      <c r="G745" s="1460"/>
      <c r="H745" s="1460"/>
      <c r="I745" s="1460"/>
      <c r="J745" s="1460"/>
      <c r="K745" s="1460"/>
      <c r="L745" s="1460"/>
      <c r="M745" s="186"/>
      <c r="N745" s="1461"/>
      <c r="O745" s="1462"/>
    </row>
    <row r="746">
      <c r="A746" s="1442"/>
      <c r="B746" s="1443"/>
      <c r="C746" s="1444"/>
      <c r="D746" s="1450"/>
      <c r="E746" s="1446"/>
      <c r="F746" s="1447"/>
      <c r="G746" s="1448"/>
      <c r="H746" s="1449"/>
      <c r="I746" s="1450"/>
      <c r="J746" s="1451"/>
      <c r="K746" s="1452"/>
      <c r="L746" s="1447"/>
      <c r="M746" s="1453"/>
      <c r="N746" s="1454"/>
      <c r="O746" s="1455"/>
    </row>
    <row r="747">
      <c r="A747" s="1456"/>
      <c r="B747" s="1457"/>
      <c r="C747" s="1458"/>
      <c r="D747" s="1460"/>
      <c r="E747" s="1459"/>
      <c r="F747" s="1460"/>
      <c r="G747" s="1460"/>
      <c r="H747" s="1460"/>
      <c r="I747" s="1460"/>
      <c r="J747" s="1460"/>
      <c r="K747" s="1460"/>
      <c r="L747" s="1460"/>
      <c r="M747" s="186"/>
      <c r="N747" s="1461"/>
      <c r="O747" s="1462"/>
    </row>
    <row r="748">
      <c r="A748" s="1442"/>
      <c r="B748" s="1443"/>
      <c r="C748" s="1444"/>
      <c r="D748" s="1450"/>
      <c r="E748" s="1446"/>
      <c r="F748" s="1447"/>
      <c r="G748" s="1448"/>
      <c r="H748" s="1449"/>
      <c r="I748" s="1450"/>
      <c r="J748" s="1451"/>
      <c r="K748" s="1452"/>
      <c r="L748" s="1447"/>
      <c r="M748" s="1453"/>
      <c r="N748" s="1454"/>
      <c r="O748" s="1455"/>
    </row>
    <row r="749">
      <c r="A749" s="1456"/>
      <c r="B749" s="1457"/>
      <c r="C749" s="1458"/>
      <c r="D749" s="1460"/>
      <c r="E749" s="1459"/>
      <c r="F749" s="1460"/>
      <c r="G749" s="1460"/>
      <c r="H749" s="1460"/>
      <c r="I749" s="1460"/>
      <c r="J749" s="1460"/>
      <c r="K749" s="1460"/>
      <c r="L749" s="1460"/>
      <c r="M749" s="186"/>
      <c r="N749" s="1461"/>
      <c r="O749" s="1462"/>
    </row>
    <row r="750">
      <c r="A750" s="1442"/>
      <c r="B750" s="1443"/>
      <c r="C750" s="1444"/>
      <c r="D750" s="1450"/>
      <c r="E750" s="1446"/>
      <c r="F750" s="1447"/>
      <c r="G750" s="1448"/>
      <c r="H750" s="1449"/>
      <c r="I750" s="1450"/>
      <c r="J750" s="1451"/>
      <c r="K750" s="1452"/>
      <c r="L750" s="1447"/>
      <c r="M750" s="1453"/>
      <c r="N750" s="1454"/>
      <c r="O750" s="1455"/>
    </row>
    <row r="751">
      <c r="A751" s="1456"/>
      <c r="B751" s="1457"/>
      <c r="C751" s="1458"/>
      <c r="D751" s="1460"/>
      <c r="E751" s="1459"/>
      <c r="F751" s="1460"/>
      <c r="G751" s="1460"/>
      <c r="H751" s="1460"/>
      <c r="I751" s="1460"/>
      <c r="J751" s="1460"/>
      <c r="K751" s="1460"/>
      <c r="L751" s="1460"/>
      <c r="M751" s="186"/>
      <c r="N751" s="1461"/>
      <c r="O751" s="1462"/>
    </row>
    <row r="752">
      <c r="A752" s="1442"/>
      <c r="B752" s="1443"/>
      <c r="C752" s="1444"/>
      <c r="D752" s="1450"/>
      <c r="E752" s="1446"/>
      <c r="F752" s="1447"/>
      <c r="G752" s="1448"/>
      <c r="H752" s="1449"/>
      <c r="I752" s="1450"/>
      <c r="J752" s="1451"/>
      <c r="K752" s="1452"/>
      <c r="L752" s="1447"/>
      <c r="M752" s="1453"/>
      <c r="N752" s="1454"/>
      <c r="O752" s="1455"/>
    </row>
    <row r="753">
      <c r="A753" s="1456"/>
      <c r="B753" s="1457"/>
      <c r="C753" s="1458"/>
      <c r="D753" s="1460"/>
      <c r="E753" s="1459"/>
      <c r="F753" s="1460"/>
      <c r="G753" s="1460"/>
      <c r="H753" s="1460"/>
      <c r="I753" s="1460"/>
      <c r="J753" s="1460"/>
      <c r="K753" s="1460"/>
      <c r="L753" s="1460"/>
      <c r="M753" s="186"/>
      <c r="N753" s="1461"/>
      <c r="O753" s="1462"/>
    </row>
    <row r="754">
      <c r="A754" s="1442"/>
      <c r="B754" s="1443"/>
      <c r="C754" s="1444"/>
      <c r="D754" s="1450"/>
      <c r="E754" s="1446"/>
      <c r="F754" s="1447"/>
      <c r="G754" s="1448"/>
      <c r="H754" s="1449"/>
      <c r="I754" s="1450"/>
      <c r="J754" s="1451"/>
      <c r="K754" s="1452"/>
      <c r="L754" s="1447"/>
      <c r="M754" s="1453"/>
      <c r="N754" s="1454"/>
      <c r="O754" s="1455"/>
    </row>
    <row r="755">
      <c r="A755" s="1456"/>
      <c r="B755" s="1457"/>
      <c r="C755" s="1458"/>
      <c r="D755" s="1460"/>
      <c r="E755" s="1459"/>
      <c r="F755" s="1460"/>
      <c r="G755" s="1460"/>
      <c r="H755" s="1460"/>
      <c r="I755" s="1460"/>
      <c r="J755" s="1460"/>
      <c r="K755" s="1460"/>
      <c r="L755" s="1460"/>
      <c r="M755" s="186"/>
      <c r="N755" s="1461"/>
      <c r="O755" s="1462"/>
    </row>
    <row r="756">
      <c r="A756" s="1442"/>
      <c r="B756" s="1443"/>
      <c r="C756" s="1444"/>
      <c r="D756" s="1450"/>
      <c r="E756" s="1446"/>
      <c r="F756" s="1447"/>
      <c r="G756" s="1448"/>
      <c r="H756" s="1449"/>
      <c r="I756" s="1450"/>
      <c r="J756" s="1451"/>
      <c r="K756" s="1452"/>
      <c r="L756" s="1447"/>
      <c r="M756" s="1453"/>
      <c r="N756" s="1454"/>
      <c r="O756" s="1455"/>
    </row>
    <row r="757">
      <c r="A757" s="1456"/>
      <c r="B757" s="1457"/>
      <c r="C757" s="1458"/>
      <c r="D757" s="1460"/>
      <c r="E757" s="1459"/>
      <c r="F757" s="1460"/>
      <c r="G757" s="1460"/>
      <c r="H757" s="1460"/>
      <c r="I757" s="1460"/>
      <c r="J757" s="1460"/>
      <c r="K757" s="1460"/>
      <c r="L757" s="1460"/>
      <c r="M757" s="186"/>
      <c r="N757" s="1461"/>
      <c r="O757" s="1462"/>
    </row>
    <row r="758">
      <c r="A758" s="1442"/>
      <c r="B758" s="1443"/>
      <c r="C758" s="1444"/>
      <c r="D758" s="1450"/>
      <c r="E758" s="1446"/>
      <c r="F758" s="1447"/>
      <c r="G758" s="1448"/>
      <c r="H758" s="1449"/>
      <c r="I758" s="1450"/>
      <c r="J758" s="1451"/>
      <c r="K758" s="1452"/>
      <c r="L758" s="1447"/>
      <c r="M758" s="1453"/>
      <c r="N758" s="1454"/>
      <c r="O758" s="1455"/>
    </row>
    <row r="759">
      <c r="A759" s="1456"/>
      <c r="B759" s="1457"/>
      <c r="C759" s="1458"/>
      <c r="D759" s="1460"/>
      <c r="E759" s="1459"/>
      <c r="F759" s="1460"/>
      <c r="G759" s="1460"/>
      <c r="H759" s="1460"/>
      <c r="I759" s="1460"/>
      <c r="J759" s="1460"/>
      <c r="K759" s="1460"/>
      <c r="L759" s="1460"/>
      <c r="M759" s="186"/>
      <c r="N759" s="1461"/>
      <c r="O759" s="1462"/>
    </row>
    <row r="760">
      <c r="A760" s="1442"/>
      <c r="B760" s="1443"/>
      <c r="C760" s="1444"/>
      <c r="D760" s="1450"/>
      <c r="E760" s="1446"/>
      <c r="F760" s="1447"/>
      <c r="G760" s="1448"/>
      <c r="H760" s="1449"/>
      <c r="I760" s="1450"/>
      <c r="J760" s="1451"/>
      <c r="K760" s="1452"/>
      <c r="L760" s="1447"/>
      <c r="M760" s="1453"/>
      <c r="N760" s="1454"/>
      <c r="O760" s="1455"/>
    </row>
    <row r="761">
      <c r="A761" s="1456"/>
      <c r="B761" s="1457"/>
      <c r="C761" s="1458"/>
      <c r="D761" s="1460"/>
      <c r="E761" s="1459"/>
      <c r="F761" s="1460"/>
      <c r="G761" s="1460"/>
      <c r="H761" s="1460"/>
      <c r="I761" s="1460"/>
      <c r="J761" s="1460"/>
      <c r="K761" s="1460"/>
      <c r="L761" s="1460"/>
      <c r="M761" s="186"/>
      <c r="N761" s="1461"/>
      <c r="O761" s="1462"/>
    </row>
    <row r="762">
      <c r="A762" s="1442"/>
      <c r="B762" s="1443"/>
      <c r="C762" s="1444"/>
      <c r="D762" s="1450"/>
      <c r="E762" s="1446"/>
      <c r="F762" s="1447"/>
      <c r="G762" s="1448"/>
      <c r="H762" s="1449"/>
      <c r="I762" s="1450"/>
      <c r="J762" s="1451"/>
      <c r="K762" s="1452"/>
      <c r="L762" s="1447"/>
      <c r="M762" s="1453"/>
      <c r="N762" s="1454"/>
      <c r="O762" s="1455"/>
    </row>
    <row r="763">
      <c r="A763" s="1456"/>
      <c r="B763" s="1457"/>
      <c r="C763" s="1458"/>
      <c r="D763" s="1460"/>
      <c r="E763" s="1459"/>
      <c r="F763" s="1460"/>
      <c r="G763" s="1460"/>
      <c r="H763" s="1460"/>
      <c r="I763" s="1460"/>
      <c r="J763" s="1460"/>
      <c r="K763" s="1460"/>
      <c r="L763" s="1460"/>
      <c r="M763" s="186"/>
      <c r="N763" s="1461"/>
      <c r="O763" s="1462"/>
    </row>
    <row r="764">
      <c r="A764" s="1442"/>
      <c r="B764" s="1443"/>
      <c r="C764" s="1444"/>
      <c r="D764" s="1450"/>
      <c r="E764" s="1446"/>
      <c r="F764" s="1447"/>
      <c r="G764" s="1448"/>
      <c r="H764" s="1449"/>
      <c r="I764" s="1450"/>
      <c r="J764" s="1451"/>
      <c r="K764" s="1452"/>
      <c r="L764" s="1447"/>
      <c r="M764" s="1453"/>
      <c r="N764" s="1454"/>
      <c r="O764" s="1455"/>
    </row>
    <row r="765">
      <c r="A765" s="1456"/>
      <c r="B765" s="1457"/>
      <c r="C765" s="1458"/>
      <c r="D765" s="1460"/>
      <c r="E765" s="1459"/>
      <c r="F765" s="1460"/>
      <c r="G765" s="1460"/>
      <c r="H765" s="1460"/>
      <c r="I765" s="1460"/>
      <c r="J765" s="1460"/>
      <c r="K765" s="1460"/>
      <c r="L765" s="1460"/>
      <c r="M765" s="186"/>
      <c r="N765" s="1461"/>
      <c r="O765" s="1462"/>
    </row>
    <row r="766">
      <c r="A766" s="1442"/>
      <c r="B766" s="1443"/>
      <c r="C766" s="1444"/>
      <c r="D766" s="1450"/>
      <c r="E766" s="1446"/>
      <c r="F766" s="1447"/>
      <c r="G766" s="1448"/>
      <c r="H766" s="1449"/>
      <c r="I766" s="1450"/>
      <c r="J766" s="1451"/>
      <c r="K766" s="1452"/>
      <c r="L766" s="1447"/>
      <c r="M766" s="1453"/>
      <c r="N766" s="1454"/>
      <c r="O766" s="1455"/>
    </row>
    <row r="767">
      <c r="A767" s="1456"/>
      <c r="B767" s="1457"/>
      <c r="C767" s="1458"/>
      <c r="D767" s="1460"/>
      <c r="E767" s="1459"/>
      <c r="F767" s="1460"/>
      <c r="G767" s="1460"/>
      <c r="H767" s="1460"/>
      <c r="I767" s="1460"/>
      <c r="J767" s="1460"/>
      <c r="K767" s="1460"/>
      <c r="L767" s="1460"/>
      <c r="M767" s="186"/>
      <c r="N767" s="1461"/>
      <c r="O767" s="1462"/>
    </row>
    <row r="768">
      <c r="A768" s="1442"/>
      <c r="B768" s="1443"/>
      <c r="C768" s="1444"/>
      <c r="D768" s="1450"/>
      <c r="E768" s="1446"/>
      <c r="F768" s="1447"/>
      <c r="G768" s="1448"/>
      <c r="H768" s="1449"/>
      <c r="I768" s="1450"/>
      <c r="J768" s="1451"/>
      <c r="K768" s="1452"/>
      <c r="L768" s="1447"/>
      <c r="M768" s="1453"/>
      <c r="N768" s="1454"/>
      <c r="O768" s="1455"/>
    </row>
    <row r="769">
      <c r="A769" s="1456"/>
      <c r="B769" s="1457"/>
      <c r="C769" s="1458"/>
      <c r="D769" s="1460"/>
      <c r="E769" s="1459"/>
      <c r="F769" s="1460"/>
      <c r="G769" s="1460"/>
      <c r="H769" s="1460"/>
      <c r="I769" s="1460"/>
      <c r="J769" s="1460"/>
      <c r="K769" s="1460"/>
      <c r="L769" s="1460"/>
      <c r="M769" s="186"/>
      <c r="N769" s="1461"/>
      <c r="O769" s="1462"/>
    </row>
    <row r="770">
      <c r="A770" s="1442"/>
      <c r="B770" s="1443"/>
      <c r="C770" s="1444"/>
      <c r="D770" s="1450"/>
      <c r="E770" s="1446"/>
      <c r="F770" s="1447"/>
      <c r="G770" s="1448"/>
      <c r="H770" s="1449"/>
      <c r="I770" s="1450"/>
      <c r="J770" s="1451"/>
      <c r="K770" s="1452"/>
      <c r="L770" s="1447"/>
      <c r="M770" s="1453"/>
      <c r="N770" s="1454"/>
      <c r="O770" s="1455"/>
    </row>
    <row r="771">
      <c r="A771" s="1456"/>
      <c r="B771" s="1457"/>
      <c r="C771" s="1458"/>
      <c r="D771" s="1460"/>
      <c r="E771" s="1459"/>
      <c r="F771" s="1460"/>
      <c r="G771" s="1460"/>
      <c r="H771" s="1460"/>
      <c r="I771" s="1460"/>
      <c r="J771" s="1460"/>
      <c r="K771" s="1460"/>
      <c r="L771" s="1460"/>
      <c r="M771" s="186"/>
      <c r="N771" s="1461"/>
      <c r="O771" s="1462"/>
    </row>
    <row r="772">
      <c r="A772" s="1442"/>
      <c r="B772" s="1443"/>
      <c r="C772" s="1444"/>
      <c r="D772" s="1450"/>
      <c r="E772" s="1446"/>
      <c r="F772" s="1447"/>
      <c r="G772" s="1448"/>
      <c r="H772" s="1449"/>
      <c r="I772" s="1450"/>
      <c r="J772" s="1451"/>
      <c r="K772" s="1452"/>
      <c r="L772" s="1447"/>
      <c r="M772" s="1453"/>
      <c r="N772" s="1454"/>
      <c r="O772" s="1455"/>
    </row>
    <row r="773">
      <c r="A773" s="1456"/>
      <c r="B773" s="1457"/>
      <c r="C773" s="1458"/>
      <c r="D773" s="1460"/>
      <c r="E773" s="1459"/>
      <c r="F773" s="1460"/>
      <c r="G773" s="1460"/>
      <c r="H773" s="1460"/>
      <c r="I773" s="1460"/>
      <c r="J773" s="1460"/>
      <c r="K773" s="1460"/>
      <c r="L773" s="1460"/>
      <c r="M773" s="186"/>
      <c r="N773" s="1461"/>
      <c r="O773" s="1462"/>
    </row>
    <row r="774">
      <c r="A774" s="1442"/>
      <c r="B774" s="1443"/>
      <c r="C774" s="1444"/>
      <c r="D774" s="1450"/>
      <c r="E774" s="1446"/>
      <c r="F774" s="1447"/>
      <c r="G774" s="1448"/>
      <c r="H774" s="1449"/>
      <c r="I774" s="1450"/>
      <c r="J774" s="1451"/>
      <c r="K774" s="1452"/>
      <c r="L774" s="1447"/>
      <c r="M774" s="1453"/>
      <c r="N774" s="1454"/>
      <c r="O774" s="1455"/>
    </row>
    <row r="775">
      <c r="A775" s="1456"/>
      <c r="B775" s="1457"/>
      <c r="C775" s="1458"/>
      <c r="D775" s="1460"/>
      <c r="E775" s="1459"/>
      <c r="F775" s="1460"/>
      <c r="G775" s="1460"/>
      <c r="H775" s="1460"/>
      <c r="I775" s="1460"/>
      <c r="J775" s="1460"/>
      <c r="K775" s="1460"/>
      <c r="L775" s="1460"/>
      <c r="M775" s="186"/>
      <c r="N775" s="1461"/>
      <c r="O775" s="1462"/>
    </row>
    <row r="776">
      <c r="A776" s="1442"/>
      <c r="B776" s="1443"/>
      <c r="C776" s="1444"/>
      <c r="D776" s="1450"/>
      <c r="E776" s="1446"/>
      <c r="F776" s="1447"/>
      <c r="G776" s="1448"/>
      <c r="H776" s="1449"/>
      <c r="I776" s="1450"/>
      <c r="J776" s="1451"/>
      <c r="K776" s="1452"/>
      <c r="L776" s="1447"/>
      <c r="M776" s="1453"/>
      <c r="N776" s="1454"/>
      <c r="O776" s="1455"/>
    </row>
    <row r="777">
      <c r="A777" s="1456"/>
      <c r="B777" s="1457"/>
      <c r="C777" s="1458"/>
      <c r="D777" s="1460"/>
      <c r="E777" s="1459"/>
      <c r="F777" s="1460"/>
      <c r="G777" s="1460"/>
      <c r="H777" s="1460"/>
      <c r="I777" s="1460"/>
      <c r="J777" s="1460"/>
      <c r="K777" s="1460"/>
      <c r="L777" s="1460"/>
      <c r="M777" s="186"/>
      <c r="N777" s="1461"/>
      <c r="O777" s="1462"/>
    </row>
    <row r="778">
      <c r="A778" s="1442"/>
      <c r="B778" s="1443"/>
      <c r="C778" s="1444"/>
      <c r="D778" s="1450"/>
      <c r="E778" s="1446"/>
      <c r="F778" s="1447"/>
      <c r="G778" s="1448"/>
      <c r="H778" s="1449"/>
      <c r="I778" s="1450"/>
      <c r="J778" s="1451"/>
      <c r="K778" s="1452"/>
      <c r="L778" s="1447"/>
      <c r="M778" s="1453"/>
      <c r="N778" s="1454"/>
      <c r="O778" s="1455"/>
    </row>
    <row r="779">
      <c r="A779" s="1456"/>
      <c r="B779" s="1457"/>
      <c r="C779" s="1458"/>
      <c r="D779" s="1460"/>
      <c r="E779" s="1459"/>
      <c r="F779" s="1460"/>
      <c r="G779" s="1460"/>
      <c r="H779" s="1460"/>
      <c r="I779" s="1460"/>
      <c r="J779" s="1460"/>
      <c r="K779" s="1460"/>
      <c r="L779" s="1460"/>
      <c r="M779" s="186"/>
      <c r="N779" s="1461"/>
      <c r="O779" s="1462"/>
    </row>
    <row r="780">
      <c r="A780" s="1442"/>
      <c r="B780" s="1443"/>
      <c r="C780" s="1444"/>
      <c r="D780" s="1450"/>
      <c r="E780" s="1446"/>
      <c r="F780" s="1447"/>
      <c r="G780" s="1448"/>
      <c r="H780" s="1449"/>
      <c r="I780" s="1450"/>
      <c r="J780" s="1451"/>
      <c r="K780" s="1452"/>
      <c r="L780" s="1447"/>
      <c r="M780" s="1453"/>
      <c r="N780" s="1454"/>
      <c r="O780" s="1455"/>
    </row>
    <row r="781">
      <c r="A781" s="1456"/>
      <c r="B781" s="1457"/>
      <c r="C781" s="1458"/>
      <c r="D781" s="1460"/>
      <c r="E781" s="1459"/>
      <c r="F781" s="1460"/>
      <c r="G781" s="1460"/>
      <c r="H781" s="1460"/>
      <c r="I781" s="1460"/>
      <c r="J781" s="1460"/>
      <c r="K781" s="1460"/>
      <c r="L781" s="1460"/>
      <c r="M781" s="186"/>
      <c r="N781" s="1461"/>
      <c r="O781" s="1462"/>
    </row>
    <row r="782">
      <c r="A782" s="1442"/>
      <c r="B782" s="1443"/>
      <c r="C782" s="1444"/>
      <c r="D782" s="1450"/>
      <c r="E782" s="1446"/>
      <c r="F782" s="1447"/>
      <c r="G782" s="1448"/>
      <c r="H782" s="1449"/>
      <c r="I782" s="1450"/>
      <c r="J782" s="1451"/>
      <c r="K782" s="1452"/>
      <c r="L782" s="1447"/>
      <c r="M782" s="1453"/>
      <c r="N782" s="1454"/>
      <c r="O782" s="1455"/>
    </row>
    <row r="783">
      <c r="A783" s="1456"/>
      <c r="B783" s="1457"/>
      <c r="C783" s="1458"/>
      <c r="D783" s="1460"/>
      <c r="E783" s="1459"/>
      <c r="F783" s="1460"/>
      <c r="G783" s="1460"/>
      <c r="H783" s="1460"/>
      <c r="I783" s="1460"/>
      <c r="J783" s="1460"/>
      <c r="K783" s="1460"/>
      <c r="L783" s="1460"/>
      <c r="M783" s="186"/>
      <c r="N783" s="1461"/>
      <c r="O783" s="1462"/>
    </row>
    <row r="784">
      <c r="A784" s="1442"/>
      <c r="B784" s="1443"/>
      <c r="C784" s="1444"/>
      <c r="D784" s="1450"/>
      <c r="E784" s="1446"/>
      <c r="F784" s="1447"/>
      <c r="G784" s="1448"/>
      <c r="H784" s="1449"/>
      <c r="I784" s="1450"/>
      <c r="J784" s="1451"/>
      <c r="K784" s="1452"/>
      <c r="L784" s="1447"/>
      <c r="M784" s="1453"/>
      <c r="N784" s="1454"/>
      <c r="O784" s="1455"/>
    </row>
    <row r="785">
      <c r="A785" s="1456"/>
      <c r="B785" s="1457"/>
      <c r="C785" s="1458"/>
      <c r="D785" s="1460"/>
      <c r="E785" s="1459"/>
      <c r="F785" s="1460"/>
      <c r="G785" s="1460"/>
      <c r="H785" s="1460"/>
      <c r="I785" s="1460"/>
      <c r="J785" s="1460"/>
      <c r="K785" s="1460"/>
      <c r="L785" s="1460"/>
      <c r="M785" s="186"/>
      <c r="N785" s="1461"/>
      <c r="O785" s="1462"/>
    </row>
    <row r="786">
      <c r="A786" s="1442"/>
      <c r="B786" s="1443"/>
      <c r="C786" s="1444"/>
      <c r="D786" s="1450"/>
      <c r="E786" s="1446"/>
      <c r="F786" s="1447"/>
      <c r="G786" s="1448"/>
      <c r="H786" s="1449"/>
      <c r="I786" s="1450"/>
      <c r="J786" s="1451"/>
      <c r="K786" s="1452"/>
      <c r="L786" s="1447"/>
      <c r="M786" s="1453"/>
      <c r="N786" s="1454"/>
      <c r="O786" s="1455"/>
    </row>
    <row r="787">
      <c r="A787" s="1456"/>
      <c r="B787" s="1457"/>
      <c r="C787" s="1458"/>
      <c r="D787" s="1460"/>
      <c r="E787" s="1459"/>
      <c r="F787" s="1460"/>
      <c r="G787" s="1460"/>
      <c r="H787" s="1460"/>
      <c r="I787" s="1460"/>
      <c r="J787" s="1460"/>
      <c r="K787" s="1460"/>
      <c r="L787" s="1460"/>
      <c r="M787" s="186"/>
      <c r="N787" s="1461"/>
      <c r="O787" s="1462"/>
    </row>
    <row r="788">
      <c r="A788" s="1442"/>
      <c r="B788" s="1443"/>
      <c r="C788" s="1444"/>
      <c r="D788" s="1450"/>
      <c r="E788" s="1446"/>
      <c r="F788" s="1447"/>
      <c r="G788" s="1448"/>
      <c r="H788" s="1449"/>
      <c r="I788" s="1450"/>
      <c r="J788" s="1451"/>
      <c r="K788" s="1452"/>
      <c r="L788" s="1447"/>
      <c r="M788" s="1453"/>
      <c r="N788" s="1454"/>
      <c r="O788" s="1455"/>
    </row>
    <row r="789">
      <c r="A789" s="1456"/>
      <c r="B789" s="1457"/>
      <c r="C789" s="1458"/>
      <c r="D789" s="1460"/>
      <c r="E789" s="1459"/>
      <c r="F789" s="1460"/>
      <c r="G789" s="1460"/>
      <c r="H789" s="1460"/>
      <c r="I789" s="1460"/>
      <c r="J789" s="1460"/>
      <c r="K789" s="1460"/>
      <c r="L789" s="1460"/>
      <c r="M789" s="186"/>
      <c r="N789" s="1461"/>
      <c r="O789" s="1462"/>
    </row>
    <row r="790">
      <c r="A790" s="1442"/>
      <c r="B790" s="1443"/>
      <c r="C790" s="1444"/>
      <c r="D790" s="1450"/>
      <c r="E790" s="1446"/>
      <c r="F790" s="1447"/>
      <c r="G790" s="1448"/>
      <c r="H790" s="1449"/>
      <c r="I790" s="1450"/>
      <c r="J790" s="1451"/>
      <c r="K790" s="1452"/>
      <c r="L790" s="1447"/>
      <c r="M790" s="1453"/>
      <c r="N790" s="1454"/>
      <c r="O790" s="1455"/>
    </row>
    <row r="791">
      <c r="A791" s="1456"/>
      <c r="B791" s="1457"/>
      <c r="C791" s="1458"/>
      <c r="D791" s="1460"/>
      <c r="E791" s="1459"/>
      <c r="F791" s="1460"/>
      <c r="G791" s="1460"/>
      <c r="H791" s="1460"/>
      <c r="I791" s="1460"/>
      <c r="J791" s="1460"/>
      <c r="K791" s="1460"/>
      <c r="L791" s="1460"/>
      <c r="M791" s="186"/>
      <c r="N791" s="1461"/>
      <c r="O791" s="1462"/>
    </row>
    <row r="792">
      <c r="A792" s="1442"/>
      <c r="B792" s="1443"/>
      <c r="C792" s="1444"/>
      <c r="D792" s="1450"/>
      <c r="E792" s="1446"/>
      <c r="F792" s="1447"/>
      <c r="G792" s="1448"/>
      <c r="H792" s="1449"/>
      <c r="I792" s="1450"/>
      <c r="J792" s="1451"/>
      <c r="K792" s="1452"/>
      <c r="L792" s="1447"/>
      <c r="M792" s="1453"/>
      <c r="N792" s="1454"/>
      <c r="O792" s="1455"/>
    </row>
    <row r="793">
      <c r="A793" s="1456"/>
      <c r="B793" s="1457"/>
      <c r="C793" s="1458"/>
      <c r="D793" s="1460"/>
      <c r="E793" s="1459"/>
      <c r="F793" s="1460"/>
      <c r="G793" s="1460"/>
      <c r="H793" s="1460"/>
      <c r="I793" s="1460"/>
      <c r="J793" s="1460"/>
      <c r="K793" s="1460"/>
      <c r="L793" s="1460"/>
      <c r="M793" s="186"/>
      <c r="N793" s="1461"/>
      <c r="O793" s="1462"/>
    </row>
    <row r="794">
      <c r="A794" s="1442"/>
      <c r="B794" s="1443"/>
      <c r="C794" s="1444"/>
      <c r="D794" s="1450"/>
      <c r="E794" s="1446"/>
      <c r="F794" s="1447"/>
      <c r="G794" s="1448"/>
      <c r="H794" s="1449"/>
      <c r="I794" s="1450"/>
      <c r="J794" s="1451"/>
      <c r="K794" s="1452"/>
      <c r="L794" s="1447"/>
      <c r="M794" s="1453"/>
      <c r="N794" s="1454"/>
      <c r="O794" s="1455"/>
    </row>
    <row r="795">
      <c r="A795" s="1456"/>
      <c r="B795" s="1457"/>
      <c r="C795" s="1458"/>
      <c r="D795" s="1460"/>
      <c r="E795" s="1459"/>
      <c r="F795" s="1460"/>
      <c r="G795" s="1460"/>
      <c r="H795" s="1460"/>
      <c r="I795" s="1460"/>
      <c r="J795" s="1460"/>
      <c r="K795" s="1460"/>
      <c r="L795" s="1460"/>
      <c r="M795" s="186"/>
      <c r="N795" s="1461"/>
      <c r="O795" s="1462"/>
    </row>
    <row r="796">
      <c r="A796" s="1442"/>
      <c r="B796" s="1443"/>
      <c r="C796" s="1444"/>
      <c r="D796" s="1450"/>
      <c r="E796" s="1446"/>
      <c r="F796" s="1447"/>
      <c r="G796" s="1448"/>
      <c r="H796" s="1449"/>
      <c r="I796" s="1450"/>
      <c r="J796" s="1451"/>
      <c r="K796" s="1452"/>
      <c r="L796" s="1447"/>
      <c r="M796" s="1453"/>
      <c r="N796" s="1454"/>
      <c r="O796" s="1455"/>
    </row>
    <row r="797">
      <c r="A797" s="1456"/>
      <c r="B797" s="1457"/>
      <c r="C797" s="1458"/>
      <c r="D797" s="1460"/>
      <c r="E797" s="1459"/>
      <c r="F797" s="1460"/>
      <c r="G797" s="1460"/>
      <c r="H797" s="1460"/>
      <c r="I797" s="1460"/>
      <c r="J797" s="1460"/>
      <c r="K797" s="1460"/>
      <c r="L797" s="1460"/>
      <c r="M797" s="186"/>
      <c r="N797" s="1461"/>
      <c r="O797" s="1462"/>
    </row>
    <row r="798">
      <c r="A798" s="1442"/>
      <c r="B798" s="1443"/>
      <c r="C798" s="1444"/>
      <c r="D798" s="1450"/>
      <c r="E798" s="1446"/>
      <c r="F798" s="1447"/>
      <c r="G798" s="1448"/>
      <c r="H798" s="1449"/>
      <c r="I798" s="1450"/>
      <c r="J798" s="1451"/>
      <c r="K798" s="1452"/>
      <c r="L798" s="1447"/>
      <c r="M798" s="1453"/>
      <c r="N798" s="1454"/>
      <c r="O798" s="1455"/>
    </row>
    <row r="799">
      <c r="A799" s="1456"/>
      <c r="B799" s="1457"/>
      <c r="C799" s="1458"/>
      <c r="D799" s="1460"/>
      <c r="E799" s="1459"/>
      <c r="F799" s="1460"/>
      <c r="G799" s="1460"/>
      <c r="H799" s="1460"/>
      <c r="I799" s="1460"/>
      <c r="J799" s="1460"/>
      <c r="K799" s="1460"/>
      <c r="L799" s="1460"/>
      <c r="M799" s="186"/>
      <c r="N799" s="1461"/>
      <c r="O799" s="1462"/>
    </row>
    <row r="800">
      <c r="A800" s="1442"/>
      <c r="B800" s="1443"/>
      <c r="C800" s="1444"/>
      <c r="D800" s="1450"/>
      <c r="E800" s="1446"/>
      <c r="F800" s="1447"/>
      <c r="G800" s="1448"/>
      <c r="H800" s="1449"/>
      <c r="I800" s="1450"/>
      <c r="J800" s="1451"/>
      <c r="K800" s="1452"/>
      <c r="L800" s="1447"/>
      <c r="M800" s="1453"/>
      <c r="N800" s="1454"/>
      <c r="O800" s="1455"/>
    </row>
    <row r="801">
      <c r="A801" s="1456"/>
      <c r="B801" s="1457"/>
      <c r="C801" s="1458"/>
      <c r="D801" s="1460"/>
      <c r="E801" s="1459"/>
      <c r="F801" s="1460"/>
      <c r="G801" s="1460"/>
      <c r="H801" s="1460"/>
      <c r="I801" s="1460"/>
      <c r="J801" s="1460"/>
      <c r="K801" s="1460"/>
      <c r="L801" s="1460"/>
      <c r="M801" s="186"/>
      <c r="N801" s="1461"/>
      <c r="O801" s="1462"/>
    </row>
    <row r="802">
      <c r="A802" s="1442"/>
      <c r="B802" s="1443"/>
      <c r="C802" s="1444"/>
      <c r="D802" s="1450"/>
      <c r="E802" s="1446"/>
      <c r="F802" s="1447"/>
      <c r="G802" s="1448"/>
      <c r="H802" s="1449"/>
      <c r="I802" s="1450"/>
      <c r="J802" s="1451"/>
      <c r="K802" s="1452"/>
      <c r="L802" s="1447"/>
      <c r="M802" s="1453"/>
      <c r="N802" s="1454"/>
      <c r="O802" s="1455"/>
    </row>
    <row r="803">
      <c r="A803" s="1456"/>
      <c r="B803" s="1457"/>
      <c r="C803" s="1458"/>
      <c r="D803" s="1460"/>
      <c r="E803" s="1459"/>
      <c r="F803" s="1460"/>
      <c r="G803" s="1460"/>
      <c r="H803" s="1460"/>
      <c r="I803" s="1460"/>
      <c r="J803" s="1460"/>
      <c r="K803" s="1460"/>
      <c r="L803" s="1460"/>
      <c r="M803" s="186"/>
      <c r="N803" s="1461"/>
      <c r="O803" s="1462"/>
    </row>
    <row r="804">
      <c r="A804" s="1442"/>
      <c r="B804" s="1443"/>
      <c r="C804" s="1444"/>
      <c r="D804" s="1450"/>
      <c r="E804" s="1446"/>
      <c r="F804" s="1447"/>
      <c r="G804" s="1448"/>
      <c r="H804" s="1449"/>
      <c r="I804" s="1450"/>
      <c r="J804" s="1451"/>
      <c r="K804" s="1452"/>
      <c r="L804" s="1447"/>
      <c r="M804" s="1453"/>
      <c r="N804" s="1454"/>
      <c r="O804" s="1455"/>
    </row>
    <row r="805">
      <c r="A805" s="1456"/>
      <c r="B805" s="1457"/>
      <c r="C805" s="1458"/>
      <c r="D805" s="1460"/>
      <c r="E805" s="1459"/>
      <c r="F805" s="1460"/>
      <c r="G805" s="1460"/>
      <c r="H805" s="1460"/>
      <c r="I805" s="1460"/>
      <c r="J805" s="1460"/>
      <c r="K805" s="1460"/>
      <c r="L805" s="1460"/>
      <c r="M805" s="186"/>
      <c r="N805" s="1461"/>
      <c r="O805" s="1462"/>
    </row>
    <row r="806">
      <c r="A806" s="1442"/>
      <c r="B806" s="1443"/>
      <c r="C806" s="1444"/>
      <c r="D806" s="1450"/>
      <c r="E806" s="1446"/>
      <c r="F806" s="1447"/>
      <c r="G806" s="1448"/>
      <c r="H806" s="1449"/>
      <c r="I806" s="1450"/>
      <c r="J806" s="1451"/>
      <c r="K806" s="1452"/>
      <c r="L806" s="1447"/>
      <c r="M806" s="1453"/>
      <c r="N806" s="1454"/>
      <c r="O806" s="1455"/>
    </row>
    <row r="807">
      <c r="A807" s="1456"/>
      <c r="B807" s="1457"/>
      <c r="C807" s="1458"/>
      <c r="D807" s="1460"/>
      <c r="E807" s="1459"/>
      <c r="F807" s="1460"/>
      <c r="G807" s="1460"/>
      <c r="H807" s="1460"/>
      <c r="I807" s="1460"/>
      <c r="J807" s="1460"/>
      <c r="K807" s="1460"/>
      <c r="L807" s="1460"/>
      <c r="M807" s="186"/>
      <c r="N807" s="1461"/>
      <c r="O807" s="1462"/>
    </row>
    <row r="808">
      <c r="A808" s="1442"/>
      <c r="B808" s="1443"/>
      <c r="C808" s="1444"/>
      <c r="D808" s="1450"/>
      <c r="E808" s="1446"/>
      <c r="F808" s="1447"/>
      <c r="G808" s="1448"/>
      <c r="H808" s="1449"/>
      <c r="I808" s="1450"/>
      <c r="J808" s="1451"/>
      <c r="K808" s="1452"/>
      <c r="L808" s="1447"/>
      <c r="M808" s="1453"/>
      <c r="N808" s="1454"/>
      <c r="O808" s="1455"/>
    </row>
    <row r="809">
      <c r="A809" s="1456"/>
      <c r="B809" s="1457"/>
      <c r="C809" s="1458"/>
      <c r="D809" s="1460"/>
      <c r="E809" s="1459"/>
      <c r="F809" s="1460"/>
      <c r="G809" s="1460"/>
      <c r="H809" s="1460"/>
      <c r="I809" s="1460"/>
      <c r="J809" s="1460"/>
      <c r="K809" s="1460"/>
      <c r="L809" s="1460"/>
      <c r="M809" s="186"/>
      <c r="N809" s="1461"/>
      <c r="O809" s="1462"/>
    </row>
    <row r="810">
      <c r="A810" s="1442"/>
      <c r="B810" s="1443"/>
      <c r="C810" s="1444"/>
      <c r="D810" s="1450"/>
      <c r="E810" s="1446"/>
      <c r="F810" s="1447"/>
      <c r="G810" s="1448"/>
      <c r="H810" s="1449"/>
      <c r="I810" s="1450"/>
      <c r="J810" s="1451"/>
      <c r="K810" s="1452"/>
      <c r="L810" s="1447"/>
      <c r="M810" s="1453"/>
      <c r="N810" s="1454"/>
      <c r="O810" s="1455"/>
    </row>
    <row r="811">
      <c r="A811" s="1456"/>
      <c r="B811" s="1457"/>
      <c r="C811" s="1458"/>
      <c r="D811" s="1460"/>
      <c r="E811" s="1459"/>
      <c r="F811" s="1460"/>
      <c r="G811" s="1460"/>
      <c r="H811" s="1460"/>
      <c r="I811" s="1460"/>
      <c r="J811" s="1460"/>
      <c r="K811" s="1460"/>
      <c r="L811" s="1460"/>
      <c r="M811" s="186"/>
      <c r="N811" s="1461"/>
      <c r="O811" s="1462"/>
    </row>
    <row r="812">
      <c r="A812" s="1442"/>
      <c r="B812" s="1443"/>
      <c r="C812" s="1444"/>
      <c r="D812" s="1450"/>
      <c r="E812" s="1446"/>
      <c r="F812" s="1447"/>
      <c r="G812" s="1448"/>
      <c r="H812" s="1449"/>
      <c r="I812" s="1450"/>
      <c r="J812" s="1451"/>
      <c r="K812" s="1452"/>
      <c r="L812" s="1447"/>
      <c r="M812" s="1453"/>
      <c r="N812" s="1454"/>
      <c r="O812" s="1455"/>
    </row>
    <row r="813">
      <c r="A813" s="1456"/>
      <c r="B813" s="1457"/>
      <c r="C813" s="1458"/>
      <c r="D813" s="1460"/>
      <c r="E813" s="1459"/>
      <c r="F813" s="1460"/>
      <c r="G813" s="1460"/>
      <c r="H813" s="1460"/>
      <c r="I813" s="1460"/>
      <c r="J813" s="1460"/>
      <c r="K813" s="1460"/>
      <c r="L813" s="1460"/>
      <c r="M813" s="186"/>
      <c r="N813" s="1461"/>
      <c r="O813" s="1462"/>
    </row>
    <row r="814">
      <c r="A814" s="1442"/>
      <c r="B814" s="1443"/>
      <c r="C814" s="1444"/>
      <c r="D814" s="1450"/>
      <c r="E814" s="1446"/>
      <c r="F814" s="1447"/>
      <c r="G814" s="1448"/>
      <c r="H814" s="1449"/>
      <c r="I814" s="1450"/>
      <c r="J814" s="1451"/>
      <c r="K814" s="1452"/>
      <c r="L814" s="1447"/>
      <c r="M814" s="1453"/>
      <c r="N814" s="1454"/>
      <c r="O814" s="1455"/>
    </row>
    <row r="815">
      <c r="A815" s="1456"/>
      <c r="B815" s="1457"/>
      <c r="C815" s="1458"/>
      <c r="D815" s="1460"/>
      <c r="E815" s="1459"/>
      <c r="F815" s="1460"/>
      <c r="G815" s="1460"/>
      <c r="H815" s="1460"/>
      <c r="I815" s="1460"/>
      <c r="J815" s="1460"/>
      <c r="K815" s="1460"/>
      <c r="L815" s="1460"/>
      <c r="M815" s="186"/>
      <c r="N815" s="1461"/>
      <c r="O815" s="1462"/>
    </row>
    <row r="816">
      <c r="A816" s="1442"/>
      <c r="B816" s="1443"/>
      <c r="C816" s="1444"/>
      <c r="D816" s="1450"/>
      <c r="E816" s="1446"/>
      <c r="F816" s="1447"/>
      <c r="G816" s="1448"/>
      <c r="H816" s="1449"/>
      <c r="I816" s="1450"/>
      <c r="J816" s="1451"/>
      <c r="K816" s="1452"/>
      <c r="L816" s="1447"/>
      <c r="M816" s="1453"/>
      <c r="N816" s="1454"/>
      <c r="O816" s="1455"/>
    </row>
    <row r="817">
      <c r="A817" s="1456"/>
      <c r="B817" s="1457"/>
      <c r="C817" s="1458"/>
      <c r="D817" s="1460"/>
      <c r="E817" s="1459"/>
      <c r="F817" s="1460"/>
      <c r="G817" s="1460"/>
      <c r="H817" s="1460"/>
      <c r="I817" s="1460"/>
      <c r="J817" s="1460"/>
      <c r="K817" s="1460"/>
      <c r="L817" s="1460"/>
      <c r="M817" s="186"/>
      <c r="N817" s="1461"/>
      <c r="O817" s="1462"/>
    </row>
    <row r="818">
      <c r="A818" s="1442"/>
      <c r="B818" s="1443"/>
      <c r="C818" s="1444"/>
      <c r="D818" s="1450"/>
      <c r="E818" s="1446"/>
      <c r="F818" s="1447"/>
      <c r="G818" s="1448"/>
      <c r="H818" s="1449"/>
      <c r="I818" s="1450"/>
      <c r="J818" s="1451"/>
      <c r="K818" s="1452"/>
      <c r="L818" s="1447"/>
      <c r="M818" s="1453"/>
      <c r="N818" s="1454"/>
      <c r="O818" s="1455"/>
    </row>
    <row r="819">
      <c r="A819" s="1456"/>
      <c r="B819" s="1457"/>
      <c r="C819" s="1458"/>
      <c r="D819" s="1460"/>
      <c r="E819" s="1459"/>
      <c r="F819" s="1460"/>
      <c r="G819" s="1460"/>
      <c r="H819" s="1460"/>
      <c r="I819" s="1460"/>
      <c r="J819" s="1460"/>
      <c r="K819" s="1460"/>
      <c r="L819" s="1460"/>
      <c r="M819" s="186"/>
      <c r="N819" s="1461"/>
      <c r="O819" s="1462"/>
    </row>
    <row r="820">
      <c r="A820" s="1442"/>
      <c r="B820" s="1443"/>
      <c r="C820" s="1444"/>
      <c r="D820" s="1450"/>
      <c r="E820" s="1446"/>
      <c r="F820" s="1447"/>
      <c r="G820" s="1448"/>
      <c r="H820" s="1449"/>
      <c r="I820" s="1450"/>
      <c r="J820" s="1451"/>
      <c r="K820" s="1452"/>
      <c r="L820" s="1447"/>
      <c r="M820" s="1453"/>
      <c r="N820" s="1454"/>
      <c r="O820" s="1455"/>
    </row>
    <row r="821">
      <c r="A821" s="1456"/>
      <c r="B821" s="1457"/>
      <c r="C821" s="1458"/>
      <c r="D821" s="1460"/>
      <c r="E821" s="1459"/>
      <c r="F821" s="1460"/>
      <c r="G821" s="1460"/>
      <c r="H821" s="1460"/>
      <c r="I821" s="1460"/>
      <c r="J821" s="1460"/>
      <c r="K821" s="1460"/>
      <c r="L821" s="1460"/>
      <c r="M821" s="186"/>
      <c r="N821" s="1461"/>
      <c r="O821" s="1462"/>
    </row>
    <row r="822">
      <c r="A822" s="1442"/>
      <c r="B822" s="1443"/>
      <c r="C822" s="1444"/>
      <c r="D822" s="1450"/>
      <c r="E822" s="1446"/>
      <c r="F822" s="1447"/>
      <c r="G822" s="1448"/>
      <c r="H822" s="1449"/>
      <c r="I822" s="1450"/>
      <c r="J822" s="1451"/>
      <c r="K822" s="1452"/>
      <c r="L822" s="1447"/>
      <c r="M822" s="1453"/>
      <c r="N822" s="1454"/>
      <c r="O822" s="1455"/>
    </row>
    <row r="823">
      <c r="A823" s="1456"/>
      <c r="B823" s="1457"/>
      <c r="C823" s="1458"/>
      <c r="D823" s="1460"/>
      <c r="E823" s="1459"/>
      <c r="F823" s="1460"/>
      <c r="G823" s="1460"/>
      <c r="H823" s="1460"/>
      <c r="I823" s="1460"/>
      <c r="J823" s="1460"/>
      <c r="K823" s="1460"/>
      <c r="L823" s="1460"/>
      <c r="M823" s="186"/>
      <c r="N823" s="1461"/>
      <c r="O823" s="1462"/>
    </row>
    <row r="824">
      <c r="A824" s="1442"/>
      <c r="B824" s="1443"/>
      <c r="C824" s="1444"/>
      <c r="D824" s="1450"/>
      <c r="E824" s="1446"/>
      <c r="F824" s="1447"/>
      <c r="G824" s="1448"/>
      <c r="H824" s="1449"/>
      <c r="I824" s="1450"/>
      <c r="J824" s="1451"/>
      <c r="K824" s="1452"/>
      <c r="L824" s="1447"/>
      <c r="M824" s="1453"/>
      <c r="N824" s="1454"/>
      <c r="O824" s="1455"/>
    </row>
    <row r="825">
      <c r="A825" s="1456"/>
      <c r="B825" s="1457"/>
      <c r="C825" s="1458"/>
      <c r="D825" s="1460"/>
      <c r="E825" s="1459"/>
      <c r="F825" s="1460"/>
      <c r="G825" s="1460"/>
      <c r="H825" s="1460"/>
      <c r="I825" s="1460"/>
      <c r="J825" s="1460"/>
      <c r="K825" s="1460"/>
      <c r="L825" s="1460"/>
      <c r="M825" s="186"/>
      <c r="N825" s="1461"/>
      <c r="O825" s="1462"/>
    </row>
    <row r="826">
      <c r="A826" s="1442"/>
      <c r="B826" s="1443"/>
      <c r="C826" s="1444"/>
      <c r="D826" s="1450"/>
      <c r="E826" s="1446"/>
      <c r="F826" s="1447"/>
      <c r="G826" s="1448"/>
      <c r="H826" s="1449"/>
      <c r="I826" s="1450"/>
      <c r="J826" s="1451"/>
      <c r="K826" s="1452"/>
      <c r="L826" s="1447"/>
      <c r="M826" s="1453"/>
      <c r="N826" s="1454"/>
      <c r="O826" s="1455"/>
    </row>
    <row r="827">
      <c r="A827" s="1456"/>
      <c r="B827" s="1457"/>
      <c r="C827" s="1458"/>
      <c r="D827" s="1460"/>
      <c r="E827" s="1459"/>
      <c r="F827" s="1460"/>
      <c r="G827" s="1460"/>
      <c r="H827" s="1460"/>
      <c r="I827" s="1460"/>
      <c r="J827" s="1460"/>
      <c r="K827" s="1460"/>
      <c r="L827" s="1460"/>
      <c r="M827" s="186"/>
      <c r="N827" s="1461"/>
      <c r="O827" s="1462"/>
    </row>
    <row r="828">
      <c r="A828" s="1442"/>
      <c r="B828" s="1443"/>
      <c r="C828" s="1444"/>
      <c r="D828" s="1450"/>
      <c r="E828" s="1446"/>
      <c r="F828" s="1447"/>
      <c r="G828" s="1448"/>
      <c r="H828" s="1449"/>
      <c r="I828" s="1450"/>
      <c r="J828" s="1451"/>
      <c r="K828" s="1452"/>
      <c r="L828" s="1447"/>
      <c r="M828" s="1453"/>
      <c r="N828" s="1454"/>
      <c r="O828" s="1455"/>
    </row>
    <row r="829">
      <c r="A829" s="1456"/>
      <c r="B829" s="1457"/>
      <c r="C829" s="1458"/>
      <c r="D829" s="1460"/>
      <c r="E829" s="1459"/>
      <c r="F829" s="1460"/>
      <c r="G829" s="1460"/>
      <c r="H829" s="1460"/>
      <c r="I829" s="1460"/>
      <c r="J829" s="1460"/>
      <c r="K829" s="1460"/>
      <c r="L829" s="1460"/>
      <c r="M829" s="186"/>
      <c r="N829" s="1461"/>
      <c r="O829" s="1462"/>
    </row>
    <row r="830">
      <c r="A830" s="1442"/>
      <c r="B830" s="1443"/>
      <c r="C830" s="1444"/>
      <c r="D830" s="1450"/>
      <c r="E830" s="1446"/>
      <c r="F830" s="1447"/>
      <c r="G830" s="1448"/>
      <c r="H830" s="1449"/>
      <c r="I830" s="1450"/>
      <c r="J830" s="1451"/>
      <c r="K830" s="1452"/>
      <c r="L830" s="1447"/>
      <c r="M830" s="1453"/>
      <c r="N830" s="1454"/>
      <c r="O830" s="1455"/>
    </row>
    <row r="831">
      <c r="A831" s="1456"/>
      <c r="B831" s="1457"/>
      <c r="C831" s="1458"/>
      <c r="D831" s="1460"/>
      <c r="E831" s="1459"/>
      <c r="F831" s="1460"/>
      <c r="G831" s="1460"/>
      <c r="H831" s="1460"/>
      <c r="I831" s="1460"/>
      <c r="J831" s="1460"/>
      <c r="K831" s="1460"/>
      <c r="L831" s="1460"/>
      <c r="M831" s="186"/>
      <c r="N831" s="1461"/>
      <c r="O831" s="1462"/>
    </row>
    <row r="832">
      <c r="A832" s="1442"/>
      <c r="B832" s="1443"/>
      <c r="C832" s="1444"/>
      <c r="D832" s="1450"/>
      <c r="E832" s="1446"/>
      <c r="F832" s="1447"/>
      <c r="G832" s="1448"/>
      <c r="H832" s="1449"/>
      <c r="I832" s="1450"/>
      <c r="J832" s="1451"/>
      <c r="K832" s="1452"/>
      <c r="L832" s="1447"/>
      <c r="M832" s="1453"/>
      <c r="N832" s="1454"/>
      <c r="O832" s="1455"/>
    </row>
    <row r="833">
      <c r="A833" s="1456"/>
      <c r="B833" s="1457"/>
      <c r="C833" s="1458"/>
      <c r="D833" s="1460"/>
      <c r="E833" s="1459"/>
      <c r="F833" s="1460"/>
      <c r="G833" s="1460"/>
      <c r="H833" s="1460"/>
      <c r="I833" s="1460"/>
      <c r="J833" s="1460"/>
      <c r="K833" s="1460"/>
      <c r="L833" s="1460"/>
      <c r="M833" s="186"/>
      <c r="N833" s="1461"/>
      <c r="O833" s="1462"/>
    </row>
    <row r="834">
      <c r="A834" s="1442"/>
      <c r="B834" s="1443"/>
      <c r="C834" s="1444"/>
      <c r="D834" s="1450"/>
      <c r="E834" s="1446"/>
      <c r="F834" s="1447"/>
      <c r="G834" s="1448"/>
      <c r="H834" s="1449"/>
      <c r="I834" s="1450"/>
      <c r="J834" s="1451"/>
      <c r="K834" s="1452"/>
      <c r="L834" s="1447"/>
      <c r="M834" s="1453"/>
      <c r="N834" s="1454"/>
      <c r="O834" s="1455"/>
    </row>
    <row r="835">
      <c r="A835" s="1456"/>
      <c r="B835" s="1457"/>
      <c r="C835" s="1458"/>
      <c r="D835" s="1460"/>
      <c r="E835" s="1459"/>
      <c r="F835" s="1460"/>
      <c r="G835" s="1460"/>
      <c r="H835" s="1460"/>
      <c r="I835" s="1460"/>
      <c r="J835" s="1460"/>
      <c r="K835" s="1460"/>
      <c r="L835" s="1460"/>
      <c r="M835" s="186"/>
      <c r="N835" s="1461"/>
      <c r="O835" s="1462"/>
    </row>
    <row r="836">
      <c r="A836" s="1442"/>
      <c r="B836" s="1443"/>
      <c r="C836" s="1444"/>
      <c r="D836" s="1450"/>
      <c r="E836" s="1446"/>
      <c r="F836" s="1447"/>
      <c r="G836" s="1448"/>
      <c r="H836" s="1449"/>
      <c r="I836" s="1450"/>
      <c r="J836" s="1451"/>
      <c r="K836" s="1452"/>
      <c r="L836" s="1447"/>
      <c r="M836" s="1453"/>
      <c r="N836" s="1454"/>
      <c r="O836" s="1455"/>
    </row>
    <row r="837">
      <c r="A837" s="1456"/>
      <c r="B837" s="1457"/>
      <c r="C837" s="1458"/>
      <c r="D837" s="1460"/>
      <c r="E837" s="1459"/>
      <c r="F837" s="1460"/>
      <c r="G837" s="1460"/>
      <c r="H837" s="1460"/>
      <c r="I837" s="1460"/>
      <c r="J837" s="1460"/>
      <c r="K837" s="1460"/>
      <c r="L837" s="1460"/>
      <c r="M837" s="186"/>
      <c r="N837" s="1461"/>
      <c r="O837" s="1462"/>
    </row>
    <row r="838">
      <c r="A838" s="1442"/>
      <c r="B838" s="1443"/>
      <c r="C838" s="1444"/>
      <c r="D838" s="1450"/>
      <c r="E838" s="1446"/>
      <c r="F838" s="1447"/>
      <c r="G838" s="1448"/>
      <c r="H838" s="1449"/>
      <c r="I838" s="1450"/>
      <c r="J838" s="1451"/>
      <c r="K838" s="1452"/>
      <c r="L838" s="1447"/>
      <c r="M838" s="1453"/>
      <c r="N838" s="1454"/>
      <c r="O838" s="1455"/>
    </row>
    <row r="839">
      <c r="A839" s="1456"/>
      <c r="B839" s="1457"/>
      <c r="C839" s="1458"/>
      <c r="D839" s="1460"/>
      <c r="E839" s="1459"/>
      <c r="F839" s="1460"/>
      <c r="G839" s="1460"/>
      <c r="H839" s="1460"/>
      <c r="I839" s="1460"/>
      <c r="J839" s="1460"/>
      <c r="K839" s="1460"/>
      <c r="L839" s="1460"/>
      <c r="M839" s="186"/>
      <c r="N839" s="1461"/>
      <c r="O839" s="1462"/>
    </row>
    <row r="840">
      <c r="A840" s="1442"/>
      <c r="B840" s="1443"/>
      <c r="C840" s="1444"/>
      <c r="D840" s="1450"/>
      <c r="E840" s="1446"/>
      <c r="F840" s="1447"/>
      <c r="G840" s="1448"/>
      <c r="H840" s="1449"/>
      <c r="I840" s="1450"/>
      <c r="J840" s="1451"/>
      <c r="K840" s="1452"/>
      <c r="L840" s="1447"/>
      <c r="M840" s="1453"/>
      <c r="N840" s="1454"/>
      <c r="O840" s="1455"/>
    </row>
    <row r="841">
      <c r="A841" s="1456"/>
      <c r="B841" s="1457"/>
      <c r="C841" s="1458"/>
      <c r="D841" s="1460"/>
      <c r="E841" s="1459"/>
      <c r="F841" s="1460"/>
      <c r="G841" s="1460"/>
      <c r="H841" s="1460"/>
      <c r="I841" s="1460"/>
      <c r="J841" s="1460"/>
      <c r="K841" s="1460"/>
      <c r="L841" s="1460"/>
      <c r="M841" s="186"/>
      <c r="N841" s="1461"/>
      <c r="O841" s="1462"/>
    </row>
    <row r="842">
      <c r="A842" s="1442"/>
      <c r="B842" s="1443"/>
      <c r="C842" s="1444"/>
      <c r="D842" s="1450"/>
      <c r="E842" s="1446"/>
      <c r="F842" s="1447"/>
      <c r="G842" s="1448"/>
      <c r="H842" s="1449"/>
      <c r="I842" s="1450"/>
      <c r="J842" s="1451"/>
      <c r="K842" s="1452"/>
      <c r="L842" s="1447"/>
      <c r="M842" s="1453"/>
      <c r="N842" s="1454"/>
      <c r="O842" s="1455"/>
    </row>
    <row r="843">
      <c r="A843" s="1456"/>
      <c r="B843" s="1457"/>
      <c r="C843" s="1458"/>
      <c r="D843" s="1460"/>
      <c r="E843" s="1459"/>
      <c r="F843" s="1460"/>
      <c r="G843" s="1460"/>
      <c r="H843" s="1460"/>
      <c r="I843" s="1460"/>
      <c r="J843" s="1460"/>
      <c r="K843" s="1460"/>
      <c r="L843" s="1460"/>
      <c r="M843" s="186"/>
      <c r="N843" s="1461"/>
      <c r="O843" s="1462"/>
    </row>
    <row r="844">
      <c r="A844" s="1442"/>
      <c r="B844" s="1443"/>
      <c r="C844" s="1444"/>
      <c r="D844" s="1450"/>
      <c r="E844" s="1446"/>
      <c r="F844" s="1447"/>
      <c r="G844" s="1448"/>
      <c r="H844" s="1449"/>
      <c r="I844" s="1450"/>
      <c r="J844" s="1451"/>
      <c r="K844" s="1452"/>
      <c r="L844" s="1447"/>
      <c r="M844" s="1453"/>
      <c r="N844" s="1454"/>
      <c r="O844" s="1455"/>
    </row>
    <row r="845">
      <c r="A845" s="1456"/>
      <c r="B845" s="1457"/>
      <c r="C845" s="1458"/>
      <c r="D845" s="1460"/>
      <c r="E845" s="1459"/>
      <c r="F845" s="1460"/>
      <c r="G845" s="1460"/>
      <c r="H845" s="1460"/>
      <c r="I845" s="1460"/>
      <c r="J845" s="1460"/>
      <c r="K845" s="1460"/>
      <c r="L845" s="1460"/>
      <c r="M845" s="186"/>
      <c r="N845" s="1461"/>
      <c r="O845" s="1462"/>
    </row>
    <row r="846">
      <c r="A846" s="1442"/>
      <c r="B846" s="1443"/>
      <c r="C846" s="1444"/>
      <c r="D846" s="1450"/>
      <c r="E846" s="1446"/>
      <c r="F846" s="1447"/>
      <c r="G846" s="1448"/>
      <c r="H846" s="1449"/>
      <c r="I846" s="1450"/>
      <c r="J846" s="1451"/>
      <c r="K846" s="1452"/>
      <c r="L846" s="1447"/>
      <c r="M846" s="1453"/>
      <c r="N846" s="1454"/>
      <c r="O846" s="1455"/>
    </row>
    <row r="847">
      <c r="A847" s="1456"/>
      <c r="B847" s="1457"/>
      <c r="C847" s="1458"/>
      <c r="D847" s="1460"/>
      <c r="E847" s="1459"/>
      <c r="F847" s="1460"/>
      <c r="G847" s="1460"/>
      <c r="H847" s="1460"/>
      <c r="I847" s="1460"/>
      <c r="J847" s="1460"/>
      <c r="K847" s="1460"/>
      <c r="L847" s="1460"/>
      <c r="M847" s="186"/>
      <c r="N847" s="1461"/>
      <c r="O847" s="1462"/>
    </row>
    <row r="848">
      <c r="A848" s="1442"/>
      <c r="B848" s="1443"/>
      <c r="C848" s="1444"/>
      <c r="D848" s="1450"/>
      <c r="E848" s="1446"/>
      <c r="F848" s="1447"/>
      <c r="G848" s="1448"/>
      <c r="H848" s="1449"/>
      <c r="I848" s="1450"/>
      <c r="J848" s="1451"/>
      <c r="K848" s="1452"/>
      <c r="L848" s="1447"/>
      <c r="M848" s="1453"/>
      <c r="N848" s="1454"/>
      <c r="O848" s="1455"/>
    </row>
    <row r="849">
      <c r="A849" s="1456"/>
      <c r="B849" s="1457"/>
      <c r="C849" s="1458"/>
      <c r="D849" s="1460"/>
      <c r="E849" s="1459"/>
      <c r="F849" s="1460"/>
      <c r="G849" s="1460"/>
      <c r="H849" s="1460"/>
      <c r="I849" s="1460"/>
      <c r="J849" s="1460"/>
      <c r="K849" s="1460"/>
      <c r="L849" s="1460"/>
      <c r="M849" s="186"/>
      <c r="N849" s="1461"/>
      <c r="O849" s="1462"/>
    </row>
    <row r="850">
      <c r="A850" s="1442"/>
      <c r="B850" s="1443"/>
      <c r="C850" s="1444"/>
      <c r="D850" s="1450"/>
      <c r="E850" s="1446"/>
      <c r="F850" s="1447"/>
      <c r="G850" s="1448"/>
      <c r="H850" s="1449"/>
      <c r="I850" s="1450"/>
      <c r="J850" s="1451"/>
      <c r="K850" s="1452"/>
      <c r="L850" s="1447"/>
      <c r="M850" s="1453"/>
      <c r="N850" s="1454"/>
      <c r="O850" s="1455"/>
    </row>
    <row r="851">
      <c r="A851" s="1456"/>
      <c r="B851" s="1457"/>
      <c r="C851" s="1458"/>
      <c r="D851" s="1460"/>
      <c r="E851" s="1459"/>
      <c r="F851" s="1460"/>
      <c r="G851" s="1460"/>
      <c r="H851" s="1460"/>
      <c r="I851" s="1460"/>
      <c r="J851" s="1460"/>
      <c r="K851" s="1460"/>
      <c r="L851" s="1460"/>
      <c r="M851" s="186"/>
      <c r="N851" s="1461"/>
      <c r="O851" s="1462"/>
    </row>
    <row r="852">
      <c r="A852" s="1442"/>
      <c r="B852" s="1443"/>
      <c r="C852" s="1444"/>
      <c r="D852" s="1450"/>
      <c r="E852" s="1446"/>
      <c r="F852" s="1447"/>
      <c r="G852" s="1448"/>
      <c r="H852" s="1449"/>
      <c r="I852" s="1450"/>
      <c r="J852" s="1451"/>
      <c r="K852" s="1452"/>
      <c r="L852" s="1447"/>
      <c r="M852" s="1453"/>
      <c r="N852" s="1454"/>
      <c r="O852" s="1455"/>
    </row>
    <row r="853">
      <c r="A853" s="1456"/>
      <c r="B853" s="1457"/>
      <c r="C853" s="1458"/>
      <c r="D853" s="1460"/>
      <c r="E853" s="1459"/>
      <c r="F853" s="1460"/>
      <c r="G853" s="1460"/>
      <c r="H853" s="1460"/>
      <c r="I853" s="1460"/>
      <c r="J853" s="1460"/>
      <c r="K853" s="1460"/>
      <c r="L853" s="1460"/>
      <c r="M853" s="186"/>
      <c r="N853" s="1461"/>
      <c r="O853" s="1462"/>
    </row>
    <row r="854">
      <c r="A854" s="1442"/>
      <c r="B854" s="1443"/>
      <c r="C854" s="1444"/>
      <c r="D854" s="1450"/>
      <c r="E854" s="1446"/>
      <c r="F854" s="1447"/>
      <c r="G854" s="1448"/>
      <c r="H854" s="1449"/>
      <c r="I854" s="1450"/>
      <c r="J854" s="1451"/>
      <c r="K854" s="1452"/>
      <c r="L854" s="1447"/>
      <c r="M854" s="1453"/>
      <c r="N854" s="1454"/>
      <c r="O854" s="1455"/>
    </row>
    <row r="855">
      <c r="A855" s="1456"/>
      <c r="B855" s="1457"/>
      <c r="C855" s="1458"/>
      <c r="D855" s="1460"/>
      <c r="E855" s="1459"/>
      <c r="F855" s="1460"/>
      <c r="G855" s="1460"/>
      <c r="H855" s="1460"/>
      <c r="I855" s="1460"/>
      <c r="J855" s="1460"/>
      <c r="K855" s="1460"/>
      <c r="L855" s="1460"/>
      <c r="M855" s="186"/>
      <c r="N855" s="1461"/>
      <c r="O855" s="1462"/>
    </row>
    <row r="856">
      <c r="A856" s="1442"/>
      <c r="B856" s="1443"/>
      <c r="C856" s="1444"/>
      <c r="D856" s="1450"/>
      <c r="E856" s="1446"/>
      <c r="F856" s="1447"/>
      <c r="G856" s="1448"/>
      <c r="H856" s="1449"/>
      <c r="I856" s="1450"/>
      <c r="J856" s="1451"/>
      <c r="K856" s="1452"/>
      <c r="L856" s="1447"/>
      <c r="M856" s="1453"/>
      <c r="N856" s="1454"/>
      <c r="O856" s="1455"/>
    </row>
    <row r="857">
      <c r="A857" s="1456"/>
      <c r="B857" s="1457"/>
      <c r="C857" s="1458"/>
      <c r="D857" s="1460"/>
      <c r="E857" s="1459"/>
      <c r="F857" s="1460"/>
      <c r="G857" s="1460"/>
      <c r="H857" s="1460"/>
      <c r="I857" s="1460"/>
      <c r="J857" s="1460"/>
      <c r="K857" s="1460"/>
      <c r="L857" s="1460"/>
      <c r="M857" s="186"/>
      <c r="N857" s="1461"/>
      <c r="O857" s="1462"/>
    </row>
    <row r="858">
      <c r="A858" s="1442"/>
      <c r="B858" s="1443"/>
      <c r="C858" s="1444"/>
      <c r="D858" s="1450"/>
      <c r="E858" s="1446"/>
      <c r="F858" s="1447"/>
      <c r="G858" s="1448"/>
      <c r="H858" s="1449"/>
      <c r="I858" s="1450"/>
      <c r="J858" s="1451"/>
      <c r="K858" s="1452"/>
      <c r="L858" s="1447"/>
      <c r="M858" s="1453"/>
      <c r="N858" s="1454"/>
      <c r="O858" s="1455"/>
    </row>
    <row r="859">
      <c r="A859" s="1456"/>
      <c r="B859" s="1457"/>
      <c r="C859" s="1458"/>
      <c r="D859" s="1460"/>
      <c r="E859" s="1459"/>
      <c r="F859" s="1460"/>
      <c r="G859" s="1460"/>
      <c r="H859" s="1460"/>
      <c r="I859" s="1460"/>
      <c r="J859" s="1460"/>
      <c r="K859" s="1460"/>
      <c r="L859" s="1460"/>
      <c r="M859" s="186"/>
      <c r="N859" s="1461"/>
      <c r="O859" s="1462"/>
    </row>
    <row r="860">
      <c r="A860" s="1442"/>
      <c r="B860" s="1443"/>
      <c r="C860" s="1444"/>
      <c r="D860" s="1450"/>
      <c r="E860" s="1446"/>
      <c r="F860" s="1447"/>
      <c r="G860" s="1448"/>
      <c r="H860" s="1449"/>
      <c r="I860" s="1450"/>
      <c r="J860" s="1451"/>
      <c r="K860" s="1452"/>
      <c r="L860" s="1447"/>
      <c r="M860" s="1453"/>
      <c r="N860" s="1454"/>
      <c r="O860" s="1455"/>
    </row>
    <row r="861">
      <c r="A861" s="1456"/>
      <c r="B861" s="1457"/>
      <c r="C861" s="1458"/>
      <c r="D861" s="1460"/>
      <c r="E861" s="1459"/>
      <c r="F861" s="1460"/>
      <c r="G861" s="1460"/>
      <c r="H861" s="1460"/>
      <c r="I861" s="1460"/>
      <c r="J861" s="1460"/>
      <c r="K861" s="1460"/>
      <c r="L861" s="1460"/>
      <c r="M861" s="186"/>
      <c r="N861" s="1461"/>
      <c r="O861" s="1462"/>
    </row>
    <row r="862">
      <c r="A862" s="1442"/>
      <c r="B862" s="1443"/>
      <c r="C862" s="1444"/>
      <c r="D862" s="1450"/>
      <c r="E862" s="1446"/>
      <c r="F862" s="1447"/>
      <c r="G862" s="1448"/>
      <c r="H862" s="1449"/>
      <c r="I862" s="1450"/>
      <c r="J862" s="1451"/>
      <c r="K862" s="1452"/>
      <c r="L862" s="1447"/>
      <c r="M862" s="1453"/>
      <c r="N862" s="1454"/>
      <c r="O862" s="1455"/>
    </row>
    <row r="863">
      <c r="A863" s="1456"/>
      <c r="B863" s="1457"/>
      <c r="C863" s="1458"/>
      <c r="D863" s="1460"/>
      <c r="E863" s="1459"/>
      <c r="F863" s="1460"/>
      <c r="G863" s="1460"/>
      <c r="H863" s="1460"/>
      <c r="I863" s="1460"/>
      <c r="J863" s="1460"/>
      <c r="K863" s="1460"/>
      <c r="L863" s="1460"/>
      <c r="M863" s="186"/>
      <c r="N863" s="1461"/>
      <c r="O863" s="1462"/>
    </row>
    <row r="864">
      <c r="A864" s="1442"/>
      <c r="B864" s="1443"/>
      <c r="C864" s="1444"/>
      <c r="D864" s="1450"/>
      <c r="E864" s="1446"/>
      <c r="F864" s="1447"/>
      <c r="G864" s="1448"/>
      <c r="H864" s="1449"/>
      <c r="I864" s="1450"/>
      <c r="J864" s="1451"/>
      <c r="K864" s="1452"/>
      <c r="L864" s="1447"/>
      <c r="M864" s="1453"/>
      <c r="N864" s="1454"/>
      <c r="O864" s="1455"/>
    </row>
    <row r="865">
      <c r="A865" s="1456"/>
      <c r="B865" s="1457"/>
      <c r="C865" s="1458"/>
      <c r="D865" s="1460"/>
      <c r="E865" s="1459"/>
      <c r="F865" s="1460"/>
      <c r="G865" s="1460"/>
      <c r="H865" s="1460"/>
      <c r="I865" s="1460"/>
      <c r="J865" s="1460"/>
      <c r="K865" s="1460"/>
      <c r="L865" s="1460"/>
      <c r="M865" s="186"/>
      <c r="N865" s="1461"/>
      <c r="O865" s="1462"/>
    </row>
    <row r="866">
      <c r="A866" s="1442"/>
      <c r="B866" s="1443"/>
      <c r="C866" s="1444"/>
      <c r="D866" s="1450"/>
      <c r="E866" s="1446"/>
      <c r="F866" s="1447"/>
      <c r="G866" s="1448"/>
      <c r="H866" s="1449"/>
      <c r="I866" s="1450"/>
      <c r="J866" s="1451"/>
      <c r="K866" s="1452"/>
      <c r="L866" s="1447"/>
      <c r="M866" s="1453"/>
      <c r="N866" s="1454"/>
      <c r="O866" s="1455"/>
    </row>
    <row r="867">
      <c r="A867" s="1456"/>
      <c r="B867" s="1457"/>
      <c r="C867" s="1458"/>
      <c r="D867" s="1460"/>
      <c r="E867" s="1459"/>
      <c r="F867" s="1460"/>
      <c r="G867" s="1460"/>
      <c r="H867" s="1460"/>
      <c r="I867" s="1460"/>
      <c r="J867" s="1460"/>
      <c r="K867" s="1460"/>
      <c r="L867" s="1460"/>
      <c r="M867" s="186"/>
      <c r="N867" s="1461"/>
      <c r="O867" s="1462"/>
    </row>
    <row r="868">
      <c r="A868" s="1442"/>
      <c r="B868" s="1443"/>
      <c r="C868" s="1444"/>
      <c r="D868" s="1450"/>
      <c r="E868" s="1446"/>
      <c r="F868" s="1447"/>
      <c r="G868" s="1448"/>
      <c r="H868" s="1449"/>
      <c r="I868" s="1450"/>
      <c r="J868" s="1451"/>
      <c r="K868" s="1452"/>
      <c r="L868" s="1447"/>
      <c r="M868" s="1453"/>
      <c r="N868" s="1454"/>
      <c r="O868" s="1455"/>
    </row>
    <row r="869">
      <c r="A869" s="1456"/>
      <c r="B869" s="1457"/>
      <c r="C869" s="1458"/>
      <c r="D869" s="1460"/>
      <c r="E869" s="1459"/>
      <c r="F869" s="1460"/>
      <c r="G869" s="1460"/>
      <c r="H869" s="1460"/>
      <c r="I869" s="1460"/>
      <c r="J869" s="1460"/>
      <c r="K869" s="1460"/>
      <c r="L869" s="1460"/>
      <c r="M869" s="186"/>
      <c r="N869" s="1461"/>
      <c r="O869" s="1462"/>
    </row>
    <row r="870">
      <c r="A870" s="1442"/>
      <c r="B870" s="1443"/>
      <c r="C870" s="1444"/>
      <c r="D870" s="1450"/>
      <c r="E870" s="1446"/>
      <c r="F870" s="1447"/>
      <c r="G870" s="1448"/>
      <c r="H870" s="1449"/>
      <c r="I870" s="1450"/>
      <c r="J870" s="1451"/>
      <c r="K870" s="1452"/>
      <c r="L870" s="1447"/>
      <c r="M870" s="1453"/>
      <c r="N870" s="1454"/>
      <c r="O870" s="1455"/>
    </row>
    <row r="871">
      <c r="A871" s="1456"/>
      <c r="B871" s="1457"/>
      <c r="C871" s="1458"/>
      <c r="D871" s="1460"/>
      <c r="E871" s="1459"/>
      <c r="F871" s="1460"/>
      <c r="G871" s="1460"/>
      <c r="H871" s="1460"/>
      <c r="I871" s="1460"/>
      <c r="J871" s="1460"/>
      <c r="K871" s="1460"/>
      <c r="L871" s="1460"/>
      <c r="M871" s="186"/>
      <c r="N871" s="1461"/>
      <c r="O871" s="1462"/>
    </row>
    <row r="872">
      <c r="A872" s="1442"/>
      <c r="B872" s="1443"/>
      <c r="C872" s="1444"/>
      <c r="D872" s="1450"/>
      <c r="E872" s="1446"/>
      <c r="F872" s="1447"/>
      <c r="G872" s="1448"/>
      <c r="H872" s="1449"/>
      <c r="I872" s="1450"/>
      <c r="J872" s="1451"/>
      <c r="K872" s="1452"/>
      <c r="L872" s="1447"/>
      <c r="M872" s="1453"/>
      <c r="N872" s="1454"/>
      <c r="O872" s="1455"/>
    </row>
    <row r="873">
      <c r="A873" s="1456"/>
      <c r="B873" s="1457"/>
      <c r="C873" s="1458"/>
      <c r="D873" s="1460"/>
      <c r="E873" s="1459"/>
      <c r="F873" s="1460"/>
      <c r="G873" s="1460"/>
      <c r="H873" s="1460"/>
      <c r="I873" s="1460"/>
      <c r="J873" s="1460"/>
      <c r="K873" s="1460"/>
      <c r="L873" s="1460"/>
      <c r="M873" s="186"/>
      <c r="N873" s="1461"/>
      <c r="O873" s="1462"/>
    </row>
    <row r="874">
      <c r="A874" s="1442"/>
      <c r="B874" s="1443"/>
      <c r="C874" s="1444"/>
      <c r="D874" s="1450"/>
      <c r="E874" s="1446"/>
      <c r="F874" s="1447"/>
      <c r="G874" s="1448"/>
      <c r="H874" s="1449"/>
      <c r="I874" s="1450"/>
      <c r="J874" s="1451"/>
      <c r="K874" s="1452"/>
      <c r="L874" s="1447"/>
      <c r="M874" s="1453"/>
      <c r="N874" s="1454"/>
      <c r="O874" s="1455"/>
    </row>
    <row r="875">
      <c r="A875" s="1456"/>
      <c r="B875" s="1457"/>
      <c r="C875" s="1458"/>
      <c r="D875" s="1460"/>
      <c r="E875" s="1459"/>
      <c r="F875" s="1460"/>
      <c r="G875" s="1460"/>
      <c r="H875" s="1460"/>
      <c r="I875" s="1460"/>
      <c r="J875" s="1460"/>
      <c r="K875" s="1460"/>
      <c r="L875" s="1460"/>
      <c r="M875" s="186"/>
      <c r="N875" s="1461"/>
      <c r="O875" s="1462"/>
    </row>
    <row r="876">
      <c r="A876" s="1442"/>
      <c r="B876" s="1443"/>
      <c r="C876" s="1444"/>
      <c r="D876" s="1450"/>
      <c r="E876" s="1446"/>
      <c r="F876" s="1447"/>
      <c r="G876" s="1448"/>
      <c r="H876" s="1449"/>
      <c r="I876" s="1450"/>
      <c r="J876" s="1451"/>
      <c r="K876" s="1452"/>
      <c r="L876" s="1447"/>
      <c r="M876" s="1453"/>
      <c r="N876" s="1454"/>
      <c r="O876" s="1455"/>
    </row>
    <row r="877">
      <c r="A877" s="1456"/>
      <c r="B877" s="1457"/>
      <c r="C877" s="1458"/>
      <c r="D877" s="1460"/>
      <c r="E877" s="1459"/>
      <c r="F877" s="1460"/>
      <c r="G877" s="1460"/>
      <c r="H877" s="1460"/>
      <c r="I877" s="1460"/>
      <c r="J877" s="1460"/>
      <c r="K877" s="1460"/>
      <c r="L877" s="1460"/>
      <c r="M877" s="186"/>
      <c r="N877" s="1461"/>
      <c r="O877" s="1462"/>
    </row>
    <row r="878">
      <c r="A878" s="1442"/>
      <c r="B878" s="1443"/>
      <c r="C878" s="1444"/>
      <c r="D878" s="1450"/>
      <c r="E878" s="1446"/>
      <c r="F878" s="1447"/>
      <c r="G878" s="1448"/>
      <c r="H878" s="1449"/>
      <c r="I878" s="1450"/>
      <c r="J878" s="1451"/>
      <c r="K878" s="1452"/>
      <c r="L878" s="1447"/>
      <c r="M878" s="1453"/>
      <c r="N878" s="1454"/>
      <c r="O878" s="1455"/>
    </row>
    <row r="879">
      <c r="A879" s="1456"/>
      <c r="B879" s="1457"/>
      <c r="C879" s="1458"/>
      <c r="D879" s="1460"/>
      <c r="E879" s="1459"/>
      <c r="F879" s="1460"/>
      <c r="G879" s="1460"/>
      <c r="H879" s="1460"/>
      <c r="I879" s="1460"/>
      <c r="J879" s="1460"/>
      <c r="K879" s="1460"/>
      <c r="L879" s="1460"/>
      <c r="M879" s="186"/>
      <c r="N879" s="1461"/>
      <c r="O879" s="1462"/>
    </row>
    <row r="880">
      <c r="A880" s="1442"/>
      <c r="B880" s="1443"/>
      <c r="C880" s="1444"/>
      <c r="D880" s="1450"/>
      <c r="E880" s="1446"/>
      <c r="F880" s="1447"/>
      <c r="G880" s="1448"/>
      <c r="H880" s="1449"/>
      <c r="I880" s="1450"/>
      <c r="J880" s="1451"/>
      <c r="K880" s="1452"/>
      <c r="L880" s="1447"/>
      <c r="M880" s="1453"/>
      <c r="N880" s="1454"/>
      <c r="O880" s="1455"/>
    </row>
    <row r="881">
      <c r="A881" s="1456"/>
      <c r="B881" s="1457"/>
      <c r="C881" s="1458"/>
      <c r="D881" s="1460"/>
      <c r="E881" s="1459"/>
      <c r="F881" s="1460"/>
      <c r="G881" s="1460"/>
      <c r="H881" s="1460"/>
      <c r="I881" s="1460"/>
      <c r="J881" s="1460"/>
      <c r="K881" s="1460"/>
      <c r="L881" s="1460"/>
      <c r="M881" s="186"/>
      <c r="N881" s="1461"/>
      <c r="O881" s="1462"/>
    </row>
    <row r="882">
      <c r="A882" s="1442"/>
      <c r="B882" s="1443"/>
      <c r="C882" s="1444"/>
      <c r="D882" s="1450"/>
      <c r="E882" s="1446"/>
      <c r="F882" s="1447"/>
      <c r="G882" s="1448"/>
      <c r="H882" s="1449"/>
      <c r="I882" s="1450"/>
      <c r="J882" s="1451"/>
      <c r="K882" s="1452"/>
      <c r="L882" s="1447"/>
      <c r="M882" s="1453"/>
      <c r="N882" s="1454"/>
      <c r="O882" s="1455"/>
    </row>
    <row r="883">
      <c r="A883" s="1456"/>
      <c r="B883" s="1457"/>
      <c r="C883" s="1458"/>
      <c r="D883" s="1460"/>
      <c r="E883" s="1459"/>
      <c r="F883" s="1460"/>
      <c r="G883" s="1460"/>
      <c r="H883" s="1460"/>
      <c r="I883" s="1460"/>
      <c r="J883" s="1460"/>
      <c r="K883" s="1460"/>
      <c r="L883" s="1460"/>
      <c r="M883" s="186"/>
      <c r="N883" s="1461"/>
      <c r="O883" s="1462"/>
    </row>
    <row r="884">
      <c r="A884" s="1442"/>
      <c r="B884" s="1443"/>
      <c r="C884" s="1444"/>
      <c r="D884" s="1450"/>
      <c r="E884" s="1446"/>
      <c r="F884" s="1447"/>
      <c r="G884" s="1448"/>
      <c r="H884" s="1449"/>
      <c r="I884" s="1450"/>
      <c r="J884" s="1451"/>
      <c r="K884" s="1452"/>
      <c r="L884" s="1447"/>
      <c r="M884" s="1453"/>
      <c r="N884" s="1454"/>
      <c r="O884" s="1455"/>
    </row>
    <row r="885">
      <c r="A885" s="1456"/>
      <c r="B885" s="1457"/>
      <c r="C885" s="1458"/>
      <c r="D885" s="1460"/>
      <c r="E885" s="1459"/>
      <c r="F885" s="1460"/>
      <c r="G885" s="1460"/>
      <c r="H885" s="1460"/>
      <c r="I885" s="1460"/>
      <c r="J885" s="1460"/>
      <c r="K885" s="1460"/>
      <c r="L885" s="1460"/>
      <c r="M885" s="186"/>
      <c r="N885" s="1461"/>
      <c r="O885" s="1462"/>
    </row>
    <row r="886">
      <c r="A886" s="1442"/>
      <c r="B886" s="1443"/>
      <c r="C886" s="1444"/>
      <c r="D886" s="1450"/>
      <c r="E886" s="1446"/>
      <c r="F886" s="1447"/>
      <c r="G886" s="1448"/>
      <c r="H886" s="1449"/>
      <c r="I886" s="1450"/>
      <c r="J886" s="1451"/>
      <c r="K886" s="1452"/>
      <c r="L886" s="1447"/>
      <c r="M886" s="1453"/>
      <c r="N886" s="1454"/>
      <c r="O886" s="1455"/>
    </row>
    <row r="887">
      <c r="A887" s="1456"/>
      <c r="B887" s="1457"/>
      <c r="C887" s="1458"/>
      <c r="D887" s="1460"/>
      <c r="E887" s="1459"/>
      <c r="F887" s="1460"/>
      <c r="G887" s="1460"/>
      <c r="H887" s="1460"/>
      <c r="I887" s="1460"/>
      <c r="J887" s="1460"/>
      <c r="K887" s="1460"/>
      <c r="L887" s="1460"/>
      <c r="M887" s="186"/>
      <c r="N887" s="1461"/>
      <c r="O887" s="1462"/>
    </row>
    <row r="888">
      <c r="A888" s="1442"/>
      <c r="B888" s="1443"/>
      <c r="C888" s="1444"/>
      <c r="D888" s="1450"/>
      <c r="E888" s="1446"/>
      <c r="F888" s="1447"/>
      <c r="G888" s="1448"/>
      <c r="H888" s="1449"/>
      <c r="I888" s="1450"/>
      <c r="J888" s="1451"/>
      <c r="K888" s="1452"/>
      <c r="L888" s="1447"/>
      <c r="M888" s="1453"/>
      <c r="N888" s="1454"/>
      <c r="O888" s="1455"/>
    </row>
    <row r="889">
      <c r="A889" s="1456"/>
      <c r="B889" s="1457"/>
      <c r="C889" s="1458"/>
      <c r="D889" s="1460"/>
      <c r="E889" s="1459"/>
      <c r="F889" s="1460"/>
      <c r="G889" s="1460"/>
      <c r="H889" s="1460"/>
      <c r="I889" s="1460"/>
      <c r="J889" s="1460"/>
      <c r="K889" s="1460"/>
      <c r="L889" s="1460"/>
      <c r="M889" s="186"/>
      <c r="N889" s="1461"/>
      <c r="O889" s="1462"/>
    </row>
    <row r="890">
      <c r="A890" s="1442"/>
      <c r="B890" s="1443"/>
      <c r="C890" s="1444"/>
      <c r="D890" s="1450"/>
      <c r="E890" s="1446"/>
      <c r="F890" s="1447"/>
      <c r="G890" s="1448"/>
      <c r="H890" s="1449"/>
      <c r="I890" s="1450"/>
      <c r="J890" s="1451"/>
      <c r="K890" s="1452"/>
      <c r="L890" s="1447"/>
      <c r="M890" s="1453"/>
      <c r="N890" s="1454"/>
      <c r="O890" s="1455"/>
    </row>
    <row r="891">
      <c r="A891" s="1456"/>
      <c r="B891" s="1457"/>
      <c r="C891" s="1458"/>
      <c r="D891" s="1460"/>
      <c r="E891" s="1459"/>
      <c r="F891" s="1460"/>
      <c r="G891" s="1460"/>
      <c r="H891" s="1460"/>
      <c r="I891" s="1460"/>
      <c r="J891" s="1460"/>
      <c r="K891" s="1460"/>
      <c r="L891" s="1460"/>
      <c r="M891" s="186"/>
      <c r="N891" s="1461"/>
      <c r="O891" s="1462"/>
    </row>
    <row r="892">
      <c r="A892" s="1442"/>
      <c r="B892" s="1443"/>
      <c r="C892" s="1444"/>
      <c r="D892" s="1450"/>
      <c r="E892" s="1446"/>
      <c r="F892" s="1447"/>
      <c r="G892" s="1448"/>
      <c r="H892" s="1449"/>
      <c r="I892" s="1450"/>
      <c r="J892" s="1451"/>
      <c r="K892" s="1452"/>
      <c r="L892" s="1447"/>
      <c r="M892" s="1453"/>
      <c r="N892" s="1454"/>
      <c r="O892" s="1455"/>
    </row>
    <row r="893">
      <c r="A893" s="1456"/>
      <c r="B893" s="1457"/>
      <c r="C893" s="1458"/>
      <c r="D893" s="1460"/>
      <c r="E893" s="1459"/>
      <c r="F893" s="1460"/>
      <c r="G893" s="1460"/>
      <c r="H893" s="1460"/>
      <c r="I893" s="1460"/>
      <c r="J893" s="1460"/>
      <c r="K893" s="1460"/>
      <c r="L893" s="1460"/>
      <c r="M893" s="186"/>
      <c r="N893" s="1461"/>
      <c r="O893" s="1462"/>
    </row>
    <row r="894">
      <c r="A894" s="1442"/>
      <c r="B894" s="1443"/>
      <c r="C894" s="1444"/>
      <c r="D894" s="1450"/>
      <c r="E894" s="1446"/>
      <c r="F894" s="1447"/>
      <c r="G894" s="1448"/>
      <c r="H894" s="1449"/>
      <c r="I894" s="1450"/>
      <c r="J894" s="1451"/>
      <c r="K894" s="1452"/>
      <c r="L894" s="1447"/>
      <c r="M894" s="1453"/>
      <c r="N894" s="1454"/>
      <c r="O894" s="1455"/>
    </row>
    <row r="895">
      <c r="A895" s="1456"/>
      <c r="B895" s="1457"/>
      <c r="C895" s="1458"/>
      <c r="D895" s="1460"/>
      <c r="E895" s="1459"/>
      <c r="F895" s="1460"/>
      <c r="G895" s="1460"/>
      <c r="H895" s="1460"/>
      <c r="I895" s="1460"/>
      <c r="J895" s="1460"/>
      <c r="K895" s="1460"/>
      <c r="L895" s="1460"/>
      <c r="M895" s="186"/>
      <c r="N895" s="1461"/>
      <c r="O895" s="1462"/>
    </row>
    <row r="896">
      <c r="A896" s="1442"/>
      <c r="B896" s="1443"/>
      <c r="C896" s="1444"/>
      <c r="D896" s="1450"/>
      <c r="E896" s="1446"/>
      <c r="F896" s="1447"/>
      <c r="G896" s="1448"/>
      <c r="H896" s="1449"/>
      <c r="I896" s="1450"/>
      <c r="J896" s="1451"/>
      <c r="K896" s="1452"/>
      <c r="L896" s="1447"/>
      <c r="M896" s="1453"/>
      <c r="N896" s="1454"/>
      <c r="O896" s="1455"/>
    </row>
    <row r="897">
      <c r="A897" s="1456"/>
      <c r="B897" s="1457"/>
      <c r="C897" s="1458"/>
      <c r="D897" s="1460"/>
      <c r="E897" s="1459"/>
      <c r="F897" s="1460"/>
      <c r="G897" s="1460"/>
      <c r="H897" s="1460"/>
      <c r="I897" s="1460"/>
      <c r="J897" s="1460"/>
      <c r="K897" s="1460"/>
      <c r="L897" s="1460"/>
      <c r="M897" s="186"/>
      <c r="N897" s="1461"/>
      <c r="O897" s="1462"/>
    </row>
    <row r="898">
      <c r="A898" s="1442"/>
      <c r="B898" s="1443"/>
      <c r="C898" s="1444"/>
      <c r="D898" s="1450"/>
      <c r="E898" s="1446"/>
      <c r="F898" s="1447"/>
      <c r="G898" s="1448"/>
      <c r="H898" s="1449"/>
      <c r="I898" s="1450"/>
      <c r="J898" s="1451"/>
      <c r="K898" s="1452"/>
      <c r="L898" s="1447"/>
      <c r="M898" s="1453"/>
      <c r="N898" s="1454"/>
      <c r="O898" s="1455"/>
    </row>
    <row r="899">
      <c r="A899" s="1456"/>
      <c r="B899" s="1457"/>
      <c r="C899" s="1458"/>
      <c r="D899" s="1460"/>
      <c r="E899" s="1459"/>
      <c r="F899" s="1460"/>
      <c r="G899" s="1460"/>
      <c r="H899" s="1460"/>
      <c r="I899" s="1460"/>
      <c r="J899" s="1460"/>
      <c r="K899" s="1460"/>
      <c r="L899" s="1460"/>
      <c r="M899" s="186"/>
      <c r="N899" s="1461"/>
      <c r="O899" s="1462"/>
    </row>
    <row r="900">
      <c r="A900" s="1442"/>
      <c r="B900" s="1443"/>
      <c r="C900" s="1444"/>
      <c r="D900" s="1450"/>
      <c r="E900" s="1446"/>
      <c r="F900" s="1447"/>
      <c r="G900" s="1448"/>
      <c r="H900" s="1449"/>
      <c r="I900" s="1450"/>
      <c r="J900" s="1451"/>
      <c r="K900" s="1452"/>
      <c r="L900" s="1447"/>
      <c r="M900" s="1453"/>
      <c r="N900" s="1454"/>
      <c r="O900" s="1455"/>
    </row>
    <row r="901">
      <c r="A901" s="1456"/>
      <c r="B901" s="1457"/>
      <c r="C901" s="1458"/>
      <c r="D901" s="1460"/>
      <c r="E901" s="1459"/>
      <c r="F901" s="1460"/>
      <c r="G901" s="1460"/>
      <c r="H901" s="1460"/>
      <c r="I901" s="1460"/>
      <c r="J901" s="1460"/>
      <c r="K901" s="1460"/>
      <c r="L901" s="1460"/>
      <c r="M901" s="186"/>
      <c r="N901" s="1461"/>
      <c r="O901" s="1462"/>
    </row>
    <row r="902">
      <c r="A902" s="1442"/>
      <c r="B902" s="1443"/>
      <c r="C902" s="1444"/>
      <c r="D902" s="1450"/>
      <c r="E902" s="1446"/>
      <c r="F902" s="1447"/>
      <c r="G902" s="1448"/>
      <c r="H902" s="1449"/>
      <c r="I902" s="1450"/>
      <c r="J902" s="1451"/>
      <c r="K902" s="1452"/>
      <c r="L902" s="1447"/>
      <c r="M902" s="1453"/>
      <c r="N902" s="1454"/>
      <c r="O902" s="1455"/>
    </row>
    <row r="903">
      <c r="A903" s="1456"/>
      <c r="B903" s="1457"/>
      <c r="C903" s="1458"/>
      <c r="D903" s="1460"/>
      <c r="E903" s="1459"/>
      <c r="F903" s="1460"/>
      <c r="G903" s="1460"/>
      <c r="H903" s="1460"/>
      <c r="I903" s="1460"/>
      <c r="J903" s="1460"/>
      <c r="K903" s="1460"/>
      <c r="L903" s="1460"/>
      <c r="M903" s="186"/>
      <c r="N903" s="1461"/>
      <c r="O903" s="1462"/>
    </row>
    <row r="904">
      <c r="A904" s="1442"/>
      <c r="B904" s="1443"/>
      <c r="C904" s="1444"/>
      <c r="D904" s="1450"/>
      <c r="E904" s="1446"/>
      <c r="F904" s="1447"/>
      <c r="G904" s="1448"/>
      <c r="H904" s="1449"/>
      <c r="I904" s="1450"/>
      <c r="J904" s="1451"/>
      <c r="K904" s="1452"/>
      <c r="L904" s="1447"/>
      <c r="M904" s="1453"/>
      <c r="N904" s="1454"/>
      <c r="O904" s="1455"/>
    </row>
    <row r="905">
      <c r="A905" s="1456"/>
      <c r="B905" s="1457"/>
      <c r="C905" s="1458"/>
      <c r="D905" s="1460"/>
      <c r="E905" s="1459"/>
      <c r="F905" s="1460"/>
      <c r="G905" s="1460"/>
      <c r="H905" s="1460"/>
      <c r="I905" s="1460"/>
      <c r="J905" s="1460"/>
      <c r="K905" s="1460"/>
      <c r="L905" s="1460"/>
      <c r="M905" s="186"/>
      <c r="N905" s="1461"/>
      <c r="O905" s="1462"/>
    </row>
    <row r="906">
      <c r="A906" s="1442"/>
      <c r="B906" s="1443"/>
      <c r="C906" s="1444"/>
      <c r="D906" s="1450"/>
      <c r="E906" s="1446"/>
      <c r="F906" s="1447"/>
      <c r="G906" s="1448"/>
      <c r="H906" s="1449"/>
      <c r="I906" s="1450"/>
      <c r="J906" s="1451"/>
      <c r="K906" s="1452"/>
      <c r="L906" s="1447"/>
      <c r="M906" s="1453"/>
      <c r="N906" s="1454"/>
      <c r="O906" s="1455"/>
    </row>
    <row r="907">
      <c r="A907" s="1456"/>
      <c r="B907" s="1457"/>
      <c r="C907" s="1458"/>
      <c r="D907" s="1460"/>
      <c r="E907" s="1459"/>
      <c r="F907" s="1460"/>
      <c r="G907" s="1460"/>
      <c r="H907" s="1460"/>
      <c r="I907" s="1460"/>
      <c r="J907" s="1460"/>
      <c r="K907" s="1460"/>
      <c r="L907" s="1460"/>
      <c r="M907" s="186"/>
      <c r="N907" s="1461"/>
      <c r="O907" s="1462"/>
    </row>
    <row r="908">
      <c r="A908" s="1442"/>
      <c r="B908" s="1443"/>
      <c r="C908" s="1444"/>
      <c r="D908" s="1450"/>
      <c r="E908" s="1446"/>
      <c r="F908" s="1447"/>
      <c r="G908" s="1448"/>
      <c r="H908" s="1449"/>
      <c r="I908" s="1450"/>
      <c r="J908" s="1451"/>
      <c r="K908" s="1452"/>
      <c r="L908" s="1447"/>
      <c r="M908" s="1453"/>
      <c r="N908" s="1454"/>
      <c r="O908" s="1455"/>
    </row>
    <row r="909">
      <c r="A909" s="1456"/>
      <c r="B909" s="1457"/>
      <c r="C909" s="1458"/>
      <c r="D909" s="1460"/>
      <c r="E909" s="1459"/>
      <c r="F909" s="1460"/>
      <c r="G909" s="1460"/>
      <c r="H909" s="1460"/>
      <c r="I909" s="1460"/>
      <c r="J909" s="1460"/>
      <c r="K909" s="1460"/>
      <c r="L909" s="1460"/>
      <c r="M909" s="186"/>
      <c r="N909" s="1461"/>
      <c r="O909" s="1462"/>
    </row>
    <row r="910">
      <c r="A910" s="1442"/>
      <c r="B910" s="1443"/>
      <c r="C910" s="1444"/>
      <c r="D910" s="1450"/>
      <c r="E910" s="1446"/>
      <c r="F910" s="1447"/>
      <c r="G910" s="1448"/>
      <c r="H910" s="1449"/>
      <c r="I910" s="1450"/>
      <c r="J910" s="1451"/>
      <c r="K910" s="1452"/>
      <c r="L910" s="1447"/>
      <c r="M910" s="1453"/>
      <c r="N910" s="1454"/>
      <c r="O910" s="1455"/>
    </row>
    <row r="911">
      <c r="A911" s="1456"/>
      <c r="B911" s="1457"/>
      <c r="C911" s="1458"/>
      <c r="D911" s="1460"/>
      <c r="E911" s="1459"/>
      <c r="F911" s="1460"/>
      <c r="G911" s="1460"/>
      <c r="H911" s="1460"/>
      <c r="I911" s="1460"/>
      <c r="J911" s="1460"/>
      <c r="K911" s="1460"/>
      <c r="L911" s="1460"/>
      <c r="M911" s="186"/>
      <c r="N911" s="1461"/>
      <c r="O911" s="1462"/>
    </row>
    <row r="912">
      <c r="A912" s="1442"/>
      <c r="B912" s="1443"/>
      <c r="C912" s="1444"/>
      <c r="D912" s="1450"/>
      <c r="E912" s="1446"/>
      <c r="F912" s="1447"/>
      <c r="G912" s="1448"/>
      <c r="H912" s="1449"/>
      <c r="I912" s="1450"/>
      <c r="J912" s="1451"/>
      <c r="K912" s="1452"/>
      <c r="L912" s="1447"/>
      <c r="M912" s="1453"/>
      <c r="N912" s="1454"/>
      <c r="O912" s="1455"/>
    </row>
    <row r="913">
      <c r="A913" s="1456"/>
      <c r="B913" s="1457"/>
      <c r="C913" s="1458"/>
      <c r="D913" s="1460"/>
      <c r="E913" s="1459"/>
      <c r="F913" s="1460"/>
      <c r="G913" s="1460"/>
      <c r="H913" s="1460"/>
      <c r="I913" s="1460"/>
      <c r="J913" s="1460"/>
      <c r="K913" s="1460"/>
      <c r="L913" s="1460"/>
      <c r="M913" s="186"/>
      <c r="N913" s="1461"/>
      <c r="O913" s="1462"/>
    </row>
    <row r="914">
      <c r="A914" s="1442"/>
      <c r="B914" s="1443"/>
      <c r="C914" s="1444"/>
      <c r="D914" s="1450"/>
      <c r="E914" s="1446"/>
      <c r="F914" s="1447"/>
      <c r="G914" s="1448"/>
      <c r="H914" s="1449"/>
      <c r="I914" s="1450"/>
      <c r="J914" s="1451"/>
      <c r="K914" s="1452"/>
      <c r="L914" s="1447"/>
      <c r="M914" s="1453"/>
      <c r="N914" s="1454"/>
      <c r="O914" s="1455"/>
    </row>
    <row r="915">
      <c r="A915" s="1456"/>
      <c r="B915" s="1457"/>
      <c r="C915" s="1458"/>
      <c r="D915" s="1460"/>
      <c r="E915" s="1459"/>
      <c r="F915" s="1460"/>
      <c r="G915" s="1460"/>
      <c r="H915" s="1460"/>
      <c r="I915" s="1460"/>
      <c r="J915" s="1460"/>
      <c r="K915" s="1460"/>
      <c r="L915" s="1460"/>
      <c r="M915" s="186"/>
      <c r="N915" s="1461"/>
      <c r="O915" s="1462"/>
    </row>
    <row r="916">
      <c r="A916" s="1442"/>
      <c r="B916" s="1443"/>
      <c r="C916" s="1444"/>
      <c r="D916" s="1450"/>
      <c r="E916" s="1446"/>
      <c r="F916" s="1447"/>
      <c r="G916" s="1448"/>
      <c r="H916" s="1449"/>
      <c r="I916" s="1450"/>
      <c r="J916" s="1451"/>
      <c r="K916" s="1452"/>
      <c r="L916" s="1447"/>
      <c r="M916" s="1453"/>
      <c r="N916" s="1454"/>
      <c r="O916" s="1455"/>
    </row>
    <row r="917">
      <c r="A917" s="1456"/>
      <c r="B917" s="1457"/>
      <c r="C917" s="1458"/>
      <c r="D917" s="1460"/>
      <c r="E917" s="1459"/>
      <c r="F917" s="1460"/>
      <c r="G917" s="1460"/>
      <c r="H917" s="1460"/>
      <c r="I917" s="1460"/>
      <c r="J917" s="1460"/>
      <c r="K917" s="1460"/>
      <c r="L917" s="1460"/>
      <c r="M917" s="186"/>
      <c r="N917" s="1461"/>
      <c r="O917" s="1462"/>
    </row>
    <row r="918">
      <c r="A918" s="1442"/>
      <c r="B918" s="1443"/>
      <c r="C918" s="1444"/>
      <c r="D918" s="1450"/>
      <c r="E918" s="1446"/>
      <c r="F918" s="1447"/>
      <c r="G918" s="1448"/>
      <c r="H918" s="1449"/>
      <c r="I918" s="1450"/>
      <c r="J918" s="1451"/>
      <c r="K918" s="1452"/>
      <c r="L918" s="1447"/>
      <c r="M918" s="1453"/>
      <c r="N918" s="1454"/>
      <c r="O918" s="1455"/>
    </row>
    <row r="919">
      <c r="A919" s="1456"/>
      <c r="B919" s="1457"/>
      <c r="C919" s="1458"/>
      <c r="D919" s="1460"/>
      <c r="E919" s="1459"/>
      <c r="F919" s="1460"/>
      <c r="G919" s="1460"/>
      <c r="H919" s="1460"/>
      <c r="I919" s="1460"/>
      <c r="J919" s="1460"/>
      <c r="K919" s="1460"/>
      <c r="L919" s="1460"/>
      <c r="M919" s="186"/>
      <c r="N919" s="1461"/>
      <c r="O919" s="1462"/>
    </row>
    <row r="920">
      <c r="A920" s="1442"/>
      <c r="B920" s="1443"/>
      <c r="C920" s="1444"/>
      <c r="D920" s="1450"/>
      <c r="E920" s="1446"/>
      <c r="F920" s="1447"/>
      <c r="G920" s="1448"/>
      <c r="H920" s="1449"/>
      <c r="I920" s="1450"/>
      <c r="J920" s="1451"/>
      <c r="K920" s="1452"/>
      <c r="L920" s="1447"/>
      <c r="M920" s="1453"/>
      <c r="N920" s="1454"/>
      <c r="O920" s="1455"/>
    </row>
    <row r="921">
      <c r="A921" s="1456"/>
      <c r="B921" s="1457"/>
      <c r="C921" s="1458"/>
      <c r="D921" s="1460"/>
      <c r="E921" s="1459"/>
      <c r="F921" s="1460"/>
      <c r="G921" s="1460"/>
      <c r="H921" s="1460"/>
      <c r="I921" s="1460"/>
      <c r="J921" s="1460"/>
      <c r="K921" s="1460"/>
      <c r="L921" s="1460"/>
      <c r="M921" s="186"/>
      <c r="N921" s="1461"/>
      <c r="O921" s="1462"/>
    </row>
    <row r="922">
      <c r="A922" s="1442"/>
      <c r="B922" s="1443"/>
      <c r="C922" s="1444"/>
      <c r="D922" s="1450"/>
      <c r="E922" s="1446"/>
      <c r="F922" s="1447"/>
      <c r="G922" s="1448"/>
      <c r="H922" s="1449"/>
      <c r="I922" s="1450"/>
      <c r="J922" s="1451"/>
      <c r="K922" s="1452"/>
      <c r="L922" s="1447"/>
      <c r="M922" s="1453"/>
      <c r="N922" s="1454"/>
      <c r="O922" s="1455"/>
    </row>
    <row r="923">
      <c r="A923" s="1456"/>
      <c r="B923" s="1457"/>
      <c r="C923" s="1458"/>
      <c r="D923" s="1460"/>
      <c r="E923" s="1459"/>
      <c r="F923" s="1460"/>
      <c r="G923" s="1460"/>
      <c r="H923" s="1460"/>
      <c r="I923" s="1460"/>
      <c r="J923" s="1460"/>
      <c r="K923" s="1460"/>
      <c r="L923" s="1460"/>
      <c r="M923" s="186"/>
      <c r="N923" s="1461"/>
      <c r="O923" s="1462"/>
    </row>
    <row r="924">
      <c r="A924" s="1442"/>
      <c r="B924" s="1443"/>
      <c r="C924" s="1444"/>
      <c r="D924" s="1450"/>
      <c r="E924" s="1446"/>
      <c r="F924" s="1447"/>
      <c r="G924" s="1448"/>
      <c r="H924" s="1449"/>
      <c r="I924" s="1450"/>
      <c r="J924" s="1451"/>
      <c r="K924" s="1452"/>
      <c r="L924" s="1447"/>
      <c r="M924" s="1453"/>
      <c r="N924" s="1454"/>
      <c r="O924" s="1455"/>
    </row>
    <row r="925">
      <c r="A925" s="1456"/>
      <c r="B925" s="1457"/>
      <c r="C925" s="1458"/>
      <c r="D925" s="1460"/>
      <c r="E925" s="1459"/>
      <c r="F925" s="1460"/>
      <c r="G925" s="1460"/>
      <c r="H925" s="1460"/>
      <c r="I925" s="1460"/>
      <c r="J925" s="1460"/>
      <c r="K925" s="1460"/>
      <c r="L925" s="1460"/>
      <c r="M925" s="186"/>
      <c r="N925" s="1461"/>
      <c r="O925" s="1462"/>
    </row>
    <row r="926">
      <c r="A926" s="1442"/>
      <c r="B926" s="1443"/>
      <c r="C926" s="1444"/>
      <c r="D926" s="1450"/>
      <c r="E926" s="1446"/>
      <c r="F926" s="1447"/>
      <c r="G926" s="1448"/>
      <c r="H926" s="1449"/>
      <c r="I926" s="1450"/>
      <c r="J926" s="1451"/>
      <c r="K926" s="1452"/>
      <c r="L926" s="1447"/>
      <c r="M926" s="1453"/>
      <c r="N926" s="1454"/>
      <c r="O926" s="1455"/>
    </row>
    <row r="927">
      <c r="A927" s="1456"/>
      <c r="B927" s="1457"/>
      <c r="C927" s="1458"/>
      <c r="D927" s="1460"/>
      <c r="E927" s="1459"/>
      <c r="F927" s="1460"/>
      <c r="G927" s="1460"/>
      <c r="H927" s="1460"/>
      <c r="I927" s="1460"/>
      <c r="J927" s="1460"/>
      <c r="K927" s="1460"/>
      <c r="L927" s="1460"/>
      <c r="M927" s="186"/>
      <c r="N927" s="1461"/>
      <c r="O927" s="1462"/>
    </row>
    <row r="928">
      <c r="A928" s="1442"/>
      <c r="B928" s="1443"/>
      <c r="C928" s="1444"/>
      <c r="D928" s="1450"/>
      <c r="E928" s="1446"/>
      <c r="F928" s="1447"/>
      <c r="G928" s="1448"/>
      <c r="H928" s="1449"/>
      <c r="I928" s="1450"/>
      <c r="J928" s="1451"/>
      <c r="K928" s="1452"/>
      <c r="L928" s="1447"/>
      <c r="M928" s="1453"/>
      <c r="N928" s="1454"/>
      <c r="O928" s="1455"/>
    </row>
    <row r="929">
      <c r="A929" s="1456"/>
      <c r="B929" s="1457"/>
      <c r="C929" s="1458"/>
      <c r="D929" s="1460"/>
      <c r="E929" s="1459"/>
      <c r="F929" s="1460"/>
      <c r="G929" s="1460"/>
      <c r="H929" s="1460"/>
      <c r="I929" s="1460"/>
      <c r="J929" s="1460"/>
      <c r="K929" s="1460"/>
      <c r="L929" s="1460"/>
      <c r="M929" s="186"/>
      <c r="N929" s="1461"/>
      <c r="O929" s="1462"/>
    </row>
    <row r="930">
      <c r="A930" s="1442"/>
      <c r="B930" s="1443"/>
      <c r="C930" s="1444"/>
      <c r="D930" s="1450"/>
      <c r="E930" s="1446"/>
      <c r="F930" s="1447"/>
      <c r="G930" s="1448"/>
      <c r="H930" s="1449"/>
      <c r="I930" s="1450"/>
      <c r="J930" s="1451"/>
      <c r="K930" s="1452"/>
      <c r="L930" s="1447"/>
      <c r="M930" s="1453"/>
      <c r="N930" s="1454"/>
      <c r="O930" s="1455"/>
    </row>
    <row r="931">
      <c r="A931" s="1456"/>
      <c r="B931" s="1457"/>
      <c r="C931" s="1458"/>
      <c r="D931" s="1460"/>
      <c r="E931" s="1459"/>
      <c r="F931" s="1460"/>
      <c r="G931" s="1460"/>
      <c r="H931" s="1460"/>
      <c r="I931" s="1460"/>
      <c r="J931" s="1460"/>
      <c r="K931" s="1460"/>
      <c r="L931" s="1460"/>
      <c r="M931" s="186"/>
      <c r="N931" s="1461"/>
      <c r="O931" s="1462"/>
    </row>
    <row r="932">
      <c r="A932" s="1442"/>
      <c r="B932" s="1443"/>
      <c r="C932" s="1444"/>
      <c r="D932" s="1450"/>
      <c r="E932" s="1446"/>
      <c r="F932" s="1447"/>
      <c r="G932" s="1448"/>
      <c r="H932" s="1449"/>
      <c r="I932" s="1450"/>
      <c r="J932" s="1451"/>
      <c r="K932" s="1452"/>
      <c r="L932" s="1447"/>
      <c r="M932" s="1453"/>
      <c r="N932" s="1454"/>
      <c r="O932" s="1455"/>
    </row>
    <row r="933">
      <c r="A933" s="1456"/>
      <c r="B933" s="1457"/>
      <c r="C933" s="1458"/>
      <c r="D933" s="1460"/>
      <c r="E933" s="1459"/>
      <c r="F933" s="1460"/>
      <c r="G933" s="1460"/>
      <c r="H933" s="1460"/>
      <c r="I933" s="1460"/>
      <c r="J933" s="1460"/>
      <c r="K933" s="1460"/>
      <c r="L933" s="1460"/>
      <c r="M933" s="186"/>
      <c r="N933" s="1461"/>
      <c r="O933" s="1462"/>
    </row>
    <row r="934">
      <c r="A934" s="1442"/>
      <c r="B934" s="1443"/>
      <c r="C934" s="1444"/>
      <c r="D934" s="1450"/>
      <c r="E934" s="1446"/>
      <c r="F934" s="1447"/>
      <c r="G934" s="1448"/>
      <c r="H934" s="1449"/>
      <c r="I934" s="1450"/>
      <c r="J934" s="1451"/>
      <c r="K934" s="1452"/>
      <c r="L934" s="1447"/>
      <c r="M934" s="1453"/>
      <c r="N934" s="1454"/>
      <c r="O934" s="1455"/>
    </row>
    <row r="935">
      <c r="A935" s="1456"/>
      <c r="B935" s="1457"/>
      <c r="C935" s="1458"/>
      <c r="D935" s="1460"/>
      <c r="E935" s="1459"/>
      <c r="F935" s="1460"/>
      <c r="G935" s="1460"/>
      <c r="H935" s="1460"/>
      <c r="I935" s="1460"/>
      <c r="J935" s="1460"/>
      <c r="K935" s="1460"/>
      <c r="L935" s="1460"/>
      <c r="M935" s="186"/>
      <c r="N935" s="1461"/>
      <c r="O935" s="1462"/>
    </row>
    <row r="936">
      <c r="A936" s="1442"/>
      <c r="B936" s="1443"/>
      <c r="C936" s="1444"/>
      <c r="D936" s="1450"/>
      <c r="E936" s="1446"/>
      <c r="F936" s="1447"/>
      <c r="G936" s="1448"/>
      <c r="H936" s="1449"/>
      <c r="I936" s="1450"/>
      <c r="J936" s="1451"/>
      <c r="K936" s="1452"/>
      <c r="L936" s="1447"/>
      <c r="M936" s="1453"/>
      <c r="N936" s="1454"/>
      <c r="O936" s="1455"/>
    </row>
    <row r="937">
      <c r="A937" s="1456"/>
      <c r="B937" s="1457"/>
      <c r="C937" s="1458"/>
      <c r="D937" s="1460"/>
      <c r="E937" s="1459"/>
      <c r="F937" s="1460"/>
      <c r="G937" s="1460"/>
      <c r="H937" s="1460"/>
      <c r="I937" s="1460"/>
      <c r="J937" s="1460"/>
      <c r="K937" s="1460"/>
      <c r="L937" s="1460"/>
      <c r="M937" s="186"/>
      <c r="N937" s="1461"/>
      <c r="O937" s="1462"/>
    </row>
    <row r="938">
      <c r="A938" s="1442"/>
      <c r="B938" s="1443"/>
      <c r="C938" s="1444"/>
      <c r="D938" s="1450"/>
      <c r="E938" s="1446"/>
      <c r="F938" s="1447"/>
      <c r="G938" s="1448"/>
      <c r="H938" s="1449"/>
      <c r="I938" s="1450"/>
      <c r="J938" s="1451"/>
      <c r="K938" s="1452"/>
      <c r="L938" s="1447"/>
      <c r="M938" s="1453"/>
      <c r="N938" s="1454"/>
      <c r="O938" s="1455"/>
    </row>
    <row r="939">
      <c r="A939" s="1456"/>
      <c r="B939" s="1457"/>
      <c r="C939" s="1458"/>
      <c r="D939" s="1460"/>
      <c r="E939" s="1459"/>
      <c r="F939" s="1460"/>
      <c r="G939" s="1460"/>
      <c r="H939" s="1460"/>
      <c r="I939" s="1460"/>
      <c r="J939" s="1460"/>
      <c r="K939" s="1460"/>
      <c r="L939" s="1460"/>
      <c r="M939" s="186"/>
      <c r="N939" s="1461"/>
      <c r="O939" s="1462"/>
    </row>
    <row r="940">
      <c r="A940" s="1442"/>
      <c r="B940" s="1443"/>
      <c r="C940" s="1444"/>
      <c r="D940" s="1450"/>
      <c r="E940" s="1446"/>
      <c r="F940" s="1447"/>
      <c r="G940" s="1448"/>
      <c r="H940" s="1449"/>
      <c r="I940" s="1450"/>
      <c r="J940" s="1451"/>
      <c r="K940" s="1452"/>
      <c r="L940" s="1447"/>
      <c r="M940" s="1453"/>
      <c r="N940" s="1454"/>
      <c r="O940" s="1455"/>
    </row>
    <row r="941">
      <c r="A941" s="1456"/>
      <c r="B941" s="1457"/>
      <c r="C941" s="1458"/>
      <c r="D941" s="1460"/>
      <c r="E941" s="1459"/>
      <c r="F941" s="1460"/>
      <c r="G941" s="1460"/>
      <c r="H941" s="1460"/>
      <c r="I941" s="1460"/>
      <c r="J941" s="1460"/>
      <c r="K941" s="1460"/>
      <c r="L941" s="1460"/>
      <c r="M941" s="186"/>
      <c r="N941" s="1461"/>
      <c r="O941" s="1462"/>
    </row>
    <row r="942">
      <c r="A942" s="1442"/>
      <c r="B942" s="1443"/>
      <c r="C942" s="1444"/>
      <c r="D942" s="1450"/>
      <c r="E942" s="1446"/>
      <c r="F942" s="1447"/>
      <c r="G942" s="1448"/>
      <c r="H942" s="1449"/>
      <c r="I942" s="1450"/>
      <c r="J942" s="1451"/>
      <c r="K942" s="1452"/>
      <c r="L942" s="1447"/>
      <c r="M942" s="1453"/>
      <c r="N942" s="1454"/>
      <c r="O942" s="1455"/>
    </row>
    <row r="943">
      <c r="A943" s="1456"/>
      <c r="B943" s="1457"/>
      <c r="C943" s="1458"/>
      <c r="D943" s="1460"/>
      <c r="E943" s="1459"/>
      <c r="F943" s="1460"/>
      <c r="G943" s="1460"/>
      <c r="H943" s="1460"/>
      <c r="I943" s="1460"/>
      <c r="J943" s="1460"/>
      <c r="K943" s="1460"/>
      <c r="L943" s="1460"/>
      <c r="M943" s="186"/>
      <c r="N943" s="1461"/>
      <c r="O943" s="1462"/>
    </row>
    <row r="944">
      <c r="A944" s="1442"/>
      <c r="B944" s="1443"/>
      <c r="C944" s="1444"/>
      <c r="D944" s="1450"/>
      <c r="E944" s="1446"/>
      <c r="F944" s="1447"/>
      <c r="G944" s="1448"/>
      <c r="H944" s="1449"/>
      <c r="I944" s="1450"/>
      <c r="J944" s="1451"/>
      <c r="K944" s="1452"/>
      <c r="L944" s="1447"/>
      <c r="M944" s="1453"/>
      <c r="N944" s="1454"/>
      <c r="O944" s="1455"/>
    </row>
    <row r="945">
      <c r="A945" s="1456"/>
      <c r="B945" s="1457"/>
      <c r="C945" s="1458"/>
      <c r="D945" s="1460"/>
      <c r="E945" s="1459"/>
      <c r="F945" s="1460"/>
      <c r="G945" s="1460"/>
      <c r="H945" s="1460"/>
      <c r="I945" s="1460"/>
      <c r="J945" s="1460"/>
      <c r="K945" s="1460"/>
      <c r="L945" s="1460"/>
      <c r="M945" s="186"/>
      <c r="N945" s="1461"/>
      <c r="O945" s="1462"/>
    </row>
    <row r="946">
      <c r="A946" s="1442"/>
      <c r="B946" s="1443"/>
      <c r="C946" s="1444"/>
      <c r="D946" s="1450"/>
      <c r="E946" s="1446"/>
      <c r="F946" s="1447"/>
      <c r="G946" s="1448"/>
      <c r="H946" s="1449"/>
      <c r="I946" s="1450"/>
      <c r="J946" s="1451"/>
      <c r="K946" s="1452"/>
      <c r="L946" s="1447"/>
      <c r="M946" s="1453"/>
      <c r="N946" s="1454"/>
      <c r="O946" s="1455"/>
    </row>
    <row r="947">
      <c r="A947" s="1456"/>
      <c r="B947" s="1457"/>
      <c r="C947" s="1458"/>
      <c r="D947" s="1460"/>
      <c r="E947" s="1459"/>
      <c r="F947" s="1460"/>
      <c r="G947" s="1460"/>
      <c r="H947" s="1460"/>
      <c r="I947" s="1460"/>
      <c r="J947" s="1460"/>
      <c r="K947" s="1460"/>
      <c r="L947" s="1460"/>
      <c r="M947" s="186"/>
      <c r="N947" s="1461"/>
      <c r="O947" s="1462"/>
    </row>
    <row r="948">
      <c r="A948" s="1442"/>
      <c r="B948" s="1443"/>
      <c r="C948" s="1444"/>
      <c r="D948" s="1450"/>
      <c r="E948" s="1446"/>
      <c r="F948" s="1447"/>
      <c r="G948" s="1448"/>
      <c r="H948" s="1449"/>
      <c r="I948" s="1450"/>
      <c r="J948" s="1451"/>
      <c r="K948" s="1452"/>
      <c r="L948" s="1447"/>
      <c r="M948" s="1453"/>
      <c r="N948" s="1454"/>
      <c r="O948" s="1455"/>
    </row>
    <row r="949">
      <c r="A949" s="1456"/>
      <c r="B949" s="1457"/>
      <c r="C949" s="1458"/>
      <c r="D949" s="1460"/>
      <c r="E949" s="1459"/>
      <c r="F949" s="1460"/>
      <c r="G949" s="1460"/>
      <c r="H949" s="1460"/>
      <c r="I949" s="1460"/>
      <c r="J949" s="1460"/>
      <c r="K949" s="1460"/>
      <c r="L949" s="1460"/>
      <c r="M949" s="186"/>
      <c r="N949" s="1461"/>
      <c r="O949" s="1462"/>
    </row>
    <row r="950">
      <c r="A950" s="1442"/>
      <c r="B950" s="1443"/>
      <c r="C950" s="1444"/>
      <c r="D950" s="1450"/>
      <c r="E950" s="1446"/>
      <c r="F950" s="1447"/>
      <c r="G950" s="1448"/>
      <c r="H950" s="1449"/>
      <c r="I950" s="1450"/>
      <c r="J950" s="1451"/>
      <c r="K950" s="1452"/>
      <c r="L950" s="1447"/>
      <c r="M950" s="1453"/>
      <c r="N950" s="1454"/>
      <c r="O950" s="1455"/>
    </row>
    <row r="951">
      <c r="A951" s="1456"/>
      <c r="B951" s="1457"/>
      <c r="C951" s="1458"/>
      <c r="D951" s="1460"/>
      <c r="E951" s="1459"/>
      <c r="F951" s="1460"/>
      <c r="G951" s="1460"/>
      <c r="H951" s="1460"/>
      <c r="I951" s="1460"/>
      <c r="J951" s="1460"/>
      <c r="K951" s="1460"/>
      <c r="L951" s="1460"/>
      <c r="M951" s="186"/>
      <c r="N951" s="1461"/>
      <c r="O951" s="1462"/>
    </row>
    <row r="952">
      <c r="A952" s="1442"/>
      <c r="B952" s="1443"/>
      <c r="C952" s="1444"/>
      <c r="D952" s="1450"/>
      <c r="E952" s="1446"/>
      <c r="F952" s="1447"/>
      <c r="G952" s="1448"/>
      <c r="H952" s="1449"/>
      <c r="I952" s="1450"/>
      <c r="J952" s="1451"/>
      <c r="K952" s="1452"/>
      <c r="L952" s="1447"/>
      <c r="M952" s="1453"/>
      <c r="N952" s="1454"/>
      <c r="O952" s="1455"/>
    </row>
    <row r="953">
      <c r="A953" s="1456"/>
      <c r="B953" s="1457"/>
      <c r="C953" s="1458"/>
      <c r="D953" s="1460"/>
      <c r="E953" s="1459"/>
      <c r="F953" s="1460"/>
      <c r="G953" s="1460"/>
      <c r="H953" s="1460"/>
      <c r="I953" s="1460"/>
      <c r="J953" s="1460"/>
      <c r="K953" s="1460"/>
      <c r="L953" s="1460"/>
      <c r="M953" s="186"/>
      <c r="N953" s="1461"/>
      <c r="O953" s="1462"/>
    </row>
    <row r="954">
      <c r="A954" s="1442"/>
      <c r="B954" s="1443"/>
      <c r="C954" s="1444"/>
      <c r="D954" s="1450"/>
      <c r="E954" s="1446"/>
      <c r="F954" s="1447"/>
      <c r="G954" s="1448"/>
      <c r="H954" s="1449"/>
      <c r="I954" s="1450"/>
      <c r="J954" s="1451"/>
      <c r="K954" s="1452"/>
      <c r="L954" s="1447"/>
      <c r="M954" s="1453"/>
      <c r="N954" s="1454"/>
      <c r="O954" s="1455"/>
    </row>
    <row r="955">
      <c r="A955" s="1456"/>
      <c r="B955" s="1457"/>
      <c r="C955" s="1458"/>
      <c r="D955" s="1460"/>
      <c r="E955" s="1459"/>
      <c r="F955" s="1460"/>
      <c r="G955" s="1460"/>
      <c r="H955" s="1460"/>
      <c r="I955" s="1460"/>
      <c r="J955" s="1460"/>
      <c r="K955" s="1460"/>
      <c r="L955" s="1460"/>
      <c r="M955" s="186"/>
      <c r="N955" s="1461"/>
      <c r="O955" s="1462"/>
    </row>
    <row r="956">
      <c r="A956" s="1442"/>
      <c r="B956" s="1443"/>
      <c r="C956" s="1444"/>
      <c r="D956" s="1450"/>
      <c r="E956" s="1446"/>
      <c r="F956" s="1447"/>
      <c r="G956" s="1448"/>
      <c r="H956" s="1449"/>
      <c r="I956" s="1450"/>
      <c r="J956" s="1451"/>
      <c r="K956" s="1452"/>
      <c r="L956" s="1447"/>
      <c r="M956" s="1453"/>
      <c r="N956" s="1454"/>
      <c r="O956" s="1455"/>
    </row>
    <row r="957">
      <c r="A957" s="1456"/>
      <c r="B957" s="1457"/>
      <c r="C957" s="1458"/>
      <c r="D957" s="1460"/>
      <c r="E957" s="1459"/>
      <c r="F957" s="1460"/>
      <c r="G957" s="1460"/>
      <c r="H957" s="1460"/>
      <c r="I957" s="1460"/>
      <c r="J957" s="1460"/>
      <c r="K957" s="1460"/>
      <c r="L957" s="1460"/>
      <c r="M957" s="186"/>
      <c r="N957" s="1461"/>
      <c r="O957" s="1462"/>
    </row>
    <row r="958">
      <c r="A958" s="1442"/>
      <c r="B958" s="1443"/>
      <c r="C958" s="1444"/>
      <c r="D958" s="1450"/>
      <c r="E958" s="1446"/>
      <c r="F958" s="1447"/>
      <c r="G958" s="1448"/>
      <c r="H958" s="1449"/>
      <c r="I958" s="1450"/>
      <c r="J958" s="1451"/>
      <c r="K958" s="1452"/>
      <c r="L958" s="1447"/>
      <c r="M958" s="1453"/>
      <c r="N958" s="1454"/>
      <c r="O958" s="1455"/>
    </row>
    <row r="959">
      <c r="A959" s="1456"/>
      <c r="B959" s="1457"/>
      <c r="C959" s="1458"/>
      <c r="D959" s="1460"/>
      <c r="E959" s="1459"/>
      <c r="F959" s="1460"/>
      <c r="G959" s="1460"/>
      <c r="H959" s="1460"/>
      <c r="I959" s="1460"/>
      <c r="J959" s="1460"/>
      <c r="K959" s="1460"/>
      <c r="L959" s="1460"/>
      <c r="M959" s="186"/>
      <c r="N959" s="1461"/>
      <c r="O959" s="1462"/>
    </row>
    <row r="960">
      <c r="A960" s="1442"/>
      <c r="B960" s="1443"/>
      <c r="C960" s="1444"/>
      <c r="D960" s="1450"/>
      <c r="E960" s="1446"/>
      <c r="F960" s="1447"/>
      <c r="G960" s="1448"/>
      <c r="H960" s="1449"/>
      <c r="I960" s="1450"/>
      <c r="J960" s="1451"/>
      <c r="K960" s="1452"/>
      <c r="L960" s="1447"/>
      <c r="M960" s="1453"/>
      <c r="N960" s="1454"/>
      <c r="O960" s="1455"/>
    </row>
    <row r="961">
      <c r="A961" s="1456"/>
      <c r="B961" s="1457"/>
      <c r="C961" s="1458"/>
      <c r="D961" s="1460"/>
      <c r="E961" s="1459"/>
      <c r="F961" s="1460"/>
      <c r="G961" s="1460"/>
      <c r="H961" s="1460"/>
      <c r="I961" s="1460"/>
      <c r="J961" s="1460"/>
      <c r="K961" s="1460"/>
      <c r="L961" s="1460"/>
      <c r="M961" s="186"/>
      <c r="N961" s="1461"/>
      <c r="O961" s="1462"/>
    </row>
    <row r="962">
      <c r="A962" s="1442"/>
      <c r="B962" s="1443"/>
      <c r="C962" s="1444"/>
      <c r="D962" s="1450"/>
      <c r="E962" s="1446"/>
      <c r="F962" s="1447"/>
      <c r="G962" s="1448"/>
      <c r="H962" s="1449"/>
      <c r="I962" s="1450"/>
      <c r="J962" s="1451"/>
      <c r="K962" s="1452"/>
      <c r="L962" s="1447"/>
      <c r="M962" s="1453"/>
      <c r="N962" s="1454"/>
      <c r="O962" s="1455"/>
    </row>
    <row r="963">
      <c r="A963" s="1456"/>
      <c r="B963" s="1457"/>
      <c r="C963" s="1458"/>
      <c r="D963" s="1460"/>
      <c r="E963" s="1459"/>
      <c r="F963" s="1460"/>
      <c r="G963" s="1460"/>
      <c r="H963" s="1460"/>
      <c r="I963" s="1460"/>
      <c r="J963" s="1460"/>
      <c r="K963" s="1460"/>
      <c r="L963" s="1460"/>
      <c r="M963" s="186"/>
      <c r="N963" s="1461"/>
      <c r="O963" s="1462"/>
    </row>
    <row r="964">
      <c r="A964" s="1442"/>
      <c r="B964" s="1443"/>
      <c r="C964" s="1444"/>
      <c r="D964" s="1450"/>
      <c r="E964" s="1446"/>
      <c r="F964" s="1447"/>
      <c r="G964" s="1448"/>
      <c r="H964" s="1449"/>
      <c r="I964" s="1450"/>
      <c r="J964" s="1451"/>
      <c r="K964" s="1452"/>
      <c r="L964" s="1447"/>
      <c r="M964" s="1453"/>
      <c r="N964" s="1454"/>
      <c r="O964" s="1455"/>
    </row>
    <row r="965">
      <c r="A965" s="1456"/>
      <c r="B965" s="1457"/>
      <c r="C965" s="1458"/>
      <c r="D965" s="1460"/>
      <c r="E965" s="1459"/>
      <c r="F965" s="1460"/>
      <c r="G965" s="1460"/>
      <c r="H965" s="1460"/>
      <c r="I965" s="1460"/>
      <c r="J965" s="1460"/>
      <c r="K965" s="1460"/>
      <c r="L965" s="1460"/>
      <c r="M965" s="186"/>
      <c r="N965" s="1461"/>
      <c r="O965" s="1462"/>
    </row>
    <row r="966">
      <c r="A966" s="1442"/>
      <c r="B966" s="1443"/>
      <c r="C966" s="1444"/>
      <c r="D966" s="1450"/>
      <c r="E966" s="1446"/>
      <c r="F966" s="1447"/>
      <c r="G966" s="1448"/>
      <c r="H966" s="1449"/>
      <c r="I966" s="1450"/>
      <c r="J966" s="1451"/>
      <c r="K966" s="1452"/>
      <c r="L966" s="1447"/>
      <c r="M966" s="1453"/>
      <c r="N966" s="1454"/>
      <c r="O966" s="1455"/>
    </row>
    <row r="967">
      <c r="A967" s="1456"/>
      <c r="B967" s="1457"/>
      <c r="C967" s="1458"/>
      <c r="D967" s="1460"/>
      <c r="E967" s="1459"/>
      <c r="F967" s="1460"/>
      <c r="G967" s="1460"/>
      <c r="H967" s="1460"/>
      <c r="I967" s="1460"/>
      <c r="J967" s="1460"/>
      <c r="K967" s="1460"/>
      <c r="L967" s="1460"/>
      <c r="M967" s="186"/>
      <c r="N967" s="1461"/>
      <c r="O967" s="1462"/>
    </row>
    <row r="968">
      <c r="A968" s="1442"/>
      <c r="B968" s="1443"/>
      <c r="C968" s="1444"/>
      <c r="D968" s="1450"/>
      <c r="E968" s="1446"/>
      <c r="F968" s="1447"/>
      <c r="G968" s="1448"/>
      <c r="H968" s="1449"/>
      <c r="I968" s="1450"/>
      <c r="J968" s="1451"/>
      <c r="K968" s="1452"/>
      <c r="L968" s="1447"/>
      <c r="M968" s="1453"/>
      <c r="N968" s="1454"/>
      <c r="O968" s="1455"/>
    </row>
    <row r="969">
      <c r="A969" s="1456"/>
      <c r="B969" s="1457"/>
      <c r="C969" s="1458"/>
      <c r="D969" s="1460"/>
      <c r="E969" s="1459"/>
      <c r="F969" s="1460"/>
      <c r="G969" s="1460"/>
      <c r="H969" s="1460"/>
      <c r="I969" s="1460"/>
      <c r="J969" s="1460"/>
      <c r="K969" s="1460"/>
      <c r="L969" s="1460"/>
      <c r="M969" s="186"/>
      <c r="N969" s="1461"/>
      <c r="O969" s="1462"/>
    </row>
    <row r="970">
      <c r="A970" s="1442"/>
      <c r="B970" s="1443"/>
      <c r="C970" s="1444"/>
      <c r="D970" s="1450"/>
      <c r="E970" s="1446"/>
      <c r="F970" s="1447"/>
      <c r="G970" s="1448"/>
      <c r="H970" s="1449"/>
      <c r="I970" s="1450"/>
      <c r="J970" s="1451"/>
      <c r="K970" s="1452"/>
      <c r="L970" s="1447"/>
      <c r="M970" s="1453"/>
      <c r="N970" s="1454"/>
      <c r="O970" s="1455"/>
    </row>
    <row r="971">
      <c r="A971" s="1456"/>
      <c r="B971" s="1457"/>
      <c r="C971" s="1458"/>
      <c r="D971" s="1460"/>
      <c r="E971" s="1459"/>
      <c r="F971" s="1460"/>
      <c r="G971" s="1460"/>
      <c r="H971" s="1460"/>
      <c r="I971" s="1460"/>
      <c r="J971" s="1460"/>
      <c r="K971" s="1460"/>
      <c r="L971" s="1460"/>
      <c r="M971" s="186"/>
      <c r="N971" s="1461"/>
      <c r="O971" s="1462"/>
    </row>
    <row r="972">
      <c r="A972" s="1442"/>
      <c r="B972" s="1443"/>
      <c r="C972" s="1444"/>
      <c r="D972" s="1450"/>
      <c r="E972" s="1446"/>
      <c r="F972" s="1447"/>
      <c r="G972" s="1448"/>
      <c r="H972" s="1449"/>
      <c r="I972" s="1450"/>
      <c r="J972" s="1451"/>
      <c r="K972" s="1452"/>
      <c r="L972" s="1447"/>
      <c r="M972" s="1453"/>
      <c r="N972" s="1454"/>
      <c r="O972" s="1455"/>
    </row>
    <row r="973">
      <c r="A973" s="1456"/>
      <c r="B973" s="1457"/>
      <c r="C973" s="1458"/>
      <c r="D973" s="1460"/>
      <c r="E973" s="1459"/>
      <c r="F973" s="1460"/>
      <c r="G973" s="1460"/>
      <c r="H973" s="1460"/>
      <c r="I973" s="1460"/>
      <c r="J973" s="1460"/>
      <c r="K973" s="1460"/>
      <c r="L973" s="1460"/>
      <c r="M973" s="186"/>
      <c r="N973" s="1461"/>
      <c r="O973" s="1462"/>
    </row>
    <row r="974">
      <c r="A974" s="1442"/>
      <c r="B974" s="1443"/>
      <c r="C974" s="1444"/>
      <c r="D974" s="1450"/>
      <c r="E974" s="1446"/>
      <c r="F974" s="1447"/>
      <c r="G974" s="1448"/>
      <c r="H974" s="1449"/>
      <c r="I974" s="1450"/>
      <c r="J974" s="1451"/>
      <c r="K974" s="1452"/>
      <c r="L974" s="1447"/>
      <c r="M974" s="1453"/>
      <c r="N974" s="1454"/>
      <c r="O974" s="1455"/>
    </row>
    <row r="975">
      <c r="A975" s="1456"/>
      <c r="B975" s="1457"/>
      <c r="C975" s="1458"/>
      <c r="D975" s="1460"/>
      <c r="E975" s="1459"/>
      <c r="F975" s="1460"/>
      <c r="G975" s="1460"/>
      <c r="H975" s="1460"/>
      <c r="I975" s="1460"/>
      <c r="J975" s="1460"/>
      <c r="K975" s="1460"/>
      <c r="L975" s="1460"/>
      <c r="M975" s="186"/>
      <c r="N975" s="1461"/>
      <c r="O975" s="1462"/>
    </row>
    <row r="976">
      <c r="A976" s="1442"/>
      <c r="B976" s="1443"/>
      <c r="C976" s="1444"/>
      <c r="D976" s="1450"/>
      <c r="E976" s="1446"/>
      <c r="F976" s="1447"/>
      <c r="G976" s="1448"/>
      <c r="H976" s="1449"/>
      <c r="I976" s="1450"/>
      <c r="J976" s="1451"/>
      <c r="K976" s="1452"/>
      <c r="L976" s="1447"/>
      <c r="M976" s="1453"/>
      <c r="N976" s="1454"/>
      <c r="O976" s="1455"/>
    </row>
    <row r="977">
      <c r="A977" s="1456"/>
      <c r="B977" s="1457"/>
      <c r="C977" s="1458"/>
      <c r="D977" s="1460"/>
      <c r="E977" s="1459"/>
      <c r="F977" s="1460"/>
      <c r="G977" s="1460"/>
      <c r="H977" s="1460"/>
      <c r="I977" s="1460"/>
      <c r="J977" s="1460"/>
      <c r="K977" s="1460"/>
      <c r="L977" s="1460"/>
      <c r="M977" s="186"/>
      <c r="N977" s="1461"/>
      <c r="O977" s="1462"/>
    </row>
    <row r="978">
      <c r="A978" s="1442"/>
      <c r="B978" s="1443"/>
      <c r="C978" s="1444"/>
      <c r="D978" s="1450"/>
      <c r="E978" s="1446"/>
      <c r="F978" s="1447"/>
      <c r="G978" s="1448"/>
      <c r="H978" s="1449"/>
      <c r="I978" s="1450"/>
      <c r="J978" s="1451"/>
      <c r="K978" s="1452"/>
      <c r="L978" s="1447"/>
      <c r="M978" s="1453"/>
      <c r="N978" s="1454"/>
      <c r="O978" s="1455"/>
    </row>
    <row r="979">
      <c r="A979" s="1456"/>
      <c r="B979" s="1457"/>
      <c r="C979" s="1458"/>
      <c r="D979" s="1460"/>
      <c r="E979" s="1459"/>
      <c r="F979" s="1460"/>
      <c r="G979" s="1460"/>
      <c r="H979" s="1460"/>
      <c r="I979" s="1460"/>
      <c r="J979" s="1460"/>
      <c r="K979" s="1460"/>
      <c r="L979" s="1460"/>
      <c r="M979" s="186"/>
      <c r="N979" s="1461"/>
      <c r="O979" s="1462"/>
    </row>
    <row r="980">
      <c r="A980" s="1442"/>
      <c r="B980" s="1443"/>
      <c r="C980" s="1444"/>
      <c r="D980" s="1450"/>
      <c r="E980" s="1446"/>
      <c r="F980" s="1447"/>
      <c r="G980" s="1448"/>
      <c r="H980" s="1449"/>
      <c r="I980" s="1450"/>
      <c r="J980" s="1451"/>
      <c r="K980" s="1452"/>
      <c r="L980" s="1447"/>
      <c r="M980" s="1453"/>
      <c r="N980" s="1454"/>
      <c r="O980" s="1455"/>
    </row>
    <row r="981">
      <c r="A981" s="1456"/>
      <c r="B981" s="1457"/>
      <c r="C981" s="1458"/>
      <c r="D981" s="1460"/>
      <c r="E981" s="1459"/>
      <c r="F981" s="1460"/>
      <c r="G981" s="1460"/>
      <c r="H981" s="1460"/>
      <c r="I981" s="1460"/>
      <c r="J981" s="1460"/>
      <c r="K981" s="1460"/>
      <c r="L981" s="1460"/>
      <c r="M981" s="186"/>
      <c r="N981" s="1461"/>
      <c r="O981" s="1462"/>
    </row>
    <row r="982">
      <c r="A982" s="1442"/>
      <c r="B982" s="1443"/>
      <c r="C982" s="1444"/>
      <c r="D982" s="1450"/>
      <c r="E982" s="1446"/>
      <c r="F982" s="1447"/>
      <c r="G982" s="1448"/>
      <c r="H982" s="1449"/>
      <c r="I982" s="1450"/>
      <c r="J982" s="1451"/>
      <c r="K982" s="1452"/>
      <c r="L982" s="1447"/>
      <c r="M982" s="1453"/>
      <c r="N982" s="1454"/>
      <c r="O982" s="1455"/>
    </row>
    <row r="983">
      <c r="A983" s="1456"/>
      <c r="B983" s="1457"/>
      <c r="C983" s="1458"/>
      <c r="D983" s="1460"/>
      <c r="E983" s="1459"/>
      <c r="F983" s="1460"/>
      <c r="G983" s="1460"/>
      <c r="H983" s="1460"/>
      <c r="I983" s="1460"/>
      <c r="J983" s="1460"/>
      <c r="K983" s="1460"/>
      <c r="L983" s="1460"/>
      <c r="M983" s="186"/>
      <c r="N983" s="1461"/>
      <c r="O983" s="1462"/>
    </row>
    <row r="984">
      <c r="A984" s="1442"/>
      <c r="B984" s="1443"/>
      <c r="C984" s="1444"/>
      <c r="D984" s="1450"/>
      <c r="E984" s="1446"/>
      <c r="F984" s="1447"/>
      <c r="G984" s="1448"/>
      <c r="H984" s="1449"/>
      <c r="I984" s="1450"/>
      <c r="J984" s="1451"/>
      <c r="K984" s="1452"/>
      <c r="L984" s="1447"/>
      <c r="M984" s="1453"/>
      <c r="N984" s="1454"/>
      <c r="O984" s="1455"/>
    </row>
    <row r="985">
      <c r="A985" s="1456"/>
      <c r="B985" s="1457"/>
      <c r="C985" s="1458"/>
      <c r="D985" s="1460"/>
      <c r="E985" s="1459"/>
      <c r="F985" s="1460"/>
      <c r="G985" s="1460"/>
      <c r="H985" s="1460"/>
      <c r="I985" s="1460"/>
      <c r="J985" s="1460"/>
      <c r="K985" s="1460"/>
      <c r="L985" s="1460"/>
      <c r="M985" s="186"/>
      <c r="N985" s="1461"/>
      <c r="O985" s="1462"/>
    </row>
    <row r="986">
      <c r="A986" s="1442"/>
      <c r="B986" s="1443"/>
      <c r="C986" s="1444"/>
      <c r="D986" s="1450"/>
      <c r="E986" s="1446"/>
      <c r="F986" s="1447"/>
      <c r="G986" s="1448"/>
      <c r="H986" s="1449"/>
      <c r="I986" s="1450"/>
      <c r="J986" s="1451"/>
      <c r="K986" s="1452"/>
      <c r="L986" s="1447"/>
      <c r="M986" s="1453"/>
      <c r="N986" s="1454"/>
      <c r="O986" s="1455"/>
    </row>
    <row r="987">
      <c r="A987" s="1456"/>
      <c r="B987" s="1457"/>
      <c r="C987" s="1458"/>
      <c r="D987" s="1460"/>
      <c r="E987" s="1459"/>
      <c r="F987" s="1460"/>
      <c r="G987" s="1460"/>
      <c r="H987" s="1460"/>
      <c r="I987" s="1460"/>
      <c r="J987" s="1460"/>
      <c r="K987" s="1460"/>
      <c r="L987" s="1460"/>
      <c r="M987" s="186"/>
      <c r="N987" s="1461"/>
      <c r="O987" s="1462"/>
    </row>
    <row r="988">
      <c r="A988" s="1442"/>
      <c r="B988" s="1443"/>
      <c r="C988" s="1444"/>
      <c r="D988" s="1450"/>
      <c r="E988" s="1446"/>
      <c r="F988" s="1447"/>
      <c r="G988" s="1448"/>
      <c r="H988" s="1449"/>
      <c r="I988" s="1450"/>
      <c r="J988" s="1451"/>
      <c r="K988" s="1452"/>
      <c r="L988" s="1447"/>
      <c r="M988" s="1453"/>
      <c r="N988" s="1454"/>
      <c r="O988" s="1455"/>
    </row>
    <row r="989">
      <c r="A989" s="1456"/>
      <c r="B989" s="1457"/>
      <c r="C989" s="1458"/>
      <c r="D989" s="1460"/>
      <c r="E989" s="1459"/>
      <c r="F989" s="1460"/>
      <c r="G989" s="1460"/>
      <c r="H989" s="1460"/>
      <c r="I989" s="1460"/>
      <c r="J989" s="1460"/>
      <c r="K989" s="1460"/>
      <c r="L989" s="1460"/>
      <c r="M989" s="186"/>
      <c r="N989" s="1461"/>
      <c r="O989" s="1462"/>
    </row>
    <row r="990">
      <c r="A990" s="1442"/>
      <c r="B990" s="1443"/>
      <c r="C990" s="1444"/>
      <c r="D990" s="1450"/>
      <c r="E990" s="1446"/>
      <c r="F990" s="1447"/>
      <c r="G990" s="1448"/>
      <c r="H990" s="1449"/>
      <c r="I990" s="1450"/>
      <c r="J990" s="1451"/>
      <c r="K990" s="1452"/>
      <c r="L990" s="1447"/>
      <c r="M990" s="1453"/>
      <c r="N990" s="1454"/>
      <c r="O990" s="1455"/>
    </row>
    <row r="991">
      <c r="A991" s="1456"/>
      <c r="B991" s="1457"/>
      <c r="C991" s="1458"/>
      <c r="D991" s="1460"/>
      <c r="E991" s="1459"/>
      <c r="F991" s="1460"/>
      <c r="G991" s="1460"/>
      <c r="H991" s="1460"/>
      <c r="I991" s="1460"/>
      <c r="J991" s="1460"/>
      <c r="K991" s="1460"/>
      <c r="L991" s="1460"/>
      <c r="M991" s="186"/>
      <c r="N991" s="1461"/>
      <c r="O991" s="1462"/>
    </row>
    <row r="992">
      <c r="A992" s="1442"/>
      <c r="B992" s="1443"/>
      <c r="C992" s="1444"/>
      <c r="D992" s="1450"/>
      <c r="E992" s="1446"/>
      <c r="F992" s="1447"/>
      <c r="G992" s="1448"/>
      <c r="H992" s="1449"/>
      <c r="I992" s="1450"/>
      <c r="J992" s="1451"/>
      <c r="K992" s="1452"/>
      <c r="L992" s="1447"/>
      <c r="M992" s="1453"/>
      <c r="N992" s="1454"/>
      <c r="O992" s="1455"/>
    </row>
    <row r="993">
      <c r="A993" s="1456"/>
      <c r="B993" s="1457"/>
      <c r="C993" s="1458"/>
      <c r="D993" s="1460"/>
      <c r="E993" s="1459"/>
      <c r="F993" s="1460"/>
      <c r="G993" s="1460"/>
      <c r="H993" s="1460"/>
      <c r="I993" s="1460"/>
      <c r="J993" s="1460"/>
      <c r="K993" s="1460"/>
      <c r="L993" s="1460"/>
      <c r="M993" s="186"/>
      <c r="N993" s="1461"/>
      <c r="O993" s="1462"/>
    </row>
    <row r="994">
      <c r="A994" s="1442"/>
      <c r="B994" s="1443"/>
      <c r="C994" s="1444"/>
      <c r="D994" s="1450"/>
      <c r="E994" s="1446"/>
      <c r="F994" s="1447"/>
      <c r="G994" s="1448"/>
      <c r="H994" s="1449"/>
      <c r="I994" s="1450"/>
      <c r="J994" s="1451"/>
      <c r="K994" s="1452"/>
      <c r="L994" s="1447"/>
      <c r="M994" s="1453"/>
      <c r="N994" s="1454"/>
      <c r="O994" s="1455"/>
    </row>
  </sheetData>
  <conditionalFormatting sqref="B5:B39 B41:B994 C47">
    <cfRule type="containsText" dxfId="21" priority="1" operator="containsText" text="NTSC-J">
      <formula>NOT(ISERROR(SEARCH(("NTSC-J"),(B5))))</formula>
    </cfRule>
  </conditionalFormatting>
  <conditionalFormatting sqref="B5:B39 B41:B994 C47">
    <cfRule type="containsText" dxfId="22" priority="2" operator="containsText" text="NTSC-U">
      <formula>NOT(ISERROR(SEARCH(("NTSC-U"),(B5))))</formula>
    </cfRule>
  </conditionalFormatting>
  <conditionalFormatting sqref="B5:B39 B41:B994 C47">
    <cfRule type="containsText" dxfId="23" priority="3" operator="containsText" text="PAL">
      <formula>NOT(ISERROR(SEARCH(("PAL"),(B5))))</formula>
    </cfRule>
  </conditionalFormatting>
  <hyperlinks>
    <hyperlink r:id="rId2" ref="D2"/>
    <hyperlink r:id="rId3" ref="G2"/>
    <hyperlink r:id="rId4" ref="H2"/>
    <hyperlink r:id="rId5" ref="I2"/>
    <hyperlink r:id="rId6" ref="L2"/>
    <hyperlink r:id="rId7" ref="D5"/>
    <hyperlink r:id="rId8" ref="E5"/>
    <hyperlink r:id="rId9" ref="F5"/>
    <hyperlink r:id="rId10" ref="G5"/>
    <hyperlink r:id="rId11" ref="H5"/>
    <hyperlink r:id="rId12" ref="I5"/>
    <hyperlink r:id="rId13" ref="J5"/>
    <hyperlink r:id="rId14" ref="K5"/>
    <hyperlink r:id="rId15" ref="L5"/>
    <hyperlink r:id="rId16" ref="D6"/>
    <hyperlink r:id="rId17" ref="E6"/>
    <hyperlink r:id="rId18" ref="F6"/>
    <hyperlink r:id="rId19" ref="G6"/>
    <hyperlink r:id="rId20" ref="H6"/>
    <hyperlink r:id="rId21" ref="I6"/>
    <hyperlink r:id="rId22" ref="J6"/>
    <hyperlink r:id="rId23" ref="K6"/>
    <hyperlink r:id="rId24" ref="L6"/>
    <hyperlink r:id="rId25" ref="K7"/>
    <hyperlink r:id="rId26" ref="L7"/>
    <hyperlink r:id="rId27" ref="F10"/>
    <hyperlink r:id="rId28" ref="G10"/>
    <hyperlink r:id="rId29" ref="L10"/>
    <hyperlink r:id="rId30" ref="F11"/>
    <hyperlink r:id="rId31" ref="G11"/>
    <hyperlink r:id="rId32" ref="H11"/>
    <hyperlink r:id="rId33" ref="K11"/>
    <hyperlink r:id="rId34" ref="E16"/>
    <hyperlink r:id="rId35" ref="F16"/>
    <hyperlink r:id="rId36" ref="G16"/>
    <hyperlink r:id="rId37" ref="H16"/>
    <hyperlink r:id="rId38" ref="I16"/>
    <hyperlink r:id="rId39" ref="J16"/>
    <hyperlink r:id="rId40" ref="K16"/>
    <hyperlink r:id="rId41" ref="L16"/>
    <hyperlink r:id="rId42" ref="H18"/>
    <hyperlink r:id="rId43" ref="G22"/>
    <hyperlink r:id="rId44" ref="H22"/>
    <hyperlink r:id="rId45" ref="K34"/>
  </hyperlinks>
  <drawing r:id="rId46"/>
  <legacyDrawing r:id="rId47"/>
  <tableParts count="11">
    <tablePart r:id="rId59"/>
    <tablePart r:id="rId60"/>
    <tablePart r:id="rId61"/>
    <tablePart r:id="rId62"/>
    <tablePart r:id="rId63"/>
    <tablePart r:id="rId64"/>
    <tablePart r:id="rId65"/>
    <tablePart r:id="rId66"/>
    <tablePart r:id="rId67"/>
    <tablePart r:id="rId68"/>
    <tablePart r:id="rId6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979"/>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5.5"/>
    <col customWidth="1" min="2" max="2" width="7.0"/>
    <col customWidth="1" min="3" max="11" width="10.75"/>
    <col customWidth="1" min="12" max="12" width="62.63"/>
  </cols>
  <sheetData>
    <row r="1">
      <c r="A1" s="1036" t="s">
        <v>43</v>
      </c>
      <c r="B1" s="1037" t="s">
        <v>5340</v>
      </c>
      <c r="C1" s="1463" t="s">
        <v>6678</v>
      </c>
      <c r="D1" s="1465" t="s">
        <v>37</v>
      </c>
      <c r="E1" s="1466" t="s">
        <v>41</v>
      </c>
      <c r="F1" s="1467" t="s">
        <v>38</v>
      </c>
      <c r="G1" s="1468" t="s">
        <v>36</v>
      </c>
      <c r="H1" s="1463" t="s">
        <v>6683</v>
      </c>
      <c r="I1" s="1469" t="s">
        <v>39</v>
      </c>
      <c r="J1" s="1312" t="s">
        <v>40</v>
      </c>
      <c r="K1" s="1049" t="s">
        <v>5392</v>
      </c>
      <c r="L1" s="1314" t="s">
        <v>5394</v>
      </c>
    </row>
    <row r="2" ht="15.75" customHeight="1">
      <c r="A2" s="1315" t="s">
        <v>5395</v>
      </c>
      <c r="B2" s="1316" t="s">
        <v>5396</v>
      </c>
      <c r="C2" s="1473" t="s">
        <v>6685</v>
      </c>
      <c r="D2" s="1476" t="s">
        <v>7716</v>
      </c>
      <c r="E2" s="1480" t="s">
        <v>7722</v>
      </c>
      <c r="F2" s="1481" t="s">
        <v>7729</v>
      </c>
      <c r="G2" s="1482" t="s">
        <v>7737</v>
      </c>
      <c r="H2" s="1473" t="s">
        <v>7742</v>
      </c>
      <c r="I2" s="1483" t="s">
        <v>7748</v>
      </c>
      <c r="J2" s="1484" t="s">
        <v>7753</v>
      </c>
      <c r="K2" s="1485" t="s">
        <v>5437</v>
      </c>
      <c r="L2" s="1486"/>
    </row>
    <row r="3" ht="15.75" customHeight="1">
      <c r="A3" s="1338" t="s">
        <v>5443</v>
      </c>
      <c r="B3" s="1339" t="s">
        <v>5444</v>
      </c>
      <c r="C3" s="1078" t="s">
        <v>7417</v>
      </c>
      <c r="D3" s="1086" t="s">
        <v>7766</v>
      </c>
      <c r="E3" s="1080" t="s">
        <v>7767</v>
      </c>
      <c r="F3" s="1081" t="s">
        <v>7770</v>
      </c>
      <c r="G3" s="1083" t="s">
        <v>7771</v>
      </c>
      <c r="H3" s="1078" t="s">
        <v>7772</v>
      </c>
      <c r="I3" s="1085" t="s">
        <v>7773</v>
      </c>
      <c r="J3" s="1088" t="s">
        <v>7774</v>
      </c>
      <c r="K3" s="1340">
        <v>0.053043981481481484</v>
      </c>
      <c r="L3" s="1488"/>
    </row>
    <row r="4" ht="15.75" customHeight="1">
      <c r="A4" s="1344" t="s">
        <v>5481</v>
      </c>
      <c r="B4" s="1345" t="s">
        <v>5482</v>
      </c>
      <c r="C4" s="1348" t="s">
        <v>7407</v>
      </c>
      <c r="D4" s="1490" t="s">
        <v>7777</v>
      </c>
      <c r="E4" s="1350" t="s">
        <v>7779</v>
      </c>
      <c r="F4" s="1351" t="s">
        <v>7780</v>
      </c>
      <c r="G4" s="1352" t="s">
        <v>7782</v>
      </c>
      <c r="H4" s="1348" t="s">
        <v>7783</v>
      </c>
      <c r="I4" s="1353" t="s">
        <v>7785</v>
      </c>
      <c r="J4" s="1354" t="s">
        <v>7787</v>
      </c>
      <c r="K4" s="1347">
        <v>0.053043981481481484</v>
      </c>
      <c r="L4" s="1486"/>
    </row>
    <row r="5" ht="15.75" customHeight="1">
      <c r="A5" s="634" t="s">
        <v>65</v>
      </c>
      <c r="B5" s="1203" t="s">
        <v>5396</v>
      </c>
      <c r="C5" s="1359" t="s">
        <v>6685</v>
      </c>
      <c r="D5" s="1359" t="s">
        <v>7716</v>
      </c>
      <c r="E5" s="1359" t="s">
        <v>7722</v>
      </c>
      <c r="F5" s="1359" t="s">
        <v>7729</v>
      </c>
      <c r="G5" s="1493" t="s">
        <v>7737</v>
      </c>
      <c r="H5" s="1493" t="s">
        <v>7742</v>
      </c>
      <c r="I5" s="1493" t="s">
        <v>7802</v>
      </c>
      <c r="J5" s="1493" t="s">
        <v>7803</v>
      </c>
      <c r="K5" s="1496" t="s">
        <v>7805</v>
      </c>
      <c r="L5" s="1236" t="s">
        <v>7806</v>
      </c>
    </row>
    <row r="6" ht="15.75" customHeight="1">
      <c r="A6" s="634" t="s">
        <v>52</v>
      </c>
      <c r="B6" s="1203" t="s">
        <v>5396</v>
      </c>
      <c r="C6" s="1368" t="s">
        <v>6909</v>
      </c>
      <c r="D6" s="1370" t="s">
        <v>7809</v>
      </c>
      <c r="E6" s="1370" t="s">
        <v>7811</v>
      </c>
      <c r="F6" s="1370" t="s">
        <v>7812</v>
      </c>
      <c r="G6" s="1499" t="s">
        <v>7822</v>
      </c>
      <c r="H6" s="1500" t="s">
        <v>7829</v>
      </c>
      <c r="I6" s="1501" t="s">
        <v>7830</v>
      </c>
      <c r="J6" s="1502" t="s">
        <v>7831</v>
      </c>
      <c r="K6" s="1370" t="s">
        <v>5646</v>
      </c>
      <c r="L6" s="1236"/>
    </row>
    <row r="7" ht="15.75" customHeight="1">
      <c r="A7" s="1375" t="s">
        <v>88</v>
      </c>
      <c r="B7" s="1503" t="s">
        <v>5396</v>
      </c>
      <c r="C7" s="1504" t="s">
        <v>6988</v>
      </c>
      <c r="D7" s="1505" t="s">
        <v>7832</v>
      </c>
      <c r="E7" s="1506" t="s">
        <v>7833</v>
      </c>
      <c r="F7" s="1508" t="s">
        <v>7839</v>
      </c>
      <c r="G7" s="1509" t="s">
        <v>7842</v>
      </c>
      <c r="H7" s="1509" t="s">
        <v>7844</v>
      </c>
      <c r="I7" s="1511" t="s">
        <v>7845</v>
      </c>
      <c r="J7" s="1511" t="s">
        <v>7846</v>
      </c>
      <c r="K7" s="1511" t="s">
        <v>5757</v>
      </c>
      <c r="L7" s="1513" t="s">
        <v>7848</v>
      </c>
    </row>
    <row r="8" ht="15.75" customHeight="1">
      <c r="A8" s="1514" t="s">
        <v>5829</v>
      </c>
      <c r="B8" s="1203" t="s">
        <v>5396</v>
      </c>
      <c r="C8" s="1504" t="s">
        <v>7041</v>
      </c>
      <c r="D8" s="1175" t="s">
        <v>7852</v>
      </c>
      <c r="E8" s="1175" t="s">
        <v>7853</v>
      </c>
      <c r="F8" s="1175" t="s">
        <v>7854</v>
      </c>
      <c r="G8" s="1515" t="s">
        <v>7855</v>
      </c>
      <c r="H8" s="1516" t="s">
        <v>7856</v>
      </c>
      <c r="I8" s="1518" t="s">
        <v>7858</v>
      </c>
      <c r="J8" s="1519" t="s">
        <v>7861</v>
      </c>
      <c r="K8" s="1175" t="s">
        <v>5865</v>
      </c>
      <c r="L8" s="1236"/>
    </row>
    <row r="9" ht="15.75" customHeight="1">
      <c r="A9" s="1380" t="s">
        <v>305</v>
      </c>
      <c r="B9" s="1108" t="s">
        <v>5396</v>
      </c>
      <c r="C9" s="1504" t="s">
        <v>7021</v>
      </c>
      <c r="D9" s="1175" t="s">
        <v>7866</v>
      </c>
      <c r="E9" s="1175" t="s">
        <v>7868</v>
      </c>
      <c r="F9" s="1175" t="s">
        <v>7869</v>
      </c>
      <c r="G9" s="1511" t="s">
        <v>7870</v>
      </c>
      <c r="H9" s="1511" t="s">
        <v>7871</v>
      </c>
      <c r="I9" s="1511" t="s">
        <v>7872</v>
      </c>
      <c r="J9" s="1511" t="s">
        <v>7873</v>
      </c>
      <c r="K9" s="1175" t="s">
        <v>5679</v>
      </c>
      <c r="L9" s="1236"/>
    </row>
    <row r="10" ht="15.75" customHeight="1">
      <c r="A10" s="1375" t="s">
        <v>99</v>
      </c>
      <c r="B10" s="1108" t="s">
        <v>5396</v>
      </c>
      <c r="C10" s="1175" t="s">
        <v>7876</v>
      </c>
      <c r="D10" s="1175" t="s">
        <v>7877</v>
      </c>
      <c r="E10" s="1175" t="s">
        <v>7878</v>
      </c>
      <c r="F10" s="1178" t="s">
        <v>7880</v>
      </c>
      <c r="G10" s="1521" t="s">
        <v>7889</v>
      </c>
      <c r="H10" s="1522" t="s">
        <v>7890</v>
      </c>
      <c r="I10" s="1523" t="s">
        <v>7893</v>
      </c>
      <c r="J10" s="1524" t="s">
        <v>7896</v>
      </c>
      <c r="K10" s="1175" t="s">
        <v>5727</v>
      </c>
      <c r="L10" s="1236"/>
    </row>
    <row r="11" ht="15.75" customHeight="1">
      <c r="A11" s="634" t="s">
        <v>55</v>
      </c>
      <c r="B11" s="1203" t="s">
        <v>5396</v>
      </c>
      <c r="C11" s="1525" t="s">
        <v>7162</v>
      </c>
      <c r="D11" s="1390" t="s">
        <v>7907</v>
      </c>
      <c r="E11" s="1390" t="s">
        <v>7912</v>
      </c>
      <c r="F11" s="1175" t="s">
        <v>7913</v>
      </c>
      <c r="G11" s="1527" t="s">
        <v>7915</v>
      </c>
      <c r="H11" s="1527" t="s">
        <v>7926</v>
      </c>
      <c r="I11" s="1527" t="s">
        <v>7932</v>
      </c>
      <c r="J11" s="1527" t="s">
        <v>7934</v>
      </c>
      <c r="K11" s="1377" t="s">
        <v>6284</v>
      </c>
      <c r="L11" s="1236" t="s">
        <v>7940</v>
      </c>
    </row>
    <row r="12" ht="15.75" customHeight="1">
      <c r="A12" s="1239" t="s">
        <v>129</v>
      </c>
      <c r="B12" s="1357" t="s">
        <v>5396</v>
      </c>
      <c r="C12" s="1528" t="s">
        <v>7107</v>
      </c>
      <c r="D12" s="1175" t="s">
        <v>7942</v>
      </c>
      <c r="E12" s="1175" t="s">
        <v>7946</v>
      </c>
      <c r="F12" s="1175" t="s">
        <v>7948</v>
      </c>
      <c r="G12" s="1515" t="s">
        <v>7952</v>
      </c>
      <c r="H12" s="1516" t="s">
        <v>7955</v>
      </c>
      <c r="I12" s="1518" t="s">
        <v>7957</v>
      </c>
      <c r="J12" s="1519" t="s">
        <v>7959</v>
      </c>
      <c r="K12" s="1175" t="s">
        <v>7961</v>
      </c>
      <c r="L12" s="1236" t="s">
        <v>7962</v>
      </c>
    </row>
    <row r="13" ht="15.75" customHeight="1">
      <c r="A13" s="1391" t="s">
        <v>110</v>
      </c>
      <c r="B13" s="1108" t="s">
        <v>5396</v>
      </c>
      <c r="C13" s="1525" t="s">
        <v>7181</v>
      </c>
      <c r="D13" s="1175" t="s">
        <v>7963</v>
      </c>
      <c r="E13" s="1175" t="s">
        <v>7964</v>
      </c>
      <c r="F13" s="1175" t="s">
        <v>7965</v>
      </c>
      <c r="G13" s="1511" t="s">
        <v>7966</v>
      </c>
      <c r="H13" s="1511" t="s">
        <v>7967</v>
      </c>
      <c r="I13" s="1511" t="s">
        <v>7968</v>
      </c>
      <c r="J13" s="1511" t="s">
        <v>7969</v>
      </c>
      <c r="K13" s="1175" t="s">
        <v>6256</v>
      </c>
      <c r="L13" s="1236"/>
    </row>
    <row r="14" ht="15.75" customHeight="1">
      <c r="A14" s="1380" t="s">
        <v>984</v>
      </c>
      <c r="B14" s="1108" t="s">
        <v>5396</v>
      </c>
      <c r="C14" s="1175" t="s">
        <v>7971</v>
      </c>
      <c r="D14" s="1175" t="s">
        <v>7972</v>
      </c>
      <c r="E14" s="1175" t="s">
        <v>7973</v>
      </c>
      <c r="F14" s="1175" t="s">
        <v>7974</v>
      </c>
      <c r="G14" s="1515" t="s">
        <v>7975</v>
      </c>
      <c r="H14" s="1516" t="s">
        <v>7976</v>
      </c>
      <c r="I14" s="1518" t="s">
        <v>7977</v>
      </c>
      <c r="J14" s="1519" t="s">
        <v>7979</v>
      </c>
      <c r="K14" s="1175" t="s">
        <v>5827</v>
      </c>
      <c r="L14" s="1236"/>
    </row>
    <row r="15" ht="16.5" customHeight="1">
      <c r="A15" s="1406" t="s">
        <v>3861</v>
      </c>
      <c r="B15" s="1108" t="s">
        <v>5396</v>
      </c>
      <c r="C15" s="1175" t="s">
        <v>7264</v>
      </c>
      <c r="D15" s="1175" t="s">
        <v>7983</v>
      </c>
      <c r="E15" s="1175" t="s">
        <v>7984</v>
      </c>
      <c r="F15" s="1175" t="s">
        <v>7986</v>
      </c>
      <c r="G15" s="1511" t="s">
        <v>7988</v>
      </c>
      <c r="H15" s="1511" t="s">
        <v>7989</v>
      </c>
      <c r="I15" s="1511" t="s">
        <v>7990</v>
      </c>
      <c r="J15" s="1511" t="s">
        <v>7991</v>
      </c>
      <c r="K15" s="1175" t="s">
        <v>7992</v>
      </c>
      <c r="L15" s="1236" t="s">
        <v>7993</v>
      </c>
    </row>
    <row r="16" ht="15.0" customHeight="1">
      <c r="A16" s="1416" t="s">
        <v>141</v>
      </c>
      <c r="B16" s="1384" t="s">
        <v>5396</v>
      </c>
      <c r="C16" s="1528" t="s">
        <v>7996</v>
      </c>
      <c r="D16" s="1175" t="s">
        <v>7997</v>
      </c>
      <c r="E16" s="1175" t="s">
        <v>7998</v>
      </c>
      <c r="F16" s="1175" t="s">
        <v>8000</v>
      </c>
      <c r="G16" s="1515" t="s">
        <v>8002</v>
      </c>
      <c r="H16" s="1516" t="s">
        <v>8005</v>
      </c>
      <c r="I16" s="1518" t="s">
        <v>8007</v>
      </c>
      <c r="J16" s="1519" t="s">
        <v>8008</v>
      </c>
      <c r="K16" s="1175" t="s">
        <v>6700</v>
      </c>
      <c r="L16" s="1236"/>
    </row>
    <row r="17" ht="15.75" customHeight="1">
      <c r="A17" s="634" t="s">
        <v>71</v>
      </c>
      <c r="B17" s="1108" t="s">
        <v>5396</v>
      </c>
      <c r="C17" s="1175" t="s">
        <v>7325</v>
      </c>
      <c r="D17" s="1175" t="s">
        <v>8014</v>
      </c>
      <c r="E17" s="1175" t="s">
        <v>8016</v>
      </c>
      <c r="F17" s="1175" t="s">
        <v>8017</v>
      </c>
      <c r="G17" s="1511" t="s">
        <v>8019</v>
      </c>
      <c r="H17" s="1511" t="s">
        <v>8020</v>
      </c>
      <c r="I17" s="1511" t="s">
        <v>8021</v>
      </c>
      <c r="J17" s="1511" t="s">
        <v>8023</v>
      </c>
      <c r="K17" s="1175" t="s">
        <v>5479</v>
      </c>
      <c r="L17" s="1236" t="s">
        <v>8025</v>
      </c>
    </row>
    <row r="18" ht="15.75" customHeight="1">
      <c r="A18" s="1380" t="s">
        <v>373</v>
      </c>
      <c r="B18" s="1108" t="s">
        <v>5396</v>
      </c>
      <c r="C18" s="1175" t="s">
        <v>8028</v>
      </c>
      <c r="D18" s="1175" t="s">
        <v>8029</v>
      </c>
      <c r="E18" s="1175" t="s">
        <v>8030</v>
      </c>
      <c r="F18" s="1175" t="s">
        <v>8031</v>
      </c>
      <c r="G18" s="1515" t="s">
        <v>8032</v>
      </c>
      <c r="H18" s="1516" t="s">
        <v>8034</v>
      </c>
      <c r="I18" s="1518" t="s">
        <v>8036</v>
      </c>
      <c r="J18" s="1519" t="s">
        <v>8038</v>
      </c>
      <c r="K18" s="1175" t="s">
        <v>6513</v>
      </c>
      <c r="L18" s="1236"/>
    </row>
    <row r="19" ht="15.75" customHeight="1">
      <c r="A19" s="634" t="s">
        <v>6322</v>
      </c>
      <c r="B19" s="1357" t="s">
        <v>5396</v>
      </c>
      <c r="C19" s="1528" t="s">
        <v>7292</v>
      </c>
      <c r="D19" s="1175" t="s">
        <v>8041</v>
      </c>
      <c r="E19" s="1175" t="s">
        <v>8042</v>
      </c>
      <c r="F19" s="1175" t="s">
        <v>8044</v>
      </c>
      <c r="G19" s="1511" t="s">
        <v>8045</v>
      </c>
      <c r="H19" s="1511" t="s">
        <v>8047</v>
      </c>
      <c r="I19" s="1511" t="s">
        <v>8048</v>
      </c>
      <c r="J19" s="1511" t="s">
        <v>8049</v>
      </c>
      <c r="K19" s="1175" t="s">
        <v>5827</v>
      </c>
      <c r="L19" s="1236" t="s">
        <v>8050</v>
      </c>
    </row>
    <row r="20" ht="15.75" customHeight="1">
      <c r="A20" s="1380" t="s">
        <v>274</v>
      </c>
      <c r="B20" s="1108" t="s">
        <v>5396</v>
      </c>
      <c r="C20" s="1175" t="s">
        <v>8051</v>
      </c>
      <c r="D20" s="1175" t="s">
        <v>8052</v>
      </c>
      <c r="E20" s="1175" t="s">
        <v>8054</v>
      </c>
      <c r="F20" s="1175" t="s">
        <v>8056</v>
      </c>
      <c r="G20" s="1515" t="s">
        <v>8057</v>
      </c>
      <c r="H20" s="1516" t="s">
        <v>8059</v>
      </c>
      <c r="I20" s="1518" t="s">
        <v>8061</v>
      </c>
      <c r="J20" s="1519" t="s">
        <v>8064</v>
      </c>
      <c r="K20" s="1175" t="s">
        <v>6944</v>
      </c>
      <c r="L20" s="1236"/>
    </row>
    <row r="21" ht="15.75" customHeight="1">
      <c r="A21" s="634" t="s">
        <v>109</v>
      </c>
      <c r="B21" s="1203" t="s">
        <v>5396</v>
      </c>
      <c r="C21" s="1175" t="s">
        <v>8066</v>
      </c>
      <c r="D21" s="1175" t="s">
        <v>8067</v>
      </c>
      <c r="E21" s="1377" t="s">
        <v>8069</v>
      </c>
      <c r="F21" s="1175" t="s">
        <v>8070</v>
      </c>
      <c r="G21" s="1511" t="s">
        <v>8071</v>
      </c>
      <c r="H21" s="1511" t="s">
        <v>8073</v>
      </c>
      <c r="I21" s="1511" t="s">
        <v>8074</v>
      </c>
      <c r="J21" s="1511" t="s">
        <v>8076</v>
      </c>
      <c r="K21" s="1175" t="s">
        <v>6574</v>
      </c>
      <c r="L21" s="1236"/>
    </row>
    <row r="22" ht="15.75" customHeight="1">
      <c r="A22" s="1375" t="s">
        <v>6362</v>
      </c>
      <c r="B22" s="1108" t="s">
        <v>5396</v>
      </c>
      <c r="C22" s="1175" t="s">
        <v>7338</v>
      </c>
      <c r="D22" s="1175" t="s">
        <v>8082</v>
      </c>
      <c r="E22" s="1175" t="s">
        <v>8083</v>
      </c>
      <c r="F22" s="1175" t="s">
        <v>8084</v>
      </c>
      <c r="G22" s="1515" t="s">
        <v>8085</v>
      </c>
      <c r="H22" s="1516" t="s">
        <v>8087</v>
      </c>
      <c r="I22" s="1518" t="s">
        <v>8089</v>
      </c>
      <c r="J22" s="1519" t="s">
        <v>8091</v>
      </c>
      <c r="K22" s="1175" t="s">
        <v>6390</v>
      </c>
      <c r="L22" s="1236"/>
    </row>
    <row r="23">
      <c r="A23" s="1365" t="s">
        <v>5868</v>
      </c>
      <c r="B23" s="1357" t="s">
        <v>5444</v>
      </c>
      <c r="C23" s="1175" t="s">
        <v>8094</v>
      </c>
      <c r="D23" s="1175" t="s">
        <v>8095</v>
      </c>
      <c r="E23" s="1175" t="s">
        <v>8096</v>
      </c>
      <c r="F23" s="1175" t="s">
        <v>8098</v>
      </c>
      <c r="G23" s="1511" t="s">
        <v>8099</v>
      </c>
      <c r="H23" s="1511" t="s">
        <v>8101</v>
      </c>
      <c r="I23" s="1511" t="s">
        <v>8103</v>
      </c>
      <c r="J23" s="1511" t="s">
        <v>8105</v>
      </c>
      <c r="K23" s="1175" t="s">
        <v>8106</v>
      </c>
      <c r="L23" s="1236" t="s">
        <v>8107</v>
      </c>
    </row>
    <row r="24" ht="15.75" customHeight="1">
      <c r="A24" s="634" t="s">
        <v>78</v>
      </c>
      <c r="B24" s="1203" t="s">
        <v>5444</v>
      </c>
      <c r="C24" s="1175" t="s">
        <v>8108</v>
      </c>
      <c r="D24" s="1402" t="s">
        <v>7766</v>
      </c>
      <c r="E24" s="1402" t="s">
        <v>7767</v>
      </c>
      <c r="F24" s="1402" t="s">
        <v>7770</v>
      </c>
      <c r="G24" s="1533" t="s">
        <v>7771</v>
      </c>
      <c r="H24" s="1534" t="s">
        <v>7772</v>
      </c>
      <c r="I24" s="1535" t="s">
        <v>7773</v>
      </c>
      <c r="J24" s="1536" t="s">
        <v>7774</v>
      </c>
      <c r="K24" s="1402" t="s">
        <v>6320</v>
      </c>
      <c r="L24" s="1236" t="s">
        <v>8132</v>
      </c>
    </row>
    <row r="25" ht="15.75" customHeight="1">
      <c r="A25" s="1239" t="s">
        <v>4750</v>
      </c>
      <c r="B25" s="1203" t="s">
        <v>5482</v>
      </c>
      <c r="C25" s="1386" t="s">
        <v>7407</v>
      </c>
      <c r="D25" s="1386" t="s">
        <v>7777</v>
      </c>
      <c r="E25" s="1386" t="s">
        <v>7779</v>
      </c>
      <c r="F25" s="1386" t="s">
        <v>7780</v>
      </c>
      <c r="G25" s="1538" t="s">
        <v>7782</v>
      </c>
      <c r="H25" s="1538" t="s">
        <v>7783</v>
      </c>
      <c r="I25" s="1538" t="s">
        <v>7785</v>
      </c>
      <c r="J25" s="1538" t="s">
        <v>7787</v>
      </c>
      <c r="K25" s="1386" t="s">
        <v>6320</v>
      </c>
      <c r="L25" s="1236"/>
    </row>
    <row r="26" ht="16.5" customHeight="1">
      <c r="A26" s="1239" t="s">
        <v>8135</v>
      </c>
      <c r="B26" s="1203" t="s">
        <v>5396</v>
      </c>
      <c r="C26" s="1417" t="s">
        <v>7383</v>
      </c>
      <c r="D26" s="1175" t="s">
        <v>8137</v>
      </c>
      <c r="E26" s="1175" t="s">
        <v>8139</v>
      </c>
      <c r="F26" s="1175" t="s">
        <v>8141</v>
      </c>
      <c r="G26" s="1515" t="s">
        <v>8085</v>
      </c>
      <c r="H26" s="1516" t="s">
        <v>8142</v>
      </c>
      <c r="I26" s="1518" t="s">
        <v>8144</v>
      </c>
      <c r="J26" s="1519" t="s">
        <v>8145</v>
      </c>
      <c r="K26" s="1175" t="s">
        <v>7290</v>
      </c>
      <c r="L26" s="1236"/>
    </row>
    <row r="27" ht="15.75" customHeight="1">
      <c r="A27" s="1239" t="s">
        <v>2496</v>
      </c>
      <c r="B27" s="1203" t="s">
        <v>5396</v>
      </c>
      <c r="C27" s="1175" t="s">
        <v>8148</v>
      </c>
      <c r="D27" s="1175" t="s">
        <v>8149</v>
      </c>
      <c r="E27" s="1175" t="s">
        <v>8150</v>
      </c>
      <c r="F27" s="1175" t="s">
        <v>8153</v>
      </c>
      <c r="G27" s="1511" t="s">
        <v>8154</v>
      </c>
      <c r="H27" s="1511" t="s">
        <v>8155</v>
      </c>
      <c r="I27" s="1511" t="s">
        <v>8156</v>
      </c>
      <c r="J27" s="1511" t="s">
        <v>8157</v>
      </c>
      <c r="K27" s="1175" t="s">
        <v>8159</v>
      </c>
      <c r="L27" s="1236" t="s">
        <v>8160</v>
      </c>
    </row>
    <row r="28">
      <c r="A28" s="1422" t="s">
        <v>4115</v>
      </c>
      <c r="B28" s="1383" t="s">
        <v>5444</v>
      </c>
      <c r="C28" s="1528" t="s">
        <v>8161</v>
      </c>
      <c r="D28" s="1175"/>
      <c r="E28" s="1175" t="s">
        <v>8163</v>
      </c>
      <c r="F28" s="1175" t="s">
        <v>8165</v>
      </c>
      <c r="G28" s="1515"/>
      <c r="H28" s="1516"/>
      <c r="I28" s="1518"/>
      <c r="J28" s="1519"/>
      <c r="K28" s="1175" t="s">
        <v>7656</v>
      </c>
      <c r="L28" s="1236"/>
    </row>
    <row r="29" ht="15.75" customHeight="1">
      <c r="A29" s="1239" t="s">
        <v>89</v>
      </c>
      <c r="B29" s="1203" t="s">
        <v>5396</v>
      </c>
      <c r="C29" s="1528" t="s">
        <v>8173</v>
      </c>
      <c r="D29" s="1175" t="s">
        <v>8174</v>
      </c>
      <c r="E29" s="1175" t="s">
        <v>8176</v>
      </c>
      <c r="F29" s="1175" t="s">
        <v>8177</v>
      </c>
      <c r="G29" s="1511" t="s">
        <v>8179</v>
      </c>
      <c r="H29" s="1511" t="s">
        <v>8181</v>
      </c>
      <c r="I29" s="1511" t="s">
        <v>8182</v>
      </c>
      <c r="J29" s="1511" t="s">
        <v>8183</v>
      </c>
      <c r="K29" s="1175" t="s">
        <v>7251</v>
      </c>
      <c r="L29" s="1236" t="s">
        <v>8186</v>
      </c>
    </row>
    <row r="30" ht="15.75" customHeight="1">
      <c r="A30" s="634" t="s">
        <v>490</v>
      </c>
      <c r="B30" s="1384" t="s">
        <v>5444</v>
      </c>
      <c r="C30" s="1402" t="s">
        <v>7417</v>
      </c>
      <c r="D30" s="1175" t="s">
        <v>8189</v>
      </c>
      <c r="E30" s="1175" t="s">
        <v>8190</v>
      </c>
      <c r="F30" s="1175" t="s">
        <v>8192</v>
      </c>
      <c r="G30" s="1515" t="s">
        <v>8194</v>
      </c>
      <c r="H30" s="1516" t="s">
        <v>8196</v>
      </c>
      <c r="I30" s="1518" t="s">
        <v>8197</v>
      </c>
      <c r="J30" s="1519" t="s">
        <v>8198</v>
      </c>
      <c r="K30" s="1175" t="s">
        <v>7216</v>
      </c>
      <c r="L30" s="1236"/>
    </row>
    <row r="31" ht="15.75" customHeight="1">
      <c r="A31" s="1239" t="s">
        <v>132</v>
      </c>
      <c r="B31" s="1203" t="s">
        <v>5396</v>
      </c>
      <c r="C31" s="1528" t="s">
        <v>8201</v>
      </c>
      <c r="D31" s="1175" t="s">
        <v>8202</v>
      </c>
      <c r="E31" s="1175" t="s">
        <v>8205</v>
      </c>
      <c r="F31" s="1175" t="s">
        <v>8207</v>
      </c>
      <c r="G31" s="1511" t="s">
        <v>8210</v>
      </c>
      <c r="H31" s="1511" t="s">
        <v>8222</v>
      </c>
      <c r="I31" s="1511" t="s">
        <v>8224</v>
      </c>
      <c r="J31" s="1511" t="s">
        <v>8228</v>
      </c>
      <c r="K31" s="1175" t="s">
        <v>8231</v>
      </c>
      <c r="L31" s="1236" t="s">
        <v>8233</v>
      </c>
    </row>
    <row r="32" ht="15.75" customHeight="1">
      <c r="A32" s="1239" t="s">
        <v>3748</v>
      </c>
      <c r="B32" s="1203" t="s">
        <v>5444</v>
      </c>
      <c r="C32" s="1528" t="s">
        <v>7563</v>
      </c>
      <c r="D32" s="1175" t="s">
        <v>8243</v>
      </c>
      <c r="E32" s="1175" t="s">
        <v>8244</v>
      </c>
      <c r="F32" s="1175" t="s">
        <v>8247</v>
      </c>
      <c r="G32" s="1515" t="s">
        <v>8250</v>
      </c>
      <c r="H32" s="1516" t="s">
        <v>8253</v>
      </c>
      <c r="I32" s="1518" t="s">
        <v>8257</v>
      </c>
      <c r="J32" s="1519" t="s">
        <v>8259</v>
      </c>
      <c r="K32" s="1175" t="s">
        <v>8261</v>
      </c>
      <c r="L32" s="1236" t="s">
        <v>8262</v>
      </c>
    </row>
    <row r="33" ht="15.75" customHeight="1">
      <c r="A33" s="634" t="s">
        <v>3888</v>
      </c>
      <c r="B33" s="1423" t="s">
        <v>7575</v>
      </c>
      <c r="C33" s="1540" t="s">
        <v>8265</v>
      </c>
      <c r="D33" s="1426" t="s">
        <v>8275</v>
      </c>
      <c r="E33" s="1426" t="s">
        <v>8279</v>
      </c>
      <c r="F33" s="1426" t="s">
        <v>8283</v>
      </c>
      <c r="G33" s="1542" t="s">
        <v>8287</v>
      </c>
      <c r="H33" s="1542" t="s">
        <v>8293</v>
      </c>
      <c r="I33" s="1542" t="s">
        <v>8296</v>
      </c>
      <c r="J33" s="1542" t="s">
        <v>8299</v>
      </c>
      <c r="K33" s="1426" t="s">
        <v>8302</v>
      </c>
      <c r="L33" s="1236" t="s">
        <v>8303</v>
      </c>
    </row>
    <row r="34" ht="15.75" customHeight="1">
      <c r="A34" s="1239" t="s">
        <v>3872</v>
      </c>
      <c r="B34" s="1423" t="s">
        <v>7575</v>
      </c>
      <c r="C34" s="1544" t="s">
        <v>8305</v>
      </c>
      <c r="D34" s="1403" t="s">
        <v>8307</v>
      </c>
      <c r="E34" s="1403" t="s">
        <v>8308</v>
      </c>
      <c r="F34" s="1403" t="s">
        <v>8309</v>
      </c>
      <c r="G34" s="1545" t="s">
        <v>8310</v>
      </c>
      <c r="K34" s="1403" t="s">
        <v>8313</v>
      </c>
      <c r="L34" s="1236" t="s">
        <v>8314</v>
      </c>
    </row>
    <row r="35" ht="15.75" customHeight="1">
      <c r="A35" s="634" t="s">
        <v>94</v>
      </c>
      <c r="B35" s="1203" t="s">
        <v>5396</v>
      </c>
      <c r="C35" s="1528" t="s">
        <v>7591</v>
      </c>
      <c r="D35" s="1175" t="s">
        <v>8315</v>
      </c>
      <c r="E35" s="1175" t="s">
        <v>8316</v>
      </c>
      <c r="F35" s="1175" t="s">
        <v>8317</v>
      </c>
      <c r="G35" s="1511" t="s">
        <v>8318</v>
      </c>
      <c r="H35" s="1511" t="s">
        <v>8319</v>
      </c>
      <c r="I35" s="1511" t="s">
        <v>8320</v>
      </c>
      <c r="J35" s="1511" t="s">
        <v>8321</v>
      </c>
      <c r="K35" s="1175" t="s">
        <v>8323</v>
      </c>
      <c r="L35" s="1236"/>
    </row>
    <row r="36">
      <c r="A36" s="1365"/>
      <c r="B36" s="1366"/>
      <c r="C36" s="1546"/>
      <c r="D36" s="1175"/>
      <c r="E36" s="1175"/>
      <c r="F36" s="1175"/>
      <c r="G36" s="1515"/>
      <c r="H36" s="1516"/>
      <c r="I36" s="1518"/>
      <c r="J36" s="1519"/>
      <c r="K36" s="1175"/>
      <c r="L36" s="1236"/>
    </row>
    <row r="37" ht="15.75" customHeight="1">
      <c r="A37" s="1239"/>
      <c r="B37" s="1434"/>
      <c r="C37" s="1546"/>
      <c r="D37" s="1175"/>
      <c r="E37" s="1175"/>
      <c r="F37" s="1175"/>
      <c r="G37" s="1511"/>
      <c r="H37" s="1511"/>
      <c r="I37" s="1511"/>
      <c r="J37" s="1511"/>
      <c r="K37" s="1175"/>
      <c r="L37" s="1236"/>
    </row>
    <row r="38" ht="15.75" customHeight="1">
      <c r="A38" s="634"/>
      <c r="B38" s="1237"/>
      <c r="C38" s="1546"/>
      <c r="D38" s="1175"/>
      <c r="E38" s="1175"/>
      <c r="F38" s="1175"/>
      <c r="G38" s="1515"/>
      <c r="H38" s="1516"/>
      <c r="I38" s="1518"/>
      <c r="J38" s="1519"/>
      <c r="K38" s="1175"/>
      <c r="L38" s="1236"/>
    </row>
    <row r="39">
      <c r="A39" s="1422"/>
      <c r="B39" s="1383"/>
      <c r="C39" s="1546"/>
      <c r="D39" s="1175"/>
      <c r="E39" s="1175"/>
      <c r="F39" s="1175"/>
      <c r="G39" s="1511"/>
      <c r="H39" s="1511"/>
      <c r="I39" s="1511"/>
      <c r="J39" s="1511"/>
      <c r="K39" s="1175"/>
      <c r="L39" s="1236"/>
    </row>
    <row r="40" ht="15.75" customHeight="1">
      <c r="A40" s="1391"/>
      <c r="B40" s="1237"/>
      <c r="C40" s="1546"/>
      <c r="D40" s="1175"/>
      <c r="E40" s="1175"/>
      <c r="F40" s="1175"/>
      <c r="G40" s="1515"/>
      <c r="H40" s="1516"/>
      <c r="I40" s="1518"/>
      <c r="J40" s="1519"/>
      <c r="K40" s="1175"/>
      <c r="L40" s="1236"/>
    </row>
    <row r="41">
      <c r="A41" s="1239"/>
      <c r="B41" s="1547"/>
      <c r="C41" s="1546"/>
      <c r="D41" s="1175"/>
      <c r="E41" s="1175"/>
      <c r="F41" s="1175"/>
      <c r="G41" s="1511"/>
      <c r="H41" s="1511"/>
      <c r="I41" s="1511"/>
      <c r="J41" s="1511"/>
      <c r="K41" s="1175"/>
      <c r="L41" s="1236"/>
    </row>
    <row r="42" ht="15.75" customHeight="1">
      <c r="A42" s="1375"/>
      <c r="B42" s="1237"/>
      <c r="C42" s="1546"/>
      <c r="D42" s="1175"/>
      <c r="E42" s="1175"/>
      <c r="F42" s="1175"/>
      <c r="G42" s="1515"/>
      <c r="H42" s="1516"/>
      <c r="I42" s="1518"/>
      <c r="J42" s="1519"/>
      <c r="K42" s="1175"/>
      <c r="L42" s="1236"/>
    </row>
    <row r="43" ht="15.75" customHeight="1">
      <c r="A43" s="1391"/>
      <c r="B43" s="1108"/>
      <c r="C43" s="1546"/>
      <c r="D43" s="1175"/>
      <c r="E43" s="1175"/>
      <c r="F43" s="1175"/>
      <c r="G43" s="1511"/>
      <c r="H43" s="1511"/>
      <c r="I43" s="1511"/>
      <c r="J43" s="1511"/>
      <c r="K43" s="1175"/>
      <c r="L43" s="1236"/>
    </row>
    <row r="44">
      <c r="A44" s="1365"/>
      <c r="B44" s="1366"/>
      <c r="C44" s="1546"/>
      <c r="D44" s="1175"/>
      <c r="E44" s="1175"/>
      <c r="F44" s="1175"/>
      <c r="G44" s="1515"/>
      <c r="H44" s="1516"/>
      <c r="I44" s="1518"/>
      <c r="J44" s="1519"/>
      <c r="K44" s="1175"/>
      <c r="L44" s="1236"/>
    </row>
    <row r="45" ht="15.75" customHeight="1">
      <c r="A45" s="1391"/>
      <c r="B45" s="1108"/>
      <c r="C45" s="1546"/>
      <c r="D45" s="1175"/>
      <c r="E45" s="1175"/>
      <c r="F45" s="1175"/>
      <c r="G45" s="1511"/>
      <c r="H45" s="1511"/>
      <c r="I45" s="1511"/>
      <c r="J45" s="1511"/>
      <c r="K45" s="1175"/>
      <c r="L45" s="1236"/>
    </row>
    <row r="46" ht="15.75" customHeight="1">
      <c r="A46" s="1375"/>
      <c r="B46" s="1108"/>
      <c r="C46" s="1546"/>
      <c r="D46" s="1175"/>
      <c r="E46" s="1175"/>
      <c r="F46" s="1175"/>
      <c r="G46" s="1515"/>
      <c r="H46" s="1516"/>
      <c r="I46" s="1518"/>
      <c r="J46" s="1519"/>
      <c r="K46" s="1175"/>
      <c r="L46" s="1236"/>
    </row>
    <row r="47" ht="15.75" customHeight="1">
      <c r="A47" s="1391"/>
      <c r="B47" s="1237"/>
      <c r="C47" s="1546"/>
      <c r="D47" s="1175"/>
      <c r="E47" s="1175"/>
      <c r="F47" s="1175"/>
      <c r="G47" s="1511"/>
      <c r="H47" s="1511"/>
      <c r="I47" s="1511"/>
      <c r="J47" s="1511"/>
      <c r="K47" s="1175"/>
      <c r="L47" s="1236"/>
    </row>
    <row r="48" ht="15.0" customHeight="1">
      <c r="A48" s="1375"/>
      <c r="B48" s="1237"/>
      <c r="C48" s="1546"/>
      <c r="D48" s="1175"/>
      <c r="E48" s="1175"/>
      <c r="F48" s="1175"/>
      <c r="G48" s="1515"/>
      <c r="H48" s="1516"/>
      <c r="I48" s="1518"/>
      <c r="J48" s="1519"/>
      <c r="K48" s="1175"/>
      <c r="L48" s="1236"/>
    </row>
    <row r="49" ht="15.75" customHeight="1">
      <c r="A49" s="1239"/>
      <c r="B49" s="1203"/>
      <c r="C49" s="1546"/>
      <c r="D49" s="1175"/>
      <c r="E49" s="1175"/>
      <c r="F49" s="1175"/>
      <c r="G49" s="1511"/>
      <c r="H49" s="1511"/>
      <c r="I49" s="1511"/>
      <c r="J49" s="1511"/>
      <c r="K49" s="1175"/>
      <c r="L49" s="1236"/>
    </row>
    <row r="50" ht="15.75" customHeight="1">
      <c r="A50" s="1391"/>
      <c r="B50" s="1434"/>
      <c r="C50" s="1546"/>
      <c r="D50" s="1175"/>
      <c r="E50" s="1175"/>
      <c r="F50" s="1175"/>
      <c r="G50" s="1515"/>
      <c r="H50" s="1516"/>
      <c r="I50" s="1518"/>
      <c r="J50" s="1519"/>
      <c r="K50" s="1175"/>
      <c r="L50" s="1236"/>
    </row>
    <row r="51">
      <c r="A51" s="1422"/>
      <c r="B51" s="1383"/>
      <c r="C51" s="1546"/>
      <c r="D51" s="1175"/>
      <c r="E51" s="1175"/>
      <c r="F51" s="1175"/>
      <c r="G51" s="1511"/>
      <c r="H51" s="1511"/>
      <c r="I51" s="1511"/>
      <c r="J51" s="1511"/>
      <c r="K51" s="1175"/>
      <c r="L51" s="1236"/>
    </row>
    <row r="52" ht="15.75" customHeight="1">
      <c r="A52" s="1375"/>
      <c r="B52" s="1108"/>
      <c r="C52" s="1546"/>
      <c r="D52" s="1175"/>
      <c r="E52" s="1175"/>
      <c r="F52" s="1175"/>
      <c r="G52" s="1515"/>
      <c r="H52" s="1516"/>
      <c r="I52" s="1518"/>
      <c r="J52" s="1519"/>
      <c r="K52" s="1175"/>
      <c r="L52" s="1236"/>
    </row>
    <row r="53" ht="15.75" customHeight="1">
      <c r="A53" s="1391"/>
      <c r="B53" s="1108"/>
      <c r="C53" s="1546"/>
      <c r="D53" s="1175"/>
      <c r="E53" s="1175"/>
      <c r="F53" s="1175"/>
      <c r="G53" s="1511"/>
      <c r="H53" s="1511"/>
      <c r="I53" s="1511"/>
      <c r="J53" s="1511"/>
      <c r="K53" s="1175"/>
      <c r="L53" s="1236"/>
    </row>
    <row r="54" ht="15.75" customHeight="1">
      <c r="A54" s="1365"/>
      <c r="B54" s="1366"/>
      <c r="C54" s="1546"/>
      <c r="D54" s="1175"/>
      <c r="E54" s="1175"/>
      <c r="F54" s="1175"/>
      <c r="G54" s="1515"/>
      <c r="H54" s="1516"/>
      <c r="I54" s="1518"/>
      <c r="J54" s="1519"/>
      <c r="K54" s="1175"/>
      <c r="L54" s="1236"/>
    </row>
    <row r="55" ht="15.75" customHeight="1">
      <c r="A55" s="1375"/>
      <c r="B55" s="1237"/>
      <c r="C55" s="1546"/>
      <c r="D55" s="1175"/>
      <c r="E55" s="1175"/>
      <c r="F55" s="1175"/>
      <c r="G55" s="1511"/>
      <c r="H55" s="1511"/>
      <c r="I55" s="1511"/>
      <c r="J55" s="1511"/>
      <c r="K55" s="1175"/>
      <c r="L55" s="1236"/>
    </row>
    <row r="56" ht="15.75" customHeight="1">
      <c r="A56" s="1391"/>
      <c r="B56" s="1434"/>
      <c r="C56" s="1546"/>
      <c r="D56" s="1175"/>
      <c r="E56" s="1175"/>
      <c r="F56" s="1175"/>
      <c r="G56" s="1515"/>
      <c r="H56" s="1516"/>
      <c r="I56" s="1518"/>
      <c r="J56" s="1519"/>
      <c r="K56" s="1175"/>
      <c r="L56" s="1236"/>
    </row>
    <row r="57" ht="15.75" customHeight="1">
      <c r="A57" s="1365"/>
      <c r="B57" s="1203"/>
      <c r="C57" s="1546"/>
      <c r="D57" s="1175"/>
      <c r="E57" s="1175"/>
      <c r="F57" s="1175"/>
      <c r="G57" s="1511"/>
      <c r="H57" s="1511"/>
      <c r="I57" s="1511"/>
      <c r="J57" s="1511"/>
      <c r="K57" s="1175"/>
      <c r="L57" s="1236"/>
    </row>
    <row r="58" ht="15.75" customHeight="1">
      <c r="A58" s="1239"/>
      <c r="B58" s="1357"/>
      <c r="C58" s="1546"/>
      <c r="D58" s="1175"/>
      <c r="E58" s="1175"/>
      <c r="F58" s="1175"/>
      <c r="G58" s="1515"/>
      <c r="H58" s="1516"/>
      <c r="I58" s="1518"/>
      <c r="J58" s="1519"/>
      <c r="K58" s="1175"/>
      <c r="L58" s="1236"/>
    </row>
    <row r="59" ht="15.75" customHeight="1">
      <c r="A59" s="1365"/>
      <c r="B59" s="1366"/>
      <c r="C59" s="1546"/>
      <c r="D59" s="1175"/>
      <c r="E59" s="1175"/>
      <c r="F59" s="1175"/>
      <c r="G59" s="1511"/>
      <c r="H59" s="1511"/>
      <c r="I59" s="1511"/>
      <c r="J59" s="1511"/>
      <c r="K59" s="1175"/>
      <c r="L59" s="1236"/>
    </row>
    <row r="60" ht="15.75" customHeight="1">
      <c r="A60" s="1391"/>
      <c r="B60" s="1434"/>
      <c r="C60" s="1546"/>
      <c r="D60" s="1175"/>
      <c r="E60" s="1175"/>
      <c r="F60" s="1175"/>
      <c r="G60" s="1515"/>
      <c r="H60" s="1516"/>
      <c r="I60" s="1518"/>
      <c r="J60" s="1519"/>
      <c r="K60" s="1175"/>
      <c r="L60" s="1236"/>
    </row>
    <row r="61" ht="16.5" customHeight="1">
      <c r="A61" s="1375"/>
      <c r="B61" s="1434"/>
      <c r="C61" s="1546"/>
      <c r="D61" s="1175"/>
      <c r="E61" s="1175"/>
      <c r="F61" s="1175"/>
      <c r="G61" s="1511"/>
      <c r="H61" s="1511"/>
      <c r="I61" s="1511"/>
      <c r="J61" s="1511"/>
      <c r="K61" s="1175"/>
      <c r="L61" s="1236"/>
    </row>
    <row r="62">
      <c r="A62" s="1365"/>
      <c r="B62" s="1366"/>
      <c r="C62" s="1175"/>
      <c r="D62" s="1175"/>
      <c r="E62" s="1175"/>
      <c r="F62" s="1175"/>
      <c r="G62" s="1515"/>
      <c r="H62" s="1516"/>
      <c r="I62" s="1518"/>
      <c r="J62" s="1519"/>
      <c r="K62" s="1175"/>
      <c r="L62" s="1236"/>
    </row>
    <row r="63" ht="17.25" customHeight="1">
      <c r="A63" s="634"/>
      <c r="B63" s="1357"/>
      <c r="C63" s="1175"/>
      <c r="D63" s="1175"/>
      <c r="E63" s="1175"/>
      <c r="F63" s="1175"/>
      <c r="G63" s="1511"/>
      <c r="H63" s="1511"/>
      <c r="I63" s="1511"/>
      <c r="J63" s="1511"/>
      <c r="K63" s="1175"/>
      <c r="L63" s="1236"/>
    </row>
    <row r="64">
      <c r="A64" s="1422"/>
      <c r="B64" s="1384"/>
      <c r="C64" s="1175"/>
      <c r="D64" s="1175"/>
      <c r="E64" s="1175"/>
      <c r="F64" s="1175"/>
      <c r="G64" s="1515"/>
      <c r="H64" s="1516"/>
      <c r="I64" s="1518"/>
      <c r="J64" s="1519"/>
      <c r="K64" s="1175"/>
      <c r="L64" s="1236"/>
    </row>
    <row r="65">
      <c r="A65" s="1365"/>
      <c r="B65" s="1366"/>
      <c r="C65" s="1175"/>
      <c r="D65" s="1175"/>
      <c r="E65" s="1175"/>
      <c r="F65" s="1175"/>
      <c r="G65" s="1511"/>
      <c r="H65" s="1511"/>
      <c r="I65" s="1511"/>
      <c r="J65" s="1511"/>
      <c r="K65" s="1175"/>
      <c r="L65" s="1236"/>
    </row>
    <row r="66">
      <c r="A66" s="1391"/>
      <c r="B66" s="1237"/>
      <c r="C66" s="1175"/>
      <c r="D66" s="1175"/>
      <c r="E66" s="1175"/>
      <c r="F66" s="1175"/>
      <c r="G66" s="1515"/>
      <c r="H66" s="1516"/>
      <c r="I66" s="1518"/>
      <c r="J66" s="1519"/>
      <c r="K66" s="1175"/>
      <c r="L66" s="1236"/>
    </row>
    <row r="67">
      <c r="A67" s="1239"/>
      <c r="B67" s="1384"/>
      <c r="C67" s="1175"/>
      <c r="D67" s="1175"/>
      <c r="E67" s="1175"/>
      <c r="F67" s="1175"/>
      <c r="G67" s="1511"/>
      <c r="H67" s="1511"/>
      <c r="I67" s="1511"/>
      <c r="J67" s="1511"/>
      <c r="K67" s="1175"/>
      <c r="L67" s="1236"/>
    </row>
    <row r="68" ht="17.25" customHeight="1">
      <c r="A68" s="1422"/>
      <c r="B68" s="1237"/>
      <c r="C68" s="1175"/>
      <c r="D68" s="1175"/>
      <c r="E68" s="1175"/>
      <c r="F68" s="1175"/>
      <c r="G68" s="1515"/>
      <c r="H68" s="1516"/>
      <c r="I68" s="1518"/>
      <c r="J68" s="1519"/>
      <c r="K68" s="1175"/>
      <c r="L68" s="1236"/>
    </row>
    <row r="69">
      <c r="A69" s="1456"/>
      <c r="B69" s="1383"/>
      <c r="C69" s="1445"/>
      <c r="D69" s="1550"/>
      <c r="E69" s="1550"/>
      <c r="F69" s="1550"/>
      <c r="G69" s="1551"/>
      <c r="H69" s="1551"/>
      <c r="I69" s="1551"/>
      <c r="J69" s="1551"/>
      <c r="K69" s="1461"/>
      <c r="L69" s="1462"/>
    </row>
    <row r="70">
      <c r="A70" s="1442"/>
      <c r="B70" s="1443"/>
      <c r="C70" s="1445"/>
      <c r="D70" s="1552"/>
      <c r="E70" s="1447"/>
      <c r="F70" s="1448"/>
      <c r="G70" s="1553"/>
      <c r="H70" s="1554"/>
      <c r="I70" s="1555"/>
      <c r="J70" s="1556"/>
      <c r="K70" s="1454"/>
      <c r="L70" s="1455"/>
    </row>
    <row r="71">
      <c r="A71" s="1456"/>
      <c r="B71" s="1457"/>
      <c r="C71" s="1445"/>
      <c r="D71" s="1460"/>
      <c r="E71" s="1460"/>
      <c r="F71" s="1460"/>
      <c r="G71" s="1551"/>
      <c r="H71" s="1551"/>
      <c r="I71" s="1551"/>
      <c r="J71" s="1551"/>
      <c r="K71" s="1461"/>
      <c r="L71" s="1462"/>
    </row>
    <row r="72">
      <c r="A72" s="1442"/>
      <c r="B72" s="1443"/>
      <c r="C72" s="1445"/>
      <c r="D72" s="1552"/>
      <c r="E72" s="1447"/>
      <c r="F72" s="1448"/>
      <c r="G72" s="1553"/>
      <c r="H72" s="1554"/>
      <c r="I72" s="1555"/>
      <c r="J72" s="1556"/>
      <c r="K72" s="1454"/>
      <c r="L72" s="1455"/>
    </row>
    <row r="73">
      <c r="A73" s="1456"/>
      <c r="B73" s="1457"/>
      <c r="C73" s="1445"/>
      <c r="D73" s="1460"/>
      <c r="E73" s="1460"/>
      <c r="F73" s="1460"/>
      <c r="G73" s="1551"/>
      <c r="H73" s="1551"/>
      <c r="I73" s="1551"/>
      <c r="J73" s="1551"/>
      <c r="K73" s="1461"/>
      <c r="L73" s="1462"/>
    </row>
    <row r="74">
      <c r="A74" s="1442"/>
      <c r="B74" s="1443"/>
      <c r="C74" s="1445"/>
      <c r="D74" s="1552"/>
      <c r="E74" s="1447"/>
      <c r="F74" s="1448"/>
      <c r="G74" s="1553"/>
      <c r="H74" s="1554"/>
      <c r="I74" s="1555"/>
      <c r="J74" s="1556"/>
      <c r="K74" s="1454"/>
      <c r="L74" s="1455"/>
    </row>
    <row r="75">
      <c r="A75" s="1456"/>
      <c r="B75" s="1457"/>
      <c r="C75" s="1445"/>
      <c r="D75" s="1460"/>
      <c r="E75" s="1460"/>
      <c r="F75" s="1460"/>
      <c r="G75" s="1551"/>
      <c r="H75" s="1551"/>
      <c r="I75" s="1551"/>
      <c r="J75" s="1551"/>
      <c r="K75" s="1461"/>
      <c r="L75" s="1462"/>
    </row>
    <row r="76">
      <c r="A76" s="1442"/>
      <c r="B76" s="1443"/>
      <c r="C76" s="1445"/>
      <c r="D76" s="1552"/>
      <c r="E76" s="1447"/>
      <c r="F76" s="1448"/>
      <c r="G76" s="1553"/>
      <c r="H76" s="1554"/>
      <c r="I76" s="1555"/>
      <c r="J76" s="1556"/>
      <c r="K76" s="1454"/>
      <c r="L76" s="1455"/>
    </row>
    <row r="77">
      <c r="A77" s="1456"/>
      <c r="B77" s="1457"/>
      <c r="C77" s="1445"/>
      <c r="D77" s="1460"/>
      <c r="E77" s="1460"/>
      <c r="F77" s="1460"/>
      <c r="G77" s="1551"/>
      <c r="H77" s="1551"/>
      <c r="I77" s="1551"/>
      <c r="J77" s="1551"/>
      <c r="K77" s="1461"/>
      <c r="L77" s="1462"/>
    </row>
    <row r="78">
      <c r="A78" s="1442"/>
      <c r="B78" s="1443"/>
      <c r="C78" s="1445"/>
      <c r="D78" s="1552"/>
      <c r="E78" s="1447"/>
      <c r="F78" s="1448"/>
      <c r="G78" s="1553"/>
      <c r="H78" s="1554"/>
      <c r="I78" s="1555"/>
      <c r="J78" s="1556"/>
      <c r="K78" s="1454"/>
      <c r="L78" s="1455"/>
    </row>
    <row r="79">
      <c r="A79" s="1456"/>
      <c r="B79" s="1457"/>
      <c r="C79" s="1445"/>
      <c r="D79" s="1460"/>
      <c r="E79" s="1460"/>
      <c r="F79" s="1460"/>
      <c r="G79" s="1551"/>
      <c r="H79" s="1551"/>
      <c r="I79" s="1551"/>
      <c r="J79" s="1551"/>
      <c r="K79" s="1461"/>
      <c r="L79" s="1462"/>
    </row>
    <row r="80">
      <c r="A80" s="1442"/>
      <c r="B80" s="1443"/>
      <c r="C80" s="1445"/>
      <c r="D80" s="1552"/>
      <c r="E80" s="1447"/>
      <c r="F80" s="1448"/>
      <c r="G80" s="1553"/>
      <c r="H80" s="1554"/>
      <c r="I80" s="1555"/>
      <c r="J80" s="1556"/>
      <c r="K80" s="1454"/>
      <c r="L80" s="1455"/>
    </row>
    <row r="81">
      <c r="A81" s="1456"/>
      <c r="B81" s="1457"/>
      <c r="C81" s="1445"/>
      <c r="D81" s="1460"/>
      <c r="E81" s="1460"/>
      <c r="F81" s="1460"/>
      <c r="G81" s="1551"/>
      <c r="H81" s="1551"/>
      <c r="I81" s="1551"/>
      <c r="J81" s="1551"/>
      <c r="K81" s="1461"/>
      <c r="L81" s="1462"/>
    </row>
    <row r="82">
      <c r="A82" s="1442"/>
      <c r="B82" s="1443"/>
      <c r="C82" s="1445"/>
      <c r="D82" s="1552"/>
      <c r="E82" s="1447"/>
      <c r="F82" s="1448"/>
      <c r="G82" s="1553"/>
      <c r="H82" s="1554"/>
      <c r="I82" s="1555"/>
      <c r="J82" s="1556"/>
      <c r="K82" s="1454"/>
      <c r="L82" s="1455"/>
    </row>
    <row r="83">
      <c r="A83" s="1456"/>
      <c r="B83" s="1457"/>
      <c r="C83" s="1445"/>
      <c r="D83" s="1460"/>
      <c r="E83" s="1460"/>
      <c r="F83" s="1460"/>
      <c r="G83" s="1551"/>
      <c r="H83" s="1551"/>
      <c r="I83" s="1551"/>
      <c r="J83" s="1551"/>
      <c r="K83" s="1461"/>
      <c r="L83" s="1462"/>
    </row>
    <row r="84">
      <c r="A84" s="1442"/>
      <c r="B84" s="1443"/>
      <c r="C84" s="1445"/>
      <c r="D84" s="1552"/>
      <c r="E84" s="1447"/>
      <c r="F84" s="1448"/>
      <c r="G84" s="1553"/>
      <c r="H84" s="1554"/>
      <c r="I84" s="1555"/>
      <c r="J84" s="1556"/>
      <c r="K84" s="1454"/>
      <c r="L84" s="1455"/>
    </row>
    <row r="85">
      <c r="A85" s="1456"/>
      <c r="B85" s="1457"/>
      <c r="C85" s="1445"/>
      <c r="D85" s="1460"/>
      <c r="E85" s="1460"/>
      <c r="F85" s="1460"/>
      <c r="G85" s="1551"/>
      <c r="H85" s="1551"/>
      <c r="I85" s="1551"/>
      <c r="J85" s="1551"/>
      <c r="K85" s="1461"/>
      <c r="L85" s="1462"/>
    </row>
    <row r="86">
      <c r="A86" s="1442"/>
      <c r="B86" s="1443"/>
      <c r="C86" s="1445"/>
      <c r="D86" s="1552"/>
      <c r="E86" s="1447"/>
      <c r="F86" s="1448"/>
      <c r="G86" s="1553"/>
      <c r="H86" s="1554"/>
      <c r="I86" s="1555"/>
      <c r="J86" s="1556"/>
      <c r="K86" s="1454"/>
      <c r="L86" s="1455"/>
    </row>
    <row r="87">
      <c r="A87" s="1456"/>
      <c r="B87" s="1457"/>
      <c r="C87" s="1445"/>
      <c r="D87" s="1460"/>
      <c r="E87" s="1460"/>
      <c r="F87" s="1460"/>
      <c r="G87" s="1551"/>
      <c r="H87" s="1551"/>
      <c r="I87" s="1551"/>
      <c r="J87" s="1551"/>
      <c r="K87" s="1461"/>
      <c r="L87" s="1462"/>
    </row>
    <row r="88">
      <c r="A88" s="1442"/>
      <c r="B88" s="1443"/>
      <c r="C88" s="1445"/>
      <c r="D88" s="1552"/>
      <c r="E88" s="1447"/>
      <c r="F88" s="1448"/>
      <c r="G88" s="1553"/>
      <c r="H88" s="1554"/>
      <c r="I88" s="1555"/>
      <c r="J88" s="1556"/>
      <c r="K88" s="1454"/>
      <c r="L88" s="1455"/>
    </row>
    <row r="89">
      <c r="A89" s="1456"/>
      <c r="B89" s="1457"/>
      <c r="C89" s="1445"/>
      <c r="D89" s="1460"/>
      <c r="E89" s="1460"/>
      <c r="F89" s="1460"/>
      <c r="G89" s="1551"/>
      <c r="H89" s="1551"/>
      <c r="I89" s="1551"/>
      <c r="J89" s="1551"/>
      <c r="K89" s="1461"/>
      <c r="L89" s="1462"/>
    </row>
    <row r="90">
      <c r="A90" s="1442"/>
      <c r="B90" s="1443"/>
      <c r="C90" s="1445"/>
      <c r="D90" s="1552"/>
      <c r="E90" s="1447"/>
      <c r="F90" s="1448"/>
      <c r="G90" s="1553"/>
      <c r="H90" s="1554"/>
      <c r="I90" s="1555"/>
      <c r="J90" s="1556"/>
      <c r="K90" s="1454"/>
      <c r="L90" s="1455"/>
    </row>
    <row r="91">
      <c r="A91" s="1456"/>
      <c r="B91" s="1457"/>
      <c r="C91" s="1445"/>
      <c r="D91" s="1460"/>
      <c r="E91" s="1460"/>
      <c r="F91" s="1460"/>
      <c r="G91" s="1551"/>
      <c r="H91" s="1551"/>
      <c r="I91" s="1551"/>
      <c r="J91" s="1551"/>
      <c r="K91" s="1461"/>
      <c r="L91" s="1462"/>
    </row>
    <row r="92">
      <c r="A92" s="1442"/>
      <c r="B92" s="1443"/>
      <c r="C92" s="1445"/>
      <c r="D92" s="1552"/>
      <c r="E92" s="1447"/>
      <c r="F92" s="1448"/>
      <c r="G92" s="1553"/>
      <c r="H92" s="1554"/>
      <c r="I92" s="1555"/>
      <c r="J92" s="1556"/>
      <c r="K92" s="1454"/>
      <c r="L92" s="1455"/>
    </row>
    <row r="93">
      <c r="A93" s="1456"/>
      <c r="B93" s="1457"/>
      <c r="C93" s="1445"/>
      <c r="D93" s="1460"/>
      <c r="E93" s="1460"/>
      <c r="F93" s="1460"/>
      <c r="G93" s="1551"/>
      <c r="H93" s="1551"/>
      <c r="I93" s="1551"/>
      <c r="J93" s="1551"/>
      <c r="K93" s="1461"/>
      <c r="L93" s="1462"/>
    </row>
    <row r="94">
      <c r="A94" s="1442"/>
      <c r="B94" s="1443"/>
      <c r="C94" s="1445"/>
      <c r="D94" s="1552"/>
      <c r="E94" s="1447"/>
      <c r="F94" s="1448"/>
      <c r="G94" s="1553"/>
      <c r="H94" s="1554"/>
      <c r="I94" s="1555"/>
      <c r="J94" s="1556"/>
      <c r="K94" s="1454"/>
      <c r="L94" s="1455"/>
    </row>
    <row r="95">
      <c r="A95" s="1456"/>
      <c r="B95" s="1457"/>
      <c r="C95" s="1445"/>
      <c r="D95" s="1460"/>
      <c r="E95" s="1460"/>
      <c r="F95" s="1460"/>
      <c r="G95" s="1551"/>
      <c r="H95" s="1551"/>
      <c r="I95" s="1551"/>
      <c r="J95" s="1551"/>
      <c r="K95" s="1461"/>
      <c r="L95" s="1462"/>
    </row>
    <row r="96">
      <c r="A96" s="1442"/>
      <c r="B96" s="1443"/>
      <c r="C96" s="1445"/>
      <c r="D96" s="1552"/>
      <c r="E96" s="1447"/>
      <c r="F96" s="1448"/>
      <c r="G96" s="1553"/>
      <c r="H96" s="1554"/>
      <c r="I96" s="1555"/>
      <c r="J96" s="1556"/>
      <c r="K96" s="1454"/>
      <c r="L96" s="1455"/>
    </row>
    <row r="97">
      <c r="A97" s="1456"/>
      <c r="B97" s="1457"/>
      <c r="C97" s="1445"/>
      <c r="D97" s="1460"/>
      <c r="E97" s="1460"/>
      <c r="F97" s="1460"/>
      <c r="G97" s="1551"/>
      <c r="H97" s="1551"/>
      <c r="I97" s="1551"/>
      <c r="J97" s="1551"/>
      <c r="K97" s="1461"/>
      <c r="L97" s="1462"/>
    </row>
    <row r="98">
      <c r="A98" s="1442"/>
      <c r="B98" s="1443"/>
      <c r="C98" s="1450"/>
      <c r="D98" s="1552"/>
      <c r="E98" s="1447"/>
      <c r="F98" s="1448"/>
      <c r="G98" s="1553"/>
      <c r="H98" s="1554"/>
      <c r="I98" s="1555"/>
      <c r="J98" s="1556"/>
      <c r="K98" s="1454"/>
      <c r="L98" s="1455"/>
    </row>
    <row r="99">
      <c r="A99" s="1456"/>
      <c r="B99" s="1457"/>
      <c r="C99" s="1460"/>
      <c r="D99" s="1460"/>
      <c r="E99" s="1460"/>
      <c r="F99" s="1460"/>
      <c r="G99" s="1551"/>
      <c r="H99" s="1551"/>
      <c r="I99" s="1551"/>
      <c r="J99" s="1551"/>
      <c r="K99" s="1461"/>
      <c r="L99" s="1462"/>
    </row>
    <row r="100">
      <c r="A100" s="1442"/>
      <c r="B100" s="1443"/>
      <c r="C100" s="1450"/>
      <c r="D100" s="1552"/>
      <c r="E100" s="1447"/>
      <c r="F100" s="1448"/>
      <c r="G100" s="1553"/>
      <c r="H100" s="1554"/>
      <c r="I100" s="1555"/>
      <c r="J100" s="1556"/>
      <c r="K100" s="1454"/>
      <c r="L100" s="1455"/>
    </row>
  </sheetData>
  <mergeCells count="1">
    <mergeCell ref="G34:J34"/>
  </mergeCells>
  <conditionalFormatting sqref="B5:B40 B42:B100">
    <cfRule type="containsText" dxfId="21" priority="1" operator="containsText" text="NTSC-J">
      <formula>NOT(ISERROR(SEARCH(("NTSC-J"),(B5))))</formula>
    </cfRule>
  </conditionalFormatting>
  <conditionalFormatting sqref="B5:B40 B42:B100">
    <cfRule type="containsText" dxfId="22" priority="2" operator="containsText" text="NTSC-U">
      <formula>NOT(ISERROR(SEARCH(("NTSC-U"),(B5))))</formula>
    </cfRule>
  </conditionalFormatting>
  <conditionalFormatting sqref="B5:B40 B42:B100">
    <cfRule type="containsText" dxfId="23" priority="3" operator="containsText" text="PAL">
      <formula>NOT(ISERROR(SEARCH(("PAL"),(B5))))</formula>
    </cfRule>
  </conditionalFormatting>
  <hyperlinks>
    <hyperlink r:id="rId2" ref="C2"/>
    <hyperlink r:id="rId3" ref="D2"/>
    <hyperlink r:id="rId4" ref="E2"/>
    <hyperlink r:id="rId5" ref="F2"/>
    <hyperlink r:id="rId6" ref="G2"/>
    <hyperlink r:id="rId7" ref="H2"/>
    <hyperlink r:id="rId8" ref="I2"/>
    <hyperlink r:id="rId9" ref="J2"/>
    <hyperlink r:id="rId10" ref="C5"/>
    <hyperlink r:id="rId11" ref="D5"/>
    <hyperlink r:id="rId12" ref="E5"/>
    <hyperlink r:id="rId13" ref="F5"/>
    <hyperlink r:id="rId14" ref="G5"/>
    <hyperlink r:id="rId15" ref="H5"/>
    <hyperlink r:id="rId16" ref="I5"/>
    <hyperlink r:id="rId17" ref="J5"/>
    <hyperlink r:id="rId18" ref="C6"/>
    <hyperlink r:id="rId19" ref="D6"/>
    <hyperlink r:id="rId20" ref="E6"/>
    <hyperlink r:id="rId21" ref="F6"/>
    <hyperlink r:id="rId22" ref="G6"/>
    <hyperlink r:id="rId23" ref="H6"/>
    <hyperlink r:id="rId24" ref="I6"/>
    <hyperlink r:id="rId25" ref="J6"/>
    <hyperlink r:id="rId26" ref="K6"/>
    <hyperlink r:id="rId27" ref="E7"/>
    <hyperlink r:id="rId28" ref="F7"/>
    <hyperlink r:id="rId29" ref="G7"/>
    <hyperlink r:id="rId30" ref="H7"/>
    <hyperlink r:id="rId31" ref="F10"/>
    <hyperlink r:id="rId32" ref="G10"/>
    <hyperlink r:id="rId33" ref="H10"/>
    <hyperlink r:id="rId34" ref="I10"/>
    <hyperlink r:id="rId35" ref="J10"/>
  </hyperlinks>
  <drawing r:id="rId36"/>
  <legacyDrawing r:id="rId37"/>
  <tableParts count="14">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13"/>
    <col customWidth="1" min="2" max="2" width="9.0"/>
    <col customWidth="1" min="3" max="3" width="18.38"/>
    <col customWidth="1" min="4" max="4" width="11.5"/>
    <col customWidth="1" min="5" max="5" width="14.5"/>
    <col customWidth="1" min="6" max="6" width="15.75"/>
  </cols>
  <sheetData>
    <row r="1" ht="15.75" customHeight="1">
      <c r="A1" s="1562"/>
      <c r="B1" s="1563" t="s">
        <v>8439</v>
      </c>
      <c r="C1" s="1563" t="s">
        <v>43</v>
      </c>
      <c r="D1" s="1564" t="s">
        <v>8445</v>
      </c>
      <c r="E1" s="1563" t="s">
        <v>8450</v>
      </c>
      <c r="F1" s="1566" t="s">
        <v>8461</v>
      </c>
    </row>
    <row r="2">
      <c r="A2" s="1567"/>
      <c r="B2" s="1568"/>
      <c r="C2" s="1568"/>
      <c r="D2" s="1568"/>
      <c r="E2" s="1568"/>
      <c r="F2" s="1568"/>
    </row>
    <row r="3">
      <c r="A3" s="1567"/>
      <c r="B3" s="1568"/>
      <c r="C3" s="1568"/>
      <c r="D3" s="1568"/>
      <c r="E3" s="1568"/>
      <c r="F3" s="1568"/>
    </row>
    <row r="4">
      <c r="A4" s="1569" t="s">
        <v>8465</v>
      </c>
      <c r="B4" s="1570" t="s">
        <v>8469</v>
      </c>
      <c r="C4" s="1571"/>
      <c r="D4" s="1571"/>
      <c r="E4" s="1571"/>
      <c r="F4" s="1572"/>
    </row>
    <row r="5">
      <c r="A5" s="1568"/>
      <c r="B5" s="1573"/>
      <c r="C5" s="1574"/>
      <c r="D5" s="1574"/>
      <c r="E5" s="1574"/>
      <c r="F5" s="1575"/>
    </row>
    <row r="6">
      <c r="A6" s="1576" t="s">
        <v>8469</v>
      </c>
      <c r="B6" s="1578" t="s">
        <v>8479</v>
      </c>
      <c r="C6" s="1579" t="s">
        <v>6609</v>
      </c>
      <c r="D6" s="1580" t="s">
        <v>8522</v>
      </c>
      <c r="E6" s="1579" t="s">
        <v>8525</v>
      </c>
      <c r="F6" s="1581">
        <v>44233.0</v>
      </c>
    </row>
    <row r="7">
      <c r="A7" s="1576" t="s">
        <v>8529</v>
      </c>
      <c r="B7" s="1582" t="s">
        <v>8531</v>
      </c>
      <c r="C7" s="1579" t="s">
        <v>274</v>
      </c>
      <c r="D7" s="1580" t="s">
        <v>8533</v>
      </c>
      <c r="E7" s="1579" t="s">
        <v>8525</v>
      </c>
      <c r="F7" s="1581">
        <v>43878.0</v>
      </c>
    </row>
    <row r="8">
      <c r="A8" s="1576" t="s">
        <v>8538</v>
      </c>
      <c r="B8" s="1583" t="s">
        <v>8539</v>
      </c>
      <c r="C8" s="1579" t="s">
        <v>984</v>
      </c>
      <c r="D8" s="1580" t="s">
        <v>8542</v>
      </c>
      <c r="E8" s="1579" t="s">
        <v>8525</v>
      </c>
      <c r="F8" s="1581">
        <v>43879.0</v>
      </c>
    </row>
    <row r="9">
      <c r="A9" s="1576" t="s">
        <v>8551</v>
      </c>
      <c r="B9" s="1584" t="s">
        <v>8552</v>
      </c>
      <c r="C9" s="1579" t="s">
        <v>96</v>
      </c>
      <c r="D9" s="1580" t="s">
        <v>8556</v>
      </c>
      <c r="E9" s="1579" t="s">
        <v>8564</v>
      </c>
      <c r="F9" s="1581">
        <v>44084.0</v>
      </c>
    </row>
    <row r="10">
      <c r="A10" s="1576" t="s">
        <v>8567</v>
      </c>
      <c r="B10" s="1584" t="s">
        <v>8568</v>
      </c>
      <c r="C10" s="1585"/>
      <c r="D10" s="1586"/>
      <c r="E10" s="1585"/>
      <c r="F10" s="1585"/>
    </row>
    <row r="11">
      <c r="A11" s="1576" t="s">
        <v>8574</v>
      </c>
      <c r="B11" s="1570" t="s">
        <v>8529</v>
      </c>
      <c r="C11" s="1571"/>
      <c r="D11" s="1571"/>
      <c r="E11" s="1571"/>
      <c r="F11" s="1572"/>
    </row>
    <row r="12">
      <c r="A12" s="1576" t="s">
        <v>8582</v>
      </c>
      <c r="B12" s="1573"/>
      <c r="C12" s="1574"/>
      <c r="D12" s="1574"/>
      <c r="E12" s="1574"/>
      <c r="F12" s="1575"/>
    </row>
    <row r="13">
      <c r="A13" s="1576" t="s">
        <v>8584</v>
      </c>
      <c r="B13" s="1578" t="s">
        <v>8479</v>
      </c>
      <c r="C13" s="1579" t="s">
        <v>6609</v>
      </c>
      <c r="D13" s="1580" t="s">
        <v>8586</v>
      </c>
      <c r="E13" s="1579" t="s">
        <v>8525</v>
      </c>
      <c r="F13" s="1581">
        <v>44250.0</v>
      </c>
    </row>
    <row r="14" ht="15.75" customHeight="1">
      <c r="A14" s="1576" t="s">
        <v>8595</v>
      </c>
      <c r="B14" s="1582" t="s">
        <v>8531</v>
      </c>
      <c r="C14" s="1579" t="s">
        <v>123</v>
      </c>
      <c r="D14" s="1580" t="s">
        <v>8598</v>
      </c>
      <c r="E14" s="1579" t="s">
        <v>8525</v>
      </c>
      <c r="F14" s="1581">
        <v>43364.0</v>
      </c>
    </row>
    <row r="15">
      <c r="A15" s="1576" t="s">
        <v>8607</v>
      </c>
      <c r="B15" s="1583" t="s">
        <v>8539</v>
      </c>
      <c r="C15" s="1579" t="s">
        <v>8609</v>
      </c>
      <c r="D15" s="1580" t="s">
        <v>8611</v>
      </c>
      <c r="E15" s="1579" t="s">
        <v>8564</v>
      </c>
      <c r="F15" s="1581">
        <v>43757.0</v>
      </c>
    </row>
    <row r="16">
      <c r="A16" s="1576" t="s">
        <v>8616</v>
      </c>
      <c r="B16" s="1584" t="s">
        <v>8552</v>
      </c>
      <c r="C16" s="1579" t="s">
        <v>8617</v>
      </c>
      <c r="D16" s="1580" t="s">
        <v>8618</v>
      </c>
      <c r="E16" s="1579" t="s">
        <v>8564</v>
      </c>
      <c r="F16" s="1581">
        <v>43438.0</v>
      </c>
    </row>
    <row r="17">
      <c r="A17" s="1576" t="s">
        <v>8624</v>
      </c>
      <c r="B17" s="1584" t="s">
        <v>8568</v>
      </c>
      <c r="C17" s="1585"/>
      <c r="D17" s="1586"/>
      <c r="E17" s="1585"/>
      <c r="F17" s="1585"/>
    </row>
    <row r="18">
      <c r="A18" s="1576" t="s">
        <v>8626</v>
      </c>
      <c r="B18" s="1570" t="s">
        <v>8538</v>
      </c>
      <c r="C18" s="1571"/>
      <c r="D18" s="1571"/>
      <c r="E18" s="1571"/>
      <c r="F18" s="1572"/>
    </row>
    <row r="19">
      <c r="A19" s="1587"/>
      <c r="B19" s="1573"/>
      <c r="C19" s="1574"/>
      <c r="D19" s="1574"/>
      <c r="E19" s="1574"/>
      <c r="F19" s="1575"/>
    </row>
    <row r="20">
      <c r="A20" s="1587"/>
      <c r="B20" s="1588" t="s">
        <v>8632</v>
      </c>
      <c r="C20" s="1571"/>
      <c r="D20" s="1571"/>
      <c r="E20" s="1571"/>
      <c r="F20" s="1572"/>
    </row>
    <row r="21">
      <c r="A21" s="1589"/>
      <c r="B21" s="1573"/>
      <c r="C21" s="1574"/>
      <c r="D21" s="1574"/>
      <c r="E21" s="1574"/>
      <c r="F21" s="1575"/>
    </row>
    <row r="22">
      <c r="A22" s="1589"/>
      <c r="B22" s="1578" t="s">
        <v>8479</v>
      </c>
      <c r="C22" s="1590" t="s">
        <v>305</v>
      </c>
      <c r="D22" s="1580" t="s">
        <v>8633</v>
      </c>
      <c r="E22" s="1579" t="s">
        <v>8525</v>
      </c>
      <c r="F22" s="1581">
        <v>43659.0</v>
      </c>
    </row>
    <row r="23">
      <c r="A23" s="1589"/>
      <c r="B23" s="1582" t="s">
        <v>8531</v>
      </c>
      <c r="C23" s="1579" t="s">
        <v>141</v>
      </c>
      <c r="D23" s="1580" t="s">
        <v>8638</v>
      </c>
      <c r="E23" s="1579" t="s">
        <v>8525</v>
      </c>
      <c r="F23" s="1581">
        <v>43228.0</v>
      </c>
    </row>
    <row r="24">
      <c r="A24" s="1589"/>
      <c r="B24" s="1583" t="s">
        <v>8539</v>
      </c>
      <c r="C24" s="1585"/>
      <c r="D24" s="1593"/>
      <c r="E24" s="1585"/>
      <c r="F24" s="1585"/>
    </row>
    <row r="25">
      <c r="A25" s="1589"/>
      <c r="B25" s="1584" t="s">
        <v>8552</v>
      </c>
      <c r="C25" s="1585"/>
      <c r="D25" s="1593"/>
      <c r="E25" s="1585"/>
      <c r="F25" s="1585"/>
    </row>
    <row r="26">
      <c r="A26" s="1589"/>
      <c r="B26" s="1584" t="s">
        <v>8568</v>
      </c>
      <c r="C26" s="1579"/>
      <c r="D26" s="1594"/>
      <c r="E26" s="1579"/>
      <c r="F26" s="1579"/>
    </row>
    <row r="27">
      <c r="A27" s="1589"/>
      <c r="B27" s="1588" t="s">
        <v>8644</v>
      </c>
      <c r="C27" s="1571"/>
      <c r="D27" s="1571"/>
      <c r="E27" s="1571"/>
      <c r="F27" s="1572"/>
    </row>
    <row r="28">
      <c r="A28" s="1589"/>
      <c r="B28" s="1573"/>
      <c r="C28" s="1574"/>
      <c r="D28" s="1574"/>
      <c r="E28" s="1574"/>
      <c r="F28" s="1575"/>
    </row>
    <row r="29">
      <c r="A29" s="1589"/>
      <c r="B29" s="1578" t="s">
        <v>8479</v>
      </c>
      <c r="C29" s="1579" t="s">
        <v>141</v>
      </c>
      <c r="D29" s="1580" t="s">
        <v>8651</v>
      </c>
      <c r="E29" s="1579" t="s">
        <v>8525</v>
      </c>
      <c r="F29" s="1581">
        <v>43352.0</v>
      </c>
    </row>
    <row r="30">
      <c r="A30" s="1589"/>
      <c r="B30" s="1582" t="s">
        <v>8531</v>
      </c>
      <c r="C30" s="1579" t="s">
        <v>8653</v>
      </c>
      <c r="D30" s="1580" t="s">
        <v>8654</v>
      </c>
      <c r="E30" s="1579" t="s">
        <v>8525</v>
      </c>
      <c r="F30" s="1581">
        <v>43799.0</v>
      </c>
    </row>
    <row r="31">
      <c r="A31" s="1589"/>
      <c r="B31" s="1583" t="s">
        <v>8539</v>
      </c>
      <c r="C31" s="1585"/>
      <c r="D31" s="1586"/>
      <c r="E31" s="1585"/>
      <c r="F31" s="1585"/>
    </row>
    <row r="32">
      <c r="A32" s="1589"/>
      <c r="B32" s="1584" t="s">
        <v>8552</v>
      </c>
      <c r="C32" s="1585"/>
      <c r="D32" s="1586"/>
      <c r="E32" s="1585"/>
      <c r="F32" s="1585"/>
    </row>
    <row r="33">
      <c r="A33" s="1589"/>
      <c r="B33" s="1584" t="s">
        <v>8568</v>
      </c>
      <c r="C33" s="1585"/>
      <c r="D33" s="1586"/>
      <c r="E33" s="1585"/>
      <c r="F33" s="1585"/>
    </row>
    <row r="34">
      <c r="A34" s="1589"/>
      <c r="B34" s="1570" t="s">
        <v>8551</v>
      </c>
      <c r="C34" s="1571"/>
      <c r="D34" s="1571"/>
      <c r="E34" s="1571"/>
      <c r="F34" s="1572"/>
    </row>
    <row r="35">
      <c r="A35" s="1589"/>
      <c r="B35" s="1573"/>
      <c r="C35" s="1574"/>
      <c r="D35" s="1574"/>
      <c r="E35" s="1574"/>
      <c r="F35" s="1575"/>
    </row>
    <row r="36">
      <c r="A36" s="1589"/>
      <c r="B36" s="1578" t="s">
        <v>8479</v>
      </c>
      <c r="C36" s="1579" t="s">
        <v>548</v>
      </c>
      <c r="D36" s="1597" t="s">
        <v>8666</v>
      </c>
      <c r="E36" s="1579" t="s">
        <v>8525</v>
      </c>
      <c r="F36" s="1598">
        <v>44511.0</v>
      </c>
    </row>
    <row r="37">
      <c r="A37" s="1589"/>
      <c r="B37" s="1582" t="s">
        <v>8531</v>
      </c>
      <c r="C37" s="1579" t="s">
        <v>8653</v>
      </c>
      <c r="D37" s="1597" t="s">
        <v>8676</v>
      </c>
      <c r="E37" s="1579" t="s">
        <v>8525</v>
      </c>
      <c r="F37" s="1598">
        <v>43740.0</v>
      </c>
    </row>
    <row r="38">
      <c r="A38" s="1589"/>
      <c r="B38" s="1583" t="s">
        <v>8539</v>
      </c>
      <c r="C38" s="1579" t="s">
        <v>8679</v>
      </c>
      <c r="D38" s="1597" t="s">
        <v>8680</v>
      </c>
      <c r="E38" s="1579" t="s">
        <v>8525</v>
      </c>
      <c r="F38" s="1598">
        <v>42098.0</v>
      </c>
    </row>
    <row r="39">
      <c r="A39" s="1589"/>
      <c r="B39" s="1584" t="s">
        <v>8552</v>
      </c>
      <c r="C39" s="1579"/>
      <c r="D39" s="1597"/>
      <c r="E39" s="1579"/>
      <c r="F39" s="1598"/>
    </row>
    <row r="40">
      <c r="A40" s="1589"/>
      <c r="B40" s="1584" t="s">
        <v>8568</v>
      </c>
      <c r="C40" s="1585"/>
      <c r="D40" s="1599"/>
      <c r="E40" s="1585"/>
      <c r="F40" s="1589"/>
    </row>
    <row r="41">
      <c r="A41" s="1589"/>
      <c r="B41" s="1570" t="s">
        <v>8567</v>
      </c>
      <c r="C41" s="1571"/>
      <c r="D41" s="1571"/>
      <c r="E41" s="1571"/>
      <c r="F41" s="1572"/>
    </row>
    <row r="42">
      <c r="A42" s="1589"/>
      <c r="B42" s="1573"/>
      <c r="C42" s="1574"/>
      <c r="D42" s="1574"/>
      <c r="E42" s="1574"/>
      <c r="F42" s="1575"/>
    </row>
    <row r="43">
      <c r="A43" s="1589"/>
      <c r="B43" s="1578" t="s">
        <v>8479</v>
      </c>
      <c r="C43" s="1579" t="s">
        <v>8689</v>
      </c>
      <c r="D43" s="1597" t="s">
        <v>8690</v>
      </c>
      <c r="E43" s="1579" t="s">
        <v>8696</v>
      </c>
      <c r="F43" s="1598">
        <v>43395.0</v>
      </c>
    </row>
    <row r="44">
      <c r="A44" s="1589"/>
      <c r="B44" s="1582" t="s">
        <v>8531</v>
      </c>
      <c r="C44" s="1579" t="s">
        <v>6322</v>
      </c>
      <c r="D44" s="1597" t="s">
        <v>8699</v>
      </c>
      <c r="E44" s="1579" t="s">
        <v>8564</v>
      </c>
      <c r="F44" s="1598">
        <v>43376.0</v>
      </c>
    </row>
    <row r="45">
      <c r="A45" s="1589"/>
      <c r="B45" s="1583" t="s">
        <v>8539</v>
      </c>
      <c r="C45" s="1585"/>
      <c r="D45" s="1599"/>
      <c r="E45" s="1585"/>
      <c r="F45" s="1589"/>
    </row>
    <row r="46">
      <c r="A46" s="1589"/>
      <c r="B46" s="1584" t="s">
        <v>8552</v>
      </c>
      <c r="C46" s="1585"/>
      <c r="D46" s="1599"/>
      <c r="E46" s="1585"/>
      <c r="F46" s="1589"/>
    </row>
    <row r="47">
      <c r="A47" s="1589"/>
      <c r="B47" s="1584" t="s">
        <v>8568</v>
      </c>
      <c r="C47" s="1585"/>
      <c r="D47" s="1599"/>
      <c r="E47" s="1585"/>
      <c r="F47" s="1589"/>
    </row>
    <row r="48">
      <c r="A48" s="1589"/>
      <c r="B48" s="1570" t="s">
        <v>8574</v>
      </c>
      <c r="C48" s="1571"/>
      <c r="D48" s="1571"/>
      <c r="E48" s="1571"/>
      <c r="F48" s="1572"/>
    </row>
    <row r="49">
      <c r="A49" s="1589"/>
      <c r="B49" s="1573"/>
      <c r="C49" s="1574"/>
      <c r="D49" s="1574"/>
      <c r="E49" s="1574"/>
      <c r="F49" s="1575"/>
    </row>
    <row r="50">
      <c r="A50" s="1589"/>
      <c r="B50" s="1600" t="s">
        <v>8714</v>
      </c>
      <c r="C50" s="1571"/>
      <c r="D50" s="1571"/>
      <c r="E50" s="1571"/>
      <c r="F50" s="1572"/>
    </row>
    <row r="51">
      <c r="A51" s="1589"/>
      <c r="B51" s="1573"/>
      <c r="C51" s="1574"/>
      <c r="D51" s="1574"/>
      <c r="E51" s="1574"/>
      <c r="F51" s="1575"/>
    </row>
    <row r="52">
      <c r="A52" s="1589"/>
      <c r="B52" s="1578" t="s">
        <v>8479</v>
      </c>
      <c r="C52" s="1601" t="s">
        <v>305</v>
      </c>
      <c r="D52" s="1597" t="s">
        <v>8722</v>
      </c>
      <c r="E52" s="1579" t="s">
        <v>8525</v>
      </c>
      <c r="F52" s="1598">
        <v>43758.0</v>
      </c>
    </row>
    <row r="53">
      <c r="A53" s="1589"/>
      <c r="B53" s="1582" t="s">
        <v>8531</v>
      </c>
      <c r="C53" s="1585"/>
      <c r="D53" s="1599"/>
      <c r="E53" s="1585"/>
      <c r="F53" s="1589"/>
    </row>
    <row r="54">
      <c r="A54" s="1589"/>
      <c r="B54" s="1583" t="s">
        <v>8539</v>
      </c>
      <c r="C54" s="1585"/>
      <c r="D54" s="1599"/>
      <c r="E54" s="1585"/>
      <c r="F54" s="1589"/>
    </row>
    <row r="55">
      <c r="A55" s="1589"/>
      <c r="B55" s="1584" t="s">
        <v>8552</v>
      </c>
      <c r="C55" s="1585"/>
      <c r="D55" s="1599"/>
      <c r="E55" s="1585"/>
      <c r="F55" s="1589"/>
    </row>
    <row r="56">
      <c r="A56" s="1589"/>
      <c r="B56" s="1584" t="s">
        <v>8568</v>
      </c>
      <c r="C56" s="1585"/>
      <c r="D56" s="1599"/>
      <c r="E56" s="1585"/>
      <c r="F56" s="1589"/>
    </row>
    <row r="57">
      <c r="A57" s="1589"/>
      <c r="B57" s="1600" t="s">
        <v>8644</v>
      </c>
      <c r="C57" s="1571"/>
      <c r="D57" s="1571"/>
      <c r="E57" s="1571"/>
      <c r="F57" s="1572"/>
    </row>
    <row r="58">
      <c r="A58" s="1589"/>
      <c r="B58" s="1573"/>
      <c r="C58" s="1574"/>
      <c r="D58" s="1574"/>
      <c r="E58" s="1574"/>
      <c r="F58" s="1575"/>
    </row>
    <row r="59">
      <c r="A59" s="1589"/>
      <c r="B59" s="1578" t="s">
        <v>8479</v>
      </c>
      <c r="C59" s="1579" t="s">
        <v>8740</v>
      </c>
      <c r="D59" s="1602" t="s">
        <v>8742</v>
      </c>
      <c r="E59" s="1579" t="s">
        <v>8525</v>
      </c>
      <c r="F59" s="1598">
        <v>44805.0</v>
      </c>
    </row>
    <row r="60">
      <c r="A60" s="1589"/>
      <c r="B60" s="1582" t="s">
        <v>8531</v>
      </c>
      <c r="C60" s="1579" t="s">
        <v>8752</v>
      </c>
      <c r="D60" s="1597" t="s">
        <v>8754</v>
      </c>
      <c r="E60" s="1579" t="s">
        <v>8525</v>
      </c>
      <c r="F60" s="1598">
        <v>43307.0</v>
      </c>
    </row>
    <row r="61">
      <c r="A61" s="1589"/>
      <c r="B61" s="1583" t="s">
        <v>8539</v>
      </c>
      <c r="C61" s="1585"/>
      <c r="D61" s="1599"/>
      <c r="E61" s="1585"/>
      <c r="F61" s="1589"/>
    </row>
    <row r="62">
      <c r="A62" s="1589"/>
      <c r="B62" s="1584" t="s">
        <v>8552</v>
      </c>
      <c r="C62" s="1585"/>
      <c r="D62" s="1599"/>
      <c r="E62" s="1585"/>
      <c r="F62" s="1589"/>
    </row>
    <row r="63">
      <c r="A63" s="1589"/>
      <c r="B63" s="1584" t="s">
        <v>8568</v>
      </c>
      <c r="C63" s="1585"/>
      <c r="D63" s="1599"/>
      <c r="E63" s="1585"/>
      <c r="F63" s="1589"/>
    </row>
    <row r="64">
      <c r="A64" s="1589"/>
      <c r="B64" s="1570" t="s">
        <v>8582</v>
      </c>
      <c r="C64" s="1571"/>
      <c r="D64" s="1571"/>
      <c r="E64" s="1571"/>
      <c r="F64" s="1572"/>
    </row>
    <row r="65">
      <c r="A65" s="1589"/>
      <c r="B65" s="1573"/>
      <c r="C65" s="1574"/>
      <c r="D65" s="1574"/>
      <c r="E65" s="1574"/>
      <c r="F65" s="1575"/>
    </row>
    <row r="66">
      <c r="A66" s="1589"/>
      <c r="B66" s="1600" t="s">
        <v>8771</v>
      </c>
      <c r="C66" s="1571"/>
      <c r="D66" s="1571"/>
      <c r="E66" s="1571"/>
      <c r="F66" s="1572"/>
    </row>
    <row r="67">
      <c r="A67" s="1589"/>
      <c r="B67" s="1573"/>
      <c r="C67" s="1574"/>
      <c r="D67" s="1574"/>
      <c r="E67" s="1574"/>
      <c r="F67" s="1575"/>
    </row>
    <row r="68">
      <c r="A68" s="1589"/>
      <c r="B68" s="1578" t="s">
        <v>8479</v>
      </c>
      <c r="C68" s="1579" t="s">
        <v>6609</v>
      </c>
      <c r="D68" s="1597" t="s">
        <v>8777</v>
      </c>
      <c r="E68" s="1579" t="s">
        <v>8525</v>
      </c>
      <c r="F68" s="1598">
        <v>44246.0</v>
      </c>
    </row>
    <row r="69">
      <c r="A69" s="1589"/>
      <c r="B69" s="1582" t="s">
        <v>8531</v>
      </c>
      <c r="C69" s="1579" t="s">
        <v>8689</v>
      </c>
      <c r="D69" s="1597" t="s">
        <v>8787</v>
      </c>
      <c r="E69" s="1579" t="s">
        <v>8696</v>
      </c>
      <c r="F69" s="1598">
        <v>43637.0</v>
      </c>
    </row>
    <row r="70">
      <c r="A70" s="1589"/>
      <c r="B70" s="1583" t="s">
        <v>8539</v>
      </c>
      <c r="C70" s="1585"/>
      <c r="D70" s="1599"/>
      <c r="E70" s="1585"/>
      <c r="F70" s="1589"/>
    </row>
    <row r="71">
      <c r="A71" s="1589"/>
      <c r="B71" s="1584" t="s">
        <v>8552</v>
      </c>
      <c r="C71" s="1585"/>
      <c r="D71" s="1599"/>
      <c r="E71" s="1585"/>
      <c r="F71" s="1589"/>
    </row>
    <row r="72">
      <c r="A72" s="1589"/>
      <c r="B72" s="1584" t="s">
        <v>8568</v>
      </c>
      <c r="C72" s="1585"/>
      <c r="D72" s="1599"/>
      <c r="E72" s="1585"/>
      <c r="F72" s="1589"/>
    </row>
    <row r="73">
      <c r="A73" s="1589"/>
      <c r="B73" s="1600" t="s">
        <v>8800</v>
      </c>
      <c r="C73" s="1571"/>
      <c r="D73" s="1571"/>
      <c r="E73" s="1571"/>
      <c r="F73" s="1572"/>
    </row>
    <row r="74">
      <c r="A74" s="1589"/>
      <c r="B74" s="1573"/>
      <c r="C74" s="1574"/>
      <c r="D74" s="1574"/>
      <c r="E74" s="1574"/>
      <c r="F74" s="1575"/>
    </row>
    <row r="75">
      <c r="A75" s="1589"/>
      <c r="B75" s="1578" t="s">
        <v>8479</v>
      </c>
      <c r="C75" s="1579" t="s">
        <v>528</v>
      </c>
      <c r="D75" s="1597" t="s">
        <v>8802</v>
      </c>
      <c r="E75" s="1579" t="s">
        <v>8525</v>
      </c>
      <c r="F75" s="1598">
        <v>43592.0</v>
      </c>
    </row>
    <row r="76">
      <c r="A76" s="1589"/>
      <c r="B76" s="1582" t="s">
        <v>8531</v>
      </c>
      <c r="C76" s="1579" t="s">
        <v>8810</v>
      </c>
      <c r="D76" s="1597" t="s">
        <v>8811</v>
      </c>
      <c r="E76" s="1579" t="s">
        <v>8525</v>
      </c>
      <c r="F76" s="1598">
        <v>43396.0</v>
      </c>
    </row>
    <row r="77">
      <c r="A77" s="1589"/>
      <c r="B77" s="1583" t="s">
        <v>8539</v>
      </c>
      <c r="C77" s="1585"/>
      <c r="D77" s="1599"/>
      <c r="E77" s="1585"/>
      <c r="F77" s="1589"/>
    </row>
    <row r="78">
      <c r="A78" s="1589"/>
      <c r="B78" s="1584" t="s">
        <v>8552</v>
      </c>
      <c r="C78" s="1585"/>
      <c r="D78" s="1599"/>
      <c r="E78" s="1585"/>
      <c r="F78" s="1589"/>
    </row>
    <row r="79">
      <c r="A79" s="1589"/>
      <c r="B79" s="1584" t="s">
        <v>8568</v>
      </c>
      <c r="C79" s="1585"/>
      <c r="D79" s="1599"/>
      <c r="E79" s="1585"/>
      <c r="F79" s="1589"/>
    </row>
    <row r="80">
      <c r="A80" s="1589"/>
      <c r="B80" s="1570" t="s">
        <v>8584</v>
      </c>
      <c r="C80" s="1571"/>
      <c r="D80" s="1571"/>
      <c r="E80" s="1571"/>
      <c r="F80" s="1572"/>
    </row>
    <row r="81">
      <c r="A81" s="1589"/>
      <c r="B81" s="1573"/>
      <c r="C81" s="1574"/>
      <c r="D81" s="1574"/>
      <c r="E81" s="1574"/>
      <c r="F81" s="1575"/>
    </row>
    <row r="82">
      <c r="A82" s="1589"/>
      <c r="B82" s="1578" t="s">
        <v>8479</v>
      </c>
      <c r="C82" s="1601" t="s">
        <v>305</v>
      </c>
      <c r="D82" s="1597" t="s">
        <v>8820</v>
      </c>
      <c r="E82" s="1579" t="s">
        <v>8525</v>
      </c>
      <c r="F82" s="1598">
        <v>43457.0</v>
      </c>
    </row>
    <row r="83">
      <c r="A83" s="1589"/>
      <c r="B83" s="1582" t="s">
        <v>8531</v>
      </c>
      <c r="C83" s="1579" t="s">
        <v>170</v>
      </c>
      <c r="D83" s="1602" t="s">
        <v>8836</v>
      </c>
      <c r="E83" s="1579" t="s">
        <v>8525</v>
      </c>
      <c r="F83" s="1598">
        <v>43925.0</v>
      </c>
    </row>
    <row r="84">
      <c r="A84" s="1589"/>
      <c r="B84" s="1583" t="s">
        <v>8539</v>
      </c>
      <c r="C84" s="1579" t="s">
        <v>3268</v>
      </c>
      <c r="D84" s="1597" t="s">
        <v>8844</v>
      </c>
      <c r="E84" s="1579" t="s">
        <v>8849</v>
      </c>
      <c r="F84" s="1598">
        <v>43433.0</v>
      </c>
    </row>
    <row r="85">
      <c r="A85" s="1589"/>
      <c r="B85" s="1584" t="s">
        <v>8552</v>
      </c>
      <c r="C85" s="1585"/>
      <c r="D85" s="1599"/>
      <c r="E85" s="1585"/>
      <c r="F85" s="1589"/>
    </row>
    <row r="86">
      <c r="A86" s="1589"/>
      <c r="B86" s="1584" t="s">
        <v>8568</v>
      </c>
      <c r="C86" s="1585"/>
      <c r="D86" s="1599"/>
      <c r="E86" s="1585"/>
      <c r="F86" s="1589"/>
    </row>
    <row r="87">
      <c r="A87" s="1589"/>
      <c r="B87" s="1570" t="s">
        <v>8595</v>
      </c>
      <c r="C87" s="1571"/>
      <c r="D87" s="1571"/>
      <c r="E87" s="1571"/>
      <c r="F87" s="1572"/>
    </row>
    <row r="88">
      <c r="A88" s="1589"/>
      <c r="B88" s="1573"/>
      <c r="C88" s="1574"/>
      <c r="D88" s="1574"/>
      <c r="E88" s="1574"/>
      <c r="F88" s="1575"/>
    </row>
    <row r="89">
      <c r="A89" s="1589"/>
      <c r="B89" s="1600" t="s">
        <v>8858</v>
      </c>
      <c r="C89" s="1571"/>
      <c r="D89" s="1571"/>
      <c r="E89" s="1571"/>
      <c r="F89" s="1572"/>
    </row>
    <row r="90">
      <c r="A90" s="1589"/>
      <c r="B90" s="1573"/>
      <c r="C90" s="1574"/>
      <c r="D90" s="1574"/>
      <c r="E90" s="1574"/>
      <c r="F90" s="1575"/>
    </row>
    <row r="91">
      <c r="A91" s="1589"/>
      <c r="B91" s="1578" t="s">
        <v>8479</v>
      </c>
      <c r="C91" s="1579" t="s">
        <v>8653</v>
      </c>
      <c r="D91" s="1597" t="s">
        <v>8866</v>
      </c>
      <c r="E91" s="1579" t="s">
        <v>8525</v>
      </c>
      <c r="F91" s="1598">
        <v>43862.0</v>
      </c>
    </row>
    <row r="92">
      <c r="A92" s="1589"/>
      <c r="B92" s="1582" t="s">
        <v>8531</v>
      </c>
      <c r="C92" s="1585"/>
      <c r="D92" s="1599"/>
      <c r="E92" s="1585"/>
      <c r="F92" s="1589"/>
    </row>
    <row r="93">
      <c r="A93" s="1589"/>
      <c r="B93" s="1583" t="s">
        <v>8539</v>
      </c>
      <c r="C93" s="1585"/>
      <c r="D93" s="1599"/>
      <c r="E93" s="1585"/>
      <c r="F93" s="1589"/>
    </row>
    <row r="94">
      <c r="A94" s="1589"/>
      <c r="B94" s="1584" t="s">
        <v>8552</v>
      </c>
      <c r="C94" s="1585"/>
      <c r="D94" s="1599"/>
      <c r="E94" s="1585"/>
      <c r="F94" s="1589"/>
    </row>
    <row r="95">
      <c r="A95" s="1589"/>
      <c r="B95" s="1584" t="s">
        <v>8568</v>
      </c>
      <c r="C95" s="1585"/>
      <c r="D95" s="1599"/>
      <c r="E95" s="1585"/>
      <c r="F95" s="1589"/>
    </row>
    <row r="96">
      <c r="A96" s="1589"/>
      <c r="B96" s="1600" t="s">
        <v>8881</v>
      </c>
      <c r="C96" s="1571"/>
      <c r="D96" s="1571"/>
      <c r="E96" s="1571"/>
      <c r="F96" s="1572"/>
    </row>
    <row r="97">
      <c r="A97" s="1589"/>
      <c r="B97" s="1573"/>
      <c r="C97" s="1574"/>
      <c r="D97" s="1574"/>
      <c r="E97" s="1574"/>
      <c r="F97" s="1575"/>
    </row>
    <row r="98">
      <c r="A98" s="1589"/>
      <c r="B98" s="1578" t="s">
        <v>8479</v>
      </c>
      <c r="C98" s="1579" t="s">
        <v>8653</v>
      </c>
      <c r="D98" s="1597" t="s">
        <v>8887</v>
      </c>
      <c r="E98" s="1579" t="s">
        <v>8525</v>
      </c>
      <c r="F98" s="1598">
        <v>43862.0</v>
      </c>
    </row>
    <row r="99">
      <c r="A99" s="1589"/>
      <c r="B99" s="1582" t="s">
        <v>8531</v>
      </c>
      <c r="C99" s="1606" t="s">
        <v>8896</v>
      </c>
      <c r="D99" s="1597" t="s">
        <v>8899</v>
      </c>
      <c r="E99" s="1579" t="s">
        <v>8696</v>
      </c>
      <c r="F99" s="1598">
        <v>43630.0</v>
      </c>
    </row>
    <row r="100">
      <c r="A100" s="1589"/>
      <c r="B100" s="1583" t="s">
        <v>8539</v>
      </c>
      <c r="C100" s="1585"/>
      <c r="D100" s="1599"/>
      <c r="E100" s="1585"/>
      <c r="F100" s="1589"/>
    </row>
    <row r="101">
      <c r="A101" s="1589"/>
      <c r="B101" s="1584" t="s">
        <v>8552</v>
      </c>
      <c r="C101" s="1585"/>
      <c r="D101" s="1599"/>
      <c r="E101" s="1585"/>
      <c r="F101" s="1589"/>
    </row>
    <row r="102">
      <c r="A102" s="1589"/>
      <c r="B102" s="1584" t="s">
        <v>8568</v>
      </c>
      <c r="C102" s="1585"/>
      <c r="D102" s="1599"/>
      <c r="E102" s="1585"/>
      <c r="F102" s="1589"/>
    </row>
    <row r="103">
      <c r="A103" s="1589"/>
      <c r="B103" s="1570" t="s">
        <v>8607</v>
      </c>
      <c r="C103" s="1571"/>
      <c r="D103" s="1571"/>
      <c r="E103" s="1571"/>
      <c r="F103" s="1572"/>
    </row>
    <row r="104">
      <c r="A104" s="1589"/>
      <c r="B104" s="1573"/>
      <c r="C104" s="1574"/>
      <c r="D104" s="1574"/>
      <c r="E104" s="1574"/>
      <c r="F104" s="1575"/>
    </row>
    <row r="105">
      <c r="A105" s="1589"/>
      <c r="B105" s="1578" t="s">
        <v>8479</v>
      </c>
      <c r="C105" s="1579" t="s">
        <v>3491</v>
      </c>
      <c r="D105" s="1597" t="s">
        <v>8925</v>
      </c>
      <c r="E105" s="1579" t="s">
        <v>8564</v>
      </c>
      <c r="F105" s="1598">
        <v>44132.0</v>
      </c>
    </row>
    <row r="106">
      <c r="A106" s="1589"/>
      <c r="B106" s="1582" t="s">
        <v>8531</v>
      </c>
      <c r="C106" s="1585"/>
      <c r="D106" s="1599"/>
      <c r="E106" s="1585"/>
      <c r="F106" s="1589"/>
    </row>
    <row r="107">
      <c r="A107" s="1589"/>
      <c r="B107" s="1583" t="s">
        <v>8539</v>
      </c>
      <c r="C107" s="1585"/>
      <c r="D107" s="1599"/>
      <c r="E107" s="1585"/>
      <c r="F107" s="1589"/>
    </row>
    <row r="108">
      <c r="A108" s="1589"/>
      <c r="B108" s="1584" t="s">
        <v>8552</v>
      </c>
      <c r="C108" s="1585"/>
      <c r="D108" s="1599"/>
      <c r="E108" s="1585"/>
      <c r="F108" s="1589"/>
    </row>
    <row r="109">
      <c r="A109" s="1589"/>
      <c r="B109" s="1584" t="s">
        <v>8568</v>
      </c>
      <c r="C109" s="1585"/>
      <c r="D109" s="1599"/>
      <c r="E109" s="1585"/>
      <c r="F109" s="1589"/>
    </row>
    <row r="110">
      <c r="A110" s="1589"/>
      <c r="B110" s="1570" t="s">
        <v>8616</v>
      </c>
      <c r="C110" s="1571"/>
      <c r="D110" s="1571"/>
      <c r="E110" s="1571"/>
      <c r="F110" s="1572"/>
    </row>
    <row r="111">
      <c r="A111" s="1589"/>
      <c r="B111" s="1573"/>
      <c r="C111" s="1574"/>
      <c r="D111" s="1574"/>
      <c r="E111" s="1574"/>
      <c r="F111" s="1575"/>
    </row>
    <row r="112">
      <c r="A112" s="1589"/>
      <c r="B112" s="1578" t="s">
        <v>8479</v>
      </c>
      <c r="C112" s="1579" t="s">
        <v>8968</v>
      </c>
      <c r="D112" s="1597" t="s">
        <v>8969</v>
      </c>
      <c r="E112" s="1579" t="s">
        <v>8525</v>
      </c>
      <c r="F112" s="1598">
        <v>43741.0</v>
      </c>
    </row>
    <row r="113">
      <c r="A113" s="1589"/>
      <c r="B113" s="1582" t="s">
        <v>8531</v>
      </c>
      <c r="C113" s="1579" t="s">
        <v>8975</v>
      </c>
      <c r="D113" s="1597" t="s">
        <v>8976</v>
      </c>
      <c r="E113" s="1579" t="s">
        <v>8849</v>
      </c>
      <c r="F113" s="1598">
        <v>43748.0</v>
      </c>
    </row>
    <row r="114">
      <c r="A114" s="1589"/>
      <c r="B114" s="1583" t="s">
        <v>8539</v>
      </c>
      <c r="C114" s="1579" t="s">
        <v>2910</v>
      </c>
      <c r="D114" s="1597" t="s">
        <v>8986</v>
      </c>
      <c r="E114" s="1579" t="s">
        <v>8696</v>
      </c>
      <c r="F114" s="1598">
        <v>43729.0</v>
      </c>
    </row>
    <row r="115">
      <c r="A115" s="1589"/>
      <c r="B115" s="1584" t="s">
        <v>8552</v>
      </c>
      <c r="C115" s="1601" t="s">
        <v>305</v>
      </c>
      <c r="D115" s="1597" t="s">
        <v>8999</v>
      </c>
      <c r="E115" s="1579" t="s">
        <v>8525</v>
      </c>
      <c r="F115" s="1598">
        <v>44470.0</v>
      </c>
    </row>
    <row r="116">
      <c r="A116" s="1589"/>
      <c r="B116" s="1584" t="s">
        <v>8568</v>
      </c>
      <c r="C116" s="1579" t="s">
        <v>3491</v>
      </c>
      <c r="D116" s="1597" t="s">
        <v>9009</v>
      </c>
      <c r="E116" s="1579" t="s">
        <v>8564</v>
      </c>
      <c r="F116" s="1598">
        <v>44020.0</v>
      </c>
    </row>
    <row r="117">
      <c r="A117" s="1589"/>
      <c r="B117" s="1570" t="s">
        <v>8624</v>
      </c>
      <c r="C117" s="1571"/>
      <c r="D117" s="1571"/>
      <c r="E117" s="1571"/>
      <c r="F117" s="1572"/>
    </row>
    <row r="118">
      <c r="A118" s="1589"/>
      <c r="B118" s="1573"/>
      <c r="C118" s="1574"/>
      <c r="D118" s="1574"/>
      <c r="E118" s="1574"/>
      <c r="F118" s="1575"/>
    </row>
    <row r="119">
      <c r="A119" s="1589"/>
      <c r="B119" s="1578" t="s">
        <v>8479</v>
      </c>
      <c r="C119" s="1579" t="s">
        <v>82</v>
      </c>
      <c r="D119" s="1608">
        <v>0.06525462962962963</v>
      </c>
      <c r="E119" s="1579" t="s">
        <v>8564</v>
      </c>
      <c r="F119" s="1581">
        <v>44652.0</v>
      </c>
    </row>
    <row r="120">
      <c r="A120" s="1589"/>
      <c r="B120" s="1582" t="s">
        <v>8531</v>
      </c>
      <c r="C120" s="1579" t="s">
        <v>4065</v>
      </c>
      <c r="D120" s="1608">
        <v>0.06892361111111112</v>
      </c>
      <c r="E120" s="1579" t="s">
        <v>8564</v>
      </c>
      <c r="F120" s="1581">
        <v>44652.0</v>
      </c>
    </row>
    <row r="121">
      <c r="A121" s="1589"/>
      <c r="B121" s="1583" t="s">
        <v>8539</v>
      </c>
      <c r="C121" s="1587" t="s">
        <v>9038</v>
      </c>
      <c r="D121" s="1611">
        <v>0.07195601851851852</v>
      </c>
      <c r="E121" s="1587" t="s">
        <v>8564</v>
      </c>
      <c r="F121" s="1598">
        <v>44652.0</v>
      </c>
    </row>
    <row r="122">
      <c r="A122" s="1589"/>
      <c r="B122" s="1584" t="s">
        <v>8552</v>
      </c>
      <c r="C122" s="1585" t="s">
        <v>9055</v>
      </c>
      <c r="D122" s="1613">
        <v>0.07211805555555556</v>
      </c>
      <c r="E122" s="1614" t="s">
        <v>9071</v>
      </c>
      <c r="F122" s="1598">
        <v>44652.0</v>
      </c>
    </row>
    <row r="123">
      <c r="A123" s="1616" t="s">
        <v>9074</v>
      </c>
      <c r="B123" s="1584" t="s">
        <v>8568</v>
      </c>
      <c r="C123" s="1585"/>
      <c r="D123" s="1585"/>
      <c r="E123" s="1585"/>
      <c r="F123" s="1585"/>
    </row>
    <row r="124">
      <c r="A124" s="1616" t="s">
        <v>9085</v>
      </c>
      <c r="B124" s="1570" t="s">
        <v>8626</v>
      </c>
      <c r="C124" s="1571"/>
      <c r="D124" s="1571"/>
      <c r="E124" s="1571"/>
      <c r="F124" s="1572"/>
    </row>
    <row r="125">
      <c r="A125" s="1617"/>
      <c r="B125" s="1573"/>
      <c r="C125" s="1574"/>
      <c r="D125" s="1574"/>
      <c r="E125" s="1574"/>
      <c r="F125" s="1575"/>
    </row>
    <row r="126">
      <c r="A126" s="1617"/>
      <c r="B126" s="1578" t="s">
        <v>8479</v>
      </c>
      <c r="C126" s="1579" t="s">
        <v>170</v>
      </c>
      <c r="D126" s="1618" t="s">
        <v>9100</v>
      </c>
      <c r="E126" s="1579" t="s">
        <v>8525</v>
      </c>
      <c r="F126" s="1581">
        <v>45152.0</v>
      </c>
    </row>
    <row r="127">
      <c r="A127" s="1617"/>
      <c r="B127" s="1582" t="s">
        <v>8531</v>
      </c>
      <c r="C127" s="1579" t="s">
        <v>123</v>
      </c>
      <c r="D127" s="1618" t="s">
        <v>9110</v>
      </c>
      <c r="E127" s="1579" t="s">
        <v>8525</v>
      </c>
      <c r="F127" s="1581">
        <v>44866.0</v>
      </c>
    </row>
    <row r="128">
      <c r="A128" s="1617"/>
      <c r="B128" s="1583" t="s">
        <v>8539</v>
      </c>
      <c r="C128" s="1585"/>
      <c r="D128" s="1613"/>
      <c r="E128" s="1614"/>
      <c r="F128" s="1598"/>
    </row>
    <row r="129">
      <c r="A129" s="1617"/>
      <c r="B129" s="1584" t="s">
        <v>8552</v>
      </c>
      <c r="C129" s="1585"/>
      <c r="D129" s="1613"/>
      <c r="E129" s="1614"/>
      <c r="F129" s="1598"/>
    </row>
    <row r="130">
      <c r="A130" s="1619"/>
      <c r="B130" s="1584" t="s">
        <v>8568</v>
      </c>
      <c r="C130" s="1585"/>
      <c r="D130" s="1585"/>
      <c r="E130" s="1585"/>
      <c r="F130" s="1585"/>
    </row>
    <row r="131">
      <c r="A131" s="1617"/>
      <c r="B131" s="1570" t="s">
        <v>9122</v>
      </c>
      <c r="C131" s="1571"/>
      <c r="D131" s="1571"/>
      <c r="E131" s="1571"/>
      <c r="F131" s="1572"/>
    </row>
    <row r="132">
      <c r="A132" s="1617"/>
      <c r="B132" s="1573"/>
      <c r="C132" s="1574"/>
      <c r="D132" s="1574"/>
      <c r="E132" s="1574"/>
      <c r="F132" s="1575"/>
    </row>
    <row r="133">
      <c r="A133" s="1617"/>
      <c r="B133" s="1578" t="s">
        <v>8479</v>
      </c>
      <c r="C133" s="1579" t="s">
        <v>170</v>
      </c>
      <c r="D133" s="1620">
        <v>0.1396990740740741</v>
      </c>
      <c r="E133" s="1579" t="s">
        <v>8525</v>
      </c>
      <c r="F133" s="1581">
        <v>45998.0</v>
      </c>
    </row>
    <row r="134">
      <c r="A134" s="1617"/>
      <c r="B134" s="1582" t="s">
        <v>8531</v>
      </c>
      <c r="C134" s="1579"/>
      <c r="D134" s="1621"/>
      <c r="E134" s="1579"/>
      <c r="F134" s="1581"/>
    </row>
    <row r="135">
      <c r="A135" s="1617"/>
      <c r="B135" s="1583" t="s">
        <v>8539</v>
      </c>
      <c r="C135" s="1585"/>
      <c r="D135" s="1613"/>
      <c r="E135" s="1614"/>
      <c r="F135" s="1598"/>
    </row>
    <row r="136">
      <c r="A136" s="1617"/>
      <c r="B136" s="1584" t="s">
        <v>8552</v>
      </c>
      <c r="C136" s="1585"/>
      <c r="D136" s="1613"/>
      <c r="E136" s="1614"/>
      <c r="F136" s="1598"/>
    </row>
    <row r="137">
      <c r="A137" s="1617"/>
      <c r="B137" s="1584" t="s">
        <v>8568</v>
      </c>
      <c r="C137" s="1585"/>
      <c r="D137" s="1585"/>
      <c r="E137" s="1585"/>
      <c r="F137" s="1585"/>
    </row>
    <row r="138">
      <c r="A138" s="1617"/>
    </row>
    <row r="139">
      <c r="A139" s="1617"/>
    </row>
    <row r="140">
      <c r="A140" s="1617"/>
    </row>
    <row r="141">
      <c r="A141" s="1617"/>
    </row>
    <row r="142">
      <c r="A142" s="1617"/>
    </row>
    <row r="143">
      <c r="A143" s="1617"/>
    </row>
  </sheetData>
  <mergeCells count="29">
    <mergeCell ref="A1:A3"/>
    <mergeCell ref="B1:B3"/>
    <mergeCell ref="C1:C3"/>
    <mergeCell ref="D1:D3"/>
    <mergeCell ref="E1:E3"/>
    <mergeCell ref="F1:F3"/>
    <mergeCell ref="A4:A5"/>
    <mergeCell ref="B4:F5"/>
    <mergeCell ref="B11:F12"/>
    <mergeCell ref="B18:F19"/>
    <mergeCell ref="B20:F21"/>
    <mergeCell ref="B27:F28"/>
    <mergeCell ref="B34:F35"/>
    <mergeCell ref="B41:F42"/>
    <mergeCell ref="B87:F88"/>
    <mergeCell ref="B89:F90"/>
    <mergeCell ref="B96:F97"/>
    <mergeCell ref="B103:F104"/>
    <mergeCell ref="B110:F111"/>
    <mergeCell ref="B117:F118"/>
    <mergeCell ref="B124:F125"/>
    <mergeCell ref="B131:F132"/>
    <mergeCell ref="B48:F49"/>
    <mergeCell ref="B50:F51"/>
    <mergeCell ref="B57:F58"/>
    <mergeCell ref="B64:F65"/>
    <mergeCell ref="B66:F67"/>
    <mergeCell ref="B73:F74"/>
    <mergeCell ref="B80:F81"/>
  </mergeCells>
  <hyperlinks>
    <hyperlink r:id="rId2" ref="D6"/>
    <hyperlink r:id="rId3" ref="D7"/>
    <hyperlink r:id="rId4" ref="D8"/>
    <hyperlink r:id="rId5" ref="D9"/>
    <hyperlink r:id="rId6" ref="D13"/>
    <hyperlink r:id="rId7" ref="D14"/>
    <hyperlink r:id="rId8" ref="D15"/>
    <hyperlink r:id="rId9" ref="D16"/>
    <hyperlink r:id="rId10" ref="D22"/>
    <hyperlink r:id="rId11" ref="D23"/>
    <hyperlink r:id="rId12" ref="D29"/>
    <hyperlink r:id="rId13" ref="D30"/>
    <hyperlink r:id="rId14" ref="D36"/>
    <hyperlink r:id="rId15" ref="D37"/>
    <hyperlink r:id="rId16" ref="D38"/>
    <hyperlink r:id="rId17" ref="D43"/>
    <hyperlink r:id="rId18" ref="D44"/>
    <hyperlink r:id="rId19" ref="D52"/>
    <hyperlink r:id="rId20" ref="D59"/>
    <hyperlink r:id="rId21" ref="D60"/>
    <hyperlink r:id="rId22" ref="D68"/>
    <hyperlink r:id="rId23" ref="D69"/>
    <hyperlink r:id="rId24" ref="D75"/>
    <hyperlink r:id="rId25" ref="D76"/>
    <hyperlink r:id="rId26" ref="D82"/>
    <hyperlink r:id="rId27" ref="D83"/>
    <hyperlink r:id="rId28" ref="D84"/>
    <hyperlink r:id="rId29" ref="D91"/>
    <hyperlink r:id="rId30" ref="D98"/>
    <hyperlink r:id="rId31" ref="D99"/>
    <hyperlink r:id="rId32" ref="D105"/>
    <hyperlink r:id="rId33" ref="D112"/>
    <hyperlink r:id="rId34" ref="D113"/>
    <hyperlink r:id="rId35" ref="D114"/>
    <hyperlink r:id="rId36" ref="D115"/>
    <hyperlink r:id="rId37" ref="D116"/>
    <hyperlink r:id="rId38" ref="D119"/>
    <hyperlink r:id="rId39" ref="D120"/>
    <hyperlink r:id="rId40" ref="D121"/>
    <hyperlink r:id="rId41" ref="D122"/>
    <hyperlink r:id="rId42" ref="A123"/>
    <hyperlink r:id="rId43" ref="A124"/>
    <hyperlink r:id="rId44" ref="D126"/>
    <hyperlink r:id="rId45" ref="D127"/>
    <hyperlink r:id="rId46" ref="D133"/>
  </hyperlinks>
  <drawing r:id="rId47"/>
  <legacyDrawing r:id="rId48"/>
</worksheet>
</file>